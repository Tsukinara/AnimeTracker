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18" r:id="rId3"/>
    <sheet name="Completed" sheetId="17" r:id="rId4"/>
    <sheet name="Rewatches" sheetId="15" r:id="rId5"/>
    <sheet name="Dropped" sheetId="5" r:id="rId6"/>
    <sheet name="Movies and OVAs" sheetId="3" r:id="rId7"/>
    <sheet name="Misc Sheet" sheetId="7" r:id="rId8"/>
    <sheet name="Vars and Stats" sheetId="20" r:id="rId9"/>
  </sheets>
  <calcPr calcId="152511" iterateDelta="1E-4"/>
</workbook>
</file>

<file path=xl/calcChain.xml><?xml version="1.0" encoding="utf-8"?>
<calcChain xmlns="http://schemas.openxmlformats.org/spreadsheetml/2006/main">
  <c r="G117" i="17" l="1"/>
  <c r="N18" i="19" l="1"/>
  <c r="G23" i="19" l="1"/>
  <c r="G22" i="19"/>
  <c r="G21" i="19"/>
  <c r="G20" i="19"/>
  <c r="G19" i="19"/>
  <c r="G18" i="19"/>
  <c r="G17" i="19"/>
  <c r="H17" i="19"/>
  <c r="H18" i="19"/>
  <c r="H19" i="19"/>
  <c r="H20" i="19"/>
  <c r="H21" i="19"/>
  <c r="H22" i="19"/>
  <c r="H23" i="19"/>
  <c r="H16" i="19"/>
  <c r="G16" i="19"/>
  <c r="H14" i="19"/>
  <c r="H15" i="19"/>
  <c r="G14" i="19"/>
  <c r="G15" i="19"/>
  <c r="G12" i="19"/>
  <c r="H12" i="19"/>
  <c r="G13" i="19"/>
  <c r="H13" i="19"/>
  <c r="G5" i="19"/>
  <c r="H4" i="19"/>
  <c r="H10" i="19"/>
  <c r="H5" i="19"/>
  <c r="G6" i="19"/>
  <c r="G4" i="19"/>
  <c r="H8" i="19"/>
  <c r="H9" i="19"/>
  <c r="H6" i="19"/>
  <c r="G7" i="19"/>
  <c r="G9" i="19"/>
  <c r="G10" i="19"/>
  <c r="H7" i="19"/>
  <c r="G11" i="19"/>
  <c r="G8" i="19"/>
  <c r="H11" i="19"/>
  <c r="J49" i="19" l="1"/>
  <c r="K49" i="19"/>
  <c r="L49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9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9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AA129" i="19"/>
  <c r="AA128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Z129" i="19"/>
  <c r="Z128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L195" i="19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S129" i="19" l="1"/>
  <c r="R129" i="19"/>
  <c r="P129" i="19"/>
  <c r="U129" i="19"/>
  <c r="Q129" i="19"/>
  <c r="T129" i="19"/>
  <c r="S133" i="19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28" i="19"/>
  <c r="Q128" i="19"/>
  <c r="T128" i="19"/>
  <c r="P128" i="19"/>
  <c r="S128" i="19"/>
  <c r="R128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27" i="20"/>
  <c r="B32" i="20"/>
  <c r="B30" i="20"/>
  <c r="B31" i="20"/>
  <c r="B29" i="20"/>
  <c r="B28" i="20"/>
  <c r="E26" i="20"/>
  <c r="E25" i="20"/>
  <c r="E24" i="20"/>
  <c r="E23" i="20"/>
  <c r="E22" i="20"/>
  <c r="E21" i="20"/>
  <c r="E20" i="20"/>
  <c r="E19" i="20"/>
  <c r="E16" i="20"/>
  <c r="B11" i="20"/>
  <c r="T127" i="19"/>
  <c r="U127" i="19"/>
  <c r="Q127" i="19"/>
  <c r="R127" i="19"/>
  <c r="S127" i="19"/>
  <c r="P127" i="19"/>
  <c r="U126" i="19"/>
  <c r="R126" i="19"/>
  <c r="Q126" i="19"/>
  <c r="S126" i="19"/>
  <c r="P126" i="19"/>
  <c r="T126" i="19"/>
  <c r="S125" i="19"/>
  <c r="U125" i="19"/>
  <c r="R124" i="19"/>
  <c r="R122" i="19"/>
  <c r="P124" i="19"/>
  <c r="P122" i="19"/>
  <c r="T125" i="19"/>
  <c r="Q125" i="19"/>
  <c r="T123" i="19"/>
  <c r="U123" i="19"/>
  <c r="S123" i="19"/>
  <c r="R125" i="19"/>
  <c r="S124" i="19"/>
  <c r="Q122" i="19"/>
  <c r="P123" i="19"/>
  <c r="S122" i="19"/>
  <c r="Q124" i="19"/>
  <c r="P125" i="19"/>
  <c r="T122" i="19"/>
  <c r="U122" i="19"/>
  <c r="Q123" i="19"/>
  <c r="T124" i="19"/>
  <c r="R123" i="19"/>
  <c r="U124" i="19"/>
  <c r="G63" i="17" l="1"/>
  <c r="G47" i="17"/>
  <c r="G24" i="17"/>
  <c r="G45" i="17"/>
  <c r="G22" i="17"/>
  <c r="G17" i="17"/>
  <c r="G3" i="17"/>
  <c r="G7" i="17"/>
  <c r="G48" i="17"/>
  <c r="G11" i="17"/>
  <c r="G90" i="17"/>
  <c r="G119" i="17"/>
  <c r="E28" i="20"/>
  <c r="G125" i="17"/>
  <c r="G107" i="17"/>
  <c r="G79" i="17"/>
  <c r="G89" i="17"/>
  <c r="G70" i="17"/>
  <c r="G38" i="17"/>
  <c r="G53" i="17"/>
  <c r="G36" i="17"/>
  <c r="G29" i="17"/>
  <c r="G13" i="17"/>
  <c r="G123" i="17"/>
  <c r="G118" i="17"/>
  <c r="G116" i="17"/>
  <c r="G114" i="17"/>
  <c r="G106" i="17"/>
  <c r="G112" i="17"/>
  <c r="G104" i="17"/>
  <c r="G101" i="17"/>
  <c r="G97" i="17"/>
  <c r="G65" i="17"/>
  <c r="G84" i="17"/>
  <c r="G85" i="17"/>
  <c r="G66" i="17"/>
  <c r="G54" i="17"/>
  <c r="G67" i="17"/>
  <c r="G62" i="17"/>
  <c r="G75" i="17"/>
  <c r="G44" i="17"/>
  <c r="G57" i="17"/>
  <c r="G50" i="17"/>
  <c r="G43" i="17"/>
  <c r="G42" i="17"/>
  <c r="G31" i="17"/>
  <c r="G25" i="17"/>
  <c r="G16" i="17"/>
  <c r="G12" i="17"/>
  <c r="G10" i="17"/>
  <c r="G4" i="17"/>
  <c r="G122" i="17"/>
  <c r="G109" i="17"/>
  <c r="G100" i="17"/>
  <c r="G73" i="17"/>
  <c r="G76" i="17"/>
  <c r="G61" i="17"/>
  <c r="G51" i="17"/>
  <c r="G26" i="17"/>
  <c r="G9" i="17"/>
  <c r="G124" i="17"/>
  <c r="G120" i="17"/>
  <c r="G111" i="17"/>
  <c r="G103" i="17"/>
  <c r="G83" i="17"/>
  <c r="G105" i="17"/>
  <c r="G91" i="17"/>
  <c r="G98" i="17"/>
  <c r="G93" i="17"/>
  <c r="G92" i="17"/>
  <c r="G87" i="17"/>
  <c r="G86" i="17"/>
  <c r="G64" i="17"/>
  <c r="G71" i="17"/>
  <c r="G77" i="17"/>
  <c r="G40" i="17"/>
  <c r="G59" i="17"/>
  <c r="G60" i="17"/>
  <c r="G56" i="17"/>
  <c r="G41" i="17"/>
  <c r="G35" i="17"/>
  <c r="G30" i="17"/>
  <c r="G23" i="17"/>
  <c r="G34" i="17"/>
  <c r="G20" i="17"/>
  <c r="G19" i="17"/>
  <c r="G6" i="17"/>
  <c r="G5" i="17"/>
  <c r="G113" i="17"/>
  <c r="G110" i="17"/>
  <c r="G94" i="17"/>
  <c r="G80" i="17"/>
  <c r="G74" i="17"/>
  <c r="G58" i="17"/>
  <c r="G27" i="17"/>
  <c r="G28" i="17"/>
  <c r="G15" i="17"/>
  <c r="G126" i="17"/>
  <c r="G121" i="17"/>
  <c r="G115" i="17"/>
  <c r="G95" i="17"/>
  <c r="G108" i="17"/>
  <c r="G102" i="17"/>
  <c r="G96" i="17"/>
  <c r="G82" i="17"/>
  <c r="G99" i="17"/>
  <c r="G88" i="17"/>
  <c r="G81" i="17"/>
  <c r="G78" i="17"/>
  <c r="G72" i="17"/>
  <c r="G69" i="17"/>
  <c r="G68" i="17"/>
  <c r="G55" i="17"/>
  <c r="G52" i="17"/>
  <c r="G39" i="17"/>
  <c r="G49" i="17"/>
  <c r="G46" i="17"/>
  <c r="G33" i="17"/>
  <c r="G37" i="17"/>
  <c r="G32" i="17"/>
  <c r="G21" i="17"/>
  <c r="G18" i="17"/>
  <c r="G14" i="17"/>
  <c r="G8" i="17"/>
  <c r="Z125" i="19" l="1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B10" i="20" l="1"/>
  <c r="H13" i="17" s="1"/>
  <c r="H117" i="17" l="1"/>
  <c r="H24" i="17"/>
  <c r="H45" i="17"/>
  <c r="H63" i="17"/>
  <c r="H22" i="17"/>
  <c r="H17" i="17"/>
  <c r="H47" i="17"/>
  <c r="H7" i="17"/>
  <c r="H11" i="17"/>
  <c r="H48" i="17"/>
  <c r="H119" i="17"/>
  <c r="H90" i="17"/>
  <c r="H95" i="17"/>
  <c r="H100" i="17"/>
  <c r="H32" i="17"/>
  <c r="H12" i="17"/>
  <c r="H65" i="17"/>
  <c r="H44" i="17"/>
  <c r="H114" i="17"/>
  <c r="H74" i="17"/>
  <c r="H46" i="17"/>
  <c r="H40" i="17"/>
  <c r="H76" i="17"/>
  <c r="H43" i="17"/>
  <c r="H52" i="17"/>
  <c r="H68" i="17"/>
  <c r="H50" i="17"/>
  <c r="H113" i="17"/>
  <c r="H61" i="17"/>
  <c r="H16" i="17"/>
  <c r="H85" i="17"/>
  <c r="H57" i="17"/>
  <c r="H20" i="17"/>
  <c r="H123" i="17"/>
  <c r="H69" i="17"/>
  <c r="H55" i="17"/>
  <c r="H121" i="17"/>
  <c r="H67" i="17"/>
  <c r="H112" i="17"/>
  <c r="H38" i="17"/>
  <c r="H6" i="17"/>
  <c r="H54" i="17"/>
  <c r="H71" i="17"/>
  <c r="H10" i="17"/>
  <c r="H96" i="17"/>
  <c r="H15" i="17"/>
  <c r="H110" i="17"/>
  <c r="H122" i="17"/>
  <c r="H42" i="17"/>
  <c r="H4" i="17"/>
  <c r="H49" i="17"/>
  <c r="H81" i="17"/>
  <c r="H36" i="17"/>
  <c r="H107" i="17"/>
  <c r="H89" i="17"/>
  <c r="H29" i="17"/>
  <c r="H73" i="17"/>
  <c r="H59" i="17"/>
  <c r="H87" i="17"/>
  <c r="H70" i="17"/>
  <c r="H106" i="17"/>
  <c r="H118" i="17"/>
  <c r="H66" i="17"/>
  <c r="H80" i="17"/>
  <c r="H64" i="17"/>
  <c r="H9" i="17"/>
  <c r="H5" i="17"/>
  <c r="H86" i="17"/>
  <c r="H79" i="17"/>
  <c r="H21" i="17"/>
  <c r="H124" i="17"/>
  <c r="H14" i="17"/>
  <c r="H88" i="17"/>
  <c r="H23" i="17"/>
  <c r="H91" i="17"/>
  <c r="H101" i="17"/>
  <c r="H108" i="17"/>
  <c r="H97" i="17"/>
  <c r="H94" i="17"/>
  <c r="H72" i="17"/>
  <c r="H19" i="17"/>
  <c r="H92" i="17"/>
  <c r="H75" i="17"/>
  <c r="H83" i="17"/>
  <c r="H26" i="17"/>
  <c r="H34" i="17"/>
  <c r="H98" i="17"/>
  <c r="H62" i="17"/>
  <c r="H78" i="17"/>
  <c r="H25" i="17"/>
  <c r="H37" i="17"/>
  <c r="H56" i="17"/>
  <c r="H111" i="17"/>
  <c r="H51" i="17"/>
  <c r="H35" i="17"/>
  <c r="H27" i="17"/>
  <c r="H18" i="17"/>
  <c r="H99" i="17"/>
  <c r="H30" i="17"/>
  <c r="H105" i="17"/>
  <c r="H125" i="17"/>
  <c r="H8" i="17"/>
  <c r="H109" i="17"/>
  <c r="H82" i="17"/>
  <c r="H116" i="17"/>
  <c r="H53" i="17"/>
  <c r="H41" i="17"/>
  <c r="H103" i="17"/>
  <c r="H31" i="17"/>
  <c r="H126" i="17"/>
  <c r="H58" i="17"/>
  <c r="H39" i="17"/>
  <c r="H115" i="17"/>
  <c r="H77" i="17"/>
  <c r="H104" i="17"/>
  <c r="H3" i="17"/>
  <c r="H93" i="17"/>
  <c r="H28" i="17"/>
  <c r="H33" i="17"/>
  <c r="H102" i="17"/>
  <c r="H60" i="17"/>
  <c r="H120" i="17"/>
  <c r="H84" i="17"/>
  <c r="AA127" i="19" l="1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B24" i="20"/>
  <c r="B20" i="20"/>
  <c r="B16" i="20"/>
  <c r="B25" i="20"/>
  <c r="B23" i="20"/>
  <c r="B19" i="20"/>
  <c r="B15" i="20"/>
  <c r="B22" i="20"/>
  <c r="B18" i="20"/>
  <c r="B21" i="20"/>
  <c r="B17" i="20"/>
  <c r="E11" i="20"/>
  <c r="E5" i="20"/>
  <c r="E8" i="20"/>
  <c r="E4" i="20"/>
  <c r="E7" i="20"/>
  <c r="E3" i="20"/>
  <c r="E6" i="20"/>
  <c r="E9" i="20" l="1"/>
  <c r="E10" i="20"/>
  <c r="S109" i="19"/>
  <c r="U96" i="19"/>
  <c r="T107" i="19"/>
  <c r="T51" i="19"/>
  <c r="T16" i="19"/>
  <c r="U34" i="19"/>
  <c r="S15" i="19"/>
  <c r="S97" i="19"/>
  <c r="S118" i="19"/>
  <c r="T121" i="19"/>
  <c r="S100" i="19"/>
  <c r="R96" i="19"/>
  <c r="Q105" i="19"/>
  <c r="R75" i="19"/>
  <c r="Q115" i="19"/>
  <c r="T58" i="19"/>
  <c r="T8" i="19"/>
  <c r="U68" i="19"/>
  <c r="R99" i="19"/>
  <c r="Q41" i="19"/>
  <c r="T102" i="19"/>
  <c r="T90" i="19"/>
  <c r="S72" i="19"/>
  <c r="R88" i="19"/>
  <c r="S18" i="19"/>
  <c r="T9" i="19"/>
  <c r="P103" i="19"/>
  <c r="P81" i="19"/>
  <c r="U117" i="19"/>
  <c r="Q19" i="19"/>
  <c r="Q91" i="19"/>
  <c r="T72" i="19"/>
  <c r="Q58" i="19"/>
  <c r="S94" i="19"/>
  <c r="P57" i="19"/>
  <c r="P24" i="19"/>
  <c r="P78" i="19"/>
  <c r="R28" i="19"/>
  <c r="R105" i="19"/>
  <c r="T106" i="19"/>
  <c r="S46" i="19"/>
  <c r="T101" i="19"/>
  <c r="R19" i="19"/>
  <c r="R89" i="19"/>
  <c r="R36" i="19"/>
  <c r="S19" i="19"/>
  <c r="P70" i="19"/>
  <c r="P104" i="19"/>
  <c r="P59" i="19"/>
  <c r="U16" i="19"/>
  <c r="Q65" i="19"/>
  <c r="R82" i="19"/>
  <c r="U92" i="19"/>
  <c r="U113" i="19"/>
  <c r="U101" i="19"/>
  <c r="U97" i="19"/>
  <c r="R50" i="19"/>
  <c r="Q99" i="19"/>
  <c r="P13" i="19"/>
  <c r="R92" i="19"/>
  <c r="U19" i="19"/>
  <c r="U45" i="19"/>
  <c r="Q95" i="19"/>
  <c r="T32" i="19"/>
  <c r="R69" i="19"/>
  <c r="S64" i="19"/>
  <c r="R111" i="19"/>
  <c r="S38" i="19"/>
  <c r="P51" i="19"/>
  <c r="U38" i="19"/>
  <c r="P7" i="19"/>
  <c r="S41" i="19"/>
  <c r="T47" i="19"/>
  <c r="R97" i="19"/>
  <c r="U26" i="19"/>
  <c r="T15" i="19"/>
  <c r="Q108" i="19"/>
  <c r="U30" i="19"/>
  <c r="P116" i="19"/>
  <c r="T29" i="19"/>
  <c r="P95" i="19"/>
  <c r="P26" i="19"/>
  <c r="U40" i="19"/>
  <c r="S5" i="19"/>
  <c r="U48" i="19"/>
  <c r="P56" i="19"/>
  <c r="R119" i="19"/>
  <c r="T93" i="19"/>
  <c r="Q25" i="19"/>
  <c r="P11" i="19"/>
  <c r="P50" i="19"/>
  <c r="S86" i="19"/>
  <c r="Q22" i="19"/>
  <c r="P115" i="19"/>
  <c r="S11" i="19"/>
  <c r="P66" i="19"/>
  <c r="U82" i="19"/>
  <c r="R57" i="19"/>
  <c r="Q59" i="19"/>
  <c r="Q92" i="19"/>
  <c r="T71" i="19"/>
  <c r="U119" i="19"/>
  <c r="R40" i="19"/>
  <c r="Q38" i="19"/>
  <c r="Q42" i="19"/>
  <c r="U36" i="19"/>
  <c r="T18" i="19"/>
  <c r="Q50" i="19"/>
  <c r="Q15" i="19"/>
  <c r="P90" i="19"/>
  <c r="Q64" i="19"/>
  <c r="R46" i="19"/>
  <c r="P82" i="19"/>
  <c r="U17" i="19"/>
  <c r="U59" i="19"/>
  <c r="U112" i="19"/>
  <c r="U35" i="19"/>
  <c r="U93" i="19"/>
  <c r="P54" i="19"/>
  <c r="T24" i="19"/>
  <c r="P97" i="19"/>
  <c r="U13" i="19"/>
  <c r="P10" i="19"/>
  <c r="U39" i="19"/>
  <c r="R74" i="19"/>
  <c r="U65" i="19"/>
  <c r="U86" i="19"/>
  <c r="U52" i="19"/>
  <c r="S77" i="19"/>
  <c r="U22" i="19"/>
  <c r="U67" i="19"/>
  <c r="U42" i="19"/>
  <c r="T11" i="19"/>
  <c r="S83" i="19"/>
  <c r="Q45" i="19"/>
  <c r="P107" i="19"/>
  <c r="P58" i="19"/>
  <c r="S71" i="19"/>
  <c r="Q116" i="19"/>
  <c r="R47" i="19"/>
  <c r="S10" i="19"/>
  <c r="R60" i="19"/>
  <c r="R56" i="19"/>
  <c r="S69" i="19"/>
  <c r="R79" i="19"/>
  <c r="Q85" i="19"/>
  <c r="T57" i="19"/>
  <c r="R68" i="19"/>
  <c r="S99" i="19"/>
  <c r="S105" i="19"/>
  <c r="S92" i="19"/>
  <c r="Q94" i="19"/>
  <c r="P69" i="19"/>
  <c r="R109" i="19"/>
  <c r="Q53" i="19"/>
  <c r="R10" i="19"/>
  <c r="S106" i="19"/>
  <c r="Q54" i="19"/>
  <c r="Q68" i="19"/>
  <c r="R54" i="19"/>
  <c r="T99" i="19"/>
  <c r="P102" i="19"/>
  <c r="U98" i="19"/>
  <c r="Q23" i="19"/>
  <c r="S84" i="19"/>
  <c r="T96" i="19"/>
  <c r="Q55" i="19"/>
  <c r="T116" i="19"/>
  <c r="S23" i="19"/>
  <c r="T49" i="19"/>
  <c r="T66" i="19"/>
  <c r="Q4" i="19"/>
  <c r="P83" i="19"/>
  <c r="P20" i="19"/>
  <c r="Q30" i="19"/>
  <c r="R7" i="19"/>
  <c r="Q67" i="19"/>
  <c r="P87" i="19"/>
  <c r="S49" i="19"/>
  <c r="S117" i="19"/>
  <c r="Q87" i="19"/>
  <c r="U49" i="19"/>
  <c r="U41" i="19"/>
  <c r="P35" i="19"/>
  <c r="S43" i="19"/>
  <c r="R29" i="19"/>
  <c r="U70" i="19"/>
  <c r="U111" i="19"/>
  <c r="U78" i="19"/>
  <c r="U4" i="19"/>
  <c r="P86" i="19"/>
  <c r="P41" i="19"/>
  <c r="Q102" i="19"/>
  <c r="Q18" i="19"/>
  <c r="Q9" i="19"/>
  <c r="S8" i="19"/>
  <c r="R55" i="19"/>
  <c r="Q11" i="19"/>
  <c r="Q98" i="19"/>
  <c r="T100" i="19"/>
  <c r="R5" i="19"/>
  <c r="U29" i="19"/>
  <c r="Q82" i="19"/>
  <c r="R102" i="19"/>
  <c r="T37" i="19"/>
  <c r="Q47" i="19"/>
  <c r="S75" i="19"/>
  <c r="U88" i="19"/>
  <c r="Q60" i="19"/>
  <c r="Q24" i="19"/>
  <c r="T46" i="19"/>
  <c r="T112" i="19"/>
  <c r="S58" i="19"/>
  <c r="T35" i="19"/>
  <c r="R103" i="19"/>
  <c r="R85" i="19"/>
  <c r="U108" i="19"/>
  <c r="Q103" i="19"/>
  <c r="Q100" i="19"/>
  <c r="U75" i="19"/>
  <c r="S78" i="19"/>
  <c r="P118" i="19"/>
  <c r="R8" i="19"/>
  <c r="Q27" i="19"/>
  <c r="U102" i="19"/>
  <c r="R21" i="19"/>
  <c r="R63" i="19"/>
  <c r="S30" i="19"/>
  <c r="T25" i="19"/>
  <c r="U7" i="19"/>
  <c r="U116" i="19"/>
  <c r="T43" i="19"/>
  <c r="P73" i="19"/>
  <c r="P111" i="19"/>
  <c r="U104" i="19"/>
  <c r="S34" i="19"/>
  <c r="S113" i="19"/>
  <c r="T80" i="19"/>
  <c r="R106" i="19"/>
  <c r="T91" i="19"/>
  <c r="S37" i="19"/>
  <c r="U109" i="19"/>
  <c r="Q80" i="19"/>
  <c r="S107" i="19"/>
  <c r="Q8" i="19"/>
  <c r="Q76" i="19"/>
  <c r="T36" i="19"/>
  <c r="Q43" i="19"/>
  <c r="R87" i="19"/>
  <c r="R115" i="19"/>
  <c r="T105" i="19"/>
  <c r="Q70" i="19"/>
  <c r="S26" i="19"/>
  <c r="U37" i="19"/>
  <c r="T59" i="19"/>
  <c r="T84" i="19"/>
  <c r="P46" i="19"/>
  <c r="R67" i="19"/>
  <c r="U90" i="19"/>
  <c r="P99" i="19"/>
  <c r="P120" i="19"/>
  <c r="T60" i="19"/>
  <c r="P112" i="19"/>
  <c r="Q106" i="19"/>
  <c r="Q21" i="19"/>
  <c r="P25" i="19"/>
  <c r="P100" i="19"/>
  <c r="U27" i="19"/>
  <c r="P12" i="19"/>
  <c r="T88" i="19"/>
  <c r="P89" i="19"/>
  <c r="T78" i="19"/>
  <c r="R113" i="19"/>
  <c r="T114" i="19"/>
  <c r="T64" i="19"/>
  <c r="R22" i="19"/>
  <c r="R107" i="19"/>
  <c r="U10" i="19"/>
  <c r="R43" i="19"/>
  <c r="T31" i="19"/>
  <c r="U28" i="19"/>
  <c r="T54" i="19"/>
  <c r="R70" i="19"/>
  <c r="R49" i="19"/>
  <c r="R71" i="19"/>
  <c r="R93" i="19"/>
  <c r="P44" i="19"/>
  <c r="S24" i="19"/>
  <c r="S45" i="19"/>
  <c r="U11" i="19"/>
  <c r="S36" i="19"/>
  <c r="T75" i="19"/>
  <c r="R91" i="19"/>
  <c r="P39" i="19"/>
  <c r="S62" i="19"/>
  <c r="S112" i="19"/>
  <c r="S13" i="19"/>
  <c r="P68" i="19"/>
  <c r="R9" i="19"/>
  <c r="U18" i="19"/>
  <c r="T55" i="19"/>
  <c r="U110" i="19"/>
  <c r="S4" i="19"/>
  <c r="U47" i="19"/>
  <c r="U114" i="19"/>
  <c r="Q114" i="19"/>
  <c r="P113" i="19"/>
  <c r="U57" i="19"/>
  <c r="P119" i="19"/>
  <c r="R30" i="19"/>
  <c r="Q112" i="19"/>
  <c r="T119" i="19"/>
  <c r="Q96" i="19"/>
  <c r="R121" i="19"/>
  <c r="Q36" i="19"/>
  <c r="T109" i="19"/>
  <c r="S68" i="19"/>
  <c r="P17" i="19"/>
  <c r="U58" i="19"/>
  <c r="U106" i="19"/>
  <c r="R4" i="19"/>
  <c r="T5" i="19"/>
  <c r="S119" i="19"/>
  <c r="Q117" i="19"/>
  <c r="S35" i="19"/>
  <c r="Q111" i="19"/>
  <c r="P98" i="19"/>
  <c r="Q51" i="19"/>
  <c r="P71" i="19"/>
  <c r="Q104" i="19"/>
  <c r="U24" i="19"/>
  <c r="Q33" i="19"/>
  <c r="S6" i="19"/>
  <c r="T111" i="19"/>
  <c r="S91" i="19"/>
  <c r="Q26" i="19"/>
  <c r="U54" i="19"/>
  <c r="R90" i="19"/>
  <c r="S98" i="19"/>
  <c r="R114" i="19"/>
  <c r="T115" i="19"/>
  <c r="U25" i="19"/>
  <c r="T23" i="19"/>
  <c r="T65" i="19"/>
  <c r="P36" i="19"/>
  <c r="U87" i="19"/>
  <c r="S55" i="19"/>
  <c r="T34" i="19"/>
  <c r="T67" i="19"/>
  <c r="R66" i="19"/>
  <c r="U62" i="19"/>
  <c r="T87" i="19"/>
  <c r="S59" i="19"/>
  <c r="R108" i="19"/>
  <c r="P80" i="19"/>
  <c r="T56" i="19"/>
  <c r="S63" i="19"/>
  <c r="T98" i="19"/>
  <c r="U55" i="19"/>
  <c r="P48" i="19"/>
  <c r="T50" i="19"/>
  <c r="P37" i="19"/>
  <c r="T73" i="19"/>
  <c r="P74" i="19"/>
  <c r="T120" i="19"/>
  <c r="S7" i="19"/>
  <c r="S54" i="19"/>
  <c r="U64" i="19"/>
  <c r="Q90" i="19"/>
  <c r="Q120" i="19"/>
  <c r="P72" i="19"/>
  <c r="Q121" i="19"/>
  <c r="S96" i="19"/>
  <c r="T22" i="19"/>
  <c r="R16" i="19"/>
  <c r="T45" i="19"/>
  <c r="P62" i="19"/>
  <c r="R76" i="19"/>
  <c r="R118" i="19"/>
  <c r="Q113" i="19"/>
  <c r="R44" i="19"/>
  <c r="Q97" i="19"/>
  <c r="R110" i="19"/>
  <c r="R38" i="19"/>
  <c r="T108" i="19"/>
  <c r="Q84" i="19"/>
  <c r="S27" i="19"/>
  <c r="S101" i="19"/>
  <c r="P22" i="19"/>
  <c r="T69" i="19"/>
  <c r="T85" i="19"/>
  <c r="P76" i="19"/>
  <c r="P108" i="19"/>
  <c r="U63" i="19"/>
  <c r="Q69" i="19"/>
  <c r="U43" i="19"/>
  <c r="S56" i="19"/>
  <c r="T81" i="19"/>
  <c r="P4" i="19"/>
  <c r="S66" i="19"/>
  <c r="R17" i="19"/>
  <c r="Q52" i="19"/>
  <c r="U107" i="19"/>
  <c r="R98" i="19"/>
  <c r="R58" i="19"/>
  <c r="S29" i="19"/>
  <c r="T4" i="19"/>
  <c r="R31" i="19"/>
  <c r="U99" i="19"/>
  <c r="R39" i="19"/>
  <c r="Q119" i="19"/>
  <c r="R72" i="19"/>
  <c r="S102" i="19"/>
  <c r="T83" i="19"/>
  <c r="S61" i="19"/>
  <c r="Q31" i="19"/>
  <c r="P91" i="19"/>
  <c r="T19" i="19"/>
  <c r="Q81" i="19"/>
  <c r="S82" i="19"/>
  <c r="U14" i="19"/>
  <c r="R86" i="19"/>
  <c r="Q74" i="19"/>
  <c r="S31" i="19"/>
  <c r="S90" i="19"/>
  <c r="U12" i="19"/>
  <c r="Q72" i="19"/>
  <c r="R20" i="19"/>
  <c r="S16" i="19"/>
  <c r="S73" i="19"/>
  <c r="P19" i="19"/>
  <c r="S48" i="19"/>
  <c r="S21" i="19"/>
  <c r="S79" i="19"/>
  <c r="U121" i="19"/>
  <c r="S67" i="19"/>
  <c r="U80" i="19"/>
  <c r="T77" i="19"/>
  <c r="S103" i="19"/>
  <c r="P23" i="19"/>
  <c r="T21" i="19"/>
  <c r="S114" i="19"/>
  <c r="Q63" i="19"/>
  <c r="T13" i="19"/>
  <c r="S60" i="19"/>
  <c r="Q107" i="19"/>
  <c r="Q110" i="19"/>
  <c r="R24" i="19"/>
  <c r="P94" i="19"/>
  <c r="R11" i="19"/>
  <c r="U8" i="19"/>
  <c r="S17" i="19"/>
  <c r="T26" i="19"/>
  <c r="T76" i="19"/>
  <c r="R41" i="19"/>
  <c r="R35" i="19"/>
  <c r="T7" i="19"/>
  <c r="T82" i="19"/>
  <c r="R73" i="19"/>
  <c r="Q88" i="19"/>
  <c r="R51" i="19"/>
  <c r="Q78" i="19"/>
  <c r="P45" i="19"/>
  <c r="P28" i="19"/>
  <c r="P93" i="19"/>
  <c r="U50" i="19"/>
  <c r="R27" i="19"/>
  <c r="Q44" i="19"/>
  <c r="U84" i="19"/>
  <c r="U31" i="19"/>
  <c r="T42" i="19"/>
  <c r="P101" i="19"/>
  <c r="R32" i="19"/>
  <c r="S40" i="19"/>
  <c r="P96" i="19"/>
  <c r="R120" i="19"/>
  <c r="P75" i="19"/>
  <c r="P42" i="19"/>
  <c r="T68" i="19"/>
  <c r="S116" i="19"/>
  <c r="P14" i="19"/>
  <c r="P6" i="19"/>
  <c r="T97" i="19"/>
  <c r="P16" i="19"/>
  <c r="Q32" i="19"/>
  <c r="Q83" i="19"/>
  <c r="R95" i="19"/>
  <c r="Q16" i="19"/>
  <c r="Q109" i="19"/>
  <c r="S25" i="19"/>
  <c r="S28" i="19"/>
  <c r="P32" i="19"/>
  <c r="Q28" i="19"/>
  <c r="P52" i="19"/>
  <c r="Q86" i="19"/>
  <c r="S81" i="19"/>
  <c r="U94" i="19"/>
  <c r="Q39" i="19"/>
  <c r="S65" i="19"/>
  <c r="Q46" i="19"/>
  <c r="P63" i="19"/>
  <c r="U83" i="19"/>
  <c r="R6" i="19"/>
  <c r="R64" i="19"/>
  <c r="U100" i="19"/>
  <c r="P106" i="19"/>
  <c r="T10" i="19"/>
  <c r="P5" i="19"/>
  <c r="S85" i="19"/>
  <c r="S108" i="19"/>
  <c r="S39" i="19"/>
  <c r="Q73" i="19"/>
  <c r="S87" i="19"/>
  <c r="Q13" i="19"/>
  <c r="R52" i="19"/>
  <c r="U71" i="19"/>
  <c r="R25" i="19"/>
  <c r="T62" i="19"/>
  <c r="R84" i="19"/>
  <c r="U61" i="19"/>
  <c r="T89" i="19"/>
  <c r="S33" i="19"/>
  <c r="R94" i="19"/>
  <c r="Q101" i="19"/>
  <c r="S22" i="19"/>
  <c r="S110" i="19"/>
  <c r="T94" i="19"/>
  <c r="T70" i="19"/>
  <c r="R59" i="19"/>
  <c r="Q118" i="19"/>
  <c r="Q62" i="19"/>
  <c r="T48" i="19"/>
  <c r="S104" i="19"/>
  <c r="T38" i="19"/>
  <c r="P92" i="19"/>
  <c r="U21" i="19"/>
  <c r="T63" i="19"/>
  <c r="Q35" i="19"/>
  <c r="S95" i="19"/>
  <c r="Q93" i="19"/>
  <c r="S74" i="19"/>
  <c r="U15" i="19"/>
  <c r="P55" i="19"/>
  <c r="Q10" i="19"/>
  <c r="P121" i="19"/>
  <c r="P21" i="19"/>
  <c r="T27" i="19"/>
  <c r="T118" i="19"/>
  <c r="Q89" i="19"/>
  <c r="T61" i="19"/>
  <c r="U6" i="19"/>
  <c r="S42" i="19"/>
  <c r="P49" i="19"/>
  <c r="R13" i="19"/>
  <c r="P27" i="19"/>
  <c r="S111" i="19"/>
  <c r="R61" i="19"/>
  <c r="Q12" i="19"/>
  <c r="P30" i="19"/>
  <c r="Q75" i="19"/>
  <c r="Q49" i="19"/>
  <c r="S44" i="19"/>
  <c r="U89" i="19"/>
  <c r="P53" i="19"/>
  <c r="Q61" i="19"/>
  <c r="T20" i="19"/>
  <c r="P43" i="19"/>
  <c r="P61" i="19"/>
  <c r="U20" i="19"/>
  <c r="R80" i="19"/>
  <c r="S14" i="19"/>
  <c r="T53" i="19"/>
  <c r="P114" i="19"/>
  <c r="U53" i="19"/>
  <c r="R65" i="19"/>
  <c r="P85" i="19"/>
  <c r="U73" i="19"/>
  <c r="R48" i="19"/>
  <c r="U76" i="19"/>
  <c r="T86" i="19"/>
  <c r="T44" i="19"/>
  <c r="T41" i="19"/>
  <c r="R14" i="19"/>
  <c r="P31" i="19"/>
  <c r="R83" i="19"/>
  <c r="R100" i="19"/>
  <c r="T40" i="19"/>
  <c r="R23" i="19"/>
  <c r="U79" i="19"/>
  <c r="S32" i="19"/>
  <c r="U46" i="19"/>
  <c r="T30" i="19"/>
  <c r="T12" i="19"/>
  <c r="U33" i="19"/>
  <c r="U51" i="19"/>
  <c r="R81" i="19"/>
  <c r="R53" i="19"/>
  <c r="R112" i="19"/>
  <c r="S20" i="19"/>
  <c r="R26" i="19"/>
  <c r="P15" i="19"/>
  <c r="U9" i="19"/>
  <c r="T74" i="19"/>
  <c r="S93" i="19"/>
  <c r="Q66" i="19"/>
  <c r="Q20" i="19"/>
  <c r="R33" i="19"/>
  <c r="S12" i="19"/>
  <c r="R117" i="19"/>
  <c r="R12" i="19"/>
  <c r="P64" i="19"/>
  <c r="S47" i="19"/>
  <c r="P38" i="19"/>
  <c r="P84" i="19"/>
  <c r="S51" i="19"/>
  <c r="U74" i="19"/>
  <c r="T6" i="19"/>
  <c r="P65" i="19"/>
  <c r="P105" i="19"/>
  <c r="S50" i="19"/>
  <c r="Q71" i="19"/>
  <c r="T14" i="19"/>
  <c r="S57" i="19"/>
  <c r="U23" i="19"/>
  <c r="T79" i="19"/>
  <c r="U77" i="19"/>
  <c r="U103" i="19"/>
  <c r="Q48" i="19"/>
  <c r="S120" i="19"/>
  <c r="P9" i="19"/>
  <c r="U69" i="19"/>
  <c r="S9" i="19"/>
  <c r="T110" i="19"/>
  <c r="U95" i="19"/>
  <c r="U32" i="19"/>
  <c r="Q29" i="19"/>
  <c r="P34" i="19"/>
  <c r="Q14" i="19"/>
  <c r="P33" i="19"/>
  <c r="Q57" i="19"/>
  <c r="R78" i="19"/>
  <c r="T117" i="19"/>
  <c r="P88" i="19"/>
  <c r="R34" i="19"/>
  <c r="S70" i="19"/>
  <c r="T103" i="19"/>
  <c r="P47" i="19"/>
  <c r="Q40" i="19"/>
  <c r="Q6" i="19"/>
  <c r="R101" i="19"/>
  <c r="T28" i="19"/>
  <c r="R18" i="19"/>
  <c r="Q79" i="19"/>
  <c r="S52" i="19"/>
  <c r="T95" i="19"/>
  <c r="P67" i="19"/>
  <c r="S80" i="19"/>
  <c r="Q5" i="19"/>
  <c r="T39" i="19"/>
  <c r="S88" i="19"/>
  <c r="P110" i="19"/>
  <c r="S121" i="19"/>
  <c r="T17" i="19"/>
  <c r="P79" i="19"/>
  <c r="P40" i="19"/>
  <c r="Q7" i="19"/>
  <c r="U85" i="19"/>
  <c r="T104" i="19"/>
  <c r="Q37" i="19"/>
  <c r="U66" i="19"/>
  <c r="U44" i="19"/>
  <c r="U56" i="19"/>
  <c r="U120" i="19"/>
  <c r="P77" i="19"/>
  <c r="R45" i="19"/>
  <c r="S89" i="19"/>
  <c r="U81" i="19"/>
  <c r="U91" i="19"/>
  <c r="P109" i="19"/>
  <c r="R77" i="19"/>
  <c r="Q56" i="19"/>
  <c r="Q77" i="19"/>
  <c r="P29" i="19"/>
  <c r="U60" i="19"/>
  <c r="R104" i="19"/>
  <c r="U5" i="19"/>
  <c r="T113" i="19"/>
  <c r="P60" i="19"/>
  <c r="S115" i="19"/>
  <c r="R116" i="19"/>
  <c r="U105" i="19"/>
  <c r="S76" i="19"/>
  <c r="R42" i="19"/>
  <c r="T33" i="19"/>
  <c r="R62" i="19"/>
  <c r="Q17" i="19"/>
  <c r="P8" i="19"/>
  <c r="R15" i="19"/>
  <c r="T52" i="19"/>
  <c r="R37" i="19"/>
  <c r="U118" i="19"/>
  <c r="T92" i="19"/>
  <c r="Q34" i="19"/>
  <c r="P18" i="19"/>
  <c r="U72" i="19"/>
  <c r="S53" i="19"/>
  <c r="U115" i="19"/>
  <c r="P117" i="19"/>
  <c r="E12" i="20" l="1"/>
  <c r="E13" i="20" s="1"/>
  <c r="E14" i="20" s="1"/>
  <c r="E15" i="20" s="1"/>
</calcChain>
</file>

<file path=xl/sharedStrings.xml><?xml version="1.0" encoding="utf-8"?>
<sst xmlns="http://schemas.openxmlformats.org/spreadsheetml/2006/main" count="1991" uniqueCount="698">
  <si>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</si>
  <si>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</si>
  <si>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</si>
  <si>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</si>
  <si>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</si>
  <si>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</si>
  <si>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</si>
  <si>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</si>
  <si>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</si>
  <si>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</si>
  <si>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</si>
  <si>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Date Finished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</si>
  <si>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</si>
  <si>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</si>
  <si>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</si>
  <si>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</si>
  <si>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</si>
  <si>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</si>
  <si>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</si>
  <si>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</si>
  <si>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</si>
  <si>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</si>
  <si>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</si>
  <si>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</si>
  <si>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</si>
  <si>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</si>
  <si>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</si>
  <si>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</si>
  <si>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</si>
  <si>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</si>
  <si>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</si>
  <si>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</si>
  <si>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</si>
  <si>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</si>
  <si>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</si>
  <si>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</si>
  <si>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</si>
  <si>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</si>
  <si>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</si>
  <si>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</si>
  <si>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</si>
  <si>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</si>
  <si>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</si>
  <si>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</si>
  <si>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</si>
  <si>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N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</si>
  <si>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</si>
  <si>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</si>
  <si>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</si>
  <si>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</si>
  <si>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</si>
  <si>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</si>
  <si>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</si>
  <si>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</si>
  <si>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</si>
  <si>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</si>
  <si>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</si>
  <si>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</si>
  <si>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</si>
  <si>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</si>
  <si>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</si>
  <si>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</si>
  <si>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</si>
  <si>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</si>
  <si>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</si>
  <si>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</si>
  <si>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</si>
  <si>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</si>
  <si>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</si>
  <si>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</si>
  <si>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</si>
  <si>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</si>
  <si>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</si>
  <si>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</si>
  <si>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</si>
  <si>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</si>
  <si>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</si>
  <si>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</si>
  <si>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</si>
  <si>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</si>
  <si>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</si>
  <si>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</si>
  <si>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</si>
  <si>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</si>
  <si>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</si>
  <si>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</si>
  <si>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</si>
  <si>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</si>
  <si>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</si>
  <si>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</si>
  <si>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</si>
  <si>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</si>
  <si>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</si>
  <si>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</si>
  <si>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</si>
  <si>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</si>
  <si>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</si>
  <si>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</si>
  <si>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</si>
  <si>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</si>
  <si>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</si>
  <si>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</si>
  <si>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</si>
  <si>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</si>
  <si>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</si>
  <si>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</si>
  <si>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</si>
  <si>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</si>
  <si>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</si>
  <si>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Rating</t>
  </si>
  <si>
    <t>Clannad</t>
  </si>
  <si>
    <t>Steins;Gate</t>
  </si>
  <si>
    <t>Movies</t>
  </si>
  <si>
    <t>To Watch</t>
  </si>
  <si>
    <t>Movie Title</t>
  </si>
  <si>
    <t>Type</t>
  </si>
  <si>
    <t>AMV</t>
  </si>
  <si>
    <t>5cm per Second</t>
  </si>
  <si>
    <t>Steins;Gate Movie</t>
  </si>
  <si>
    <t>Eve no Jikan</t>
  </si>
  <si>
    <t>Nekomonogatari</t>
  </si>
  <si>
    <t>Shakugan no Shana Movie</t>
  </si>
  <si>
    <t>Chuunibyou Demo Goi ga Shitai OVA</t>
  </si>
  <si>
    <t>OVA</t>
  </si>
  <si>
    <t>One Piece Film Z</t>
  </si>
  <si>
    <t>Tsumiki no Ie</t>
  </si>
  <si>
    <t>Puella Magi Madoka Magica Movie</t>
  </si>
  <si>
    <t>TH</t>
  </si>
  <si>
    <t>Grave of the Fireflies</t>
  </si>
  <si>
    <t>Spirited Away</t>
  </si>
  <si>
    <t>MV</t>
  </si>
  <si>
    <t>Clannad OVA: Another World-Kyou Chapter</t>
  </si>
  <si>
    <t>Clannad OVA: Another World-Tomoyo Chapter</t>
  </si>
  <si>
    <t>Little Witch Academia</t>
  </si>
  <si>
    <t>Steins;Gate OVA</t>
  </si>
  <si>
    <t>Angel Beats! Stairway to Heaven</t>
  </si>
  <si>
    <t>Toradora! OVA</t>
  </si>
  <si>
    <t>Lucky Star OVA</t>
  </si>
  <si>
    <t>Baka to Test to Shoukanjuu Matsuri!</t>
  </si>
  <si>
    <t>Denpa Teki no Kanojo</t>
  </si>
  <si>
    <t>Haiyore! Nyaruko-san OVA</t>
  </si>
  <si>
    <t>Shakuga no Shana S</t>
  </si>
  <si>
    <t>Mulan</t>
  </si>
  <si>
    <t>Y</t>
  </si>
  <si>
    <t>Shakugan no Shana</t>
  </si>
  <si>
    <t>K-On!</t>
  </si>
  <si>
    <t>Whisper of the Heart</t>
  </si>
  <si>
    <t>Spirit: Stallion of the Cimarron</t>
  </si>
  <si>
    <t>Nicely written mysteries</t>
  </si>
  <si>
    <t>Kotoura-san</t>
  </si>
  <si>
    <t>So much wasted potential - started out great</t>
  </si>
  <si>
    <t>Oda Nobuna no Yabou</t>
  </si>
  <si>
    <t>Chihayafuru</t>
  </si>
  <si>
    <t>Haruhi Suzumiya no Shoushitsu</t>
  </si>
  <si>
    <t>Despicable Me</t>
  </si>
  <si>
    <t>Princess Mononoke</t>
  </si>
  <si>
    <t>Tonari Totoro</t>
  </si>
  <si>
    <t>To Aru Kagaku no Railgun OVA</t>
  </si>
  <si>
    <t>Raildex</t>
  </si>
  <si>
    <t>Dansai Bunri no Crime Edge</t>
  </si>
  <si>
    <t>Ookami Kodomo no Ame to Yuki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</si>
  <si>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</si>
  <si>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</si>
  <si>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</si>
  <si>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</si>
  <si>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</si>
  <si>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</si>
  <si>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</si>
  <si>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</si>
  <si>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</si>
  <si>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</si>
  <si>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</si>
  <si>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</si>
  <si>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Chuunibyou demo Koi ga Shita OVA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</si>
  <si>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</si>
  <si>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</si>
  <si>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</si>
  <si>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</si>
  <si>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</si>
  <si>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</si>
  <si>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</si>
  <si>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</si>
  <si>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</si>
  <si>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</si>
  <si>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</si>
  <si>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</si>
  <si>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</si>
  <si>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</si>
  <si>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</si>
  <si>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</si>
  <si>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</si>
  <si>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</si>
  <si>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</si>
  <si>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</si>
  <si>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</si>
  <si>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</si>
  <si>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</si>
  <si>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</si>
  <si>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</si>
  <si>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</si>
  <si>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</si>
  <si>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r>
      <t xml:space="preserve">9.00 </t>
    </r>
    <r>
      <rPr>
        <b/>
        <sz val="11"/>
        <color rgb="FF000000"/>
        <rFont val="Arial Unicode MS"/>
        <family val="2"/>
        <charset val="128"/>
      </rPr>
      <t xml:space="preserve">≥ </t>
    </r>
    <r>
      <rPr>
        <sz val="11"/>
        <color rgb="FF000000"/>
        <rFont val="Arial Unicode MS"/>
        <family val="2"/>
        <charset val="128"/>
      </rPr>
      <t>r &gt; 10.00</t>
    </r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</si>
  <si>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</si>
  <si>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</si>
  <si>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</si>
  <si>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</si>
  <si>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</si>
  <si>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</si>
  <si>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</si>
  <si>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</si>
  <si>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</si>
  <si>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Current Version: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</si>
  <si>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</si>
  <si>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</si>
  <si>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</si>
  <si>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</si>
  <si>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</si>
  <si>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</si>
  <si>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</si>
  <si>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</si>
  <si>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</si>
  <si>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Ro-Kyu-Bu! OVA</t>
  </si>
  <si>
    <t>Ika Musume! OVA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</si>
  <si>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</si>
  <si>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</si>
  <si>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</si>
  <si>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</si>
  <si>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</si>
  <si>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</si>
  <si>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</si>
  <si>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</si>
  <si>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</si>
  <si>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</si>
  <si>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</si>
  <si>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</si>
  <si>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</si>
  <si>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</si>
  <si>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</si>
  <si>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</si>
  <si>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</si>
  <si>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</si>
  <si>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</si>
  <si>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</si>
  <si>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</si>
  <si>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</si>
  <si>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</si>
  <si>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</si>
  <si>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</si>
  <si>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</si>
  <si>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</si>
  <si>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</si>
  <si>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</si>
  <si>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</si>
  <si>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</si>
  <si>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</si>
  <si>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</si>
  <si>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</si>
  <si>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</si>
  <si>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</si>
  <si>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</si>
  <si>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</si>
  <si>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</si>
  <si>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</si>
  <si>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</si>
  <si>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</si>
  <si>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</si>
  <si>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</si>
  <si>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</si>
  <si>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</si>
  <si>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</si>
  <si>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5"/>
  </si>
  <si>
    <t>Anime Name</t>
    <phoneticPr fontId="5"/>
  </si>
  <si>
    <t>Flat jokes, boring characters</t>
    <phoneticPr fontId="5"/>
  </si>
  <si>
    <t>Aragaki Ayase-tan</t>
    <phoneticPr fontId="5"/>
  </si>
  <si>
    <t>Boku wa Tomodachi ga Sukunai NEXT</t>
    <phoneticPr fontId="5"/>
  </si>
  <si>
    <t>Yuuki Asuna</t>
    <phoneticPr fontId="5"/>
  </si>
  <si>
    <t>Hasegawa Kobato</t>
    <phoneticPr fontId="5"/>
  </si>
  <si>
    <t>DL</t>
    <phoneticPr fontId="5"/>
  </si>
  <si>
    <t>Hetalia Axis Powers</t>
    <phoneticPr fontId="5"/>
  </si>
  <si>
    <t>Hidan no Aria</t>
    <phoneticPr fontId="5"/>
  </si>
  <si>
    <t>Serial Experiments Lain</t>
    <phoneticPr fontId="5"/>
  </si>
  <si>
    <t>NA</t>
    <phoneticPr fontId="5"/>
  </si>
  <si>
    <t>Mirai Nikki</t>
    <phoneticPr fontId="5"/>
  </si>
  <si>
    <t>Uryuu Minene v2</t>
    <phoneticPr fontId="5"/>
  </si>
  <si>
    <t>Code Geass: Lelouch of the Rebellion</t>
    <phoneticPr fontId="5"/>
  </si>
  <si>
    <t>Code Geass: Lelouch of the Rebellion R2</t>
    <phoneticPr fontId="5"/>
  </si>
  <si>
    <t>Darker than Black</t>
    <phoneticPr fontId="5"/>
  </si>
  <si>
    <t>Honey and Clover II</t>
    <phoneticPr fontId="5"/>
  </si>
  <si>
    <t>Nodame Cantabile - Paris Hen</t>
    <phoneticPr fontId="5"/>
  </si>
  <si>
    <t>Nodame Cantabile Finale</t>
    <phoneticPr fontId="5"/>
  </si>
  <si>
    <t>Sora no Otoshimono Forte</t>
    <phoneticPr fontId="5"/>
  </si>
  <si>
    <t>The World God Only Knows II</t>
    <phoneticPr fontId="5"/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</si>
  <si>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  <phoneticPr fontId="5"/>
  </si>
  <si>
    <t>Seikon no Qwaser II</t>
    <phoneticPr fontId="5"/>
  </si>
  <si>
    <t>Miyakawa Hikage</t>
    <phoneticPr fontId="5"/>
  </si>
  <si>
    <t>MV</t>
    <phoneticPr fontId="5"/>
  </si>
  <si>
    <t>2012</t>
    <phoneticPr fontId="5"/>
  </si>
  <si>
    <t>Princess Mononoke</t>
    <phoneticPr fontId="5"/>
  </si>
  <si>
    <t>AMV</t>
    <phoneticPr fontId="5"/>
  </si>
  <si>
    <t>DL</t>
    <phoneticPr fontId="5"/>
  </si>
  <si>
    <t>DL</t>
    <phoneticPr fontId="5"/>
  </si>
  <si>
    <t>Sora no Otoshimono</t>
    <phoneticPr fontId="5"/>
  </si>
  <si>
    <t>Nymph</t>
    <phoneticPr fontId="5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</si>
  <si>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</si>
  <si>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</si>
  <si>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</si>
  <si>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</si>
  <si>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</si>
  <si>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</si>
  <si>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</si>
  <si>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</si>
  <si>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</si>
  <si>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</si>
  <si>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</si>
  <si>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</si>
  <si>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</si>
  <si>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</si>
  <si>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</si>
  <si>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</si>
  <si>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</si>
  <si>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</si>
  <si>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</si>
  <si>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Summer Wars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</si>
  <si>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</si>
  <si>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</si>
  <si>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</si>
  <si>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</si>
  <si>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</si>
  <si>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</si>
  <si>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</si>
  <si>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</si>
  <si>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</si>
  <si>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</si>
  <si>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</si>
  <si>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</si>
  <si>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</si>
  <si>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</si>
  <si>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</si>
  <si>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</si>
  <si>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</si>
  <si>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</si>
  <si>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</si>
  <si>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</si>
  <si>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</si>
  <si>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</si>
  <si>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</si>
  <si>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</si>
  <si>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</si>
  <si>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</si>
  <si>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Yahari OVA</t>
  </si>
  <si>
    <t>2013.10.16</t>
  </si>
  <si>
    <t>Muromi OVA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</si>
  <si>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</si>
  <si>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</si>
  <si>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</si>
  <si>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</si>
  <si>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</si>
  <si>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</si>
  <si>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</si>
  <si>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</si>
  <si>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</si>
  <si>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</si>
  <si>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</si>
  <si>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</si>
  <si>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</si>
  <si>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</si>
  <si>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</si>
  <si>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</si>
  <si>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</si>
  <si>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</si>
  <si>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</si>
  <si>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</si>
  <si>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</si>
  <si>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</si>
  <si>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</si>
  <si>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</si>
  <si>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</si>
  <si>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</si>
  <si>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</si>
  <si>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</si>
  <si>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</si>
  <si>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</si>
  <si>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</si>
  <si>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</si>
  <si>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</si>
  <si>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</si>
  <si>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</si>
  <si>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</si>
  <si>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</si>
  <si>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</si>
  <si>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</si>
  <si>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</si>
  <si>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</si>
  <si>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</si>
  <si>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</si>
  <si>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</si>
  <si>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</si>
  <si>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</si>
  <si>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</si>
  <si>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</si>
  <si>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</si>
  <si>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</si>
  <si>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</si>
  <si>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</si>
  <si>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</si>
  <si>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</si>
  <si>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</si>
  <si>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</si>
  <si>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</si>
  <si>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</si>
  <si>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</si>
  <si>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</si>
  <si>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</si>
  <si>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</si>
  <si>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</si>
  <si>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</si>
  <si>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</si>
  <si>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</si>
  <si>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</si>
  <si>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</si>
  <si>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</si>
  <si>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</si>
  <si>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</si>
  <si>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</si>
  <si>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</si>
  <si>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</si>
  <si>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</si>
  <si>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</si>
  <si>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</si>
  <si>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</si>
  <si>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</si>
  <si>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</si>
  <si>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</si>
  <si>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</si>
  <si>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</si>
  <si>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</si>
  <si>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</si>
  <si>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Mon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</si>
  <si>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</si>
  <si>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</si>
  <si>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</si>
  <si>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</si>
  <si>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</si>
  <si>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</si>
  <si>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</si>
  <si>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</si>
  <si>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Popular Subbers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</si>
  <si>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</si>
  <si>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</si>
  <si>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</si>
  <si>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</si>
  <si>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</si>
  <si>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</si>
  <si>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</si>
  <si>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</si>
  <si>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</si>
  <si>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</si>
  <si>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</si>
  <si>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</si>
  <si>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</si>
  <si>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</si>
  <si>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</si>
  <si>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</si>
  <si>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</si>
  <si>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</si>
  <si>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</si>
  <si>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</si>
  <si>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</si>
  <si>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</si>
  <si>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</si>
  <si>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</si>
  <si>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</si>
  <si>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</si>
  <si>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</si>
  <si>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</si>
  <si>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</si>
  <si>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</si>
  <si>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</si>
  <si>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</si>
  <si>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</si>
  <si>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</si>
  <si>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</si>
  <si>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</si>
  <si>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</si>
  <si>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</si>
  <si>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</si>
  <si>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</si>
  <si>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</si>
  <si>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</si>
  <si>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</si>
  <si>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</si>
  <si>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Wed</t>
  </si>
  <si>
    <t>Ryuugajou Nanana no Maizoukin</t>
  </si>
  <si>
    <t>Mikakunin no Shinkoukei</t>
  </si>
  <si>
    <t>Celty Sturluson</t>
  </si>
  <si>
    <t>Pretty relaxing to watch, got better near the end</t>
  </si>
  <si>
    <t>NEEDS TO BE UPDATED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</si>
  <si>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</si>
  <si>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</si>
  <si>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</si>
  <si>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</si>
  <si>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</si>
  <si>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</si>
  <si>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</si>
  <si>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</si>
  <si>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</si>
  <si>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</si>
  <si>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</si>
  <si>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</si>
  <si>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</si>
  <si>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</si>
  <si>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</si>
  <si>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</si>
  <si>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</si>
  <si>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</si>
  <si>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</si>
  <si>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</si>
  <si>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</si>
  <si>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</si>
  <si>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</si>
  <si>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</si>
  <si>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</si>
  <si>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</si>
  <si>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</si>
  <si>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</si>
  <si>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</si>
  <si>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</si>
  <si>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</si>
  <si>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</si>
  <si>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</si>
  <si>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</si>
  <si>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Final?</t>
  </si>
  <si>
    <t>TV is better than BDs</t>
  </si>
  <si>
    <t>Backlog</t>
  </si>
  <si>
    <t>Finished Anime</t>
  </si>
  <si>
    <t>Main Anime Tracker</t>
  </si>
  <si>
    <t>Miscellaneous Tools</t>
  </si>
  <si>
    <t xml:space="preserve">Started show from backlog: </t>
  </si>
  <si>
    <t xml:space="preserve">Started watching new show: </t>
  </si>
  <si>
    <t xml:space="preserve">Completed show: </t>
  </si>
  <si>
    <t xml:space="preserve">Downloaded new show: </t>
  </si>
  <si>
    <t>Macro button goes here</t>
  </si>
  <si>
    <t>Description</t>
  </si>
  <si>
    <t>Macro button</t>
  </si>
  <si>
    <t>Suggestion</t>
  </si>
  <si>
    <t>Not suggested</t>
  </si>
  <si>
    <t>Rejected</t>
  </si>
  <si>
    <t>Sort by ratio</t>
  </si>
  <si>
    <t>Yen til freeleech meter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</si>
  <si>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</si>
  <si>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</si>
  <si>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</si>
  <si>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</si>
  <si>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Macro 1:</t>
  </si>
  <si>
    <t>Removes show from current list</t>
  </si>
  <si>
    <t>Opens up rating menu</t>
  </si>
  <si>
    <t>Copies info to completed</t>
  </si>
  <si>
    <t>Macro 2:</t>
  </si>
  <si>
    <t>Updates sheets</t>
  </si>
  <si>
    <t>Resorts list</t>
  </si>
  <si>
    <t>Opens up entry menu</t>
  </si>
  <si>
    <t>Copies info to tracker</t>
  </si>
  <si>
    <t>Puts show into current list</t>
  </si>
  <si>
    <t>Macro 3:</t>
  </si>
  <si>
    <t>Removes show from backlog</t>
  </si>
  <si>
    <t>Adds show to current list</t>
  </si>
  <si>
    <t>Macro 4:</t>
  </si>
  <si>
    <t>Adds show to backlog</t>
  </si>
  <si>
    <t>New Complete</t>
  </si>
  <si>
    <t>Start New</t>
  </si>
  <si>
    <t>Start from Backlog</t>
  </si>
  <si>
    <t>New Download</t>
  </si>
  <si>
    <t>Macro 5:</t>
  </si>
  <si>
    <t>Start Rewatch</t>
  </si>
  <si>
    <t>Prompts for show name</t>
  </si>
  <si>
    <t>Adds to rewatch sheet</t>
  </si>
  <si>
    <t>Adds in date</t>
  </si>
  <si>
    <t>Macro 6:</t>
  </si>
  <si>
    <t>End Rewatch</t>
  </si>
  <si>
    <t>Select show</t>
  </si>
  <si>
    <t>Macro 0:</t>
  </si>
  <si>
    <t>Sort and Update</t>
  </si>
  <si>
    <t>Shingeki no Kyojin</t>
  </si>
  <si>
    <t>Copy episode number to tracker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</si>
  <si>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</si>
  <si>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</si>
  <si>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</si>
  <si>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</si>
  <si>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</si>
  <si>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</si>
  <si>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</si>
  <si>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</si>
  <si>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</si>
  <si>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</si>
  <si>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</si>
  <si>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</si>
  <si>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</si>
  <si>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</si>
  <si>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</si>
  <si>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</si>
  <si>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</si>
  <si>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</si>
  <si>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</si>
  <si>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</si>
  <si>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</si>
  <si>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</si>
  <si>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</si>
  <si>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</si>
  <si>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</si>
  <si>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</si>
  <si>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</si>
  <si>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</si>
  <si>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</si>
  <si>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</si>
  <si>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</si>
  <si>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</si>
  <si>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</si>
  <si>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</si>
  <si>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</si>
  <si>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</si>
  <si>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</si>
  <si>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</si>
  <si>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</si>
  <si>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</si>
  <si>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</si>
  <si>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</si>
  <si>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</si>
  <si>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</si>
  <si>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</si>
  <si>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</si>
  <si>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</si>
  <si>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</si>
  <si>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</si>
  <si>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</si>
  <si>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</si>
  <si>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</si>
  <si>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</si>
  <si>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</si>
  <si>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</si>
  <si>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</si>
  <si>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</si>
  <si>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</si>
  <si>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</si>
  <si>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</si>
  <si>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</si>
  <si>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</si>
  <si>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</si>
  <si>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</si>
  <si>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</si>
  <si>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</si>
  <si>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</si>
  <si>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</si>
  <si>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</si>
  <si>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</si>
  <si>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</si>
  <si>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</si>
  <si>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</si>
  <si>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</si>
  <si>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</si>
  <si>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</si>
  <si>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</si>
  <si>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</si>
  <si>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</si>
  <si>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</si>
  <si>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</si>
  <si>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</si>
  <si>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</si>
  <si>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</si>
  <si>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</si>
  <si>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TODO</t>
  </si>
  <si>
    <t>Number of Collabs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</si>
  <si>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</si>
  <si>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</si>
  <si>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</si>
  <si>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</si>
  <si>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</si>
  <si>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</si>
  <si>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</si>
  <si>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</si>
  <si>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</si>
  <si>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</si>
  <si>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</si>
  <si>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</si>
  <si>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</si>
  <si>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Resorts lists</t>
  </si>
  <si>
    <t>Already reading the manga</t>
  </si>
  <si>
    <t>Stopped for hiatus, already reading the manga</t>
  </si>
  <si>
    <t>Shiro</t>
  </si>
  <si>
    <t xml:space="preserve">Sort all lists: 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</si>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</sst>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mm\-dd\-yyyy;@"/>
    <numFmt numFmtId="166" formatCode="0.000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b/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/>
      <top/>
      <bottom style="medium">
        <color rgb="FFD9D9D9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</borders>
  <cellStyleXfs count="1">
    <xf numFmtId="0" fontId="0" fillId="0" borderId="0"/>
  </cellStyleXfs>
  <cellXfs count="224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2" fontId="0" fillId="0" borderId="0" xfId="0" applyNumberFormat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0" xfId="0" applyFont="1"/>
    <xf numFmtId="0" fontId="3" fillId="0" borderId="13" xfId="0" applyFont="1" applyBorder="1"/>
    <xf numFmtId="0" fontId="3" fillId="0" borderId="15" xfId="0" applyFont="1" applyBorder="1"/>
    <xf numFmtId="0" fontId="3" fillId="0" borderId="14" xfId="0" applyFont="1" applyBorder="1"/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1" fontId="3" fillId="0" borderId="6" xfId="0" applyNumberFormat="1" applyFont="1" applyBorder="1"/>
    <xf numFmtId="1" fontId="3" fillId="0" borderId="7" xfId="0" applyNumberFormat="1" applyFont="1" applyBorder="1"/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0" fontId="3" fillId="0" borderId="4" xfId="0" applyFont="1" applyBorder="1" applyAlignment="1">
      <alignment horizontal="center"/>
    </xf>
    <xf numFmtId="0" fontId="3" fillId="4" borderId="6" xfId="0" applyFont="1" applyFill="1" applyBorder="1" applyAlignment="1"/>
    <xf numFmtId="2" fontId="3" fillId="4" borderId="6" xfId="0" applyNumberFormat="1" applyFont="1" applyFill="1" applyBorder="1"/>
    <xf numFmtId="2" fontId="3" fillId="0" borderId="15" xfId="0" applyNumberFormat="1" applyFont="1" applyBorder="1" applyAlignment="1"/>
    <xf numFmtId="165" fontId="3" fillId="0" borderId="14" xfId="0" applyNumberFormat="1" applyFont="1" applyBorder="1"/>
    <xf numFmtId="0" fontId="3" fillId="0" borderId="13" xfId="0" quotePrefix="1" applyFont="1" applyBorder="1"/>
    <xf numFmtId="0" fontId="0" fillId="0" borderId="0" xfId="0" applyBorder="1" applyAlignment="1">
      <alignment horizontal="center"/>
    </xf>
    <xf numFmtId="0" fontId="3" fillId="0" borderId="25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3" fillId="0" borderId="6" xfId="0" applyFont="1" applyBorder="1"/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6" xfId="0" applyNumberFormat="1" applyFont="1" applyBorder="1" applyAlignment="1">
      <alignment horizontal="left"/>
    </xf>
    <xf numFmtId="0" fontId="7" fillId="0" borderId="26" xfId="0" applyFont="1" applyBorder="1" applyAlignment="1">
      <alignment horizontal="center"/>
    </xf>
    <xf numFmtId="14" fontId="7" fillId="0" borderId="26" xfId="0" applyNumberFormat="1" applyFont="1" applyBorder="1" applyAlignment="1">
      <alignment horizontal="left"/>
    </xf>
    <xf numFmtId="0" fontId="7" fillId="0" borderId="27" xfId="0" applyFont="1" applyBorder="1"/>
    <xf numFmtId="14" fontId="7" fillId="0" borderId="26" xfId="0" applyNumberFormat="1" applyFont="1" applyBorder="1" applyAlignment="1">
      <alignment horizontal="center"/>
    </xf>
    <xf numFmtId="0" fontId="3" fillId="0" borderId="7" xfId="0" applyFont="1" applyBorder="1"/>
    <xf numFmtId="0" fontId="0" fillId="0" borderId="0" xfId="0" applyBorder="1"/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0" borderId="15" xfId="0" quotePrefix="1" applyFont="1" applyBorder="1" applyAlignment="1">
      <alignment horizontal="left"/>
    </xf>
    <xf numFmtId="0" fontId="3" fillId="0" borderId="13" xfId="0" applyFont="1" applyBorder="1" applyAlignment="1"/>
    <xf numFmtId="0" fontId="3" fillId="4" borderId="28" xfId="0" applyFont="1" applyFill="1" applyBorder="1"/>
    <xf numFmtId="0" fontId="3" fillId="4" borderId="6" xfId="0" applyFont="1" applyFill="1" applyBorder="1" applyAlignment="1">
      <alignment horizontal="left"/>
    </xf>
    <xf numFmtId="0" fontId="7" fillId="0" borderId="13" xfId="0" applyFont="1" applyBorder="1"/>
    <xf numFmtId="0" fontId="7" fillId="0" borderId="15" xfId="0" applyFont="1" applyBorder="1" applyAlignment="1">
      <alignment horizontal="center"/>
    </xf>
    <xf numFmtId="0" fontId="7" fillId="0" borderId="0" xfId="0" applyFont="1"/>
    <xf numFmtId="0" fontId="7" fillId="0" borderId="6" xfId="0" applyFont="1" applyBorder="1"/>
    <xf numFmtId="0" fontId="7" fillId="4" borderId="3" xfId="0" applyFont="1" applyFill="1" applyBorder="1"/>
    <xf numFmtId="0" fontId="7" fillId="4" borderId="22" xfId="0" applyFont="1" applyFill="1" applyBorder="1"/>
    <xf numFmtId="0" fontId="7" fillId="4" borderId="3" xfId="0" applyFont="1" applyFill="1" applyBorder="1" applyAlignment="1">
      <alignment horizontal="left"/>
    </xf>
    <xf numFmtId="0" fontId="7" fillId="0" borderId="15" xfId="0" applyFont="1" applyBorder="1"/>
    <xf numFmtId="0" fontId="7" fillId="0" borderId="14" xfId="0" applyFont="1" applyBorder="1"/>
    <xf numFmtId="0" fontId="7" fillId="0" borderId="2" xfId="0" applyFont="1" applyBorder="1"/>
    <xf numFmtId="0" fontId="7" fillId="0" borderId="1" xfId="0" applyFont="1" applyBorder="1"/>
    <xf numFmtId="0" fontId="3" fillId="0" borderId="15" xfId="0" applyFont="1" applyBorder="1" applyAlignment="1">
      <alignment horizontal="left"/>
    </xf>
    <xf numFmtId="0" fontId="7" fillId="0" borderId="15" xfId="0" quotePrefix="1" applyFont="1" applyBorder="1" applyAlignment="1">
      <alignment horizontal="center"/>
    </xf>
    <xf numFmtId="0" fontId="7" fillId="0" borderId="15" xfId="0" applyFont="1" applyBorder="1" applyAlignment="1">
      <alignment horizontal="left"/>
    </xf>
    <xf numFmtId="0" fontId="7" fillId="0" borderId="26" xfId="0" applyFont="1" applyBorder="1"/>
    <xf numFmtId="0" fontId="7" fillId="0" borderId="15" xfId="0" quotePrefix="1" applyFont="1" applyBorder="1" applyAlignment="1">
      <alignment horizontal="left"/>
    </xf>
    <xf numFmtId="0" fontId="7" fillId="0" borderId="15" xfId="0" quotePrefix="1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3" fillId="0" borderId="27" xfId="0" applyFont="1" applyBorder="1"/>
    <xf numFmtId="0" fontId="3" fillId="0" borderId="26" xfId="0" applyFont="1" applyBorder="1"/>
    <xf numFmtId="0" fontId="3" fillId="0" borderId="26" xfId="0" applyFont="1" applyBorder="1" applyAlignment="1">
      <alignment horizontal="center"/>
    </xf>
    <xf numFmtId="0" fontId="3" fillId="0" borderId="26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7" fillId="0" borderId="0" xfId="0" applyFont="1" applyBorder="1"/>
    <xf numFmtId="0" fontId="8" fillId="0" borderId="22" xfId="0" applyFont="1" applyFill="1" applyBorder="1" applyAlignment="1"/>
    <xf numFmtId="0" fontId="7" fillId="4" borderId="20" xfId="0" applyFont="1" applyFill="1" applyBorder="1"/>
    <xf numFmtId="0" fontId="7" fillId="4" borderId="23" xfId="0" applyFont="1" applyFill="1" applyBorder="1"/>
    <xf numFmtId="0" fontId="7" fillId="4" borderId="4" xfId="0" applyFont="1" applyFill="1" applyBorder="1" applyAlignment="1">
      <alignment horizontal="right"/>
    </xf>
    <xf numFmtId="164" fontId="7" fillId="0" borderId="4" xfId="0" applyNumberFormat="1" applyFont="1" applyBorder="1" applyAlignment="1">
      <alignment horizontal="center"/>
    </xf>
    <xf numFmtId="0" fontId="7" fillId="0" borderId="18" xfId="0" applyFont="1" applyBorder="1"/>
    <xf numFmtId="0" fontId="7" fillId="0" borderId="24" xfId="0" applyFont="1" applyBorder="1"/>
    <xf numFmtId="0" fontId="7" fillId="0" borderId="19" xfId="0" applyFont="1" applyBorder="1"/>
    <xf numFmtId="0" fontId="7" fillId="0" borderId="0" xfId="0" applyFont="1" applyFill="1" applyBorder="1"/>
    <xf numFmtId="14" fontId="3" fillId="0" borderId="15" xfId="0" applyNumberFormat="1" applyFont="1" applyBorder="1" applyAlignment="1">
      <alignment horizontal="center"/>
    </xf>
    <xf numFmtId="0" fontId="7" fillId="0" borderId="14" xfId="0" applyFont="1" applyBorder="1" applyAlignment="1">
      <alignment horizontal="left"/>
    </xf>
    <xf numFmtId="0" fontId="0" fillId="0" borderId="15" xfId="0" applyBorder="1"/>
    <xf numFmtId="14" fontId="3" fillId="0" borderId="15" xfId="0" quotePrefix="1" applyNumberFormat="1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7" fillId="0" borderId="26" xfId="0" applyFont="1" applyBorder="1" applyAlignment="1">
      <alignment horizontal="left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7" fillId="0" borderId="15" xfId="0" applyNumberFormat="1" applyFont="1" applyBorder="1"/>
    <xf numFmtId="14" fontId="7" fillId="0" borderId="15" xfId="0" applyNumberFormat="1" applyFont="1" applyBorder="1" applyAlignment="1">
      <alignment horizontal="center"/>
    </xf>
    <xf numFmtId="0" fontId="7" fillId="0" borderId="15" xfId="0" quotePrefix="1" applyNumberFormat="1" applyFont="1" applyBorder="1" applyAlignment="1">
      <alignment horizontal="left"/>
    </xf>
    <xf numFmtId="0" fontId="7" fillId="0" borderId="15" xfId="0" applyNumberFormat="1" applyFont="1" applyBorder="1" applyAlignment="1">
      <alignment horizontal="left"/>
    </xf>
    <xf numFmtId="14" fontId="7" fillId="0" borderId="15" xfId="0" quotePrefix="1" applyNumberFormat="1" applyFont="1" applyBorder="1" applyAlignment="1">
      <alignment horizontal="center"/>
    </xf>
    <xf numFmtId="0" fontId="7" fillId="0" borderId="13" xfId="0" applyFont="1" applyBorder="1" applyAlignment="1"/>
    <xf numFmtId="2" fontId="10" fillId="0" borderId="0" xfId="0" applyNumberFormat="1" applyFont="1"/>
    <xf numFmtId="2" fontId="9" fillId="0" borderId="0" xfId="0" applyNumberFormat="1" applyFont="1"/>
    <xf numFmtId="3" fontId="3" fillId="0" borderId="6" xfId="0" applyNumberFormat="1" applyFont="1" applyBorder="1"/>
    <xf numFmtId="4" fontId="3" fillId="0" borderId="6" xfId="0" applyNumberFormat="1" applyFont="1" applyBorder="1"/>
    <xf numFmtId="0" fontId="3" fillId="0" borderId="15" xfId="0" applyFont="1" applyBorder="1" applyAlignment="1">
      <alignment horizontal="left"/>
    </xf>
    <xf numFmtId="0" fontId="7" fillId="4" borderId="20" xfId="0" applyFont="1" applyFill="1" applyBorder="1" applyAlignment="1">
      <alignment horizontal="left"/>
    </xf>
    <xf numFmtId="0" fontId="7" fillId="0" borderId="1" xfId="0" applyFont="1" applyFill="1" applyBorder="1" applyAlignment="1">
      <alignment horizontal="left"/>
    </xf>
    <xf numFmtId="0" fontId="7" fillId="4" borderId="23" xfId="0" applyFont="1" applyFill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2" fontId="10" fillId="0" borderId="15" xfId="0" applyNumberFormat="1" applyFont="1" applyBorder="1"/>
    <xf numFmtId="14" fontId="7" fillId="0" borderId="15" xfId="0" applyNumberFormat="1" applyFont="1" applyBorder="1"/>
    <xf numFmtId="14" fontId="7" fillId="0" borderId="14" xfId="0" applyNumberFormat="1" applyFont="1" applyBorder="1"/>
    <xf numFmtId="0" fontId="7" fillId="4" borderId="3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0" borderId="26" xfId="0" applyNumberFormat="1" applyFont="1" applyBorder="1"/>
    <xf numFmtId="2" fontId="10" fillId="0" borderId="0" xfId="0" applyNumberFormat="1" applyFont="1" applyBorder="1"/>
    <xf numFmtId="2" fontId="9" fillId="0" borderId="0" xfId="0" applyNumberFormat="1" applyFont="1" applyBorder="1"/>
    <xf numFmtId="0" fontId="7" fillId="0" borderId="26" xfId="0" applyNumberFormat="1" applyFont="1" applyBorder="1" applyAlignment="1">
      <alignment horizontal="left"/>
    </xf>
    <xf numFmtId="0" fontId="7" fillId="0" borderId="30" xfId="0" applyFont="1" applyBorder="1"/>
    <xf numFmtId="0" fontId="7" fillId="0" borderId="29" xfId="0" applyFont="1" applyBorder="1" applyAlignment="1">
      <alignment horizontal="center"/>
    </xf>
    <xf numFmtId="2" fontId="9" fillId="0" borderId="15" xfId="0" applyNumberFormat="1" applyFont="1" applyBorder="1" applyAlignment="1">
      <alignment horizontal="center"/>
    </xf>
    <xf numFmtId="0" fontId="7" fillId="0" borderId="15" xfId="0" applyNumberFormat="1" applyFont="1" applyFill="1" applyBorder="1" applyAlignment="1">
      <alignment horizontal="left"/>
    </xf>
    <xf numFmtId="0" fontId="7" fillId="0" borderId="0" xfId="0" applyNumberFormat="1" applyFont="1" applyBorder="1" applyAlignment="1">
      <alignment horizontal="left"/>
    </xf>
    <xf numFmtId="0" fontId="7" fillId="0" borderId="26" xfId="0" quotePrefix="1" applyNumberFormat="1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3" fillId="4" borderId="31" xfId="0" applyFont="1" applyFill="1" applyBorder="1" applyAlignment="1"/>
    <xf numFmtId="0" fontId="3" fillId="0" borderId="26" xfId="0" applyFont="1" applyBorder="1" applyAlignment="1"/>
    <xf numFmtId="0" fontId="11" fillId="0" borderId="13" xfId="0" applyFont="1" applyBorder="1"/>
    <xf numFmtId="0" fontId="11" fillId="0" borderId="15" xfId="0" applyFont="1" applyBorder="1"/>
    <xf numFmtId="164" fontId="11" fillId="0" borderId="15" xfId="0" applyNumberFormat="1" applyFont="1" applyBorder="1"/>
    <xf numFmtId="14" fontId="11" fillId="0" borderId="15" xfId="0" applyNumberFormat="1" applyFont="1" applyBorder="1" applyAlignment="1">
      <alignment horizontal="center"/>
    </xf>
    <xf numFmtId="0" fontId="11" fillId="0" borderId="15" xfId="0" applyNumberFormat="1" applyFont="1" applyBorder="1" applyAlignment="1">
      <alignment horizontal="left"/>
    </xf>
    <xf numFmtId="0" fontId="11" fillId="0" borderId="14" xfId="0" applyFont="1" applyBorder="1"/>
    <xf numFmtId="2" fontId="12" fillId="0" borderId="0" xfId="0" applyNumberFormat="1" applyFont="1" applyBorder="1"/>
    <xf numFmtId="2" fontId="13" fillId="0" borderId="0" xfId="0" applyNumberFormat="1" applyFont="1" applyBorder="1"/>
    <xf numFmtId="14" fontId="7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7" fillId="0" borderId="15" xfId="0" quotePrefix="1" applyFont="1" applyBorder="1" applyAlignment="1" applyProtection="1">
      <protection locked="0"/>
    </xf>
    <xf numFmtId="0" fontId="7" fillId="0" borderId="15" xfId="0" applyFont="1" applyBorder="1" applyProtection="1">
      <protection locked="0"/>
    </xf>
    <xf numFmtId="0" fontId="7" fillId="0" borderId="15" xfId="0" applyFont="1" applyBorder="1" applyAlignment="1" applyProtection="1">
      <protection locked="0"/>
    </xf>
    <xf numFmtId="0" fontId="7" fillId="4" borderId="3" xfId="0" applyFont="1" applyFill="1" applyBorder="1" applyAlignment="1" applyProtection="1">
      <protection locked="0"/>
    </xf>
    <xf numFmtId="0" fontId="7" fillId="4" borderId="3" xfId="0" applyFont="1" applyFill="1" applyBorder="1" applyProtection="1">
      <protection locked="0"/>
    </xf>
    <xf numFmtId="0" fontId="7" fillId="4" borderId="20" xfId="0" applyFont="1" applyFill="1" applyBorder="1" applyAlignment="1" applyProtection="1">
      <protection locked="0"/>
    </xf>
    <xf numFmtId="0" fontId="7" fillId="0" borderId="2" xfId="0" applyFont="1" applyBorder="1" applyProtection="1">
      <protection locked="0"/>
    </xf>
    <xf numFmtId="0" fontId="7" fillId="0" borderId="0" xfId="0" applyFont="1" applyProtection="1">
      <protection locked="0"/>
    </xf>
    <xf numFmtId="0" fontId="7" fillId="4" borderId="20" xfId="0" applyFont="1" applyFill="1" applyBorder="1" applyAlignment="1" applyProtection="1"/>
    <xf numFmtId="0" fontId="7" fillId="4" borderId="16" xfId="0" applyFont="1" applyFill="1" applyBorder="1" applyAlignment="1" applyProtection="1"/>
    <xf numFmtId="0" fontId="3" fillId="0" borderId="14" xfId="0" applyFont="1" applyBorder="1" applyProtection="1"/>
    <xf numFmtId="0" fontId="7" fillId="5" borderId="3" xfId="0" applyFont="1" applyFill="1" applyBorder="1" applyAlignment="1" applyProtection="1">
      <alignment horizontal="right"/>
    </xf>
    <xf numFmtId="0" fontId="7" fillId="0" borderId="3" xfId="0" applyFont="1" applyBorder="1" applyAlignment="1" applyProtection="1">
      <alignment horizontal="center" vertical="center"/>
    </xf>
    <xf numFmtId="164" fontId="7" fillId="0" borderId="3" xfId="0" applyNumberFormat="1" applyFont="1" applyBorder="1" applyAlignment="1" applyProtection="1">
      <alignment horizontal="center" vertical="center"/>
    </xf>
    <xf numFmtId="0" fontId="7" fillId="5" borderId="7" xfId="0" applyFont="1" applyFill="1" applyBorder="1" applyAlignment="1" applyProtection="1">
      <alignment horizontal="right"/>
    </xf>
    <xf numFmtId="0" fontId="7" fillId="0" borderId="7" xfId="0" applyFont="1" applyBorder="1" applyAlignment="1" applyProtection="1">
      <alignment horizontal="center" vertical="center"/>
    </xf>
    <xf numFmtId="164" fontId="7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7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quotePrefix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7" fillId="0" borderId="14" xfId="0" applyNumberFormat="1" applyFont="1" applyBorder="1" applyAlignment="1" applyProtection="1">
      <alignment horizontal="center"/>
      <protection locked="0"/>
    </xf>
    <xf numFmtId="14" fontId="7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4" xfId="0" quotePrefix="1" applyFont="1" applyBorder="1"/>
    <xf numFmtId="0" fontId="3" fillId="0" borderId="1" xfId="0" applyFont="1" applyBorder="1"/>
    <xf numFmtId="0" fontId="7" fillId="0" borderId="21" xfId="0" applyFont="1" applyBorder="1" applyAlignment="1" applyProtection="1">
      <alignment horizontal="center" vertical="center"/>
      <protection locked="0"/>
    </xf>
    <xf numFmtId="0" fontId="7" fillId="0" borderId="22" xfId="0" applyFont="1" applyBorder="1" applyAlignment="1" applyProtection="1">
      <alignment horizontal="center" vertical="center"/>
      <protection locked="0"/>
    </xf>
    <xf numFmtId="0" fontId="7" fillId="0" borderId="11" xfId="0" applyFont="1" applyBorder="1" applyAlignment="1" applyProtection="1">
      <alignment horizontal="center" vertical="center"/>
      <protection locked="0"/>
    </xf>
    <xf numFmtId="0" fontId="7" fillId="0" borderId="12" xfId="0" applyFont="1" applyBorder="1" applyAlignment="1" applyProtection="1">
      <alignment horizontal="center" vertical="center"/>
      <protection locked="0"/>
    </xf>
    <xf numFmtId="0" fontId="7" fillId="5" borderId="20" xfId="0" applyFont="1" applyFill="1" applyBorder="1" applyAlignment="1" applyProtection="1">
      <alignment horizontal="right" vertical="center"/>
      <protection locked="0"/>
    </xf>
    <xf numFmtId="0" fontId="7" fillId="5" borderId="10" xfId="0" applyFont="1" applyFill="1" applyBorder="1" applyAlignment="1" applyProtection="1">
      <alignment horizontal="right" vertic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8" fillId="3" borderId="8" xfId="0" applyFont="1" applyFill="1" applyBorder="1" applyAlignment="1" applyProtection="1">
      <alignment horizontal="center"/>
      <protection locked="0"/>
    </xf>
    <xf numFmtId="0" fontId="8" fillId="3" borderId="9" xfId="0" applyFont="1" applyFill="1" applyBorder="1" applyAlignment="1" applyProtection="1">
      <alignment horizontal="center"/>
      <protection locked="0"/>
    </xf>
    <xf numFmtId="0" fontId="7" fillId="4" borderId="20" xfId="0" applyFont="1" applyFill="1" applyBorder="1" applyAlignment="1" applyProtection="1">
      <alignment horizontal="left"/>
      <protection locked="0"/>
    </xf>
    <xf numFmtId="0" fontId="7" fillId="4" borderId="21" xfId="0" applyFont="1" applyFill="1" applyBorder="1" applyAlignment="1" applyProtection="1">
      <alignment horizontal="left"/>
      <protection locked="0"/>
    </xf>
    <xf numFmtId="0" fontId="7" fillId="4" borderId="22" xfId="0" applyFont="1" applyFill="1" applyBorder="1" applyAlignment="1" applyProtection="1">
      <alignment horizontal="left"/>
      <protection locked="0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7" fillId="5" borderId="20" xfId="0" applyFont="1" applyFill="1" applyBorder="1" applyAlignment="1" applyProtection="1">
      <alignment horizontal="right"/>
    </xf>
    <xf numFmtId="0" fontId="7" fillId="5" borderId="21" xfId="0" applyFont="1" applyFill="1" applyBorder="1" applyAlignment="1" applyProtection="1">
      <alignment horizontal="right"/>
    </xf>
    <xf numFmtId="0" fontId="7" fillId="5" borderId="22" xfId="0" applyFont="1" applyFill="1" applyBorder="1" applyAlignment="1" applyProtection="1">
      <alignment horizontal="right"/>
    </xf>
    <xf numFmtId="0" fontId="7" fillId="5" borderId="10" xfId="0" applyFont="1" applyFill="1" applyBorder="1" applyAlignment="1" applyProtection="1">
      <alignment horizontal="right"/>
    </xf>
    <xf numFmtId="0" fontId="7" fillId="5" borderId="11" xfId="0" applyFont="1" applyFill="1" applyBorder="1" applyAlignment="1" applyProtection="1">
      <alignment horizontal="right"/>
    </xf>
    <xf numFmtId="0" fontId="7" fillId="5" borderId="12" xfId="0" applyFont="1" applyFill="1" applyBorder="1" applyAlignment="1" applyProtection="1">
      <alignment horizontal="right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</cellXfs>
  <cellStyles count="1">
    <cellStyle name="Normal" xfId="0" builtinId="0"/>
  </cellStyles>
  <dxfs count="63"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name val="Arial Unicode MS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</dxf>
    <dxf>
      <font>
        <name val="Arial Unicode MS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4">
      <tableStyleElement type="headerRow" dxfId="62"/>
      <tableStyleElement type="totalRow" dxfId="61"/>
      <tableStyleElement type="firstRowStripe" dxfId="60"/>
      <tableStyleElement type="secondRowStripe" dxfId="5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571500</xdr:colOff>
          <xdr:row>28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43143</xdr:colOff>
          <xdr:row>31</xdr:row>
          <xdr:rowOff>22412</xdr:rowOff>
        </xdr:from>
        <xdr:to>
          <xdr:col>7</xdr:col>
          <xdr:colOff>558613</xdr:colOff>
          <xdr:row>32</xdr:row>
          <xdr:rowOff>159124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new show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racker" displayName="Tracker" ref="A2:H192" totalsRowShown="0">
  <autoFilter ref="A2:H192"/>
  <sortState ref="A3:H192">
    <sortCondition ref="G2:G192"/>
  </sortState>
  <tableColumns count="8">
    <tableColumn id="1" name="Anime Name" dataDxfId="58" totalsRowDxfId="57"/>
    <tableColumn id="2" name="Sn." dataDxfId="56" totalsRowDxfId="55"/>
    <tableColumn id="3" name="Eps. " dataDxfId="54" totalsRowDxfId="53"/>
    <tableColumn id="4" name="Dr. #" dataDxfId="52" totalsRowDxfId="51"/>
    <tableColumn id="5" name="Quality" dataDxfId="50" totalsRowDxfId="49"/>
    <tableColumn id="6" name="Type" dataDxfId="48" totalsRowDxfId="47"/>
    <tableColumn id="7" name="Airtime" dataDxfId="46" totalsRowDxfId="45"/>
    <tableColumn id="8" name="Subber(s)" dataDxfId="44" totalsRowDxfId="43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3" name="Backlog" displayName="Backlog" ref="A2:C63" totalsRowShown="0" headerRowDxfId="42" tableBorderDxfId="41">
  <autoFilter ref="A2:C63"/>
  <sortState ref="A3:C63">
    <sortCondition ref="C3:C63"/>
    <sortCondition ref="A3:A63"/>
  </sortState>
  <tableColumns count="3">
    <tableColumn id="1" name="Anime Name" dataDxfId="40"/>
    <tableColumn id="8" name="Sn." dataDxfId="39"/>
    <tableColumn id="2" name="Status" dataDxfId="38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6" totalsRowShown="0" headerRowDxfId="24" dataDxfId="23" tableBorderDxfId="22">
  <autoFilter ref="A2:L126"/>
  <sortState ref="A3:L126">
    <sortCondition descending="1" ref="H3:H126"/>
  </sortState>
  <tableColumns count="12">
    <tableColumn id="1" name="Anime Name" dataDxfId="21"/>
    <tableColumn id="2" name="Sn." dataDxfId="20"/>
    <tableColumn id="3" name="Plot" dataDxfId="19"/>
    <tableColumn id="4" name="Char." dataDxfId="18"/>
    <tableColumn id="5" name="Moe" dataDxfId="17"/>
    <tableColumn id="6" name="Pref" dataDxfId="16"/>
    <tableColumn id="7" name="Raw" dataDxfId="15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14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13"/>
    <tableColumn id="11" name="End Day" dataDxfId="12"/>
    <tableColumn id="12" name="Best Girl" dataDxfId="11"/>
    <tableColumn id="13" name="Notes" dataDxfId="10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4" totalsRowShown="0" headerRowDxfId="37" dataDxfId="36" tableBorderDxfId="35">
  <autoFilter ref="A2:D14"/>
  <sortState ref="A3:D14">
    <sortCondition ref="C3:C14"/>
  </sortState>
  <tableColumns count="4">
    <tableColumn id="1" name="Anime Name" dataDxfId="34"/>
    <tableColumn id="2" name="Sn." dataDxfId="33"/>
    <tableColumn id="6" name="Start" dataDxfId="32"/>
    <tableColumn id="7" name="End" dataDxfId="31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30" tableBorderDxfId="29">
  <autoFilter ref="A2:D9"/>
  <tableColumns count="4">
    <tableColumn id="1" name="Anime Name" dataDxfId="28"/>
    <tableColumn id="2" name="Sn." dataDxfId="27"/>
    <tableColumn id="3" name="Ep." dataDxfId="26"/>
    <tableColumn id="4" name="Reason" dataDxfId="25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E195"/>
  <sheetViews>
    <sheetView showGridLines="0" tabSelected="1" zoomScale="85" zoomScaleNormal="85" workbookViewId="0">
      <selection activeCell="N16" sqref="N16"/>
    </sheetView>
  </sheetViews>
  <sheetFormatPr defaultRowHeight="16.5"/>
  <cols>
    <col min="1" max="1" width="38.7109375" style="74" customWidth="1"/>
    <col min="2" max="2" width="9.140625" style="67"/>
    <col min="3" max="5" width="5.7109375" style="67" customWidth="1"/>
    <col min="6" max="6" width="14.5703125" style="67" hidden="1" customWidth="1"/>
    <col min="7" max="7" width="5.5703125" style="67" hidden="1" customWidth="1"/>
    <col min="8" max="8" width="9.140625" style="67"/>
    <col min="9" max="9" width="1.5703125" style="68" bestFit="1" customWidth="1"/>
    <col min="10" max="10" width="38.7109375" style="67" customWidth="1"/>
    <col min="11" max="11" width="4.140625" style="67" bestFit="1" customWidth="1"/>
    <col min="12" max="12" width="7" style="124" bestFit="1" customWidth="1"/>
    <col min="13" max="13" width="1.5703125" style="75" bestFit="1" customWidth="1"/>
    <col min="14" max="14" width="38.7109375" style="67" customWidth="1"/>
    <col min="15" max="15" width="4.140625" style="67" bestFit="1" customWidth="1"/>
    <col min="16" max="16" width="5.7109375" style="67" hidden="1" customWidth="1"/>
    <col min="17" max="17" width="5.140625" style="129" hidden="1" customWidth="1"/>
    <col min="18" max="18" width="7.5703125" style="129" hidden="1" customWidth="1"/>
    <col min="19" max="19" width="5.7109375" style="129" hidden="1" customWidth="1"/>
    <col min="20" max="20" width="9.140625" style="129" hidden="1" customWidth="1"/>
    <col min="21" max="21" width="17.28515625" style="67" hidden="1" customWidth="1"/>
    <col min="22" max="25" width="5.7109375" style="67" hidden="1" customWidth="1"/>
    <col min="26" max="26" width="5.85546875" style="67" hidden="1" customWidth="1"/>
    <col min="27" max="27" width="9.140625" style="129"/>
    <col min="28" max="29" width="13.7109375" style="129" hidden="1" customWidth="1"/>
    <col min="30" max="30" width="23.140625" style="67" bestFit="1" customWidth="1"/>
    <col min="31" max="31" width="65.5703125" style="75" customWidth="1"/>
    <col min="32" max="16384" width="9.140625" style="67"/>
  </cols>
  <sheetData>
    <row r="1" spans="1:31">
      <c r="A1" s="197" t="s">
        <v>535</v>
      </c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  <c r="AB1" s="198"/>
      <c r="AC1" s="198"/>
      <c r="AD1" s="198"/>
      <c r="AE1" s="198"/>
    </row>
    <row r="2" spans="1:31">
      <c r="A2" s="191" t="s">
        <v>0</v>
      </c>
      <c r="B2" s="192"/>
      <c r="C2" s="192"/>
      <c r="D2" s="192"/>
      <c r="E2" s="192"/>
      <c r="F2" s="192"/>
      <c r="G2" s="192"/>
      <c r="H2" s="193"/>
      <c r="I2" s="68" t="s">
        <v>200</v>
      </c>
      <c r="J2" s="202" t="s">
        <v>533</v>
      </c>
      <c r="K2" s="203"/>
      <c r="L2" s="204"/>
      <c r="N2" s="199" t="s">
        <v>534</v>
      </c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  <c r="AA2" s="200"/>
      <c r="AB2" s="200"/>
      <c r="AC2" s="200"/>
      <c r="AD2" s="200"/>
      <c r="AE2" s="201"/>
    </row>
    <row r="3" spans="1:31">
      <c r="A3" s="160" t="s">
        <v>271</v>
      </c>
      <c r="B3" s="161" t="s">
        <v>340</v>
      </c>
      <c r="C3" s="161" t="s">
        <v>199</v>
      </c>
      <c r="D3" s="161" t="s">
        <v>413</v>
      </c>
      <c r="E3" s="162" t="s">
        <v>414</v>
      </c>
      <c r="F3" s="176" t="s">
        <v>500</v>
      </c>
      <c r="G3" s="165" t="s">
        <v>320</v>
      </c>
      <c r="H3" s="166" t="s">
        <v>218</v>
      </c>
      <c r="I3" s="68" t="s">
        <v>200</v>
      </c>
      <c r="J3" s="71" t="s">
        <v>3</v>
      </c>
      <c r="K3" s="120" t="s">
        <v>199</v>
      </c>
      <c r="L3" s="122" t="s">
        <v>4</v>
      </c>
      <c r="M3" s="121" t="s">
        <v>200</v>
      </c>
      <c r="N3" s="70" t="s">
        <v>3</v>
      </c>
      <c r="O3" s="69" t="s">
        <v>199</v>
      </c>
      <c r="P3" s="69" t="s">
        <v>184</v>
      </c>
      <c r="Q3" s="128" t="s">
        <v>319</v>
      </c>
      <c r="R3" s="128" t="s">
        <v>529</v>
      </c>
      <c r="S3" s="128" t="s">
        <v>115</v>
      </c>
      <c r="T3" s="128" t="s">
        <v>499</v>
      </c>
      <c r="U3" s="71" t="s">
        <v>218</v>
      </c>
      <c r="V3" s="69" t="s">
        <v>5</v>
      </c>
      <c r="W3" s="69" t="s">
        <v>6</v>
      </c>
      <c r="X3" s="69" t="s">
        <v>7</v>
      </c>
      <c r="Y3" s="69" t="s">
        <v>8</v>
      </c>
      <c r="Z3" s="69" t="s">
        <v>9</v>
      </c>
      <c r="AA3" s="71" t="s">
        <v>10</v>
      </c>
      <c r="AB3" s="128" t="s">
        <v>675</v>
      </c>
      <c r="AC3" s="128" t="s">
        <v>674</v>
      </c>
      <c r="AD3" s="69" t="s">
        <v>233</v>
      </c>
      <c r="AE3" s="69" t="s">
        <v>12</v>
      </c>
    </row>
    <row r="4" spans="1:31">
      <c r="A4" s="153" t="s">
        <v>415</v>
      </c>
      <c r="B4" s="154" t="s">
        <v>437</v>
      </c>
      <c r="C4" s="155">
        <v>1</v>
      </c>
      <c r="D4" s="155">
        <v>17</v>
      </c>
      <c r="E4" s="155">
        <v>20</v>
      </c>
      <c r="F4" s="177">
        <v>41652</v>
      </c>
      <c r="G4" s="174" t="str">
        <f ca="1">IF($A4&lt;&gt;"", INDIRECT("'Tracker'!"&amp;ADDRESS(MATCH($A4, Tracker[Anime Name], 0) + 2, 4)), "")</f>
        <v>B</v>
      </c>
      <c r="H4" s="167" t="str">
        <f ca="1">IF($A4&lt;&gt;"", INDIRECT("'Tracker'!"&amp;ADDRESS(MATCH($A4, Tracker[Anime Name], 0) + 2, 8)), "")</f>
        <v>FFF</v>
      </c>
      <c r="I4" s="68" t="s">
        <v>200</v>
      </c>
      <c r="J4" s="65" t="str">
        <f>IF(Backlog!$A$3&lt;&gt;"",Backlog!$A$3,"")</f>
        <v>Air</v>
      </c>
      <c r="K4" s="72">
        <f>IF(Backlog!$B$3&lt;&gt;"",Backlog!$B$3,"")</f>
        <v>1</v>
      </c>
      <c r="L4" s="123" t="str">
        <f>IF(Backlog!$C$3&lt;&gt;"",Backlog!$C$3,"")</f>
        <v>DL</v>
      </c>
      <c r="N4" s="65" t="str">
        <f>IF(Completed!$A$3&lt;&gt;"",Completed!$A$3,"")</f>
        <v>Inferno Cop</v>
      </c>
      <c r="O4" s="72">
        <f>IF(Completed!$B$3&lt;&gt;"",Completed!$B$3,"")</f>
        <v>1</v>
      </c>
      <c r="P4" s="72">
        <f ca="1">IF($N$4&lt;&gt;"", INDIRECT("'Tracker'!"&amp;ADDRESS(MATCH($N$4, Tracker[Anime Name], 0) + 2, 3)), "")</f>
        <v>13</v>
      </c>
      <c r="Q4" s="66" t="str">
        <f ca="1">IF($N$4&lt;&gt;"", INDIRECT("'Tracker'!"&amp;ADDRESS(MATCH($N$4, Tracker[Anime Name], 0) + 2, 4)), "")</f>
        <v>B</v>
      </c>
      <c r="R4" s="66" t="str">
        <f ca="1">IF($N$4&lt;&gt;"", INDIRECT("'Tracker'!"&amp;ADDRESS(MATCH($N$4, Tracker[Anime Name], 0) + 2, 5)), "")</f>
        <v>720p</v>
      </c>
      <c r="S4" s="66" t="str">
        <f ca="1">IF($N$4&lt;&gt;"", INDIRECT("'Tracker'!"&amp;ADDRESS(MATCH($N$4, Tracker[Anime Name], 0) + 2, 6)), "")</f>
        <v>Web</v>
      </c>
      <c r="T4" s="66" t="str">
        <f ca="1">IF($N$4&lt;&gt;"", INDIRECT("'Tracker'!"&amp;ADDRESS(MATCH($N$4, Tracker[Anime Name], 0) + 2, 7)), "")</f>
        <v>2012D</v>
      </c>
      <c r="U4" s="72" t="str">
        <f ca="1">IF($N$4&lt;&gt;"", INDIRECT("'Tracker'!"&amp;ADDRESS(MATCH($N$4, Tracker[Anime Name], 0) + 2, 8)), "")</f>
        <v>Commie</v>
      </c>
      <c r="V4" s="109">
        <f>IF(Completed!$C$3&lt;&gt;"",Completed!$C$3,"")</f>
        <v>11</v>
      </c>
      <c r="W4" s="109">
        <f>IF(Completed!$D$3&lt;&gt;"",Completed!$D$3,"")</f>
        <v>11</v>
      </c>
      <c r="X4" s="109">
        <f>IF(Completed!$E$3&lt;&gt;"",Completed!$E$3,"")</f>
        <v>0</v>
      </c>
      <c r="Y4" s="109">
        <f>IF(Completed!$F$3&lt;&gt;"",Completed!$F$3,"")</f>
        <v>10</v>
      </c>
      <c r="Z4" s="125">
        <f>IF(Completed!$G$3&lt;&gt;"",Completed!$G$3,"")</f>
        <v>9.9748743718592969</v>
      </c>
      <c r="AA4" s="136">
        <f>IF(Completed!$H$3&lt;&gt;"",Completed!$H$3,"")</f>
        <v>10</v>
      </c>
      <c r="AB4" s="110">
        <f>IF(Completed!$I$3&lt;&gt;"",Completed!$I$3,"")</f>
        <v>41290</v>
      </c>
      <c r="AC4" s="110">
        <f>IF(Completed!$J$3&lt;&gt;"",Completed!$J$3,"")</f>
        <v>41352</v>
      </c>
      <c r="AD4" s="126" t="str">
        <f>IF(Completed!$K$3&lt;&gt;"",Completed!$K$3,"")</f>
        <v>Inferno Cop</v>
      </c>
      <c r="AE4" s="127" t="str">
        <f>IF(Completed!$L$3&lt;&gt;"",Completed!$L$3,"")</f>
        <v/>
      </c>
    </row>
    <row r="5" spans="1:31">
      <c r="A5" s="153" t="s">
        <v>474</v>
      </c>
      <c r="B5" s="157" t="s">
        <v>435</v>
      </c>
      <c r="C5" s="158">
        <v>1</v>
      </c>
      <c r="D5" s="155">
        <v>12</v>
      </c>
      <c r="E5" s="155">
        <v>13</v>
      </c>
      <c r="F5" s="179">
        <v>41751</v>
      </c>
      <c r="G5" s="174" t="str">
        <f ca="1">IF($A5&lt;&gt;"", INDIRECT("'Tracker'!"&amp;ADDRESS(MATCH($A5, Tracker[Anime Name], 0) + 2, 4)), "")</f>
        <v>B</v>
      </c>
      <c r="H5" s="167" t="str">
        <f ca="1">IF($A5&lt;&gt;"", INDIRECT("'Tracker'!"&amp;ADDRESS(MATCH($A5, Tracker[Anime Name], 0) + 2, 8)), "")</f>
        <v>WhyNot</v>
      </c>
      <c r="I5" s="68" t="s">
        <v>200</v>
      </c>
      <c r="J5" s="65" t="str">
        <f>IF(Backlog!$A$4&lt;&gt;"",Backlog!$A$4,"")</f>
        <v>Ano Natsu de Matteru</v>
      </c>
      <c r="K5" s="72">
        <f>IF(Backlog!$B$4&lt;&gt;"",Backlog!$B$4,"")</f>
        <v>1</v>
      </c>
      <c r="L5" s="123" t="str">
        <f>IF(Backlog!$C$4&lt;&gt;"",Backlog!$C$4,"")</f>
        <v>DL</v>
      </c>
      <c r="N5" s="65" t="str">
        <f>IF(Completed!$A$4&lt;&gt;"",Completed!$A$4,"")</f>
        <v>Sakamichi no Apollon</v>
      </c>
      <c r="O5" s="72">
        <f>IF(Completed!$B$4&lt;&gt;"",Completed!$B$4,"")</f>
        <v>1</v>
      </c>
      <c r="P5" s="72">
        <f ca="1">IF($N$5&lt;&gt;"", INDIRECT("'Tracker'!"&amp;ADDRESS(MATCH($N$5, Tracker[Anime Name], 0) + 2, 3)), "")</f>
        <v>12</v>
      </c>
      <c r="Q5" s="66" t="str">
        <f ca="1">IF($N$5&lt;&gt;"", INDIRECT("'Tracker'!"&amp;ADDRESS(MATCH($N$5, Tracker[Anime Name], 0) + 2, 4)), "")</f>
        <v>B</v>
      </c>
      <c r="R5" s="66" t="str">
        <f ca="1">IF($N$5&lt;&gt;"", INDIRECT("'Tracker'!"&amp;ADDRESS(MATCH($N$5, Tracker[Anime Name], 0) + 2, 5)), "")</f>
        <v>720p</v>
      </c>
      <c r="S5" s="66" t="str">
        <f ca="1">IF($N$5&lt;&gt;"", INDIRECT("'Tracker'!"&amp;ADDRESS(MATCH($N$5, Tracker[Anime Name], 0) + 2, 6)), "")</f>
        <v>Web</v>
      </c>
      <c r="T5" s="66" t="str">
        <f ca="1">IF($N$5&lt;&gt;"", INDIRECT("'Tracker'!"&amp;ADDRESS(MATCH($N$5, Tracker[Anime Name], 0) + 2, 7)), "")</f>
        <v>2012A</v>
      </c>
      <c r="U5" s="72" t="str">
        <f ca="1">IF($N$5&lt;&gt;"", INDIRECT("'Tracker'!"&amp;ADDRESS(MATCH($N$5, Tracker[Anime Name], 0) + 2, 8)), "")</f>
        <v>HorribleSubs</v>
      </c>
      <c r="V5" s="109">
        <f>IF(Completed!$C$4&lt;&gt;"",Completed!$C$4,"")</f>
        <v>9.5</v>
      </c>
      <c r="W5" s="109">
        <f>IF(Completed!$D$4&lt;&gt;"",Completed!$D$4,"")</f>
        <v>10</v>
      </c>
      <c r="X5" s="109">
        <f>IF(Completed!$E$4&lt;&gt;"",Completed!$E$4,"")</f>
        <v>3.5</v>
      </c>
      <c r="Y5" s="109">
        <f>IF(Completed!$F$4&lt;&gt;"",Completed!$F$4,"")</f>
        <v>10</v>
      </c>
      <c r="Z5" s="125">
        <f>IF(Completed!$G$4&lt;&gt;"",Completed!$G$4,"")</f>
        <v>9.5979899497487438</v>
      </c>
      <c r="AA5" s="136">
        <f>IF(Completed!$H$4&lt;&gt;"",Completed!$H$4,"")</f>
        <v>9.4955439717504628</v>
      </c>
      <c r="AB5" s="110">
        <f>IF(Completed!$I$4&lt;&gt;"",Completed!$I$4,"")</f>
        <v>41646</v>
      </c>
      <c r="AC5" s="110">
        <f>IF(Completed!$J$4&lt;&gt;"",Completed!$J$4,"")</f>
        <v>41647</v>
      </c>
      <c r="AD5" s="126" t="str">
        <f>IF(Completed!$K$4&lt;&gt;"",Completed!$K$4,"")</f>
        <v>Mukae Ritsuko</v>
      </c>
      <c r="AE5" s="127" t="str">
        <f>IF(Completed!$L$4&lt;&gt;"",Completed!$L$4,"")</f>
        <v>Even more accurate music than K-On!</v>
      </c>
    </row>
    <row r="6" spans="1:31">
      <c r="A6" s="153" t="s">
        <v>60</v>
      </c>
      <c r="B6" s="154" t="s">
        <v>165</v>
      </c>
      <c r="C6" s="155">
        <v>1</v>
      </c>
      <c r="D6" s="155">
        <v>11</v>
      </c>
      <c r="E6" s="155">
        <v>26</v>
      </c>
      <c r="F6" s="179">
        <v>41653</v>
      </c>
      <c r="G6" s="174" t="str">
        <f ca="1">IF($A6&lt;&gt;"", INDIRECT("'Tracker'!"&amp;ADDRESS(MATCH($A6, Tracker[Anime Name], 0) + 2, 4)), "")</f>
        <v>A</v>
      </c>
      <c r="H6" s="167" t="str">
        <f ca="1">IF($A6&lt;&gt;"", INDIRECT("'Tracker'!"&amp;ADDRESS(MATCH($A6, Tracker[Anime Name], 0) + 2, 8)), "")</f>
        <v>niizk</v>
      </c>
      <c r="I6" s="68" t="s">
        <v>200</v>
      </c>
      <c r="J6" s="65" t="str">
        <f>IF(Backlog!$A$5&lt;&gt;"",Backlog!$A$5,"")</f>
        <v>Azumanga Daioh</v>
      </c>
      <c r="K6" s="72">
        <f>IF(Backlog!$B$5&lt;&gt;"",Backlog!$B$5,"")</f>
        <v>1</v>
      </c>
      <c r="L6" s="123" t="str">
        <f>IF(Backlog!$C$5&lt;&gt;"",Backlog!$C$5,"")</f>
        <v>DL</v>
      </c>
      <c r="N6" s="65" t="str">
        <f>IF(Completed!$A$5&lt;&gt;"",Completed!$A$5,"")</f>
        <v>Steins;Gate</v>
      </c>
      <c r="O6" s="72">
        <f>IF(Completed!$B$5&lt;&gt;"",Completed!$B$5,"")</f>
        <v>1</v>
      </c>
      <c r="P6" s="72">
        <f ca="1">IF($N$6&lt;&gt;"", INDIRECT("'Tracker'!"&amp;ADDRESS(MATCH($N$6, Tracker[Anime Name], 0) + 2, 3)), "")</f>
        <v>25</v>
      </c>
      <c r="Q6" s="66" t="str">
        <f ca="1">IF($N$6&lt;&gt;"", INDIRECT("'Tracker'!"&amp;ADDRESS(MATCH($N$6, Tracker[Anime Name], 0) + 2, 4)), "")</f>
        <v>A</v>
      </c>
      <c r="R6" s="66" t="str">
        <f ca="1">IF($N$6&lt;&gt;"", INDIRECT("'Tracker'!"&amp;ADDRESS(MATCH($N$6, Tracker[Anime Name], 0) + 2, 5)), "")</f>
        <v>720p</v>
      </c>
      <c r="S6" s="66" t="str">
        <f ca="1">IF($N$6&lt;&gt;"", INDIRECT("'Tracker'!"&amp;ADDRESS(MATCH($N$6, Tracker[Anime Name], 0) + 2, 6)), "")</f>
        <v>BD</v>
      </c>
      <c r="T6" s="66" t="str">
        <f ca="1">IF($N$6&lt;&gt;"", INDIRECT("'Tracker'!"&amp;ADDRESS(MATCH($N$6, Tracker[Anime Name], 0) + 2, 7)), "")</f>
        <v>2011A</v>
      </c>
      <c r="U6" s="72" t="str">
        <f ca="1">IF($N$6&lt;&gt;"", INDIRECT("'Tracker'!"&amp;ADDRESS(MATCH($N$6, Tracker[Anime Name], 0) + 2, 8)), "")</f>
        <v>WhyNot</v>
      </c>
      <c r="V6" s="109">
        <f>IF(Completed!$C$5&lt;&gt;"",Completed!$C$5,"")</f>
        <v>10</v>
      </c>
      <c r="W6" s="109">
        <f>IF(Completed!$D$5&lt;&gt;"",Completed!$D$5,"")</f>
        <v>9.5</v>
      </c>
      <c r="X6" s="109">
        <f>IF(Completed!$E$5&lt;&gt;"",Completed!$E$5,"")</f>
        <v>4</v>
      </c>
      <c r="Y6" s="109">
        <f>IF(Completed!$F$5&lt;&gt;"",Completed!$F$5,"")</f>
        <v>10</v>
      </c>
      <c r="Z6" s="125">
        <f>IF(Completed!$G$5&lt;&gt;"",Completed!$G$5,"")</f>
        <v>9.5791457286432156</v>
      </c>
      <c r="AA6" s="136">
        <f>IF(Completed!$H$5&lt;&gt;"",Completed!$H$5,"")</f>
        <v>9.4703211703379839</v>
      </c>
      <c r="AB6" s="110">
        <f>IF(Completed!$I$5&lt;&gt;"",Completed!$I$5,"")</f>
        <v>41270</v>
      </c>
      <c r="AC6" s="110">
        <f>IF(Completed!$J$5&lt;&gt;"",Completed!$J$5,"")</f>
        <v>41279</v>
      </c>
      <c r="AD6" s="126" t="str">
        <f>IF(Completed!$K$5&lt;&gt;"",Completed!$K$5,"")</f>
        <v>Makise Kurisu</v>
      </c>
      <c r="AE6" s="127" t="str">
        <f>IF(Completed!$L$5&lt;&gt;"",Completed!$L$5,"")</f>
        <v>Good show, mostly accurate science, overall a good watch</v>
      </c>
    </row>
    <row r="7" spans="1:31">
      <c r="A7" s="153" t="s">
        <v>390</v>
      </c>
      <c r="B7" s="157" t="s">
        <v>165</v>
      </c>
      <c r="C7" s="158">
        <v>1</v>
      </c>
      <c r="D7" s="158">
        <v>2</v>
      </c>
      <c r="E7" s="158">
        <v>11</v>
      </c>
      <c r="F7" s="180">
        <v>41816</v>
      </c>
      <c r="G7" s="174" t="str">
        <f ca="1">IF($A7&lt;&gt;"", INDIRECT("'Tracker'!"&amp;ADDRESS(MATCH($A7, Tracker[Anime Name], 0) + 2, 4)), "")</f>
        <v>A</v>
      </c>
      <c r="H7" s="167" t="str">
        <f ca="1">IF($A7&lt;&gt;"", INDIRECT("'Tracker'!"&amp;ADDRESS(MATCH($A7, Tracker[Anime Name], 0) + 2, 8)), "")</f>
        <v>Zurako</v>
      </c>
      <c r="I7" s="68" t="s">
        <v>200</v>
      </c>
      <c r="J7" s="65" t="str">
        <f>IF(Backlog!$A$6&lt;&gt;"",Backlog!$A$6,"")</f>
        <v>Bakuman</v>
      </c>
      <c r="K7" s="72">
        <f>IF(Backlog!$B$6&lt;&gt;"",Backlog!$B$6,"")</f>
        <v>1</v>
      </c>
      <c r="L7" s="123" t="str">
        <f>IF(Backlog!$C$6&lt;&gt;"",Backlog!$C$6,"")</f>
        <v>DL</v>
      </c>
      <c r="N7" s="65" t="str">
        <f>IF(Completed!$A$6&lt;&gt;"",Completed!$A$6,"")</f>
        <v>Baccano!</v>
      </c>
      <c r="O7" s="72">
        <f>IF(Completed!$B$6&lt;&gt;"",Completed!$B$6,"")</f>
        <v>1</v>
      </c>
      <c r="P7" s="72">
        <f ca="1">IF($N$7&lt;&gt;"", INDIRECT("'Tracker'!"&amp;ADDRESS(MATCH($N$7, Tracker[Anime Name], 0) + 2, 3)), "")</f>
        <v>16</v>
      </c>
      <c r="Q7" s="66" t="str">
        <f ca="1">IF($N$7&lt;&gt;"", INDIRECT("'Tracker'!"&amp;ADDRESS(MATCH($N$7, Tracker[Anime Name], 0) + 2, 4)), "")</f>
        <v>B</v>
      </c>
      <c r="R7" s="66" t="str">
        <f ca="1">IF($N$7&lt;&gt;"", INDIRECT("'Tracker'!"&amp;ADDRESS(MATCH($N$7, Tracker[Anime Name], 0) + 2, 5)), "")</f>
        <v>720p</v>
      </c>
      <c r="S7" s="66" t="str">
        <f ca="1">IF($N$7&lt;&gt;"", INDIRECT("'Tracker'!"&amp;ADDRESS(MATCH($N$7, Tracker[Anime Name], 0) + 2, 6)), "")</f>
        <v>BD</v>
      </c>
      <c r="T7" s="66" t="str">
        <f ca="1">IF($N$7&lt;&gt;"", INDIRECT("'Tracker'!"&amp;ADDRESS(MATCH($N$7, Tracker[Anime Name], 0) + 2, 7)), "")</f>
        <v>2007B</v>
      </c>
      <c r="U7" s="72" t="str">
        <f ca="1">IF($N$7&lt;&gt;"", INDIRECT("'Tracker'!"&amp;ADDRESS(MATCH($N$7, Tracker[Anime Name], 0) + 2, 8)), "")</f>
        <v>Coalgirls, Ayu</v>
      </c>
      <c r="V7" s="109">
        <f>IF(Completed!$C$6&lt;&gt;"",Completed!$C$6,"")</f>
        <v>10</v>
      </c>
      <c r="W7" s="109">
        <f>IF(Completed!$D$6&lt;&gt;"",Completed!$D$6,"")</f>
        <v>10</v>
      </c>
      <c r="X7" s="109">
        <f>IF(Completed!$E$6&lt;&gt;"",Completed!$E$6,"")</f>
        <v>3</v>
      </c>
      <c r="Y7" s="109">
        <f>IF(Completed!$F$6&lt;&gt;"",Completed!$F$6,"")</f>
        <v>9.5</v>
      </c>
      <c r="Z7" s="125">
        <f>IF(Completed!$G$6&lt;&gt;"",Completed!$G$6,"")</f>
        <v>9.4158291457286438</v>
      </c>
      <c r="AA7" s="136">
        <f>IF(Completed!$H$6&lt;&gt;"",Completed!$H$6,"")</f>
        <v>9.2517235580965203</v>
      </c>
      <c r="AB7" s="110">
        <f>IF(Completed!$I$6&lt;&gt;"",Completed!$I$6,"")</f>
        <v>41607</v>
      </c>
      <c r="AC7" s="110">
        <f>IF(Completed!$J$6&lt;&gt;"",Completed!$J$6,"")</f>
        <v>41634</v>
      </c>
      <c r="AD7" s="126" t="str">
        <f>IF(Completed!$K$6&lt;&gt;"",Completed!$K$6,"")</f>
        <v>Rachel</v>
      </c>
      <c r="AE7" s="127" t="str">
        <f>IF(Completed!$L$6&lt;&gt;"",Completed!$L$6,"")</f>
        <v>One of the best written stories I've seen in a while</v>
      </c>
    </row>
    <row r="8" spans="1:31">
      <c r="A8" s="153" t="s">
        <v>473</v>
      </c>
      <c r="B8" s="157" t="s">
        <v>491</v>
      </c>
      <c r="C8" s="158">
        <v>1</v>
      </c>
      <c r="D8" s="155">
        <v>12</v>
      </c>
      <c r="E8" s="155">
        <v>12</v>
      </c>
      <c r="F8" s="179">
        <v>41750</v>
      </c>
      <c r="G8" s="174" t="str">
        <f ca="1">IF($A8&lt;&gt;"", INDIRECT("'Tracker'!"&amp;ADDRESS(MATCH($A8, Tracker[Anime Name], 0) + 2, 4)), "")</f>
        <v>B</v>
      </c>
      <c r="H8" s="167" t="str">
        <f ca="1">IF($A8&lt;&gt;"", INDIRECT("'Tracker'!"&amp;ADDRESS(MATCH($A8, Tracker[Anime Name], 0) + 2, 8)), "")</f>
        <v>Underwater</v>
      </c>
      <c r="I8" s="68" t="s">
        <v>200</v>
      </c>
      <c r="J8" s="65" t="str">
        <f>IF(Backlog!$A$7&lt;&gt;"",Backlog!$A$7,"")</f>
        <v>Bakuman S2</v>
      </c>
      <c r="K8" s="72">
        <f>IF(Backlog!$B$7&lt;&gt;"",Backlog!$B$7,"")</f>
        <v>2</v>
      </c>
      <c r="L8" s="123" t="str">
        <f>IF(Backlog!$C$7&lt;&gt;"",Backlog!$C$7,"")</f>
        <v>DL</v>
      </c>
      <c r="N8" s="65" t="str">
        <f>IF(Completed!$A$7&lt;&gt;"",Completed!$A$7,"")</f>
        <v>Isshuukan Friends</v>
      </c>
      <c r="O8" s="72">
        <f>IF(Completed!$B$7&lt;&gt;"",Completed!$B$7,"")</f>
        <v>1</v>
      </c>
      <c r="P8" s="72">
        <f ca="1">IF($N$8&lt;&gt;"", INDIRECT("'Tracker'!"&amp;ADDRESS(MATCH($N$8, Tracker[Anime Name], 0) + 2, 3)), "")</f>
        <v>12</v>
      </c>
      <c r="Q8" s="66" t="str">
        <f ca="1">IF($N$8&lt;&gt;"", INDIRECT("'Tracker'!"&amp;ADDRESS(MATCH($N$8, Tracker[Anime Name], 0) + 2, 4)), "")</f>
        <v>B</v>
      </c>
      <c r="R8" s="66" t="str">
        <f ca="1">IF($N$8&lt;&gt;"", INDIRECT("'Tracker'!"&amp;ADDRESS(MATCH($N$8, Tracker[Anime Name], 0) + 2, 5)), "")</f>
        <v>720p</v>
      </c>
      <c r="S8" s="66" t="str">
        <f ca="1">IF($N$8&lt;&gt;"", INDIRECT("'Tracker'!"&amp;ADDRESS(MATCH($N$8, Tracker[Anime Name], 0) + 2, 6)), "")</f>
        <v>TV</v>
      </c>
      <c r="T8" s="66" t="str">
        <f ca="1">IF($N$8&lt;&gt;"", INDIRECT("'Tracker'!"&amp;ADDRESS(MATCH($N$8, Tracker[Anime Name], 0) + 2, 7)), "")</f>
        <v>2014A</v>
      </c>
      <c r="U8" s="72" t="str">
        <f ca="1">IF($N$8&lt;&gt;"", INDIRECT("'Tracker'!"&amp;ADDRESS(MATCH($N$8, Tracker[Anime Name], 0) + 2, 8)), "")</f>
        <v>Vivid</v>
      </c>
      <c r="V8" s="109">
        <f>IF(Completed!$C$7&lt;&gt;"",Completed!$C$7,"")</f>
        <v>9</v>
      </c>
      <c r="W8" s="109">
        <f>IF(Completed!$D$7&lt;&gt;"",Completed!$D$7,"")</f>
        <v>9.5</v>
      </c>
      <c r="X8" s="109">
        <f>IF(Completed!$E$7&lt;&gt;"",Completed!$E$7,"")</f>
        <v>7</v>
      </c>
      <c r="Y8" s="109">
        <f>IF(Completed!$F$7&lt;&gt;"",Completed!$F$7,"")</f>
        <v>9.5</v>
      </c>
      <c r="Z8" s="125">
        <f>IF(Completed!$G$7&lt;&gt;"",Completed!$G$7,"")</f>
        <v>9.2889447236180906</v>
      </c>
      <c r="AA8" s="136">
        <f>IF(Completed!$H$7&lt;&gt;"",Completed!$H$7,"")</f>
        <v>9.0818900285858408</v>
      </c>
      <c r="AB8" s="110">
        <f>IF(Completed!$I$7&lt;&gt;"",Completed!$I$7,"")</f>
        <v>41749</v>
      </c>
      <c r="AC8" s="110">
        <f>IF(Completed!$J$7&lt;&gt;"",Completed!$J$7,"")</f>
        <v>41815</v>
      </c>
      <c r="AD8" s="126" t="str">
        <f>IF(Completed!$K$7&lt;&gt;"",Completed!$K$7,"")</f>
        <v>Fujimiya Kaori</v>
      </c>
      <c r="AE8" s="127" t="str">
        <f>IF(Completed!$L$7&lt;&gt;"",Completed!$L$7,"")</f>
        <v>Saki and Fujimiya's mom are both great too</v>
      </c>
    </row>
    <row r="9" spans="1:31">
      <c r="A9" s="153"/>
      <c r="B9" s="156"/>
      <c r="C9" s="155"/>
      <c r="D9" s="155"/>
      <c r="E9" s="155"/>
      <c r="F9" s="178"/>
      <c r="G9" s="174" t="str">
        <f ca="1">IF($A9&lt;&gt;"", INDIRECT("'Tracker'!"&amp;ADDRESS(MATCH($A9, Tracker[Anime Name], 0) + 2, 4)), "")</f>
        <v/>
      </c>
      <c r="H9" s="167" t="str">
        <f ca="1">IF($A9&lt;&gt;"", INDIRECT("'Tracker'!"&amp;ADDRESS(MATCH($A9, Tracker[Anime Name], 0) + 2, 8)), "")</f>
        <v/>
      </c>
      <c r="I9" s="68" t="s">
        <v>200</v>
      </c>
      <c r="J9" s="65" t="str">
        <f>IF(Backlog!$A$8&lt;&gt;"",Backlog!$A$8,"")</f>
        <v>Bakuman S3</v>
      </c>
      <c r="K9" s="72">
        <f>IF(Backlog!$B$8&lt;&gt;"",Backlog!$B$8,"")</f>
        <v>3</v>
      </c>
      <c r="L9" s="123" t="str">
        <f>IF(Backlog!$C$8&lt;&gt;"",Backlog!$C$8,"")</f>
        <v>DL</v>
      </c>
      <c r="N9" s="65" t="str">
        <f>IF(Completed!$A$8&lt;&gt;"",Completed!$A$8,"")</f>
        <v>The Tatami Galaxy</v>
      </c>
      <c r="O9" s="72">
        <f>IF(Completed!$B$8&lt;&gt;"",Completed!$B$8,"")</f>
        <v>1</v>
      </c>
      <c r="P9" s="72">
        <f ca="1">IF($N$9&lt;&gt;"", INDIRECT("'Tracker'!"&amp;ADDRESS(MATCH($N$9, Tracker[Anime Name], 0) + 2, 3)), "")</f>
        <v>11</v>
      </c>
      <c r="Q9" s="66" t="str">
        <f ca="1">IF($N$9&lt;&gt;"", INDIRECT("'Tracker'!"&amp;ADDRESS(MATCH($N$9, Tracker[Anime Name], 0) + 2, 4)), "")</f>
        <v>A</v>
      </c>
      <c r="R9" s="66" t="str">
        <f ca="1">IF($N$9&lt;&gt;"", INDIRECT("'Tracker'!"&amp;ADDRESS(MATCH($N$9, Tracker[Anime Name], 0) + 2, 5)), "")</f>
        <v>720p</v>
      </c>
      <c r="S9" s="66" t="str">
        <f ca="1">IF($N$9&lt;&gt;"", INDIRECT("'Tracker'!"&amp;ADDRESS(MATCH($N$9, Tracker[Anime Name], 0) + 2, 6)), "")</f>
        <v>BD</v>
      </c>
      <c r="T9" s="66" t="str">
        <f ca="1">IF($N$9&lt;&gt;"", INDIRECT("'Tracker'!"&amp;ADDRESS(MATCH($N$9, Tracker[Anime Name], 0) + 2, 7)), "")</f>
        <v>2010A</v>
      </c>
      <c r="U9" s="72" t="str">
        <f ca="1">IF($N$9&lt;&gt;"", INDIRECT("'Tracker'!"&amp;ADDRESS(MATCH($N$9, Tracker[Anime Name], 0) + 2, 8)), "")</f>
        <v>Elysium</v>
      </c>
      <c r="V9" s="109">
        <f>IF(Completed!$C$8&lt;&gt;"",Completed!$C$8,"")</f>
        <v>10</v>
      </c>
      <c r="W9" s="109">
        <f>IF(Completed!$D$8&lt;&gt;"",Completed!$D$8,"")</f>
        <v>9</v>
      </c>
      <c r="X9" s="109">
        <f>IF(Completed!$E$8&lt;&gt;"",Completed!$E$8,"")</f>
        <v>5</v>
      </c>
      <c r="Y9" s="109">
        <f>IF(Completed!$F$8&lt;&gt;"",Completed!$F$8,"")</f>
        <v>9.5</v>
      </c>
      <c r="Z9" s="125">
        <f>IF(Completed!$G$8&lt;&gt;"",Completed!$G$8,"")</f>
        <v>9.2424623115577873</v>
      </c>
      <c r="AA9" s="136">
        <f>IF(Completed!$H$8&lt;&gt;"",Completed!$H$8,"")</f>
        <v>9.0196737851017303</v>
      </c>
      <c r="AB9" s="110">
        <f>IF(Completed!$I$8&lt;&gt;"",Completed!$I$8,"")</f>
        <v>41742</v>
      </c>
      <c r="AC9" s="110">
        <f>IF(Completed!$J$8&lt;&gt;"",Completed!$J$8,"")</f>
        <v>41746</v>
      </c>
      <c r="AD9" s="126" t="str">
        <f>IF(Completed!$K$8&lt;&gt;"",Completed!$K$8,"")</f>
        <v>Akashi</v>
      </c>
      <c r="AE9" s="127" t="str">
        <f>IF(Completed!$L$8&lt;&gt;"",Completed!$L$8,"")</f>
        <v>Really well planned show</v>
      </c>
    </row>
    <row r="10" spans="1:31">
      <c r="A10" s="153"/>
      <c r="B10" s="157"/>
      <c r="C10" s="158"/>
      <c r="D10" s="155"/>
      <c r="E10" s="155"/>
      <c r="F10" s="179"/>
      <c r="G10" s="174" t="str">
        <f ca="1">IF($A10&lt;&gt;"", INDIRECT("'Tracker'!"&amp;ADDRESS(MATCH($A10, Tracker[Anime Name], 0) + 2, 4)), "")</f>
        <v/>
      </c>
      <c r="H10" s="167" t="str">
        <f ca="1">IF($A10&lt;&gt;"", INDIRECT("'Tracker'!"&amp;ADDRESS(MATCH($A10, Tracker[Anime Name], 0) + 2, 8)), "")</f>
        <v/>
      </c>
      <c r="I10" s="68" t="s">
        <v>200</v>
      </c>
      <c r="J10" s="65" t="str">
        <f>IF(Backlog!$A$9&lt;&gt;"",Backlog!$A$9,"")</f>
        <v>Code Geass: Lelouch of the Rebellion</v>
      </c>
      <c r="K10" s="72">
        <f>IF(Backlog!$B$9&lt;&gt;"",Backlog!$B$9,"")</f>
        <v>1</v>
      </c>
      <c r="L10" s="123" t="str">
        <f>IF(Backlog!$C$9&lt;&gt;"",Backlog!$C$9,"")</f>
        <v>DL</v>
      </c>
      <c r="N10" s="65" t="str">
        <f>IF(Completed!$A$9&lt;&gt;"",Completed!$A$9,"")</f>
        <v>Clannad -After Story-</v>
      </c>
      <c r="O10" s="72">
        <f>IF(Completed!$B$9&lt;&gt;"",Completed!$B$9,"")</f>
        <v>2</v>
      </c>
      <c r="P10" s="72">
        <f ca="1">IF($N$10&lt;&gt;"", INDIRECT("'Tracker'!"&amp;ADDRESS(MATCH($N$10, Tracker[Anime Name], 0) + 2, 3)), "")</f>
        <v>22</v>
      </c>
      <c r="Q10" s="66" t="str">
        <f ca="1">IF($N$10&lt;&gt;"", INDIRECT("'Tracker'!"&amp;ADDRESS(MATCH($N$10, Tracker[Anime Name], 0) + 2, 4)), "")</f>
        <v>A</v>
      </c>
      <c r="R10" s="66" t="str">
        <f ca="1">IF($N$10&lt;&gt;"", INDIRECT("'Tracker'!"&amp;ADDRESS(MATCH($N$10, Tracker[Anime Name], 0) + 2, 5)), "")</f>
        <v>720p</v>
      </c>
      <c r="S10" s="66" t="str">
        <f ca="1">IF($N$10&lt;&gt;"", INDIRECT("'Tracker'!"&amp;ADDRESS(MATCH($N$10, Tracker[Anime Name], 0) + 2, 6)), "")</f>
        <v>BD</v>
      </c>
      <c r="T10" s="66" t="str">
        <f ca="1">IF($N$10&lt;&gt;"", INDIRECT("'Tracker'!"&amp;ADDRESS(MATCH($N$10, Tracker[Anime Name], 0) + 2, 7)), "")</f>
        <v>2008C</v>
      </c>
      <c r="U10" s="72" t="str">
        <f ca="1">IF($N$10&lt;&gt;"", INDIRECT("'Tracker'!"&amp;ADDRESS(MATCH($N$10, Tracker[Anime Name], 0) + 2, 8)), "")</f>
        <v>Doki</v>
      </c>
      <c r="V10" s="109">
        <f>IF(Completed!$C$9&lt;&gt;"",Completed!$C$9,"")</f>
        <v>9.5</v>
      </c>
      <c r="W10" s="109">
        <f>IF(Completed!$D$9&lt;&gt;"",Completed!$D$9,"")</f>
        <v>10</v>
      </c>
      <c r="X10" s="109">
        <f>IF(Completed!$E$9&lt;&gt;"",Completed!$E$9,"")</f>
        <v>6</v>
      </c>
      <c r="Y10" s="109">
        <f>IF(Completed!$F$9&lt;&gt;"",Completed!$F$9,"")</f>
        <v>9</v>
      </c>
      <c r="Z10" s="125">
        <f>IF(Completed!$G$9&lt;&gt;"",Completed!$G$9,"")</f>
        <v>9.217336683417086</v>
      </c>
      <c r="AA10" s="136">
        <f>IF(Completed!$H$9&lt;&gt;"",Completed!$H$9,"")</f>
        <v>8.9860433832184299</v>
      </c>
      <c r="AB10" s="110">
        <f>IF(Completed!$I$9&lt;&gt;"",Completed!$I$9,"")</f>
        <v>41293</v>
      </c>
      <c r="AC10" s="110">
        <f>IF(Completed!$J$9&lt;&gt;"",Completed!$J$9,"")</f>
        <v>41294</v>
      </c>
      <c r="AD10" s="126" t="str">
        <f>IF(Completed!$K$9&lt;&gt;"",Completed!$K$9,"")</f>
        <v>Fujibayashi Kyou</v>
      </c>
      <c r="AE10" s="127" t="str">
        <f>IF(Completed!$L$9&lt;&gt;"",Completed!$L$9,"")</f>
        <v>So many feels</v>
      </c>
    </row>
    <row r="11" spans="1:31">
      <c r="A11" s="153"/>
      <c r="B11" s="157"/>
      <c r="C11" s="158"/>
      <c r="D11" s="155"/>
      <c r="E11" s="155"/>
      <c r="F11" s="179"/>
      <c r="G11" s="174" t="str">
        <f ca="1">IF($A11&lt;&gt;"", INDIRECT("'Tracker'!"&amp;ADDRESS(MATCH($A11, Tracker[Anime Name], 0) + 2, 4)), "")</f>
        <v/>
      </c>
      <c r="H11" s="167" t="str">
        <f ca="1">IF($A11&lt;&gt;"", INDIRECT("'Tracker'!"&amp;ADDRESS(MATCH($A11, Tracker[Anime Name], 0) + 2, 8)), "")</f>
        <v/>
      </c>
      <c r="I11" s="68" t="s">
        <v>200</v>
      </c>
      <c r="J11" s="65" t="str">
        <f>IF(Backlog!$A$10&lt;&gt;"",Backlog!$A$10,"")</f>
        <v>Code Geass: Lelouch of the Rebellion R2</v>
      </c>
      <c r="K11" s="72">
        <f>IF(Backlog!$B$10&lt;&gt;"",Backlog!$B$10,"")</f>
        <v>2</v>
      </c>
      <c r="L11" s="123" t="str">
        <f>IF(Backlog!$C$10&lt;&gt;"",Backlog!$C$10,"")</f>
        <v>DL</v>
      </c>
      <c r="N11" s="65" t="str">
        <f>IF(Completed!$A$10&lt;&gt;"",Completed!$A$10,"")</f>
        <v>Durarara!!</v>
      </c>
      <c r="O11" s="72">
        <f>IF(Completed!$B$10&lt;&gt;"",Completed!$B$10,"")</f>
        <v>1</v>
      </c>
      <c r="P11" s="72">
        <f ca="1">IF($N$11&lt;&gt;"", INDIRECT("'Tracker'!"&amp;ADDRESS(MATCH($N$11, Tracker[Anime Name], 0) + 2, 3)), "")</f>
        <v>25</v>
      </c>
      <c r="Q11" s="66" t="str">
        <f ca="1">IF($N$11&lt;&gt;"", INDIRECT("'Tracker'!"&amp;ADDRESS(MATCH($N$11, Tracker[Anime Name], 0) + 2, 4)), "")</f>
        <v>B</v>
      </c>
      <c r="R11" s="66" t="str">
        <f ca="1">IF($N$11&lt;&gt;"", INDIRECT("'Tracker'!"&amp;ADDRESS(MATCH($N$11, Tracker[Anime Name], 0) + 2, 5)), "")</f>
        <v>720p</v>
      </c>
      <c r="S11" s="66" t="str">
        <f ca="1">IF($N$11&lt;&gt;"", INDIRECT("'Tracker'!"&amp;ADDRESS(MATCH($N$11, Tracker[Anime Name], 0) + 2, 6)), "")</f>
        <v>BD</v>
      </c>
      <c r="T11" s="66" t="str">
        <f ca="1">IF($N$11&lt;&gt;"", INDIRECT("'Tracker'!"&amp;ADDRESS(MATCH($N$11, Tracker[Anime Name], 0) + 2, 7)), "")</f>
        <v>2009D</v>
      </c>
      <c r="U11" s="72" t="str">
        <f ca="1">IF($N$11&lt;&gt;"", INDIRECT("'Tracker'!"&amp;ADDRESS(MATCH($N$11, Tracker[Anime Name], 0) + 2, 8)), "")</f>
        <v>Coalgirls, gg</v>
      </c>
      <c r="V11" s="109">
        <f>IF(Completed!$C$10&lt;&gt;"",Completed!$C$10,"")</f>
        <v>10</v>
      </c>
      <c r="W11" s="109">
        <f>IF(Completed!$D$10&lt;&gt;"",Completed!$D$10,"")</f>
        <v>9</v>
      </c>
      <c r="X11" s="109">
        <f>IF(Completed!$E$10&lt;&gt;"",Completed!$E$10,"")</f>
        <v>4</v>
      </c>
      <c r="Y11" s="109">
        <f>IF(Completed!$F$10&lt;&gt;"",Completed!$F$10,"")</f>
        <v>9.5</v>
      </c>
      <c r="Z11" s="125">
        <f>IF(Completed!$G$10&lt;&gt;"",Completed!$G$10,"")</f>
        <v>9.1947236180904515</v>
      </c>
      <c r="AA11" s="136">
        <f>IF(Completed!$H$10&lt;&gt;"",Completed!$H$10,"")</f>
        <v>8.9557760215234552</v>
      </c>
      <c r="AB11" s="110">
        <f>IF(Completed!$I$10&lt;&gt;"",Completed!$I$10,"")</f>
        <v>41750</v>
      </c>
      <c r="AC11" s="110">
        <f>IF(Completed!$J$10&lt;&gt;"",Completed!$J$10,"")</f>
        <v>41756</v>
      </c>
      <c r="AD11" s="126" t="str">
        <f>IF(Completed!$K$10&lt;&gt;"",Completed!$K$10,"")</f>
        <v>Celty Sturluson</v>
      </c>
      <c r="AE11" s="127" t="str">
        <f>IF(Completed!$L$10&lt;&gt;"",Completed!$L$10,"")</f>
        <v/>
      </c>
    </row>
    <row r="12" spans="1:31">
      <c r="A12" s="153"/>
      <c r="B12" s="157"/>
      <c r="C12" s="158"/>
      <c r="D12" s="155"/>
      <c r="E12" s="155"/>
      <c r="F12" s="179"/>
      <c r="G12" s="174" t="str">
        <f ca="1">IF($A12&lt;&gt;"", INDIRECT("'Tracker'!"&amp;ADDRESS(MATCH($A12, Tracker[Anime Name], 0) + 2, 4)), "")</f>
        <v/>
      </c>
      <c r="H12" s="167" t="str">
        <f ca="1">IF($A12&lt;&gt;"", INDIRECT("'Tracker'!"&amp;ADDRESS(MATCH($A12, Tracker[Anime Name], 0) + 2, 8)), "")</f>
        <v/>
      </c>
      <c r="I12" s="68" t="s">
        <v>200</v>
      </c>
      <c r="J12" s="65" t="str">
        <f>IF(Backlog!$A$11&lt;&gt;"",Backlog!$A$11,"")</f>
        <v>Danganronpa the Animation</v>
      </c>
      <c r="K12" s="72">
        <f>IF(Backlog!$B$11&lt;&gt;"",Backlog!$B$11,"")</f>
        <v>1</v>
      </c>
      <c r="L12" s="123" t="str">
        <f>IF(Backlog!$C$11&lt;&gt;"",Backlog!$C$11,"")</f>
        <v>DL</v>
      </c>
      <c r="N12" s="65" t="str">
        <f>IF(Completed!$A$11&lt;&gt;"",Completed!$A$11,"")</f>
        <v>Mikakunin no Shinkoukei</v>
      </c>
      <c r="O12" s="72">
        <f>IF(Completed!$B$11&lt;&gt;"",Completed!$B$11,"")</f>
        <v>1</v>
      </c>
      <c r="P12" s="72">
        <f ca="1">IF($N$12&lt;&gt;"", INDIRECT("'Tracker'!"&amp;ADDRESS(MATCH($N$12, Tracker[Anime Name], 0) + 2, 3)), "")</f>
        <v>12</v>
      </c>
      <c r="Q12" s="66" t="str">
        <f ca="1">IF($N$12&lt;&gt;"", INDIRECT("'Tracker'!"&amp;ADDRESS(MATCH($N$12, Tracker[Anime Name], 0) + 2, 4)), "")</f>
        <v>B</v>
      </c>
      <c r="R12" s="66" t="str">
        <f ca="1">IF($N$12&lt;&gt;"", INDIRECT("'Tracker'!"&amp;ADDRESS(MATCH($N$12, Tracker[Anime Name], 0) + 2, 5)), "")</f>
        <v>720p</v>
      </c>
      <c r="S12" s="66" t="str">
        <f ca="1">IF($N$12&lt;&gt;"", INDIRECT("'Tracker'!"&amp;ADDRESS(MATCH($N$12, Tracker[Anime Name], 0) + 2, 6)), "")</f>
        <v>TV</v>
      </c>
      <c r="T12" s="66" t="str">
        <f ca="1">IF($N$12&lt;&gt;"", INDIRECT("'Tracker'!"&amp;ADDRESS(MATCH($N$12, Tracker[Anime Name], 0) + 2, 7)), "")</f>
        <v>2013D</v>
      </c>
      <c r="U12" s="72" t="str">
        <f ca="1">IF($N$12&lt;&gt;"", INDIRECT("'Tracker'!"&amp;ADDRESS(MATCH($N$12, Tracker[Anime Name], 0) + 2, 8)), "")</f>
        <v>Underwater</v>
      </c>
      <c r="V12" s="109">
        <f>IF(Completed!$C$11&lt;&gt;"",Completed!$C$11,"")</f>
        <v>9</v>
      </c>
      <c r="W12" s="109">
        <f>IF(Completed!$D$11&lt;&gt;"",Completed!$D$11,"")</f>
        <v>9</v>
      </c>
      <c r="X12" s="109">
        <f>IF(Completed!$E$11&lt;&gt;"",Completed!$E$11,"")</f>
        <v>7.5</v>
      </c>
      <c r="Y12" s="109">
        <f>IF(Completed!$F$11&lt;&gt;"",Completed!$F$11,"")</f>
        <v>9.5</v>
      </c>
      <c r="Z12" s="125">
        <f>IF(Completed!$G$11&lt;&gt;"",Completed!$G$11,"")</f>
        <v>9.1783919597989954</v>
      </c>
      <c r="AA12" s="136">
        <f>IF(Completed!$H$11&lt;&gt;"",Completed!$H$11,"")</f>
        <v>8.933916260299311</v>
      </c>
      <c r="AB12" s="110">
        <f>IF(Completed!$I$11&lt;&gt;"",Completed!$I$11,"")</f>
        <v>41814</v>
      </c>
      <c r="AC12" s="110">
        <f>IF(Completed!$J$11&lt;&gt;"",Completed!$J$11,"")</f>
        <v>41815</v>
      </c>
      <c r="AD12" s="126" t="str">
        <f>IF(Completed!$K$11&lt;&gt;"",Completed!$K$11,"")</f>
        <v>Yonomori Kobeni</v>
      </c>
      <c r="AE12" s="127" t="str">
        <f>IF(Completed!$L$11&lt;&gt;"",Completed!$L$11,"")</f>
        <v>This show is good.</v>
      </c>
    </row>
    <row r="13" spans="1:31">
      <c r="A13" s="153"/>
      <c r="B13" s="157"/>
      <c r="C13" s="158"/>
      <c r="D13" s="155"/>
      <c r="E13" s="155"/>
      <c r="F13" s="179"/>
      <c r="G13" s="174" t="str">
        <f ca="1">IF($A13&lt;&gt;"", INDIRECT("'Tracker'!"&amp;ADDRESS(MATCH($A13, Tracker[Anime Name], 0) + 2, 4)), "")</f>
        <v/>
      </c>
      <c r="H13" s="167" t="str">
        <f ca="1">IF($A13&lt;&gt;"", INDIRECT("'Tracker'!"&amp;ADDRESS(MATCH($A13, Tracker[Anime Name], 0) + 2, 8)), "")</f>
        <v/>
      </c>
      <c r="I13" s="68" t="s">
        <v>200</v>
      </c>
      <c r="J13" s="65" t="str">
        <f>IF(Backlog!$A$12&lt;&gt;"",Backlog!$A$12,"")</f>
        <v>Darker than Black</v>
      </c>
      <c r="K13" s="72">
        <f>IF(Backlog!$B$12&lt;&gt;"",Backlog!$B$12,"")</f>
        <v>1</v>
      </c>
      <c r="L13" s="123" t="str">
        <f>IF(Backlog!$C$12&lt;&gt;"",Backlog!$C$12,"")</f>
        <v>DL</v>
      </c>
      <c r="N13" s="65" t="str">
        <f>IF(Completed!$A$12&lt;&gt;"",Completed!$A$12,"")</f>
        <v>Spice and Wolf</v>
      </c>
      <c r="O13" s="72">
        <f>IF(Completed!$B$12&lt;&gt;"",Completed!$B$12,"")</f>
        <v>1</v>
      </c>
      <c r="P13" s="72">
        <f ca="1">IF($N$13&lt;&gt;"", INDIRECT("'Tracker'!"&amp;ADDRESS(MATCH($N$13, Tracker[Anime Name], 0) + 2, 3)), "")</f>
        <v>13</v>
      </c>
      <c r="Q13" s="66" t="str">
        <f ca="1">IF($N$13&lt;&gt;"", INDIRECT("'Tracker'!"&amp;ADDRESS(MATCH($N$13, Tracker[Anime Name], 0) + 2, 4)), "")</f>
        <v>B</v>
      </c>
      <c r="R13" s="66" t="str">
        <f ca="1">IF($N$13&lt;&gt;"", INDIRECT("'Tracker'!"&amp;ADDRESS(MATCH($N$13, Tracker[Anime Name], 0) + 2, 5)), "")</f>
        <v>720p</v>
      </c>
      <c r="S13" s="66" t="str">
        <f ca="1">IF($N$13&lt;&gt;"", INDIRECT("'Tracker'!"&amp;ADDRESS(MATCH($N$13, Tracker[Anime Name], 0) + 2, 6)), "")</f>
        <v>BD</v>
      </c>
      <c r="T13" s="66" t="str">
        <f ca="1">IF($N$13&lt;&gt;"", INDIRECT("'Tracker'!"&amp;ADDRESS(MATCH($N$13, Tracker[Anime Name], 0) + 2, 7)), "")</f>
        <v>2007D</v>
      </c>
      <c r="U13" s="72" t="str">
        <f ca="1">IF($N$13&lt;&gt;"", INDIRECT("'Tracker'!"&amp;ADDRESS(MATCH($N$13, Tracker[Anime Name], 0) + 2, 8)), "")</f>
        <v>Coalgirls, sudo</v>
      </c>
      <c r="V13" s="109">
        <f>IF(Completed!$C$12&lt;&gt;"",Completed!$C$12,"")</f>
        <v>9</v>
      </c>
      <c r="W13" s="109">
        <f>IF(Completed!$D$12&lt;&gt;"",Completed!$D$12,"")</f>
        <v>9.5</v>
      </c>
      <c r="X13" s="109">
        <f>IF(Completed!$E$12&lt;&gt;"",Completed!$E$12,"")</f>
        <v>4.5</v>
      </c>
      <c r="Y13" s="109">
        <f>IF(Completed!$F$12&lt;&gt;"",Completed!$F$12,"")</f>
        <v>9.5</v>
      </c>
      <c r="Z13" s="125">
        <f>IF(Completed!$G$12&lt;&gt;"",Completed!$G$12,"")</f>
        <v>9.1695979899497502</v>
      </c>
      <c r="AA13" s="136">
        <f>IF(Completed!$H$12&lt;&gt;"",Completed!$H$12,"")</f>
        <v>8.9221456196401565</v>
      </c>
      <c r="AB13" s="110">
        <f>IF(Completed!$I$12&lt;&gt;"",Completed!$I$12,"")</f>
        <v>41357</v>
      </c>
      <c r="AC13" s="110">
        <f>IF(Completed!$J$12&lt;&gt;"",Completed!$J$12,"")</f>
        <v>41357</v>
      </c>
      <c r="AD13" s="126" t="str">
        <f>IF(Completed!$K$12&lt;&gt;"",Completed!$K$12,"")</f>
        <v>Nora Adrendt</v>
      </c>
      <c r="AE13" s="127" t="str">
        <f>IF(Completed!$L$12&lt;&gt;"",Completed!$L$12,"")</f>
        <v/>
      </c>
    </row>
    <row r="14" spans="1:31">
      <c r="A14" s="153"/>
      <c r="B14" s="156"/>
      <c r="C14" s="155"/>
      <c r="D14" s="155"/>
      <c r="E14" s="155"/>
      <c r="F14" s="178"/>
      <c r="G14" s="174" t="str">
        <f ca="1">IF($A14&lt;&gt;"", INDIRECT("'Tracker'!"&amp;ADDRESS(MATCH($A14, Tracker[Anime Name], 0) + 2, 4)), "")</f>
        <v/>
      </c>
      <c r="H14" s="167" t="str">
        <f ca="1">IF($A14&lt;&gt;"", INDIRECT("'Tracker'!"&amp;ADDRESS(MATCH($A14, Tracker[Anime Name], 0) + 2, 8)), "")</f>
        <v/>
      </c>
      <c r="I14" s="68" t="s">
        <v>200</v>
      </c>
      <c r="J14" s="65" t="str">
        <f>IF(Backlog!$A$13&lt;&gt;"",Backlog!$A$13,"")</f>
        <v>Date-A-Live</v>
      </c>
      <c r="K14" s="72">
        <f>IF(Backlog!$B$13&lt;&gt;"",Backlog!$B$13,"")</f>
        <v>1</v>
      </c>
      <c r="L14" s="123" t="str">
        <f>IF(Backlog!$C$13&lt;&gt;"",Backlog!$C$13,"")</f>
        <v>DL</v>
      </c>
      <c r="N14" s="65" t="str">
        <f>IF(Completed!$A$13&lt;&gt;"",Completed!$A$13,"")</f>
        <v>Shakugan no Shana Final</v>
      </c>
      <c r="O14" s="72">
        <f>IF(Completed!$B$13&lt;&gt;"",Completed!$B$13,"")</f>
        <v>3</v>
      </c>
      <c r="P14" s="72">
        <f ca="1">IF($N$14&lt;&gt;"", INDIRECT("'Tracker'!"&amp;ADDRESS(MATCH($N$14, Tracker[Anime Name], 0) + 2, 3)), "")</f>
        <v>24</v>
      </c>
      <c r="Q14" s="66" t="str">
        <f ca="1">IF($N$14&lt;&gt;"", INDIRECT("'Tracker'!"&amp;ADDRESS(MATCH($N$14, Tracker[Anime Name], 0) + 2, 4)), "")</f>
        <v>A</v>
      </c>
      <c r="R14" s="66" t="str">
        <f ca="1">IF($N$14&lt;&gt;"", INDIRECT("'Tracker'!"&amp;ADDRESS(MATCH($N$14, Tracker[Anime Name], 0) + 2, 5)), "")</f>
        <v>720p</v>
      </c>
      <c r="S14" s="66" t="str">
        <f ca="1">IF($N$14&lt;&gt;"", INDIRECT("'Tracker'!"&amp;ADDRESS(MATCH($N$14, Tracker[Anime Name], 0) + 2, 6)), "")</f>
        <v>BD</v>
      </c>
      <c r="T14" s="66" t="str">
        <f ca="1">IF($N$14&lt;&gt;"", INDIRECT("'Tracker'!"&amp;ADDRESS(MATCH($N$14, Tracker[Anime Name], 0) + 2, 7)), "")</f>
        <v>2011C</v>
      </c>
      <c r="U14" s="72" t="str">
        <f ca="1">IF($N$14&lt;&gt;"", INDIRECT("'Tracker'!"&amp;ADDRESS(MATCH($N$14, Tracker[Anime Name], 0) + 2, 8)), "")</f>
        <v>Doki</v>
      </c>
      <c r="V14" s="109">
        <f>IF(Completed!$C$13&lt;&gt;"",Completed!$C$13,"")</f>
        <v>10</v>
      </c>
      <c r="W14" s="109">
        <f>IF(Completed!$D$13&lt;&gt;"",Completed!$D$13,"")</f>
        <v>8.5</v>
      </c>
      <c r="X14" s="109">
        <f>IF(Completed!$E$13&lt;&gt;"",Completed!$E$13,"")</f>
        <v>6</v>
      </c>
      <c r="Y14" s="109">
        <f>IF(Completed!$F$13&lt;&gt;"",Completed!$F$13,"")</f>
        <v>9.5</v>
      </c>
      <c r="Z14" s="125">
        <f>IF(Completed!$G$13&lt;&gt;"",Completed!$G$13,"")</f>
        <v>9.1557788944723608</v>
      </c>
      <c r="AA14" s="136">
        <f>IF(Completed!$H$13&lt;&gt;"",Completed!$H$13,"")</f>
        <v>8.9036488986043363</v>
      </c>
      <c r="AB14" s="110">
        <f>IF(Completed!$I$13&lt;&gt;"",Completed!$I$13,"")</f>
        <v>41400</v>
      </c>
      <c r="AC14" s="110">
        <f>IF(Completed!$J$13&lt;&gt;"",Completed!$J$13,"")</f>
        <v>41402</v>
      </c>
      <c r="AD14" s="126" t="str">
        <f>IF(Completed!$K$13&lt;&gt;"",Completed!$K$13,"")</f>
        <v>Shana</v>
      </c>
      <c r="AE14" s="127" t="str">
        <f>IF(Completed!$L$13&lt;&gt;"",Completed!$L$13,"")</f>
        <v/>
      </c>
    </row>
    <row r="15" spans="1:31">
      <c r="A15" s="153"/>
      <c r="B15" s="156"/>
      <c r="C15" s="155"/>
      <c r="D15" s="155"/>
      <c r="E15" s="155"/>
      <c r="F15" s="177"/>
      <c r="G15" s="174" t="str">
        <f ca="1">IF($A15&lt;&gt;"", INDIRECT("'Tracker'!"&amp;ADDRESS(MATCH($A15, Tracker[Anime Name], 0) + 2, 4)), "")</f>
        <v/>
      </c>
      <c r="H15" s="167" t="str">
        <f ca="1">IF($A15&lt;&gt;"", INDIRECT("'Tracker'!"&amp;ADDRESS(MATCH($A15, Tracker[Anime Name], 0) + 2, 8)), "")</f>
        <v/>
      </c>
      <c r="I15" s="68" t="s">
        <v>200</v>
      </c>
      <c r="J15" s="65" t="str">
        <f>IF(Backlog!$A$14&lt;&gt;"",Backlog!$A$14,"")</f>
        <v>Dennou Coil</v>
      </c>
      <c r="K15" s="72">
        <f>IF(Backlog!$B$14&lt;&gt;"",Backlog!$B$14,"")</f>
        <v>1</v>
      </c>
      <c r="L15" s="123" t="str">
        <f>IF(Backlog!$C$14&lt;&gt;"",Backlog!$C$14,"")</f>
        <v>DL</v>
      </c>
      <c r="N15" s="65" t="str">
        <f>IF(Completed!$A$14&lt;&gt;"",Completed!$A$14,"")</f>
        <v>Log Horizon</v>
      </c>
      <c r="O15" s="72">
        <f>IF(Completed!$B$14&lt;&gt;"",Completed!$B$14,"")</f>
        <v>1</v>
      </c>
      <c r="P15" s="72">
        <f ca="1">IF($N$15&lt;&gt;"", INDIRECT("'Tracker'!"&amp;ADDRESS(MATCH($N$15, Tracker[Anime Name], 0) + 2, 3)), "")</f>
        <v>25</v>
      </c>
      <c r="Q15" s="66" t="str">
        <f ca="1">IF($N$15&lt;&gt;"", INDIRECT("'Tracker'!"&amp;ADDRESS(MATCH($N$15, Tracker[Anime Name], 0) + 2, 4)), "")</f>
        <v>B</v>
      </c>
      <c r="R15" s="66" t="str">
        <f ca="1">IF($N$15&lt;&gt;"", INDIRECT("'Tracker'!"&amp;ADDRESS(MATCH($N$15, Tracker[Anime Name], 0) + 2, 5)), "")</f>
        <v>720p</v>
      </c>
      <c r="S15" s="66" t="str">
        <f ca="1">IF($N$15&lt;&gt;"", INDIRECT("'Tracker'!"&amp;ADDRESS(MATCH($N$15, Tracker[Anime Name], 0) + 2, 6)), "")</f>
        <v>TV</v>
      </c>
      <c r="T15" s="66" t="str">
        <f ca="1">IF($N$15&lt;&gt;"", INDIRECT("'Tracker'!"&amp;ADDRESS(MATCH($N$15, Tracker[Anime Name], 0) + 2, 7)), "")</f>
        <v>2013C</v>
      </c>
      <c r="U15" s="72" t="str">
        <f ca="1">IF($N$15&lt;&gt;"", INDIRECT("'Tracker'!"&amp;ADDRESS(MATCH($N$15, Tracker[Anime Name], 0) + 2, 8)), "")</f>
        <v>HorribleSubs</v>
      </c>
      <c r="V15" s="109">
        <f>IF(Completed!$C$14&lt;&gt;"",Completed!$C$14,"")</f>
        <v>9</v>
      </c>
      <c r="W15" s="109">
        <f>IF(Completed!$D$14&lt;&gt;"",Completed!$D$14,"")</f>
        <v>9</v>
      </c>
      <c r="X15" s="109">
        <f>IF(Completed!$E$14&lt;&gt;"",Completed!$E$14,"")</f>
        <v>6.5</v>
      </c>
      <c r="Y15" s="109">
        <f>IF(Completed!$F$14&lt;&gt;"",Completed!$F$14,"")</f>
        <v>9.5</v>
      </c>
      <c r="Z15" s="125">
        <f>IF(Completed!$G$14&lt;&gt;"",Completed!$G$14,"")</f>
        <v>9.1306532663316595</v>
      </c>
      <c r="AA15" s="136">
        <f>IF(Completed!$H$14&lt;&gt;"",Completed!$H$14,"")</f>
        <v>8.8700184967210376</v>
      </c>
      <c r="AB15" s="110">
        <f>IF(Completed!$I$14&lt;&gt;"",Completed!$I$14,"")</f>
        <v>41555</v>
      </c>
      <c r="AC15" s="110">
        <f>IF(Completed!$J$14&lt;&gt;"",Completed!$J$14,"")</f>
        <v>41720</v>
      </c>
      <c r="AD15" s="126" t="str">
        <f>IF(Completed!$K$14&lt;&gt;"",Completed!$K$14,"")</f>
        <v>Akatsuki</v>
      </c>
      <c r="AE15" s="127" t="str">
        <f>IF(Completed!$L$14&lt;&gt;"",Completed!$L$14,"")</f>
        <v>Very well thought out world, good design</v>
      </c>
    </row>
    <row r="16" spans="1:31">
      <c r="A16" s="153"/>
      <c r="B16" s="156"/>
      <c r="C16" s="155"/>
      <c r="D16" s="155"/>
      <c r="E16" s="155"/>
      <c r="F16" s="179"/>
      <c r="G16" s="174" t="str">
        <f ca="1">IF($A16&lt;&gt;"", INDIRECT("'Tracker'!"&amp;ADDRESS(MATCH($A16, Tracker[Anime Name], 0) + 2, 4)), "")</f>
        <v/>
      </c>
      <c r="H16" s="167" t="str">
        <f ca="1">IF($A16&lt;&gt;"", INDIRECT("'Tracker'!"&amp;ADDRESS(MATCH($A16, Tracker[Anime Name], 0) + 2, 8)), "")</f>
        <v/>
      </c>
      <c r="I16" s="68" t="s">
        <v>200</v>
      </c>
      <c r="J16" s="65" t="str">
        <f>IF(Backlog!$A$15&lt;&gt;"",Backlog!$A$15,"")</f>
        <v>Denpa Onna to Seishun Otoko</v>
      </c>
      <c r="K16" s="72">
        <f>IF(Backlog!$B$15&lt;&gt;"",Backlog!$B$15,"")</f>
        <v>1</v>
      </c>
      <c r="L16" s="123" t="str">
        <f>IF(Backlog!$C$15&lt;&gt;"",Backlog!$C$15,"")</f>
        <v>DL</v>
      </c>
      <c r="N16" s="65" t="str">
        <f>IF(Completed!$A$15&lt;&gt;"",Completed!$A$15,"")</f>
        <v>Oda Nobuna no Yabou</v>
      </c>
      <c r="O16" s="72">
        <f>IF(Completed!$B$15&lt;&gt;"",Completed!$B$15,"")</f>
        <v>1</v>
      </c>
      <c r="P16" s="72">
        <f ca="1">IF($N$16&lt;&gt;"", INDIRECT("'Tracker'!"&amp;ADDRESS(MATCH($N$16, Tracker[Anime Name], 0) + 2, 3)), "")</f>
        <v>12</v>
      </c>
      <c r="Q16" s="66" t="str">
        <f ca="1">IF($N$16&lt;&gt;"", INDIRECT("'Tracker'!"&amp;ADDRESS(MATCH($N$16, Tracker[Anime Name], 0) + 2, 4)), "")</f>
        <v>A</v>
      </c>
      <c r="R16" s="66" t="str">
        <f ca="1">IF($N$16&lt;&gt;"", INDIRECT("'Tracker'!"&amp;ADDRESS(MATCH($N$16, Tracker[Anime Name], 0) + 2, 5)), "")</f>
        <v>1080p</v>
      </c>
      <c r="S16" s="66" t="str">
        <f ca="1">IF($N$16&lt;&gt;"", INDIRECT("'Tracker'!"&amp;ADDRESS(MATCH($N$16, Tracker[Anime Name], 0) + 2, 6)), "")</f>
        <v>BD</v>
      </c>
      <c r="T16" s="66" t="str">
        <f ca="1">IF($N$16&lt;&gt;"", INDIRECT("'Tracker'!"&amp;ADDRESS(MATCH($N$16, Tracker[Anime Name], 0) + 2, 7)), "")</f>
        <v>2012C</v>
      </c>
      <c r="U16" s="72" t="str">
        <f ca="1">IF($N$16&lt;&gt;"", INDIRECT("'Tracker'!"&amp;ADDRESS(MATCH($N$16, Tracker[Anime Name], 0) + 2, 8)), "")</f>
        <v>Doki</v>
      </c>
      <c r="V16" s="109">
        <f>IF(Completed!$C$15&lt;&gt;"",Completed!$C$15,"")</f>
        <v>9</v>
      </c>
      <c r="W16" s="109">
        <f>IF(Completed!$D$15&lt;&gt;"",Completed!$D$15,"")</f>
        <v>9.5</v>
      </c>
      <c r="X16" s="109">
        <f>IF(Completed!$E$15&lt;&gt;"",Completed!$E$15,"")</f>
        <v>6.5</v>
      </c>
      <c r="Y16" s="109">
        <f>IF(Completed!$F$15&lt;&gt;"",Completed!$F$15,"")</f>
        <v>9</v>
      </c>
      <c r="Z16" s="125">
        <f>IF(Completed!$G$15&lt;&gt;"",Completed!$G$15,"")</f>
        <v>9.0150753768844218</v>
      </c>
      <c r="AA16" s="136">
        <f>IF(Completed!$H$15&lt;&gt;"",Completed!$H$15,"")</f>
        <v>8.7153186480578437</v>
      </c>
      <c r="AB16" s="110">
        <f>IF(Completed!$I$15&lt;&gt;"",Completed!$I$15,"")</f>
        <v>41636</v>
      </c>
      <c r="AC16" s="110">
        <f>IF(Completed!$J$15&lt;&gt;"",Completed!$J$15,"")</f>
        <v>41636</v>
      </c>
      <c r="AD16" s="126" t="str">
        <f>IF(Completed!$K$15&lt;&gt;"",Completed!$K$15,"")</f>
        <v>Takenaka Hanbei</v>
      </c>
      <c r="AE16" s="127" t="str">
        <f>IF(Completed!$L$15&lt;&gt;"",Completed!$L$15,"")</f>
        <v>Really enjoyable to watch, especially with knowledge of Japanese history</v>
      </c>
    </row>
    <row r="17" spans="1:31">
      <c r="A17" s="153"/>
      <c r="B17" s="157"/>
      <c r="C17" s="158"/>
      <c r="D17" s="155"/>
      <c r="E17" s="155"/>
      <c r="F17" s="179"/>
      <c r="G17" s="174" t="str">
        <f ca="1">IF($A17&lt;&gt;"", INDIRECT("'Tracker'!"&amp;ADDRESS(MATCH($A17, Tracker[Anime Name], 0) + 2, 4)), "")</f>
        <v/>
      </c>
      <c r="H17" s="167" t="str">
        <f ca="1">IF($A17&lt;&gt;"", INDIRECT("'Tracker'!"&amp;ADDRESS(MATCH($A17, Tracker[Anime Name], 0) + 2, 8)), "")</f>
        <v/>
      </c>
      <c r="I17" s="68" t="s">
        <v>200</v>
      </c>
      <c r="J17" s="65" t="str">
        <f>IF(Backlog!$A$16&lt;&gt;"",Backlog!$A$16,"")</f>
        <v>Fate / Zero</v>
      </c>
      <c r="K17" s="72">
        <f>IF(Backlog!$B$16&lt;&gt;"",Backlog!$B$16,"")</f>
        <v>1</v>
      </c>
      <c r="L17" s="123" t="str">
        <f>IF(Backlog!$C$16&lt;&gt;"",Backlog!$C$16,"")</f>
        <v>DL</v>
      </c>
      <c r="N17" s="65" t="str">
        <f>IF(Completed!$A$16&lt;&gt;"",Completed!$A$16,"")</f>
        <v>Angel Beats!</v>
      </c>
      <c r="O17" s="72">
        <f>IF(Completed!$B$16&lt;&gt;"",Completed!$B$16,"")</f>
        <v>1</v>
      </c>
      <c r="P17" s="72">
        <f ca="1">IF($N$17&lt;&gt;"", INDIRECT("'Tracker'!"&amp;ADDRESS(MATCH($N$17, Tracker[Anime Name], 0) + 2, 3)), "")</f>
        <v>14</v>
      </c>
      <c r="Q17" s="66" t="str">
        <f ca="1">IF($N$17&lt;&gt;"", INDIRECT("'Tracker'!"&amp;ADDRESS(MATCH($N$17, Tracker[Anime Name], 0) + 2, 4)), "")</f>
        <v>A</v>
      </c>
      <c r="R17" s="66" t="str">
        <f ca="1">IF($N$17&lt;&gt;"", INDIRECT("'Tracker'!"&amp;ADDRESS(MATCH($N$17, Tracker[Anime Name], 0) + 2, 5)), "")</f>
        <v>720p</v>
      </c>
      <c r="S17" s="66" t="str">
        <f ca="1">IF($N$17&lt;&gt;"", INDIRECT("'Tracker'!"&amp;ADDRESS(MATCH($N$17, Tracker[Anime Name], 0) + 2, 6)), "")</f>
        <v>BD</v>
      </c>
      <c r="T17" s="66" t="str">
        <f ca="1">IF($N$17&lt;&gt;"", INDIRECT("'Tracker'!"&amp;ADDRESS(MATCH($N$17, Tracker[Anime Name], 0) + 2, 7)), "")</f>
        <v>2010A</v>
      </c>
      <c r="U17" s="72" t="str">
        <f ca="1">IF($N$17&lt;&gt;"", INDIRECT("'Tracker'!"&amp;ADDRESS(MATCH($N$17, Tracker[Anime Name], 0) + 2, 8)), "")</f>
        <v>Doki</v>
      </c>
      <c r="V17" s="109">
        <f>IF(Completed!$C$16&lt;&gt;"",Completed!$C$16,"")</f>
        <v>9</v>
      </c>
      <c r="W17" s="109">
        <f>IF(Completed!$D$16&lt;&gt;"",Completed!$D$16,"")</f>
        <v>9</v>
      </c>
      <c r="X17" s="109">
        <f>IF(Completed!$E$16&lt;&gt;"",Completed!$E$16,"")</f>
        <v>4</v>
      </c>
      <c r="Y17" s="109">
        <f>IF(Completed!$F$16&lt;&gt;"",Completed!$F$16,"")</f>
        <v>9.5</v>
      </c>
      <c r="Z17" s="125">
        <f>IF(Completed!$G$16&lt;&gt;"",Completed!$G$16,"")</f>
        <v>9.011306532663319</v>
      </c>
      <c r="AA17" s="136">
        <f>IF(Completed!$H$16&lt;&gt;"",Completed!$H$16,"")</f>
        <v>8.7102740877753533</v>
      </c>
      <c r="AB17" s="110">
        <f>IF(Completed!$I$16&lt;&gt;"",Completed!$I$16,"")</f>
        <v>41295</v>
      </c>
      <c r="AC17" s="110">
        <f>IF(Completed!$J$16&lt;&gt;"",Completed!$J$16,"")</f>
        <v>41300</v>
      </c>
      <c r="AD17" s="126" t="str">
        <f>IF(Completed!$K$16&lt;&gt;"",Completed!$K$16,"")</f>
        <v>Tachibana Kanade</v>
      </c>
      <c r="AE17" s="127" t="str">
        <f>IF(Completed!$L$16&lt;&gt;"",Completed!$L$16,"")</f>
        <v>Not enough angel, not enough beats</v>
      </c>
    </row>
    <row r="18" spans="1:31">
      <c r="A18" s="153"/>
      <c r="B18" s="159"/>
      <c r="C18" s="158"/>
      <c r="D18" s="158"/>
      <c r="E18" s="158"/>
      <c r="F18" s="180"/>
      <c r="G18" s="174" t="str">
        <f ca="1">IF($A18&lt;&gt;"", INDIRECT("'Tracker'!"&amp;ADDRESS(MATCH($A18, Tracker[Anime Name], 0) + 2, 4)), "")</f>
        <v/>
      </c>
      <c r="H18" s="167" t="str">
        <f ca="1">IF($A18&lt;&gt;"", INDIRECT("'Tracker'!"&amp;ADDRESS(MATCH($A18, Tracker[Anime Name], 0) + 2, 8)), "")</f>
        <v/>
      </c>
      <c r="I18" s="68" t="s">
        <v>200</v>
      </c>
      <c r="J18" s="65" t="str">
        <f>IF(Backlog!$A$17&lt;&gt;"",Backlog!$A$17,"")</f>
        <v>FLCL</v>
      </c>
      <c r="K18" s="72">
        <f>IF(Backlog!$B$17&lt;&gt;"",Backlog!$B$17,"")</f>
        <v>1</v>
      </c>
      <c r="L18" s="123" t="str">
        <f>IF(Backlog!$C$17&lt;&gt;"",Backlog!$C$17,"")</f>
        <v>DL</v>
      </c>
      <c r="N18" s="65" t="str">
        <f>IF(Completed!$A$17&lt;&gt;"",Completed!$A$17,"")</f>
        <v>Sidonia no Kishi</v>
      </c>
      <c r="O18" s="72">
        <f>IF(Completed!$B$17&lt;&gt;"",Completed!$B$17,"")</f>
        <v>1</v>
      </c>
      <c r="P18" s="72">
        <f ca="1">IF($N$18&lt;&gt;"", INDIRECT("'Tracker'!"&amp;ADDRESS(MATCH($N$18, Tracker[Anime Name], 0) + 2, 3)), "")</f>
        <v>12</v>
      </c>
      <c r="Q18" s="66" t="str">
        <f ca="1">IF($N$18&lt;&gt;"", INDIRECT("'Tracker'!"&amp;ADDRESS(MATCH($N$18, Tracker[Anime Name], 0) + 2, 4)), "")</f>
        <v>B</v>
      </c>
      <c r="R18" s="66" t="str">
        <f ca="1">IF($N$18&lt;&gt;"", INDIRECT("'Tracker'!"&amp;ADDRESS(MATCH($N$18, Tracker[Anime Name], 0) + 2, 5)), "")</f>
        <v>720p</v>
      </c>
      <c r="S18" s="66" t="str">
        <f ca="1">IF($N$18&lt;&gt;"", INDIRECT("'Tracker'!"&amp;ADDRESS(MATCH($N$18, Tracker[Anime Name], 0) + 2, 6)), "")</f>
        <v>TV</v>
      </c>
      <c r="T18" s="66" t="str">
        <f ca="1">IF($N$18&lt;&gt;"", INDIRECT("'Tracker'!"&amp;ADDRESS(MATCH($N$18, Tracker[Anime Name], 0) + 2, 7)), "")</f>
        <v>2014A</v>
      </c>
      <c r="U18" s="72" t="str">
        <f ca="1">IF($N$18&lt;&gt;"", INDIRECT("'Tracker'!"&amp;ADDRESS(MATCH($N$18, Tracker[Anime Name], 0) + 2, 8)), "")</f>
        <v>Underwater</v>
      </c>
      <c r="V18" s="109">
        <f>IF(Completed!$C$17&lt;&gt;"",Completed!$C$17,"")</f>
        <v>10</v>
      </c>
      <c r="W18" s="109">
        <f>IF(Completed!$D$17&lt;&gt;"",Completed!$D$17,"")</f>
        <v>9</v>
      </c>
      <c r="X18" s="109">
        <f>IF(Completed!$E$17&lt;&gt;"",Completed!$E$17,"")</f>
        <v>5</v>
      </c>
      <c r="Y18" s="109">
        <f>IF(Completed!$F$17&lt;&gt;"",Completed!$F$17,"")</f>
        <v>9</v>
      </c>
      <c r="Z18" s="125">
        <f>IF(Completed!$G$17&lt;&gt;"",Completed!$G$17,"")</f>
        <v>8.9924623115577891</v>
      </c>
      <c r="AA18" s="136">
        <f>IF(Completed!$H$17&lt;&gt;"",Completed!$H$17,"")</f>
        <v>8.6850512863628726</v>
      </c>
      <c r="AB18" s="110">
        <f>IF(Completed!$I$17&lt;&gt;"",Completed!$I$17,"")</f>
        <v>41796</v>
      </c>
      <c r="AC18" s="110">
        <f>IF(Completed!$J$17&lt;&gt;"",Completed!$J$17,"")</f>
        <v>41816</v>
      </c>
      <c r="AD18" s="126" t="s">
        <v>691</v>
      </c>
      <c r="AE18" s="127" t="str">
        <f>IF(Completed!$L$17&lt;&gt;"",Completed!$L$17,"")</f>
        <v/>
      </c>
    </row>
    <row r="19" spans="1:31">
      <c r="A19" s="153"/>
      <c r="B19" s="159"/>
      <c r="C19" s="158"/>
      <c r="D19" s="158"/>
      <c r="E19" s="158"/>
      <c r="F19" s="180"/>
      <c r="G19" s="174" t="str">
        <f ca="1">IF($A19&lt;&gt;"", INDIRECT("'Tracker'!"&amp;ADDRESS(MATCH($A19, Tracker[Anime Name], 0) + 2, 4)), "")</f>
        <v/>
      </c>
      <c r="H19" s="167" t="str">
        <f ca="1">IF($A19&lt;&gt;"", INDIRECT("'Tracker'!"&amp;ADDRESS(MATCH($A19, Tracker[Anime Name], 0) + 2, 8)), "")</f>
        <v/>
      </c>
      <c r="I19" s="68" t="s">
        <v>200</v>
      </c>
      <c r="J19" s="65" t="str">
        <f>IF(Backlog!$A$18&lt;&gt;"",Backlog!$A$18,"")</f>
        <v>Fullmetal Alchemist: Brotherhood</v>
      </c>
      <c r="K19" s="72">
        <f>IF(Backlog!$B$18&lt;&gt;"",Backlog!$B$18,"")</f>
        <v>2</v>
      </c>
      <c r="L19" s="123" t="str">
        <f>IF(Backlog!$C$18&lt;&gt;"",Backlog!$C$18,"")</f>
        <v>DL</v>
      </c>
      <c r="N19" s="65" t="str">
        <f>IF(Completed!$A$18&lt;&gt;"",Completed!$A$18,"")</f>
        <v>White Album 2</v>
      </c>
      <c r="O19" s="72">
        <f>IF(Completed!$B$18&lt;&gt;"",Completed!$B$18,"")</f>
        <v>2</v>
      </c>
      <c r="P19" s="72">
        <f ca="1">IF($N$19&lt;&gt;"", INDIRECT("'Tracker'!"&amp;ADDRESS(MATCH($N$19, Tracker[Anime Name], 0) + 2, 3)), "")</f>
        <v>12</v>
      </c>
      <c r="Q19" s="66" t="str">
        <f ca="1">IF($N$19&lt;&gt;"", INDIRECT("'Tracker'!"&amp;ADDRESS(MATCH($N$19, Tracker[Anime Name], 0) + 2, 4)), "")</f>
        <v>B</v>
      </c>
      <c r="R19" s="66" t="str">
        <f ca="1">IF($N$19&lt;&gt;"", INDIRECT("'Tracker'!"&amp;ADDRESS(MATCH($N$19, Tracker[Anime Name], 0) + 2, 5)), "")</f>
        <v>720p</v>
      </c>
      <c r="S19" s="66" t="str">
        <f ca="1">IF($N$19&lt;&gt;"", INDIRECT("'Tracker'!"&amp;ADDRESS(MATCH($N$19, Tracker[Anime Name], 0) + 2, 6)), "")</f>
        <v>TV</v>
      </c>
      <c r="T19" s="66" t="str">
        <f ca="1">IF($N$19&lt;&gt;"", INDIRECT("'Tracker'!"&amp;ADDRESS(MATCH($N$19, Tracker[Anime Name], 0) + 2, 7)), "")</f>
        <v>2013C</v>
      </c>
      <c r="U19" s="72" t="str">
        <f ca="1">IF($N$19&lt;&gt;"", INDIRECT("'Tracker'!"&amp;ADDRESS(MATCH($N$19, Tracker[Anime Name], 0) + 2, 8)), "")</f>
        <v>UTW</v>
      </c>
      <c r="V19" s="109">
        <f>IF(Completed!$C$18&lt;&gt;"",Completed!$C$18,"")</f>
        <v>9</v>
      </c>
      <c r="W19" s="109">
        <f>IF(Completed!$D$18&lt;&gt;"",Completed!$D$18,"")</f>
        <v>9.5</v>
      </c>
      <c r="X19" s="109">
        <f>IF(Completed!$E$18&lt;&gt;"",Completed!$E$18,"")</f>
        <v>6</v>
      </c>
      <c r="Y19" s="109">
        <f>IF(Completed!$F$18&lt;&gt;"",Completed!$F$18,"")</f>
        <v>9</v>
      </c>
      <c r="Z19" s="125">
        <f>IF(Completed!$G$18&lt;&gt;"",Completed!$G$18,"")</f>
        <v>8.991206030150753</v>
      </c>
      <c r="AA19" s="136">
        <f>IF(Completed!$H$18&lt;&gt;"",Completed!$H$18,"")</f>
        <v>8.6833697662687044</v>
      </c>
      <c r="AB19" s="110">
        <f>IF(Completed!$I$18&lt;&gt;"",Completed!$I$18,"")</f>
        <v>41553</v>
      </c>
      <c r="AC19" s="110">
        <f>IF(Completed!$J$18&lt;&gt;"",Completed!$J$18,"")</f>
        <v>41632</v>
      </c>
      <c r="AD19" s="126" t="str">
        <f>IF(Completed!$K$18&lt;&gt;"",Completed!$K$18,"")</f>
        <v>Touma Kazusa</v>
      </c>
      <c r="AE19" s="127" t="str">
        <f>IF(Completed!$L$18&lt;&gt;"",Completed!$L$18,"")</f>
        <v/>
      </c>
    </row>
    <row r="20" spans="1:31">
      <c r="A20" s="153"/>
      <c r="B20" s="159"/>
      <c r="C20" s="158"/>
      <c r="D20" s="158"/>
      <c r="E20" s="158"/>
      <c r="F20" s="180"/>
      <c r="G20" s="174" t="str">
        <f ca="1">IF($A20&lt;&gt;"", INDIRECT("'Tracker'!"&amp;ADDRESS(MATCH($A20, Tracker[Anime Name], 0) + 2, 4)), "")</f>
        <v/>
      </c>
      <c r="H20" s="167" t="str">
        <f ca="1">IF($A20&lt;&gt;"", INDIRECT("'Tracker'!"&amp;ADDRESS(MATCH($A20, Tracker[Anime Name], 0) + 2, 8)), "")</f>
        <v/>
      </c>
      <c r="I20" s="68" t="s">
        <v>200</v>
      </c>
      <c r="J20" s="65" t="str">
        <f>IF(Backlog!$A$19&lt;&gt;"",Backlog!$A$19,"")</f>
        <v>Girls und Panzer</v>
      </c>
      <c r="K20" s="72">
        <f>IF(Backlog!$B$19&lt;&gt;"",Backlog!$B$19,"")</f>
        <v>1</v>
      </c>
      <c r="L20" s="123" t="str">
        <f>IF(Backlog!$C$19&lt;&gt;"",Backlog!$C$19,"")</f>
        <v>DL</v>
      </c>
      <c r="N20" s="65" t="str">
        <f>IF(Completed!$A$19&lt;&gt;"",Completed!$A$19,"")</f>
        <v>Shakugan no Shana</v>
      </c>
      <c r="O20" s="72">
        <f>IF(Completed!$B$19&lt;&gt;"",Completed!$B$19,"")</f>
        <v>1</v>
      </c>
      <c r="P20" s="72">
        <f ca="1">IF($N$20&lt;&gt;"", INDIRECT("'Tracker'!"&amp;ADDRESS(MATCH($N$20, Tracker[Anime Name], 0) + 2, 3)), "")</f>
        <v>24</v>
      </c>
      <c r="Q20" s="66" t="str">
        <f ca="1">IF($N$20&lt;&gt;"", INDIRECT("'Tracker'!"&amp;ADDRESS(MATCH($N$20, Tracker[Anime Name], 0) + 2, 4)), "")</f>
        <v>A</v>
      </c>
      <c r="R20" s="66" t="str">
        <f ca="1">IF($N$20&lt;&gt;"", INDIRECT("'Tracker'!"&amp;ADDRESS(MATCH($N$20, Tracker[Anime Name], 0) + 2, 5)), "")</f>
        <v>720p</v>
      </c>
      <c r="S20" s="66" t="str">
        <f ca="1">IF($N$20&lt;&gt;"", INDIRECT("'Tracker'!"&amp;ADDRESS(MATCH($N$20, Tracker[Anime Name], 0) + 2, 6)), "")</f>
        <v>BD</v>
      </c>
      <c r="T20" s="66" t="str">
        <f ca="1">IF($N$20&lt;&gt;"", INDIRECT("'Tracker'!"&amp;ADDRESS(MATCH($N$20, Tracker[Anime Name], 0) + 2, 7)), "")</f>
        <v>2005C</v>
      </c>
      <c r="U20" s="72" t="str">
        <f ca="1">IF($N$20&lt;&gt;"", INDIRECT("'Tracker'!"&amp;ADDRESS(MATCH($N$20, Tracker[Anime Name], 0) + 2, 8)), "")</f>
        <v>Elysium</v>
      </c>
      <c r="V20" s="109">
        <f>IF(Completed!$C$19&lt;&gt;"",Completed!$C$19,"")</f>
        <v>9.5</v>
      </c>
      <c r="W20" s="109">
        <f>IF(Completed!$D$19&lt;&gt;"",Completed!$D$19,"")</f>
        <v>9</v>
      </c>
      <c r="X20" s="109">
        <f>IF(Completed!$E$19&lt;&gt;"",Completed!$E$19,"")</f>
        <v>6.5</v>
      </c>
      <c r="Y20" s="109">
        <f>IF(Completed!$F$19&lt;&gt;"",Completed!$F$19,"")</f>
        <v>9</v>
      </c>
      <c r="Z20" s="125">
        <f>IF(Completed!$G$19&lt;&gt;"",Completed!$G$19,"")</f>
        <v>8.9723618090452266</v>
      </c>
      <c r="AA20" s="136">
        <f>IF(Completed!$H$19&lt;&gt;"",Completed!$H$19,"")</f>
        <v>8.6581469648562308</v>
      </c>
      <c r="AB20" s="110">
        <f>IF(Completed!$I$19&lt;&gt;"",Completed!$I$19,"")</f>
        <v>41369</v>
      </c>
      <c r="AC20" s="110">
        <f>IF(Completed!$J$19&lt;&gt;"",Completed!$J$19,"")</f>
        <v>41389</v>
      </c>
      <c r="AD20" s="126" t="str">
        <f>IF(Completed!$K$19&lt;&gt;"",Completed!$K$19,"")</f>
        <v>Shana</v>
      </c>
      <c r="AE20" s="127" t="str">
        <f>IF(Completed!$L$19&lt;&gt;"",Completed!$L$19,"")</f>
        <v>Shana &gt; Everyone else</v>
      </c>
    </row>
    <row r="21" spans="1:31">
      <c r="A21" s="153"/>
      <c r="B21" s="159"/>
      <c r="C21" s="158"/>
      <c r="D21" s="158"/>
      <c r="E21" s="158"/>
      <c r="F21" s="180"/>
      <c r="G21" s="174" t="str">
        <f ca="1">IF($A21&lt;&gt;"", INDIRECT("'Tracker'!"&amp;ADDRESS(MATCH($A21, Tracker[Anime Name], 0) + 2, 4)), "")</f>
        <v/>
      </c>
      <c r="H21" s="167" t="str">
        <f ca="1">IF($A21&lt;&gt;"", INDIRECT("'Tracker'!"&amp;ADDRESS(MATCH($A21, Tracker[Anime Name], 0) + 2, 8)), "")</f>
        <v/>
      </c>
      <c r="I21" s="68" t="s">
        <v>200</v>
      </c>
      <c r="J21" s="65" t="str">
        <f>IF(Backlog!$A$20&lt;&gt;"",Backlog!$A$20,"")</f>
        <v>GJ-bu</v>
      </c>
      <c r="K21" s="72">
        <f>IF(Backlog!$B$20&lt;&gt;"",Backlog!$B$20,"")</f>
        <v>1</v>
      </c>
      <c r="L21" s="123" t="str">
        <f>IF(Backlog!$C$20&lt;&gt;"",Backlog!$C$20,"")</f>
        <v>DL</v>
      </c>
      <c r="N21" s="65" t="str">
        <f>IF(Completed!$A$20&lt;&gt;"",Completed!$A$20,"")</f>
        <v>Kill la Kill</v>
      </c>
      <c r="O21" s="72">
        <f>IF(Completed!$B$20&lt;&gt;"",Completed!$B$20,"")</f>
        <v>1</v>
      </c>
      <c r="P21" s="72">
        <f ca="1">IF($N$21&lt;&gt;"", INDIRECT("'Tracker'!"&amp;ADDRESS(MATCH($N$21, Tracker[Anime Name], 0) + 2, 3)), "")</f>
        <v>24</v>
      </c>
      <c r="Q21" s="66" t="str">
        <f ca="1">IF($N$21&lt;&gt;"", INDIRECT("'Tracker'!"&amp;ADDRESS(MATCH($N$21, Tracker[Anime Name], 0) + 2, 4)), "")</f>
        <v>B</v>
      </c>
      <c r="R21" s="66" t="str">
        <f ca="1">IF($N$21&lt;&gt;"", INDIRECT("'Tracker'!"&amp;ADDRESS(MATCH($N$21, Tracker[Anime Name], 0) + 2, 5)), "")</f>
        <v>720p</v>
      </c>
      <c r="S21" s="66" t="str">
        <f ca="1">IF($N$21&lt;&gt;"", INDIRECT("'Tracker'!"&amp;ADDRESS(MATCH($N$21, Tracker[Anime Name], 0) + 2, 6)), "")</f>
        <v>TV</v>
      </c>
      <c r="T21" s="66" t="str">
        <f ca="1">IF($N$21&lt;&gt;"", INDIRECT("'Tracker'!"&amp;ADDRESS(MATCH($N$21, Tracker[Anime Name], 0) + 2, 7)), "")</f>
        <v>2013C</v>
      </c>
      <c r="U21" s="72" t="str">
        <f ca="1">IF($N$21&lt;&gt;"", INDIRECT("'Tracker'!"&amp;ADDRESS(MATCH($N$21, Tracker[Anime Name], 0) + 2, 8)), "")</f>
        <v>HorribleSubs</v>
      </c>
      <c r="V21" s="109">
        <f>IF(Completed!$C$20&lt;&gt;"",Completed!$C$20,"")</f>
        <v>9</v>
      </c>
      <c r="W21" s="109">
        <f>IF(Completed!$D$20&lt;&gt;"",Completed!$D$20,"")</f>
        <v>8.5</v>
      </c>
      <c r="X21" s="109">
        <f>IF(Completed!$E$20&lt;&gt;"",Completed!$E$20,"")</f>
        <v>5</v>
      </c>
      <c r="Y21" s="109">
        <f>IF(Completed!$F$20&lt;&gt;"",Completed!$F$20,"")</f>
        <v>9.5</v>
      </c>
      <c r="Z21" s="125">
        <f>IF(Completed!$G$20&lt;&gt;"",Completed!$G$20,"")</f>
        <v>8.9246231155778908</v>
      </c>
      <c r="AA21" s="136">
        <f>IF(Completed!$H$20&lt;&gt;"",Completed!$H$20,"")</f>
        <v>8.5942492012779557</v>
      </c>
      <c r="AB21" s="110">
        <f>IF(Completed!$I$20&lt;&gt;"",Completed!$I$20,"")</f>
        <v>41555</v>
      </c>
      <c r="AC21" s="110">
        <f>IF(Completed!$J$20&lt;&gt;"",Completed!$J$20,"")</f>
        <v>41726</v>
      </c>
      <c r="AD21" s="126" t="str">
        <f>IF(Completed!$K$20&lt;&gt;"",Completed!$K$20,"")</f>
        <v>Jakuzure Nonon</v>
      </c>
      <c r="AE21" s="127" t="str">
        <f>IF(Completed!$L$20&lt;&gt;"",Completed!$L$20,"")</f>
        <v>DON'T LOSE YOUR WAAAAAAYYYY</v>
      </c>
    </row>
    <row r="22" spans="1:31">
      <c r="A22" s="153"/>
      <c r="B22" s="159"/>
      <c r="C22" s="158"/>
      <c r="D22" s="158"/>
      <c r="E22" s="158"/>
      <c r="F22" s="180"/>
      <c r="G22" s="174" t="str">
        <f ca="1">IF($A22&lt;&gt;"", INDIRECT("'Tracker'!"&amp;ADDRESS(MATCH($A22, Tracker[Anime Name], 0) + 2, 4)), "")</f>
        <v/>
      </c>
      <c r="H22" s="167" t="str">
        <f ca="1">IF($A22&lt;&gt;"", INDIRECT("'Tracker'!"&amp;ADDRESS(MATCH($A22, Tracker[Anime Name], 0) + 2, 8)), "")</f>
        <v/>
      </c>
      <c r="I22" s="68" t="s">
        <v>200</v>
      </c>
      <c r="J22" s="65" t="str">
        <f>IF(Backlog!$A$21&lt;&gt;"",Backlog!$A$21,"")</f>
        <v>Hetalia Axis Powers</v>
      </c>
      <c r="K22" s="72">
        <f>IF(Backlog!$B$21&lt;&gt;"",Backlog!$B$21,"")</f>
        <v>1</v>
      </c>
      <c r="L22" s="123" t="str">
        <f>IF(Backlog!$C$21&lt;&gt;"",Backlog!$C$21,"")</f>
        <v>DL</v>
      </c>
      <c r="N22" s="65" t="str">
        <f>IF(Completed!$A$21&lt;&gt;"",Completed!$A$21,"")</f>
        <v>Chihayafuru</v>
      </c>
      <c r="O22" s="72">
        <f>IF(Completed!$B$21&lt;&gt;"",Completed!$B$21,"")</f>
        <v>1</v>
      </c>
      <c r="P22" s="72">
        <f ca="1">IF($N$22&lt;&gt;"", INDIRECT("'Tracker'!"&amp;ADDRESS(MATCH($N$22, Tracker[Anime Name], 0) + 2, 3)), "")</f>
        <v>25</v>
      </c>
      <c r="Q22" s="66" t="str">
        <f ca="1">IF($N$22&lt;&gt;"", INDIRECT("'Tracker'!"&amp;ADDRESS(MATCH($N$22, Tracker[Anime Name], 0) + 2, 4)), "")</f>
        <v>A</v>
      </c>
      <c r="R22" s="66" t="str">
        <f ca="1">IF($N$22&lt;&gt;"", INDIRECT("'Tracker'!"&amp;ADDRESS(MATCH($N$22, Tracker[Anime Name], 0) + 2, 5)), "")</f>
        <v>720p</v>
      </c>
      <c r="S22" s="66" t="str">
        <f ca="1">IF($N$22&lt;&gt;"", INDIRECT("'Tracker'!"&amp;ADDRESS(MATCH($N$22, Tracker[Anime Name], 0) + 2, 6)), "")</f>
        <v>TV</v>
      </c>
      <c r="T22" s="66" t="str">
        <f ca="1">IF($N$22&lt;&gt;"", INDIRECT("'Tracker'!"&amp;ADDRESS(MATCH($N$22, Tracker[Anime Name], 0) + 2, 7)), "")</f>
        <v>2011C</v>
      </c>
      <c r="U22" s="72" t="str">
        <f ca="1">IF($N$22&lt;&gt;"", INDIRECT("'Tracker'!"&amp;ADDRESS(MATCH($N$22, Tracker[Anime Name], 0) + 2, 8)), "")</f>
        <v>HorribleSubs</v>
      </c>
      <c r="V22" s="109">
        <f>IF(Completed!$C$21&lt;&gt;"",Completed!$C$21,"")</f>
        <v>9.5</v>
      </c>
      <c r="W22" s="109">
        <f>IF(Completed!$D$21&lt;&gt;"",Completed!$D$21,"")</f>
        <v>8.5</v>
      </c>
      <c r="X22" s="109">
        <f>IF(Completed!$E$21&lt;&gt;"",Completed!$E$21,"")</f>
        <v>3</v>
      </c>
      <c r="Y22" s="109">
        <f>IF(Completed!$F$21&lt;&gt;"",Completed!$F$21,"")</f>
        <v>9.5</v>
      </c>
      <c r="Z22" s="125">
        <f>IF(Completed!$G$21&lt;&gt;"",Completed!$G$21,"")</f>
        <v>8.9208542713567844</v>
      </c>
      <c r="AA22" s="136">
        <f>IF(Completed!$H$21&lt;&gt;"",Completed!$H$21,"")</f>
        <v>8.5892046409954599</v>
      </c>
      <c r="AB22" s="110">
        <f>IF(Completed!$I$21&lt;&gt;"",Completed!$I$21,"")</f>
        <v>41477</v>
      </c>
      <c r="AC22" s="110">
        <f>IF(Completed!$J$21&lt;&gt;"",Completed!$J$21,"")</f>
        <v>41479</v>
      </c>
      <c r="AD22" s="126" t="str">
        <f>IF(Completed!$K$21&lt;&gt;"",Completed!$K$21,"")</f>
        <v>Ayase Chihaya</v>
      </c>
      <c r="AE22" s="127" t="str">
        <f>IF(Completed!$L$21&lt;&gt;"",Completed!$L$21,"")</f>
        <v/>
      </c>
    </row>
    <row r="23" spans="1:31">
      <c r="A23" s="153"/>
      <c r="B23" s="159"/>
      <c r="C23" s="158"/>
      <c r="D23" s="158"/>
      <c r="E23" s="158"/>
      <c r="F23" s="181"/>
      <c r="G23" s="175" t="str">
        <f ca="1">IF($A23&lt;&gt;"", INDIRECT("'Tracker'!"&amp;ADDRESS(MATCH($A23, Tracker[Anime Name], 0) + 2, 4)), "")</f>
        <v/>
      </c>
      <c r="H23" s="167" t="str">
        <f ca="1">IF($A23&lt;&gt;"", INDIRECT("'Tracker'!"&amp;ADDRESS(MATCH($A23, Tracker[Anime Name], 0) + 2, 8)), "")</f>
        <v/>
      </c>
      <c r="I23" s="68" t="s">
        <v>200</v>
      </c>
      <c r="J23" s="65" t="str">
        <f>IF(Backlog!$A$22&lt;&gt;"",Backlog!$A$22,"")</f>
        <v>Hidamari Sketch</v>
      </c>
      <c r="K23" s="72">
        <f>IF(Backlog!$B$22&lt;&gt;"",Backlog!$B$22,"")</f>
        <v>1</v>
      </c>
      <c r="L23" s="123" t="str">
        <f>IF(Backlog!$C$22&lt;&gt;"",Backlog!$C$22,"")</f>
        <v>DL</v>
      </c>
      <c r="N23" s="65" t="str">
        <f>IF(Completed!$A$22&lt;&gt;"",Completed!$A$22,"")</f>
        <v>Ping Pong the Animation</v>
      </c>
      <c r="O23" s="72">
        <f>IF(Completed!$B$22&lt;&gt;"",Completed!$B$22,"")</f>
        <v>1</v>
      </c>
      <c r="P23" s="72">
        <f ca="1">IF($N$23&lt;&gt;"", INDIRECT("'Tracker'!"&amp;ADDRESS(MATCH($N$23, Tracker[Anime Name], 0) + 2, 3)), "")</f>
        <v>11</v>
      </c>
      <c r="Q23" s="66" t="str">
        <f ca="1">IF($N$23&lt;&gt;"", INDIRECT("'Tracker'!"&amp;ADDRESS(MATCH($N$23, Tracker[Anime Name], 0) + 2, 4)), "")</f>
        <v>B</v>
      </c>
      <c r="R23" s="66" t="str">
        <f ca="1">IF($N$23&lt;&gt;"", INDIRECT("'Tracker'!"&amp;ADDRESS(MATCH($N$23, Tracker[Anime Name], 0) + 2, 5)), "")</f>
        <v>720p</v>
      </c>
      <c r="S23" s="66" t="str">
        <f ca="1">IF($N$23&lt;&gt;"", INDIRECT("'Tracker'!"&amp;ADDRESS(MATCH($N$23, Tracker[Anime Name], 0) + 2, 6)), "")</f>
        <v>TV</v>
      </c>
      <c r="T23" s="66" t="str">
        <f ca="1">IF($N$23&lt;&gt;"", INDIRECT("'Tracker'!"&amp;ADDRESS(MATCH($N$23, Tracker[Anime Name], 0) + 2, 7)), "")</f>
        <v>2014A</v>
      </c>
      <c r="U23" s="72" t="str">
        <f ca="1">IF($N$23&lt;&gt;"", INDIRECT("'Tracker'!"&amp;ADDRESS(MATCH($N$23, Tracker[Anime Name], 0) + 2, 8)), "")</f>
        <v>WhyNot</v>
      </c>
      <c r="V23" s="109">
        <f>IF(Completed!$C$22&lt;&gt;"",Completed!$C$22,"")</f>
        <v>9.5</v>
      </c>
      <c r="W23" s="109">
        <f>IF(Completed!$D$22&lt;&gt;"",Completed!$D$22,"")</f>
        <v>8.5</v>
      </c>
      <c r="X23" s="109">
        <f>IF(Completed!$E$22&lt;&gt;"",Completed!$E$22,"")</f>
        <v>3</v>
      </c>
      <c r="Y23" s="109">
        <f>IF(Completed!$F$22&lt;&gt;"",Completed!$F$22,"")</f>
        <v>9.5</v>
      </c>
      <c r="Z23" s="125">
        <f>IF(Completed!$G$22&lt;&gt;"",Completed!$G$22,"")</f>
        <v>8.9208542713567844</v>
      </c>
      <c r="AA23" s="136">
        <f>IF(Completed!$H$22&lt;&gt;"",Completed!$H$22,"")</f>
        <v>8.5892046409954599</v>
      </c>
      <c r="AB23" s="110">
        <f>IF(Completed!$I$22&lt;&gt;"",Completed!$I$22,"")</f>
        <v>41750</v>
      </c>
      <c r="AC23" s="110">
        <f>IF(Completed!$J$22&lt;&gt;"",Completed!$J$22,"")</f>
        <v>41817</v>
      </c>
      <c r="AD23" s="126" t="str">
        <f>IF(Completed!$K$22&lt;&gt;"",Completed!$K$22,"")</f>
        <v>--</v>
      </c>
      <c r="AE23" s="127" t="str">
        <f>IF(Completed!$L$22&lt;&gt;"",Completed!$L$22,"")</f>
        <v>Hypest ping pong I've ever watched</v>
      </c>
    </row>
    <row r="24" spans="1:31">
      <c r="A24" s="168" t="s">
        <v>550</v>
      </c>
      <c r="B24" s="169">
        <f>SUMIF(B4:B23, "--", E4:E23) - SUMIF(B4:B23, "--", D4:D23)</f>
        <v>24</v>
      </c>
      <c r="C24" s="205" t="s">
        <v>549</v>
      </c>
      <c r="D24" s="206"/>
      <c r="E24" s="206"/>
      <c r="F24" s="206"/>
      <c r="G24" s="207"/>
      <c r="H24" s="170">
        <f>B24*22/60</f>
        <v>8.8000000000000007</v>
      </c>
      <c r="J24" s="65" t="str">
        <f>IF(Backlog!$A$23&lt;&gt;"",Backlog!$A$23,"")</f>
        <v>Hidan no Aria</v>
      </c>
      <c r="K24" s="72">
        <f>IF(Backlog!$B$23&lt;&gt;"",Backlog!$B$23,"")</f>
        <v>1</v>
      </c>
      <c r="L24" s="123" t="str">
        <f>IF(Backlog!$C$23&lt;&gt;"",Backlog!$C$23,"")</f>
        <v>DL</v>
      </c>
      <c r="N24" s="65" t="str">
        <f>IF(Completed!$A$23&lt;&gt;"",Completed!$A$23,"")</f>
        <v>Spice and Wolf II</v>
      </c>
      <c r="O24" s="72">
        <f>IF(Completed!$B$23&lt;&gt;"",Completed!$B$23,"")</f>
        <v>2</v>
      </c>
      <c r="P24" s="72">
        <f ca="1">IF($N$24&lt;&gt;"", INDIRECT("'Tracker'!"&amp;ADDRESS(MATCH($N$24, Tracker[Anime Name], 0) + 2, 3)), "")</f>
        <v>12</v>
      </c>
      <c r="Q24" s="66" t="str">
        <f ca="1">IF($N$24&lt;&gt;"", INDIRECT("'Tracker'!"&amp;ADDRESS(MATCH($N$24, Tracker[Anime Name], 0) + 2, 4)), "")</f>
        <v>B</v>
      </c>
      <c r="R24" s="66" t="str">
        <f ca="1">IF($N$24&lt;&gt;"", INDIRECT("'Tracker'!"&amp;ADDRESS(MATCH($N$24, Tracker[Anime Name], 0) + 2, 5)), "")</f>
        <v>720p</v>
      </c>
      <c r="S24" s="66" t="str">
        <f ca="1">IF($N$24&lt;&gt;"", INDIRECT("'Tracker'!"&amp;ADDRESS(MATCH($N$24, Tracker[Anime Name], 0) + 2, 6)), "")</f>
        <v>BD</v>
      </c>
      <c r="T24" s="66" t="str">
        <f ca="1">IF($N$24&lt;&gt;"", INDIRECT("'Tracker'!"&amp;ADDRESS(MATCH($N$24, Tracker[Anime Name], 0) + 2, 7)), "")</f>
        <v>2009B</v>
      </c>
      <c r="U24" s="72" t="str">
        <f ca="1">IF($N$24&lt;&gt;"", INDIRECT("'Tracker'!"&amp;ADDRESS(MATCH($N$24, Tracker[Anime Name], 0) + 2, 8)), "")</f>
        <v>Coalgirls, Mazui</v>
      </c>
      <c r="V24" s="109">
        <f>IF(Completed!$C$23&lt;&gt;"",Completed!$C$23,"")</f>
        <v>8.5</v>
      </c>
      <c r="W24" s="109">
        <f>IF(Completed!$D$23&lt;&gt;"",Completed!$D$23,"")</f>
        <v>9</v>
      </c>
      <c r="X24" s="109">
        <f>IF(Completed!$E$23&lt;&gt;"",Completed!$E$23,"")</f>
        <v>4</v>
      </c>
      <c r="Y24" s="109">
        <f>IF(Completed!$F$23&lt;&gt;"",Completed!$F$23,"")</f>
        <v>9.5</v>
      </c>
      <c r="Z24" s="125">
        <f>IF(Completed!$G$23&lt;&gt;"",Completed!$G$23,"")</f>
        <v>8.9195979899497484</v>
      </c>
      <c r="AA24" s="136">
        <f>IF(Completed!$H$23&lt;&gt;"",Completed!$H$23,"")</f>
        <v>8.5875231209012934</v>
      </c>
      <c r="AB24" s="110">
        <f>IF(Completed!$I$23&lt;&gt;"",Completed!$I$23,"")</f>
        <v>41358</v>
      </c>
      <c r="AC24" s="110">
        <f>IF(Completed!$J$23&lt;&gt;"",Completed!$J$23,"")</f>
        <v>41359</v>
      </c>
      <c r="AD24" s="126" t="str">
        <f>IF(Completed!$K$23&lt;&gt;"",Completed!$K$23,"")</f>
        <v>Holo</v>
      </c>
      <c r="AE24" s="127" t="str">
        <f>IF(Completed!$L$23&lt;&gt;"",Completed!$L$23,"")</f>
        <v/>
      </c>
    </row>
    <row r="25" spans="1:31">
      <c r="A25" s="171" t="s">
        <v>551</v>
      </c>
      <c r="B25" s="172">
        <f>SUM(E4:E23)-SUM(D4:D23)-B24</f>
        <v>4</v>
      </c>
      <c r="C25" s="208" t="s">
        <v>549</v>
      </c>
      <c r="D25" s="209"/>
      <c r="E25" s="209"/>
      <c r="F25" s="209"/>
      <c r="G25" s="210"/>
      <c r="H25" s="173">
        <f>B25*22/60</f>
        <v>1.4666666666666666</v>
      </c>
      <c r="J25" s="65" t="str">
        <f>IF(Backlog!$A$24&lt;&gt;"",Backlog!$A$24,"")</f>
        <v>Honey and Clover</v>
      </c>
      <c r="K25" s="72">
        <f>IF(Backlog!$B$24&lt;&gt;"",Backlog!$B$24,"")</f>
        <v>1</v>
      </c>
      <c r="L25" s="123" t="str">
        <f>IF(Backlog!$C$24&lt;&gt;"",Backlog!$C$24,"")</f>
        <v>DL</v>
      </c>
      <c r="N25" s="65" t="str">
        <f>IF(Completed!$A$24&lt;&gt;"",Completed!$A$24,"")</f>
        <v>No Game No Life</v>
      </c>
      <c r="O25" s="72">
        <f>IF(Completed!$B$24&lt;&gt;"",Completed!$B$24,"")</f>
        <v>1</v>
      </c>
      <c r="P25" s="72">
        <f ca="1">IF($N$25&lt;&gt;"", INDIRECT("'Tracker'!"&amp;ADDRESS(MATCH($N$25, Tracker[Anime Name], 0) + 2, 3)), "")</f>
        <v>12</v>
      </c>
      <c r="Q25" s="66" t="str">
        <f ca="1">IF($N$25&lt;&gt;"", INDIRECT("'Tracker'!"&amp;ADDRESS(MATCH($N$25, Tracker[Anime Name], 0) + 2, 4)), "")</f>
        <v>B</v>
      </c>
      <c r="R25" s="66" t="str">
        <f ca="1">IF($N$25&lt;&gt;"", INDIRECT("'Tracker'!"&amp;ADDRESS(MATCH($N$25, Tracker[Anime Name], 0) + 2, 5)), "")</f>
        <v>720p</v>
      </c>
      <c r="S25" s="66" t="str">
        <f ca="1">IF($N$25&lt;&gt;"", INDIRECT("'Tracker'!"&amp;ADDRESS(MATCH($N$25, Tracker[Anime Name], 0) + 2, 6)), "")</f>
        <v>TV</v>
      </c>
      <c r="T25" s="66" t="str">
        <f ca="1">IF($N$25&lt;&gt;"", INDIRECT("'Tracker'!"&amp;ADDRESS(MATCH($N$25, Tracker[Anime Name], 0) + 2, 7)), "")</f>
        <v>2014A</v>
      </c>
      <c r="U25" s="72" t="str">
        <f ca="1">IF($N$25&lt;&gt;"", INDIRECT("'Tracker'!"&amp;ADDRESS(MATCH($N$25, Tracker[Anime Name], 0) + 2, 8)), "")</f>
        <v>Underwater, FFF</v>
      </c>
      <c r="V25" s="109">
        <f>IF(Completed!$C$24&lt;&gt;"",Completed!$C$24,"")</f>
        <v>9.5</v>
      </c>
      <c r="W25" s="109">
        <f>IF(Completed!$D$24&lt;&gt;"",Completed!$D$24,"")</f>
        <v>8.5</v>
      </c>
      <c r="X25" s="109">
        <f>IF(Completed!$E$24&lt;&gt;"",Completed!$E$24,"")</f>
        <v>7.5</v>
      </c>
      <c r="Y25" s="109">
        <f>IF(Completed!$F$24&lt;&gt;"",Completed!$F$24,"")</f>
        <v>9</v>
      </c>
      <c r="Z25" s="125">
        <f>IF(Completed!$G$24&lt;&gt;"",Completed!$G$24,"")</f>
        <v>8.8856783919598001</v>
      </c>
      <c r="AA25" s="136">
        <f>IF(Completed!$H$24&lt;&gt;"",Completed!$H$24,"")</f>
        <v>8.5421220783588367</v>
      </c>
      <c r="AB25" s="110">
        <f>IF(Completed!$I$24&lt;&gt;"",Completed!$I$24,"")</f>
        <v>41750</v>
      </c>
      <c r="AC25" s="110">
        <f>IF(Completed!$J$24&lt;&gt;"",Completed!$J$24,"")</f>
        <v>41815</v>
      </c>
      <c r="AD25" s="126" t="str">
        <f>IF(Completed!$K$24&lt;&gt;"",Completed!$K$24,"")</f>
        <v>Shiro</v>
      </c>
      <c r="AE25" s="127" t="str">
        <f>IF(Completed!$L$24&lt;&gt;"",Completed!$L$24,"")</f>
        <v/>
      </c>
    </row>
    <row r="26" spans="1:31">
      <c r="A26" s="191" t="s">
        <v>536</v>
      </c>
      <c r="B26" s="192"/>
      <c r="C26" s="192"/>
      <c r="D26" s="192"/>
      <c r="E26" s="192"/>
      <c r="F26" s="192"/>
      <c r="G26" s="192"/>
      <c r="H26" s="193"/>
      <c r="J26" s="65" t="str">
        <f>IF(Backlog!$A$25&lt;&gt;"",Backlog!$A$25,"")</f>
        <v>Honey and Clover II</v>
      </c>
      <c r="K26" s="72">
        <f>IF(Backlog!$B$25&lt;&gt;"",Backlog!$B$25,"")</f>
        <v>2</v>
      </c>
      <c r="L26" s="123" t="str">
        <f>IF(Backlog!$C$25&lt;&gt;"",Backlog!$C$25,"")</f>
        <v>DL</v>
      </c>
      <c r="N26" s="65" t="str">
        <f>IF(Completed!$A$25&lt;&gt;"",Completed!$A$25,"")</f>
        <v>Toradora!</v>
      </c>
      <c r="O26" s="72">
        <f>IF(Completed!$B$25&lt;&gt;"",Completed!$B$25,"")</f>
        <v>1</v>
      </c>
      <c r="P26" s="72">
        <f ca="1">IF($N$26&lt;&gt;"", INDIRECT("'Tracker'!"&amp;ADDRESS(MATCH($N$26, Tracker[Anime Name], 0) + 2, 3)), "")</f>
        <v>25</v>
      </c>
      <c r="Q26" s="66" t="str">
        <f ca="1">IF($N$26&lt;&gt;"", INDIRECT("'Tracker'!"&amp;ADDRESS(MATCH($N$26, Tracker[Anime Name], 0) + 2, 4)), "")</f>
        <v>A</v>
      </c>
      <c r="R26" s="66" t="str">
        <f ca="1">IF($N$26&lt;&gt;"", INDIRECT("'Tracker'!"&amp;ADDRESS(MATCH($N$26, Tracker[Anime Name], 0) + 2, 5)), "")</f>
        <v>720p</v>
      </c>
      <c r="S26" s="66" t="str">
        <f ca="1">IF($N$26&lt;&gt;"", INDIRECT("'Tracker'!"&amp;ADDRESS(MATCH($N$26, Tracker[Anime Name], 0) + 2, 6)), "")</f>
        <v>BD</v>
      </c>
      <c r="T26" s="66" t="str">
        <f ca="1">IF($N$26&lt;&gt;"", INDIRECT("'Tracker'!"&amp;ADDRESS(MATCH($N$26, Tracker[Anime Name], 0) + 2, 7)), "")</f>
        <v>2008C</v>
      </c>
      <c r="U26" s="72" t="str">
        <f ca="1">IF($N$26&lt;&gt;"", INDIRECT("'Tracker'!"&amp;ADDRESS(MATCH($N$26, Tracker[Anime Name], 0) + 2, 8)), "")</f>
        <v>Coalgirls, gg</v>
      </c>
      <c r="V26" s="109">
        <f>IF(Completed!$C$25&lt;&gt;"",Completed!$C$25,"")</f>
        <v>9</v>
      </c>
      <c r="W26" s="109">
        <f>IF(Completed!$D$25&lt;&gt;"",Completed!$D$25,"")</f>
        <v>9</v>
      </c>
      <c r="X26" s="109">
        <f>IF(Completed!$E$25&lt;&gt;"",Completed!$E$25,"")</f>
        <v>5.5</v>
      </c>
      <c r="Y26" s="109">
        <f>IF(Completed!$F$25&lt;&gt;"",Completed!$F$25,"")</f>
        <v>9</v>
      </c>
      <c r="Z26" s="125">
        <f>IF(Completed!$G$25&lt;&gt;"",Completed!$G$25,"")</f>
        <v>8.8329145728643219</v>
      </c>
      <c r="AA26" s="136">
        <f>IF(Completed!$H$25&lt;&gt;"",Completed!$H$25,"")</f>
        <v>8.4714982344039012</v>
      </c>
      <c r="AB26" s="110">
        <f>IF(Completed!$I$25&lt;&gt;"",Completed!$I$25,"")</f>
        <v>41280</v>
      </c>
      <c r="AC26" s="110">
        <f>IF(Completed!$J$25&lt;&gt;"",Completed!$J$25,"")</f>
        <v>41281</v>
      </c>
      <c r="AD26" s="126" t="str">
        <f>IF(Completed!$K$25&lt;&gt;"",Completed!$K$25,"")</f>
        <v>Aisaka Taiga</v>
      </c>
      <c r="AE26" s="127" t="str">
        <f>IF(Completed!$L$25&lt;&gt;"",Completed!$L$25,"")</f>
        <v/>
      </c>
    </row>
    <row r="27" spans="1:31" ht="16.5" customHeight="1">
      <c r="A27" s="160" t="s">
        <v>542</v>
      </c>
      <c r="B27" s="194" t="s">
        <v>543</v>
      </c>
      <c r="C27" s="195"/>
      <c r="D27" s="195"/>
      <c r="E27" s="195"/>
      <c r="F27" s="195"/>
      <c r="G27" s="195"/>
      <c r="H27" s="196"/>
      <c r="J27" s="65" t="str">
        <f>IF(Backlog!$A$26&lt;&gt;"",Backlog!$A$26,"")</f>
        <v>Jinrui wa Suitai Shimashita</v>
      </c>
      <c r="K27" s="72">
        <f>IF(Backlog!$B$26&lt;&gt;"",Backlog!$B$26,"")</f>
        <v>1</v>
      </c>
      <c r="L27" s="123" t="str">
        <f>IF(Backlog!$C$26&lt;&gt;"",Backlog!$C$26,"")</f>
        <v>DL</v>
      </c>
      <c r="N27" s="65" t="str">
        <f>IF(Completed!$A$26&lt;&gt;"",Completed!$A$26,"")</f>
        <v>Chihayafuru S2</v>
      </c>
      <c r="O27" s="72">
        <f>IF(Completed!$B$26&lt;&gt;"",Completed!$B$26,"")</f>
        <v>2</v>
      </c>
      <c r="P27" s="72">
        <f ca="1">IF($N$27&lt;&gt;"", INDIRECT("'Tracker'!"&amp;ADDRESS(MATCH($N$27, Tracker[Anime Name], 0) + 2, 3)), "")</f>
        <v>25</v>
      </c>
      <c r="Q27" s="66" t="str">
        <f ca="1">IF($N$27&lt;&gt;"", INDIRECT("'Tracker'!"&amp;ADDRESS(MATCH($N$27, Tracker[Anime Name], 0) + 2, 4)), "")</f>
        <v>A</v>
      </c>
      <c r="R27" s="66" t="str">
        <f ca="1">IF($N$27&lt;&gt;"", INDIRECT("'Tracker'!"&amp;ADDRESS(MATCH($N$27, Tracker[Anime Name], 0) + 2, 5)), "")</f>
        <v>720p</v>
      </c>
      <c r="S27" s="66" t="str">
        <f ca="1">IF($N$27&lt;&gt;"", INDIRECT("'Tracker'!"&amp;ADDRESS(MATCH($N$27, Tracker[Anime Name], 0) + 2, 6)), "")</f>
        <v>TV</v>
      </c>
      <c r="T27" s="66" t="str">
        <f ca="1">IF($N$27&lt;&gt;"", INDIRECT("'Tracker'!"&amp;ADDRESS(MATCH($N$27, Tracker[Anime Name], 0) + 2, 7)), "")</f>
        <v>2012D</v>
      </c>
      <c r="U27" s="72" t="str">
        <f ca="1">IF($N$27&lt;&gt;"", INDIRECT("'Tracker'!"&amp;ADDRESS(MATCH($N$27, Tracker[Anime Name], 0) + 2, 8)), "")</f>
        <v>HorribleSubs</v>
      </c>
      <c r="V27" s="109">
        <f>IF(Completed!$C$26&lt;&gt;"",Completed!$C$26,"")</f>
        <v>9</v>
      </c>
      <c r="W27" s="109">
        <f>IF(Completed!$D$26&lt;&gt;"",Completed!$D$26,"")</f>
        <v>8.5</v>
      </c>
      <c r="X27" s="109">
        <f>IF(Completed!$E$26&lt;&gt;"",Completed!$E$26,"")</f>
        <v>3</v>
      </c>
      <c r="Y27" s="109">
        <f>IF(Completed!$F$26&lt;&gt;"",Completed!$F$26,"")</f>
        <v>9.5</v>
      </c>
      <c r="Z27" s="125">
        <f>IF(Completed!$G$26&lt;&gt;"",Completed!$G$26,"")</f>
        <v>8.8291457286432156</v>
      </c>
      <c r="AA27" s="136">
        <f>IF(Completed!$H$26&lt;&gt;"",Completed!$H$26,"")</f>
        <v>8.4664536741214036</v>
      </c>
      <c r="AB27" s="110">
        <f>IF(Completed!$I$26&lt;&gt;"",Completed!$I$26,"")</f>
        <v>41479</v>
      </c>
      <c r="AC27" s="110">
        <f>IF(Completed!$J$26&lt;&gt;"",Completed!$J$26,"")</f>
        <v>41481</v>
      </c>
      <c r="AD27" s="126" t="str">
        <f>IF(Completed!$K$26&lt;&gt;"",Completed!$K$26,"")</f>
        <v>Ayase Chihaya</v>
      </c>
      <c r="AE27" s="127" t="str">
        <f>IF(Completed!$L$26&lt;&gt;"",Completed!$L$26,"")</f>
        <v>A bit slower than the first season, but just as good. Needs a third season</v>
      </c>
    </row>
    <row r="28" spans="1:31" ht="16.5" customHeight="1">
      <c r="A28" s="189" t="s">
        <v>688</v>
      </c>
      <c r="B28" s="185"/>
      <c r="C28" s="185"/>
      <c r="D28" s="185"/>
      <c r="E28" s="185"/>
      <c r="F28" s="185"/>
      <c r="G28" s="185"/>
      <c r="H28" s="186"/>
      <c r="J28" s="65" t="str">
        <f>IF(Backlog!$A$27&lt;&gt;"",Backlog!$A$27,"")</f>
        <v>Kaiba</v>
      </c>
      <c r="K28" s="72">
        <f>IF(Backlog!$B$27&lt;&gt;"",Backlog!$B$27,"")</f>
        <v>1</v>
      </c>
      <c r="L28" s="123" t="str">
        <f>IF(Backlog!$C$27&lt;&gt;"",Backlog!$C$27,"")</f>
        <v>DL</v>
      </c>
      <c r="N28" s="65" t="str">
        <f>IF(Completed!$A$27&lt;&gt;"",Completed!$A$27,"")</f>
        <v>Bakemonogatari</v>
      </c>
      <c r="O28" s="72">
        <f>IF(Completed!$B$27&lt;&gt;"",Completed!$B$27,"")</f>
        <v>1</v>
      </c>
      <c r="P28" s="72">
        <f ca="1">IF($N$28&lt;&gt;"", INDIRECT("'Tracker'!"&amp;ADDRESS(MATCH($N$28, Tracker[Anime Name], 0) + 2, 3)), "")</f>
        <v>15</v>
      </c>
      <c r="Q28" s="66" t="str">
        <f ca="1">IF($N$28&lt;&gt;"", INDIRECT("'Tracker'!"&amp;ADDRESS(MATCH($N$28, Tracker[Anime Name], 0) + 2, 4)), "")</f>
        <v>A</v>
      </c>
      <c r="R28" s="66" t="str">
        <f ca="1">IF($N$28&lt;&gt;"", INDIRECT("'Tracker'!"&amp;ADDRESS(MATCH($N$28, Tracker[Anime Name], 0) + 2, 5)), "")</f>
        <v>720p</v>
      </c>
      <c r="S28" s="66" t="str">
        <f ca="1">IF($N$28&lt;&gt;"", INDIRECT("'Tracker'!"&amp;ADDRESS(MATCH($N$28, Tracker[Anime Name], 0) + 2, 6)), "")</f>
        <v>BD</v>
      </c>
      <c r="T28" s="66" t="str">
        <f ca="1">IF($N$28&lt;&gt;"", INDIRECT("'Tracker'!"&amp;ADDRESS(MATCH($N$28, Tracker[Anime Name], 0) + 2, 7)), "")</f>
        <v>2009B</v>
      </c>
      <c r="U28" s="72" t="str">
        <f ca="1">IF($N$28&lt;&gt;"", INDIRECT("'Tracker'!"&amp;ADDRESS(MATCH($N$28, Tracker[Anime Name], 0) + 2, 8)), "")</f>
        <v>Coalgirls, ANE</v>
      </c>
      <c r="V28" s="109">
        <f>IF(Completed!$C$27&lt;&gt;"",Completed!$C$27,"")</f>
        <v>8.5</v>
      </c>
      <c r="W28" s="109">
        <f>IF(Completed!$D$27&lt;&gt;"",Completed!$D$27,"")</f>
        <v>9.5</v>
      </c>
      <c r="X28" s="109">
        <f>IF(Completed!$E$27&lt;&gt;"",Completed!$E$27,"")</f>
        <v>4.5</v>
      </c>
      <c r="Y28" s="109">
        <f>IF(Completed!$F$27&lt;&gt;"",Completed!$F$27,"")</f>
        <v>9</v>
      </c>
      <c r="Z28" s="125">
        <f>IF(Completed!$G$27&lt;&gt;"",Completed!$G$27,"")</f>
        <v>8.8278894472361831</v>
      </c>
      <c r="AA28" s="136">
        <f>IF(Completed!$H$27&lt;&gt;"",Completed!$H$27,"")</f>
        <v>8.4647721540272425</v>
      </c>
      <c r="AB28" s="110">
        <f>IF(Completed!$I$27&lt;&gt;"",Completed!$I$27,"")</f>
        <v>41304</v>
      </c>
      <c r="AC28" s="110">
        <f>IF(Completed!$J$27&lt;&gt;"",Completed!$J$27,"")</f>
        <v>41312</v>
      </c>
      <c r="AD28" s="126" t="str">
        <f>IF(Completed!$K$27&lt;&gt;"",Completed!$K$27,"")</f>
        <v>Oshino Shinobu</v>
      </c>
      <c r="AE28" s="127" t="str">
        <f>IF(Completed!$L$27&lt;&gt;"",Completed!$L$27,"")</f>
        <v>Worth watching just for the OPs</v>
      </c>
    </row>
    <row r="29" spans="1:31" ht="16.5" customHeight="1">
      <c r="A29" s="190"/>
      <c r="B29" s="187"/>
      <c r="C29" s="187"/>
      <c r="D29" s="187"/>
      <c r="E29" s="187"/>
      <c r="F29" s="187"/>
      <c r="G29" s="187"/>
      <c r="H29" s="188"/>
      <c r="J29" s="65" t="str">
        <f>IF(Backlog!$A$28&lt;&gt;"",Backlog!$A$28,"")</f>
        <v>Kaichou wa Maid-sama</v>
      </c>
      <c r="K29" s="72">
        <f>IF(Backlog!$B$28&lt;&gt;"",Backlog!$B$28,"")</f>
        <v>1</v>
      </c>
      <c r="L29" s="123" t="str">
        <f>IF(Backlog!$C$28&lt;&gt;"",Backlog!$C$28,"")</f>
        <v>DL</v>
      </c>
      <c r="N29" s="65" t="str">
        <f>IF(Completed!$A$28&lt;&gt;"",Completed!$A$28,"")</f>
        <v>Gatchaman Crowds</v>
      </c>
      <c r="O29" s="72">
        <f>IF(Completed!$B$28&lt;&gt;"",Completed!$B$28,"")</f>
        <v>1</v>
      </c>
      <c r="P29" s="72">
        <f ca="1">IF($N$29&lt;&gt;"", INDIRECT("'Tracker'!"&amp;ADDRESS(MATCH($N$29, Tracker[Anime Name], 0) + 2, 3)), "")</f>
        <v>12</v>
      </c>
      <c r="Q29" s="66" t="str">
        <f ca="1">IF($N$29&lt;&gt;"", INDIRECT("'Tracker'!"&amp;ADDRESS(MATCH($N$29, Tracker[Anime Name], 0) + 2, 4)), "")</f>
        <v>A</v>
      </c>
      <c r="R29" s="66" t="str">
        <f ca="1">IF($N$29&lt;&gt;"", INDIRECT("'Tracker'!"&amp;ADDRESS(MATCH($N$29, Tracker[Anime Name], 0) + 2, 5)), "")</f>
        <v>720p</v>
      </c>
      <c r="S29" s="66" t="str">
        <f ca="1">IF($N$29&lt;&gt;"", INDIRECT("'Tracker'!"&amp;ADDRESS(MATCH($N$29, Tracker[Anime Name], 0) + 2, 6)), "")</f>
        <v>TV</v>
      </c>
      <c r="T29" s="66" t="str">
        <f ca="1">IF($N$29&lt;&gt;"", INDIRECT("'Tracker'!"&amp;ADDRESS(MATCH($N$29, Tracker[Anime Name], 0) + 2, 7)), "")</f>
        <v>2013B</v>
      </c>
      <c r="U29" s="72" t="str">
        <f ca="1">IF($N$29&lt;&gt;"", INDIRECT("'Tracker'!"&amp;ADDRESS(MATCH($N$29, Tracker[Anime Name], 0) + 2, 8)), "")</f>
        <v>HorribleSubs</v>
      </c>
      <c r="V29" s="109">
        <f>IF(Completed!$C$28&lt;&gt;"",Completed!$C$28,"")</f>
        <v>9.5</v>
      </c>
      <c r="W29" s="109">
        <f>IF(Completed!$D$28&lt;&gt;"",Completed!$D$28,"")</f>
        <v>8.5</v>
      </c>
      <c r="X29" s="109">
        <f>IF(Completed!$E$28&lt;&gt;"",Completed!$E$28,"")</f>
        <v>6</v>
      </c>
      <c r="Y29" s="109">
        <f>IF(Completed!$F$28&lt;&gt;"",Completed!$F$28,"")</f>
        <v>9</v>
      </c>
      <c r="Z29" s="125">
        <f>IF(Completed!$G$28&lt;&gt;"",Completed!$G$28,"")</f>
        <v>8.8140703517587937</v>
      </c>
      <c r="AA29" s="136">
        <f>IF(Completed!$H$28&lt;&gt;"",Completed!$H$28,"")</f>
        <v>8.446275432991424</v>
      </c>
      <c r="AB29" s="110">
        <f>IF(Completed!$I$28&lt;&gt;"",Completed!$I$28,"")</f>
        <v>41562</v>
      </c>
      <c r="AC29" s="110">
        <f>IF(Completed!$J$28&lt;&gt;"",Completed!$J$28,"")</f>
        <v>41574</v>
      </c>
      <c r="AD29" s="126" t="str">
        <f>IF(Completed!$K$28&lt;&gt;"",Completed!$K$28,"")</f>
        <v>Utsutsu</v>
      </c>
      <c r="AE29" s="127" t="str">
        <f>IF(Completed!$L$28&lt;&gt;"",Completed!$L$28,"")</f>
        <v>OST of the season, very nicely developed plot</v>
      </c>
    </row>
    <row r="30" spans="1:31" ht="16.5" customHeight="1">
      <c r="A30" s="189" t="s">
        <v>539</v>
      </c>
      <c r="B30" s="185" t="s">
        <v>541</v>
      </c>
      <c r="C30" s="185"/>
      <c r="D30" s="185"/>
      <c r="E30" s="185"/>
      <c r="F30" s="185"/>
      <c r="G30" s="185"/>
      <c r="H30" s="186"/>
      <c r="J30" s="65" t="str">
        <f>IF(Backlog!$A$29&lt;&gt;"",Backlog!$A$29,"")</f>
        <v>Kanon</v>
      </c>
      <c r="K30" s="72">
        <f>IF(Backlog!$B$29&lt;&gt;"",Backlog!$B$29,"")</f>
        <v>1</v>
      </c>
      <c r="L30" s="123" t="str">
        <f>IF(Backlog!$C$29&lt;&gt;"",Backlog!$C$29,"")</f>
        <v>DL</v>
      </c>
      <c r="N30" s="65" t="str">
        <f>IF(Completed!$A$29&lt;&gt;"",Completed!$A$29,"")</f>
        <v>Fate / Stay Night</v>
      </c>
      <c r="O30" s="72">
        <f>IF(Completed!$B$29&lt;&gt;"",Completed!$B$29,"")</f>
        <v>1</v>
      </c>
      <c r="P30" s="72">
        <f ca="1">IF($N$30&lt;&gt;"", INDIRECT("'Tracker'!"&amp;ADDRESS(MATCH($N$30, Tracker[Anime Name], 0) + 2, 3)), "")</f>
        <v>24</v>
      </c>
      <c r="Q30" s="66" t="str">
        <f ca="1">IF($N$30&lt;&gt;"", INDIRECT("'Tracker'!"&amp;ADDRESS(MATCH($N$30, Tracker[Anime Name], 0) + 2, 4)), "")</f>
        <v>A</v>
      </c>
      <c r="R30" s="66" t="str">
        <f ca="1">IF($N$30&lt;&gt;"", INDIRECT("'Tracker'!"&amp;ADDRESS(MATCH($N$30, Tracker[Anime Name], 0) + 2, 5)), "")</f>
        <v>720p</v>
      </c>
      <c r="S30" s="66" t="str">
        <f ca="1">IF($N$30&lt;&gt;"", INDIRECT("'Tracker'!"&amp;ADDRESS(MATCH($N$30, Tracker[Anime Name], 0) + 2, 6)), "")</f>
        <v>BD</v>
      </c>
      <c r="T30" s="66" t="str">
        <f ca="1">IF($N$30&lt;&gt;"", INDIRECT("'Tracker'!"&amp;ADDRESS(MATCH($N$30, Tracker[Anime Name], 0) + 2, 7)), "")</f>
        <v>2005D</v>
      </c>
      <c r="U30" s="72" t="str">
        <f ca="1">IF($N$30&lt;&gt;"", INDIRECT("'Tracker'!"&amp;ADDRESS(MATCH($N$30, Tracker[Anime Name], 0) + 2, 8)), "")</f>
        <v>Coalgirls, Eclipse</v>
      </c>
      <c r="V30" s="109">
        <f>IF(Completed!$C$29&lt;&gt;"",Completed!$C$29,"")</f>
        <v>9</v>
      </c>
      <c r="W30" s="109">
        <f>IF(Completed!$D$29&lt;&gt;"",Completed!$D$29,"")</f>
        <v>9</v>
      </c>
      <c r="X30" s="109">
        <f>IF(Completed!$E$29&lt;&gt;"",Completed!$E$29,"")</f>
        <v>5</v>
      </c>
      <c r="Y30" s="109">
        <f>IF(Completed!$F$29&lt;&gt;"",Completed!$F$29,"")</f>
        <v>9</v>
      </c>
      <c r="Z30" s="125">
        <f>IF(Completed!$G$29&lt;&gt;"",Completed!$G$29,"")</f>
        <v>8.8090452261306531</v>
      </c>
      <c r="AA30" s="136">
        <f>IF(Completed!$H$29&lt;&gt;"",Completed!$H$29,"")</f>
        <v>8.4395493526147636</v>
      </c>
      <c r="AB30" s="110">
        <f>IF(Completed!$I$29&lt;&gt;"",Completed!$I$29,"")</f>
        <v>41537</v>
      </c>
      <c r="AC30" s="110">
        <f>IF(Completed!$J$29&lt;&gt;"",Completed!$J$29,"")</f>
        <v>41559</v>
      </c>
      <c r="AD30" s="126" t="str">
        <f>IF(Completed!$K$29&lt;&gt;"",Completed!$K$29,"")</f>
        <v>Saber</v>
      </c>
      <c r="AE30" s="127" t="str">
        <f>IF(Completed!$L$29&lt;&gt;"",Completed!$L$29,"")</f>
        <v/>
      </c>
    </row>
    <row r="31" spans="1:31" ht="15" customHeight="1">
      <c r="A31" s="190"/>
      <c r="B31" s="187"/>
      <c r="C31" s="187"/>
      <c r="D31" s="187"/>
      <c r="E31" s="187"/>
      <c r="F31" s="187"/>
      <c r="G31" s="187"/>
      <c r="H31" s="188"/>
      <c r="J31" s="65" t="str">
        <f>IF(Backlog!$A$30&lt;&gt;"",Backlog!$A$30,"")</f>
        <v>Katanagatari</v>
      </c>
      <c r="K31" s="72">
        <f>IF(Backlog!$B$30&lt;&gt;"",Backlog!$B$30,"")</f>
        <v>1</v>
      </c>
      <c r="L31" s="123" t="str">
        <f>IF(Backlog!$C$30&lt;&gt;"",Backlog!$C$30,"")</f>
        <v>DL</v>
      </c>
      <c r="N31" s="65" t="str">
        <f>IF(Completed!$A$30&lt;&gt;"",Completed!$A$30,"")</f>
        <v>Clannad</v>
      </c>
      <c r="O31" s="72">
        <f>IF(Completed!$B$30&lt;&gt;"",Completed!$B$30,"")</f>
        <v>1</v>
      </c>
      <c r="P31" s="72">
        <f ca="1">IF($N$31&lt;&gt;"", INDIRECT("'Tracker'!"&amp;ADDRESS(MATCH($N$31, Tracker[Anime Name], 0) + 2, 3)), "")</f>
        <v>22</v>
      </c>
      <c r="Q31" s="66" t="str">
        <f ca="1">IF($N$31&lt;&gt;"", INDIRECT("'Tracker'!"&amp;ADDRESS(MATCH($N$31, Tracker[Anime Name], 0) + 2, 4)), "")</f>
        <v>A</v>
      </c>
      <c r="R31" s="66" t="str">
        <f ca="1">IF($N$31&lt;&gt;"", INDIRECT("'Tracker'!"&amp;ADDRESS(MATCH($N$31, Tracker[Anime Name], 0) + 2, 5)), "")</f>
        <v>720p</v>
      </c>
      <c r="S31" s="66" t="str">
        <f ca="1">IF($N$31&lt;&gt;"", INDIRECT("'Tracker'!"&amp;ADDRESS(MATCH($N$31, Tracker[Anime Name], 0) + 2, 6)), "")</f>
        <v>BD</v>
      </c>
      <c r="T31" s="66" t="str">
        <f ca="1">IF($N$31&lt;&gt;"", INDIRECT("'Tracker'!"&amp;ADDRESS(MATCH($N$31, Tracker[Anime Name], 0) + 2, 7)), "")</f>
        <v>2007C</v>
      </c>
      <c r="U31" s="72" t="str">
        <f ca="1">IF($N$31&lt;&gt;"", INDIRECT("'Tracker'!"&amp;ADDRESS(MATCH($N$31, Tracker[Anime Name], 0) + 2, 8)), "")</f>
        <v>Coalgirls, SS, Eclipse</v>
      </c>
      <c r="V31" s="109">
        <f>IF(Completed!$C$30&lt;&gt;"",Completed!$C$30,"")</f>
        <v>8</v>
      </c>
      <c r="W31" s="109">
        <f>IF(Completed!$D$30&lt;&gt;"",Completed!$D$30,"")</f>
        <v>9.5</v>
      </c>
      <c r="X31" s="109">
        <f>IF(Completed!$E$30&lt;&gt;"",Completed!$E$30,"")</f>
        <v>6</v>
      </c>
      <c r="Y31" s="109">
        <f>IF(Completed!$F$30&lt;&gt;"",Completed!$F$30,"")</f>
        <v>9</v>
      </c>
      <c r="Z31" s="125">
        <f>IF(Completed!$G$30&lt;&gt;"",Completed!$G$30,"")</f>
        <v>8.8077889447236206</v>
      </c>
      <c r="AA31" s="136">
        <f>IF(Completed!$H$30&lt;&gt;"",Completed!$H$30,"")</f>
        <v>8.4378678325206025</v>
      </c>
      <c r="AB31" s="110">
        <f>IF(Completed!$I$30&lt;&gt;"",Completed!$I$30,"")</f>
        <v>41286</v>
      </c>
      <c r="AC31" s="110">
        <f>IF(Completed!$J$30&lt;&gt;"",Completed!$J$30,"")</f>
        <v>41292</v>
      </c>
      <c r="AD31" s="126" t="str">
        <f>IF(Completed!$K$30&lt;&gt;"",Completed!$K$30,"")</f>
        <v>Fujibayashi Kyou</v>
      </c>
      <c r="AE31" s="127" t="str">
        <f>IF(Completed!$L$30&lt;&gt;"",Completed!$L$30,"")</f>
        <v/>
      </c>
    </row>
    <row r="32" spans="1:31" ht="15" customHeight="1">
      <c r="A32" s="189" t="s">
        <v>538</v>
      </c>
      <c r="B32" s="185" t="s">
        <v>541</v>
      </c>
      <c r="C32" s="185"/>
      <c r="D32" s="185"/>
      <c r="E32" s="185"/>
      <c r="F32" s="185"/>
      <c r="G32" s="185"/>
      <c r="H32" s="186"/>
      <c r="J32" s="65" t="str">
        <f>IF(Backlog!$A$31&lt;&gt;"",Backlog!$A$31,"")</f>
        <v>Love Live! School Idol Project</v>
      </c>
      <c r="K32" s="72">
        <f>IF(Backlog!$B$31&lt;&gt;"",Backlog!$B$31,"")</f>
        <v>1</v>
      </c>
      <c r="L32" s="123" t="str">
        <f>IF(Backlog!$C$31&lt;&gt;"",Backlog!$C$31,"")</f>
        <v>DL</v>
      </c>
      <c r="N32" s="65" t="str">
        <f>IF(Completed!$A$31&lt;&gt;"",Completed!$A$31,"")</f>
        <v>K</v>
      </c>
      <c r="O32" s="72">
        <f>IF(Completed!$B$31&lt;&gt;"",Completed!$B$31,"")</f>
        <v>1</v>
      </c>
      <c r="P32" s="72">
        <f ca="1">IF($N$32&lt;&gt;"", INDIRECT("'Tracker'!"&amp;ADDRESS(MATCH($N$32, Tracker[Anime Name], 0) + 2, 3)), "")</f>
        <v>13</v>
      </c>
      <c r="Q32" s="66" t="str">
        <f ca="1">IF($N$32&lt;&gt;"", INDIRECT("'Tracker'!"&amp;ADDRESS(MATCH($N$32, Tracker[Anime Name], 0) + 2, 4)), "")</f>
        <v>A</v>
      </c>
      <c r="R32" s="66" t="str">
        <f ca="1">IF($N$32&lt;&gt;"", INDIRECT("'Tracker'!"&amp;ADDRESS(MATCH($N$32, Tracker[Anime Name], 0) + 2, 5)), "")</f>
        <v>1080p</v>
      </c>
      <c r="S32" s="66" t="str">
        <f ca="1">IF($N$32&lt;&gt;"", INDIRECT("'Tracker'!"&amp;ADDRESS(MATCH($N$32, Tracker[Anime Name], 0) + 2, 6)), "")</f>
        <v>BD</v>
      </c>
      <c r="T32" s="66" t="str">
        <f ca="1">IF($N$32&lt;&gt;"", INDIRECT("'Tracker'!"&amp;ADDRESS(MATCH($N$32, Tracker[Anime Name], 0) + 2, 7)), "")</f>
        <v>2012C</v>
      </c>
      <c r="U32" s="72" t="str">
        <f ca="1">IF($N$32&lt;&gt;"", INDIRECT("'Tracker'!"&amp;ADDRESS(MATCH($N$32, Tracker[Anime Name], 0) + 2, 8)), "")</f>
        <v>Doki</v>
      </c>
      <c r="V32" s="109">
        <f>IF(Completed!$C$31&lt;&gt;"",Completed!$C$31,"")</f>
        <v>9</v>
      </c>
      <c r="W32" s="109">
        <f>IF(Completed!$D$31&lt;&gt;"",Completed!$D$31,"")</f>
        <v>9</v>
      </c>
      <c r="X32" s="109">
        <f>IF(Completed!$E$31&lt;&gt;"",Completed!$E$31,"")</f>
        <v>4.5</v>
      </c>
      <c r="Y32" s="109">
        <f>IF(Completed!$F$31&lt;&gt;"",Completed!$F$31,"")</f>
        <v>9</v>
      </c>
      <c r="Z32" s="125">
        <f>IF(Completed!$G$31&lt;&gt;"",Completed!$G$31,"")</f>
        <v>8.7851758793969861</v>
      </c>
      <c r="AA32" s="136">
        <f>IF(Completed!$H$31&lt;&gt;"",Completed!$H$31,"")</f>
        <v>8.4076004708256278</v>
      </c>
      <c r="AB32" s="110">
        <f>IF(Completed!$I$31&lt;&gt;"",Completed!$I$31,"")</f>
        <v>41645</v>
      </c>
      <c r="AC32" s="110">
        <f>IF(Completed!$J$31&lt;&gt;"",Completed!$J$31,"")</f>
        <v>41645</v>
      </c>
      <c r="AD32" s="126" t="str">
        <f>IF(Completed!$K$31&lt;&gt;"",Completed!$K$31,"")</f>
        <v>Kushina Anna</v>
      </c>
      <c r="AE32" s="127" t="str">
        <f>IF(Completed!$L$31&lt;&gt;"",Completed!$L$31,"")</f>
        <v>Good graphics, good audio, decent plot</v>
      </c>
    </row>
    <row r="33" spans="1:31" ht="15" customHeight="1">
      <c r="A33" s="190"/>
      <c r="B33" s="187"/>
      <c r="C33" s="187"/>
      <c r="D33" s="187"/>
      <c r="E33" s="187"/>
      <c r="F33" s="187"/>
      <c r="G33" s="187"/>
      <c r="H33" s="188"/>
      <c r="J33" s="65" t="str">
        <f>IF(Backlog!$A$32&lt;&gt;"",Backlog!$A$32,"")</f>
        <v>Neon Genesis Evangelion</v>
      </c>
      <c r="K33" s="72">
        <f>IF(Backlog!$B$32&lt;&gt;"",Backlog!$B$32,"")</f>
        <v>1</v>
      </c>
      <c r="L33" s="123" t="str">
        <f>IF(Backlog!$C$32&lt;&gt;"",Backlog!$C$32,"")</f>
        <v>DL</v>
      </c>
      <c r="N33" s="65" t="str">
        <f>IF(Completed!$A$32&lt;&gt;"",Completed!$A$32,"")</f>
        <v>Shingeki no Kyojin</v>
      </c>
      <c r="O33" s="72">
        <f>IF(Completed!$B$32&lt;&gt;"",Completed!$B$32,"")</f>
        <v>1</v>
      </c>
      <c r="P33" s="72">
        <f ca="1">IF($N$33&lt;&gt;"", INDIRECT("'Tracker'!"&amp;ADDRESS(MATCH($N$33, Tracker[Anime Name], 0) + 2, 3)), "")</f>
        <v>25</v>
      </c>
      <c r="Q33" s="66" t="str">
        <f ca="1">IF($N$33&lt;&gt;"", INDIRECT("'Tracker'!"&amp;ADDRESS(MATCH($N$33, Tracker[Anime Name], 0) + 2, 4)), "")</f>
        <v>B</v>
      </c>
      <c r="R33" s="66" t="str">
        <f ca="1">IF($N$33&lt;&gt;"", INDIRECT("'Tracker'!"&amp;ADDRESS(MATCH($N$33, Tracker[Anime Name], 0) + 2, 5)), "")</f>
        <v>720p</v>
      </c>
      <c r="S33" s="66" t="str">
        <f ca="1">IF($N$33&lt;&gt;"", INDIRECT("'Tracker'!"&amp;ADDRESS(MATCH($N$33, Tracker[Anime Name], 0) + 2, 6)), "")</f>
        <v>BD</v>
      </c>
      <c r="T33" s="66" t="str">
        <f ca="1">IF($N$33&lt;&gt;"", INDIRECT("'Tracker'!"&amp;ADDRESS(MATCH($N$33, Tracker[Anime Name], 0) + 2, 7)), "")</f>
        <v>2013A</v>
      </c>
      <c r="U33" s="72" t="str">
        <f ca="1">IF($N$33&lt;&gt;"", INDIRECT("'Tracker'!"&amp;ADDRESS(MATCH($N$33, Tracker[Anime Name], 0) + 2, 8)), "")</f>
        <v>Coalgirls, EveTaku</v>
      </c>
      <c r="V33" s="109">
        <f>IF(Completed!$C$32&lt;&gt;"",Completed!$C$32,"")</f>
        <v>10</v>
      </c>
      <c r="W33" s="109">
        <f>IF(Completed!$D$32&lt;&gt;"",Completed!$D$32,"")</f>
        <v>8</v>
      </c>
      <c r="X33" s="109">
        <f>IF(Completed!$E$32&lt;&gt;"",Completed!$E$32,"")</f>
        <v>1</v>
      </c>
      <c r="Y33" s="109">
        <f>IF(Completed!$F$32&lt;&gt;"",Completed!$F$32,"")</f>
        <v>9.5</v>
      </c>
      <c r="Z33" s="125">
        <f>IF(Completed!$G$32&lt;&gt;"",Completed!$G$32,"")</f>
        <v>8.782663316582914</v>
      </c>
      <c r="AA33" s="136">
        <f>IF(Completed!$H$32&lt;&gt;"",Completed!$H$32,"")</f>
        <v>8.4042374306372949</v>
      </c>
      <c r="AB33" s="110">
        <f>IF(Completed!$I$32&lt;&gt;"",Completed!$I$32,"")</f>
        <v>41397</v>
      </c>
      <c r="AC33" s="110">
        <f>IF(Completed!$J$32&lt;&gt;"",Completed!$J$32,"")</f>
        <v>41546</v>
      </c>
      <c r="AD33" s="126" t="str">
        <f>IF(Completed!$K$32&lt;&gt;"",Completed!$K$32,"")</f>
        <v>Mikasa Ackerman</v>
      </c>
      <c r="AE33" s="127" t="str">
        <f>IF(Completed!$L$32&lt;&gt;"",Completed!$L$32,"")</f>
        <v/>
      </c>
    </row>
    <row r="34" spans="1:31" ht="15" customHeight="1">
      <c r="A34" s="189" t="s">
        <v>537</v>
      </c>
      <c r="B34" s="185" t="s">
        <v>541</v>
      </c>
      <c r="C34" s="185"/>
      <c r="D34" s="185"/>
      <c r="E34" s="185"/>
      <c r="F34" s="185"/>
      <c r="G34" s="185"/>
      <c r="H34" s="186"/>
      <c r="J34" s="65" t="str">
        <f>IF(Backlog!$A$33&lt;&gt;"",Backlog!$A$33,"")</f>
        <v>Nodame Cantabile</v>
      </c>
      <c r="K34" s="72">
        <f>IF(Backlog!$B$33&lt;&gt;"",Backlog!$B$33,"")</f>
        <v>1</v>
      </c>
      <c r="L34" s="123" t="str">
        <f>IF(Backlog!$C$33&lt;&gt;"",Backlog!$C$33,"")</f>
        <v>DL</v>
      </c>
      <c r="N34" s="65" t="str">
        <f>IF(Completed!$A$33&lt;&gt;"",Completed!$A$33,"")</f>
        <v>Yahari Ore no Seishun Rom Com wa Machigatteiru</v>
      </c>
      <c r="O34" s="72">
        <f>IF(Completed!$B$33&lt;&gt;"",Completed!$B$33,"")</f>
        <v>1</v>
      </c>
      <c r="P34" s="72">
        <f ca="1">IF($N$34&lt;&gt;"", INDIRECT("'Tracker'!"&amp;ADDRESS(MATCH($N$34, Tracker[Anime Name], 0) + 2, 3)), "")</f>
        <v>13</v>
      </c>
      <c r="Q34" s="66" t="str">
        <f ca="1">IF($N$34&lt;&gt;"", INDIRECT("'Tracker'!"&amp;ADDRESS(MATCH($N$34, Tracker[Anime Name], 0) + 2, 4)), "")</f>
        <v>A</v>
      </c>
      <c r="R34" s="66" t="str">
        <f ca="1">IF($N$34&lt;&gt;"", INDIRECT("'Tracker'!"&amp;ADDRESS(MATCH($N$34, Tracker[Anime Name], 0) + 2, 5)), "")</f>
        <v>720p</v>
      </c>
      <c r="S34" s="66" t="str">
        <f ca="1">IF($N$34&lt;&gt;"", INDIRECT("'Tracker'!"&amp;ADDRESS(MATCH($N$34, Tracker[Anime Name], 0) + 2, 6)), "")</f>
        <v>BD</v>
      </c>
      <c r="T34" s="66" t="str">
        <f ca="1">IF($N$34&lt;&gt;"", INDIRECT("'Tracker'!"&amp;ADDRESS(MATCH($N$34, Tracker[Anime Name], 0) + 2, 7)), "")</f>
        <v>2013A</v>
      </c>
      <c r="U34" s="72" t="str">
        <f ca="1">IF($N$34&lt;&gt;"", INDIRECT("'Tracker'!"&amp;ADDRESS(MATCH($N$34, Tracker[Anime Name], 0) + 2, 8)), "")</f>
        <v>Coalgirls, FFF</v>
      </c>
      <c r="V34" s="109">
        <f>IF(Completed!$C$33&lt;&gt;"",Completed!$C$33,"")</f>
        <v>8</v>
      </c>
      <c r="W34" s="109">
        <f>IF(Completed!$D$33&lt;&gt;"",Completed!$D$33,"")</f>
        <v>9.5</v>
      </c>
      <c r="X34" s="109">
        <f>IF(Completed!$E$33&lt;&gt;"",Completed!$E$33,"")</f>
        <v>5</v>
      </c>
      <c r="Y34" s="109">
        <f>IF(Completed!$F$33&lt;&gt;"",Completed!$F$33,"")</f>
        <v>9</v>
      </c>
      <c r="Z34" s="125">
        <f>IF(Completed!$G$33&lt;&gt;"",Completed!$G$33,"")</f>
        <v>8.7600502512562812</v>
      </c>
      <c r="AA34" s="136">
        <f>IF(Completed!$H$33&lt;&gt;"",Completed!$H$33,"")</f>
        <v>8.3739700689423238</v>
      </c>
      <c r="AB34" s="110">
        <f>IF(Completed!$I$33&lt;&gt;"",Completed!$I$33,"")</f>
        <v>41370</v>
      </c>
      <c r="AC34" s="110">
        <f>IF(Completed!$J$33&lt;&gt;"",Completed!$J$33,"")</f>
        <v>41454</v>
      </c>
      <c r="AD34" s="126" t="str">
        <f>IF(Completed!$K$33&lt;&gt;"",Completed!$K$33,"")</f>
        <v>Yukinoshita Yukino</v>
      </c>
      <c r="AE34" s="127" t="str">
        <f>IF(Completed!$L$33&lt;&gt;"",Completed!$L$33,"")</f>
        <v>Watch it for 8man</v>
      </c>
    </row>
    <row r="35" spans="1:31" ht="16.5" customHeight="1">
      <c r="A35" s="190"/>
      <c r="B35" s="187" t="s">
        <v>541</v>
      </c>
      <c r="C35" s="187"/>
      <c r="D35" s="187"/>
      <c r="E35" s="187"/>
      <c r="F35" s="187"/>
      <c r="G35" s="187"/>
      <c r="H35" s="188"/>
      <c r="J35" s="65" t="str">
        <f>IF(Backlog!$A$34&lt;&gt;"",Backlog!$A$34,"")</f>
        <v>Nodame Cantabile - Paris Hen</v>
      </c>
      <c r="K35" s="72">
        <f>IF(Backlog!$B$34&lt;&gt;"",Backlog!$B$34,"")</f>
        <v>2</v>
      </c>
      <c r="L35" s="123" t="str">
        <f>IF(Backlog!$C$34&lt;&gt;"",Backlog!$C$34,"")</f>
        <v>DL</v>
      </c>
      <c r="N35" s="65" t="str">
        <f>IF(Completed!$A$34&lt;&gt;"",Completed!$A$34,"")</f>
        <v>Ano Hi Mita Hana no Namae wo Bokutachi wa Mada Shiranai</v>
      </c>
      <c r="O35" s="72">
        <f>IF(Completed!$B$34&lt;&gt;"",Completed!$B$34,"")</f>
        <v>1</v>
      </c>
      <c r="P35" s="72">
        <f ca="1">IF($N$35&lt;&gt;"", INDIRECT("'Tracker'!"&amp;ADDRESS(MATCH($N$35, Tracker[Anime Name], 0) + 2, 3)), "")</f>
        <v>11</v>
      </c>
      <c r="Q35" s="66" t="str">
        <f ca="1">IF($N$35&lt;&gt;"", INDIRECT("'Tracker'!"&amp;ADDRESS(MATCH($N$35, Tracker[Anime Name], 0) + 2, 4)), "")</f>
        <v>A</v>
      </c>
      <c r="R35" s="66" t="str">
        <f ca="1">IF($N$35&lt;&gt;"", INDIRECT("'Tracker'!"&amp;ADDRESS(MATCH($N$35, Tracker[Anime Name], 0) + 2, 5)), "")</f>
        <v>1080p</v>
      </c>
      <c r="S35" s="66" t="str">
        <f ca="1">IF($N$35&lt;&gt;"", INDIRECT("'Tracker'!"&amp;ADDRESS(MATCH($N$35, Tracker[Anime Name], 0) + 2, 6)), "")</f>
        <v>BD</v>
      </c>
      <c r="T35" s="66" t="str">
        <f ca="1">IF($N$35&lt;&gt;"", INDIRECT("'Tracker'!"&amp;ADDRESS(MATCH($N$35, Tracker[Anime Name], 0) + 2, 7)), "")</f>
        <v>2011A</v>
      </c>
      <c r="U35" s="72" t="str">
        <f ca="1">IF($N$35&lt;&gt;"", INDIRECT("'Tracker'!"&amp;ADDRESS(MATCH($N$35, Tracker[Anime Name], 0) + 2, 8)), "")</f>
        <v>Doki</v>
      </c>
      <c r="V35" s="109">
        <f>IF(Completed!$C$34&lt;&gt;"",Completed!$C$34,"")</f>
        <v>9.5</v>
      </c>
      <c r="W35" s="109">
        <f>IF(Completed!$D$34&lt;&gt;"",Completed!$D$34,"")</f>
        <v>8</v>
      </c>
      <c r="X35" s="109">
        <f>IF(Completed!$E$34&lt;&gt;"",Completed!$E$34,"")</f>
        <v>6</v>
      </c>
      <c r="Y35" s="109">
        <f>IF(Completed!$F$34&lt;&gt;"",Completed!$F$34,"")</f>
        <v>9</v>
      </c>
      <c r="Z35" s="125">
        <f>IF(Completed!$G$34&lt;&gt;"",Completed!$G$34,"")</f>
        <v>8.6796482412060314</v>
      </c>
      <c r="AA35" s="136">
        <f>IF(Completed!$H$34&lt;&gt;"",Completed!$H$34,"")</f>
        <v>8.2663527829157566</v>
      </c>
      <c r="AB35" s="110">
        <f>IF(Completed!$I$34&lt;&gt;"",Completed!$I$34,"")</f>
        <v>41530</v>
      </c>
      <c r="AC35" s="110">
        <f>IF(Completed!$J$34&lt;&gt;"",Completed!$J$34,"")</f>
        <v>41532</v>
      </c>
      <c r="AD35" s="126" t="str">
        <f>IF(Completed!$K$34&lt;&gt;"",Completed!$K$34,"")</f>
        <v>Tsurumi Chiriko</v>
      </c>
      <c r="AE35" s="127" t="str">
        <f>IF(Completed!$L$34&lt;&gt;"",Completed!$L$34,"")</f>
        <v>Drama was a bit forced at the end, but it was nicely done overall</v>
      </c>
    </row>
    <row r="36" spans="1:31">
      <c r="A36" s="189" t="s">
        <v>540</v>
      </c>
      <c r="B36" s="185" t="s">
        <v>541</v>
      </c>
      <c r="C36" s="185"/>
      <c r="D36" s="185"/>
      <c r="E36" s="185"/>
      <c r="F36" s="185"/>
      <c r="G36" s="185"/>
      <c r="H36" s="186"/>
      <c r="J36" s="65" t="str">
        <f>IF(Backlog!$A$35&lt;&gt;"",Backlog!$A$35,"")</f>
        <v>Nodame Cantabile Finale</v>
      </c>
      <c r="K36" s="72">
        <f>IF(Backlog!$B$35&lt;&gt;"",Backlog!$B$35,"")</f>
        <v>3</v>
      </c>
      <c r="L36" s="123" t="str">
        <f>IF(Backlog!$C$35&lt;&gt;"",Backlog!$C$35,"")</f>
        <v>DL</v>
      </c>
      <c r="N36" s="65" t="str">
        <f>IF(Completed!$A$35&lt;&gt;"",Completed!$A$35,"")</f>
        <v>Kokoro Connect</v>
      </c>
      <c r="O36" s="72">
        <f>IF(Completed!$B$35&lt;&gt;"",Completed!$B$35,"")</f>
        <v>1</v>
      </c>
      <c r="P36" s="72">
        <f ca="1">IF($N$36&lt;&gt;"", INDIRECT("'Tracker'!"&amp;ADDRESS(MATCH($N$36, Tracker[Anime Name], 0) + 2, 3)), "")</f>
        <v>17</v>
      </c>
      <c r="Q36" s="66" t="str">
        <f ca="1">IF($N$36&lt;&gt;"", INDIRECT("'Tracker'!"&amp;ADDRESS(MATCH($N$36, Tracker[Anime Name], 0) + 2, 4)), "")</f>
        <v>A</v>
      </c>
      <c r="R36" s="66" t="str">
        <f ca="1">IF($N$36&lt;&gt;"", INDIRECT("'Tracker'!"&amp;ADDRESS(MATCH($N$36, Tracker[Anime Name], 0) + 2, 5)), "")</f>
        <v>720p</v>
      </c>
      <c r="S36" s="66" t="str">
        <f ca="1">IF($N$36&lt;&gt;"", INDIRECT("'Tracker'!"&amp;ADDRESS(MATCH($N$36, Tracker[Anime Name], 0) + 2, 6)), "")</f>
        <v>BD</v>
      </c>
      <c r="T36" s="66" t="str">
        <f ca="1">IF($N$36&lt;&gt;"", INDIRECT("'Tracker'!"&amp;ADDRESS(MATCH($N$36, Tracker[Anime Name], 0) + 2, 7)), "")</f>
        <v>2012B</v>
      </c>
      <c r="U36" s="72" t="str">
        <f ca="1">IF($N$36&lt;&gt;"", INDIRECT("'Tracker'!"&amp;ADDRESS(MATCH($N$36, Tracker[Anime Name], 0) + 2, 8)), "")</f>
        <v>Doki, Chihiro</v>
      </c>
      <c r="V36" s="109">
        <f>IF(Completed!$C$35&lt;&gt;"",Completed!$C$35,"")</f>
        <v>8.5</v>
      </c>
      <c r="W36" s="109">
        <f>IF(Completed!$D$35&lt;&gt;"",Completed!$D$35,"")</f>
        <v>9</v>
      </c>
      <c r="X36" s="109">
        <f>IF(Completed!$E$35&lt;&gt;"",Completed!$E$35,"")</f>
        <v>4</v>
      </c>
      <c r="Y36" s="109">
        <f>IF(Completed!$F$35&lt;&gt;"",Completed!$F$35,"")</f>
        <v>9</v>
      </c>
      <c r="Z36" s="125">
        <f>IF(Completed!$G$35&lt;&gt;"",Completed!$G$35,"")</f>
        <v>8.6695979899497502</v>
      </c>
      <c r="AA36" s="136">
        <f>IF(Completed!$H$35&lt;&gt;"",Completed!$H$35,"")</f>
        <v>8.2529006221624357</v>
      </c>
      <c r="AB36" s="110">
        <f>IF(Completed!$I$35&lt;&gt;"",Completed!$I$35,"")</f>
        <v>41328</v>
      </c>
      <c r="AC36" s="110">
        <f>IF(Completed!$J$35&lt;&gt;"",Completed!$J$35,"")</f>
        <v>41329</v>
      </c>
      <c r="AD36" s="126" t="str">
        <f>IF(Completed!$K$35&lt;&gt;"",Completed!$K$35,"")</f>
        <v>Himeko Inaba</v>
      </c>
      <c r="AE36" s="127" t="str">
        <f>IF(Completed!$L$35&lt;&gt;"",Completed!$L$35,"")</f>
        <v/>
      </c>
    </row>
    <row r="37" spans="1:31">
      <c r="A37" s="190"/>
      <c r="B37" s="187" t="s">
        <v>541</v>
      </c>
      <c r="C37" s="187"/>
      <c r="D37" s="187"/>
      <c r="E37" s="187"/>
      <c r="F37" s="187"/>
      <c r="G37" s="187"/>
      <c r="H37" s="188"/>
      <c r="J37" s="65" t="str">
        <f>IF(Backlog!$A$36&lt;&gt;"",Backlog!$A$36,"")</f>
        <v>Nyan Koi</v>
      </c>
      <c r="K37" s="72">
        <f>IF(Backlog!$B$36&lt;&gt;"",Backlog!$B$36,"")</f>
        <v>1</v>
      </c>
      <c r="L37" s="123" t="str">
        <f>IF(Backlog!$C$36&lt;&gt;"",Backlog!$C$36,"")</f>
        <v>DL</v>
      </c>
      <c r="N37" s="65" t="str">
        <f>IF(Completed!$A$36&lt;&gt;"",Completed!$A$36,"")</f>
        <v>Servant x Service</v>
      </c>
      <c r="O37" s="72">
        <f>IF(Completed!$B$36&lt;&gt;"",Completed!$B$36,"")</f>
        <v>1</v>
      </c>
      <c r="P37" s="72">
        <f ca="1">IF($N$37&lt;&gt;"", INDIRECT("'Tracker'!"&amp;ADDRESS(MATCH($N$37, Tracker[Anime Name], 0) + 2, 3)), "")</f>
        <v>13</v>
      </c>
      <c r="Q37" s="66" t="str">
        <f ca="1">IF($N$37&lt;&gt;"", INDIRECT("'Tracker'!"&amp;ADDRESS(MATCH($N$37, Tracker[Anime Name], 0) + 2, 4)), "")</f>
        <v>A</v>
      </c>
      <c r="R37" s="66" t="str">
        <f ca="1">IF($N$37&lt;&gt;"", INDIRECT("'Tracker'!"&amp;ADDRESS(MATCH($N$37, Tracker[Anime Name], 0) + 2, 5)), "")</f>
        <v>720p</v>
      </c>
      <c r="S37" s="66" t="str">
        <f ca="1">IF($N$37&lt;&gt;"", INDIRECT("'Tracker'!"&amp;ADDRESS(MATCH($N$37, Tracker[Anime Name], 0) + 2, 6)), "")</f>
        <v>Web</v>
      </c>
      <c r="T37" s="66" t="str">
        <f ca="1">IF($N$37&lt;&gt;"", INDIRECT("'Tracker'!"&amp;ADDRESS(MATCH($N$37, Tracker[Anime Name], 0) + 2, 7)), "")</f>
        <v>2013B</v>
      </c>
      <c r="U37" s="72" t="str">
        <f ca="1">IF($N$37&lt;&gt;"", INDIRECT("'Tracker'!"&amp;ADDRESS(MATCH($N$37, Tracker[Anime Name], 0) + 2, 8)), "")</f>
        <v>HorribleSubs</v>
      </c>
      <c r="V37" s="109">
        <f>IF(Completed!$C$36&lt;&gt;"",Completed!$C$36,"")</f>
        <v>8</v>
      </c>
      <c r="W37" s="109">
        <f>IF(Completed!$D$36&lt;&gt;"",Completed!$D$36,"")</f>
        <v>9</v>
      </c>
      <c r="X37" s="109">
        <f>IF(Completed!$E$36&lt;&gt;"",Completed!$E$36,"")</f>
        <v>5.5</v>
      </c>
      <c r="Y37" s="109">
        <f>IF(Completed!$F$36&lt;&gt;"",Completed!$F$36,"")</f>
        <v>9</v>
      </c>
      <c r="Z37" s="125">
        <f>IF(Completed!$G$36&lt;&gt;"",Completed!$G$36,"")</f>
        <v>8.6494974874371859</v>
      </c>
      <c r="AA37" s="136">
        <f>IF(Completed!$H$36&lt;&gt;"",Completed!$H$36,"")</f>
        <v>8.2259963006557921</v>
      </c>
      <c r="AB37" s="110">
        <f>IF(Completed!$I$36&lt;&gt;"",Completed!$I$36,"")</f>
        <v>41461</v>
      </c>
      <c r="AC37" s="110">
        <f>IF(Completed!$J$36&lt;&gt;"",Completed!$J$36,"")</f>
        <v>41543</v>
      </c>
      <c r="AD37" s="126" t="str">
        <f>IF(Completed!$K$36&lt;&gt;"",Completed!$K$36,"")</f>
        <v>Chihaya Megumi</v>
      </c>
      <c r="AE37" s="127" t="str">
        <f>IF(Completed!$L$36&lt;&gt;"",Completed!$L$36,"")</f>
        <v>Funny, and not a HS drama - 9/10 would watch again</v>
      </c>
    </row>
    <row r="38" spans="1:31">
      <c r="A38" s="163"/>
      <c r="B38" s="164"/>
      <c r="C38" s="164"/>
      <c r="D38" s="164"/>
      <c r="E38" s="164"/>
      <c r="F38" s="164"/>
      <c r="G38" s="164"/>
      <c r="H38" s="164"/>
      <c r="J38" s="65" t="str">
        <f>IF(Backlog!$A$37&lt;&gt;"",Backlog!$A$37,"")</f>
        <v>Ore no Kanojo to Osananajimi ga Shuraba Sugiru</v>
      </c>
      <c r="K38" s="72">
        <f>IF(Backlog!$B$37&lt;&gt;"",Backlog!$B$37,"")</f>
        <v>1</v>
      </c>
      <c r="L38" s="123" t="str">
        <f>IF(Backlog!$C$37&lt;&gt;"",Backlog!$C$37,"")</f>
        <v>DL</v>
      </c>
      <c r="N38" s="65" t="str">
        <f>IF(Completed!$A$37&lt;&gt;"",Completed!$A$37,"")</f>
        <v>Shakugan no Shana Second</v>
      </c>
      <c r="O38" s="72">
        <f>IF(Completed!$B$37&lt;&gt;"",Completed!$B$37,"")</f>
        <v>2</v>
      </c>
      <c r="P38" s="72">
        <f ca="1">IF($N$38&lt;&gt;"", INDIRECT("'Tracker'!"&amp;ADDRESS(MATCH($N$38, Tracker[Anime Name], 0) + 2, 3)), "")</f>
        <v>24</v>
      </c>
      <c r="Q38" s="66" t="str">
        <f ca="1">IF($N$38&lt;&gt;"", INDIRECT("'Tracker'!"&amp;ADDRESS(MATCH($N$38, Tracker[Anime Name], 0) + 2, 4)), "")</f>
        <v>A</v>
      </c>
      <c r="R38" s="66" t="str">
        <f ca="1">IF($N$38&lt;&gt;"", INDIRECT("'Tracker'!"&amp;ADDRESS(MATCH($N$38, Tracker[Anime Name], 0) + 2, 5)), "")</f>
        <v>720p</v>
      </c>
      <c r="S38" s="66" t="str">
        <f ca="1">IF($N$38&lt;&gt;"", INDIRECT("'Tracker'!"&amp;ADDRESS(MATCH($N$38, Tracker[Anime Name], 0) + 2, 6)), "")</f>
        <v>TV</v>
      </c>
      <c r="T38" s="66" t="str">
        <f ca="1">IF($N$38&lt;&gt;"", INDIRECT("'Tracker'!"&amp;ADDRESS(MATCH($N$38, Tracker[Anime Name], 0) + 2, 7)), "")</f>
        <v>2007C</v>
      </c>
      <c r="U38" s="72" t="str">
        <f ca="1">IF($N$38&lt;&gt;"", INDIRECT("'Tracker'!"&amp;ADDRESS(MATCH($N$38, Tracker[Anime Name], 0) + 2, 8)), "")</f>
        <v>SS, Eclipse</v>
      </c>
      <c r="V38" s="109">
        <f>IF(Completed!$C$37&lt;&gt;"",Completed!$C$37,"")</f>
        <v>9</v>
      </c>
      <c r="W38" s="109">
        <f>IF(Completed!$D$37&lt;&gt;"",Completed!$D$37,"")</f>
        <v>9</v>
      </c>
      <c r="X38" s="109">
        <f>IF(Completed!$E$37&lt;&gt;"",Completed!$E$37,"")</f>
        <v>6.5</v>
      </c>
      <c r="Y38" s="109">
        <f>IF(Completed!$F$37&lt;&gt;"",Completed!$F$37,"")</f>
        <v>8.5</v>
      </c>
      <c r="Z38" s="125">
        <f>IF(Completed!$G$37&lt;&gt;"",Completed!$G$37,"")</f>
        <v>8.6306532663316595</v>
      </c>
      <c r="AA38" s="136">
        <f>IF(Completed!$H$37&lt;&gt;"",Completed!$H$37,"")</f>
        <v>8.2007734992433168</v>
      </c>
      <c r="AB38" s="110">
        <f>IF(Completed!$I$37&lt;&gt;"",Completed!$I$37,"")</f>
        <v>41395</v>
      </c>
      <c r="AC38" s="110">
        <f>IF(Completed!$J$37&lt;&gt;"",Completed!$J$37,"")</f>
        <v>41400</v>
      </c>
      <c r="AD38" s="126" t="str">
        <f>IF(Completed!$K$37&lt;&gt;"",Completed!$K$37,"")</f>
        <v>Shana</v>
      </c>
      <c r="AE38" s="127" t="str">
        <f>IF(Completed!$L$37&lt;&gt;"",Completed!$L$37,"")</f>
        <v>TV is better than BDs</v>
      </c>
    </row>
    <row r="39" spans="1:31">
      <c r="A39" s="163"/>
      <c r="B39" s="164"/>
      <c r="C39" s="164"/>
      <c r="D39" s="164"/>
      <c r="E39" s="164"/>
      <c r="F39" s="164"/>
      <c r="G39" s="164"/>
      <c r="H39" s="164"/>
      <c r="J39" s="65" t="str">
        <f>IF(Backlog!$A$38&lt;&gt;"",Backlog!$A$38,"")</f>
        <v>Psycho Pass</v>
      </c>
      <c r="K39" s="72">
        <f>IF(Backlog!$B$38&lt;&gt;"",Backlog!$B$38,"")</f>
        <v>1</v>
      </c>
      <c r="L39" s="123" t="str">
        <f>IF(Backlog!$C$38&lt;&gt;"",Backlog!$C$38,"")</f>
        <v>DL</v>
      </c>
      <c r="N39" s="65" t="str">
        <f>IF(Completed!$A$38&lt;&gt;"",Completed!$A$38,"")</f>
        <v>Non Non Biyori</v>
      </c>
      <c r="O39" s="72">
        <f>IF(Completed!$B$38&lt;&gt;"",Completed!$B$38,"")</f>
        <v>1</v>
      </c>
      <c r="P39" s="72">
        <f ca="1">IF($N$39&lt;&gt;"", INDIRECT("'Tracker'!"&amp;ADDRESS(MATCH($N$39, Tracker[Anime Name], 0) + 2, 3)), "")</f>
        <v>12</v>
      </c>
      <c r="Q39" s="66" t="str">
        <f ca="1">IF($N$39&lt;&gt;"", INDIRECT("'Tracker'!"&amp;ADDRESS(MATCH($N$39, Tracker[Anime Name], 0) + 2, 4)), "")</f>
        <v>B</v>
      </c>
      <c r="R39" s="66" t="str">
        <f ca="1">IF($N$39&lt;&gt;"", INDIRECT("'Tracker'!"&amp;ADDRESS(MATCH($N$39, Tracker[Anime Name], 0) + 2, 5)), "")</f>
        <v>720p</v>
      </c>
      <c r="S39" s="66" t="str">
        <f ca="1">IF($N$39&lt;&gt;"", INDIRECT("'Tracker'!"&amp;ADDRESS(MATCH($N$39, Tracker[Anime Name], 0) + 2, 6)), "")</f>
        <v>TV</v>
      </c>
      <c r="T39" s="66" t="str">
        <f ca="1">IF($N$39&lt;&gt;"", INDIRECT("'Tracker'!"&amp;ADDRESS(MATCH($N$39, Tracker[Anime Name], 0) + 2, 7)), "")</f>
        <v>2013C</v>
      </c>
      <c r="U39" s="72" t="str">
        <f ca="1">IF($N$39&lt;&gt;"", INDIRECT("'Tracker'!"&amp;ADDRESS(MATCH($N$39, Tracker[Anime Name], 0) + 2, 8)), "")</f>
        <v>HorribleSubs</v>
      </c>
      <c r="V39" s="109">
        <f>IF(Completed!$C$38&lt;&gt;"",Completed!$C$38,"")</f>
        <v>4</v>
      </c>
      <c r="W39" s="109">
        <f>IF(Completed!$D$38&lt;&gt;"",Completed!$D$38,"")</f>
        <v>9</v>
      </c>
      <c r="X39" s="109">
        <f>IF(Completed!$E$38&lt;&gt;"",Completed!$E$38,"")</f>
        <v>9.5</v>
      </c>
      <c r="Y39" s="109">
        <f>IF(Completed!$F$38&lt;&gt;"",Completed!$F$38,"")</f>
        <v>10</v>
      </c>
      <c r="Z39" s="125">
        <f>IF(Completed!$G$38&lt;&gt;"",Completed!$G$38,"")</f>
        <v>8.6067839195979889</v>
      </c>
      <c r="AA39" s="136">
        <f>IF(Completed!$H$38&lt;&gt;"",Completed!$H$38,"")</f>
        <v>8.1688246174541774</v>
      </c>
      <c r="AB39" s="110">
        <f>IF(Completed!$I$38&lt;&gt;"",Completed!$I$38,"")</f>
        <v>41638</v>
      </c>
      <c r="AC39" s="110">
        <f>IF(Completed!$J$38&lt;&gt;"",Completed!$J$38,"")</f>
        <v>41641</v>
      </c>
      <c r="AD39" s="126" t="str">
        <f>IF(Completed!$K$38&lt;&gt;"",Completed!$K$38,"")</f>
        <v>Miyauchi Renge</v>
      </c>
      <c r="AE39" s="127" t="str">
        <f>IF(Completed!$L$38&lt;&gt;"",Completed!$L$38,"")</f>
        <v/>
      </c>
    </row>
    <row r="40" spans="1:31">
      <c r="A40" s="163"/>
      <c r="B40" s="164"/>
      <c r="C40" s="164"/>
      <c r="D40" s="164"/>
      <c r="E40" s="164"/>
      <c r="F40" s="164"/>
      <c r="G40" s="164"/>
      <c r="H40" s="164"/>
      <c r="J40" s="65" t="str">
        <f>IF(Backlog!$A$39&lt;&gt;"",Backlog!$A$39,"")</f>
        <v>Serial Experiments Lain</v>
      </c>
      <c r="K40" s="72">
        <f>IF(Backlog!$B$39&lt;&gt;"",Backlog!$B$39,"")</f>
        <v>1</v>
      </c>
      <c r="L40" s="123" t="str">
        <f>IF(Backlog!$C$39&lt;&gt;"",Backlog!$C$39,"")</f>
        <v>DL</v>
      </c>
      <c r="N40" s="65" t="str">
        <f>IF(Completed!$A$39&lt;&gt;"",Completed!$A$39,"")</f>
        <v>Toaru Kagaku no Railgun</v>
      </c>
      <c r="O40" s="72">
        <f>IF(Completed!$B$39&lt;&gt;"",Completed!$B$39,"")</f>
        <v>1</v>
      </c>
      <c r="P40" s="72">
        <f ca="1">IF($N$40&lt;&gt;"", INDIRECT("'Tracker'!"&amp;ADDRESS(MATCH($N$40, Tracker[Anime Name], 0) + 2, 3)), "")</f>
        <v>24</v>
      </c>
      <c r="Q40" s="66" t="str">
        <f ca="1">IF($N$40&lt;&gt;"", INDIRECT("'Tracker'!"&amp;ADDRESS(MATCH($N$40, Tracker[Anime Name], 0) + 2, 4)), "")</f>
        <v>A</v>
      </c>
      <c r="R40" s="66" t="str">
        <f ca="1">IF($N$40&lt;&gt;"", INDIRECT("'Tracker'!"&amp;ADDRESS(MATCH($N$40, Tracker[Anime Name], 0) + 2, 5)), "")</f>
        <v>720p</v>
      </c>
      <c r="S40" s="66" t="str">
        <f ca="1">IF($N$40&lt;&gt;"", INDIRECT("'Tracker'!"&amp;ADDRESS(MATCH($N$40, Tracker[Anime Name], 0) + 2, 6)), "")</f>
        <v>BD</v>
      </c>
      <c r="T40" s="66" t="str">
        <f ca="1">IF($N$40&lt;&gt;"", INDIRECT("'Tracker'!"&amp;ADDRESS(MATCH($N$40, Tracker[Anime Name], 0) + 2, 7)), "")</f>
        <v>2009C</v>
      </c>
      <c r="U40" s="72" t="str">
        <f ca="1">IF($N$40&lt;&gt;"", INDIRECT("'Tracker'!"&amp;ADDRESS(MATCH($N$40, Tracker[Anime Name], 0) + 2, 8)), "")</f>
        <v>Elysium</v>
      </c>
      <c r="V40" s="109">
        <f>IF(Completed!$C$39&lt;&gt;"",Completed!$C$39,"")</f>
        <v>7.5</v>
      </c>
      <c r="W40" s="109">
        <f>IF(Completed!$D$39&lt;&gt;"",Completed!$D$39,"")</f>
        <v>9</v>
      </c>
      <c r="X40" s="109">
        <f>IF(Completed!$E$39&lt;&gt;"",Completed!$E$39,"")</f>
        <v>6</v>
      </c>
      <c r="Y40" s="109">
        <f>IF(Completed!$F$39&lt;&gt;"",Completed!$F$39,"")</f>
        <v>9</v>
      </c>
      <c r="Z40" s="125">
        <f>IF(Completed!$G$39&lt;&gt;"",Completed!$G$39,"")</f>
        <v>8.5816582914572859</v>
      </c>
      <c r="AA40" s="136">
        <f>IF(Completed!$H$39&lt;&gt;"",Completed!$H$39,"")</f>
        <v>8.1351942155708752</v>
      </c>
      <c r="AB40" s="110">
        <f>IF(Completed!$I$39&lt;&gt;"",Completed!$I$39,"")</f>
        <v>41436</v>
      </c>
      <c r="AC40" s="110">
        <f>IF(Completed!$J$39&lt;&gt;"",Completed!$J$39,"")</f>
        <v>41438</v>
      </c>
      <c r="AD40" s="126" t="str">
        <f>IF(Completed!$K$39&lt;&gt;"",Completed!$K$39,"")</f>
        <v>Misaka Mikoto</v>
      </c>
      <c r="AE40" s="127" t="str">
        <f>IF(Completed!$L$39&lt;&gt;"",Completed!$L$39,"")</f>
        <v/>
      </c>
    </row>
    <row r="41" spans="1:31">
      <c r="A41" s="163"/>
      <c r="B41" s="164"/>
      <c r="C41" s="164"/>
      <c r="D41" s="164"/>
      <c r="E41" s="164"/>
      <c r="F41" s="164"/>
      <c r="G41" s="164"/>
      <c r="H41" s="164"/>
      <c r="J41" s="65" t="str">
        <f>IF(Backlog!$A$40&lt;&gt;"",Backlog!$A$40,"")</f>
        <v>Shinsekai Yori</v>
      </c>
      <c r="K41" s="72">
        <f>IF(Backlog!$B$40&lt;&gt;"",Backlog!$B$40,"")</f>
        <v>1</v>
      </c>
      <c r="L41" s="123" t="str">
        <f>IF(Backlog!$C$40&lt;&gt;"",Backlog!$C$40,"")</f>
        <v>DL</v>
      </c>
      <c r="N41" s="65" t="str">
        <f>IF(Completed!$A$40&lt;&gt;"",Completed!$A$40,"")</f>
        <v>Acchi Kocchi</v>
      </c>
      <c r="O41" s="72">
        <f>IF(Completed!$B$40&lt;&gt;"",Completed!$B$40,"")</f>
        <v>1</v>
      </c>
      <c r="P41" s="72">
        <f ca="1">IF($N$41&lt;&gt;"", INDIRECT("'Tracker'!"&amp;ADDRESS(MATCH($N$41, Tracker[Anime Name], 0) + 2, 3)), "")</f>
        <v>13</v>
      </c>
      <c r="Q41" s="66" t="str">
        <f ca="1">IF($N$41&lt;&gt;"", INDIRECT("'Tracker'!"&amp;ADDRESS(MATCH($N$41, Tracker[Anime Name], 0) + 2, 4)), "")</f>
        <v>A</v>
      </c>
      <c r="R41" s="66" t="str">
        <f ca="1">IF($N$41&lt;&gt;"", INDIRECT("'Tracker'!"&amp;ADDRESS(MATCH($N$41, Tracker[Anime Name], 0) + 2, 5)), "")</f>
        <v>720p</v>
      </c>
      <c r="S41" s="66" t="str">
        <f ca="1">IF($N$41&lt;&gt;"", INDIRECT("'Tracker'!"&amp;ADDRESS(MATCH($N$41, Tracker[Anime Name], 0) + 2, 6)), "")</f>
        <v>BD</v>
      </c>
      <c r="T41" s="66" t="str">
        <f ca="1">IF($N$41&lt;&gt;"", INDIRECT("'Tracker'!"&amp;ADDRESS(MATCH($N$41, Tracker[Anime Name], 0) + 2, 7)), "")</f>
        <v>2012A</v>
      </c>
      <c r="U41" s="72" t="str">
        <f ca="1">IF($N$41&lt;&gt;"", INDIRECT("'Tracker'!"&amp;ADDRESS(MATCH($N$41, Tracker[Anime Name], 0) + 2, 8)), "")</f>
        <v>SakuraCircle</v>
      </c>
      <c r="V41" s="109">
        <f>IF(Completed!$C$40&lt;&gt;"",Completed!$C$40,"")</f>
        <v>5</v>
      </c>
      <c r="W41" s="109">
        <f>IF(Completed!$D$40&lt;&gt;"",Completed!$D$40,"")</f>
        <v>9</v>
      </c>
      <c r="X41" s="109">
        <f>IF(Completed!$E$40&lt;&gt;"",Completed!$E$40,"")</f>
        <v>10</v>
      </c>
      <c r="Y41" s="109">
        <f>IF(Completed!$F$40&lt;&gt;"",Completed!$F$40,"")</f>
        <v>9.5</v>
      </c>
      <c r="Z41" s="125">
        <f>IF(Completed!$G$40&lt;&gt;"",Completed!$G$40,"")</f>
        <v>8.5640703517587937</v>
      </c>
      <c r="AA41" s="136">
        <f>IF(Completed!$H$40&lt;&gt;"",Completed!$H$40,"")</f>
        <v>8.1116529342525627</v>
      </c>
      <c r="AB41" s="110">
        <f>IF(Completed!$I$40&lt;&gt;"",Completed!$I$40,"")</f>
        <v>41316</v>
      </c>
      <c r="AC41" s="110">
        <f>IF(Completed!$J$40&lt;&gt;"",Completed!$J$40,"")</f>
        <v>41316</v>
      </c>
      <c r="AD41" s="126" t="str">
        <f>IF(Completed!$K$40&lt;&gt;"",Completed!$K$40,"")</f>
        <v>Miniwa Tsumiki</v>
      </c>
      <c r="AE41" s="127" t="str">
        <f>IF(Completed!$L$40&lt;&gt;"",Completed!$L$40,"")</f>
        <v>Like Lucky Star, but with 150% more moe</v>
      </c>
    </row>
    <row r="42" spans="1:31">
      <c r="A42" s="163"/>
      <c r="B42" s="164"/>
      <c r="C42" s="164"/>
      <c r="D42" s="164"/>
      <c r="E42" s="164"/>
      <c r="F42" s="164"/>
      <c r="G42" s="164"/>
      <c r="H42" s="164"/>
      <c r="J42" s="65" t="str">
        <f>IF(Backlog!$A$41&lt;&gt;"",Backlog!$A$41,"")</f>
        <v>Sora no Otoshimono Forte</v>
      </c>
      <c r="K42" s="72">
        <f>IF(Backlog!$B$41&lt;&gt;"",Backlog!$B$41,"")</f>
        <v>2</v>
      </c>
      <c r="L42" s="123" t="str">
        <f>IF(Backlog!$C$41&lt;&gt;"",Backlog!$C$41,"")</f>
        <v>DL</v>
      </c>
      <c r="N42" s="65" t="str">
        <f>IF(Completed!$A$41&lt;&gt;"",Completed!$A$41,"")</f>
        <v>Toaru Kagaku no Railgun S</v>
      </c>
      <c r="O42" s="72">
        <f>IF(Completed!$B$41&lt;&gt;"",Completed!$B$41,"")</f>
        <v>2</v>
      </c>
      <c r="P42" s="72">
        <f ca="1">IF($N$42&lt;&gt;"", INDIRECT("'Tracker'!"&amp;ADDRESS(MATCH($N$42, Tracker[Anime Name], 0) + 2, 3)), "")</f>
        <v>24</v>
      </c>
      <c r="Q42" s="66" t="str">
        <f ca="1">IF($N$42&lt;&gt;"", INDIRECT("'Tracker'!"&amp;ADDRESS(MATCH($N$42, Tracker[Anime Name], 0) + 2, 4)), "")</f>
        <v>A</v>
      </c>
      <c r="R42" s="66" t="str">
        <f ca="1">IF($N$42&lt;&gt;"", INDIRECT("'Tracker'!"&amp;ADDRESS(MATCH($N$42, Tracker[Anime Name], 0) + 2, 5)), "")</f>
        <v>720p</v>
      </c>
      <c r="S42" s="66" t="str">
        <f ca="1">IF($N$42&lt;&gt;"", INDIRECT("'Tracker'!"&amp;ADDRESS(MATCH($N$42, Tracker[Anime Name], 0) + 2, 6)), "")</f>
        <v>BD</v>
      </c>
      <c r="T42" s="66" t="str">
        <f ca="1">IF($N$42&lt;&gt;"", INDIRECT("'Tracker'!"&amp;ADDRESS(MATCH($N$42, Tracker[Anime Name], 0) + 2, 7)), "")</f>
        <v>2013A</v>
      </c>
      <c r="U42" s="72" t="str">
        <f ca="1">IF($N$42&lt;&gt;"", INDIRECT("'Tracker'!"&amp;ADDRESS(MATCH($N$42, Tracker[Anime Name], 0) + 2, 8)), "")</f>
        <v>Coalgirls, UTW, Mazui</v>
      </c>
      <c r="V42" s="109">
        <f>IF(Completed!$C$41&lt;&gt;"",Completed!$C$41,"")</f>
        <v>8.5</v>
      </c>
      <c r="W42" s="109">
        <f>IF(Completed!$D$41&lt;&gt;"",Completed!$D$41,"")</f>
        <v>8.5</v>
      </c>
      <c r="X42" s="109">
        <f>IF(Completed!$E$41&lt;&gt;"",Completed!$E$41,"")</f>
        <v>4.5</v>
      </c>
      <c r="Y42" s="109">
        <f>IF(Completed!$F$41&lt;&gt;"",Completed!$F$41,"")</f>
        <v>9</v>
      </c>
      <c r="Z42" s="125">
        <f>IF(Completed!$G$41&lt;&gt;"",Completed!$G$41,"")</f>
        <v>8.5590452261306531</v>
      </c>
      <c r="AA42" s="136">
        <f>IF(Completed!$H$41&lt;&gt;"",Completed!$H$41,"")</f>
        <v>8.1049268538759023</v>
      </c>
      <c r="AB42" s="110">
        <f>IF(Completed!$I$41&lt;&gt;"",Completed!$I$41,"")</f>
        <v>41473</v>
      </c>
      <c r="AC42" s="110">
        <f>IF(Completed!$J$41&lt;&gt;"",Completed!$J$41,"")</f>
        <v>41546</v>
      </c>
      <c r="AD42" s="126" t="str">
        <f>IF(Completed!$K$41&lt;&gt;"",Completed!$K$41,"")</f>
        <v>Misaka Mikoto</v>
      </c>
      <c r="AE42" s="127" t="str">
        <f>IF(Completed!$L$41&lt;&gt;"",Completed!$L$41,"")</f>
        <v/>
      </c>
    </row>
    <row r="43" spans="1:31">
      <c r="A43" s="163"/>
      <c r="B43" s="164"/>
      <c r="C43" s="164"/>
      <c r="D43" s="164"/>
      <c r="E43" s="164"/>
      <c r="F43" s="164"/>
      <c r="G43" s="164"/>
      <c r="H43" s="164"/>
      <c r="J43" s="65" t="str">
        <f>IF(Backlog!$A$42&lt;&gt;"",Backlog!$A$42,"")</f>
        <v>Strawberry Panic</v>
      </c>
      <c r="K43" s="72">
        <f>IF(Backlog!$B$42&lt;&gt;"",Backlog!$B$42,"")</f>
        <v>1</v>
      </c>
      <c r="L43" s="123" t="str">
        <f>IF(Backlog!$C$42&lt;&gt;"",Backlog!$C$42,"")</f>
        <v>DL</v>
      </c>
      <c r="N43" s="65" t="str">
        <f>IF(Completed!$A$42&lt;&gt;"",Completed!$A$42,"")</f>
        <v>Mirai Nikki</v>
      </c>
      <c r="O43" s="72">
        <f>IF(Completed!$B$42&lt;&gt;"",Completed!$B$42,"")</f>
        <v>1</v>
      </c>
      <c r="P43" s="72">
        <f ca="1">IF($N$43&lt;&gt;"", INDIRECT("'Tracker'!"&amp;ADDRESS(MATCH($N$43, Tracker[Anime Name], 0) + 2, 3)), "")</f>
        <v>26</v>
      </c>
      <c r="Q43" s="66" t="str">
        <f ca="1">IF($N$43&lt;&gt;"", INDIRECT("'Tracker'!"&amp;ADDRESS(MATCH($N$43, Tracker[Anime Name], 0) + 2, 4)), "")</f>
        <v>A</v>
      </c>
      <c r="R43" s="66" t="str">
        <f ca="1">IF($N$43&lt;&gt;"", INDIRECT("'Tracker'!"&amp;ADDRESS(MATCH($N$43, Tracker[Anime Name], 0) + 2, 5)), "")</f>
        <v>720p</v>
      </c>
      <c r="S43" s="66" t="str">
        <f ca="1">IF($N$43&lt;&gt;"", INDIRECT("'Tracker'!"&amp;ADDRESS(MATCH($N$43, Tracker[Anime Name], 0) + 2, 6)), "")</f>
        <v>BD</v>
      </c>
      <c r="T43" s="66" t="str">
        <f ca="1">IF($N$43&lt;&gt;"", INDIRECT("'Tracker'!"&amp;ADDRESS(MATCH($N$43, Tracker[Anime Name], 0) + 2, 7)), "")</f>
        <v>2011C</v>
      </c>
      <c r="U43" s="72" t="str">
        <f ca="1">IF($N$43&lt;&gt;"", INDIRECT("'Tracker'!"&amp;ADDRESS(MATCH($N$43, Tracker[Anime Name], 0) + 2, 8)), "")</f>
        <v>Final8</v>
      </c>
      <c r="V43" s="109">
        <f>IF(Completed!$C$42&lt;&gt;"",Completed!$C$42,"")</f>
        <v>9.5</v>
      </c>
      <c r="W43" s="109">
        <f>IF(Completed!$D$42&lt;&gt;"",Completed!$D$42,"")</f>
        <v>7.5</v>
      </c>
      <c r="X43" s="109">
        <f>IF(Completed!$E$42&lt;&gt;"",Completed!$E$42,"")</f>
        <v>5</v>
      </c>
      <c r="Y43" s="109">
        <f>IF(Completed!$F$42&lt;&gt;"",Completed!$F$42,"")</f>
        <v>9</v>
      </c>
      <c r="Z43" s="125">
        <f>IF(Completed!$G$42&lt;&gt;"",Completed!$G$42,"")</f>
        <v>8.4974874371859297</v>
      </c>
      <c r="AA43" s="136">
        <f>IF(Completed!$H$42&lt;&gt;"",Completed!$H$42,"")</f>
        <v>8.0225323692618122</v>
      </c>
      <c r="AB43" s="110">
        <f>IF(Completed!$I$42&lt;&gt;"",Completed!$I$42,"")</f>
        <v>41485</v>
      </c>
      <c r="AC43" s="110">
        <f>IF(Completed!$J$42&lt;&gt;"",Completed!$J$42,"")</f>
        <v>41491</v>
      </c>
      <c r="AD43" s="126" t="str">
        <f>IF(Completed!$K$42&lt;&gt;"",Completed!$K$42,"")</f>
        <v>Uryuu Minene v2</v>
      </c>
      <c r="AE43" s="127" t="str">
        <f>IF(Completed!$L$42&lt;&gt;"",Completed!$L$42,"")</f>
        <v>Needs a more ballsy MC</v>
      </c>
    </row>
    <row r="44" spans="1:31">
      <c r="A44" s="163"/>
      <c r="B44" s="164"/>
      <c r="C44" s="164"/>
      <c r="D44" s="164"/>
      <c r="E44" s="164"/>
      <c r="F44" s="164"/>
      <c r="G44" s="164"/>
      <c r="H44" s="164"/>
      <c r="J44" s="65" t="str">
        <f>IF(Backlog!$A$43&lt;&gt;"",Backlog!$A$43,"")</f>
        <v>The World God Only Knows</v>
      </c>
      <c r="K44" s="72">
        <f>IF(Backlog!$B$43&lt;&gt;"",Backlog!$B$43,"")</f>
        <v>1</v>
      </c>
      <c r="L44" s="123" t="str">
        <f>IF(Backlog!$C$43&lt;&gt;"",Backlog!$C$43,"")</f>
        <v>DL</v>
      </c>
      <c r="N44" s="65" t="str">
        <f>IF(Completed!$A$43&lt;&gt;"",Completed!$A$43,"")</f>
        <v>Toaru Majutsu no Index II</v>
      </c>
      <c r="O44" s="72">
        <f>IF(Completed!$B$43&lt;&gt;"",Completed!$B$43,"")</f>
        <v>2</v>
      </c>
      <c r="P44" s="72">
        <f ca="1">IF($N$44&lt;&gt;"", INDIRECT("'Tracker'!"&amp;ADDRESS(MATCH($N$44, Tracker[Anime Name], 0) + 2, 3)), "")</f>
        <v>24</v>
      </c>
      <c r="Q44" s="66" t="str">
        <f ca="1">IF($N$44&lt;&gt;"", INDIRECT("'Tracker'!"&amp;ADDRESS(MATCH($N$44, Tracker[Anime Name], 0) + 2, 4)), "")</f>
        <v>A</v>
      </c>
      <c r="R44" s="66" t="str">
        <f ca="1">IF($N$44&lt;&gt;"", INDIRECT("'Tracker'!"&amp;ADDRESS(MATCH($N$44, Tracker[Anime Name], 0) + 2, 5)), "")</f>
        <v>720p</v>
      </c>
      <c r="S44" s="66" t="str">
        <f ca="1">IF($N$44&lt;&gt;"", INDIRECT("'Tracker'!"&amp;ADDRESS(MATCH($N$44, Tracker[Anime Name], 0) + 2, 6)), "")</f>
        <v>BD</v>
      </c>
      <c r="T44" s="66" t="str">
        <f ca="1">IF($N$44&lt;&gt;"", INDIRECT("'Tracker'!"&amp;ADDRESS(MATCH($N$44, Tracker[Anime Name], 0) + 2, 7)), "")</f>
        <v>2010C</v>
      </c>
      <c r="U44" s="72" t="str">
        <f ca="1">IF($N$44&lt;&gt;"", INDIRECT("'Tracker'!"&amp;ADDRESS(MATCH($N$44, Tracker[Anime Name], 0) + 2, 8)), "")</f>
        <v>Coalgirls, UTW, Mazui</v>
      </c>
      <c r="V44" s="109">
        <f>IF(Completed!$C$43&lt;&gt;"",Completed!$C$43,"")</f>
        <v>9</v>
      </c>
      <c r="W44" s="109">
        <f>IF(Completed!$D$43&lt;&gt;"",Completed!$D$43,"")</f>
        <v>8</v>
      </c>
      <c r="X44" s="109">
        <f>IF(Completed!$E$43&lt;&gt;"",Completed!$E$43,"")</f>
        <v>4</v>
      </c>
      <c r="Y44" s="109">
        <f>IF(Completed!$F$43&lt;&gt;"",Completed!$F$43,"")</f>
        <v>9</v>
      </c>
      <c r="Z44" s="125">
        <f>IF(Completed!$G$43&lt;&gt;"",Completed!$G$43,"")</f>
        <v>8.4924623115577891</v>
      </c>
      <c r="AA44" s="136">
        <f>IF(Completed!$H$43&lt;&gt;"",Completed!$H$43,"")</f>
        <v>8.0158062888851518</v>
      </c>
      <c r="AB44" s="110">
        <f>IF(Completed!$I$43&lt;&gt;"",Completed!$I$43,"")</f>
        <v>41468</v>
      </c>
      <c r="AC44" s="110">
        <f>IF(Completed!$J$43&lt;&gt;"",Completed!$J$43,"")</f>
        <v>41470</v>
      </c>
      <c r="AD44" s="126" t="str">
        <f>IF(Completed!$K$43&lt;&gt;"",Completed!$K$43,"")</f>
        <v>Misaka Mikoto</v>
      </c>
      <c r="AE44" s="127" t="str">
        <f>IF(Completed!$L$43&lt;&gt;"",Completed!$L$43,"")</f>
        <v>Finale was a bit anticlimactic. S3 is in order</v>
      </c>
    </row>
    <row r="45" spans="1:31">
      <c r="A45" s="163"/>
      <c r="B45" s="164"/>
      <c r="C45" s="164"/>
      <c r="D45" s="164"/>
      <c r="E45" s="164"/>
      <c r="F45" s="164"/>
      <c r="G45" s="164"/>
      <c r="H45" s="164"/>
      <c r="J45" s="65" t="str">
        <f>IF(Backlog!$A$44&lt;&gt;"",Backlog!$A$44,"")</f>
        <v>The World God Only Knows II</v>
      </c>
      <c r="K45" s="72">
        <f>IF(Backlog!$B$44&lt;&gt;"",Backlog!$B$44,"")</f>
        <v>2</v>
      </c>
      <c r="L45" s="123" t="str">
        <f>IF(Backlog!$C$44&lt;&gt;"",Backlog!$C$44,"")</f>
        <v>DL</v>
      </c>
      <c r="N45" s="65" t="str">
        <f>IF(Completed!$A$44&lt;&gt;"",Completed!$A$44,"")</f>
        <v>Hataraku Maou-sama</v>
      </c>
      <c r="O45" s="72">
        <f>IF(Completed!$B$44&lt;&gt;"",Completed!$B$44,"")</f>
        <v>1</v>
      </c>
      <c r="P45" s="72">
        <f ca="1">IF($N$45&lt;&gt;"", INDIRECT("'Tracker'!"&amp;ADDRESS(MATCH($N$45, Tracker[Anime Name], 0) + 2, 3)), "")</f>
        <v>13</v>
      </c>
      <c r="Q45" s="66" t="str">
        <f ca="1">IF($N$45&lt;&gt;"", INDIRECT("'Tracker'!"&amp;ADDRESS(MATCH($N$45, Tracker[Anime Name], 0) + 2, 4)), "")</f>
        <v>A</v>
      </c>
      <c r="R45" s="66" t="str">
        <f ca="1">IF($N$45&lt;&gt;"", INDIRECT("'Tracker'!"&amp;ADDRESS(MATCH($N$45, Tracker[Anime Name], 0) + 2, 5)), "")</f>
        <v>720p</v>
      </c>
      <c r="S45" s="66" t="str">
        <f ca="1">IF($N$45&lt;&gt;"", INDIRECT("'Tracker'!"&amp;ADDRESS(MATCH($N$45, Tracker[Anime Name], 0) + 2, 6)), "")</f>
        <v>BD</v>
      </c>
      <c r="T45" s="66" t="str">
        <f ca="1">IF($N$45&lt;&gt;"", INDIRECT("'Tracker'!"&amp;ADDRESS(MATCH($N$45, Tracker[Anime Name], 0) + 2, 7)), "")</f>
        <v>2013A</v>
      </c>
      <c r="U45" s="72" t="str">
        <f ca="1">IF($N$45&lt;&gt;"", INDIRECT("'Tracker'!"&amp;ADDRESS(MATCH($N$45, Tracker[Anime Name], 0) + 2, 8)), "")</f>
        <v>FFF</v>
      </c>
      <c r="V45" s="109">
        <f>IF(Completed!$C$44&lt;&gt;"",Completed!$C$44,"")</f>
        <v>8</v>
      </c>
      <c r="W45" s="109">
        <f>IF(Completed!$D$44&lt;&gt;"",Completed!$D$44,"")</f>
        <v>8.5</v>
      </c>
      <c r="X45" s="109">
        <f>IF(Completed!$E$44&lt;&gt;"",Completed!$E$44,"")</f>
        <v>5</v>
      </c>
      <c r="Y45" s="109">
        <f>IF(Completed!$F$44&lt;&gt;"",Completed!$F$44,"")</f>
        <v>9</v>
      </c>
      <c r="Z45" s="125">
        <f>IF(Completed!$G$44&lt;&gt;"",Completed!$G$44,"")</f>
        <v>8.4912060301507548</v>
      </c>
      <c r="AA45" s="136">
        <f>IF(Completed!$H$44&lt;&gt;"",Completed!$H$44,"")</f>
        <v>8.0141247687909889</v>
      </c>
      <c r="AB45" s="110">
        <f>IF(Completed!$I$44&lt;&gt;"",Completed!$I$44,"")</f>
        <v>41371</v>
      </c>
      <c r="AC45" s="110">
        <f>IF(Completed!$J$44&lt;&gt;"",Completed!$J$44,"")</f>
        <v>41452</v>
      </c>
      <c r="AD45" s="126" t="str">
        <f>IF(Completed!$K$44&lt;&gt;"",Completed!$K$44,"")</f>
        <v>Kamazuki Suzuno</v>
      </c>
      <c r="AE45" s="127" t="str">
        <f>IF(Completed!$L$44&lt;&gt;"",Completed!$L$44,"")</f>
        <v/>
      </c>
    </row>
    <row r="46" spans="1:31">
      <c r="A46" s="163"/>
      <c r="B46" s="164"/>
      <c r="C46" s="164"/>
      <c r="D46" s="164"/>
      <c r="E46" s="164"/>
      <c r="F46" s="164"/>
      <c r="G46" s="164"/>
      <c r="H46" s="164"/>
      <c r="J46" s="65" t="str">
        <f>IF(Backlog!$A$45&lt;&gt;"",Backlog!$A$45,"")</f>
        <v>Toshokan Sensou</v>
      </c>
      <c r="K46" s="72">
        <f>IF(Backlog!$B$45&lt;&gt;"",Backlog!$B$45,"")</f>
        <v>1</v>
      </c>
      <c r="L46" s="123" t="str">
        <f>IF(Backlog!$C$45&lt;&gt;"",Backlog!$C$45,"")</f>
        <v>DL</v>
      </c>
      <c r="N46" s="65" t="str">
        <f>IF(Completed!$A$45&lt;&gt;"",Completed!$A$45,"")</f>
        <v>Mekakucity Actors</v>
      </c>
      <c r="O46" s="72">
        <f>IF(Completed!$B$45&lt;&gt;"",Completed!$B$45,"")</f>
        <v>1</v>
      </c>
      <c r="P46" s="72">
        <f ca="1">IF($N$46&lt;&gt;"", INDIRECT("'Tracker'!"&amp;ADDRESS(MATCH($N$46, Tracker[Anime Name], 0) + 2, 3)), "")</f>
        <v>12</v>
      </c>
      <c r="Q46" s="66" t="str">
        <f ca="1">IF($N$46&lt;&gt;"", INDIRECT("'Tracker'!"&amp;ADDRESS(MATCH($N$46, Tracker[Anime Name], 0) + 2, 4)), "")</f>
        <v>B</v>
      </c>
      <c r="R46" s="66" t="str">
        <f ca="1">IF($N$46&lt;&gt;"", INDIRECT("'Tracker'!"&amp;ADDRESS(MATCH($N$46, Tracker[Anime Name], 0) + 2, 5)), "")</f>
        <v>720p</v>
      </c>
      <c r="S46" s="66" t="str">
        <f ca="1">IF($N$46&lt;&gt;"", INDIRECT("'Tracker'!"&amp;ADDRESS(MATCH($N$46, Tracker[Anime Name], 0) + 2, 6)), "")</f>
        <v>TV</v>
      </c>
      <c r="T46" s="66" t="str">
        <f ca="1">IF($N$46&lt;&gt;"", INDIRECT("'Tracker'!"&amp;ADDRESS(MATCH($N$46, Tracker[Anime Name], 0) + 2, 7)), "")</f>
        <v>2014A</v>
      </c>
      <c r="U46" s="72" t="str">
        <f ca="1">IF($N$46&lt;&gt;"", INDIRECT("'Tracker'!"&amp;ADDRESS(MATCH($N$46, Tracker[Anime Name], 0) + 2, 8)), "")</f>
        <v>HorribleSubs</v>
      </c>
      <c r="V46" s="109">
        <f>IF(Completed!$C$45&lt;&gt;"",Completed!$C$45,"")</f>
        <v>8.5</v>
      </c>
      <c r="W46" s="109">
        <f>IF(Completed!$D$45&lt;&gt;"",Completed!$D$45,"")</f>
        <v>9</v>
      </c>
      <c r="X46" s="109">
        <f>IF(Completed!$E$45&lt;&gt;"",Completed!$E$45,"")</f>
        <v>5.5</v>
      </c>
      <c r="Y46" s="109">
        <f>IF(Completed!$F$45&lt;&gt;"",Completed!$F$45,"")</f>
        <v>8.5</v>
      </c>
      <c r="Z46" s="125">
        <f>IF(Completed!$G$45&lt;&gt;"",Completed!$G$45,"")</f>
        <v>8.4912060301507548</v>
      </c>
      <c r="AA46" s="136">
        <f>IF(Completed!$H$45&lt;&gt;"",Completed!$H$45,"")</f>
        <v>8.0141247687909889</v>
      </c>
      <c r="AB46" s="110">
        <f>IF(Completed!$I$45&lt;&gt;"",Completed!$I$45,"")</f>
        <v>41785</v>
      </c>
      <c r="AC46" s="110">
        <f>IF(Completed!$J$45&lt;&gt;"",Completed!$J$45,"")</f>
        <v>41818</v>
      </c>
      <c r="AD46" s="126" t="str">
        <f>IF(Completed!$K$45&lt;&gt;"",Completed!$K$45,"")</f>
        <v>Ene (Enomoto Takane)</v>
      </c>
      <c r="AE46" s="127" t="str">
        <f>IF(Completed!$L$45&lt;&gt;"",Completed!$L$45,"")</f>
        <v>Plot is a bit confusing to follow, but was a good show overall. Ayano needs more screentime.</v>
      </c>
    </row>
    <row r="47" spans="1:31">
      <c r="A47" s="163"/>
      <c r="B47" s="164"/>
      <c r="C47" s="164"/>
      <c r="D47" s="164"/>
      <c r="E47" s="164"/>
      <c r="F47" s="164"/>
      <c r="G47" s="164"/>
      <c r="H47" s="164"/>
      <c r="J47" s="65" t="str">
        <f>IF(Backlog!$A$46&lt;&gt;"",Backlog!$A$46,"")</f>
        <v>Uchouten Kazoku</v>
      </c>
      <c r="K47" s="72">
        <f>IF(Backlog!$B$46&lt;&gt;"",Backlog!$B$46,"")</f>
        <v>1</v>
      </c>
      <c r="L47" s="123" t="str">
        <f>IF(Backlog!$C$46&lt;&gt;"",Backlog!$C$46,"")</f>
        <v>DL</v>
      </c>
      <c r="N47" s="65" t="str">
        <f>IF(Completed!$A$46&lt;&gt;"",Completed!$A$46,"")</f>
        <v>Ore no Imouto ga Konna ni Kawaii Wake ga Nai.</v>
      </c>
      <c r="O47" s="72">
        <f>IF(Completed!$B$46&lt;&gt;"",Completed!$B$46,"")</f>
        <v>2</v>
      </c>
      <c r="P47" s="72">
        <f ca="1">IF($N$47&lt;&gt;"", INDIRECT("'Tracker'!"&amp;ADDRESS(MATCH($N$47, Tracker[Anime Name], 0) + 2, 3)), "")</f>
        <v>16</v>
      </c>
      <c r="Q47" s="66" t="str">
        <f ca="1">IF($N$47&lt;&gt;"", INDIRECT("'Tracker'!"&amp;ADDRESS(MATCH($N$47, Tracker[Anime Name], 0) + 2, 4)), "")</f>
        <v>A</v>
      </c>
      <c r="R47" s="66" t="str">
        <f ca="1">IF($N$47&lt;&gt;"", INDIRECT("'Tracker'!"&amp;ADDRESS(MATCH($N$47, Tracker[Anime Name], 0) + 2, 5)), "")</f>
        <v>1080p</v>
      </c>
      <c r="S47" s="66" t="str">
        <f ca="1">IF($N$47&lt;&gt;"", INDIRECT("'Tracker'!"&amp;ADDRESS(MATCH($N$47, Tracker[Anime Name], 0) + 2, 6)), "")</f>
        <v>BD</v>
      </c>
      <c r="T47" s="66" t="str">
        <f ca="1">IF($N$47&lt;&gt;"", INDIRECT("'Tracker'!"&amp;ADDRESS(MATCH($N$47, Tracker[Anime Name], 0) + 2, 7)), "")</f>
        <v>2013A</v>
      </c>
      <c r="U47" s="72" t="str">
        <f ca="1">IF($N$47&lt;&gt;"", INDIRECT("'Tracker'!"&amp;ADDRESS(MATCH($N$47, Tracker[Anime Name], 0) + 2, 8)), "")</f>
        <v>Coalgirls, EveTaku</v>
      </c>
      <c r="V47" s="109">
        <f>IF(Completed!$C$46&lt;&gt;"",Completed!$C$46,"")</f>
        <v>8.5</v>
      </c>
      <c r="W47" s="109">
        <f>IF(Completed!$D$46&lt;&gt;"",Completed!$D$46,"")</f>
        <v>8</v>
      </c>
      <c r="X47" s="109">
        <f>IF(Completed!$E$46&lt;&gt;"",Completed!$E$46,"")</f>
        <v>5.5</v>
      </c>
      <c r="Y47" s="109">
        <f>IF(Completed!$F$46&lt;&gt;"",Completed!$F$46,"")</f>
        <v>9</v>
      </c>
      <c r="Z47" s="125">
        <f>IF(Completed!$G$46&lt;&gt;"",Completed!$G$46,"")</f>
        <v>8.4723618090452266</v>
      </c>
      <c r="AA47" s="136">
        <f>IF(Completed!$H$46&lt;&gt;"",Completed!$H$46,"")</f>
        <v>7.9889019673785109</v>
      </c>
      <c r="AB47" s="110">
        <f>IF(Completed!$I$46&lt;&gt;"",Completed!$I$46,"")</f>
        <v>41370</v>
      </c>
      <c r="AC47" s="110">
        <f>IF(Completed!$J$46&lt;&gt;"",Completed!$J$46,"")</f>
        <v>41512</v>
      </c>
      <c r="AD47" s="126" t="str">
        <f>IF(Completed!$K$46&lt;&gt;"",Completed!$K$46,"")</f>
        <v>Aragaki Ayase-tan</v>
      </c>
      <c r="AE47" s="127" t="str">
        <f>IF(Completed!$L$46&lt;&gt;"",Completed!$L$46,"")</f>
        <v/>
      </c>
    </row>
    <row r="48" spans="1:31">
      <c r="A48" s="163"/>
      <c r="B48" s="164"/>
      <c r="C48" s="164"/>
      <c r="D48" s="164"/>
      <c r="E48" s="164"/>
      <c r="F48" s="164"/>
      <c r="G48" s="164"/>
      <c r="H48" s="164"/>
      <c r="J48" s="65" t="str">
        <f>IF(Backlog!$A$47&lt;&gt;"",Backlog!$A$47,"")</f>
        <v>Welcome to the N.H.K!</v>
      </c>
      <c r="K48" s="72">
        <f>IF(Backlog!$B$47&lt;&gt;"",Backlog!$B$47,"")</f>
        <v>1</v>
      </c>
      <c r="L48" s="123" t="str">
        <f>IF(Backlog!$C$47&lt;&gt;"",Backlog!$C$47,"")</f>
        <v>DL</v>
      </c>
      <c r="N48" s="65" t="str">
        <f>IF(Completed!$A$47&lt;&gt;"",Completed!$A$47,"")</f>
        <v>Gochuumon wa Usagi Desu ka?</v>
      </c>
      <c r="O48" s="72">
        <f>IF(Completed!$B$47&lt;&gt;"",Completed!$B$47,"")</f>
        <v>1</v>
      </c>
      <c r="P48" s="72">
        <f ca="1">IF($N$48&lt;&gt;"", INDIRECT("'Tracker'!"&amp;ADDRESS(MATCH($N$48, Tracker[Anime Name], 0) + 2, 3)), "")</f>
        <v>12</v>
      </c>
      <c r="Q48" s="66" t="str">
        <f ca="1">IF($N$48&lt;&gt;"", INDIRECT("'Tracker'!"&amp;ADDRESS(MATCH($N$48, Tracker[Anime Name], 0) + 2, 4)), "")</f>
        <v>B</v>
      </c>
      <c r="R48" s="66" t="str">
        <f ca="1">IF($N$48&lt;&gt;"", INDIRECT("'Tracker'!"&amp;ADDRESS(MATCH($N$48, Tracker[Anime Name], 0) + 2, 5)), "")</f>
        <v>720p</v>
      </c>
      <c r="S48" s="66" t="str">
        <f ca="1">IF($N$48&lt;&gt;"", INDIRECT("'Tracker'!"&amp;ADDRESS(MATCH($N$48, Tracker[Anime Name], 0) + 2, 6)), "")</f>
        <v>TV</v>
      </c>
      <c r="T48" s="66" t="str">
        <f ca="1">IF($N$48&lt;&gt;"", INDIRECT("'Tracker'!"&amp;ADDRESS(MATCH($N$48, Tracker[Anime Name], 0) + 2, 7)), "")</f>
        <v>2014A</v>
      </c>
      <c r="U48" s="72" t="str">
        <f ca="1">IF($N$48&lt;&gt;"", INDIRECT("'Tracker'!"&amp;ADDRESS(MATCH($N$48, Tracker[Anime Name], 0) + 2, 8)), "")</f>
        <v>Vivid, EveTaku</v>
      </c>
      <c r="V48" s="109">
        <f>IF(Completed!$C$47&lt;&gt;"",Completed!$C$47,"")</f>
        <v>4.5</v>
      </c>
      <c r="W48" s="109">
        <f>IF(Completed!$D$47&lt;&gt;"",Completed!$D$47,"")</f>
        <v>9</v>
      </c>
      <c r="X48" s="109">
        <f>IF(Completed!$E$47&lt;&gt;"",Completed!$E$47,"")</f>
        <v>10</v>
      </c>
      <c r="Y48" s="109">
        <f>IF(Completed!$F$47&lt;&gt;"",Completed!$F$47,"")</f>
        <v>9.5</v>
      </c>
      <c r="Z48" s="125">
        <f>IF(Completed!$G$47&lt;&gt;"",Completed!$G$47,"")</f>
        <v>8.4723618090452266</v>
      </c>
      <c r="AA48" s="136">
        <f>IF(Completed!$H$47&lt;&gt;"",Completed!$H$47,"")</f>
        <v>7.9889019673785109</v>
      </c>
      <c r="AB48" s="110">
        <f>IF(Completed!$I$47&lt;&gt;"",Completed!$I$47,"")</f>
        <v>41762</v>
      </c>
      <c r="AC48" s="110">
        <f>IF(Completed!$J$47&lt;&gt;"",Completed!$J$47,"")</f>
        <v>41820</v>
      </c>
      <c r="AD48" s="126" t="str">
        <f>IF(Completed!$K$47&lt;&gt;"",Completed!$K$47,"")</f>
        <v>Kafu Chino</v>
      </c>
      <c r="AE48" s="127" t="str">
        <f>IF(Completed!$L$47&lt;&gt;"",Completed!$L$47,"")</f>
        <v/>
      </c>
    </row>
    <row r="49" spans="1:31">
      <c r="A49" s="163"/>
      <c r="B49" s="164"/>
      <c r="C49" s="164"/>
      <c r="D49" s="164"/>
      <c r="E49" s="164"/>
      <c r="F49" s="164"/>
      <c r="G49" s="164"/>
      <c r="H49" s="164"/>
      <c r="J49" s="65" t="str">
        <f>IF(Backlog!$A$48&lt;&gt;"",Backlog!$A$48,"")</f>
        <v>White Album</v>
      </c>
      <c r="K49" s="72">
        <f>IF(Backlog!$B$48&lt;&gt;"",Backlog!$B$48,"")</f>
        <v>1</v>
      </c>
      <c r="L49" s="123" t="str">
        <f>IF(Backlog!$C$48&lt;&gt;"",Backlog!$C$48,"")</f>
        <v>DL</v>
      </c>
      <c r="N49" s="65" t="str">
        <f>IF(Completed!$A$48&lt;&gt;"",Completed!$A$48,"")</f>
        <v>Ryuugajou Nanana no Maizoukin</v>
      </c>
      <c r="O49" s="72">
        <f>IF(Completed!$B$48&lt;&gt;"",Completed!$B$48,"")</f>
        <v>1</v>
      </c>
      <c r="P49" s="72">
        <f ca="1">IF($N$49&lt;&gt;"", INDIRECT("'Tracker'!"&amp;ADDRESS(MATCH($N$49, Tracker[Anime Name], 0) + 2, 3)), "")</f>
        <v>11</v>
      </c>
      <c r="Q49" s="66" t="str">
        <f ca="1">IF($N$49&lt;&gt;"", INDIRECT("'Tracker'!"&amp;ADDRESS(MATCH($N$49, Tracker[Anime Name], 0) + 2, 4)), "")</f>
        <v>B</v>
      </c>
      <c r="R49" s="66" t="str">
        <f ca="1">IF($N$49&lt;&gt;"", INDIRECT("'Tracker'!"&amp;ADDRESS(MATCH($N$49, Tracker[Anime Name], 0) + 2, 5)), "")</f>
        <v>720p</v>
      </c>
      <c r="S49" s="66" t="str">
        <f ca="1">IF($N$49&lt;&gt;"", INDIRECT("'Tracker'!"&amp;ADDRESS(MATCH($N$49, Tracker[Anime Name], 0) + 2, 6)), "")</f>
        <v>TV</v>
      </c>
      <c r="T49" s="66" t="str">
        <f ca="1">IF($N$49&lt;&gt;"", INDIRECT("'Tracker'!"&amp;ADDRESS(MATCH($N$49, Tracker[Anime Name], 0) + 2, 7)), "")</f>
        <v>2014A</v>
      </c>
      <c r="U49" s="72" t="str">
        <f ca="1">IF($N$49&lt;&gt;"", INDIRECT("'Tracker'!"&amp;ADDRESS(MATCH($N$49, Tracker[Anime Name], 0) + 2, 8)), "")</f>
        <v>FFF</v>
      </c>
      <c r="V49" s="109">
        <f>IF(Completed!$C$48&lt;&gt;"",Completed!$C$48,"")</f>
        <v>9</v>
      </c>
      <c r="W49" s="109">
        <f>IF(Completed!$D$48&lt;&gt;"",Completed!$D$48,"")</f>
        <v>8.5</v>
      </c>
      <c r="X49" s="109">
        <f>IF(Completed!$E$48&lt;&gt;"",Completed!$E$48,"")</f>
        <v>5.5</v>
      </c>
      <c r="Y49" s="109">
        <f>IF(Completed!$F$48&lt;&gt;"",Completed!$F$48,"")</f>
        <v>8.5</v>
      </c>
      <c r="Z49" s="125">
        <f>IF(Completed!$G$48&lt;&gt;"",Completed!$G$48,"")</f>
        <v>8.4484924623115578</v>
      </c>
      <c r="AA49" s="136">
        <f>IF(Completed!$H$48&lt;&gt;"",Completed!$H$48,"")</f>
        <v>7.9569530855893724</v>
      </c>
      <c r="AB49" s="110">
        <f>IF(Completed!$I$48&lt;&gt;"",Completed!$I$48,"")</f>
        <v>41786</v>
      </c>
      <c r="AC49" s="110">
        <f>IF(Completed!$J$48&lt;&gt;"",Completed!$J$48,"")</f>
        <v>41812</v>
      </c>
      <c r="AD49" s="126" t="str">
        <f>IF(Completed!$K$48&lt;&gt;"",Completed!$K$48,"")</f>
        <v>Ryuugajou Nanana</v>
      </c>
      <c r="AE49" s="127" t="str">
        <f>IF(Completed!$L$48&lt;&gt;"",Completed!$L$48,"")</f>
        <v/>
      </c>
    </row>
    <row r="50" spans="1:31">
      <c r="A50" s="163"/>
      <c r="B50" s="164"/>
      <c r="C50" s="164"/>
      <c r="D50" s="164"/>
      <c r="E50" s="164"/>
      <c r="F50" s="164"/>
      <c r="G50" s="164"/>
      <c r="H50" s="164"/>
      <c r="J50" s="65" t="str">
        <f>IF(Backlog!$A$49&lt;&gt;"",Backlog!$A$49,"")</f>
        <v>Zero no Tsukaima</v>
      </c>
      <c r="K50" s="72">
        <f>IF(Backlog!$B$49&lt;&gt;"",Backlog!$B$49,"")</f>
        <v>1</v>
      </c>
      <c r="L50" s="123" t="str">
        <f>IF(Backlog!$C$49&lt;&gt;"",Backlog!$C$49,"")</f>
        <v>DL</v>
      </c>
      <c r="N50" s="65" t="str">
        <f>IF(Completed!$A$49&lt;&gt;"",Completed!$A$49,"")</f>
        <v>Sakurasou no Pet Na Kanojo</v>
      </c>
      <c r="O50" s="72">
        <f>IF(Completed!$B$49&lt;&gt;"",Completed!$B$49,"")</f>
        <v>1</v>
      </c>
      <c r="P50" s="72">
        <f ca="1">IF($N$50&lt;&gt;"", INDIRECT("'Tracker'!"&amp;ADDRESS(MATCH($N$50, Tracker[Anime Name], 0) + 2, 3)), "")</f>
        <v>24</v>
      </c>
      <c r="Q50" s="66" t="str">
        <f ca="1">IF($N$50&lt;&gt;"", INDIRECT("'Tracker'!"&amp;ADDRESS(MATCH($N$50, Tracker[Anime Name], 0) + 2, 4)), "")</f>
        <v>A</v>
      </c>
      <c r="R50" s="66" t="str">
        <f ca="1">IF($N$50&lt;&gt;"", INDIRECT("'Tracker'!"&amp;ADDRESS(MATCH($N$50, Tracker[Anime Name], 0) + 2, 5)), "")</f>
        <v>720p</v>
      </c>
      <c r="S50" s="66" t="str">
        <f ca="1">IF($N$50&lt;&gt;"", INDIRECT("'Tracker'!"&amp;ADDRESS(MATCH($N$50, Tracker[Anime Name], 0) + 2, 6)), "")</f>
        <v>BD</v>
      </c>
      <c r="T50" s="66" t="str">
        <f ca="1">IF($N$50&lt;&gt;"", INDIRECT("'Tracker'!"&amp;ADDRESS(MATCH($N$50, Tracker[Anime Name], 0) + 2, 7)), "")</f>
        <v>2012C</v>
      </c>
      <c r="U50" s="72" t="str">
        <f ca="1">IF($N$50&lt;&gt;"", INDIRECT("'Tracker'!"&amp;ADDRESS(MATCH($N$50, Tracker[Anime Name], 0) + 2, 8)), "")</f>
        <v>Coalgirls, EveTaku</v>
      </c>
      <c r="V50" s="109">
        <f>IF(Completed!$C$49&lt;&gt;"",Completed!$C$49,"")</f>
        <v>8.5</v>
      </c>
      <c r="W50" s="109">
        <f>IF(Completed!$D$49&lt;&gt;"",Completed!$D$49,"")</f>
        <v>8</v>
      </c>
      <c r="X50" s="109">
        <f>IF(Completed!$E$49&lt;&gt;"",Completed!$E$49,"")</f>
        <v>5</v>
      </c>
      <c r="Y50" s="109">
        <f>IF(Completed!$F$49&lt;&gt;"",Completed!$F$49,"")</f>
        <v>9</v>
      </c>
      <c r="Z50" s="125">
        <f>IF(Completed!$G$49&lt;&gt;"",Completed!$G$49,"")</f>
        <v>8.4484924623115578</v>
      </c>
      <c r="AA50" s="136">
        <f>IF(Completed!$H$49&lt;&gt;"",Completed!$H$49,"")</f>
        <v>7.9569530855893724</v>
      </c>
      <c r="AB50" s="110">
        <f>IF(Completed!$I$49&lt;&gt;"",Completed!$I$49,"")</f>
        <v>41261</v>
      </c>
      <c r="AC50" s="110">
        <f>IF(Completed!$J$49&lt;&gt;"",Completed!$J$49,"")</f>
        <v>41359</v>
      </c>
      <c r="AD50" s="126" t="str">
        <f>IF(Completed!$K$49&lt;&gt;"",Completed!$K$49,"")</f>
        <v>Shiina Mashiro</v>
      </c>
      <c r="AE50" s="127" t="str">
        <f>IF(Completed!$L$49&lt;&gt;"",Completed!$L$49,"")</f>
        <v/>
      </c>
    </row>
    <row r="51" spans="1:31">
      <c r="A51" s="163"/>
      <c r="B51" s="164"/>
      <c r="C51" s="164"/>
      <c r="D51" s="164"/>
      <c r="E51" s="164"/>
      <c r="F51" s="164"/>
      <c r="G51" s="164"/>
      <c r="H51" s="164"/>
      <c r="J51" s="65" t="str">
        <f>IF(Backlog!$A$50&lt;&gt;"",Backlog!$A$50,"")</f>
        <v>Zero no Tsukaima F</v>
      </c>
      <c r="K51" s="72">
        <f>IF(Backlog!$B$50&lt;&gt;"",Backlog!$B$50,"")</f>
        <v>2</v>
      </c>
      <c r="L51" s="123" t="str">
        <f>IF(Backlog!$C$50&lt;&gt;"",Backlog!$C$50,"")</f>
        <v>DL</v>
      </c>
      <c r="N51" s="65" t="str">
        <f>IF(Completed!$A$50&lt;&gt;"",Completed!$A$50,"")</f>
        <v>Noragami</v>
      </c>
      <c r="O51" s="72">
        <f>IF(Completed!$B$50&lt;&gt;"",Completed!$B$50,"")</f>
        <v>1</v>
      </c>
      <c r="P51" s="72">
        <f ca="1">IF($N$51&lt;&gt;"", INDIRECT("'Tracker'!"&amp;ADDRESS(MATCH($N$51, Tracker[Anime Name], 0) + 2, 3)), "")</f>
        <v>12</v>
      </c>
      <c r="Q51" s="66" t="str">
        <f ca="1">IF($N$51&lt;&gt;"", INDIRECT("'Tracker'!"&amp;ADDRESS(MATCH($N$51, Tracker[Anime Name], 0) + 2, 4)), "")</f>
        <v>B</v>
      </c>
      <c r="R51" s="66" t="str">
        <f ca="1">IF($N$51&lt;&gt;"", INDIRECT("'Tracker'!"&amp;ADDRESS(MATCH($N$51, Tracker[Anime Name], 0) + 2, 5)), "")</f>
        <v>720p</v>
      </c>
      <c r="S51" s="66" t="str">
        <f ca="1">IF($N$51&lt;&gt;"", INDIRECT("'Tracker'!"&amp;ADDRESS(MATCH($N$51, Tracker[Anime Name], 0) + 2, 6)), "")</f>
        <v>TV</v>
      </c>
      <c r="T51" s="66" t="str">
        <f ca="1">IF($N$51&lt;&gt;"", INDIRECT("'Tracker'!"&amp;ADDRESS(MATCH($N$51, Tracker[Anime Name], 0) + 2, 7)), "")</f>
        <v>2013D</v>
      </c>
      <c r="U51" s="72" t="str">
        <f ca="1">IF($N$51&lt;&gt;"", INDIRECT("'Tracker'!"&amp;ADDRESS(MATCH($N$51, Tracker[Anime Name], 0) + 2, 8)), "")</f>
        <v>FFF</v>
      </c>
      <c r="V51" s="109">
        <f>IF(Completed!$C$50&lt;&gt;"",Completed!$C$50,"")</f>
        <v>9</v>
      </c>
      <c r="W51" s="109">
        <f>IF(Completed!$D$50&lt;&gt;"",Completed!$D$50,"")</f>
        <v>8.5</v>
      </c>
      <c r="X51" s="109">
        <f>IF(Completed!$E$50&lt;&gt;"",Completed!$E$50,"")</f>
        <v>5</v>
      </c>
      <c r="Y51" s="109">
        <f>IF(Completed!$F$50&lt;&gt;"",Completed!$F$50,"")</f>
        <v>8.5</v>
      </c>
      <c r="Z51" s="125">
        <f>IF(Completed!$G$50&lt;&gt;"",Completed!$G$50,"")</f>
        <v>8.424623115577889</v>
      </c>
      <c r="AA51" s="136">
        <f>IF(Completed!$H$50&lt;&gt;"",Completed!$H$50,"")</f>
        <v>7.9250042038002348</v>
      </c>
      <c r="AB51" s="110">
        <f>IF(Completed!$I$50&lt;&gt;"",Completed!$I$50,"")</f>
        <v>41647</v>
      </c>
      <c r="AC51" s="110">
        <f>IF(Completed!$J$50&lt;&gt;"",Completed!$J$50,"")</f>
        <v>41726</v>
      </c>
      <c r="AD51" s="126" t="str">
        <f>IF(Completed!$K$50&lt;&gt;"",Completed!$K$50,"")</f>
        <v>Iki Hiyori</v>
      </c>
      <c r="AE51" s="127" t="str">
        <f>IF(Completed!$L$50&lt;&gt;"",Completed!$L$50,"")</f>
        <v/>
      </c>
    </row>
    <row r="52" spans="1:31">
      <c r="A52" s="163"/>
      <c r="B52" s="164"/>
      <c r="C52" s="164"/>
      <c r="D52" s="164"/>
      <c r="E52" s="164"/>
      <c r="F52" s="164"/>
      <c r="G52" s="164"/>
      <c r="H52" s="164"/>
      <c r="J52" s="65" t="str">
        <f>IF(Backlog!$A$51&lt;&gt;"",Backlog!$A$51,"")</f>
        <v>Zero no Tsukaima Futatsuki no Kishi</v>
      </c>
      <c r="K52" s="72">
        <f>IF(Backlog!$B$51&lt;&gt;"",Backlog!$B$51,"")</f>
        <v>3</v>
      </c>
      <c r="L52" s="123" t="str">
        <f>IF(Backlog!$C$51&lt;&gt;"",Backlog!$C$51,"")</f>
        <v>DL</v>
      </c>
      <c r="N52" s="65" t="str">
        <f>IF(Completed!$A$51&lt;&gt;"",Completed!$A$51,"")</f>
        <v>Arpeggio of Blue Steel - Ars Nova</v>
      </c>
      <c r="O52" s="72">
        <f>IF(Completed!$B$51&lt;&gt;"",Completed!$B$51,"")</f>
        <v>1</v>
      </c>
      <c r="P52" s="72">
        <f ca="1">IF($N$52&lt;&gt;"", INDIRECT("'Tracker'!"&amp;ADDRESS(MATCH($N$52, Tracker[Anime Name], 0) + 2, 3)), "")</f>
        <v>12</v>
      </c>
      <c r="Q52" s="66" t="str">
        <f ca="1">IF($N$52&lt;&gt;"", INDIRECT("'Tracker'!"&amp;ADDRESS(MATCH($N$52, Tracker[Anime Name], 0) + 2, 4)), "")</f>
        <v>B</v>
      </c>
      <c r="R52" s="66" t="str">
        <f ca="1">IF($N$52&lt;&gt;"", INDIRECT("'Tracker'!"&amp;ADDRESS(MATCH($N$52, Tracker[Anime Name], 0) + 2, 5)), "")</f>
        <v>720p</v>
      </c>
      <c r="S52" s="66" t="str">
        <f ca="1">IF($N$52&lt;&gt;"", INDIRECT("'Tracker'!"&amp;ADDRESS(MATCH($N$52, Tracker[Anime Name], 0) + 2, 6)), "")</f>
        <v>TV</v>
      </c>
      <c r="T52" s="66" t="str">
        <f ca="1">IF($N$52&lt;&gt;"", INDIRECT("'Tracker'!"&amp;ADDRESS(MATCH($N$52, Tracker[Anime Name], 0) + 2, 7)), "")</f>
        <v>2013C</v>
      </c>
      <c r="U52" s="72" t="str">
        <f ca="1">IF($N$52&lt;&gt;"", INDIRECT("'Tracker'!"&amp;ADDRESS(MATCH($N$52, Tracker[Anime Name], 0) + 2, 8)), "")</f>
        <v>HorribleSubs</v>
      </c>
      <c r="V52" s="109">
        <f>IF(Completed!$C$51&lt;&gt;"",Completed!$C$51,"")</f>
        <v>8.5</v>
      </c>
      <c r="W52" s="109">
        <f>IF(Completed!$D$51&lt;&gt;"",Completed!$D$51,"")</f>
        <v>8.5</v>
      </c>
      <c r="X52" s="109">
        <f>IF(Completed!$E$51&lt;&gt;"",Completed!$E$51,"")</f>
        <v>6.5</v>
      </c>
      <c r="Y52" s="109">
        <f>IF(Completed!$F$51&lt;&gt;"",Completed!$F$51,"")</f>
        <v>8.5</v>
      </c>
      <c r="Z52" s="125">
        <f>IF(Completed!$G$51&lt;&gt;"",Completed!$G$51,"")</f>
        <v>8.4045226130653266</v>
      </c>
      <c r="AA52" s="136">
        <f>IF(Completed!$H$51&lt;&gt;"",Completed!$H$51,"")</f>
        <v>7.8980998822935931</v>
      </c>
      <c r="AB52" s="110">
        <f>IF(Completed!$I$51&lt;&gt;"",Completed!$I$51,"")</f>
        <v>41555</v>
      </c>
      <c r="AC52" s="110">
        <f>IF(Completed!$J$51&lt;&gt;"",Completed!$J$51,"")</f>
        <v>41631</v>
      </c>
      <c r="AD52" s="126" t="str">
        <f>IF(Completed!$K$51&lt;&gt;"",Completed!$K$51,"")</f>
        <v>Iona</v>
      </c>
      <c r="AE52" s="127" t="str">
        <f>IF(Completed!$L$51&lt;&gt;"",Completed!$L$51,"")</f>
        <v>Super well animated action scenes, and lots of hexagons</v>
      </c>
    </row>
    <row r="53" spans="1:31">
      <c r="A53" s="163"/>
      <c r="B53" s="164"/>
      <c r="C53" s="164"/>
      <c r="D53" s="164"/>
      <c r="E53" s="164"/>
      <c r="F53" s="164"/>
      <c r="G53" s="164"/>
      <c r="H53" s="164"/>
      <c r="J53" s="65" t="str">
        <f>IF(Backlog!$A$52&lt;&gt;"",Backlog!$A$52,"")</f>
        <v>Zero no Tsukaima Princes no Rondo</v>
      </c>
      <c r="K53" s="72">
        <f>IF(Backlog!$B$52&lt;&gt;"",Backlog!$B$52,"")</f>
        <v>4</v>
      </c>
      <c r="L53" s="123" t="str">
        <f>IF(Backlog!$C$52&lt;&gt;"",Backlog!$C$52,"")</f>
        <v>DL</v>
      </c>
      <c r="N53" s="65" t="str">
        <f>IF(Completed!$A$52&lt;&gt;"",Completed!$A$52,"")</f>
        <v>K-On!!</v>
      </c>
      <c r="O53" s="72">
        <f>IF(Completed!$B$52&lt;&gt;"",Completed!$B$52,"")</f>
        <v>2</v>
      </c>
      <c r="P53" s="72">
        <f ca="1">IF($N$53&lt;&gt;"", INDIRECT("'Tracker'!"&amp;ADDRESS(MATCH($N$53, Tracker[Anime Name], 0) + 2, 3)), "")</f>
        <v>24</v>
      </c>
      <c r="Q53" s="66" t="str">
        <f ca="1">IF($N$53&lt;&gt;"", INDIRECT("'Tracker'!"&amp;ADDRESS(MATCH($N$53, Tracker[Anime Name], 0) + 2, 4)), "")</f>
        <v>A</v>
      </c>
      <c r="R53" s="66" t="str">
        <f ca="1">IF($N$53&lt;&gt;"", INDIRECT("'Tracker'!"&amp;ADDRESS(MATCH($N$53, Tracker[Anime Name], 0) + 2, 5)), "")</f>
        <v>720p</v>
      </c>
      <c r="S53" s="66" t="str">
        <f ca="1">IF($N$53&lt;&gt;"", INDIRECT("'Tracker'!"&amp;ADDRESS(MATCH($N$53, Tracker[Anime Name], 0) + 2, 6)), "")</f>
        <v>BD</v>
      </c>
      <c r="T53" s="66" t="str">
        <f ca="1">IF($N$53&lt;&gt;"", INDIRECT("'Tracker'!"&amp;ADDRESS(MATCH($N$53, Tracker[Anime Name], 0) + 2, 7)), "")</f>
        <v>2010A</v>
      </c>
      <c r="U53" s="72" t="str">
        <f ca="1">IF($N$53&lt;&gt;"", INDIRECT("'Tracker'!"&amp;ADDRESS(MATCH($N$53, Tracker[Anime Name], 0) + 2, 8)), "")</f>
        <v>Elysium</v>
      </c>
      <c r="V53" s="109">
        <f>IF(Completed!$C$52&lt;&gt;"",Completed!$C$52,"")</f>
        <v>6.5</v>
      </c>
      <c r="W53" s="109">
        <f>IF(Completed!$D$52&lt;&gt;"",Completed!$D$52,"")</f>
        <v>7.5</v>
      </c>
      <c r="X53" s="109">
        <f>IF(Completed!$E$52&lt;&gt;"",Completed!$E$52,"")</f>
        <v>9</v>
      </c>
      <c r="Y53" s="109">
        <f>IF(Completed!$F$52&lt;&gt;"",Completed!$F$52,"")</f>
        <v>9.5</v>
      </c>
      <c r="Z53" s="125">
        <f>IF(Completed!$G$52&lt;&gt;"",Completed!$G$52,"")</f>
        <v>8.3881909547738704</v>
      </c>
      <c r="AA53" s="136">
        <f>IF(Completed!$H$52&lt;&gt;"",Completed!$H$52,"")</f>
        <v>7.8762401210694479</v>
      </c>
      <c r="AB53" s="110">
        <f>IF(Completed!$I$52&lt;&gt;"",Completed!$I$52,"")</f>
        <v>41338</v>
      </c>
      <c r="AC53" s="110">
        <f>IF(Completed!$J$52&lt;&gt;"",Completed!$J$52,"")</f>
        <v>41340</v>
      </c>
      <c r="AD53" s="126" t="str">
        <f>IF(Completed!$K$52&lt;&gt;"",Completed!$K$52,"")</f>
        <v>Nakano Azusa</v>
      </c>
      <c r="AE53" s="127" t="str">
        <f>IF(Completed!$L$52&lt;&gt;"",Completed!$L$52,"")</f>
        <v>Deserves more than what it gets called online</v>
      </c>
    </row>
    <row r="54" spans="1:31">
      <c r="A54" s="163"/>
      <c r="B54" s="164"/>
      <c r="C54" s="164"/>
      <c r="D54" s="164"/>
      <c r="E54" s="164"/>
      <c r="F54" s="164"/>
      <c r="G54" s="164"/>
      <c r="H54" s="164"/>
      <c r="J54" s="65" t="str">
        <f>IF(Backlog!$A$53&lt;&gt;"",Backlog!$A$53,"")</f>
        <v>Card Captor Sakura</v>
      </c>
      <c r="K54" s="72">
        <f>IF(Backlog!$B$53&lt;&gt;"",Backlog!$B$53,"")</f>
        <v>1</v>
      </c>
      <c r="L54" s="123" t="str">
        <f>IF(Backlog!$C$53&lt;&gt;"",Backlog!$C$53,"")</f>
        <v>NA</v>
      </c>
      <c r="N54" s="65" t="str">
        <f>IF(Completed!$A$53&lt;&gt;"",Completed!$A$53,"")</f>
        <v>Kyoukai no Kanata</v>
      </c>
      <c r="O54" s="72">
        <f>IF(Completed!$B$53&lt;&gt;"",Completed!$B$53,"")</f>
        <v>1</v>
      </c>
      <c r="P54" s="72">
        <f ca="1">IF($N$54&lt;&gt;"", INDIRECT("'Tracker'!"&amp;ADDRESS(MATCH($N$54, Tracker[Anime Name], 0) + 2, 3)), "")</f>
        <v>12</v>
      </c>
      <c r="Q54" s="66" t="str">
        <f ca="1">IF($N$54&lt;&gt;"", INDIRECT("'Tracker'!"&amp;ADDRESS(MATCH($N$54, Tracker[Anime Name], 0) + 2, 4)), "")</f>
        <v>B</v>
      </c>
      <c r="R54" s="66" t="str">
        <f ca="1">IF($N$54&lt;&gt;"", INDIRECT("'Tracker'!"&amp;ADDRESS(MATCH($N$54, Tracker[Anime Name], 0) + 2, 5)), "")</f>
        <v>720p</v>
      </c>
      <c r="S54" s="66" t="str">
        <f ca="1">IF($N$54&lt;&gt;"", INDIRECT("'Tracker'!"&amp;ADDRESS(MATCH($N$54, Tracker[Anime Name], 0) + 2, 6)), "")</f>
        <v>TV</v>
      </c>
      <c r="T54" s="66" t="str">
        <f ca="1">IF($N$54&lt;&gt;"", INDIRECT("'Tracker'!"&amp;ADDRESS(MATCH($N$54, Tracker[Anime Name], 0) + 2, 7)), "")</f>
        <v>2013C</v>
      </c>
      <c r="U54" s="72" t="str">
        <f ca="1">IF($N$54&lt;&gt;"", INDIRECT("'Tracker'!"&amp;ADDRESS(MATCH($N$54, Tracker[Anime Name], 0) + 2, 8)), "")</f>
        <v>UTW</v>
      </c>
      <c r="V54" s="109">
        <f>IF(Completed!$C$53&lt;&gt;"",Completed!$C$53,"")</f>
        <v>8.5</v>
      </c>
      <c r="W54" s="109">
        <f>IF(Completed!$D$53&lt;&gt;"",Completed!$D$53,"")</f>
        <v>8.5</v>
      </c>
      <c r="X54" s="109">
        <f>IF(Completed!$E$53&lt;&gt;"",Completed!$E$53,"")</f>
        <v>6</v>
      </c>
      <c r="Y54" s="109">
        <f>IF(Completed!$F$53&lt;&gt;"",Completed!$F$53,"")</f>
        <v>8.5</v>
      </c>
      <c r="Z54" s="125">
        <f>IF(Completed!$G$53&lt;&gt;"",Completed!$G$53,"")</f>
        <v>8.3806532663316595</v>
      </c>
      <c r="AA54" s="136">
        <f>IF(Completed!$H$53&lt;&gt;"",Completed!$H$53,"")</f>
        <v>7.8661510005044573</v>
      </c>
      <c r="AB54" s="110">
        <f>IF(Completed!$I$53&lt;&gt;"",Completed!$I$53,"")</f>
        <v>41550</v>
      </c>
      <c r="AC54" s="110">
        <f>IF(Completed!$J$53&lt;&gt;"",Completed!$J$53,"")</f>
        <v>41628</v>
      </c>
      <c r="AD54" s="126" t="str">
        <f>IF(Completed!$K$53&lt;&gt;"",Completed!$K$53,"")</f>
        <v>Ai</v>
      </c>
      <c r="AE54" s="127" t="str">
        <f>IF(Completed!$L$53&lt;&gt;"",Completed!$L$53,"")</f>
        <v>KyoAni action scenes are cool</v>
      </c>
    </row>
    <row r="55" spans="1:31">
      <c r="A55" s="163"/>
      <c r="B55" s="164"/>
      <c r="C55" s="164"/>
      <c r="D55" s="164"/>
      <c r="E55" s="164"/>
      <c r="F55" s="164"/>
      <c r="G55" s="164"/>
      <c r="H55" s="164"/>
      <c r="J55" s="65" t="str">
        <f>IF(Backlog!$A$54&lt;&gt;"",Backlog!$A$54,"")</f>
        <v>Hidamari Sketch x ☆☆☆</v>
      </c>
      <c r="K55" s="72">
        <f>IF(Backlog!$B$54&lt;&gt;"",Backlog!$B$54,"")</f>
        <v>2</v>
      </c>
      <c r="L55" s="123" t="str">
        <f>IF(Backlog!$C$54&lt;&gt;"",Backlog!$C$54,"")</f>
        <v>NA</v>
      </c>
      <c r="N55" s="65" t="str">
        <f>IF(Completed!$A$54&lt;&gt;"",Completed!$A$54,"")</f>
        <v>Lucky ★ Star</v>
      </c>
      <c r="O55" s="72">
        <f>IF(Completed!$B$54&lt;&gt;"",Completed!$B$54,"")</f>
        <v>1</v>
      </c>
      <c r="P55" s="72">
        <f ca="1">IF($N$55&lt;&gt;"", INDIRECT("'Tracker'!"&amp;ADDRESS(MATCH($N$55, Tracker[Anime Name], 0) + 2, 3)), "")</f>
        <v>24</v>
      </c>
      <c r="Q55" s="66" t="str">
        <f ca="1">IF($N$55&lt;&gt;"", INDIRECT("'Tracker'!"&amp;ADDRESS(MATCH($N$55, Tracker[Anime Name], 0) + 2, 4)), "")</f>
        <v>A</v>
      </c>
      <c r="R55" s="66" t="str">
        <f ca="1">IF($N$55&lt;&gt;"", INDIRECT("'Tracker'!"&amp;ADDRESS(MATCH($N$55, Tracker[Anime Name], 0) + 2, 5)), "")</f>
        <v>720p</v>
      </c>
      <c r="S55" s="66" t="str">
        <f ca="1">IF($N$55&lt;&gt;"", INDIRECT("'Tracker'!"&amp;ADDRESS(MATCH($N$55, Tracker[Anime Name], 0) + 2, 6)), "")</f>
        <v>BD</v>
      </c>
      <c r="T55" s="66" t="str">
        <f ca="1">IF($N$55&lt;&gt;"", INDIRECT("'Tracker'!"&amp;ADDRESS(MATCH($N$55, Tracker[Anime Name], 0) + 2, 7)), "")</f>
        <v>2007A</v>
      </c>
      <c r="U55" s="72" t="str">
        <f ca="1">IF($N$55&lt;&gt;"", INDIRECT("'Tracker'!"&amp;ADDRESS(MATCH($N$55, Tracker[Anime Name], 0) + 2, 8)), "")</f>
        <v>Doki</v>
      </c>
      <c r="V55" s="109">
        <f>IF(Completed!$C$54&lt;&gt;"",Completed!$C$54,"")</f>
        <v>4</v>
      </c>
      <c r="W55" s="109">
        <f>IF(Completed!$D$54&lt;&gt;"",Completed!$D$54,"")</f>
        <v>9</v>
      </c>
      <c r="X55" s="109">
        <f>IF(Completed!$E$54&lt;&gt;"",Completed!$E$54,"")</f>
        <v>10</v>
      </c>
      <c r="Y55" s="109">
        <f>IF(Completed!$F$54&lt;&gt;"",Completed!$F$54,"")</f>
        <v>9.5</v>
      </c>
      <c r="Z55" s="125">
        <f>IF(Completed!$G$54&lt;&gt;"",Completed!$G$54,"")</f>
        <v>8.3806532663316595</v>
      </c>
      <c r="AA55" s="136">
        <f>IF(Completed!$H$54&lt;&gt;"",Completed!$H$54,"")</f>
        <v>7.8661510005044573</v>
      </c>
      <c r="AB55" s="110">
        <f>IF(Completed!$I$54&lt;&gt;"",Completed!$I$54,"")</f>
        <v>41300</v>
      </c>
      <c r="AC55" s="110">
        <f>IF(Completed!$J$54&lt;&gt;"",Completed!$J$54,"")</f>
        <v>41302</v>
      </c>
      <c r="AD55" s="126" t="str">
        <f>IF(Completed!$K$54&lt;&gt;"",Completed!$K$54,"")</f>
        <v>Hiiragi Kagami</v>
      </c>
      <c r="AE55" s="127" t="str">
        <f>IF(Completed!$L$54&lt;&gt;"",Completed!$L$54,"")</f>
        <v>Much better than I thought it would be</v>
      </c>
    </row>
    <row r="56" spans="1:31">
      <c r="A56" s="163"/>
      <c r="B56" s="164"/>
      <c r="C56" s="164"/>
      <c r="D56" s="164"/>
      <c r="E56" s="164"/>
      <c r="F56" s="164"/>
      <c r="G56" s="164"/>
      <c r="H56" s="164"/>
      <c r="J56" s="65" t="str">
        <f>IF(Backlog!$A$55&lt;&gt;"",Backlog!$A$55,"")</f>
        <v>Hidamari Sketch x 365</v>
      </c>
      <c r="K56" s="72">
        <f>IF(Backlog!$B$55&lt;&gt;"",Backlog!$B$55,"")</f>
        <v>3</v>
      </c>
      <c r="L56" s="123" t="str">
        <f>IF(Backlog!$C$55&lt;&gt;"",Backlog!$C$55,"")</f>
        <v>NA</v>
      </c>
      <c r="N56" s="65" t="str">
        <f>IF(Completed!$A$55&lt;&gt;"",Completed!$A$55,"")</f>
        <v>Maoyuu Maou Yuusha</v>
      </c>
      <c r="O56" s="72">
        <f>IF(Completed!$B$55&lt;&gt;"",Completed!$B$55,"")</f>
        <v>1</v>
      </c>
      <c r="P56" s="72">
        <f ca="1">IF($N$56&lt;&gt;"", INDIRECT("'Tracker'!"&amp;ADDRESS(MATCH($N$56, Tracker[Anime Name], 0) + 2, 3)), "")</f>
        <v>12</v>
      </c>
      <c r="Q56" s="66" t="str">
        <f ca="1">IF($N$56&lt;&gt;"", INDIRECT("'Tracker'!"&amp;ADDRESS(MATCH($N$56, Tracker[Anime Name], 0) + 2, 4)), "")</f>
        <v>A</v>
      </c>
      <c r="R56" s="66" t="str">
        <f ca="1">IF($N$56&lt;&gt;"", INDIRECT("'Tracker'!"&amp;ADDRESS(MATCH($N$56, Tracker[Anime Name], 0) + 2, 5)), "")</f>
        <v>720p</v>
      </c>
      <c r="S56" s="66" t="str">
        <f ca="1">IF($N$56&lt;&gt;"", INDIRECT("'Tracker'!"&amp;ADDRESS(MATCH($N$56, Tracker[Anime Name], 0) + 2, 6)), "")</f>
        <v>BD</v>
      </c>
      <c r="T56" s="66" t="str">
        <f ca="1">IF($N$56&lt;&gt;"", INDIRECT("'Tracker'!"&amp;ADDRESS(MATCH($N$56, Tracker[Anime Name], 0) + 2, 7)), "")</f>
        <v>2012D</v>
      </c>
      <c r="U56" s="72" t="str">
        <f ca="1">IF($N$56&lt;&gt;"", INDIRECT("'Tracker'!"&amp;ADDRESS(MATCH($N$56, Tracker[Anime Name], 0) + 2, 8)), "")</f>
        <v>AnimeNOW</v>
      </c>
      <c r="V56" s="109">
        <f>IF(Completed!$C$55&lt;&gt;"",Completed!$C$55,"")</f>
        <v>9</v>
      </c>
      <c r="W56" s="109">
        <f>IF(Completed!$D$55&lt;&gt;"",Completed!$D$55,"")</f>
        <v>8.5</v>
      </c>
      <c r="X56" s="109">
        <f>IF(Completed!$E$55&lt;&gt;"",Completed!$E$55,"")</f>
        <v>3</v>
      </c>
      <c r="Y56" s="109">
        <f>IF(Completed!$F$55&lt;&gt;"",Completed!$F$55,"")</f>
        <v>8.5</v>
      </c>
      <c r="Z56" s="125">
        <f>IF(Completed!$G$55&lt;&gt;"",Completed!$G$55,"")</f>
        <v>8.3291457286432156</v>
      </c>
      <c r="AA56" s="136">
        <f>IF(Completed!$H$55&lt;&gt;"",Completed!$H$55,"")</f>
        <v>7.7972086766436846</v>
      </c>
      <c r="AB56" s="110">
        <f>IF(Completed!$I$55&lt;&gt;"",Completed!$I$55,"")</f>
        <v>41411</v>
      </c>
      <c r="AC56" s="110">
        <f>IF(Completed!$J$55&lt;&gt;"",Completed!$J$55,"")</f>
        <v>41413</v>
      </c>
      <c r="AD56" s="126" t="str">
        <f>IF(Completed!$K$55&lt;&gt;"",Completed!$K$55,"")</f>
        <v>Onna Mahoutsukai</v>
      </c>
      <c r="AE56" s="127" t="str">
        <f>IF(Completed!$L$55&lt;&gt;"",Completed!$L$55,"")</f>
        <v/>
      </c>
    </row>
    <row r="57" spans="1:31">
      <c r="A57" s="163"/>
      <c r="B57" s="164"/>
      <c r="C57" s="164"/>
      <c r="D57" s="164"/>
      <c r="E57" s="164"/>
      <c r="F57" s="164"/>
      <c r="G57" s="164"/>
      <c r="H57" s="164"/>
      <c r="J57" s="65" t="str">
        <f>IF(Backlog!$A$56&lt;&gt;"",Backlog!$A$56,"")</f>
        <v>Hidamari Sketch x Honeycomb</v>
      </c>
      <c r="K57" s="72">
        <f>IF(Backlog!$B$56&lt;&gt;"",Backlog!$B$56,"")</f>
        <v>4</v>
      </c>
      <c r="L57" s="123" t="str">
        <f>IF(Backlog!$C$56&lt;&gt;"",Backlog!$C$56,"")</f>
        <v>NA</v>
      </c>
      <c r="N57" s="65" t="str">
        <f>IF(Completed!$A$56&lt;&gt;"",Completed!$A$56,"")</f>
        <v>Boku wa Tomodachi ga Sukunai NEXT</v>
      </c>
      <c r="O57" s="72">
        <f>IF(Completed!$B$56&lt;&gt;"",Completed!$B$56,"")</f>
        <v>2</v>
      </c>
      <c r="P57" s="72">
        <f ca="1">IF($N$57&lt;&gt;"", INDIRECT("'Tracker'!"&amp;ADDRESS(MATCH($N$57, Tracker[Anime Name], 0) + 2, 3)), "")</f>
        <v>12</v>
      </c>
      <c r="Q57" s="66" t="str">
        <f ca="1">IF($N$57&lt;&gt;"", INDIRECT("'Tracker'!"&amp;ADDRESS(MATCH($N$57, Tracker[Anime Name], 0) + 2, 4)), "")</f>
        <v>A</v>
      </c>
      <c r="R57" s="66" t="str">
        <f ca="1">IF($N$57&lt;&gt;"", INDIRECT("'Tracker'!"&amp;ADDRESS(MATCH($N$57, Tracker[Anime Name], 0) + 2, 5)), "")</f>
        <v>720p</v>
      </c>
      <c r="S57" s="66" t="str">
        <f ca="1">IF($N$57&lt;&gt;"", INDIRECT("'Tracker'!"&amp;ADDRESS(MATCH($N$57, Tracker[Anime Name], 0) + 2, 6)), "")</f>
        <v>TV</v>
      </c>
      <c r="T57" s="66" t="str">
        <f ca="1">IF($N$57&lt;&gt;"", INDIRECT("'Tracker'!"&amp;ADDRESS(MATCH($N$57, Tracker[Anime Name], 0) + 2, 7)), "")</f>
        <v>2012D</v>
      </c>
      <c r="U57" s="72" t="str">
        <f ca="1">IF($N$57&lt;&gt;"", INDIRECT("'Tracker'!"&amp;ADDRESS(MATCH($N$57, Tracker[Anime Name], 0) + 2, 8)), "")</f>
        <v>Mazui</v>
      </c>
      <c r="V57" s="109">
        <f>IF(Completed!$C$56&lt;&gt;"",Completed!$C$56,"")</f>
        <v>9</v>
      </c>
      <c r="W57" s="109">
        <f>IF(Completed!$D$56&lt;&gt;"",Completed!$D$56,"")</f>
        <v>8</v>
      </c>
      <c r="X57" s="109">
        <f>IF(Completed!$E$56&lt;&gt;"",Completed!$E$56,"")</f>
        <v>5.5</v>
      </c>
      <c r="Y57" s="109">
        <f>IF(Completed!$F$56&lt;&gt;"",Completed!$F$56,"")</f>
        <v>8.5</v>
      </c>
      <c r="Z57" s="125">
        <f>IF(Completed!$G$56&lt;&gt;"",Completed!$G$56,"")</f>
        <v>8.3140703517587955</v>
      </c>
      <c r="AA57" s="136">
        <f>IF(Completed!$H$56&lt;&gt;"",Completed!$H$56,"")</f>
        <v>7.7770304355137059</v>
      </c>
      <c r="AB57" s="110">
        <f>IF(Completed!$I$56&lt;&gt;"",Completed!$I$56,"")</f>
        <v>41633</v>
      </c>
      <c r="AC57" s="110">
        <f>IF(Completed!$J$56&lt;&gt;"",Completed!$J$56,"")</f>
        <v>41635</v>
      </c>
      <c r="AD57" s="126" t="str">
        <f>IF(Completed!$K$56&lt;&gt;"",Completed!$K$56,"")</f>
        <v>Shiguma Rika</v>
      </c>
      <c r="AE57" s="127" t="str">
        <f>IF(Completed!$L$56&lt;&gt;"",Completed!$L$56,"")</f>
        <v>Evolved from a harem anime to a pretty well-written romcom</v>
      </c>
    </row>
    <row r="58" spans="1:31">
      <c r="A58" s="163"/>
      <c r="B58" s="164"/>
      <c r="C58" s="164"/>
      <c r="D58" s="164"/>
      <c r="E58" s="164"/>
      <c r="F58" s="164"/>
      <c r="G58" s="164"/>
      <c r="H58" s="164"/>
      <c r="J58" s="65" t="str">
        <f>IF(Backlog!$A$57&lt;&gt;"",Backlog!$A$57,"")</f>
        <v>Kyousougiga</v>
      </c>
      <c r="K58" s="72">
        <f>IF(Backlog!$B$57&lt;&gt;"",Backlog!$B$57,"")</f>
        <v>1</v>
      </c>
      <c r="L58" s="123" t="str">
        <f>IF(Backlog!$C$57&lt;&gt;"",Backlog!$C$57,"")</f>
        <v>NA</v>
      </c>
      <c r="N58" s="65" t="str">
        <f>IF(Completed!$A$57&lt;&gt;"",Completed!$A$57,"")</f>
        <v>Monogatari Series Season 2</v>
      </c>
      <c r="O58" s="72">
        <f>IF(Completed!$B$57&lt;&gt;"",Completed!$B$57,"")</f>
        <v>2</v>
      </c>
      <c r="P58" s="72">
        <f ca="1">IF($N$58&lt;&gt;"", INDIRECT("'Tracker'!"&amp;ADDRESS(MATCH($N$58, Tracker[Anime Name], 0) + 2, 3)), "")</f>
        <v>26</v>
      </c>
      <c r="Q58" s="66" t="str">
        <f ca="1">IF($N$58&lt;&gt;"", INDIRECT("'Tracker'!"&amp;ADDRESS(MATCH($N$58, Tracker[Anime Name], 0) + 2, 4)), "")</f>
        <v>A</v>
      </c>
      <c r="R58" s="66" t="str">
        <f ca="1">IF($N$58&lt;&gt;"", INDIRECT("'Tracker'!"&amp;ADDRESS(MATCH($N$58, Tracker[Anime Name], 0) + 2, 5)), "")</f>
        <v>720p</v>
      </c>
      <c r="S58" s="66" t="str">
        <f ca="1">IF($N$58&lt;&gt;"", INDIRECT("'Tracker'!"&amp;ADDRESS(MATCH($N$58, Tracker[Anime Name], 0) + 2, 6)), "")</f>
        <v>TV</v>
      </c>
      <c r="T58" s="66" t="str">
        <f ca="1">IF($N$58&lt;&gt;"", INDIRECT("'Tracker'!"&amp;ADDRESS(MATCH($N$58, Tracker[Anime Name], 0) + 2, 7)), "")</f>
        <v>2013B</v>
      </c>
      <c r="U58" s="72" t="str">
        <f ca="1">IF($N$58&lt;&gt;"", INDIRECT("'Tracker'!"&amp;ADDRESS(MATCH($N$58, Tracker[Anime Name], 0) + 2, 8)), "")</f>
        <v>HorribleSubs</v>
      </c>
      <c r="V58" s="109">
        <f>IF(Completed!$C$57&lt;&gt;"",Completed!$C$57,"")</f>
        <v>9</v>
      </c>
      <c r="W58" s="109">
        <f>IF(Completed!$D$57&lt;&gt;"",Completed!$D$57,"")</f>
        <v>8</v>
      </c>
      <c r="X58" s="109">
        <f>IF(Completed!$E$57&lt;&gt;"",Completed!$E$57,"")</f>
        <v>5.5</v>
      </c>
      <c r="Y58" s="109">
        <f>IF(Completed!$F$57&lt;&gt;"",Completed!$F$57,"")</f>
        <v>8.5</v>
      </c>
      <c r="Z58" s="125">
        <f>IF(Completed!$G$57&lt;&gt;"",Completed!$G$57,"")</f>
        <v>8.3140703517587955</v>
      </c>
      <c r="AA58" s="136">
        <f>IF(Completed!$H$57&lt;&gt;"",Completed!$H$57,"")</f>
        <v>7.7770304355137059</v>
      </c>
      <c r="AB58" s="110">
        <f>IF(Completed!$I$57&lt;&gt;"",Completed!$I$57,"")</f>
        <v>41461</v>
      </c>
      <c r="AC58" s="110">
        <f>IF(Completed!$J$57&lt;&gt;"",Completed!$J$57,"")</f>
        <v>41638</v>
      </c>
      <c r="AD58" s="126" t="str">
        <f>IF(Completed!$K$57&lt;&gt;"",Completed!$K$57,"")</f>
        <v>Oshino Shinobu</v>
      </c>
      <c r="AE58" s="127" t="str">
        <f>IF(Completed!$L$57&lt;&gt;"",Completed!$L$57,"")</f>
        <v>Kaiki is true best girl though.</v>
      </c>
    </row>
    <row r="59" spans="1:31">
      <c r="A59" s="163"/>
      <c r="B59" s="164"/>
      <c r="C59" s="164"/>
      <c r="D59" s="164"/>
      <c r="E59" s="164"/>
      <c r="F59" s="164"/>
      <c r="G59" s="164"/>
      <c r="H59" s="164"/>
      <c r="J59" s="65" t="str">
        <f>IF(Backlog!$A$58&lt;&gt;"",Backlog!$A$58,"")</f>
        <v>Mahouka Koukou no Rettousei</v>
      </c>
      <c r="K59" s="72">
        <f>IF(Backlog!$B$58&lt;&gt;"",Backlog!$B$58,"")</f>
        <v>1</v>
      </c>
      <c r="L59" s="123" t="str">
        <f>IF(Backlog!$C$58&lt;&gt;"",Backlog!$C$58,"")</f>
        <v>NA</v>
      </c>
      <c r="N59" s="65" t="str">
        <f>IF(Completed!$A$58&lt;&gt;"",Completed!$A$58,"")</f>
        <v>Toaru Majutsu no Index</v>
      </c>
      <c r="O59" s="72">
        <f>IF(Completed!$B$58&lt;&gt;"",Completed!$B$58,"")</f>
        <v>1</v>
      </c>
      <c r="P59" s="72">
        <f ca="1">IF($N$59&lt;&gt;"", INDIRECT("'Tracker'!"&amp;ADDRESS(MATCH($N$59, Tracker[Anime Name], 0) + 2, 3)), "")</f>
        <v>24</v>
      </c>
      <c r="Q59" s="66" t="str">
        <f ca="1">IF($N$59&lt;&gt;"", INDIRECT("'Tracker'!"&amp;ADDRESS(MATCH($N$59, Tracker[Anime Name], 0) + 2, 4)), "")</f>
        <v>A</v>
      </c>
      <c r="R59" s="66" t="str">
        <f ca="1">IF($N$59&lt;&gt;"", INDIRECT("'Tracker'!"&amp;ADDRESS(MATCH($N$59, Tracker[Anime Name], 0) + 2, 5)), "")</f>
        <v>720p</v>
      </c>
      <c r="S59" s="66" t="str">
        <f ca="1">IF($N$59&lt;&gt;"", INDIRECT("'Tracker'!"&amp;ADDRESS(MATCH($N$59, Tracker[Anime Name], 0) + 2, 6)), "")</f>
        <v>BD</v>
      </c>
      <c r="T59" s="66" t="str">
        <f ca="1">IF($N$59&lt;&gt;"", INDIRECT("'Tracker'!"&amp;ADDRESS(MATCH($N$59, Tracker[Anime Name], 0) + 2, 7)), "")</f>
        <v>2008C</v>
      </c>
      <c r="U59" s="72" t="str">
        <f ca="1">IF($N$59&lt;&gt;"", INDIRECT("'Tracker'!"&amp;ADDRESS(MATCH($N$59, Tracker[Anime Name], 0) + 2, 8)), "")</f>
        <v>Coalgirls, Eclipse</v>
      </c>
      <c r="V59" s="109">
        <f>IF(Completed!$C$58&lt;&gt;"",Completed!$C$58,"")</f>
        <v>8.5</v>
      </c>
      <c r="W59" s="109">
        <f>IF(Completed!$D$58&lt;&gt;"",Completed!$D$58,"")</f>
        <v>7.5</v>
      </c>
      <c r="X59" s="109">
        <f>IF(Completed!$E$58&lt;&gt;"",Completed!$E$58,"")</f>
        <v>5</v>
      </c>
      <c r="Y59" s="109">
        <f>IF(Completed!$F$58&lt;&gt;"",Completed!$F$58,"")</f>
        <v>9</v>
      </c>
      <c r="Z59" s="125">
        <f>IF(Completed!$G$58&lt;&gt;"",Completed!$G$58,"")</f>
        <v>8.3140703517587955</v>
      </c>
      <c r="AA59" s="136">
        <f>IF(Completed!$H$58&lt;&gt;"",Completed!$H$58,"")</f>
        <v>7.7770304355137059</v>
      </c>
      <c r="AB59" s="110">
        <f>IF(Completed!$I$58&lt;&gt;"",Completed!$I$58,"")</f>
        <v>41431</v>
      </c>
      <c r="AC59" s="110">
        <f>IF(Completed!$J$58&lt;&gt;"",Completed!$J$58,"")</f>
        <v>41436</v>
      </c>
      <c r="AD59" s="126" t="str">
        <f>IF(Completed!$K$58&lt;&gt;"",Completed!$K$58,"")</f>
        <v>Misaka Mikoto</v>
      </c>
      <c r="AE59" s="127" t="str">
        <f>IF(Completed!$L$58&lt;&gt;"",Completed!$L$58,"")</f>
        <v/>
      </c>
    </row>
    <row r="60" spans="1:31">
      <c r="A60" s="163"/>
      <c r="B60" s="164"/>
      <c r="C60" s="164"/>
      <c r="D60" s="164"/>
      <c r="E60" s="164"/>
      <c r="F60" s="164"/>
      <c r="G60" s="164"/>
      <c r="H60" s="164"/>
      <c r="J60" s="65" t="str">
        <f>IF(Backlog!$A$59&lt;&gt;"",Backlog!$A$59,"")</f>
        <v>Mushishi Zoku Shou</v>
      </c>
      <c r="K60" s="72">
        <f>IF(Backlog!$B$59&lt;&gt;"",Backlog!$B$59,"")</f>
        <v>2</v>
      </c>
      <c r="L60" s="123" t="str">
        <f>IF(Backlog!$C$59&lt;&gt;"",Backlog!$C$59,"")</f>
        <v>NA</v>
      </c>
      <c r="N60" s="65" t="str">
        <f>IF(Completed!$A$59&lt;&gt;"",Completed!$A$59,"")</f>
        <v>Hentai Ouji to Warawanai Neko</v>
      </c>
      <c r="O60" s="72">
        <f>IF(Completed!$B$59&lt;&gt;"",Completed!$B$59,"")</f>
        <v>1</v>
      </c>
      <c r="P60" s="72">
        <f ca="1">IF($N$60&lt;&gt;"", INDIRECT("'Tracker'!"&amp;ADDRESS(MATCH($N$60, Tracker[Anime Name], 0) + 2, 3)), "")</f>
        <v>13</v>
      </c>
      <c r="Q60" s="66" t="str">
        <f ca="1">IF($N$60&lt;&gt;"", INDIRECT("'Tracker'!"&amp;ADDRESS(MATCH($N$60, Tracker[Anime Name], 0) + 2, 4)), "")</f>
        <v>A</v>
      </c>
      <c r="R60" s="66" t="str">
        <f ca="1">IF($N$60&lt;&gt;"", INDIRECT("'Tracker'!"&amp;ADDRESS(MATCH($N$60, Tracker[Anime Name], 0) + 2, 5)), "")</f>
        <v>1080p</v>
      </c>
      <c r="S60" s="66" t="str">
        <f ca="1">IF($N$60&lt;&gt;"", INDIRECT("'Tracker'!"&amp;ADDRESS(MATCH($N$60, Tracker[Anime Name], 0) + 2, 6)), "")</f>
        <v>BD</v>
      </c>
      <c r="T60" s="66" t="str">
        <f ca="1">IF($N$60&lt;&gt;"", INDIRECT("'Tracker'!"&amp;ADDRESS(MATCH($N$60, Tracker[Anime Name], 0) + 2, 7)), "")</f>
        <v>2013A</v>
      </c>
      <c r="U60" s="72" t="str">
        <f ca="1">IF($N$60&lt;&gt;"", INDIRECT("'Tracker'!"&amp;ADDRESS(MATCH($N$60, Tracker[Anime Name], 0) + 2, 8)), "")</f>
        <v>Doki</v>
      </c>
      <c r="V60" s="109">
        <f>IF(Completed!$C$59&lt;&gt;"",Completed!$C$59,"")</f>
        <v>7</v>
      </c>
      <c r="W60" s="109">
        <f>IF(Completed!$D$59&lt;&gt;"",Completed!$D$59,"")</f>
        <v>8.5</v>
      </c>
      <c r="X60" s="109">
        <f>IF(Completed!$E$59&lt;&gt;"",Completed!$E$59,"")</f>
        <v>10</v>
      </c>
      <c r="Y60" s="109">
        <f>IF(Completed!$F$59&lt;&gt;"",Completed!$F$59,"")</f>
        <v>8.5</v>
      </c>
      <c r="Z60" s="125">
        <f>IF(Completed!$G$59&lt;&gt;"",Completed!$G$59,"")</f>
        <v>8.2964824120602998</v>
      </c>
      <c r="AA60" s="136">
        <f>IF(Completed!$H$59&lt;&gt;"",Completed!$H$59,"")</f>
        <v>7.7534891541953899</v>
      </c>
      <c r="AB60" s="110">
        <f>IF(Completed!$I$59&lt;&gt;"",Completed!$I$59,"")</f>
        <v>41378</v>
      </c>
      <c r="AC60" s="110">
        <f>IF(Completed!$J$59&lt;&gt;"",Completed!$J$59,"")</f>
        <v>41454</v>
      </c>
      <c r="AD60" s="126" t="str">
        <f>IF(Completed!$K$59&lt;&gt;"",Completed!$K$59,"")</f>
        <v>Tsutsukakushi Tsukiko</v>
      </c>
      <c r="AE60" s="127" t="str">
        <f>IF(Completed!$L$59&lt;&gt;"",Completed!$L$59,"")</f>
        <v/>
      </c>
    </row>
    <row r="61" spans="1:31">
      <c r="A61" s="163"/>
      <c r="B61" s="164"/>
      <c r="C61" s="164"/>
      <c r="D61" s="164"/>
      <c r="E61" s="164"/>
      <c r="F61" s="164"/>
      <c r="G61" s="164"/>
      <c r="H61" s="164"/>
      <c r="J61" s="65" t="str">
        <f>IF(Backlog!$A$60&lt;&gt;"",Backlog!$A$60,"")</f>
        <v>Nourin</v>
      </c>
      <c r="K61" s="72">
        <f>IF(Backlog!$B$60&lt;&gt;"",Backlog!$B$60,"")</f>
        <v>1</v>
      </c>
      <c r="L61" s="123" t="str">
        <f>IF(Backlog!$C$60&lt;&gt;"",Backlog!$C$60,"")</f>
        <v>NA</v>
      </c>
      <c r="N61" s="65" t="str">
        <f>IF(Completed!$A$60&lt;&gt;"",Completed!$A$60,"")</f>
        <v>Hyouka</v>
      </c>
      <c r="O61" s="72">
        <f>IF(Completed!$B$60&lt;&gt;"",Completed!$B$60,"")</f>
        <v>1</v>
      </c>
      <c r="P61" s="72">
        <f ca="1">IF($N$61&lt;&gt;"", INDIRECT("'Tracker'!"&amp;ADDRESS(MATCH($N$61, Tracker[Anime Name], 0) + 2, 3)), "")</f>
        <v>22</v>
      </c>
      <c r="Q61" s="66" t="str">
        <f ca="1">IF($N$61&lt;&gt;"", INDIRECT("'Tracker'!"&amp;ADDRESS(MATCH($N$61, Tracker[Anime Name], 0) + 2, 4)), "")</f>
        <v>A</v>
      </c>
      <c r="R61" s="66" t="str">
        <f ca="1">IF($N$61&lt;&gt;"", INDIRECT("'Tracker'!"&amp;ADDRESS(MATCH($N$61, Tracker[Anime Name], 0) + 2, 5)), "")</f>
        <v>720p</v>
      </c>
      <c r="S61" s="66" t="str">
        <f ca="1">IF($N$61&lt;&gt;"", INDIRECT("'Tracker'!"&amp;ADDRESS(MATCH($N$61, Tracker[Anime Name], 0) + 2, 6)), "")</f>
        <v>BD</v>
      </c>
      <c r="T61" s="66" t="str">
        <f ca="1">IF($N$61&lt;&gt;"", INDIRECT("'Tracker'!"&amp;ADDRESS(MATCH($N$61, Tracker[Anime Name], 0) + 2, 7)), "")</f>
        <v>2012A</v>
      </c>
      <c r="U61" s="72" t="str">
        <f ca="1">IF($N$61&lt;&gt;"", INDIRECT("'Tracker'!"&amp;ADDRESS(MATCH($N$61, Tracker[Anime Name], 0) + 2, 8)), "")</f>
        <v>Coalgirls, Mazui</v>
      </c>
      <c r="V61" s="109">
        <f>IF(Completed!$C$60&lt;&gt;"",Completed!$C$60,"")</f>
        <v>9</v>
      </c>
      <c r="W61" s="109">
        <f>IF(Completed!$D$60&lt;&gt;"",Completed!$D$60,"")</f>
        <v>8</v>
      </c>
      <c r="X61" s="109">
        <f>IF(Completed!$E$60&lt;&gt;"",Completed!$E$60,"")</f>
        <v>5</v>
      </c>
      <c r="Y61" s="109">
        <f>IF(Completed!$F$60&lt;&gt;"",Completed!$F$60,"")</f>
        <v>8.5</v>
      </c>
      <c r="Z61" s="125">
        <f>IF(Completed!$G$60&lt;&gt;"",Completed!$G$60,"")</f>
        <v>8.2902010050251267</v>
      </c>
      <c r="AA61" s="136">
        <f>IF(Completed!$H$60&lt;&gt;"",Completed!$H$60,"")</f>
        <v>7.7450815537245683</v>
      </c>
      <c r="AB61" s="110">
        <f>IF(Completed!$I$60&lt;&gt;"",Completed!$I$60,"")</f>
        <v>41424</v>
      </c>
      <c r="AC61" s="110">
        <f>IF(Completed!$J$60&lt;&gt;"",Completed!$J$60,"")</f>
        <v>41430</v>
      </c>
      <c r="AD61" s="126" t="str">
        <f>IF(Completed!$K$60&lt;&gt;"",Completed!$K$60,"")</f>
        <v>Eru Chitanda</v>
      </c>
      <c r="AE61" s="127" t="str">
        <f>IF(Completed!$L$60&lt;&gt;"",Completed!$L$60,"")</f>
        <v>Nicely written mysteries</v>
      </c>
    </row>
    <row r="62" spans="1:31">
      <c r="A62" s="163"/>
      <c r="B62" s="164"/>
      <c r="C62" s="164"/>
      <c r="D62" s="164"/>
      <c r="E62" s="164"/>
      <c r="F62" s="164"/>
      <c r="G62" s="164"/>
      <c r="H62" s="164"/>
      <c r="J62" s="65" t="str">
        <f>IF(Backlog!$A$61&lt;&gt;"",Backlog!$A$61,"")</f>
        <v>Puchimas: Petit iDOLM@STER</v>
      </c>
      <c r="K62" s="72">
        <f>IF(Backlog!$B$61&lt;&gt;"",Backlog!$B$61,"")</f>
        <v>1</v>
      </c>
      <c r="L62" s="123" t="str">
        <f>IF(Backlog!$C$61&lt;&gt;"",Backlog!$C$61,"")</f>
        <v>NA</v>
      </c>
      <c r="N62" s="65" t="str">
        <f>IF(Completed!$A$61&lt;&gt;"",Completed!$A$61,"")</f>
        <v>Puella Magi Madoka Magica</v>
      </c>
      <c r="O62" s="72">
        <f>IF(Completed!$B$61&lt;&gt;"",Completed!$B$61,"")</f>
        <v>1</v>
      </c>
      <c r="P62" s="72">
        <f ca="1">IF($N$62&lt;&gt;"", INDIRECT("'Tracker'!"&amp;ADDRESS(MATCH($N$62, Tracker[Anime Name], 0) + 2, 3)), "")</f>
        <v>12</v>
      </c>
      <c r="Q62" s="66" t="str">
        <f ca="1">IF($N$62&lt;&gt;"", INDIRECT("'Tracker'!"&amp;ADDRESS(MATCH($N$62, Tracker[Anime Name], 0) + 2, 4)), "")</f>
        <v>B</v>
      </c>
      <c r="R62" s="66" t="str">
        <f ca="1">IF($N$62&lt;&gt;"", INDIRECT("'Tracker'!"&amp;ADDRESS(MATCH($N$62, Tracker[Anime Name], 0) + 2, 5)), "")</f>
        <v>720p</v>
      </c>
      <c r="S62" s="66" t="str">
        <f ca="1">IF($N$62&lt;&gt;"", INDIRECT("'Tracker'!"&amp;ADDRESS(MATCH($N$62, Tracker[Anime Name], 0) + 2, 6)), "")</f>
        <v>BD</v>
      </c>
      <c r="T62" s="66" t="str">
        <f ca="1">IF($N$62&lt;&gt;"", INDIRECT("'Tracker'!"&amp;ADDRESS(MATCH($N$62, Tracker[Anime Name], 0) + 2, 7)), "")</f>
        <v>2010D</v>
      </c>
      <c r="U62" s="72" t="str">
        <f ca="1">IF($N$62&lt;&gt;"", INDIRECT("'Tracker'!"&amp;ADDRESS(MATCH($N$62, Tracker[Anime Name], 0) + 2, 8)), "")</f>
        <v>Doki</v>
      </c>
      <c r="V62" s="109">
        <f>IF(Completed!$C$61&lt;&gt;"",Completed!$C$61,"")</f>
        <v>9</v>
      </c>
      <c r="W62" s="109">
        <f>IF(Completed!$D$61&lt;&gt;"",Completed!$D$61,"")</f>
        <v>7.5</v>
      </c>
      <c r="X62" s="109">
        <f>IF(Completed!$E$61&lt;&gt;"",Completed!$E$61,"")</f>
        <v>5</v>
      </c>
      <c r="Y62" s="109">
        <f>IF(Completed!$F$61&lt;&gt;"",Completed!$F$61,"")</f>
        <v>8.5</v>
      </c>
      <c r="Z62" s="125">
        <f>IF(Completed!$G$61&lt;&gt;"",Completed!$G$61,"")</f>
        <v>8.1557788944723626</v>
      </c>
      <c r="AA62" s="136">
        <f>IF(Completed!$H$61&lt;&gt;"",Completed!$H$61,"")</f>
        <v>7.5651589036488991</v>
      </c>
      <c r="AB62" s="110">
        <f>IF(Completed!$I$61&lt;&gt;"",Completed!$I$61,"")</f>
        <v>41255</v>
      </c>
      <c r="AC62" s="110">
        <f>IF(Completed!$J$61&lt;&gt;"",Completed!$J$61,"")</f>
        <v>41256</v>
      </c>
      <c r="AD62" s="126" t="str">
        <f>IF(Completed!$K$61&lt;&gt;"",Completed!$K$61,"")</f>
        <v>Akemi Homura</v>
      </c>
      <c r="AE62" s="127" t="str">
        <f>IF(Completed!$L$61&lt;&gt;"",Completed!$L$61,"")</f>
        <v/>
      </c>
    </row>
    <row r="63" spans="1:31">
      <c r="A63" s="163"/>
      <c r="B63" s="164"/>
      <c r="C63" s="164"/>
      <c r="D63" s="164"/>
      <c r="E63" s="164"/>
      <c r="F63" s="164"/>
      <c r="G63" s="164"/>
      <c r="H63" s="164"/>
      <c r="J63" s="65" t="str">
        <f>IF(Backlog!$A$62&lt;&gt;"",Backlog!$A$62,"")</f>
        <v>Seikon no Qwaser</v>
      </c>
      <c r="K63" s="72">
        <f>IF(Backlog!$B$62&lt;&gt;"",Backlog!$B$62,"")</f>
        <v>1</v>
      </c>
      <c r="L63" s="123" t="str">
        <f>IF(Backlog!$C$62&lt;&gt;"",Backlog!$C$62,"")</f>
        <v>NA</v>
      </c>
      <c r="N63" s="65" t="str">
        <f>IF(Completed!$A$62&lt;&gt;"",Completed!$A$62,"")</f>
        <v>Samurai Flamenco</v>
      </c>
      <c r="O63" s="72">
        <f>IF(Completed!$B$62&lt;&gt;"",Completed!$B$62,"")</f>
        <v>1</v>
      </c>
      <c r="P63" s="72">
        <f ca="1">IF($N$63&lt;&gt;"", INDIRECT("'Tracker'!"&amp;ADDRESS(MATCH($N$63, Tracker[Anime Name], 0) + 2, 3)), "")</f>
        <v>22</v>
      </c>
      <c r="Q63" s="66" t="str">
        <f ca="1">IF($N$63&lt;&gt;"", INDIRECT("'Tracker'!"&amp;ADDRESS(MATCH($N$63, Tracker[Anime Name], 0) + 2, 4)), "")</f>
        <v>B</v>
      </c>
      <c r="R63" s="66" t="str">
        <f ca="1">IF($N$63&lt;&gt;"", INDIRECT("'Tracker'!"&amp;ADDRESS(MATCH($N$63, Tracker[Anime Name], 0) + 2, 5)), "")</f>
        <v>720p</v>
      </c>
      <c r="S63" s="66" t="str">
        <f ca="1">IF($N$63&lt;&gt;"", INDIRECT("'Tracker'!"&amp;ADDRESS(MATCH($N$63, Tracker[Anime Name], 0) + 2, 6)), "")</f>
        <v>TV</v>
      </c>
      <c r="T63" s="66" t="str">
        <f ca="1">IF($N$63&lt;&gt;"", INDIRECT("'Tracker'!"&amp;ADDRESS(MATCH($N$63, Tracker[Anime Name], 0) + 2, 7)), "")</f>
        <v>2013C</v>
      </c>
      <c r="U63" s="72" t="str">
        <f ca="1">IF($N$63&lt;&gt;"", INDIRECT("'Tracker'!"&amp;ADDRESS(MATCH($N$63, Tracker[Anime Name], 0) + 2, 8)), "")</f>
        <v>HorribleSubs</v>
      </c>
      <c r="V63" s="109">
        <f>IF(Completed!$C$62&lt;&gt;"",Completed!$C$62,"")</f>
        <v>8.5</v>
      </c>
      <c r="W63" s="109">
        <f>IF(Completed!$D$62&lt;&gt;"",Completed!$D$62,"")</f>
        <v>8</v>
      </c>
      <c r="X63" s="109">
        <f>IF(Completed!$E$62&lt;&gt;"",Completed!$E$62,"")</f>
        <v>4</v>
      </c>
      <c r="Y63" s="109">
        <f>IF(Completed!$F$62&lt;&gt;"",Completed!$F$62,"")</f>
        <v>8.5</v>
      </c>
      <c r="Z63" s="125">
        <f>IF(Completed!$G$62&lt;&gt;"",Completed!$G$62,"")</f>
        <v>8.1507537688442202</v>
      </c>
      <c r="AA63" s="136">
        <f>IF(Completed!$H$62&lt;&gt;"",Completed!$H$62,"")</f>
        <v>7.5584328232722369</v>
      </c>
      <c r="AB63" s="110">
        <f>IF(Completed!$I$62&lt;&gt;"",Completed!$I$62,"")</f>
        <v>41562</v>
      </c>
      <c r="AC63" s="110">
        <f>IF(Completed!$J$62&lt;&gt;"",Completed!$J$62,"")</f>
        <v>41728</v>
      </c>
      <c r="AD63" s="126" t="str">
        <f>IF(Completed!$K$62&lt;&gt;"",Completed!$K$62,"")</f>
        <v>Ishihara Sumi</v>
      </c>
      <c r="AE63" s="127" t="str">
        <f>IF(Completed!$L$62&lt;&gt;"",Completed!$L$62,"")</f>
        <v>ALL the plot twists</v>
      </c>
    </row>
    <row r="64" spans="1:31">
      <c r="A64" s="163"/>
      <c r="B64" s="164"/>
      <c r="C64" s="164"/>
      <c r="D64" s="164"/>
      <c r="E64" s="164"/>
      <c r="F64" s="164"/>
      <c r="G64" s="164"/>
      <c r="H64" s="164"/>
      <c r="J64" s="65" t="str">
        <f>IF(Backlog!$A$63&lt;&gt;"",Backlog!$A$63,"")</f>
        <v>Seikon no Qwaser II</v>
      </c>
      <c r="K64" s="72">
        <f>IF(Backlog!$B$63&lt;&gt;"",Backlog!$B$63,"")</f>
        <v>2</v>
      </c>
      <c r="L64" s="123" t="str">
        <f>IF(Backlog!$C$63&lt;&gt;"",Backlog!$C$63,"")</f>
        <v>NA</v>
      </c>
      <c r="N64" s="65" t="str">
        <f>IF(Completed!$A$63&lt;&gt;"",Completed!$A$63,"")</f>
        <v>Hitsugi no Chaika</v>
      </c>
      <c r="O64" s="72">
        <f>IF(Completed!$B$63&lt;&gt;"",Completed!$B$63,"")</f>
        <v>1</v>
      </c>
      <c r="P64" s="72">
        <f ca="1">IF($N$64&lt;&gt;"", INDIRECT("'Tracker'!"&amp;ADDRESS(MATCH($N$64, Tracker[Anime Name], 0) + 2, 3)), "")</f>
        <v>12</v>
      </c>
      <c r="Q64" s="66" t="str">
        <f ca="1">IF($N$64&lt;&gt;"", INDIRECT("'Tracker'!"&amp;ADDRESS(MATCH($N$64, Tracker[Anime Name], 0) + 2, 4)), "")</f>
        <v>B</v>
      </c>
      <c r="R64" s="66" t="str">
        <f ca="1">IF($N$64&lt;&gt;"", INDIRECT("'Tracker'!"&amp;ADDRESS(MATCH($N$64, Tracker[Anime Name], 0) + 2, 5)), "")</f>
        <v>720p</v>
      </c>
      <c r="S64" s="66" t="str">
        <f ca="1">IF($N$64&lt;&gt;"", INDIRECT("'Tracker'!"&amp;ADDRESS(MATCH($N$64, Tracker[Anime Name], 0) + 2, 6)), "")</f>
        <v>TV</v>
      </c>
      <c r="T64" s="66" t="str">
        <f ca="1">IF($N$64&lt;&gt;"", INDIRECT("'Tracker'!"&amp;ADDRESS(MATCH($N$64, Tracker[Anime Name], 0) + 2, 7)), "")</f>
        <v>2014A</v>
      </c>
      <c r="U64" s="72" t="str">
        <f ca="1">IF($N$64&lt;&gt;"", INDIRECT("'Tracker'!"&amp;ADDRESS(MATCH($N$64, Tracker[Anime Name], 0) + 2, 8)), "")</f>
        <v>Anime-Koi</v>
      </c>
      <c r="V64" s="109">
        <f>IF(Completed!$C$63&lt;&gt;"",Completed!$C$63,"")</f>
        <v>8.5</v>
      </c>
      <c r="W64" s="109">
        <f>IF(Completed!$D$63&lt;&gt;"",Completed!$D$63,"")</f>
        <v>8</v>
      </c>
      <c r="X64" s="109">
        <f>IF(Completed!$E$63&lt;&gt;"",Completed!$E$63,"")</f>
        <v>3.5</v>
      </c>
      <c r="Y64" s="109">
        <f>IF(Completed!$F$63&lt;&gt;"",Completed!$F$63,"")</f>
        <v>8.5</v>
      </c>
      <c r="Z64" s="125">
        <f>IF(Completed!$G$63&lt;&gt;"",Completed!$G$63,"")</f>
        <v>8.1268844221105532</v>
      </c>
      <c r="AA64" s="136">
        <f>IF(Completed!$H$63&lt;&gt;"",Completed!$H$63,"")</f>
        <v>7.5264839414831002</v>
      </c>
      <c r="AB64" s="110">
        <f>IF(Completed!$I$63&lt;&gt;"",Completed!$I$63,"")</f>
        <v>41789</v>
      </c>
      <c r="AC64" s="110">
        <f>IF(Completed!$J$63&lt;&gt;"",Completed!$J$63,"")</f>
        <v>41816</v>
      </c>
      <c r="AD64" s="126" t="str">
        <f>IF(Completed!$K$63&lt;&gt;"",Completed!$K$63,"")</f>
        <v>Chaika</v>
      </c>
      <c r="AE64" s="127" t="str">
        <f>IF(Completed!$L$63&lt;&gt;"",Completed!$L$63,"")</f>
        <v/>
      </c>
    </row>
    <row r="65" spans="1:31">
      <c r="A65" s="163"/>
      <c r="B65" s="164"/>
      <c r="C65" s="164"/>
      <c r="D65" s="164"/>
      <c r="E65" s="164"/>
      <c r="F65" s="164"/>
      <c r="G65" s="164"/>
      <c r="H65" s="164"/>
      <c r="J65" s="65" t="str">
        <f>IF(Backlog!$A$64&lt;&gt;"",Backlog!$A$64,"")</f>
        <v/>
      </c>
      <c r="K65" s="72" t="str">
        <f>IF(Backlog!$B$64&lt;&gt;"",Backlog!$B$64,"")</f>
        <v/>
      </c>
      <c r="L65" s="123" t="str">
        <f>IF(Backlog!$C$64&lt;&gt;"",Backlog!$C$64,"")</f>
        <v/>
      </c>
      <c r="N65" s="65" t="str">
        <f>IF(Completed!$A$64&lt;&gt;"",Completed!$A$64,"")</f>
        <v>Baka to Test to Shoukanjuu Ni!</v>
      </c>
      <c r="O65" s="72">
        <f>IF(Completed!$B$64&lt;&gt;"",Completed!$B$64,"")</f>
        <v>2</v>
      </c>
      <c r="P65" s="72">
        <f ca="1">IF($N$65&lt;&gt;"", INDIRECT("'Tracker'!"&amp;ADDRESS(MATCH($N$65, Tracker[Anime Name], 0) + 2, 3)), "")</f>
        <v>13</v>
      </c>
      <c r="Q65" s="66" t="str">
        <f ca="1">IF($N$65&lt;&gt;"", INDIRECT("'Tracker'!"&amp;ADDRESS(MATCH($N$65, Tracker[Anime Name], 0) + 2, 4)), "")</f>
        <v>A</v>
      </c>
      <c r="R65" s="66" t="str">
        <f ca="1">IF($N$65&lt;&gt;"", INDIRECT("'Tracker'!"&amp;ADDRESS(MATCH($N$65, Tracker[Anime Name], 0) + 2, 5)), "")</f>
        <v>720p</v>
      </c>
      <c r="S65" s="66" t="str">
        <f ca="1">IF($N$65&lt;&gt;"", INDIRECT("'Tracker'!"&amp;ADDRESS(MATCH($N$65, Tracker[Anime Name], 0) + 2, 6)), "")</f>
        <v>BD</v>
      </c>
      <c r="T65" s="66" t="str">
        <f ca="1">IF($N$65&lt;&gt;"", INDIRECT("'Tracker'!"&amp;ADDRESS(MATCH($N$65, Tracker[Anime Name], 0) + 2, 7)), "")</f>
        <v>2011B</v>
      </c>
      <c r="U65" s="72" t="str">
        <f ca="1">IF($N$65&lt;&gt;"", INDIRECT("'Tracker'!"&amp;ADDRESS(MATCH($N$65, Tracker[Anime Name], 0) + 2, 8)), "")</f>
        <v>Ayumi</v>
      </c>
      <c r="V65" s="109">
        <f>IF(Completed!$C$64&lt;&gt;"",Completed!$C$64,"")</f>
        <v>7</v>
      </c>
      <c r="W65" s="109">
        <f>IF(Completed!$D$64&lt;&gt;"",Completed!$D$64,"")</f>
        <v>8</v>
      </c>
      <c r="X65" s="109">
        <f>IF(Completed!$E$64&lt;&gt;"",Completed!$E$64,"")</f>
        <v>3.5</v>
      </c>
      <c r="Y65" s="109">
        <f>IF(Completed!$F$64&lt;&gt;"",Completed!$F$64,"")</f>
        <v>9</v>
      </c>
      <c r="Z65" s="125">
        <f>IF(Completed!$G$64&lt;&gt;"",Completed!$G$64,"")</f>
        <v>8.1017587939698501</v>
      </c>
      <c r="AA65" s="136">
        <f>IF(Completed!$H$64&lt;&gt;"",Completed!$H$64,"")</f>
        <v>7.4928535395997988</v>
      </c>
      <c r="AB65" s="110">
        <f>IF(Completed!$I$64&lt;&gt;"",Completed!$I$64,"")</f>
        <v>41354</v>
      </c>
      <c r="AC65" s="110">
        <f>IF(Completed!$J$64&lt;&gt;"",Completed!$J$64,"")</f>
        <v>41355</v>
      </c>
      <c r="AD65" s="126" t="str">
        <f>IF(Completed!$K$64&lt;&gt;"",Completed!$K$64,"")</f>
        <v>Shimada Minami</v>
      </c>
      <c r="AE65" s="127" t="str">
        <f>IF(Completed!$L$64&lt;&gt;"",Completed!$L$64,"")</f>
        <v/>
      </c>
    </row>
    <row r="66" spans="1:31">
      <c r="A66" s="163"/>
      <c r="B66" s="164"/>
      <c r="C66" s="164"/>
      <c r="D66" s="164"/>
      <c r="E66" s="164"/>
      <c r="F66" s="164"/>
      <c r="G66" s="164"/>
      <c r="H66" s="164"/>
      <c r="J66" s="65" t="str">
        <f>IF(Backlog!$A$65&lt;&gt;"",Backlog!$A$65,"")</f>
        <v/>
      </c>
      <c r="K66" s="72" t="str">
        <f>IF(Backlog!$B$65&lt;&gt;"",Backlog!$B$65,"")</f>
        <v/>
      </c>
      <c r="L66" s="123" t="str">
        <f>IF(Backlog!$C$65&lt;&gt;"",Backlog!$C$65,"")</f>
        <v/>
      </c>
      <c r="N66" s="65" t="str">
        <f>IF(Completed!$A$65&lt;&gt;"",Completed!$A$65,"")</f>
        <v>Tonari no Seki-kun</v>
      </c>
      <c r="O66" s="72">
        <f>IF(Completed!$B$65&lt;&gt;"",Completed!$B$65,"")</f>
        <v>1</v>
      </c>
      <c r="P66" s="72">
        <f ca="1">IF($N$66&lt;&gt;"", INDIRECT("'Tracker'!"&amp;ADDRESS(MATCH($N$66, Tracker[Anime Name], 0) + 2, 3)), "")</f>
        <v>21</v>
      </c>
      <c r="Q66" s="66" t="str">
        <f ca="1">IF($N$66&lt;&gt;"", INDIRECT("'Tracker'!"&amp;ADDRESS(MATCH($N$66, Tracker[Anime Name], 0) + 2, 4)), "")</f>
        <v>B</v>
      </c>
      <c r="R66" s="66" t="str">
        <f ca="1">IF($N$66&lt;&gt;"", INDIRECT("'Tracker'!"&amp;ADDRESS(MATCH($N$66, Tracker[Anime Name], 0) + 2, 5)), "")</f>
        <v>720p</v>
      </c>
      <c r="S66" s="66" t="str">
        <f ca="1">IF($N$66&lt;&gt;"", INDIRECT("'Tracker'!"&amp;ADDRESS(MATCH($N$66, Tracker[Anime Name], 0) + 2, 6)), "")</f>
        <v>TV</v>
      </c>
      <c r="T66" s="66" t="str">
        <f ca="1">IF($N$66&lt;&gt;"", INDIRECT("'Tracker'!"&amp;ADDRESS(MATCH($N$66, Tracker[Anime Name], 0) + 2, 7)), "")</f>
        <v>2013D</v>
      </c>
      <c r="U66" s="72" t="str">
        <f ca="1">IF($N$66&lt;&gt;"", INDIRECT("'Tracker'!"&amp;ADDRESS(MATCH($N$66, Tracker[Anime Name], 0) + 2, 8)), "")</f>
        <v>Vivid</v>
      </c>
      <c r="V66" s="109">
        <f>IF(Completed!$C$65&lt;&gt;"",Completed!$C$65,"")</f>
        <v>5</v>
      </c>
      <c r="W66" s="109">
        <f>IF(Completed!$D$65&lt;&gt;"",Completed!$D$65,"")</f>
        <v>9</v>
      </c>
      <c r="X66" s="109">
        <f>IF(Completed!$E$65&lt;&gt;"",Completed!$E$65,"")</f>
        <v>5</v>
      </c>
      <c r="Y66" s="109">
        <f>IF(Completed!$F$65&lt;&gt;"",Completed!$F$65,"")</f>
        <v>9</v>
      </c>
      <c r="Z66" s="125">
        <f>IF(Completed!$G$65&lt;&gt;"",Completed!$G$65,"")</f>
        <v>8.075376884422111</v>
      </c>
      <c r="AA66" s="136">
        <f>IF(Completed!$H$65&lt;&gt;"",Completed!$H$65,"")</f>
        <v>7.457541617622331</v>
      </c>
      <c r="AB66" s="110">
        <f>IF(Completed!$I$65&lt;&gt;"",Completed!$I$65,"")</f>
        <v>41648</v>
      </c>
      <c r="AC66" s="110">
        <f>IF(Completed!$J$65&lt;&gt;"",Completed!$J$65,"")</f>
        <v>41785</v>
      </c>
      <c r="AD66" s="126" t="str">
        <f>IF(Completed!$K$65&lt;&gt;"",Completed!$K$65,"")</f>
        <v>Yokoi Rumi</v>
      </c>
      <c r="AE66" s="127" t="str">
        <f>IF(Completed!$L$65&lt;&gt;"",Completed!$L$65,"")</f>
        <v/>
      </c>
    </row>
    <row r="67" spans="1:31">
      <c r="A67" s="163"/>
      <c r="B67" s="164"/>
      <c r="C67" s="164"/>
      <c r="D67" s="164"/>
      <c r="E67" s="164"/>
      <c r="F67" s="164"/>
      <c r="G67" s="164"/>
      <c r="H67" s="164"/>
      <c r="J67" s="65" t="str">
        <f>IF(Backlog!$A$66&lt;&gt;"",Backlog!$A$66,"")</f>
        <v/>
      </c>
      <c r="K67" s="72" t="str">
        <f>IF(Backlog!$B$66&lt;&gt;"",Backlog!$B$66,"")</f>
        <v/>
      </c>
      <c r="L67" s="123" t="str">
        <f>IF(Backlog!$C$66&lt;&gt;"",Backlog!$C$66,"")</f>
        <v/>
      </c>
      <c r="N67" s="65" t="str">
        <f>IF(Completed!$A$66&lt;&gt;"",Completed!$A$66,"")</f>
        <v>The Idolm@ster</v>
      </c>
      <c r="O67" s="72">
        <f>IF(Completed!$B$66&lt;&gt;"",Completed!$B$66,"")</f>
        <v>1</v>
      </c>
      <c r="P67" s="72">
        <f ca="1">IF($N$67&lt;&gt;"", INDIRECT("'Tracker'!"&amp;ADDRESS(MATCH($N$67, Tracker[Anime Name], 0) + 2, 3)), "")</f>
        <v>26</v>
      </c>
      <c r="Q67" s="66" t="str">
        <f ca="1">IF($N$67&lt;&gt;"", INDIRECT("'Tracker'!"&amp;ADDRESS(MATCH($N$67, Tracker[Anime Name], 0) + 2, 4)), "")</f>
        <v>A</v>
      </c>
      <c r="R67" s="66" t="str">
        <f ca="1">IF($N$67&lt;&gt;"", INDIRECT("'Tracker'!"&amp;ADDRESS(MATCH($N$67, Tracker[Anime Name], 0) + 2, 5)), "")</f>
        <v>720p</v>
      </c>
      <c r="S67" s="66" t="str">
        <f ca="1">IF($N$67&lt;&gt;"", INDIRECT("'Tracker'!"&amp;ADDRESS(MATCH($N$67, Tracker[Anime Name], 0) + 2, 6)), "")</f>
        <v>BD</v>
      </c>
      <c r="T67" s="66" t="str">
        <f ca="1">IF($N$67&lt;&gt;"", INDIRECT("'Tracker'!"&amp;ADDRESS(MATCH($N$67, Tracker[Anime Name], 0) + 2, 7)), "")</f>
        <v>2011B</v>
      </c>
      <c r="U67" s="72" t="str">
        <f ca="1">IF($N$67&lt;&gt;"", INDIRECT("'Tracker'!"&amp;ADDRESS(MATCH($N$67, Tracker[Anime Name], 0) + 2, 8)), "")</f>
        <v>Coalgirls, Doki</v>
      </c>
      <c r="V67" s="109">
        <f>IF(Completed!$C$66&lt;&gt;"",Completed!$C$66,"")</f>
        <v>6.5</v>
      </c>
      <c r="W67" s="109">
        <f>IF(Completed!$D$66&lt;&gt;"",Completed!$D$66,"")</f>
        <v>8.5</v>
      </c>
      <c r="X67" s="109">
        <f>IF(Completed!$E$66&lt;&gt;"",Completed!$E$66,"")</f>
        <v>6.5</v>
      </c>
      <c r="Y67" s="109">
        <f>IF(Completed!$F$66&lt;&gt;"",Completed!$F$66,"")</f>
        <v>8.5</v>
      </c>
      <c r="Z67" s="125">
        <f>IF(Completed!$G$66&lt;&gt;"",Completed!$G$66,"")</f>
        <v>8.0376884422110546</v>
      </c>
      <c r="AA67" s="136">
        <f>IF(Completed!$H$66&lt;&gt;"",Completed!$H$66,"")</f>
        <v>7.4070960147973759</v>
      </c>
      <c r="AB67" s="110">
        <f>IF(Completed!$I$66&lt;&gt;"",Completed!$I$66,"")</f>
        <v>41394</v>
      </c>
      <c r="AC67" s="110">
        <f>IF(Completed!$J$66&lt;&gt;"",Completed!$J$66,"")</f>
        <v>41397</v>
      </c>
      <c r="AD67" s="126" t="str">
        <f>IF(Completed!$K$66&lt;&gt;"",Completed!$K$66,"")</f>
        <v>Hoshii Miki</v>
      </c>
      <c r="AE67" s="127" t="str">
        <f>IF(Completed!$L$66&lt;&gt;"",Completed!$L$66,"")</f>
        <v>A lot better than I thought it was going to be</v>
      </c>
    </row>
    <row r="68" spans="1:31">
      <c r="A68" s="163"/>
      <c r="B68" s="164"/>
      <c r="C68" s="164"/>
      <c r="D68" s="164"/>
      <c r="E68" s="164"/>
      <c r="F68" s="164"/>
      <c r="G68" s="164"/>
      <c r="H68" s="164"/>
      <c r="J68" s="65" t="str">
        <f>IF(Backlog!$A$67&lt;&gt;"",Backlog!$A$67,"")</f>
        <v/>
      </c>
      <c r="K68" s="72" t="str">
        <f>IF(Backlog!$B$67&lt;&gt;"",Backlog!$B$67,"")</f>
        <v/>
      </c>
      <c r="L68" s="123" t="str">
        <f>IF(Backlog!$C$67&lt;&gt;"",Backlog!$C$67,"")</f>
        <v/>
      </c>
      <c r="N68" s="65" t="str">
        <f>IF(Completed!$A$67&lt;&gt;"",Completed!$A$67,"")</f>
        <v>Sakura Trick</v>
      </c>
      <c r="O68" s="72">
        <f>IF(Completed!$B$67&lt;&gt;"",Completed!$B$67,"")</f>
        <v>1</v>
      </c>
      <c r="P68" s="72">
        <f ca="1">IF($N$68&lt;&gt;"", INDIRECT("'Tracker'!"&amp;ADDRESS(MATCH($N$68, Tracker[Anime Name], 0) + 2, 3)), "")</f>
        <v>12</v>
      </c>
      <c r="Q68" s="66" t="str">
        <f ca="1">IF($N$68&lt;&gt;"", INDIRECT("'Tracker'!"&amp;ADDRESS(MATCH($N$68, Tracker[Anime Name], 0) + 2, 4)), "")</f>
        <v>B</v>
      </c>
      <c r="R68" s="66" t="str">
        <f ca="1">IF($N$68&lt;&gt;"", INDIRECT("'Tracker'!"&amp;ADDRESS(MATCH($N$68, Tracker[Anime Name], 0) + 2, 5)), "")</f>
        <v>720p</v>
      </c>
      <c r="S68" s="66" t="str">
        <f ca="1">IF($N$68&lt;&gt;"", INDIRECT("'Tracker'!"&amp;ADDRESS(MATCH($N$68, Tracker[Anime Name], 0) + 2, 6)), "")</f>
        <v>TV</v>
      </c>
      <c r="T68" s="66" t="str">
        <f ca="1">IF($N$68&lt;&gt;"", INDIRECT("'Tracker'!"&amp;ADDRESS(MATCH($N$68, Tracker[Anime Name], 0) + 2, 7)), "")</f>
        <v>2013D</v>
      </c>
      <c r="U68" s="72" t="str">
        <f ca="1">IF($N$68&lt;&gt;"", INDIRECT("'Tracker'!"&amp;ADDRESS(MATCH($N$68, Tracker[Anime Name], 0) + 2, 8)), "")</f>
        <v>Doki</v>
      </c>
      <c r="V68" s="109">
        <f>IF(Completed!$C$67&lt;&gt;"",Completed!$C$67,"")</f>
        <v>6.5</v>
      </c>
      <c r="W68" s="109">
        <f>IF(Completed!$D$67&lt;&gt;"",Completed!$D$67,"")</f>
        <v>8</v>
      </c>
      <c r="X68" s="109">
        <f>IF(Completed!$E$67&lt;&gt;"",Completed!$E$67,"")</f>
        <v>9</v>
      </c>
      <c r="Y68" s="109">
        <f>IF(Completed!$F$67&lt;&gt;"",Completed!$F$67,"")</f>
        <v>8.5</v>
      </c>
      <c r="Z68" s="125">
        <f>IF(Completed!$G$67&lt;&gt;"",Completed!$G$67,"")</f>
        <v>8.0226130653266328</v>
      </c>
      <c r="AA68" s="136">
        <f>IF(Completed!$H$67&lt;&gt;"",Completed!$H$67,"")</f>
        <v>7.3869177736673945</v>
      </c>
      <c r="AB68" s="110">
        <f>IF(Completed!$I$67&lt;&gt;"",Completed!$I$67,"")</f>
        <v>41650</v>
      </c>
      <c r="AC68" s="110">
        <f>IF(Completed!$J$67&lt;&gt;"",Completed!$J$67,"")</f>
        <v>41733</v>
      </c>
      <c r="AD68" s="126" t="str">
        <f>IF(Completed!$K$67&lt;&gt;"",Completed!$K$67,"")</f>
        <v>Minami Shizuku</v>
      </c>
      <c r="AE68" s="127" t="str">
        <f>IF(Completed!$L$67&lt;&gt;"",Completed!$L$67,"")</f>
        <v/>
      </c>
    </row>
    <row r="69" spans="1:31">
      <c r="A69" s="163"/>
      <c r="B69" s="164"/>
      <c r="C69" s="164"/>
      <c r="D69" s="164"/>
      <c r="E69" s="164"/>
      <c r="F69" s="164"/>
      <c r="G69" s="164"/>
      <c r="H69" s="164"/>
      <c r="J69" s="65" t="str">
        <f>IF(Backlog!$A$68&lt;&gt;"",Backlog!$A$68,"")</f>
        <v/>
      </c>
      <c r="K69" s="72" t="str">
        <f>IF(Backlog!$B$68&lt;&gt;"",Backlog!$B$68,"")</f>
        <v/>
      </c>
      <c r="L69" s="123" t="str">
        <f>IF(Backlog!$C$68&lt;&gt;"",Backlog!$C$68,"")</f>
        <v/>
      </c>
      <c r="N69" s="65" t="str">
        <f>IF(Completed!$A$68&lt;&gt;"",Completed!$A$68,"")</f>
        <v>Sora no Woto</v>
      </c>
      <c r="O69" s="72">
        <f>IF(Completed!$B$68&lt;&gt;"",Completed!$B$68,"")</f>
        <v>1</v>
      </c>
      <c r="P69" s="72">
        <f ca="1">IF($N$69&lt;&gt;"", INDIRECT("'Tracker'!"&amp;ADDRESS(MATCH($N$69, Tracker[Anime Name], 0) + 2, 3)), "")</f>
        <v>13</v>
      </c>
      <c r="Q69" s="66" t="str">
        <f ca="1">IF($N$69&lt;&gt;"", INDIRECT("'Tracker'!"&amp;ADDRESS(MATCH($N$69, Tracker[Anime Name], 0) + 2, 4)), "")</f>
        <v>A</v>
      </c>
      <c r="R69" s="66" t="str">
        <f ca="1">IF($N$69&lt;&gt;"", INDIRECT("'Tracker'!"&amp;ADDRESS(MATCH($N$69, Tracker[Anime Name], 0) + 2, 5)), "")</f>
        <v>720p</v>
      </c>
      <c r="S69" s="66" t="str">
        <f ca="1">IF($N$69&lt;&gt;"", INDIRECT("'Tracker'!"&amp;ADDRESS(MATCH($N$69, Tracker[Anime Name], 0) + 2, 6)), "")</f>
        <v>BD</v>
      </c>
      <c r="T69" s="66" t="str">
        <f ca="1">IF($N$69&lt;&gt;"", INDIRECT("'Tracker'!"&amp;ADDRESS(MATCH($N$69, Tracker[Anime Name], 0) + 2, 7)), "")</f>
        <v>2009D</v>
      </c>
      <c r="U69" s="72" t="str">
        <f ca="1">IF($N$69&lt;&gt;"", INDIRECT("'Tracker'!"&amp;ADDRESS(MATCH($N$69, Tracker[Anime Name], 0) + 2, 8)), "")</f>
        <v>Coalgirls, pwq</v>
      </c>
      <c r="V69" s="109">
        <f>IF(Completed!$C$68&lt;&gt;"",Completed!$C$68,"")</f>
        <v>8</v>
      </c>
      <c r="W69" s="109">
        <f>IF(Completed!$D$68&lt;&gt;"",Completed!$D$68,"")</f>
        <v>6.5</v>
      </c>
      <c r="X69" s="109">
        <f>IF(Completed!$E$68&lt;&gt;"",Completed!$E$68,"")</f>
        <v>6</v>
      </c>
      <c r="Y69" s="109">
        <f>IF(Completed!$F$68&lt;&gt;"",Completed!$F$68,"")</f>
        <v>9</v>
      </c>
      <c r="Z69" s="125">
        <f>IF(Completed!$G$68&lt;&gt;"",Completed!$G$68,"")</f>
        <v>8.0012562814070343</v>
      </c>
      <c r="AA69" s="136">
        <f>IF(Completed!$H$68&lt;&gt;"",Completed!$H$68,"")</f>
        <v>7.3583319320665863</v>
      </c>
      <c r="AB69" s="110">
        <f>IF(Completed!$I$68&lt;&gt;"",Completed!$I$68,"")</f>
        <v>41316</v>
      </c>
      <c r="AC69" s="110">
        <f>IF(Completed!$J$68&lt;&gt;"",Completed!$J$68,"")</f>
        <v>41323</v>
      </c>
      <c r="AD69" s="126" t="str">
        <f>IF(Completed!$K$68&lt;&gt;"",Completed!$K$68,"")</f>
        <v>Noel Kannagi</v>
      </c>
      <c r="AE69" s="127" t="str">
        <f>IF(Completed!$L$68&lt;&gt;"",Completed!$L$68,"")</f>
        <v/>
      </c>
    </row>
    <row r="70" spans="1:31">
      <c r="A70" s="163"/>
      <c r="B70" s="164"/>
      <c r="C70" s="164"/>
      <c r="D70" s="164"/>
      <c r="E70" s="164"/>
      <c r="F70" s="164"/>
      <c r="G70" s="164"/>
      <c r="H70" s="164"/>
      <c r="J70" s="65" t="str">
        <f>IF(Backlog!$A$69&lt;&gt;"",Backlog!$A$69,"")</f>
        <v/>
      </c>
      <c r="K70" s="72" t="str">
        <f>IF(Backlog!$B$69&lt;&gt;"",Backlog!$B$69,"")</f>
        <v/>
      </c>
      <c r="L70" s="123" t="str">
        <f>IF(Backlog!$C$69&lt;&gt;"",Backlog!$C$69,"")</f>
        <v/>
      </c>
      <c r="N70" s="65" t="str">
        <f>IF(Completed!$A$69&lt;&gt;"",Completed!$A$69,"")</f>
        <v>Ore no Imouto ga Konna ni Kawaii Wake ga Nai</v>
      </c>
      <c r="O70" s="72">
        <f>IF(Completed!$B$69&lt;&gt;"",Completed!$B$69,"")</f>
        <v>1</v>
      </c>
      <c r="P70" s="72">
        <f ca="1">IF($N$70&lt;&gt;"", INDIRECT("'Tracker'!"&amp;ADDRESS(MATCH($N$70, Tracker[Anime Name], 0) + 2, 3)), "")</f>
        <v>16</v>
      </c>
      <c r="Q70" s="66" t="str">
        <f ca="1">IF($N$70&lt;&gt;"", INDIRECT("'Tracker'!"&amp;ADDRESS(MATCH($N$70, Tracker[Anime Name], 0) + 2, 4)), "")</f>
        <v>A</v>
      </c>
      <c r="R70" s="66" t="str">
        <f ca="1">IF($N$70&lt;&gt;"", INDIRECT("'Tracker'!"&amp;ADDRESS(MATCH($N$70, Tracker[Anime Name], 0) + 2, 5)), "")</f>
        <v>720p</v>
      </c>
      <c r="S70" s="66" t="str">
        <f ca="1">IF($N$70&lt;&gt;"", INDIRECT("'Tracker'!"&amp;ADDRESS(MATCH($N$70, Tracker[Anime Name], 0) + 2, 6)), "")</f>
        <v>BD</v>
      </c>
      <c r="T70" s="66" t="str">
        <f ca="1">IF($N$70&lt;&gt;"", INDIRECT("'Tracker'!"&amp;ADDRESS(MATCH($N$70, Tracker[Anime Name], 0) + 2, 7)), "")</f>
        <v>2010C</v>
      </c>
      <c r="U70" s="72" t="str">
        <f ca="1">IF($N$70&lt;&gt;"", INDIRECT("'Tracker'!"&amp;ADDRESS(MATCH($N$70, Tracker[Anime Name], 0) + 2, 8)), "")</f>
        <v>Coalgirls, Mazui</v>
      </c>
      <c r="V70" s="109">
        <f>IF(Completed!$C$69&lt;&gt;"",Completed!$C$69,"")</f>
        <v>8</v>
      </c>
      <c r="W70" s="109">
        <f>IF(Completed!$D$69&lt;&gt;"",Completed!$D$69,"")</f>
        <v>8.5</v>
      </c>
      <c r="X70" s="109">
        <f>IF(Completed!$E$69&lt;&gt;"",Completed!$E$69,"")</f>
        <v>5</v>
      </c>
      <c r="Y70" s="109">
        <f>IF(Completed!$F$69&lt;&gt;"",Completed!$F$69,"")</f>
        <v>8</v>
      </c>
      <c r="Z70" s="125">
        <f>IF(Completed!$G$69&lt;&gt;"",Completed!$G$69,"")</f>
        <v>7.9912060301507539</v>
      </c>
      <c r="AA70" s="136">
        <f>IF(Completed!$H$69&lt;&gt;"",Completed!$H$69,"")</f>
        <v>7.3448797713132672</v>
      </c>
      <c r="AB70" s="110">
        <f>IF(Completed!$I$69&lt;&gt;"",Completed!$I$69,"")</f>
        <v>41360</v>
      </c>
      <c r="AC70" s="110">
        <f>IF(Completed!$J$69&lt;&gt;"",Completed!$J$69,"")</f>
        <v>41363</v>
      </c>
      <c r="AD70" s="126" t="str">
        <f>IF(Completed!$K$69&lt;&gt;"",Completed!$K$69,"")</f>
        <v>Kuroneko (Gokou Ruri)</v>
      </c>
      <c r="AE70" s="127" t="str">
        <f>IF(Completed!$L$69&lt;&gt;"",Completed!$L$69,"")</f>
        <v>Kuroneko best girl</v>
      </c>
    </row>
    <row r="71" spans="1:31">
      <c r="A71" s="163"/>
      <c r="B71" s="164"/>
      <c r="C71" s="164"/>
      <c r="D71" s="164"/>
      <c r="E71" s="164"/>
      <c r="F71" s="164"/>
      <c r="G71" s="164"/>
      <c r="H71" s="164"/>
      <c r="J71" s="65" t="str">
        <f>IF(Backlog!$A$70&lt;&gt;"",Backlog!$A$70,"")</f>
        <v/>
      </c>
      <c r="K71" s="72" t="str">
        <f>IF(Backlog!$B$70&lt;&gt;"",Backlog!$B$70,"")</f>
        <v/>
      </c>
      <c r="L71" s="123" t="str">
        <f>IF(Backlog!$C$70&lt;&gt;"",Backlog!$C$70,"")</f>
        <v/>
      </c>
      <c r="N71" s="65" t="str">
        <f>IF(Completed!$A$70&lt;&gt;"",Completed!$A$70,"")</f>
        <v>Boku wa Tomodachi ga Sukunai</v>
      </c>
      <c r="O71" s="72">
        <f>IF(Completed!$B$70&lt;&gt;"",Completed!$B$70,"")</f>
        <v>1</v>
      </c>
      <c r="P71" s="72">
        <f ca="1">IF($N$71&lt;&gt;"", INDIRECT("'Tracker'!"&amp;ADDRESS(MATCH($N$71, Tracker[Anime Name], 0) + 2, 3)), "")</f>
        <v>13</v>
      </c>
      <c r="Q71" s="66" t="str">
        <f ca="1">IF($N$71&lt;&gt;"", INDIRECT("'Tracker'!"&amp;ADDRESS(MATCH($N$71, Tracker[Anime Name], 0) + 2, 4)), "")</f>
        <v>A</v>
      </c>
      <c r="R71" s="66" t="str">
        <f ca="1">IF($N$71&lt;&gt;"", INDIRECT("'Tracker'!"&amp;ADDRESS(MATCH($N$71, Tracker[Anime Name], 0) + 2, 5)), "")</f>
        <v>720p</v>
      </c>
      <c r="S71" s="66" t="str">
        <f ca="1">IF($N$71&lt;&gt;"", INDIRECT("'Tracker'!"&amp;ADDRESS(MATCH($N$71, Tracker[Anime Name], 0) + 2, 6)), "")</f>
        <v>BD</v>
      </c>
      <c r="T71" s="66" t="str">
        <f ca="1">IF($N$71&lt;&gt;"", INDIRECT("'Tracker'!"&amp;ADDRESS(MATCH($N$71, Tracker[Anime Name], 0) + 2, 7)), "")</f>
        <v>2011C</v>
      </c>
      <c r="U71" s="72" t="str">
        <f ca="1">IF($N$71&lt;&gt;"", INDIRECT("'Tracker'!"&amp;ADDRESS(MATCH($N$71, Tracker[Anime Name], 0) + 2, 8)), "")</f>
        <v>Coalgirls, Mazui</v>
      </c>
      <c r="V71" s="109">
        <f>IF(Completed!$C$70&lt;&gt;"",Completed!$C$70,"")</f>
        <v>7</v>
      </c>
      <c r="W71" s="109">
        <f>IF(Completed!$D$70&lt;&gt;"",Completed!$D$70,"")</f>
        <v>8</v>
      </c>
      <c r="X71" s="109">
        <f>IF(Completed!$E$70&lt;&gt;"",Completed!$E$70,"")</f>
        <v>5.5</v>
      </c>
      <c r="Y71" s="109">
        <f>IF(Completed!$F$70&lt;&gt;"",Completed!$F$70,"")</f>
        <v>8.5</v>
      </c>
      <c r="Z71" s="125">
        <f>IF(Completed!$G$70&lt;&gt;"",Completed!$G$70,"")</f>
        <v>7.9472361809045227</v>
      </c>
      <c r="AA71" s="136">
        <f>IF(Completed!$H$70&lt;&gt;"",Completed!$H$70,"")</f>
        <v>7.2860265680174878</v>
      </c>
      <c r="AB71" s="110">
        <f>IF(Completed!$I$70&lt;&gt;"",Completed!$I$70,"")</f>
        <v>41363</v>
      </c>
      <c r="AC71" s="110">
        <f>IF(Completed!$J$70&lt;&gt;"",Completed!$J$70,"")</f>
        <v>41364</v>
      </c>
      <c r="AD71" s="126" t="str">
        <f>IF(Completed!$K$70&lt;&gt;"",Completed!$K$70,"")</f>
        <v>Hasegawa Kobato</v>
      </c>
      <c r="AE71" s="127" t="str">
        <f>IF(Completed!$L$70&lt;&gt;"",Completed!$L$70,"")</f>
        <v/>
      </c>
    </row>
    <row r="72" spans="1:31">
      <c r="A72" s="163"/>
      <c r="B72" s="164"/>
      <c r="C72" s="164"/>
      <c r="D72" s="164"/>
      <c r="E72" s="164"/>
      <c r="F72" s="164"/>
      <c r="G72" s="164"/>
      <c r="H72" s="164"/>
      <c r="J72" s="65" t="str">
        <f>IF(Backlog!$A$71&lt;&gt;"",Backlog!$A$71,"")</f>
        <v/>
      </c>
      <c r="K72" s="72" t="str">
        <f>IF(Backlog!$B$71&lt;&gt;"",Backlog!$B$71,"")</f>
        <v/>
      </c>
      <c r="L72" s="123" t="str">
        <f>IF(Backlog!$C$71&lt;&gt;"",Backlog!$C$71,"")</f>
        <v/>
      </c>
      <c r="N72" s="65" t="str">
        <f>IF(Completed!$A$71&lt;&gt;"",Completed!$A$71,"")</f>
        <v>Free!</v>
      </c>
      <c r="O72" s="72">
        <f>IF(Completed!$B$71&lt;&gt;"",Completed!$B$71,"")</f>
        <v>1</v>
      </c>
      <c r="P72" s="72">
        <f ca="1">IF($N$72&lt;&gt;"", INDIRECT("'Tracker'!"&amp;ADDRESS(MATCH($N$72, Tracker[Anime Name], 0) + 2, 3)), "")</f>
        <v>12</v>
      </c>
      <c r="Q72" s="66" t="str">
        <f ca="1">IF($N$72&lt;&gt;"", INDIRECT("'Tracker'!"&amp;ADDRESS(MATCH($N$72, Tracker[Anime Name], 0) + 2, 4)), "")</f>
        <v>A</v>
      </c>
      <c r="R72" s="66" t="str">
        <f ca="1">IF($N$72&lt;&gt;"", INDIRECT("'Tracker'!"&amp;ADDRESS(MATCH($N$72, Tracker[Anime Name], 0) + 2, 5)), "")</f>
        <v>1080p</v>
      </c>
      <c r="S72" s="66" t="str">
        <f ca="1">IF($N$72&lt;&gt;"", INDIRECT("'Tracker'!"&amp;ADDRESS(MATCH($N$72, Tracker[Anime Name], 0) + 2, 6)), "")</f>
        <v>BD</v>
      </c>
      <c r="T72" s="66" t="str">
        <f ca="1">IF($N$72&lt;&gt;"", INDIRECT("'Tracker'!"&amp;ADDRESS(MATCH($N$72, Tracker[Anime Name], 0) + 2, 7)), "")</f>
        <v>2013B</v>
      </c>
      <c r="U72" s="72" t="str">
        <f ca="1">IF($N$72&lt;&gt;"", INDIRECT("'Tracker'!"&amp;ADDRESS(MATCH($N$72, Tracker[Anime Name], 0) + 2, 8)), "")</f>
        <v>Commie</v>
      </c>
      <c r="V72" s="109">
        <f>IF(Completed!$C$71&lt;&gt;"",Completed!$C$71,"")</f>
        <v>8.5</v>
      </c>
      <c r="W72" s="109">
        <f>IF(Completed!$D$71&lt;&gt;"",Completed!$D$71,"")</f>
        <v>7.5</v>
      </c>
      <c r="X72" s="109">
        <f>IF(Completed!$E$71&lt;&gt;"",Completed!$E$71,"")</f>
        <v>2.5</v>
      </c>
      <c r="Y72" s="109">
        <f>IF(Completed!$F$71&lt;&gt;"",Completed!$F$71,"")</f>
        <v>8.5</v>
      </c>
      <c r="Z72" s="125">
        <f>IF(Completed!$G$71&lt;&gt;"",Completed!$G$71,"")</f>
        <v>7.9447236180904515</v>
      </c>
      <c r="AA72" s="136">
        <f>IF(Completed!$H$71&lt;&gt;"",Completed!$H$71,"")</f>
        <v>7.2826635278291567</v>
      </c>
      <c r="AB72" s="110">
        <f>IF(Completed!$I$71&lt;&gt;"",Completed!$I$71,"")</f>
        <v>41459</v>
      </c>
      <c r="AC72" s="110">
        <f>IF(Completed!$J$71&lt;&gt;"",Completed!$J$71,"")</f>
        <v>41543</v>
      </c>
      <c r="AD72" s="126" t="str">
        <f>IF(Completed!$K$71&lt;&gt;"",Completed!$K$71,"")</f>
        <v>Matsuoka Gou</v>
      </c>
      <c r="AE72" s="127" t="str">
        <f>IF(Completed!$L$71&lt;&gt;"",Completed!$L$71,"")</f>
        <v>Not as bad as everyone makes it seem - KyoAni animation and music plus an actual plot is pretty nice.</v>
      </c>
    </row>
    <row r="73" spans="1:31">
      <c r="A73" s="163"/>
      <c r="B73" s="164"/>
      <c r="C73" s="164"/>
      <c r="D73" s="164"/>
      <c r="E73" s="164"/>
      <c r="F73" s="164"/>
      <c r="G73" s="164"/>
      <c r="H73" s="164"/>
      <c r="J73" s="65" t="str">
        <f>IF(Backlog!$A$72&lt;&gt;"",Backlog!$A$72,"")</f>
        <v/>
      </c>
      <c r="K73" s="72" t="str">
        <f>IF(Backlog!$B$72&lt;&gt;"",Backlog!$B$72,"")</f>
        <v/>
      </c>
      <c r="L73" s="123" t="str">
        <f>IF(Backlog!$C$72&lt;&gt;"",Backlog!$C$72,"")</f>
        <v/>
      </c>
      <c r="N73" s="65" t="str">
        <f>IF(Completed!$A$72&lt;&gt;"",Completed!$A$72,"")</f>
        <v>K-On!</v>
      </c>
      <c r="O73" s="72">
        <f>IF(Completed!$B$72&lt;&gt;"",Completed!$B$72,"")</f>
        <v>1</v>
      </c>
      <c r="P73" s="72">
        <f ca="1">IF($N$73&lt;&gt;"", INDIRECT("'Tracker'!"&amp;ADDRESS(MATCH($N$73, Tracker[Anime Name], 0) + 2, 3)), "")</f>
        <v>13</v>
      </c>
      <c r="Q73" s="66" t="str">
        <f ca="1">IF($N$73&lt;&gt;"", INDIRECT("'Tracker'!"&amp;ADDRESS(MATCH($N$73, Tracker[Anime Name], 0) + 2, 4)), "")</f>
        <v>A</v>
      </c>
      <c r="R73" s="66" t="str">
        <f ca="1">IF($N$73&lt;&gt;"", INDIRECT("'Tracker'!"&amp;ADDRESS(MATCH($N$73, Tracker[Anime Name], 0) + 2, 5)), "")</f>
        <v>720p</v>
      </c>
      <c r="S73" s="66" t="str">
        <f ca="1">IF($N$73&lt;&gt;"", INDIRECT("'Tracker'!"&amp;ADDRESS(MATCH($N$73, Tracker[Anime Name], 0) + 2, 6)), "")</f>
        <v>BD</v>
      </c>
      <c r="T73" s="66" t="str">
        <f ca="1">IF($N$73&lt;&gt;"", INDIRECT("'Tracker'!"&amp;ADDRESS(MATCH($N$73, Tracker[Anime Name], 0) + 2, 7)), "")</f>
        <v>2009A</v>
      </c>
      <c r="U73" s="72" t="str">
        <f ca="1">IF($N$73&lt;&gt;"", INDIRECT("'Tracker'!"&amp;ADDRESS(MATCH($N$73, Tracker[Anime Name], 0) + 2, 8)), "")</f>
        <v>Frostii</v>
      </c>
      <c r="V73" s="109">
        <f>IF(Completed!$C$72&lt;&gt;"",Completed!$C$72,"")</f>
        <v>6</v>
      </c>
      <c r="W73" s="109">
        <f>IF(Completed!$D$72&lt;&gt;"",Completed!$D$72,"")</f>
        <v>7</v>
      </c>
      <c r="X73" s="109">
        <f>IF(Completed!$E$72&lt;&gt;"",Completed!$E$72,"")</f>
        <v>9</v>
      </c>
      <c r="Y73" s="109">
        <f>IF(Completed!$F$72&lt;&gt;"",Completed!$F$72,"")</f>
        <v>9</v>
      </c>
      <c r="Z73" s="125">
        <f>IF(Completed!$G$72&lt;&gt;"",Completed!$G$72,"")</f>
        <v>7.9120603015075384</v>
      </c>
      <c r="AA73" s="136">
        <f>IF(Completed!$H$72&lt;&gt;"",Completed!$H$72,"")</f>
        <v>7.2389440053808647</v>
      </c>
      <c r="AB73" s="110">
        <f>IF(Completed!$I$72&lt;&gt;"",Completed!$I$72,"")</f>
        <v>41337</v>
      </c>
      <c r="AC73" s="110">
        <f>IF(Completed!$J$72&lt;&gt;"",Completed!$J$72,"")</f>
        <v>41338</v>
      </c>
      <c r="AD73" s="126" t="str">
        <f>IF(Completed!$K$72&lt;&gt;"",Completed!$K$72,"")</f>
        <v>Nakano Azusa</v>
      </c>
      <c r="AE73" s="127" t="str">
        <f>IF(Completed!$L$72&lt;&gt;"",Completed!$L$72,"")</f>
        <v>The music is portrayed very accurately. 10/10 to the animators</v>
      </c>
    </row>
    <row r="74" spans="1:31">
      <c r="A74" s="163"/>
      <c r="B74" s="164"/>
      <c r="C74" s="164"/>
      <c r="D74" s="164"/>
      <c r="E74" s="164"/>
      <c r="F74" s="164"/>
      <c r="G74" s="164"/>
      <c r="H74" s="164"/>
      <c r="J74" s="65" t="str">
        <f>IF(Backlog!$A$73&lt;&gt;"",Backlog!$A$73,"")</f>
        <v/>
      </c>
      <c r="K74" s="72" t="str">
        <f>IF(Backlog!$B$73&lt;&gt;"",Backlog!$B$73,"")</f>
        <v/>
      </c>
      <c r="L74" s="123" t="str">
        <f>IF(Backlog!$C$73&lt;&gt;"",Backlog!$C$73,"")</f>
        <v/>
      </c>
      <c r="N74" s="65" t="str">
        <f>IF(Completed!$A$73&lt;&gt;"",Completed!$A$73,"")</f>
        <v>Baka to Test to Shoukanjuu</v>
      </c>
      <c r="O74" s="72">
        <f>IF(Completed!$B$73&lt;&gt;"",Completed!$B$73,"")</f>
        <v>1</v>
      </c>
      <c r="P74" s="72">
        <f ca="1">IF($N$74&lt;&gt;"", INDIRECT("'Tracker'!"&amp;ADDRESS(MATCH($N$74, Tracker[Anime Name], 0) + 2, 3)), "")</f>
        <v>13</v>
      </c>
      <c r="Q74" s="66" t="str">
        <f ca="1">IF($N$74&lt;&gt;"", INDIRECT("'Tracker'!"&amp;ADDRESS(MATCH($N$74, Tracker[Anime Name], 0) + 2, 4)), "")</f>
        <v>A</v>
      </c>
      <c r="R74" s="66" t="str">
        <f ca="1">IF($N$74&lt;&gt;"", INDIRECT("'Tracker'!"&amp;ADDRESS(MATCH($N$74, Tracker[Anime Name], 0) + 2, 5)), "")</f>
        <v>1080p</v>
      </c>
      <c r="S74" s="66" t="str">
        <f ca="1">IF($N$74&lt;&gt;"", INDIRECT("'Tracker'!"&amp;ADDRESS(MATCH($N$74, Tracker[Anime Name], 0) + 2, 6)), "")</f>
        <v>BD</v>
      </c>
      <c r="T74" s="66" t="str">
        <f ca="1">IF($N$74&lt;&gt;"", INDIRECT("'Tracker'!"&amp;ADDRESS(MATCH($N$74, Tracker[Anime Name], 0) + 2, 7)), "")</f>
        <v>2009D</v>
      </c>
      <c r="U74" s="72" t="str">
        <f ca="1">IF($N$74&lt;&gt;"", INDIRECT("'Tracker'!"&amp;ADDRESS(MATCH($N$74, Tracker[Anime Name], 0) + 2, 8)), "")</f>
        <v>Elysium</v>
      </c>
      <c r="V74" s="109">
        <f>IF(Completed!$C$73&lt;&gt;"",Completed!$C$73,"")</f>
        <v>6.5</v>
      </c>
      <c r="W74" s="109">
        <f>IF(Completed!$D$73&lt;&gt;"",Completed!$D$73,"")</f>
        <v>7.5</v>
      </c>
      <c r="X74" s="109">
        <f>IF(Completed!$E$73&lt;&gt;"",Completed!$E$73,"")</f>
        <v>4</v>
      </c>
      <c r="Y74" s="109">
        <f>IF(Completed!$F$73&lt;&gt;"",Completed!$F$73,"")</f>
        <v>9</v>
      </c>
      <c r="Z74" s="125">
        <f>IF(Completed!$G$73&lt;&gt;"",Completed!$G$73,"")</f>
        <v>7.8994974874371851</v>
      </c>
      <c r="AA74" s="136">
        <f>IF(Completed!$H$73&lt;&gt;"",Completed!$H$73,"")</f>
        <v>7.2221288044392118</v>
      </c>
      <c r="AB74" s="110">
        <f>IF(Completed!$I$73&lt;&gt;"",Completed!$I$73,"")</f>
        <v>41347</v>
      </c>
      <c r="AC74" s="110">
        <f>IF(Completed!$J$73&lt;&gt;"",Completed!$J$73,"")</f>
        <v>41354</v>
      </c>
      <c r="AD74" s="126" t="str">
        <f>IF(Completed!$K$73&lt;&gt;"",Completed!$K$73,"")</f>
        <v>Shimada Minami</v>
      </c>
      <c r="AE74" s="127" t="str">
        <f>IF(Completed!$L$73&lt;&gt;"",Completed!$L$73,"")</f>
        <v/>
      </c>
    </row>
    <row r="75" spans="1:31">
      <c r="A75" s="163"/>
      <c r="B75" s="164"/>
      <c r="C75" s="164"/>
      <c r="D75" s="164"/>
      <c r="E75" s="164"/>
      <c r="F75" s="164"/>
      <c r="G75" s="164"/>
      <c r="H75" s="164"/>
      <c r="J75" s="65" t="str">
        <f>IF(Backlog!$A$74&lt;&gt;"",Backlog!$A$74,"")</f>
        <v/>
      </c>
      <c r="K75" s="72" t="str">
        <f>IF(Backlog!$B$74&lt;&gt;"",Backlog!$B$74,"")</f>
        <v/>
      </c>
      <c r="L75" s="123" t="str">
        <f>IF(Backlog!$C$74&lt;&gt;"",Backlog!$C$74,"")</f>
        <v/>
      </c>
      <c r="N75" s="65" t="str">
        <f>IF(Completed!$A$74&lt;&gt;"",Completed!$A$74,"")</f>
        <v>Ro-Kyu-Bu! SS</v>
      </c>
      <c r="O75" s="72">
        <f>IF(Completed!$B$74&lt;&gt;"",Completed!$B$74,"")</f>
        <v>2</v>
      </c>
      <c r="P75" s="72">
        <f ca="1">IF($N$75&lt;&gt;"", INDIRECT("'Tracker'!"&amp;ADDRESS(MATCH($N$75, Tracker[Anime Name], 0) + 2, 3)), "")</f>
        <v>12</v>
      </c>
      <c r="Q75" s="66" t="str">
        <f ca="1">IF($N$75&lt;&gt;"", INDIRECT("'Tracker'!"&amp;ADDRESS(MATCH($N$75, Tracker[Anime Name], 0) + 2, 4)), "")</f>
        <v>A</v>
      </c>
      <c r="R75" s="66" t="str">
        <f ca="1">IF($N$75&lt;&gt;"", INDIRECT("'Tracker'!"&amp;ADDRESS(MATCH($N$75, Tracker[Anime Name], 0) + 2, 5)), "")</f>
        <v>1080p</v>
      </c>
      <c r="S75" s="66" t="str">
        <f ca="1">IF($N$75&lt;&gt;"", INDIRECT("'Tracker'!"&amp;ADDRESS(MATCH($N$75, Tracker[Anime Name], 0) + 2, 6)), "")</f>
        <v>BD</v>
      </c>
      <c r="T75" s="66" t="str">
        <f ca="1">IF($N$75&lt;&gt;"", INDIRECT("'Tracker'!"&amp;ADDRESS(MATCH($N$75, Tracker[Anime Name], 0) + 2, 7)), "")</f>
        <v>2013B</v>
      </c>
      <c r="U75" s="72" t="str">
        <f ca="1">IF($N$75&lt;&gt;"", INDIRECT("'Tracker'!"&amp;ADDRESS(MATCH($N$75, Tracker[Anime Name], 0) + 2, 8)), "")</f>
        <v>Asenshi-Doremi, Loligeddon</v>
      </c>
      <c r="V75" s="109">
        <f>IF(Completed!$C$74&lt;&gt;"",Completed!$C$74,"")</f>
        <v>7</v>
      </c>
      <c r="W75" s="109">
        <f>IF(Completed!$D$74&lt;&gt;"",Completed!$D$74,"")</f>
        <v>8</v>
      </c>
      <c r="X75" s="109">
        <f>IF(Completed!$E$74&lt;&gt;"",Completed!$E$74,"")</f>
        <v>9.5</v>
      </c>
      <c r="Y75" s="109">
        <f>IF(Completed!$F$74&lt;&gt;"",Completed!$F$74,"")</f>
        <v>8</v>
      </c>
      <c r="Z75" s="125">
        <f>IF(Completed!$G$74&lt;&gt;"",Completed!$G$74,"")</f>
        <v>7.8881909547738696</v>
      </c>
      <c r="AA75" s="136">
        <f>IF(Completed!$H$74&lt;&gt;"",Completed!$H$74,"")</f>
        <v>7.2069951235917262</v>
      </c>
      <c r="AB75" s="110">
        <f>IF(Completed!$I$74&lt;&gt;"",Completed!$I$74,"")</f>
        <v>41468</v>
      </c>
      <c r="AC75" s="110">
        <f>IF(Completed!$J$74&lt;&gt;"",Completed!$J$74,"")</f>
        <v>41589</v>
      </c>
      <c r="AD75" s="126" t="str">
        <f>IF(Completed!$K$74&lt;&gt;"",Completed!$K$74,"")</f>
        <v>Hakamada Hinata</v>
      </c>
      <c r="AE75" s="127" t="str">
        <f>IF(Completed!$L$74&lt;&gt;"",Completed!$L$74,"")</f>
        <v/>
      </c>
    </row>
    <row r="76" spans="1:31">
      <c r="A76" s="163"/>
      <c r="B76" s="164"/>
      <c r="C76" s="164"/>
      <c r="D76" s="164"/>
      <c r="E76" s="164"/>
      <c r="F76" s="164"/>
      <c r="G76" s="164"/>
      <c r="H76" s="164"/>
      <c r="J76" s="65" t="str">
        <f>IF(Backlog!$A$75&lt;&gt;"",Backlog!$A$75,"")</f>
        <v/>
      </c>
      <c r="K76" s="72" t="str">
        <f>IF(Backlog!$B$75&lt;&gt;"",Backlog!$B$75,"")</f>
        <v/>
      </c>
      <c r="L76" s="123" t="str">
        <f>IF(Backlog!$C$75&lt;&gt;"",Backlog!$C$75,"")</f>
        <v/>
      </c>
      <c r="N76" s="65" t="str">
        <f>IF(Completed!$A$75&lt;&gt;"",Completed!$A$75,"")</f>
        <v>Sword Art Online</v>
      </c>
      <c r="O76" s="72">
        <f>IF(Completed!$B$75&lt;&gt;"",Completed!$B$75,"")</f>
        <v>1</v>
      </c>
      <c r="P76" s="72">
        <f ca="1">IF($N$76&lt;&gt;"", INDIRECT("'Tracker'!"&amp;ADDRESS(MATCH($N$76, Tracker[Anime Name], 0) + 2, 3)), "")</f>
        <v>25</v>
      </c>
      <c r="Q76" s="66" t="str">
        <f ca="1">IF($N$76&lt;&gt;"", INDIRECT("'Tracker'!"&amp;ADDRESS(MATCH($N$76, Tracker[Anime Name], 0) + 2, 4)), "")</f>
        <v>A</v>
      </c>
      <c r="R76" s="66" t="str">
        <f ca="1">IF($N$76&lt;&gt;"", INDIRECT("'Tracker'!"&amp;ADDRESS(MATCH($N$76, Tracker[Anime Name], 0) + 2, 5)), "")</f>
        <v>720p</v>
      </c>
      <c r="S76" s="66" t="str">
        <f ca="1">IF($N$76&lt;&gt;"", INDIRECT("'Tracker'!"&amp;ADDRESS(MATCH($N$76, Tracker[Anime Name], 0) + 2, 6)), "")</f>
        <v>BD</v>
      </c>
      <c r="T76" s="66" t="str">
        <f ca="1">IF($N$76&lt;&gt;"", INDIRECT("'Tracker'!"&amp;ADDRESS(MATCH($N$76, Tracker[Anime Name], 0) + 2, 7)), "")</f>
        <v>2012B</v>
      </c>
      <c r="U76" s="72" t="str">
        <f ca="1">IF($N$76&lt;&gt;"", INDIRECT("'Tracker'!"&amp;ADDRESS(MATCH($N$76, Tracker[Anime Name], 0) + 2, 8)), "")</f>
        <v>Coalgirls, EveTaku</v>
      </c>
      <c r="V76" s="109">
        <f>IF(Completed!$C$75&lt;&gt;"",Completed!$C$75,"")</f>
        <v>8</v>
      </c>
      <c r="W76" s="109">
        <f>IF(Completed!$D$75&lt;&gt;"",Completed!$D$75,"")</f>
        <v>8</v>
      </c>
      <c r="X76" s="109">
        <f>IF(Completed!$E$75&lt;&gt;"",Completed!$E$75,"")</f>
        <v>5</v>
      </c>
      <c r="Y76" s="109">
        <f>IF(Completed!$F$75&lt;&gt;"",Completed!$F$75,"")</f>
        <v>8</v>
      </c>
      <c r="Z76" s="125">
        <f>IF(Completed!$G$75&lt;&gt;"",Completed!$G$75,"")</f>
        <v>7.8567839195979898</v>
      </c>
      <c r="AA76" s="136">
        <f>IF(Completed!$H$75&lt;&gt;"",Completed!$H$75,"")</f>
        <v>7.164957121237598</v>
      </c>
      <c r="AB76" s="110">
        <f>IF(Completed!$I$75&lt;&gt;"",Completed!$I$75,"")</f>
        <v>41245</v>
      </c>
      <c r="AC76" s="110">
        <f>IF(Completed!$J$75&lt;&gt;"",Completed!$J$75,"")</f>
        <v>41250</v>
      </c>
      <c r="AD76" s="126" t="str">
        <f>IF(Completed!$K$75&lt;&gt;"",Completed!$K$75,"")</f>
        <v>Yuuki Asuna</v>
      </c>
      <c r="AE76" s="127" t="str">
        <f>IF(Completed!$L$75&lt;&gt;"",Completed!$L$75,"")</f>
        <v>First cour was a lot better than the second, ratings adjusted to average both</v>
      </c>
    </row>
    <row r="77" spans="1:31">
      <c r="A77" s="163"/>
      <c r="B77" s="164"/>
      <c r="C77" s="164"/>
      <c r="D77" s="164"/>
      <c r="E77" s="164"/>
      <c r="F77" s="164"/>
      <c r="G77" s="164"/>
      <c r="H77" s="164"/>
      <c r="J77" s="65" t="str">
        <f>IF(Backlog!$A$76&lt;&gt;"",Backlog!$A$76,"")</f>
        <v/>
      </c>
      <c r="K77" s="72" t="str">
        <f>IF(Backlog!$B$76&lt;&gt;"",Backlog!$B$76,"")</f>
        <v/>
      </c>
      <c r="L77" s="123" t="str">
        <f>IF(Backlog!$C$76&lt;&gt;"",Backlog!$C$76,"")</f>
        <v/>
      </c>
      <c r="N77" s="65" t="str">
        <f>IF(Completed!$A$76&lt;&gt;"",Completed!$A$76,"")</f>
        <v>Golden Time</v>
      </c>
      <c r="O77" s="72">
        <f>IF(Completed!$B$76&lt;&gt;"",Completed!$B$76,"")</f>
        <v>1</v>
      </c>
      <c r="P77" s="72">
        <f ca="1">IF($N$77&lt;&gt;"", INDIRECT("'Tracker'!"&amp;ADDRESS(MATCH($N$77, Tracker[Anime Name], 0) + 2, 3)), "")</f>
        <v>24</v>
      </c>
      <c r="Q77" s="66" t="str">
        <f ca="1">IF($N$77&lt;&gt;"", INDIRECT("'Tracker'!"&amp;ADDRESS(MATCH($N$77, Tracker[Anime Name], 0) + 2, 4)), "")</f>
        <v>A</v>
      </c>
      <c r="R77" s="66" t="str">
        <f ca="1">IF($N$77&lt;&gt;"", INDIRECT("'Tracker'!"&amp;ADDRESS(MATCH($N$77, Tracker[Anime Name], 0) + 2, 5)), "")</f>
        <v>720p</v>
      </c>
      <c r="S77" s="66" t="str">
        <f ca="1">IF($N$77&lt;&gt;"", INDIRECT("'Tracker'!"&amp;ADDRESS(MATCH($N$77, Tracker[Anime Name], 0) + 2, 6)), "")</f>
        <v>TV</v>
      </c>
      <c r="T77" s="66" t="str">
        <f ca="1">IF($N$77&lt;&gt;"", INDIRECT("'Tracker'!"&amp;ADDRESS(MATCH($N$77, Tracker[Anime Name], 0) + 2, 7)), "")</f>
        <v>2013C</v>
      </c>
      <c r="U77" s="72" t="str">
        <f ca="1">IF($N$77&lt;&gt;"", INDIRECT("'Tracker'!"&amp;ADDRESS(MATCH($N$77, Tracker[Anime Name], 0) + 2, 8)), "")</f>
        <v>FFF</v>
      </c>
      <c r="V77" s="109">
        <f>IF(Completed!$C$76&lt;&gt;"",Completed!$C$76,"")</f>
        <v>8</v>
      </c>
      <c r="W77" s="109">
        <f>IF(Completed!$D$76&lt;&gt;"",Completed!$D$76,"")</f>
        <v>8</v>
      </c>
      <c r="X77" s="109">
        <f>IF(Completed!$E$76&lt;&gt;"",Completed!$E$76,"")</f>
        <v>5</v>
      </c>
      <c r="Y77" s="109">
        <f>IF(Completed!$F$76&lt;&gt;"",Completed!$F$76,"")</f>
        <v>8</v>
      </c>
      <c r="Z77" s="125">
        <f>IF(Completed!$G$76&lt;&gt;"",Completed!$G$76,"")</f>
        <v>7.8567839195979898</v>
      </c>
      <c r="AA77" s="136">
        <f>IF(Completed!$H$76&lt;&gt;"",Completed!$H$76,"")</f>
        <v>7.164957121237598</v>
      </c>
      <c r="AB77" s="110">
        <f>IF(Completed!$I$76&lt;&gt;"",Completed!$I$76,"")</f>
        <v>41555</v>
      </c>
      <c r="AC77" s="110">
        <f>IF(Completed!$J$76&lt;&gt;"",Completed!$J$76,"")</f>
        <v>41748</v>
      </c>
      <c r="AD77" s="126" t="str">
        <f>IF(Completed!$K$76&lt;&gt;"",Completed!$K$76,"")</f>
        <v>Hayashida Linda</v>
      </c>
      <c r="AE77" s="127" t="str">
        <f>IF(Completed!$L$76&lt;&gt;"",Completed!$L$76,"")</f>
        <v/>
      </c>
    </row>
    <row r="78" spans="1:31">
      <c r="A78" s="163"/>
      <c r="B78" s="164"/>
      <c r="C78" s="164"/>
      <c r="D78" s="164"/>
      <c r="E78" s="164"/>
      <c r="F78" s="164"/>
      <c r="G78" s="164"/>
      <c r="H78" s="164"/>
      <c r="J78" s="65" t="str">
        <f>IF(Backlog!$A$77&lt;&gt;"",Backlog!$A$77,"")</f>
        <v/>
      </c>
      <c r="K78" s="72" t="str">
        <f>IF(Backlog!$B$77&lt;&gt;"",Backlog!$B$77,"")</f>
        <v/>
      </c>
      <c r="L78" s="123" t="str">
        <f>IF(Backlog!$C$77&lt;&gt;"",Backlog!$C$77,"")</f>
        <v/>
      </c>
      <c r="N78" s="65" t="str">
        <f>IF(Completed!$A$77&lt;&gt;"",Completed!$A$77,"")</f>
        <v>Ro-Kyu-Bu!</v>
      </c>
      <c r="O78" s="72">
        <f>IF(Completed!$B$77&lt;&gt;"",Completed!$B$77,"")</f>
        <v>1</v>
      </c>
      <c r="P78" s="72">
        <f ca="1">IF($N$78&lt;&gt;"", INDIRECT("'Tracker'!"&amp;ADDRESS(MATCH($N$78, Tracker[Anime Name], 0) + 2, 3)), "")</f>
        <v>12</v>
      </c>
      <c r="Q78" s="66" t="str">
        <f ca="1">IF($N$78&lt;&gt;"", INDIRECT("'Tracker'!"&amp;ADDRESS(MATCH($N$78, Tracker[Anime Name], 0) + 2, 4)), "")</f>
        <v>A</v>
      </c>
      <c r="R78" s="66" t="str">
        <f ca="1">IF($N$78&lt;&gt;"", INDIRECT("'Tracker'!"&amp;ADDRESS(MATCH($N$78, Tracker[Anime Name], 0) + 2, 5)), "")</f>
        <v>720p</v>
      </c>
      <c r="S78" s="66" t="str">
        <f ca="1">IF($N$78&lt;&gt;"", INDIRECT("'Tracker'!"&amp;ADDRESS(MATCH($N$78, Tracker[Anime Name], 0) + 2, 6)), "")</f>
        <v>BD</v>
      </c>
      <c r="T78" s="66" t="str">
        <f ca="1">IF($N$78&lt;&gt;"", INDIRECT("'Tracker'!"&amp;ADDRESS(MATCH($N$78, Tracker[Anime Name], 0) + 2, 7)), "")</f>
        <v>2011B</v>
      </c>
      <c r="U78" s="72" t="str">
        <f ca="1">IF($N$78&lt;&gt;"", INDIRECT("'Tracker'!"&amp;ADDRESS(MATCH($N$78, Tracker[Anime Name], 0) + 2, 8)), "")</f>
        <v>Coalgirls, Shikkaku</v>
      </c>
      <c r="V78" s="109">
        <f>IF(Completed!$C$77&lt;&gt;"",Completed!$C$77,"")</f>
        <v>7.5</v>
      </c>
      <c r="W78" s="109">
        <f>IF(Completed!$D$77&lt;&gt;"",Completed!$D$77,"")</f>
        <v>7.5</v>
      </c>
      <c r="X78" s="109">
        <f>IF(Completed!$E$77&lt;&gt;"",Completed!$E$77,"")</f>
        <v>9.5</v>
      </c>
      <c r="Y78" s="109">
        <f>IF(Completed!$F$77&lt;&gt;"",Completed!$F$77,"")</f>
        <v>8</v>
      </c>
      <c r="Z78" s="125">
        <f>IF(Completed!$G$77&lt;&gt;"",Completed!$G$77,"")</f>
        <v>7.8454773869346734</v>
      </c>
      <c r="AA78" s="136">
        <f>IF(Completed!$H$77&lt;&gt;"",Completed!$H$77,"")</f>
        <v>7.1498234403901124</v>
      </c>
      <c r="AB78" s="110">
        <f>IF(Completed!$I$77&lt;&gt;"",Completed!$I$77,"")</f>
        <v>41453</v>
      </c>
      <c r="AC78" s="110">
        <f>IF(Completed!$J$77&lt;&gt;"",Completed!$J$77,"")</f>
        <v>41456</v>
      </c>
      <c r="AD78" s="126" t="str">
        <f>IF(Completed!$K$77&lt;&gt;"",Completed!$K$77,"")</f>
        <v>Hakamada Hinata</v>
      </c>
      <c r="AE78" s="127" t="str">
        <f>IF(Completed!$L$77&lt;&gt;"",Completed!$L$77,"")</f>
        <v/>
      </c>
    </row>
    <row r="79" spans="1:31">
      <c r="A79" s="163"/>
      <c r="B79" s="164"/>
      <c r="C79" s="164"/>
      <c r="D79" s="164"/>
      <c r="E79" s="164"/>
      <c r="F79" s="164"/>
      <c r="G79" s="164"/>
      <c r="H79" s="164"/>
      <c r="J79" s="65" t="str">
        <f>IF(Backlog!$A$78&lt;&gt;"",Backlog!$A$78,"")</f>
        <v/>
      </c>
      <c r="K79" s="72" t="str">
        <f>IF(Backlog!$B$78&lt;&gt;"",Backlog!$B$78,"")</f>
        <v/>
      </c>
      <c r="L79" s="123" t="str">
        <f>IF(Backlog!$C$78&lt;&gt;"",Backlog!$C$78,"")</f>
        <v/>
      </c>
      <c r="N79" s="65" t="str">
        <f>IF(Completed!$A$78&lt;&gt;"",Completed!$A$78,"")</f>
        <v>Inari, Konkon, Koi Iroha.</v>
      </c>
      <c r="O79" s="72">
        <f>IF(Completed!$B$78&lt;&gt;"",Completed!$B$78,"")</f>
        <v>1</v>
      </c>
      <c r="P79" s="72">
        <f ca="1">IF($N$79&lt;&gt;"", INDIRECT("'Tracker'!"&amp;ADDRESS(MATCH($N$79, Tracker[Anime Name], 0) + 2, 3)), "")</f>
        <v>10</v>
      </c>
      <c r="Q79" s="66" t="str">
        <f ca="1">IF($N$79&lt;&gt;"", INDIRECT("'Tracker'!"&amp;ADDRESS(MATCH($N$79, Tracker[Anime Name], 0) + 2, 4)), "")</f>
        <v>A</v>
      </c>
      <c r="R79" s="66" t="str">
        <f ca="1">IF($N$79&lt;&gt;"", INDIRECT("'Tracker'!"&amp;ADDRESS(MATCH($N$79, Tracker[Anime Name], 0) + 2, 5)), "")</f>
        <v>720p</v>
      </c>
      <c r="S79" s="66" t="str">
        <f ca="1">IF($N$79&lt;&gt;"", INDIRECT("'Tracker'!"&amp;ADDRESS(MATCH($N$79, Tracker[Anime Name], 0) + 2, 6)), "")</f>
        <v>TV</v>
      </c>
      <c r="T79" s="66" t="str">
        <f ca="1">IF($N$79&lt;&gt;"", INDIRECT("'Tracker'!"&amp;ADDRESS(MATCH($N$79, Tracker[Anime Name], 0) + 2, 7)), "")</f>
        <v>2013D</v>
      </c>
      <c r="U79" s="72" t="str">
        <f ca="1">IF($N$79&lt;&gt;"", INDIRECT("'Tracker'!"&amp;ADDRESS(MATCH($N$79, Tracker[Anime Name], 0) + 2, 8)), "")</f>
        <v>Vivid</v>
      </c>
      <c r="V79" s="109">
        <f>IF(Completed!$C$78&lt;&gt;"",Completed!$C$78,"")</f>
        <v>7.5</v>
      </c>
      <c r="W79" s="109">
        <f>IF(Completed!$D$78&lt;&gt;"",Completed!$D$78,"")</f>
        <v>8</v>
      </c>
      <c r="X79" s="109">
        <f>IF(Completed!$E$78&lt;&gt;"",Completed!$E$78,"")</f>
        <v>6</v>
      </c>
      <c r="Y79" s="109">
        <f>IF(Completed!$F$78&lt;&gt;"",Completed!$F$78,"")</f>
        <v>8</v>
      </c>
      <c r="Z79" s="125">
        <f>IF(Completed!$G$78&lt;&gt;"",Completed!$G$78,"")</f>
        <v>7.8128140703517586</v>
      </c>
      <c r="AA79" s="136">
        <f>IF(Completed!$H$78&lt;&gt;"",Completed!$H$78,"")</f>
        <v>7.1061039179418186</v>
      </c>
      <c r="AB79" s="110">
        <f>IF(Completed!$I$78&lt;&gt;"",Completed!$I$78,"")</f>
        <v>41661</v>
      </c>
      <c r="AC79" s="110">
        <f>IF(Completed!$J$78&lt;&gt;"",Completed!$J$78,"")</f>
        <v>41722</v>
      </c>
      <c r="AD79" s="126" t="str">
        <f>IF(Completed!$K$78&lt;&gt;"",Completed!$K$78,"")</f>
        <v>Sanjou Keiko</v>
      </c>
      <c r="AE79" s="127" t="str">
        <f>IF(Completed!$L$78&lt;&gt;"",Completed!$L$78,"")</f>
        <v/>
      </c>
    </row>
    <row r="80" spans="1:31">
      <c r="A80" s="163"/>
      <c r="B80" s="164"/>
      <c r="C80" s="164"/>
      <c r="D80" s="164"/>
      <c r="E80" s="164"/>
      <c r="F80" s="164"/>
      <c r="G80" s="164"/>
      <c r="H80" s="164"/>
      <c r="J80" s="65" t="str">
        <f>IF(Backlog!$A$79&lt;&gt;"",Backlog!$A$79,"")</f>
        <v/>
      </c>
      <c r="K80" s="72" t="str">
        <f>IF(Backlog!$B$79&lt;&gt;"",Backlog!$B$79,"")</f>
        <v/>
      </c>
      <c r="L80" s="123" t="str">
        <f>IF(Backlog!$C$79&lt;&gt;"",Backlog!$C$79,"")</f>
        <v/>
      </c>
      <c r="N80" s="65" t="str">
        <f>IF(Completed!$A$79&lt;&gt;"",Completed!$A$79,"")</f>
        <v>Danshi Koukousei no Nichijou</v>
      </c>
      <c r="O80" s="72">
        <f>IF(Completed!$B$79&lt;&gt;"",Completed!$B$79,"")</f>
        <v>1</v>
      </c>
      <c r="P80" s="72">
        <f ca="1">IF($N$80&lt;&gt;"", INDIRECT("'Tracker'!"&amp;ADDRESS(MATCH($N$80, Tracker[Anime Name], 0) + 2, 3)), "")</f>
        <v>12</v>
      </c>
      <c r="Q80" s="66" t="str">
        <f ca="1">IF($N$80&lt;&gt;"", INDIRECT("'Tracker'!"&amp;ADDRESS(MATCH($N$80, Tracker[Anime Name], 0) + 2, 4)), "")</f>
        <v>A</v>
      </c>
      <c r="R80" s="66" t="str">
        <f ca="1">IF($N$80&lt;&gt;"", INDIRECT("'Tracker'!"&amp;ADDRESS(MATCH($N$80, Tracker[Anime Name], 0) + 2, 5)), "")</f>
        <v>720p</v>
      </c>
      <c r="S80" s="66" t="str">
        <f ca="1">IF($N$80&lt;&gt;"", INDIRECT("'Tracker'!"&amp;ADDRESS(MATCH($N$80, Tracker[Anime Name], 0) + 2, 6)), "")</f>
        <v>BD</v>
      </c>
      <c r="T80" s="66" t="str">
        <f ca="1">IF($N$80&lt;&gt;"", INDIRECT("'Tracker'!"&amp;ADDRESS(MATCH($N$80, Tracker[Anime Name], 0) + 2, 7)), "")</f>
        <v>2011D</v>
      </c>
      <c r="U80" s="72" t="str">
        <f ca="1">IF($N$80&lt;&gt;"", INDIRECT("'Tracker'!"&amp;ADDRESS(MATCH($N$80, Tracker[Anime Name], 0) + 2, 8)), "")</f>
        <v>AnimeNOW</v>
      </c>
      <c r="V80" s="109">
        <f>IF(Completed!$C$79&lt;&gt;"",Completed!$C$79,"")</f>
        <v>4</v>
      </c>
      <c r="W80" s="109">
        <f>IF(Completed!$D$79&lt;&gt;"",Completed!$D$79,"")</f>
        <v>8</v>
      </c>
      <c r="X80" s="109">
        <f>IF(Completed!$E$79&lt;&gt;"",Completed!$E$79,"")</f>
        <v>3</v>
      </c>
      <c r="Y80" s="109">
        <f>IF(Completed!$F$79&lt;&gt;"",Completed!$F$79,"")</f>
        <v>9.5</v>
      </c>
      <c r="Z80" s="125">
        <f>IF(Completed!$G$79&lt;&gt;"",Completed!$G$79,"")</f>
        <v>7.7776381909547743</v>
      </c>
      <c r="AA80" s="136">
        <f>IF(Completed!$H$79&lt;&gt;"",Completed!$H$79,"")</f>
        <v>7.0590213553051964</v>
      </c>
      <c r="AB80" s="110">
        <f>IF(Completed!$I$79&lt;&gt;"",Completed!$I$79,"")</f>
        <v>41443</v>
      </c>
      <c r="AC80" s="110">
        <f>IF(Completed!$J$79&lt;&gt;"",Completed!$J$79,"")</f>
        <v>41444</v>
      </c>
      <c r="AD80" s="126" t="str">
        <f>IF(Completed!$K$79&lt;&gt;"",Completed!$K$79,"")</f>
        <v>Literary Girl</v>
      </c>
      <c r="AE80" s="127" t="str">
        <f>IF(Completed!$L$79&lt;&gt;"",Completed!$L$79,"")</f>
        <v/>
      </c>
    </row>
    <row r="81" spans="10:31">
      <c r="J81" s="65" t="str">
        <f>IF(Backlog!$A$80&lt;&gt;"",Backlog!$A$80,"")</f>
        <v/>
      </c>
      <c r="K81" s="72" t="str">
        <f>IF(Backlog!$B$80&lt;&gt;"",Backlog!$B$80,"")</f>
        <v/>
      </c>
      <c r="L81" s="123" t="str">
        <f>IF(Backlog!$C$80&lt;&gt;"",Backlog!$C$80,"")</f>
        <v/>
      </c>
      <c r="N81" s="65" t="str">
        <f>IF(Completed!$A$80&lt;&gt;"",Completed!$A$80,"")</f>
        <v>Yosuga no Sora</v>
      </c>
      <c r="O81" s="72">
        <f>IF(Completed!$B$80&lt;&gt;"",Completed!$B$80,"")</f>
        <v>1</v>
      </c>
      <c r="P81" s="72">
        <f ca="1">IF($N$81&lt;&gt;"", INDIRECT("'Tracker'!"&amp;ADDRESS(MATCH($N$81, Tracker[Anime Name], 0) + 2, 3)), "")</f>
        <v>12</v>
      </c>
      <c r="Q81" s="66" t="str">
        <f ca="1">IF($N$81&lt;&gt;"", INDIRECT("'Tracker'!"&amp;ADDRESS(MATCH($N$81, Tracker[Anime Name], 0) + 2, 4)), "")</f>
        <v>A</v>
      </c>
      <c r="R81" s="66" t="str">
        <f ca="1">IF($N$81&lt;&gt;"", INDIRECT("'Tracker'!"&amp;ADDRESS(MATCH($N$81, Tracker[Anime Name], 0) + 2, 5)), "")</f>
        <v>720p</v>
      </c>
      <c r="S81" s="66" t="str">
        <f ca="1">IF($N$81&lt;&gt;"", INDIRECT("'Tracker'!"&amp;ADDRESS(MATCH($N$81, Tracker[Anime Name], 0) + 2, 6)), "")</f>
        <v>BD</v>
      </c>
      <c r="T81" s="66" t="str">
        <f ca="1">IF($N$81&lt;&gt;"", INDIRECT("'Tracker'!"&amp;ADDRESS(MATCH($N$81, Tracker[Anime Name], 0) + 2, 7)), "")</f>
        <v>2010C</v>
      </c>
      <c r="U81" s="72" t="str">
        <f ca="1">IF($N$81&lt;&gt;"", INDIRECT("'Tracker'!"&amp;ADDRESS(MATCH($N$81, Tracker[Anime Name], 0) + 2, 8)), "")</f>
        <v>Coalgirls, UTW, Ryuumaru</v>
      </c>
      <c r="V81" s="109">
        <f>IF(Completed!$C$80&lt;&gt;"",Completed!$C$80,"")</f>
        <v>7</v>
      </c>
      <c r="W81" s="109">
        <f>IF(Completed!$D$80&lt;&gt;"",Completed!$D$80,"")</f>
        <v>8</v>
      </c>
      <c r="X81" s="109">
        <f>IF(Completed!$E$80&lt;&gt;"",Completed!$E$80,"")</f>
        <v>7</v>
      </c>
      <c r="Y81" s="109">
        <f>IF(Completed!$F$80&lt;&gt;"",Completed!$F$80,"")</f>
        <v>8</v>
      </c>
      <c r="Z81" s="125">
        <f>IF(Completed!$G$80&lt;&gt;"",Completed!$G$80,"")</f>
        <v>7.7688442211055282</v>
      </c>
      <c r="AA81" s="136">
        <f>IF(Completed!$H$80&lt;&gt;"",Completed!$H$80,"")</f>
        <v>7.0472507146460401</v>
      </c>
      <c r="AB81" s="110">
        <f>IF(Completed!$I$80&lt;&gt;"",Completed!$I$80,"")</f>
        <v>41457</v>
      </c>
      <c r="AC81" s="110">
        <f>IF(Completed!$J$80&lt;&gt;"",Completed!$J$80,"")</f>
        <v>41463</v>
      </c>
      <c r="AD81" s="126" t="str">
        <f>IF(Completed!$K$80&lt;&gt;"",Completed!$K$80,"")</f>
        <v>Kasugano Sora</v>
      </c>
      <c r="AE81" s="127" t="str">
        <f>IF(Completed!$L$80&lt;&gt;"",Completed!$L$80,"")</f>
        <v/>
      </c>
    </row>
    <row r="82" spans="10:31">
      <c r="J82" s="65" t="str">
        <f>IF(Backlog!$A$81&lt;&gt;"",Backlog!$A$81,"")</f>
        <v/>
      </c>
      <c r="K82" s="72" t="str">
        <f>IF(Backlog!$B$81&lt;&gt;"",Backlog!$B$81,"")</f>
        <v/>
      </c>
      <c r="L82" s="123" t="str">
        <f>IF(Backlog!$C$81&lt;&gt;"",Backlog!$C$81,"")</f>
        <v/>
      </c>
      <c r="N82" s="65" t="str">
        <f>IF(Completed!$A$81&lt;&gt;"",Completed!$A$81,"")</f>
        <v>D-Frag!</v>
      </c>
      <c r="O82" s="72">
        <f>IF(Completed!$B$81&lt;&gt;"",Completed!$B$81,"")</f>
        <v>1</v>
      </c>
      <c r="P82" s="72">
        <f ca="1">IF($N$82&lt;&gt;"", INDIRECT("'Tracker'!"&amp;ADDRESS(MATCH($N$82, Tracker[Anime Name], 0) + 2, 3)), "")</f>
        <v>12</v>
      </c>
      <c r="Q82" s="66" t="str">
        <f ca="1">IF($N$82&lt;&gt;"", INDIRECT("'Tracker'!"&amp;ADDRESS(MATCH($N$82, Tracker[Anime Name], 0) + 2, 4)), "")</f>
        <v>B</v>
      </c>
      <c r="R82" s="66" t="str">
        <f ca="1">IF($N$82&lt;&gt;"", INDIRECT("'Tracker'!"&amp;ADDRESS(MATCH($N$82, Tracker[Anime Name], 0) + 2, 5)), "")</f>
        <v>720p</v>
      </c>
      <c r="S82" s="66" t="str">
        <f ca="1">IF($N$82&lt;&gt;"", INDIRECT("'Tracker'!"&amp;ADDRESS(MATCH($N$82, Tracker[Anime Name], 0) + 2, 6)), "")</f>
        <v>TV</v>
      </c>
      <c r="T82" s="66" t="str">
        <f ca="1">IF($N$82&lt;&gt;"", INDIRECT("'Tracker'!"&amp;ADDRESS(MATCH($N$82, Tracker[Anime Name], 0) + 2, 7)), "")</f>
        <v>2013D</v>
      </c>
      <c r="U82" s="72" t="str">
        <f ca="1">IF($N$82&lt;&gt;"", INDIRECT("'Tracker'!"&amp;ADDRESS(MATCH($N$82, Tracker[Anime Name], 0) + 2, 8)), "")</f>
        <v>Vivid</v>
      </c>
      <c r="V82" s="109">
        <f>IF(Completed!$C$81&lt;&gt;"",Completed!$C$81,"")</f>
        <v>7.5</v>
      </c>
      <c r="W82" s="109">
        <f>IF(Completed!$D$81&lt;&gt;"",Completed!$D$81,"")</f>
        <v>8</v>
      </c>
      <c r="X82" s="109">
        <f>IF(Completed!$E$81&lt;&gt;"",Completed!$E$81,"")</f>
        <v>5</v>
      </c>
      <c r="Y82" s="109">
        <f>IF(Completed!$F$81&lt;&gt;"",Completed!$F$81,"")</f>
        <v>8</v>
      </c>
      <c r="Z82" s="125">
        <f>IF(Completed!$G$81&lt;&gt;"",Completed!$G$81,"")</f>
        <v>7.7650753768844227</v>
      </c>
      <c r="AA82" s="136">
        <f>IF(Completed!$H$81&lt;&gt;"",Completed!$H$81,"")</f>
        <v>7.0422061543635452</v>
      </c>
      <c r="AB82" s="110">
        <f>IF(Completed!$I$81&lt;&gt;"",Completed!$I$81,"")</f>
        <v>41648</v>
      </c>
      <c r="AC82" s="110">
        <f>IF(Completed!$J$81&lt;&gt;"",Completed!$J$81,"")</f>
        <v>41746</v>
      </c>
      <c r="AD82" s="126" t="str">
        <f>IF(Completed!$K$81&lt;&gt;"",Completed!$K$81,"")</f>
        <v>Shibasaki Roka</v>
      </c>
      <c r="AE82" s="127" t="str">
        <f>IF(Completed!$L$81&lt;&gt;"",Completed!$L$81,"")</f>
        <v/>
      </c>
    </row>
    <row r="83" spans="10:31">
      <c r="J83" s="65" t="str">
        <f>IF(Backlog!$A$82&lt;&gt;"",Backlog!$A$82,"")</f>
        <v/>
      </c>
      <c r="K83" s="72" t="str">
        <f>IF(Backlog!$B$82&lt;&gt;"",Backlog!$B$82,"")</f>
        <v/>
      </c>
      <c r="L83" s="123" t="str">
        <f>IF(Backlog!$C$82&lt;&gt;"",Backlog!$C$82,"")</f>
        <v/>
      </c>
      <c r="N83" s="65" t="str">
        <f>IF(Completed!$A$82&lt;&gt;"",Completed!$A$82,"")</f>
        <v>Kiniro Mosaic</v>
      </c>
      <c r="O83" s="72">
        <f>IF(Completed!$B$82&lt;&gt;"",Completed!$B$82,"")</f>
        <v>1</v>
      </c>
      <c r="P83" s="72">
        <f ca="1">IF($N$83&lt;&gt;"", INDIRECT("'Tracker'!"&amp;ADDRESS(MATCH($N$83, Tracker[Anime Name], 0) + 2, 3)), "")</f>
        <v>12</v>
      </c>
      <c r="Q83" s="66" t="str">
        <f ca="1">IF($N$83&lt;&gt;"", INDIRECT("'Tracker'!"&amp;ADDRESS(MATCH($N$83, Tracker[Anime Name], 0) + 2, 4)), "")</f>
        <v>A</v>
      </c>
      <c r="R83" s="66" t="str">
        <f ca="1">IF($N$83&lt;&gt;"", INDIRECT("'Tracker'!"&amp;ADDRESS(MATCH($N$83, Tracker[Anime Name], 0) + 2, 5)), "")</f>
        <v>1080p</v>
      </c>
      <c r="S83" s="66" t="str">
        <f ca="1">IF($N$83&lt;&gt;"", INDIRECT("'Tracker'!"&amp;ADDRESS(MATCH($N$83, Tracker[Anime Name], 0) + 2, 6)), "")</f>
        <v>BD</v>
      </c>
      <c r="T83" s="66" t="str">
        <f ca="1">IF($N$83&lt;&gt;"", INDIRECT("'Tracker'!"&amp;ADDRESS(MATCH($N$83, Tracker[Anime Name], 0) + 2, 7)), "")</f>
        <v>2013B</v>
      </c>
      <c r="U83" s="72" t="str">
        <f ca="1">IF($N$83&lt;&gt;"", INDIRECT("'Tracker'!"&amp;ADDRESS(MATCH($N$83, Tracker[Anime Name], 0) + 2, 8)), "")</f>
        <v>Doki</v>
      </c>
      <c r="V83" s="109">
        <f>IF(Completed!$C$82&lt;&gt;"",Completed!$C$82,"")</f>
        <v>3.5</v>
      </c>
      <c r="W83" s="109">
        <f>IF(Completed!$D$82&lt;&gt;"",Completed!$D$82,"")</f>
        <v>8</v>
      </c>
      <c r="X83" s="109">
        <f>IF(Completed!$E$82&lt;&gt;"",Completed!$E$82,"")</f>
        <v>9.5</v>
      </c>
      <c r="Y83" s="109">
        <f>IF(Completed!$F$82&lt;&gt;"",Completed!$F$82,"")</f>
        <v>9</v>
      </c>
      <c r="Z83" s="125">
        <f>IF(Completed!$G$82&lt;&gt;"",Completed!$G$82,"")</f>
        <v>7.7462311557788937</v>
      </c>
      <c r="AA83" s="136">
        <f>IF(Completed!$H$82&lt;&gt;"",Completed!$H$82,"")</f>
        <v>7.0169833529510663</v>
      </c>
      <c r="AB83" s="110">
        <f>IF(Completed!$I$82&lt;&gt;"",Completed!$I$82,"")</f>
        <v>41462</v>
      </c>
      <c r="AC83" s="110">
        <f>IF(Completed!$J$82&lt;&gt;"",Completed!$J$82,"")</f>
        <v>41538</v>
      </c>
      <c r="AD83" s="126" t="str">
        <f>IF(Completed!$K$82&lt;&gt;"",Completed!$K$82,"")</f>
        <v>Komichi Aya</v>
      </c>
      <c r="AE83" s="127" t="str">
        <f>IF(Completed!$L$82&lt;&gt;"",Completed!$L$82,"")</f>
        <v/>
      </c>
    </row>
    <row r="84" spans="10:31">
      <c r="J84" s="65" t="str">
        <f>IF(Backlog!$A$83&lt;&gt;"",Backlog!$A$83,"")</f>
        <v/>
      </c>
      <c r="K84" s="72" t="str">
        <f>IF(Backlog!$B$83&lt;&gt;"",Backlog!$B$83,"")</f>
        <v/>
      </c>
      <c r="L84" s="123" t="str">
        <f>IF(Backlog!$C$83&lt;&gt;"",Backlog!$C$83,"")</f>
        <v/>
      </c>
      <c r="N84" s="65" t="str">
        <f>IF(Completed!$A$83&lt;&gt;"",Completed!$A$83,"")</f>
        <v>Nichijou</v>
      </c>
      <c r="O84" s="72">
        <f>IF(Completed!$B$83&lt;&gt;"",Completed!$B$83,"")</f>
        <v>1</v>
      </c>
      <c r="P84" s="72">
        <f ca="1">IF($N$84&lt;&gt;"", INDIRECT("'Tracker'!"&amp;ADDRESS(MATCH($N$84, Tracker[Anime Name], 0) + 2, 3)), "")</f>
        <v>26</v>
      </c>
      <c r="Q84" s="66" t="str">
        <f ca="1">IF($N$84&lt;&gt;"", INDIRECT("'Tracker'!"&amp;ADDRESS(MATCH($N$84, Tracker[Anime Name], 0) + 2, 4)), "")</f>
        <v>A</v>
      </c>
      <c r="R84" s="66">
        <f ca="1">IF($N$84&lt;&gt;"", INDIRECT("'Tracker'!"&amp;ADDRESS(MATCH($N$84, Tracker[Anime Name], 0) + 2, 5)), "")</f>
        <v>0</v>
      </c>
      <c r="S84" s="66" t="str">
        <f ca="1">IF($N$84&lt;&gt;"", INDIRECT("'Tracker'!"&amp;ADDRESS(MATCH($N$84, Tracker[Anime Name], 0) + 2, 6)), "")</f>
        <v>BD</v>
      </c>
      <c r="T84" s="66" t="str">
        <f ca="1">IF($N$84&lt;&gt;"", INDIRECT("'Tracker'!"&amp;ADDRESS(MATCH($N$84, Tracker[Anime Name], 0) + 2, 7)), "")</f>
        <v>2011A</v>
      </c>
      <c r="U84" s="72" t="str">
        <f ca="1">IF($N$84&lt;&gt;"", INDIRECT("'Tracker'!"&amp;ADDRESS(MATCH($N$84, Tracker[Anime Name], 0) + 2, 8)), "")</f>
        <v>Doki</v>
      </c>
      <c r="V84" s="109">
        <f>IF(Completed!$C$83&lt;&gt;"",Completed!$C$83,"")</f>
        <v>2</v>
      </c>
      <c r="W84" s="109">
        <f>IF(Completed!$D$83&lt;&gt;"",Completed!$D$83,"")</f>
        <v>8.5</v>
      </c>
      <c r="X84" s="109">
        <f>IF(Completed!$E$83&lt;&gt;"",Completed!$E$83,"")</f>
        <v>7</v>
      </c>
      <c r="Y84" s="109">
        <f>IF(Completed!$F$83&lt;&gt;"",Completed!$F$83,"")</f>
        <v>9.5</v>
      </c>
      <c r="Z84" s="125">
        <f>IF(Completed!$G$83&lt;&gt;"",Completed!$G$83,"")</f>
        <v>7.7361809045226133</v>
      </c>
      <c r="AA84" s="136">
        <f>IF(Completed!$H$83&lt;&gt;"",Completed!$H$83,"")</f>
        <v>7.0035311921977463</v>
      </c>
      <c r="AB84" s="110">
        <f>IF(Completed!$I$83&lt;&gt;"",Completed!$I$83,"")</f>
        <v>41291</v>
      </c>
      <c r="AC84" s="110">
        <f>IF(Completed!$J$83&lt;&gt;"",Completed!$J$83,"")</f>
        <v>41298</v>
      </c>
      <c r="AD84" s="126" t="str">
        <f>IF(Completed!$K$83&lt;&gt;"",Completed!$K$83,"")</f>
        <v>Minakami Mai</v>
      </c>
      <c r="AE84" s="127" t="str">
        <f>IF(Completed!$L$83&lt;&gt;"",Completed!$L$83,"")</f>
        <v>The ultimate slice of life. Pretty funny, but art style bothers me</v>
      </c>
    </row>
    <row r="85" spans="10:31">
      <c r="J85" s="65" t="str">
        <f>IF(Backlog!$A$84&lt;&gt;"",Backlog!$A$84,"")</f>
        <v/>
      </c>
      <c r="K85" s="72" t="str">
        <f>IF(Backlog!$B$84&lt;&gt;"",Backlog!$B$84,"")</f>
        <v/>
      </c>
      <c r="L85" s="123" t="str">
        <f>IF(Backlog!$C$84&lt;&gt;"",Backlog!$C$84,"")</f>
        <v/>
      </c>
      <c r="N85" s="65" t="str">
        <f>IF(Completed!$A$84&lt;&gt;"",Completed!$A$84,"")</f>
        <v>Coppelion</v>
      </c>
      <c r="O85" s="72">
        <f>IF(Completed!$B$84&lt;&gt;"",Completed!$B$84,"")</f>
        <v>1</v>
      </c>
      <c r="P85" s="72">
        <f ca="1">IF($N$85&lt;&gt;"", INDIRECT("'Tracker'!"&amp;ADDRESS(MATCH($N$85, Tracker[Anime Name], 0) + 2, 3)), "")</f>
        <v>13</v>
      </c>
      <c r="Q85" s="66" t="str">
        <f ca="1">IF($N$85&lt;&gt;"", INDIRECT("'Tracker'!"&amp;ADDRESS(MATCH($N$85, Tracker[Anime Name], 0) + 2, 4)), "")</f>
        <v>A</v>
      </c>
      <c r="R85" s="66" t="str">
        <f ca="1">IF($N$85&lt;&gt;"", INDIRECT("'Tracker'!"&amp;ADDRESS(MATCH($N$85, Tracker[Anime Name], 0) + 2, 5)), "")</f>
        <v>720p</v>
      </c>
      <c r="S85" s="66" t="str">
        <f ca="1">IF($N$85&lt;&gt;"", INDIRECT("'Tracker'!"&amp;ADDRESS(MATCH($N$85, Tracker[Anime Name], 0) + 2, 6)), "")</f>
        <v>Web</v>
      </c>
      <c r="T85" s="66" t="str">
        <f ca="1">IF($N$85&lt;&gt;"", INDIRECT("'Tracker'!"&amp;ADDRESS(MATCH($N$85, Tracker[Anime Name], 0) + 2, 7)), "")</f>
        <v>2013C</v>
      </c>
      <c r="U85" s="72" t="str">
        <f ca="1">IF($N$85&lt;&gt;"", INDIRECT("'Tracker'!"&amp;ADDRESS(MATCH($N$85, Tracker[Anime Name], 0) + 2, 8)), "")</f>
        <v>HorribleSubs</v>
      </c>
      <c r="V85" s="109">
        <f>IF(Completed!$C$84&lt;&gt;"",Completed!$C$84,"")</f>
        <v>8.5</v>
      </c>
      <c r="W85" s="109">
        <f>IF(Completed!$D$84&lt;&gt;"",Completed!$D$84,"")</f>
        <v>7.5</v>
      </c>
      <c r="X85" s="109">
        <f>IF(Completed!$E$84&lt;&gt;"",Completed!$E$84,"")</f>
        <v>2</v>
      </c>
      <c r="Y85" s="109">
        <f>IF(Completed!$F$84&lt;&gt;"",Completed!$F$84,"")</f>
        <v>8</v>
      </c>
      <c r="Z85" s="125">
        <f>IF(Completed!$G$84&lt;&gt;"",Completed!$G$84,"")</f>
        <v>7.6708542713567844</v>
      </c>
      <c r="AA85" s="136">
        <f>IF(Completed!$H$84&lt;&gt;"",Completed!$H$84,"")</f>
        <v>6.9160921473011605</v>
      </c>
      <c r="AB85" s="110">
        <f>IF(Completed!$I$84&lt;&gt;"",Completed!$I$84,"")</f>
        <v>41555</v>
      </c>
      <c r="AC85" s="110">
        <f>IF(Completed!$J$84&lt;&gt;"",Completed!$J$84,"")</f>
        <v>41634</v>
      </c>
      <c r="AD85" s="126" t="str">
        <f>IF(Completed!$K$84&lt;&gt;"",Completed!$K$84,"")</f>
        <v>Nomura Taeko</v>
      </c>
      <c r="AE85" s="127" t="str">
        <f>IF(Completed!$L$84&lt;&gt;"",Completed!$L$84,"")</f>
        <v>Despite a few plot holes, it was pretty good overall</v>
      </c>
    </row>
    <row r="86" spans="10:31">
      <c r="J86" s="65" t="str">
        <f>IF(Backlog!$A$85&lt;&gt;"",Backlog!$A$85,"")</f>
        <v/>
      </c>
      <c r="K86" s="72" t="str">
        <f>IF(Backlog!$B$85&lt;&gt;"",Backlog!$B$85,"")</f>
        <v/>
      </c>
      <c r="L86" s="123" t="str">
        <f>IF(Backlog!$C$85&lt;&gt;"",Backlog!$C$85,"")</f>
        <v/>
      </c>
      <c r="N86" s="65" t="str">
        <f>IF(Completed!$A$85&lt;&gt;"",Completed!$A$85,"")</f>
        <v>Chuunibyou demo Koi ga Shitai! Ren</v>
      </c>
      <c r="O86" s="72">
        <f>IF(Completed!$B$85&lt;&gt;"",Completed!$B$85,"")</f>
        <v>2</v>
      </c>
      <c r="P86" s="72">
        <f ca="1">IF($N$86&lt;&gt;"", INDIRECT("'Tracker'!"&amp;ADDRESS(MATCH($N$86, Tracker[Anime Name], 0) + 2, 3)), "")</f>
        <v>12</v>
      </c>
      <c r="Q86" s="66" t="str">
        <f ca="1">IF($N$86&lt;&gt;"", INDIRECT("'Tracker'!"&amp;ADDRESS(MATCH($N$86, Tracker[Anime Name], 0) + 2, 4)), "")</f>
        <v>A</v>
      </c>
      <c r="R86" s="66" t="str">
        <f ca="1">IF($N$86&lt;&gt;"", INDIRECT("'Tracker'!"&amp;ADDRESS(MATCH($N$86, Tracker[Anime Name], 0) + 2, 5)), "")</f>
        <v>720p</v>
      </c>
      <c r="S86" s="66" t="str">
        <f ca="1">IF($N$86&lt;&gt;"", INDIRECT("'Tracker'!"&amp;ADDRESS(MATCH($N$86, Tracker[Anime Name], 0) + 2, 6)), "")</f>
        <v>TV</v>
      </c>
      <c r="T86" s="66" t="str">
        <f ca="1">IF($N$86&lt;&gt;"", INDIRECT("'Tracker'!"&amp;ADDRESS(MATCH($N$86, Tracker[Anime Name], 0) + 2, 7)), "")</f>
        <v>2013D</v>
      </c>
      <c r="U86" s="72" t="str">
        <f ca="1">IF($N$86&lt;&gt;"", INDIRECT("'Tracker'!"&amp;ADDRESS(MATCH($N$86, Tracker[Anime Name], 0) + 2, 8)), "")</f>
        <v>FFF, UTW (FTW)</v>
      </c>
      <c r="V86" s="109">
        <f>IF(Completed!$C$85&lt;&gt;"",Completed!$C$85,"")</f>
        <v>8</v>
      </c>
      <c r="W86" s="109">
        <f>IF(Completed!$D$85&lt;&gt;"",Completed!$D$85,"")</f>
        <v>8</v>
      </c>
      <c r="X86" s="109">
        <f>IF(Completed!$E$85&lt;&gt;"",Completed!$E$85,"")</f>
        <v>6</v>
      </c>
      <c r="Y86" s="109">
        <f>IF(Completed!$F$85&lt;&gt;"",Completed!$F$85,"")</f>
        <v>7.5</v>
      </c>
      <c r="Z86" s="125">
        <f>IF(Completed!$G$85&lt;&gt;"",Completed!$G$85,"")</f>
        <v>7.6545226130653274</v>
      </c>
      <c r="AA86" s="136">
        <f>IF(Completed!$H$85&lt;&gt;"",Completed!$H$85,"")</f>
        <v>6.8942323860770145</v>
      </c>
      <c r="AB86" s="110">
        <f>IF(Completed!$I$85&lt;&gt;"",Completed!$I$85,"")</f>
        <v>41648</v>
      </c>
      <c r="AC86" s="110">
        <f>IF(Completed!$J$85&lt;&gt;"",Completed!$J$85,"")</f>
        <v>41730</v>
      </c>
      <c r="AD86" s="126" t="str">
        <f>IF(Completed!$K$85&lt;&gt;"",Completed!$K$85,"")</f>
        <v>Togashi Kuzuha</v>
      </c>
      <c r="AE86" s="127" t="str">
        <f>IF(Completed!$L$85&lt;&gt;"",Completed!$L$85,"")</f>
        <v/>
      </c>
    </row>
    <row r="87" spans="10:31">
      <c r="J87" s="65" t="str">
        <f>IF(Backlog!$A$86&lt;&gt;"",Backlog!$A$86,"")</f>
        <v/>
      </c>
      <c r="K87" s="72" t="str">
        <f>IF(Backlog!$B$86&lt;&gt;"",Backlog!$B$86,"")</f>
        <v/>
      </c>
      <c r="L87" s="123" t="str">
        <f>IF(Backlog!$C$86&lt;&gt;"",Backlog!$C$86,"")</f>
        <v/>
      </c>
      <c r="N87" s="65" t="str">
        <f>IF(Completed!$A$86&lt;&gt;"",Completed!$A$86,"")</f>
        <v>Chuunibyou demo Koi ga Shitai!</v>
      </c>
      <c r="O87" s="72">
        <f>IF(Completed!$B$86&lt;&gt;"",Completed!$B$86,"")</f>
        <v>1</v>
      </c>
      <c r="P87" s="72">
        <f ca="1">IF($N$87&lt;&gt;"", INDIRECT("'Tracker'!"&amp;ADDRESS(MATCH($N$87, Tracker[Anime Name], 0) + 2, 3)), "")</f>
        <v>12</v>
      </c>
      <c r="Q87" s="66" t="str">
        <f ca="1">IF($N$87&lt;&gt;"", INDIRECT("'Tracker'!"&amp;ADDRESS(MATCH($N$87, Tracker[Anime Name], 0) + 2, 4)), "")</f>
        <v>A</v>
      </c>
      <c r="R87" s="66" t="str">
        <f ca="1">IF($N$87&lt;&gt;"", INDIRECT("'Tracker'!"&amp;ADDRESS(MATCH($N$87, Tracker[Anime Name], 0) + 2, 5)), "")</f>
        <v>720p</v>
      </c>
      <c r="S87" s="66" t="str">
        <f ca="1">IF($N$87&lt;&gt;"", INDIRECT("'Tracker'!"&amp;ADDRESS(MATCH($N$87, Tracker[Anime Name], 0) + 2, 6)), "")</f>
        <v>TV</v>
      </c>
      <c r="T87" s="66" t="str">
        <f ca="1">IF($N$87&lt;&gt;"", INDIRECT("'Tracker'!"&amp;ADDRESS(MATCH($N$87, Tracker[Anime Name], 0) + 2, 7)), "")</f>
        <v>2012C</v>
      </c>
      <c r="U87" s="72" t="str">
        <f ca="1">IF($N$87&lt;&gt;"", INDIRECT("'Tracker'!"&amp;ADDRESS(MATCH($N$87, Tracker[Anime Name], 0) + 2, 8)), "")</f>
        <v>UTW, rori (URW)</v>
      </c>
      <c r="V87" s="109">
        <f>IF(Completed!$C$86&lt;&gt;"",Completed!$C$86,"")</f>
        <v>8</v>
      </c>
      <c r="W87" s="109">
        <f>IF(Completed!$D$86&lt;&gt;"",Completed!$D$86,"")</f>
        <v>7</v>
      </c>
      <c r="X87" s="109">
        <f>IF(Completed!$E$86&lt;&gt;"",Completed!$E$86,"")</f>
        <v>6</v>
      </c>
      <c r="Y87" s="109">
        <f>IF(Completed!$F$86&lt;&gt;"",Completed!$F$86,"")</f>
        <v>8</v>
      </c>
      <c r="Z87" s="125">
        <f>IF(Completed!$G$86&lt;&gt;"",Completed!$G$86,"")</f>
        <v>7.6356783919597992</v>
      </c>
      <c r="AA87" s="136">
        <f>IF(Completed!$H$86&lt;&gt;"",Completed!$H$86,"")</f>
        <v>6.8690095846645365</v>
      </c>
      <c r="AB87" s="110">
        <f>IF(Completed!$I$86&lt;&gt;"",Completed!$I$86,"")</f>
        <v>41251</v>
      </c>
      <c r="AC87" s="110">
        <f>IF(Completed!$J$86&lt;&gt;"",Completed!$J$86,"")</f>
        <v>41263</v>
      </c>
      <c r="AD87" s="126" t="str">
        <f>IF(Completed!$K$86&lt;&gt;"",Completed!$K$86,"")</f>
        <v>Takanashi Touka</v>
      </c>
      <c r="AE87" s="127" t="str">
        <f>IF(Completed!$L$86&lt;&gt;"",Completed!$L$86,"")</f>
        <v/>
      </c>
    </row>
    <row r="88" spans="10:31">
      <c r="J88" s="65" t="str">
        <f>IF(Backlog!$A$87&lt;&gt;"",Backlog!$A$87,"")</f>
        <v/>
      </c>
      <c r="K88" s="72" t="str">
        <f>IF(Backlog!$B$87&lt;&gt;"",Backlog!$B$87,"")</f>
        <v/>
      </c>
      <c r="L88" s="123" t="str">
        <f>IF(Backlog!$C$87&lt;&gt;"",Backlog!$C$87,"")</f>
        <v/>
      </c>
      <c r="N88" s="65" t="str">
        <f>IF(Completed!$A$87&lt;&gt;"",Completed!$A$87,"")</f>
        <v>Love Lab</v>
      </c>
      <c r="O88" s="72">
        <f>IF(Completed!$B$87&lt;&gt;"",Completed!$B$87,"")</f>
        <v>1</v>
      </c>
      <c r="P88" s="72">
        <f ca="1">IF($N$88&lt;&gt;"", INDIRECT("'Tracker'!"&amp;ADDRESS(MATCH($N$88, Tracker[Anime Name], 0) + 2, 3)), "")</f>
        <v>13</v>
      </c>
      <c r="Q88" s="66" t="str">
        <f ca="1">IF($N$88&lt;&gt;"", INDIRECT("'Tracker'!"&amp;ADDRESS(MATCH($N$88, Tracker[Anime Name], 0) + 2, 4)), "")</f>
        <v>A</v>
      </c>
      <c r="R88" s="66" t="str">
        <f ca="1">IF($N$88&lt;&gt;"", INDIRECT("'Tracker'!"&amp;ADDRESS(MATCH($N$88, Tracker[Anime Name], 0) + 2, 5)), "")</f>
        <v>720p</v>
      </c>
      <c r="S88" s="66" t="str">
        <f ca="1">IF($N$88&lt;&gt;"", INDIRECT("'Tracker'!"&amp;ADDRESS(MATCH($N$88, Tracker[Anime Name], 0) + 2, 6)), "")</f>
        <v>TV</v>
      </c>
      <c r="T88" s="66" t="str">
        <f ca="1">IF($N$88&lt;&gt;"", INDIRECT("'Tracker'!"&amp;ADDRESS(MATCH($N$88, Tracker[Anime Name], 0) + 2, 7)), "")</f>
        <v>2013B</v>
      </c>
      <c r="U88" s="72" t="str">
        <f ca="1">IF($N$88&lt;&gt;"", INDIRECT("'Tracker'!"&amp;ADDRESS(MATCH($N$88, Tracker[Anime Name], 0) + 2, 8)), "")</f>
        <v>FFF</v>
      </c>
      <c r="V88" s="109">
        <f>IF(Completed!$C$87&lt;&gt;"",Completed!$C$87,"")</f>
        <v>8</v>
      </c>
      <c r="W88" s="109">
        <f>IF(Completed!$D$87&lt;&gt;"",Completed!$D$87,"")</f>
        <v>8</v>
      </c>
      <c r="X88" s="109">
        <f>IF(Completed!$E$87&lt;&gt;"",Completed!$E$87,"")</f>
        <v>5.5</v>
      </c>
      <c r="Y88" s="109">
        <f>IF(Completed!$F$87&lt;&gt;"",Completed!$F$87,"")</f>
        <v>7.5</v>
      </c>
      <c r="Z88" s="125">
        <f>IF(Completed!$G$87&lt;&gt;"",Completed!$G$87,"")</f>
        <v>7.6306532663316586</v>
      </c>
      <c r="AA88" s="136">
        <f>IF(Completed!$H$87&lt;&gt;"",Completed!$H$87,"")</f>
        <v>6.862283504287876</v>
      </c>
      <c r="AB88" s="110">
        <f>IF(Completed!$I$87&lt;&gt;"",Completed!$I$87,"")</f>
        <v>41461</v>
      </c>
      <c r="AC88" s="110">
        <f>IF(Completed!$J$87&lt;&gt;"",Completed!$J$87,"")</f>
        <v>41546</v>
      </c>
      <c r="AD88" s="126" t="str">
        <f>IF(Completed!$K$87&lt;&gt;"",Completed!$K$87,"")</f>
        <v>Kurahashi Riko</v>
      </c>
      <c r="AE88" s="127" t="str">
        <f>IF(Completed!$L$87&lt;&gt;"",Completed!$L$87,"")</f>
        <v/>
      </c>
    </row>
    <row r="89" spans="10:31">
      <c r="J89" s="65" t="str">
        <f>IF(Backlog!$A$88&lt;&gt;"",Backlog!$A$88,"")</f>
        <v/>
      </c>
      <c r="K89" s="72" t="str">
        <f>IF(Backlog!$B$88&lt;&gt;"",Backlog!$B$88,"")</f>
        <v/>
      </c>
      <c r="L89" s="123" t="str">
        <f>IF(Backlog!$C$88&lt;&gt;"",Backlog!$C$88,"")</f>
        <v/>
      </c>
      <c r="N89" s="65" t="str">
        <f>IF(Completed!$A$88&lt;&gt;"",Completed!$A$88,"")</f>
        <v>Kotoura-san</v>
      </c>
      <c r="O89" s="72">
        <f>IF(Completed!$B$88&lt;&gt;"",Completed!$B$88,"")</f>
        <v>1</v>
      </c>
      <c r="P89" s="72">
        <f ca="1">IF($N$89&lt;&gt;"", INDIRECT("'Tracker'!"&amp;ADDRESS(MATCH($N$89, Tracker[Anime Name], 0) + 2, 3)), "")</f>
        <v>12</v>
      </c>
      <c r="Q89" s="66" t="str">
        <f ca="1">IF($N$89&lt;&gt;"", INDIRECT("'Tracker'!"&amp;ADDRESS(MATCH($N$89, Tracker[Anime Name], 0) + 2, 4)), "")</f>
        <v>A</v>
      </c>
      <c r="R89" s="66" t="str">
        <f ca="1">IF($N$89&lt;&gt;"", INDIRECT("'Tracker'!"&amp;ADDRESS(MATCH($N$89, Tracker[Anime Name], 0) + 2, 5)), "")</f>
        <v>720p</v>
      </c>
      <c r="S89" s="66" t="str">
        <f ca="1">IF($N$89&lt;&gt;"", INDIRECT("'Tracker'!"&amp;ADDRESS(MATCH($N$89, Tracker[Anime Name], 0) + 2, 6)), "")</f>
        <v>TV</v>
      </c>
      <c r="T89" s="66" t="str">
        <f ca="1">IF($N$89&lt;&gt;"", INDIRECT("'Tracker'!"&amp;ADDRESS(MATCH($N$89, Tracker[Anime Name], 0) + 2, 7)), "")</f>
        <v>2012D</v>
      </c>
      <c r="U89" s="72" t="str">
        <f ca="1">IF($N$89&lt;&gt;"", INDIRECT("'Tracker'!"&amp;ADDRESS(MATCH($N$89, Tracker[Anime Name], 0) + 2, 8)), "")</f>
        <v>HorribleSubs</v>
      </c>
      <c r="V89" s="109">
        <f>IF(Completed!$C$88&lt;&gt;"",Completed!$C$88,"")</f>
        <v>7</v>
      </c>
      <c r="W89" s="109">
        <f>IF(Completed!$D$88&lt;&gt;"",Completed!$D$88,"")</f>
        <v>7.5</v>
      </c>
      <c r="X89" s="109">
        <f>IF(Completed!$E$88&lt;&gt;"",Completed!$E$88,"")</f>
        <v>6.5</v>
      </c>
      <c r="Y89" s="109">
        <f>IF(Completed!$F$88&lt;&gt;"",Completed!$F$88,"")</f>
        <v>8</v>
      </c>
      <c r="Z89" s="125">
        <f>IF(Completed!$G$88&lt;&gt;"",Completed!$G$88,"")</f>
        <v>7.6105527638190953</v>
      </c>
      <c r="AA89" s="136">
        <f>IF(Completed!$H$88&lt;&gt;"",Completed!$H$88,"")</f>
        <v>6.8353791827812342</v>
      </c>
      <c r="AB89" s="110">
        <f>IF(Completed!$I$88&lt;&gt;"",Completed!$I$88,"")</f>
        <v>41430</v>
      </c>
      <c r="AC89" s="110">
        <f>IF(Completed!$J$88&lt;&gt;"",Completed!$J$88,"")</f>
        <v>41431</v>
      </c>
      <c r="AD89" s="126" t="str">
        <f>IF(Completed!$K$88&lt;&gt;"",Completed!$K$88,"")</f>
        <v>Haruka Kotoura</v>
      </c>
      <c r="AE89" s="127" t="str">
        <f>IF(Completed!$L$88&lt;&gt;"",Completed!$L$88,"")</f>
        <v>So much wasted potential - started out great</v>
      </c>
    </row>
    <row r="90" spans="10:31">
      <c r="J90" s="65" t="str">
        <f>IF(Backlog!$A$89&lt;&gt;"",Backlog!$A$89,"")</f>
        <v/>
      </c>
      <c r="K90" s="72" t="str">
        <f>IF(Backlog!$B$89&lt;&gt;"",Backlog!$B$89,"")</f>
        <v/>
      </c>
      <c r="L90" s="123" t="str">
        <f>IF(Backlog!$C$89&lt;&gt;"",Backlog!$C$89,"")</f>
        <v/>
      </c>
      <c r="N90" s="65" t="str">
        <f>IF(Completed!$A$89&lt;&gt;"",Completed!$A$89,"")</f>
        <v>Black ★ Rock Shooter</v>
      </c>
      <c r="O90" s="72">
        <f>IF(Completed!$B$89&lt;&gt;"",Completed!$B$89,"")</f>
        <v>1</v>
      </c>
      <c r="P90" s="72">
        <f ca="1">IF($N$90&lt;&gt;"", INDIRECT("'Tracker'!"&amp;ADDRESS(MATCH($N$90, Tracker[Anime Name], 0) + 2, 3)), "")</f>
        <v>8</v>
      </c>
      <c r="Q90" s="66" t="str">
        <f ca="1">IF($N$90&lt;&gt;"", INDIRECT("'Tracker'!"&amp;ADDRESS(MATCH($N$90, Tracker[Anime Name], 0) + 2, 4)), "")</f>
        <v>A</v>
      </c>
      <c r="R90" s="66" t="str">
        <f ca="1">IF($N$90&lt;&gt;"", INDIRECT("'Tracker'!"&amp;ADDRESS(MATCH($N$90, Tracker[Anime Name], 0) + 2, 5)), "")</f>
        <v>720p</v>
      </c>
      <c r="S90" s="66" t="str">
        <f ca="1">IF($N$90&lt;&gt;"", INDIRECT("'Tracker'!"&amp;ADDRESS(MATCH($N$90, Tracker[Anime Name], 0) + 2, 6)), "")</f>
        <v>BD</v>
      </c>
      <c r="T90" s="66" t="str">
        <f ca="1">IF($N$90&lt;&gt;"", INDIRECT("'Tracker'!"&amp;ADDRESS(MATCH($N$90, Tracker[Anime Name], 0) + 2, 7)), "")</f>
        <v>2011D</v>
      </c>
      <c r="U90" s="72" t="str">
        <f ca="1">IF($N$90&lt;&gt;"", INDIRECT("'Tracker'!"&amp;ADDRESS(MATCH($N$90, Tracker[Anime Name], 0) + 2, 8)), "")</f>
        <v>Final8</v>
      </c>
      <c r="V90" s="109">
        <f>IF(Completed!$C$89&lt;&gt;"",Completed!$C$89,"")</f>
        <v>7.5</v>
      </c>
      <c r="W90" s="109">
        <f>IF(Completed!$D$89&lt;&gt;"",Completed!$D$89,"")</f>
        <v>7.5</v>
      </c>
      <c r="X90" s="109">
        <f>IF(Completed!$E$89&lt;&gt;"",Completed!$E$89,"")</f>
        <v>3.5</v>
      </c>
      <c r="Y90" s="109">
        <f>IF(Completed!$F$89&lt;&gt;"",Completed!$F$89,"")</f>
        <v>8</v>
      </c>
      <c r="Z90" s="125">
        <f>IF(Completed!$G$89&lt;&gt;"",Completed!$G$89,"")</f>
        <v>7.5590452261306531</v>
      </c>
      <c r="AA90" s="136">
        <f>IF(Completed!$H$89&lt;&gt;"",Completed!$H$89,"")</f>
        <v>6.7664368589204633</v>
      </c>
      <c r="AB90" s="110">
        <f>IF(Completed!$I$89&lt;&gt;"",Completed!$I$89,"")</f>
        <v>41541</v>
      </c>
      <c r="AC90" s="110">
        <f>IF(Completed!$J$89&lt;&gt;"",Completed!$J$89,"")</f>
        <v>41541</v>
      </c>
      <c r="AD90" s="126" t="str">
        <f>IF(Completed!$K$89&lt;&gt;"",Completed!$K$89,"")</f>
        <v>Black Rock Shooter</v>
      </c>
      <c r="AE90" s="127" t="str">
        <f>IF(Completed!$L$89&lt;&gt;"",Completed!$L$89,"")</f>
        <v/>
      </c>
    </row>
    <row r="91" spans="10:31">
      <c r="J91" s="65" t="str">
        <f>IF(Backlog!$A$90&lt;&gt;"",Backlog!$A$90,"")</f>
        <v/>
      </c>
      <c r="K91" s="72" t="str">
        <f>IF(Backlog!$B$90&lt;&gt;"",Backlog!$B$90,"")</f>
        <v/>
      </c>
      <c r="L91" s="123" t="str">
        <f>IF(Backlog!$C$90&lt;&gt;"",Backlog!$C$90,"")</f>
        <v/>
      </c>
      <c r="N91" s="65" t="str">
        <f>IF(Completed!$A$90&lt;&gt;"",Completed!$A$90,"")</f>
        <v>Akuma no Riddle</v>
      </c>
      <c r="O91" s="72">
        <f>IF(Completed!$B$90&lt;&gt;"",Completed!$B$90,"")</f>
        <v>1</v>
      </c>
      <c r="P91" s="72">
        <f ca="1">IF($N$91&lt;&gt;"", INDIRECT("'Tracker'!"&amp;ADDRESS(MATCH($N$91, Tracker[Anime Name], 0) + 2, 3)), "")</f>
        <v>12</v>
      </c>
      <c r="Q91" s="66" t="str">
        <f ca="1">IF($N$91&lt;&gt;"", INDIRECT("'Tracker'!"&amp;ADDRESS(MATCH($N$91, Tracker[Anime Name], 0) + 2, 4)), "")</f>
        <v>B</v>
      </c>
      <c r="R91" s="66" t="str">
        <f ca="1">IF($N$91&lt;&gt;"", INDIRECT("'Tracker'!"&amp;ADDRESS(MATCH($N$91, Tracker[Anime Name], 0) + 2, 5)), "")</f>
        <v>720p</v>
      </c>
      <c r="S91" s="66" t="str">
        <f ca="1">IF($N$91&lt;&gt;"", INDIRECT("'Tracker'!"&amp;ADDRESS(MATCH($N$91, Tracker[Anime Name], 0) + 2, 6)), "")</f>
        <v>Web</v>
      </c>
      <c r="T91" s="66" t="str">
        <f ca="1">IF($N$91&lt;&gt;"", INDIRECT("'Tracker'!"&amp;ADDRESS(MATCH($N$91, Tracker[Anime Name], 0) + 2, 7)), "")</f>
        <v>2014A</v>
      </c>
      <c r="U91" s="72" t="str">
        <f ca="1">IF($N$91&lt;&gt;"", INDIRECT("'Tracker'!"&amp;ADDRESS(MATCH($N$91, Tracker[Anime Name], 0) + 2, 8)), "")</f>
        <v>HorribleSubs</v>
      </c>
      <c r="V91" s="109">
        <f>IF(Completed!$C$90&lt;&gt;"",Completed!$C$90,"")</f>
        <v>7.5</v>
      </c>
      <c r="W91" s="109">
        <f>IF(Completed!$D$90&lt;&gt;"",Completed!$D$90,"")</f>
        <v>8</v>
      </c>
      <c r="X91" s="109">
        <f>IF(Completed!$E$90&lt;&gt;"",Completed!$E$90,"")</f>
        <v>5.5</v>
      </c>
      <c r="Y91" s="109">
        <f>IF(Completed!$F$90&lt;&gt;"",Completed!$F$90,"")</f>
        <v>7.5</v>
      </c>
      <c r="Z91" s="125">
        <f>IF(Completed!$G$90&lt;&gt;"",Completed!$G$90,"")</f>
        <v>7.5389447236180915</v>
      </c>
      <c r="AA91" s="136">
        <f>IF(Completed!$H$90&lt;&gt;"",Completed!$H$90,"")</f>
        <v>6.7395325374138233</v>
      </c>
      <c r="AB91" s="110">
        <f>IF(Completed!$I$90&lt;&gt;"",Completed!$I$90,"")</f>
        <v>41759</v>
      </c>
      <c r="AC91" s="110">
        <f>IF(Completed!$J$90&lt;&gt;"",Completed!$J$90,"")</f>
        <v>41812</v>
      </c>
      <c r="AD91" s="126" t="str">
        <f>IF(Completed!$K$90&lt;&gt;"",Completed!$K$90,"")</f>
        <v>Shutou Suzu</v>
      </c>
      <c r="AE91" s="127" t="str">
        <f>IF(Completed!$L$90&lt;&gt;"",Completed!$L$90,"")</f>
        <v>Tokaku and Haruki come close for best girl though</v>
      </c>
    </row>
    <row r="92" spans="10:31">
      <c r="J92" s="65" t="str">
        <f>IF(Backlog!$A$92&lt;&gt;"",Backlog!$A$92,"")</f>
        <v/>
      </c>
      <c r="K92" s="72" t="str">
        <f>IF(Backlog!$B$92&lt;&gt;"",Backlog!$B$92,"")</f>
        <v/>
      </c>
      <c r="L92" s="123" t="str">
        <f>IF(Backlog!$C$92&lt;&gt;"",Backlog!$C$92,"")</f>
        <v/>
      </c>
      <c r="N92" s="65" t="str">
        <f>IF(Completed!$A$91&lt;&gt;"",Completed!$A$91,"")</f>
        <v>Space ☆ Dandy</v>
      </c>
      <c r="O92" s="72">
        <f>IF(Completed!$B$91&lt;&gt;"",Completed!$B$91,"")</f>
        <v>1</v>
      </c>
      <c r="P92" s="72">
        <f ca="1">IF($N$92&lt;&gt;"", INDIRECT("'Tracker'!"&amp;ADDRESS(MATCH($N$92, Tracker[Anime Name], 0) + 2, 3)), "")</f>
        <v>13</v>
      </c>
      <c r="Q92" s="66" t="str">
        <f ca="1">IF($N$92&lt;&gt;"", INDIRECT("'Tracker'!"&amp;ADDRESS(MATCH($N$92, Tracker[Anime Name], 0) + 2, 4)), "")</f>
        <v>B</v>
      </c>
      <c r="R92" s="66" t="str">
        <f ca="1">IF($N$92&lt;&gt;"", INDIRECT("'Tracker'!"&amp;ADDRESS(MATCH($N$92, Tracker[Anime Name], 0) + 2, 5)), "")</f>
        <v>720p</v>
      </c>
      <c r="S92" s="66" t="str">
        <f ca="1">IF($N$92&lt;&gt;"", INDIRECT("'Tracker'!"&amp;ADDRESS(MATCH($N$92, Tracker[Anime Name], 0) + 2, 6)), "")</f>
        <v>Web</v>
      </c>
      <c r="T92" s="66" t="str">
        <f ca="1">IF($N$92&lt;&gt;"", INDIRECT("'Tracker'!"&amp;ADDRESS(MATCH($N$92, Tracker[Anime Name], 0) + 2, 7)), "")</f>
        <v>2013D</v>
      </c>
      <c r="U92" s="72" t="str">
        <f ca="1">IF($N$92&lt;&gt;"", INDIRECT("'Tracker'!"&amp;ADDRESS(MATCH($N$92, Tracker[Anime Name], 0) + 2, 8)), "")</f>
        <v>HorribleSubs</v>
      </c>
      <c r="V92" s="109">
        <f>IF(Completed!$C$91&lt;&gt;"",Completed!$C$91,"")</f>
        <v>5</v>
      </c>
      <c r="W92" s="109">
        <f>IF(Completed!$D$91&lt;&gt;"",Completed!$D$91,"")</f>
        <v>7</v>
      </c>
      <c r="X92" s="109">
        <f>IF(Completed!$E$91&lt;&gt;"",Completed!$E$91,"")</f>
        <v>4</v>
      </c>
      <c r="Y92" s="109">
        <f>IF(Completed!$F$91&lt;&gt;"",Completed!$F$91,"")</f>
        <v>9</v>
      </c>
      <c r="Z92" s="125">
        <f>IF(Completed!$G$91&lt;&gt;"",Completed!$G$91,"")</f>
        <v>7.4899497487437188</v>
      </c>
      <c r="AA92" s="136">
        <f>IF(Completed!$H$91&lt;&gt;"",Completed!$H$91,"")</f>
        <v>6.6739532537413817</v>
      </c>
      <c r="AB92" s="110">
        <f>IF(Completed!$I$91&lt;&gt;"",Completed!$I$91,"")</f>
        <v>41650</v>
      </c>
      <c r="AC92" s="110">
        <f>IF(Completed!$J$91&lt;&gt;"",Completed!$J$91,"")</f>
        <v>41744</v>
      </c>
      <c r="AD92" s="126" t="str">
        <f>IF(Completed!$K$91&lt;&gt;"",Completed!$K$91,"")</f>
        <v>Adelie</v>
      </c>
      <c r="AE92" s="127" t="str">
        <f>IF(Completed!$L$91&lt;&gt;"",Completed!$L$91,"")</f>
        <v/>
      </c>
    </row>
    <row r="93" spans="10:31">
      <c r="J93" s="65" t="str">
        <f>IF(Backlog!$A$93&lt;&gt;"",Backlog!$A$93,"")</f>
        <v/>
      </c>
      <c r="K93" s="72" t="str">
        <f>IF(Backlog!$B$93&lt;&gt;"",Backlog!$B$93,"")</f>
        <v/>
      </c>
      <c r="L93" s="123" t="str">
        <f>IF(Backlog!$C$93&lt;&gt;"",Backlog!$C$93,"")</f>
        <v/>
      </c>
      <c r="N93" s="65" t="str">
        <f>IF(Completed!$A$92&lt;&gt;"",Completed!$A$92,"")</f>
        <v>Dansai Bunri no Crime Edge</v>
      </c>
      <c r="O93" s="72">
        <f>IF(Completed!$B$92&lt;&gt;"",Completed!$B$92,"")</f>
        <v>1</v>
      </c>
      <c r="P93" s="72">
        <f ca="1">IF($N$93&lt;&gt;"", INDIRECT("'Tracker'!"&amp;ADDRESS(MATCH($N$93, Tracker[Anime Name], 0) + 2, 3)), "")</f>
        <v>13</v>
      </c>
      <c r="Q93" s="66" t="str">
        <f ca="1">IF($N$93&lt;&gt;"", INDIRECT("'Tracker'!"&amp;ADDRESS(MATCH($N$93, Tracker[Anime Name], 0) + 2, 4)), "")</f>
        <v>A</v>
      </c>
      <c r="R93" s="66" t="str">
        <f ca="1">IF($N$93&lt;&gt;"", INDIRECT("'Tracker'!"&amp;ADDRESS(MATCH($N$93, Tracker[Anime Name], 0) + 2, 5)), "")</f>
        <v>720p</v>
      </c>
      <c r="S93" s="66" t="str">
        <f ca="1">IF($N$93&lt;&gt;"", INDIRECT("'Tracker'!"&amp;ADDRESS(MATCH($N$93, Tracker[Anime Name], 0) + 2, 6)), "")</f>
        <v>TV</v>
      </c>
      <c r="T93" s="66" t="str">
        <f ca="1">IF($N$93&lt;&gt;"", INDIRECT("'Tracker'!"&amp;ADDRESS(MATCH($N$93, Tracker[Anime Name], 0) + 2, 7)), "")</f>
        <v>2013A</v>
      </c>
      <c r="U93" s="72" t="str">
        <f ca="1">IF($N$93&lt;&gt;"", INDIRECT("'Tracker'!"&amp;ADDRESS(MATCH($N$93, Tracker[Anime Name], 0) + 2, 8)), "")</f>
        <v>Anime-Koi</v>
      </c>
      <c r="V93" s="109">
        <f>IF(Completed!$C$92&lt;&gt;"",Completed!$C$92,"")</f>
        <v>8</v>
      </c>
      <c r="W93" s="109">
        <f>IF(Completed!$D$92&lt;&gt;"",Completed!$D$92,"")</f>
        <v>7.5</v>
      </c>
      <c r="X93" s="109">
        <f>IF(Completed!$E$92&lt;&gt;"",Completed!$E$92,"")</f>
        <v>5</v>
      </c>
      <c r="Y93" s="109">
        <f>IF(Completed!$F$92&lt;&gt;"",Completed!$F$92,"")</f>
        <v>7.5</v>
      </c>
      <c r="Z93" s="125">
        <f>IF(Completed!$G$92&lt;&gt;"",Completed!$G$92,"")</f>
        <v>7.4723618090452266</v>
      </c>
      <c r="AA93" s="136">
        <f>IF(Completed!$H$92&lt;&gt;"",Completed!$H$92,"")</f>
        <v>6.650411972423071</v>
      </c>
      <c r="AB93" s="110">
        <f>IF(Completed!$I$92&lt;&gt;"",Completed!$I$92,"")</f>
        <v>41453</v>
      </c>
      <c r="AC93" s="110">
        <f>IF(Completed!$J$92&lt;&gt;"",Completed!$J$92,"")</f>
        <v>41457</v>
      </c>
      <c r="AD93" s="126" t="str">
        <f>IF(Completed!$K$92&lt;&gt;"",Completed!$K$92,"")</f>
        <v>Mushanokouji Iwai</v>
      </c>
      <c r="AE93" s="127" t="str">
        <f>IF(Completed!$L$92&lt;&gt;"",Completed!$L$92,"")</f>
        <v>Besides the obvious fetish scenes, not bad. OP is pretty great</v>
      </c>
    </row>
    <row r="94" spans="10:31">
      <c r="J94" s="65" t="str">
        <f>IF(Backlog!$A$94&lt;&gt;"",Backlog!$A$94,"")</f>
        <v/>
      </c>
      <c r="K94" s="72" t="str">
        <f>IF(Backlog!$B$94&lt;&gt;"",Backlog!$B$94,"")</f>
        <v/>
      </c>
      <c r="L94" s="123" t="str">
        <f>IF(Backlog!$C$94&lt;&gt;"",Backlog!$C$94,"")</f>
        <v/>
      </c>
      <c r="N94" s="65" t="str">
        <f>IF(Completed!$A$93&lt;&gt;"",Completed!$A$93,"")</f>
        <v>Kami-sama no Inai Nichiyoubi</v>
      </c>
      <c r="O94" s="72">
        <f>IF(Completed!$B$93&lt;&gt;"",Completed!$B$93,"")</f>
        <v>1</v>
      </c>
      <c r="P94" s="72">
        <f ca="1">IF($N$94&lt;&gt;"", INDIRECT("'Tracker'!"&amp;ADDRESS(MATCH($N$94, Tracker[Anime Name], 0) + 2, 3)), "")</f>
        <v>12</v>
      </c>
      <c r="Q94" s="66" t="str">
        <f ca="1">IF($N$94&lt;&gt;"", INDIRECT("'Tracker'!"&amp;ADDRESS(MATCH($N$94, Tracker[Anime Name], 0) + 2, 4)), "")</f>
        <v>A</v>
      </c>
      <c r="R94" s="66" t="str">
        <f ca="1">IF($N$94&lt;&gt;"", INDIRECT("'Tracker'!"&amp;ADDRESS(MATCH($N$94, Tracker[Anime Name], 0) + 2, 5)), "")</f>
        <v>720p</v>
      </c>
      <c r="S94" s="66" t="str">
        <f ca="1">IF($N$94&lt;&gt;"", INDIRECT("'Tracker'!"&amp;ADDRESS(MATCH($N$94, Tracker[Anime Name], 0) + 2, 6)), "")</f>
        <v>Web</v>
      </c>
      <c r="T94" s="66" t="str">
        <f ca="1">IF($N$94&lt;&gt;"", INDIRECT("'Tracker'!"&amp;ADDRESS(MATCH($N$94, Tracker[Anime Name], 0) + 2, 7)), "")</f>
        <v>2013B</v>
      </c>
      <c r="U94" s="72" t="str">
        <f ca="1">IF($N$94&lt;&gt;"", INDIRECT("'Tracker'!"&amp;ADDRESS(MATCH($N$94, Tracker[Anime Name], 0) + 2, 8)), "")</f>
        <v>HorribleSubs</v>
      </c>
      <c r="V94" s="109">
        <f>IF(Completed!$C$93&lt;&gt;"",Completed!$C$93,"")</f>
        <v>7</v>
      </c>
      <c r="W94" s="109">
        <f>IF(Completed!$D$93&lt;&gt;"",Completed!$D$93,"")</f>
        <v>7.5</v>
      </c>
      <c r="X94" s="109">
        <f>IF(Completed!$E$93&lt;&gt;"",Completed!$E$93,"")</f>
        <v>3.5</v>
      </c>
      <c r="Y94" s="109">
        <f>IF(Completed!$F$93&lt;&gt;"",Completed!$F$93,"")</f>
        <v>8</v>
      </c>
      <c r="Z94" s="125">
        <f>IF(Completed!$G$93&lt;&gt;"",Completed!$G$93,"")</f>
        <v>7.4673366834170851</v>
      </c>
      <c r="AA94" s="136">
        <f>IF(Completed!$H$93&lt;&gt;"",Completed!$H$93,"")</f>
        <v>6.6436858920464097</v>
      </c>
      <c r="AB94" s="110">
        <f>IF(Completed!$I$93&lt;&gt;"",Completed!$I$93,"")</f>
        <v>41465</v>
      </c>
      <c r="AC94" s="110">
        <f>IF(Completed!$J$93&lt;&gt;"",Completed!$J$93,"")</f>
        <v>41543</v>
      </c>
      <c r="AD94" s="126" t="str">
        <f>IF(Completed!$K$93&lt;&gt;"",Completed!$K$93,"")</f>
        <v>Ulla Euleus Hecmatika</v>
      </c>
      <c r="AE94" s="127" t="str">
        <f>IF(Completed!$L$93&lt;&gt;"",Completed!$L$93,"")</f>
        <v>Plot was questionable, but the art and music gives it points</v>
      </c>
    </row>
    <row r="95" spans="10:31">
      <c r="J95" s="65" t="str">
        <f>IF(Backlog!$A$95&lt;&gt;"",Backlog!$A$95,"")</f>
        <v/>
      </c>
      <c r="K95" s="72" t="str">
        <f>IF(Backlog!$B$95&lt;&gt;"",Backlog!$B$95,"")</f>
        <v/>
      </c>
      <c r="L95" s="123" t="str">
        <f>IF(Backlog!$C$95&lt;&gt;"",Backlog!$C$95,"")</f>
        <v/>
      </c>
      <c r="N95" s="65" t="str">
        <f>IF(Completed!$A$94&lt;&gt;"",Completed!$A$94,"")</f>
        <v>Inu to Hasami wa Tsukaiyou</v>
      </c>
      <c r="O95" s="72">
        <f>IF(Completed!$B$94&lt;&gt;"",Completed!$B$94,"")</f>
        <v>1</v>
      </c>
      <c r="P95" s="72">
        <f ca="1">IF($N$95&lt;&gt;"", INDIRECT("'Tracker'!"&amp;ADDRESS(MATCH($N$95, Tracker[Anime Name], 0) + 2, 3)), "")</f>
        <v>12</v>
      </c>
      <c r="Q95" s="66" t="str">
        <f ca="1">IF($N$95&lt;&gt;"", INDIRECT("'Tracker'!"&amp;ADDRESS(MATCH($N$95, Tracker[Anime Name], 0) + 2, 4)), "")</f>
        <v>A</v>
      </c>
      <c r="R95" s="66" t="str">
        <f ca="1">IF($N$95&lt;&gt;"", INDIRECT("'Tracker'!"&amp;ADDRESS(MATCH($N$95, Tracker[Anime Name], 0) + 2, 5)), "")</f>
        <v>720p</v>
      </c>
      <c r="S95" s="66" t="str">
        <f ca="1">IF($N$95&lt;&gt;"", INDIRECT("'Tracker'!"&amp;ADDRESS(MATCH($N$95, Tracker[Anime Name], 0) + 2, 6)), "")</f>
        <v>TV</v>
      </c>
      <c r="T95" s="66" t="str">
        <f ca="1">IF($N$95&lt;&gt;"", INDIRECT("'Tracker'!"&amp;ADDRESS(MATCH($N$95, Tracker[Anime Name], 0) + 2, 7)), "")</f>
        <v>2013B</v>
      </c>
      <c r="U95" s="72" t="str">
        <f ca="1">IF($N$95&lt;&gt;"", INDIRECT("'Tracker'!"&amp;ADDRESS(MATCH($N$95, Tracker[Anime Name], 0) + 2, 8)), "")</f>
        <v>HorribleSubs</v>
      </c>
      <c r="V95" s="109">
        <f>IF(Completed!$C$94&lt;&gt;"",Completed!$C$94,"")</f>
        <v>6.5</v>
      </c>
      <c r="W95" s="109">
        <f>IF(Completed!$D$94&lt;&gt;"",Completed!$D$94,"")</f>
        <v>7.5</v>
      </c>
      <c r="X95" s="109">
        <f>IF(Completed!$E$94&lt;&gt;"",Completed!$E$94,"")</f>
        <v>5</v>
      </c>
      <c r="Y95" s="109">
        <f>IF(Completed!$F$94&lt;&gt;"",Completed!$F$94,"")</f>
        <v>8</v>
      </c>
      <c r="Z95" s="125">
        <f>IF(Completed!$G$94&lt;&gt;"",Completed!$G$94,"")</f>
        <v>7.4472361809045227</v>
      </c>
      <c r="AA95" s="136">
        <f>IF(Completed!$H$94&lt;&gt;"",Completed!$H$94,"")</f>
        <v>6.6167815705397679</v>
      </c>
      <c r="AB95" s="110">
        <f>IF(Completed!$I$94&lt;&gt;"",Completed!$I$94,"")</f>
        <v>41456</v>
      </c>
      <c r="AC95" s="110">
        <f>IF(Completed!$J$94&lt;&gt;"",Completed!$J$94,"")</f>
        <v>41535</v>
      </c>
      <c r="AD95" s="126" t="str">
        <f>IF(Completed!$K$94&lt;&gt;"",Completed!$K$94,"")</f>
        <v>Himehagi Momiji</v>
      </c>
      <c r="AE95" s="127" t="str">
        <f>IF(Completed!$L$94&lt;&gt;"",Completed!$L$94,"")</f>
        <v/>
      </c>
    </row>
    <row r="96" spans="10:31">
      <c r="J96" s="65" t="str">
        <f>IF(Backlog!$A$96&lt;&gt;"",Backlog!$A$96,"")</f>
        <v/>
      </c>
      <c r="K96" s="72" t="str">
        <f>IF(Backlog!$B$96&lt;&gt;"",Backlog!$B$96,"")</f>
        <v/>
      </c>
      <c r="L96" s="123" t="str">
        <f>IF(Backlog!$C$96&lt;&gt;"",Backlog!$C$96,"")</f>
        <v/>
      </c>
      <c r="N96" s="65" t="str">
        <f>IF(Completed!$A$95&lt;&gt;"",Completed!$A$95,"")</f>
        <v>Sakigake! Cromartie High School</v>
      </c>
      <c r="O96" s="72">
        <f>IF(Completed!$B$95&lt;&gt;"",Completed!$B$95,"")</f>
        <v>1</v>
      </c>
      <c r="P96" s="72">
        <f ca="1">IF($N$96&lt;&gt;"", INDIRECT("'Tracker'!"&amp;ADDRESS(MATCH($N$96, Tracker[Anime Name], 0) + 2, 3)), "")</f>
        <v>26</v>
      </c>
      <c r="Q96" s="66" t="str">
        <f ca="1">IF($N$96&lt;&gt;"", INDIRECT("'Tracker'!"&amp;ADDRESS(MATCH($N$96, Tracker[Anime Name], 0) + 2, 4)), "")</f>
        <v>A</v>
      </c>
      <c r="R96" s="66" t="str">
        <f ca="1">IF($N$96&lt;&gt;"", INDIRECT("'Tracker'!"&amp;ADDRESS(MATCH($N$96, Tracker[Anime Name], 0) + 2, 5)), "")</f>
        <v>486p</v>
      </c>
      <c r="S96" s="66" t="str">
        <f ca="1">IF($N$96&lt;&gt;"", INDIRECT("'Tracker'!"&amp;ADDRESS(MATCH($N$96, Tracker[Anime Name], 0) + 2, 6)), "")</f>
        <v>DVD</v>
      </c>
      <c r="T96" s="66" t="str">
        <f ca="1">IF($N$96&lt;&gt;"", INDIRECT("'Tracker'!"&amp;ADDRESS(MATCH($N$96, Tracker[Anime Name], 0) + 2, 7)), "")</f>
        <v>2003C</v>
      </c>
      <c r="U96" s="72" t="str">
        <f ca="1">IF($N$96&lt;&gt;"", INDIRECT("'Tracker'!"&amp;ADDRESS(MATCH($N$96, Tracker[Anime Name], 0) + 2, 8)), "")</f>
        <v>Jarzk</v>
      </c>
      <c r="V96" s="109">
        <f>IF(Completed!$C$95&lt;&gt;"",Completed!$C$95,"")</f>
        <v>4</v>
      </c>
      <c r="W96" s="109">
        <f>IF(Completed!$D$95&lt;&gt;"",Completed!$D$95,"")</f>
        <v>8</v>
      </c>
      <c r="X96" s="109">
        <f>IF(Completed!$E$95&lt;&gt;"",Completed!$E$95,"")</f>
        <v>0</v>
      </c>
      <c r="Y96" s="109">
        <f>IF(Completed!$F$95&lt;&gt;"",Completed!$F$95,"")</f>
        <v>9</v>
      </c>
      <c r="Z96" s="125">
        <f>IF(Completed!$G$95&lt;&gt;"",Completed!$G$95,"")</f>
        <v>7.3844221105527641</v>
      </c>
      <c r="AA96" s="136">
        <f>IF(Completed!$H$95&lt;&gt;"",Completed!$H$95,"")</f>
        <v>6.5327055658315123</v>
      </c>
      <c r="AB96" s="110">
        <f>IF(Completed!$I$95&lt;&gt;"",Completed!$I$95,"")</f>
        <v>41450</v>
      </c>
      <c r="AC96" s="110">
        <f>IF(Completed!$J$95&lt;&gt;"",Completed!$J$95,"")</f>
        <v>41452</v>
      </c>
      <c r="AD96" s="126" t="str">
        <f>IF(Completed!$K$95&lt;&gt;"",Completed!$K$95,"")</f>
        <v>Gorilla</v>
      </c>
      <c r="AE96" s="127" t="str">
        <f>IF(Completed!$L$95&lt;&gt;"",Completed!$L$95,"")</f>
        <v>Like Nichibros, much better than ratings suggest. Also very funny to watch</v>
      </c>
    </row>
    <row r="97" spans="10:31">
      <c r="J97" s="65" t="str">
        <f>IF(Backlog!$A$97&lt;&gt;"",Backlog!$A$97,"")</f>
        <v/>
      </c>
      <c r="K97" s="72" t="str">
        <f>IF(Backlog!$B$97&lt;&gt;"",Backlog!$B$97,"")</f>
        <v/>
      </c>
      <c r="L97" s="123" t="str">
        <f>IF(Backlog!$C$97&lt;&gt;"",Backlog!$C$97,"")</f>
        <v/>
      </c>
      <c r="N97" s="65" t="str">
        <f>IF(Completed!$A$96&lt;&gt;"",Completed!$A$96,"")</f>
        <v>Mahou Sensou</v>
      </c>
      <c r="O97" s="72">
        <f>IF(Completed!$B$96&lt;&gt;"",Completed!$B$96,"")</f>
        <v>1</v>
      </c>
      <c r="P97" s="72">
        <f ca="1">IF($N$97&lt;&gt;"", INDIRECT("'Tracker'!"&amp;ADDRESS(MATCH($N$97, Tracker[Anime Name], 0) + 2, 3)), "")</f>
        <v>12</v>
      </c>
      <c r="Q97" s="66" t="str">
        <f ca="1">IF($N$97&lt;&gt;"", INDIRECT("'Tracker'!"&amp;ADDRESS(MATCH($N$97, Tracker[Anime Name], 0) + 2, 4)), "")</f>
        <v>A</v>
      </c>
      <c r="R97" s="66" t="str">
        <f ca="1">IF($N$97&lt;&gt;"", INDIRECT("'Tracker'!"&amp;ADDRESS(MATCH($N$97, Tracker[Anime Name], 0) + 2, 5)), "")</f>
        <v>720p</v>
      </c>
      <c r="S97" s="66" t="str">
        <f ca="1">IF($N$97&lt;&gt;"", INDIRECT("'Tracker'!"&amp;ADDRESS(MATCH($N$97, Tracker[Anime Name], 0) + 2, 6)), "")</f>
        <v>TV</v>
      </c>
      <c r="T97" s="66" t="str">
        <f ca="1">IF($N$97&lt;&gt;"", INDIRECT("'Tracker'!"&amp;ADDRESS(MATCH($N$97, Tracker[Anime Name], 0) + 2, 7)), "")</f>
        <v>2012D</v>
      </c>
      <c r="U97" s="72" t="str">
        <f ca="1">IF($N$97&lt;&gt;"", INDIRECT("'Tracker'!"&amp;ADDRESS(MATCH($N$97, Tracker[Anime Name], 0) + 2, 8)), "")</f>
        <v>FFF</v>
      </c>
      <c r="V97" s="109">
        <f>IF(Completed!$C$96&lt;&gt;"",Completed!$C$96,"")</f>
        <v>6.5</v>
      </c>
      <c r="W97" s="109">
        <f>IF(Completed!$D$96&lt;&gt;"",Completed!$D$96,"")</f>
        <v>9</v>
      </c>
      <c r="X97" s="109">
        <f>IF(Completed!$E$96&lt;&gt;"",Completed!$E$96,"")</f>
        <v>5</v>
      </c>
      <c r="Y97" s="109">
        <f>IF(Completed!$F$96&lt;&gt;"",Completed!$F$96,"")</f>
        <v>7</v>
      </c>
      <c r="Z97" s="125">
        <f>IF(Completed!$G$96&lt;&gt;"",Completed!$G$96,"")</f>
        <v>7.3505025125628141</v>
      </c>
      <c r="AA97" s="136">
        <f>IF(Completed!$H$96&lt;&gt;"",Completed!$H$96,"")</f>
        <v>6.4873045232890529</v>
      </c>
      <c r="AB97" s="110">
        <f>IF(Completed!$I$96&lt;&gt;"",Completed!$I$96,"")</f>
        <v>41650</v>
      </c>
      <c r="AC97" s="110">
        <f>IF(Completed!$J$96&lt;&gt;"",Completed!$J$96,"")</f>
        <v>41745</v>
      </c>
      <c r="AD97" s="126" t="str">
        <f>IF(Completed!$K$96&lt;&gt;"",Completed!$K$96,"")</f>
        <v>Aiba Mui</v>
      </c>
      <c r="AE97" s="127" t="str">
        <f>IF(Completed!$L$96&lt;&gt;"",Completed!$L$96,"")</f>
        <v>Finales that make more questions than answers suck.</v>
      </c>
    </row>
    <row r="98" spans="10:31">
      <c r="J98" s="65" t="str">
        <f>IF(Backlog!$A$98&lt;&gt;"",Backlog!$A$98,"")</f>
        <v/>
      </c>
      <c r="K98" s="72" t="str">
        <f>IF(Backlog!$B$98&lt;&gt;"",Backlog!$B$98,"")</f>
        <v/>
      </c>
      <c r="L98" s="123" t="str">
        <f>IF(Backlog!$C$98&lt;&gt;"",Backlog!$C$98,"")</f>
        <v/>
      </c>
      <c r="N98" s="65" t="str">
        <f>IF(Completed!$A$97&lt;&gt;"",Completed!$A$97,"")</f>
        <v>Suzumiya Haruhi no Yuuutsu</v>
      </c>
      <c r="O98" s="72">
        <f>IF(Completed!$B$97&lt;&gt;"",Completed!$B$97,"")</f>
        <v>1</v>
      </c>
      <c r="P98" s="72">
        <f ca="1">IF($N$98&lt;&gt;"", INDIRECT("'Tracker'!"&amp;ADDRESS(MATCH($N$98, Tracker[Anime Name], 0) + 2, 3)), "")</f>
        <v>28</v>
      </c>
      <c r="Q98" s="66" t="str">
        <f ca="1">IF($N$98&lt;&gt;"", INDIRECT("'Tracker'!"&amp;ADDRESS(MATCH($N$98, Tracker[Anime Name], 0) + 2, 4)), "")</f>
        <v>A</v>
      </c>
      <c r="R98" s="66" t="str">
        <f ca="1">IF($N$98&lt;&gt;"", INDIRECT("'Tracker'!"&amp;ADDRESS(MATCH($N$98, Tracker[Anime Name], 0) + 2, 5)), "")</f>
        <v>720p</v>
      </c>
      <c r="S98" s="66" t="str">
        <f ca="1">IF($N$98&lt;&gt;"", INDIRECT("'Tracker'!"&amp;ADDRESS(MATCH($N$98, Tracker[Anime Name], 0) + 2, 6)), "")</f>
        <v>BD</v>
      </c>
      <c r="T98" s="66" t="str">
        <f ca="1">IF($N$98&lt;&gt;"", INDIRECT("'Tracker'!"&amp;ADDRESS(MATCH($N$98, Tracker[Anime Name], 0) + 2, 7)), "")</f>
        <v>2006A</v>
      </c>
      <c r="U98" s="72" t="str">
        <f ca="1">IF($N$98&lt;&gt;"", INDIRECT("'Tracker'!"&amp;ADDRESS(MATCH($N$98, Tracker[Anime Name], 0) + 2, 8)), "")</f>
        <v>Elysium</v>
      </c>
      <c r="V98" s="109">
        <f>IF(Completed!$C$97&lt;&gt;"",Completed!$C$97,"")</f>
        <v>7.5</v>
      </c>
      <c r="W98" s="109">
        <f>IF(Completed!$D$97&lt;&gt;"",Completed!$D$97,"")</f>
        <v>7.5</v>
      </c>
      <c r="X98" s="109">
        <f>IF(Completed!$E$97&lt;&gt;"",Completed!$E$97,"")</f>
        <v>4</v>
      </c>
      <c r="Y98" s="109">
        <f>IF(Completed!$F$97&lt;&gt;"",Completed!$F$97,"")</f>
        <v>7.5</v>
      </c>
      <c r="Z98" s="125">
        <f>IF(Completed!$G$97&lt;&gt;"",Completed!$G$97,"")</f>
        <v>7.3329145728643219</v>
      </c>
      <c r="AA98" s="136">
        <f>IF(Completed!$H$97&lt;&gt;"",Completed!$H$97,"")</f>
        <v>6.4637632419707414</v>
      </c>
      <c r="AB98" s="110">
        <f>IF(Completed!$I$97&lt;&gt;"",Completed!$I$97,"")</f>
        <v>41330</v>
      </c>
      <c r="AC98" s="110">
        <f>IF(Completed!$J$97&lt;&gt;"",Completed!$J$97,"")</f>
        <v>41346</v>
      </c>
      <c r="AD98" s="126" t="str">
        <f>IF(Completed!$K$97&lt;&gt;"",Completed!$K$97,"")</f>
        <v>Nagato Yuki</v>
      </c>
      <c r="AE98" s="127" t="str">
        <f>IF(Completed!$L$97&lt;&gt;"",Completed!$L$97,"")</f>
        <v>Not what I expected it to be, given the hype</v>
      </c>
    </row>
    <row r="99" spans="10:31">
      <c r="J99" s="65" t="str">
        <f>IF(Backlog!$A$99&lt;&gt;"",Backlog!$A$99,"")</f>
        <v/>
      </c>
      <c r="K99" s="72" t="str">
        <f>IF(Backlog!$B$99&lt;&gt;"",Backlog!$B$99,"")</f>
        <v/>
      </c>
      <c r="L99" s="123" t="str">
        <f>IF(Backlog!$C$99&lt;&gt;"",Backlog!$C$99,"")</f>
        <v/>
      </c>
      <c r="N99" s="65" t="str">
        <f>IF(Completed!$A$98&lt;&gt;"",Completed!$A$98,"")</f>
        <v>Witch Craft Works</v>
      </c>
      <c r="O99" s="72">
        <f>IF(Completed!$B$98&lt;&gt;"",Completed!$B$98,"")</f>
        <v>1</v>
      </c>
      <c r="P99" s="72">
        <f ca="1">IF($N$99&lt;&gt;"", INDIRECT("'Tracker'!"&amp;ADDRESS(MATCH($N$99, Tracker[Anime Name], 0) + 2, 3)), "")</f>
        <v>12</v>
      </c>
      <c r="Q99" s="66" t="str">
        <f ca="1">IF($N$99&lt;&gt;"", INDIRECT("'Tracker'!"&amp;ADDRESS(MATCH($N$99, Tracker[Anime Name], 0) + 2, 4)), "")</f>
        <v>A</v>
      </c>
      <c r="R99" s="66" t="str">
        <f ca="1">IF($N$99&lt;&gt;"", INDIRECT("'Tracker'!"&amp;ADDRESS(MATCH($N$99, Tracker[Anime Name], 0) + 2, 5)), "")</f>
        <v>720p</v>
      </c>
      <c r="S99" s="66" t="str">
        <f ca="1">IF($N$99&lt;&gt;"", INDIRECT("'Tracker'!"&amp;ADDRESS(MATCH($N$99, Tracker[Anime Name], 0) + 2, 6)), "")</f>
        <v>TV</v>
      </c>
      <c r="T99" s="66" t="str">
        <f ca="1">IF($N$99&lt;&gt;"", INDIRECT("'Tracker'!"&amp;ADDRESS(MATCH($N$99, Tracker[Anime Name], 0) + 2, 7)), "")</f>
        <v>2013D</v>
      </c>
      <c r="U99" s="72" t="str">
        <f ca="1">IF($N$99&lt;&gt;"", INDIRECT("'Tracker'!"&amp;ADDRESS(MATCH($N$99, Tracker[Anime Name], 0) + 2, 8)), "")</f>
        <v>FFF</v>
      </c>
      <c r="V99" s="109">
        <f>IF(Completed!$C$98&lt;&gt;"",Completed!$C$98,"")</f>
        <v>7.5</v>
      </c>
      <c r="W99" s="109">
        <f>IF(Completed!$D$98&lt;&gt;"",Completed!$D$98,"")</f>
        <v>7.5</v>
      </c>
      <c r="X99" s="109">
        <f>IF(Completed!$E$98&lt;&gt;"",Completed!$E$98,"")</f>
        <v>3.5</v>
      </c>
      <c r="Y99" s="109">
        <f>IF(Completed!$F$98&lt;&gt;"",Completed!$F$98,"")</f>
        <v>7.5</v>
      </c>
      <c r="Z99" s="125">
        <f>IF(Completed!$G$98&lt;&gt;"",Completed!$G$98,"")</f>
        <v>7.3090452261306531</v>
      </c>
      <c r="AA99" s="136">
        <f>IF(Completed!$H$98&lt;&gt;"",Completed!$H$98,"")</f>
        <v>6.4318143601816038</v>
      </c>
      <c r="AB99" s="110">
        <f>IF(Completed!$I$98&lt;&gt;"",Completed!$I$98,"")</f>
        <v>41650</v>
      </c>
      <c r="AC99" s="110">
        <f>IF(Completed!$J$98&lt;&gt;"",Completed!$J$98,"")</f>
        <v>41749</v>
      </c>
      <c r="AD99" s="126" t="str">
        <f>IF(Completed!$K$98&lt;&gt;"",Completed!$K$98,"")</f>
        <v>Kazari Rin</v>
      </c>
      <c r="AE99" s="127" t="str">
        <f>IF(Completed!$L$98&lt;&gt;"",Completed!$L$98,"")</f>
        <v/>
      </c>
    </row>
    <row r="100" spans="10:31">
      <c r="J100" s="65" t="str">
        <f>IF(Backlog!$A$100&lt;&gt;"",Backlog!$A$100,"")</f>
        <v/>
      </c>
      <c r="K100" s="72" t="str">
        <f>IF(Backlog!$B$100&lt;&gt;"",Backlog!$B$100,"")</f>
        <v/>
      </c>
      <c r="L100" s="123" t="str">
        <f>IF(Backlog!$C$100&lt;&gt;"",Backlog!$C$100,"")</f>
        <v/>
      </c>
      <c r="N100" s="65" t="str">
        <f>IF(Completed!$A$99&lt;&gt;"",Completed!$A$99,"")</f>
        <v>Sora no Otoshimono</v>
      </c>
      <c r="O100" s="72">
        <f>IF(Completed!$B$99&lt;&gt;"",Completed!$B$99,"")</f>
        <v>1</v>
      </c>
      <c r="P100" s="72">
        <f ca="1">IF($N$100&lt;&gt;"", INDIRECT("'Tracker'!"&amp;ADDRESS(MATCH($N$100, Tracker[Anime Name], 0) + 2, 3)), "")</f>
        <v>13</v>
      </c>
      <c r="Q100" s="66" t="str">
        <f ca="1">IF($N$100&lt;&gt;"", INDIRECT("'Tracker'!"&amp;ADDRESS(MATCH($N$100, Tracker[Anime Name], 0) + 2, 4)), "")</f>
        <v>A</v>
      </c>
      <c r="R100" s="66" t="str">
        <f ca="1">IF($N$100&lt;&gt;"", INDIRECT("'Tracker'!"&amp;ADDRESS(MATCH($N$100, Tracker[Anime Name], 0) + 2, 5)), "")</f>
        <v>720p</v>
      </c>
      <c r="S100" s="66" t="str">
        <f ca="1">IF($N$100&lt;&gt;"", INDIRECT("'Tracker'!"&amp;ADDRESS(MATCH($N$100, Tracker[Anime Name], 0) + 2, 6)), "")</f>
        <v>DVD</v>
      </c>
      <c r="T100" s="66" t="str">
        <f ca="1">IF($N$100&lt;&gt;"", INDIRECT("'Tracker'!"&amp;ADDRESS(MATCH($N$100, Tracker[Anime Name], 0) + 2, 7)), "")</f>
        <v>2009C</v>
      </c>
      <c r="U100" s="72" t="str">
        <f ca="1">IF($N$100&lt;&gt;"", INDIRECT("'Tracker'!"&amp;ADDRESS(MATCH($N$100, Tracker[Anime Name], 0) + 2, 8)), "")</f>
        <v>Polished</v>
      </c>
      <c r="V100" s="109">
        <f>IF(Completed!$C$99&lt;&gt;"",Completed!$C$99,"")</f>
        <v>7</v>
      </c>
      <c r="W100" s="109">
        <f>IF(Completed!$D$99&lt;&gt;"",Completed!$D$99,"")</f>
        <v>7</v>
      </c>
      <c r="X100" s="109">
        <f>IF(Completed!$E$99&lt;&gt;"",Completed!$E$99,"")</f>
        <v>7.5</v>
      </c>
      <c r="Y100" s="109">
        <f>IF(Completed!$F$99&lt;&gt;"",Completed!$F$99,"")</f>
        <v>7.5</v>
      </c>
      <c r="Z100" s="125">
        <f>IF(Completed!$G$99&lt;&gt;"",Completed!$G$99,"")</f>
        <v>7.2738693467336688</v>
      </c>
      <c r="AA100" s="136">
        <f>IF(Completed!$H$99&lt;&gt;"",Completed!$H$99,"")</f>
        <v>6.3847317975449807</v>
      </c>
      <c r="AB100" s="110">
        <f>IF(Completed!$I$99&lt;&gt;"",Completed!$I$99,"")</f>
        <v>41496</v>
      </c>
      <c r="AC100" s="110">
        <f>IF(Completed!$J$99&lt;&gt;"",Completed!$J$99,"")</f>
        <v>41512</v>
      </c>
      <c r="AD100" s="126" t="str">
        <f>IF(Completed!$K$99&lt;&gt;"",Completed!$K$99,"")</f>
        <v>Nymph</v>
      </c>
      <c r="AE100" s="127" t="str">
        <f>IF(Completed!$L$99&lt;&gt;"",Completed!$L$99,"")</f>
        <v>Ignoring the ecchi, it would be pretty nice</v>
      </c>
    </row>
    <row r="101" spans="10:31">
      <c r="J101" s="65" t="str">
        <f>IF(Backlog!$A$101&lt;&gt;"",Backlog!$A$101,"")</f>
        <v/>
      </c>
      <c r="K101" s="72" t="str">
        <f>IF(Backlog!$B$101&lt;&gt;"",Backlog!$B$101,"")</f>
        <v/>
      </c>
      <c r="L101" s="123" t="str">
        <f>IF(Backlog!$C$101&lt;&gt;"",Backlog!$C$101,"")</f>
        <v/>
      </c>
      <c r="N101" s="65" t="str">
        <f>IF(Completed!$A$100&lt;&gt;"",Completed!$A$100,"")</f>
        <v>Haiyore! Nyaruko-san</v>
      </c>
      <c r="O101" s="72">
        <f>IF(Completed!$B$100&lt;&gt;"",Completed!$B$100,"")</f>
        <v>1</v>
      </c>
      <c r="P101" s="72">
        <f ca="1">IF($N$101&lt;&gt;"", INDIRECT("'Tracker'!"&amp;ADDRESS(MATCH($N$101, Tracker[Anime Name], 0) + 2, 3)), "")</f>
        <v>13</v>
      </c>
      <c r="Q101" s="66" t="str">
        <f ca="1">IF($N$101&lt;&gt;"", INDIRECT("'Tracker'!"&amp;ADDRESS(MATCH($N$101, Tracker[Anime Name], 0) + 2, 4)), "")</f>
        <v>A</v>
      </c>
      <c r="R101" s="66" t="str">
        <f ca="1">IF($N$101&lt;&gt;"", INDIRECT("'Tracker'!"&amp;ADDRESS(MATCH($N$101, Tracker[Anime Name], 0) + 2, 5)), "")</f>
        <v>720p</v>
      </c>
      <c r="S101" s="66" t="str">
        <f ca="1">IF($N$101&lt;&gt;"", INDIRECT("'Tracker'!"&amp;ADDRESS(MATCH($N$101, Tracker[Anime Name], 0) + 2, 6)), "")</f>
        <v>TV</v>
      </c>
      <c r="T101" s="66" t="str">
        <f ca="1">IF($N$101&lt;&gt;"", INDIRECT("'Tracker'!"&amp;ADDRESS(MATCH($N$101, Tracker[Anime Name], 0) + 2, 7)), "")</f>
        <v>2012A</v>
      </c>
      <c r="U101" s="72" t="str">
        <f ca="1">IF($N$101&lt;&gt;"", INDIRECT("'Tracker'!"&amp;ADDRESS(MATCH($N$101, Tracker[Anime Name], 0) + 2, 8)), "")</f>
        <v>Hatsuyuki</v>
      </c>
      <c r="V101" s="109">
        <f>IF(Completed!$C$100&lt;&gt;"",Completed!$C$100,"")</f>
        <v>6</v>
      </c>
      <c r="W101" s="109">
        <f>IF(Completed!$D$100&lt;&gt;"",Completed!$D$100,"")</f>
        <v>7</v>
      </c>
      <c r="X101" s="109">
        <f>IF(Completed!$E$100&lt;&gt;"",Completed!$E$100,"")</f>
        <v>6</v>
      </c>
      <c r="Y101" s="109">
        <f>IF(Completed!$F$100&lt;&gt;"",Completed!$F$100,"")</f>
        <v>8</v>
      </c>
      <c r="Z101" s="125">
        <f>IF(Completed!$G$100&lt;&gt;"",Completed!$G$100,"")</f>
        <v>7.2688442211055273</v>
      </c>
      <c r="AA101" s="136">
        <f>IF(Completed!$H$100&lt;&gt;"",Completed!$H$100,"")</f>
        <v>6.3780057171683193</v>
      </c>
      <c r="AB101" s="110">
        <f>IF(Completed!$I$100&lt;&gt;"",Completed!$I$100,"")</f>
        <v>41365</v>
      </c>
      <c r="AC101" s="110">
        <f>IF(Completed!$J$100&lt;&gt;"",Completed!$J$100,"")</f>
        <v>41369</v>
      </c>
      <c r="AD101" s="126" t="str">
        <f>IF(Completed!$K$100&lt;&gt;"",Completed!$K$100,"")</f>
        <v>Kuuko</v>
      </c>
      <c r="AE101" s="127" t="str">
        <f>IF(Completed!$L$100&lt;&gt;"",Completed!$L$100,"")</f>
        <v/>
      </c>
    </row>
    <row r="102" spans="10:31">
      <c r="J102" s="65" t="str">
        <f>IF(Backlog!$A$102&lt;&gt;"",Backlog!$A$102,"")</f>
        <v/>
      </c>
      <c r="K102" s="72" t="str">
        <f>IF(Backlog!$B$102&lt;&gt;"",Backlog!$B$102,"")</f>
        <v/>
      </c>
      <c r="L102" s="123" t="str">
        <f>IF(Backlog!$C$102&lt;&gt;"",Backlog!$C$102,"")</f>
        <v/>
      </c>
      <c r="N102" s="65" t="str">
        <f>IF(Completed!$A$101&lt;&gt;"",Completed!$A$101,"")</f>
        <v>Nisemonogatari</v>
      </c>
      <c r="O102" s="72">
        <f>IF(Completed!$B$101&lt;&gt;"",Completed!$B$101,"")</f>
        <v>2</v>
      </c>
      <c r="P102" s="72">
        <f ca="1">IF($N$102&lt;&gt;"", INDIRECT("'Tracker'!"&amp;ADDRESS(MATCH($N$102, Tracker[Anime Name], 0) + 2, 3)), "")</f>
        <v>11</v>
      </c>
      <c r="Q102" s="66" t="str">
        <f ca="1">IF($N$102&lt;&gt;"", INDIRECT("'Tracker'!"&amp;ADDRESS(MATCH($N$102, Tracker[Anime Name], 0) + 2, 4)), "")</f>
        <v>A</v>
      </c>
      <c r="R102" s="66" t="str">
        <f ca="1">IF($N$102&lt;&gt;"", INDIRECT("'Tracker'!"&amp;ADDRESS(MATCH($N$102, Tracker[Anime Name], 0) + 2, 5)), "")</f>
        <v>720p</v>
      </c>
      <c r="S102" s="66" t="str">
        <f ca="1">IF($N$102&lt;&gt;"", INDIRECT("'Tracker'!"&amp;ADDRESS(MATCH($N$102, Tracker[Anime Name], 0) + 2, 6)), "")</f>
        <v>BD</v>
      </c>
      <c r="T102" s="66" t="str">
        <f ca="1">IF($N$102&lt;&gt;"", INDIRECT("'Tracker'!"&amp;ADDRESS(MATCH($N$102, Tracker[Anime Name], 0) + 2, 7)), "")</f>
        <v>2011D</v>
      </c>
      <c r="U102" s="72" t="str">
        <f ca="1">IF($N$102&lt;&gt;"", INDIRECT("'Tracker'!"&amp;ADDRESS(MATCH($N$102, Tracker[Anime Name], 0) + 2, 8)), "")</f>
        <v>Coalgirls, CMS</v>
      </c>
      <c r="V102" s="109">
        <f>IF(Completed!$C$101&lt;&gt;"",Completed!$C$101,"")</f>
        <v>7</v>
      </c>
      <c r="W102" s="109">
        <f>IF(Completed!$D$101&lt;&gt;"",Completed!$D$101,"")</f>
        <v>7.5</v>
      </c>
      <c r="X102" s="109">
        <f>IF(Completed!$E$101&lt;&gt;"",Completed!$E$101,"")</f>
        <v>4.5</v>
      </c>
      <c r="Y102" s="109">
        <f>IF(Completed!$F$101&lt;&gt;"",Completed!$F$101,"")</f>
        <v>7.5</v>
      </c>
      <c r="Z102" s="125">
        <f>IF(Completed!$G$101&lt;&gt;"",Completed!$G$101,"")</f>
        <v>7.2650753768844218</v>
      </c>
      <c r="AA102" s="136">
        <f>IF(Completed!$H$101&lt;&gt;"",Completed!$H$101,"")</f>
        <v>6.3729611568858235</v>
      </c>
      <c r="AB102" s="110">
        <f>IF(Completed!$I$101&lt;&gt;"",Completed!$I$101,"")</f>
        <v>41345</v>
      </c>
      <c r="AC102" s="110">
        <f>IF(Completed!$J$101&lt;&gt;"",Completed!$J$101,"")</f>
        <v>41350</v>
      </c>
      <c r="AD102" s="126" t="str">
        <f>IF(Completed!$K$101&lt;&gt;"",Completed!$K$101,"")</f>
        <v>Oshino Shinobu</v>
      </c>
      <c r="AE102" s="127" t="str">
        <f>IF(Completed!$L$101&lt;&gt;"",Completed!$L$101,"")</f>
        <v/>
      </c>
    </row>
    <row r="103" spans="10:31">
      <c r="J103" s="65" t="str">
        <f>IF(Backlog!$A$103&lt;&gt;"",Backlog!$A$103,"")</f>
        <v/>
      </c>
      <c r="K103" s="72" t="str">
        <f>IF(Backlog!$B$103&lt;&gt;"",Backlog!$B$103,"")</f>
        <v/>
      </c>
      <c r="L103" s="123" t="str">
        <f>IF(Backlog!$C$103&lt;&gt;"",Backlog!$C$103,"")</f>
        <v/>
      </c>
      <c r="N103" s="65" t="str">
        <f>IF(Completed!$A$102&lt;&gt;"",Completed!$A$102,"")</f>
        <v>Yuyushiki</v>
      </c>
      <c r="O103" s="72">
        <f>IF(Completed!$B$102&lt;&gt;"",Completed!$B$102,"")</f>
        <v>1</v>
      </c>
      <c r="P103" s="72">
        <f ca="1">IF($N$103&lt;&gt;"", INDIRECT("'Tracker'!"&amp;ADDRESS(MATCH($N$103, Tracker[Anime Name], 0) + 2, 3)), "")</f>
        <v>12</v>
      </c>
      <c r="Q103" s="66" t="str">
        <f ca="1">IF($N$103&lt;&gt;"", INDIRECT("'Tracker'!"&amp;ADDRESS(MATCH($N$103, Tracker[Anime Name], 0) + 2, 4)), "")</f>
        <v>A</v>
      </c>
      <c r="R103" s="66" t="str">
        <f ca="1">IF($N$103&lt;&gt;"", INDIRECT("'Tracker'!"&amp;ADDRESS(MATCH($N$103, Tracker[Anime Name], 0) + 2, 5)), "")</f>
        <v>720p</v>
      </c>
      <c r="S103" s="66" t="str">
        <f ca="1">IF($N$103&lt;&gt;"", INDIRECT("'Tracker'!"&amp;ADDRESS(MATCH($N$103, Tracker[Anime Name], 0) + 2, 6)), "")</f>
        <v>BD</v>
      </c>
      <c r="T103" s="66" t="str">
        <f ca="1">IF($N$103&lt;&gt;"", INDIRECT("'Tracker'!"&amp;ADDRESS(MATCH($N$103, Tracker[Anime Name], 0) + 2, 7)), "")</f>
        <v>2013A</v>
      </c>
      <c r="U103" s="72" t="str">
        <f ca="1">IF($N$103&lt;&gt;"", INDIRECT("'Tracker'!"&amp;ADDRESS(MATCH($N$103, Tracker[Anime Name], 0) + 2, 8)), "")</f>
        <v>Commie</v>
      </c>
      <c r="V103" s="109">
        <f>IF(Completed!$C$102&lt;&gt;"",Completed!$C$102,"")</f>
        <v>4</v>
      </c>
      <c r="W103" s="109">
        <f>IF(Completed!$D$102&lt;&gt;"",Completed!$D$102,"")</f>
        <v>7</v>
      </c>
      <c r="X103" s="109">
        <f>IF(Completed!$E$102&lt;&gt;"",Completed!$E$102,"")</f>
        <v>8</v>
      </c>
      <c r="Y103" s="109">
        <f>IF(Completed!$F$102&lt;&gt;"",Completed!$F$102,"")</f>
        <v>8.5</v>
      </c>
      <c r="Z103" s="125">
        <f>IF(Completed!$G$102&lt;&gt;"",Completed!$G$102,"")</f>
        <v>7.2474874371859297</v>
      </c>
      <c r="AA103" s="136">
        <f>IF(Completed!$H$102&lt;&gt;"",Completed!$H$102,"")</f>
        <v>6.3494198755675129</v>
      </c>
      <c r="AB103" s="110">
        <f>IF(Completed!$I$102&lt;&gt;"",Completed!$I$102,"")</f>
        <v>41449</v>
      </c>
      <c r="AC103" s="110">
        <f>IF(Completed!$J$102&lt;&gt;"",Completed!$J$102,"")</f>
        <v>41451</v>
      </c>
      <c r="AD103" s="126" t="str">
        <f>IF(Completed!$K$102&lt;&gt;"",Completed!$K$102,"")</f>
        <v>Hinata Yukari</v>
      </c>
      <c r="AE103" s="127" t="str">
        <f>IF(Completed!$L$102&lt;&gt;"",Completed!$L$102,"")</f>
        <v/>
      </c>
    </row>
    <row r="104" spans="10:31">
      <c r="J104" s="65" t="str">
        <f>IF(Backlog!$A$104&lt;&gt;"",Backlog!$A$104,"")</f>
        <v/>
      </c>
      <c r="K104" s="72" t="str">
        <f>IF(Backlog!$B$104&lt;&gt;"",Backlog!$B$104,"")</f>
        <v/>
      </c>
      <c r="L104" s="123" t="str">
        <f>IF(Backlog!$C$104&lt;&gt;"",Backlog!$C$104,"")</f>
        <v/>
      </c>
      <c r="N104" s="65" t="str">
        <f>IF(Completed!$A$103&lt;&gt;"",Completed!$A$103,"")</f>
        <v>Shinryaku! Ika Musume</v>
      </c>
      <c r="O104" s="72">
        <f>IF(Completed!$B$103&lt;&gt;"",Completed!$B$103,"")</f>
        <v>1</v>
      </c>
      <c r="P104" s="72">
        <f ca="1">IF($N$104&lt;&gt;"", INDIRECT("'Tracker'!"&amp;ADDRESS(MATCH($N$104, Tracker[Anime Name], 0) + 2, 3)), "")</f>
        <v>12</v>
      </c>
      <c r="Q104" s="66" t="str">
        <f ca="1">IF($N$104&lt;&gt;"", INDIRECT("'Tracker'!"&amp;ADDRESS(MATCH($N$104, Tracker[Anime Name], 0) + 2, 4)), "")</f>
        <v>A</v>
      </c>
      <c r="R104" s="66" t="str">
        <f ca="1">IF($N$104&lt;&gt;"", INDIRECT("'Tracker'!"&amp;ADDRESS(MATCH($N$104, Tracker[Anime Name], 0) + 2, 5)), "")</f>
        <v>720p</v>
      </c>
      <c r="S104" s="66" t="str">
        <f ca="1">IF($N$104&lt;&gt;"", INDIRECT("'Tracker'!"&amp;ADDRESS(MATCH($N$104, Tracker[Anime Name], 0) + 2, 6)), "")</f>
        <v>BD</v>
      </c>
      <c r="T104" s="66" t="str">
        <f ca="1">IF($N$104&lt;&gt;"", INDIRECT("'Tracker'!"&amp;ADDRESS(MATCH($N$104, Tracker[Anime Name], 0) + 2, 7)), "")</f>
        <v>2010C</v>
      </c>
      <c r="U104" s="72" t="str">
        <f ca="1">IF($N$104&lt;&gt;"", INDIRECT("'Tracker'!"&amp;ADDRESS(MATCH($N$104, Tracker[Anime Name], 0) + 2, 8)), "")</f>
        <v>FFF</v>
      </c>
      <c r="V104" s="109">
        <f>IF(Completed!$C$103&lt;&gt;"",Completed!$C$103,"")</f>
        <v>3</v>
      </c>
      <c r="W104" s="109">
        <f>IF(Completed!$D$103&lt;&gt;"",Completed!$D$103,"")</f>
        <v>8</v>
      </c>
      <c r="X104" s="109">
        <f>IF(Completed!$E$103&lt;&gt;"",Completed!$E$103,"")</f>
        <v>9</v>
      </c>
      <c r="Y104" s="109">
        <f>IF(Completed!$F$103&lt;&gt;"",Completed!$F$103,"")</f>
        <v>8</v>
      </c>
      <c r="Z104" s="125">
        <f>IF(Completed!$G$103&lt;&gt;"",Completed!$G$103,"")</f>
        <v>7.1306532663316586</v>
      </c>
      <c r="AA104" s="136">
        <f>IF(Completed!$H$103&lt;&gt;"",Completed!$H$103,"")</f>
        <v>6.1930385068101561</v>
      </c>
      <c r="AB104" s="110">
        <f>IF(Completed!$I$103&lt;&gt;"",Completed!$I$103,"")</f>
        <v>41288</v>
      </c>
      <c r="AC104" s="110">
        <f>IF(Completed!$J$103&lt;&gt;"",Completed!$J$103,"")</f>
        <v>41288</v>
      </c>
      <c r="AD104" s="126" t="str">
        <f>IF(Completed!$K$103&lt;&gt;"",Completed!$K$103,"")</f>
        <v>Aizawa Chizuru</v>
      </c>
      <c r="AE104" s="127" t="str">
        <f>IF(Completed!$L$103&lt;&gt;"",Completed!$L$103,"")</f>
        <v/>
      </c>
    </row>
    <row r="105" spans="10:31">
      <c r="J105" s="65" t="str">
        <f>IF(Backlog!$A$105&lt;&gt;"",Backlog!$A$105,"")</f>
        <v/>
      </c>
      <c r="K105" s="72" t="str">
        <f>IF(Backlog!$B$105&lt;&gt;"",Backlog!$B$105,"")</f>
        <v/>
      </c>
      <c r="L105" s="123" t="str">
        <f>IF(Backlog!$C$105&lt;&gt;"",Backlog!$C$105,"")</f>
        <v/>
      </c>
      <c r="N105" s="65" t="str">
        <f>IF(Completed!$A$104&lt;&gt;"",Completed!$A$104,"")</f>
        <v>Naruto</v>
      </c>
      <c r="O105" s="72">
        <f>IF(Completed!$B$104&lt;&gt;"",Completed!$B$104,"")</f>
        <v>5</v>
      </c>
      <c r="P105" s="72">
        <f ca="1">IF($N$105&lt;&gt;"", INDIRECT("'Tracker'!"&amp;ADDRESS(MATCH($N$105, Tracker[Anime Name], 0) + 2, 3)), "")</f>
        <v>220</v>
      </c>
      <c r="Q105" s="66" t="str">
        <f ca="1">IF($N$105&lt;&gt;"", INDIRECT("'Tracker'!"&amp;ADDRESS(MATCH($N$105, Tracker[Anime Name], 0) + 2, 4)), "")</f>
        <v>--</v>
      </c>
      <c r="R105" s="66" t="str">
        <f ca="1">IF($N$105&lt;&gt;"", INDIRECT("'Tracker'!"&amp;ADDRESS(MATCH($N$105, Tracker[Anime Name], 0) + 2, 5)), "")</f>
        <v>--</v>
      </c>
      <c r="S105" s="66" t="str">
        <f ca="1">IF($N$105&lt;&gt;"", INDIRECT("'Tracker'!"&amp;ADDRESS(MATCH($N$105, Tracker[Anime Name], 0) + 2, 6)), "")</f>
        <v>--</v>
      </c>
      <c r="T105" s="66" t="str">
        <f ca="1">IF($N$105&lt;&gt;"", INDIRECT("'Tracker'!"&amp;ADDRESS(MATCH($N$105, Tracker[Anime Name], 0) + 2, 7)), "")</f>
        <v>2002C</v>
      </c>
      <c r="U105" s="72" t="str">
        <f ca="1">IF($N$105&lt;&gt;"", INDIRECT("'Tracker'!"&amp;ADDRESS(MATCH($N$105, Tracker[Anime Name], 0) + 2, 8)), "")</f>
        <v>-- NO DL --</v>
      </c>
      <c r="V105" s="109">
        <f>IF(Completed!$C$104&lt;&gt;"",Completed!$C$104,"")</f>
        <v>7.5</v>
      </c>
      <c r="W105" s="109">
        <f>IF(Completed!$D$104&lt;&gt;"",Completed!$D$104,"")</f>
        <v>8</v>
      </c>
      <c r="X105" s="109">
        <f>IF(Completed!$E$104&lt;&gt;"",Completed!$E$104,"")</f>
        <v>0.5</v>
      </c>
      <c r="Y105" s="109">
        <f>IF(Completed!$F$104&lt;&gt;"",Completed!$F$104,"")</f>
        <v>7</v>
      </c>
      <c r="Z105" s="125">
        <f>IF(Completed!$G$104&lt;&gt;"",Completed!$G$104,"")</f>
        <v>7.0502512562814079</v>
      </c>
      <c r="AA105" s="136">
        <f>IF(Completed!$H$104&lt;&gt;"",Completed!$H$104,"")</f>
        <v>6.0854212207835898</v>
      </c>
      <c r="AB105" s="110">
        <f>IF(Completed!$I$104&lt;&gt;"",Completed!$I$104,"")</f>
        <v>41088</v>
      </c>
      <c r="AC105" s="110">
        <f>IF(Completed!$J$104&lt;&gt;"",Completed!$J$104,"")</f>
        <v>41108</v>
      </c>
      <c r="AD105" s="126" t="str">
        <f>IF(Completed!$K$104&lt;&gt;"",Completed!$K$104,"")</f>
        <v>Hyuuga Hinata</v>
      </c>
      <c r="AE105" s="127" t="str">
        <f>IF(Completed!$L$104&lt;&gt;"",Completed!$L$104,"")</f>
        <v>Too many filler arcs killed everything else. Should have waited for the manga to continue instead</v>
      </c>
    </row>
    <row r="106" spans="10:31">
      <c r="J106" s="65" t="str">
        <f>IF(Backlog!$A$106&lt;&gt;"",Backlog!$A$106,"")</f>
        <v/>
      </c>
      <c r="K106" s="72" t="str">
        <f>IF(Backlog!$B$106&lt;&gt;"",Backlog!$B$106,"")</f>
        <v/>
      </c>
      <c r="L106" s="123" t="str">
        <f>IF(Backlog!$C$106&lt;&gt;"",Backlog!$C$106,"")</f>
        <v/>
      </c>
      <c r="N106" s="65" t="str">
        <f>IF(Completed!$A$105&lt;&gt;"",Completed!$A$105,"")</f>
        <v>Watashi ga Motenai no wa Dou Kangaetemo Omaera no Warui!</v>
      </c>
      <c r="O106" s="72">
        <f>IF(Completed!$B$105&lt;&gt;"",Completed!$B$105,"")</f>
        <v>1</v>
      </c>
      <c r="P106" s="72">
        <f ca="1">IF($N$106&lt;&gt;"", INDIRECT("'Tracker'!"&amp;ADDRESS(MATCH($N$106, Tracker[Anime Name], 0) + 2, 3)), "")</f>
        <v>12</v>
      </c>
      <c r="Q106" s="66" t="str">
        <f ca="1">IF($N$106&lt;&gt;"", INDIRECT("'Tracker'!"&amp;ADDRESS(MATCH($N$106, Tracker[Anime Name], 0) + 2, 4)), "")</f>
        <v>A</v>
      </c>
      <c r="R106" s="66" t="str">
        <f ca="1">IF($N$106&lt;&gt;"", INDIRECT("'Tracker'!"&amp;ADDRESS(MATCH($N$106, Tracker[Anime Name], 0) + 2, 5)), "")</f>
        <v>720p</v>
      </c>
      <c r="S106" s="66" t="str">
        <f ca="1">IF($N$106&lt;&gt;"", INDIRECT("'Tracker'!"&amp;ADDRESS(MATCH($N$106, Tracker[Anime Name], 0) + 2, 6)), "")</f>
        <v>TV</v>
      </c>
      <c r="T106" s="66" t="str">
        <f ca="1">IF($N$106&lt;&gt;"", INDIRECT("'Tracker'!"&amp;ADDRESS(MATCH($N$106, Tracker[Anime Name], 0) + 2, 7)), "")</f>
        <v>2013B</v>
      </c>
      <c r="U106" s="72" t="str">
        <f ca="1">IF($N$106&lt;&gt;"", INDIRECT("'Tracker'!"&amp;ADDRESS(MATCH($N$106, Tracker[Anime Name], 0) + 2, 8)), "")</f>
        <v>FFF, UTW (FTW)</v>
      </c>
      <c r="V106" s="109">
        <f>IF(Completed!$C$105&lt;&gt;"",Completed!$C$105,"")</f>
        <v>6.5</v>
      </c>
      <c r="W106" s="109">
        <f>IF(Completed!$D$105&lt;&gt;"",Completed!$D$105,"")</f>
        <v>7</v>
      </c>
      <c r="X106" s="109">
        <f>IF(Completed!$E$105&lt;&gt;"",Completed!$E$105,"")</f>
        <v>4.5</v>
      </c>
      <c r="Y106" s="109">
        <f>IF(Completed!$F$105&lt;&gt;"",Completed!$F$105,"")</f>
        <v>7.5</v>
      </c>
      <c r="Z106" s="125">
        <f>IF(Completed!$G$105&lt;&gt;"",Completed!$G$105,"")</f>
        <v>7.0389447236180906</v>
      </c>
      <c r="AA106" s="136">
        <f>IF(Completed!$H$105&lt;&gt;"",Completed!$H$105,"")</f>
        <v>6.0702875399361016</v>
      </c>
      <c r="AB106" s="110">
        <f>IF(Completed!$I$105&lt;&gt;"",Completed!$I$105,"")</f>
        <v>41464</v>
      </c>
      <c r="AC106" s="110">
        <f>IF(Completed!$J$105&lt;&gt;"",Completed!$J$105,"")</f>
        <v>41543</v>
      </c>
      <c r="AD106" s="126" t="str">
        <f>IF(Completed!$K$105&lt;&gt;"",Completed!$K$105,"")</f>
        <v>Kii</v>
      </c>
      <c r="AE106" s="127" t="str">
        <f>IF(Completed!$L$105&lt;&gt;"",Completed!$L$105,"")</f>
        <v/>
      </c>
    </row>
    <row r="107" spans="10:31">
      <c r="J107" s="65" t="str">
        <f>IF(Backlog!$A$107&lt;&gt;"",Backlog!$A$107,"")</f>
        <v/>
      </c>
      <c r="K107" s="72" t="str">
        <f>IF(Backlog!$B$107&lt;&gt;"",Backlog!$B$107,"")</f>
        <v/>
      </c>
      <c r="L107" s="123" t="str">
        <f>IF(Backlog!$C$107&lt;&gt;"",Backlog!$C$107,"")</f>
        <v/>
      </c>
      <c r="N107" s="65" t="str">
        <f>IF(Completed!$A$106&lt;&gt;"",Completed!$A$106,"")</f>
        <v>Panty &amp; Stocking with Garterbelt</v>
      </c>
      <c r="O107" s="72">
        <f>IF(Completed!$B$106&lt;&gt;"",Completed!$B$106,"")</f>
        <v>1</v>
      </c>
      <c r="P107" s="72">
        <f ca="1">IF($N$107&lt;&gt;"", INDIRECT("'Tracker'!"&amp;ADDRESS(MATCH($N$107, Tracker[Anime Name], 0) + 2, 3)), "")</f>
        <v>13</v>
      </c>
      <c r="Q107" s="66" t="str">
        <f ca="1">IF($N$107&lt;&gt;"", INDIRECT("'Tracker'!"&amp;ADDRESS(MATCH($N$107, Tracker[Anime Name], 0) + 2, 4)), "")</f>
        <v>A</v>
      </c>
      <c r="R107" s="66" t="str">
        <f ca="1">IF($N$107&lt;&gt;"", INDIRECT("'Tracker'!"&amp;ADDRESS(MATCH($N$107, Tracker[Anime Name], 0) + 2, 5)), "")</f>
        <v>720p</v>
      </c>
      <c r="S107" s="66" t="str">
        <f ca="1">IF($N$107&lt;&gt;"", INDIRECT("'Tracker'!"&amp;ADDRESS(MATCH($N$107, Tracker[Anime Name], 0) + 2, 6)), "")</f>
        <v>BD</v>
      </c>
      <c r="T107" s="66" t="str">
        <f ca="1">IF($N$107&lt;&gt;"", INDIRECT("'Tracker'!"&amp;ADDRESS(MATCH($N$107, Tracker[Anime Name], 0) + 2, 7)), "")</f>
        <v>2010C</v>
      </c>
      <c r="U107" s="72" t="str">
        <f ca="1">IF($N$107&lt;&gt;"", INDIRECT("'Tracker'!"&amp;ADDRESS(MATCH($N$107, Tracker[Anime Name], 0) + 2, 8)), "")</f>
        <v>WhyNot</v>
      </c>
      <c r="V107" s="109">
        <f>IF(Completed!$C$106&lt;&gt;"",Completed!$C$106,"")</f>
        <v>5</v>
      </c>
      <c r="W107" s="109">
        <f>IF(Completed!$D$106&lt;&gt;"",Completed!$D$106,"")</f>
        <v>7</v>
      </c>
      <c r="X107" s="109">
        <f>IF(Completed!$E$106&lt;&gt;"",Completed!$E$106,"")</f>
        <v>4.5</v>
      </c>
      <c r="Y107" s="109">
        <f>IF(Completed!$F$106&lt;&gt;"",Completed!$F$106,"")</f>
        <v>8</v>
      </c>
      <c r="Z107" s="125">
        <f>IF(Completed!$G$106&lt;&gt;"",Completed!$G$106,"")</f>
        <v>7.0138190954773867</v>
      </c>
      <c r="AA107" s="136">
        <f>IF(Completed!$H$106&lt;&gt;"",Completed!$H$106,"")</f>
        <v>6.0366571380527994</v>
      </c>
      <c r="AB107" s="110">
        <f>IF(Completed!$I$106&lt;&gt;"",Completed!$I$106,"")</f>
        <v>41470</v>
      </c>
      <c r="AC107" s="110">
        <f>IF(Completed!$J$106&lt;&gt;"",Completed!$J$106,"")</f>
        <v>41482</v>
      </c>
      <c r="AD107" s="126" t="str">
        <f>IF(Completed!$K$106&lt;&gt;"",Completed!$K$106,"")</f>
        <v>Stocking Anarchy</v>
      </c>
      <c r="AE107" s="127" t="str">
        <f>IF(Completed!$L$106&lt;&gt;"",Completed!$L$106,"")</f>
        <v>Interesting animation style, nice break from "normal" anime</v>
      </c>
    </row>
    <row r="108" spans="10:31">
      <c r="J108" s="65" t="str">
        <f>IF(Backlog!$A$108&lt;&gt;"",Backlog!$A$108,"")</f>
        <v/>
      </c>
      <c r="K108" s="72" t="str">
        <f>IF(Backlog!$B$108&lt;&gt;"",Backlog!$B$108,"")</f>
        <v/>
      </c>
      <c r="L108" s="123" t="str">
        <f>IF(Backlog!$C$108&lt;&gt;"",Backlog!$C$108,"")</f>
        <v/>
      </c>
      <c r="N108" s="65" t="str">
        <f>IF(Completed!$A$107&lt;&gt;"",Completed!$A$107,"")</f>
        <v>Shinryaku?! Ika Musume</v>
      </c>
      <c r="O108" s="72">
        <f>IF(Completed!$B$107&lt;&gt;"",Completed!$B$107,"")</f>
        <v>2</v>
      </c>
      <c r="P108" s="72">
        <f ca="1">IF($N$108&lt;&gt;"", INDIRECT("'Tracker'!"&amp;ADDRESS(MATCH($N$108, Tracker[Anime Name], 0) + 2, 3)), "")</f>
        <v>12</v>
      </c>
      <c r="Q108" s="66" t="str">
        <f ca="1">IF($N$108&lt;&gt;"", INDIRECT("'Tracker'!"&amp;ADDRESS(MATCH($N$108, Tracker[Anime Name], 0) + 2, 4)), "")</f>
        <v>A</v>
      </c>
      <c r="R108" s="66" t="str">
        <f ca="1">IF($N$108&lt;&gt;"", INDIRECT("'Tracker'!"&amp;ADDRESS(MATCH($N$108, Tracker[Anime Name], 0) + 2, 5)), "")</f>
        <v>720p</v>
      </c>
      <c r="S108" s="66" t="str">
        <f ca="1">IF($N$108&lt;&gt;"", INDIRECT("'Tracker'!"&amp;ADDRESS(MATCH($N$108, Tracker[Anime Name], 0) + 2, 6)), "")</f>
        <v>BD</v>
      </c>
      <c r="T108" s="66" t="str">
        <f ca="1">IF($N$108&lt;&gt;"", INDIRECT("'Tracker'!"&amp;ADDRESS(MATCH($N$108, Tracker[Anime Name], 0) + 2, 7)), "")</f>
        <v>2011C</v>
      </c>
      <c r="U108" s="72" t="str">
        <f ca="1">IF($N$108&lt;&gt;"", INDIRECT("'Tracker'!"&amp;ADDRESS(MATCH($N$108, Tracker[Anime Name], 0) + 2, 8)), "")</f>
        <v>FFF</v>
      </c>
      <c r="V108" s="109">
        <f>IF(Completed!$C$107&lt;&gt;"",Completed!$C$107,"")</f>
        <v>3.5</v>
      </c>
      <c r="W108" s="109">
        <f>IF(Completed!$D$107&lt;&gt;"",Completed!$D$107,"")</f>
        <v>8</v>
      </c>
      <c r="X108" s="109">
        <f>IF(Completed!$E$107&lt;&gt;"",Completed!$E$107,"")</f>
        <v>9</v>
      </c>
      <c r="Y108" s="109">
        <f>IF(Completed!$F$107&lt;&gt;"",Completed!$F$107,"")</f>
        <v>7.5</v>
      </c>
      <c r="Z108" s="125">
        <f>IF(Completed!$G$107&lt;&gt;"",Completed!$G$107,"")</f>
        <v>6.9723618090452257</v>
      </c>
      <c r="AA108" s="136">
        <f>IF(Completed!$H$107&lt;&gt;"",Completed!$H$107,"")</f>
        <v>5.9811669749453493</v>
      </c>
      <c r="AB108" s="110">
        <f>IF(Completed!$I$107&lt;&gt;"",Completed!$I$107,"")</f>
        <v>41289</v>
      </c>
      <c r="AC108" s="110">
        <f>IF(Completed!$J$107&lt;&gt;"",Completed!$J$107,"")</f>
        <v>41289</v>
      </c>
      <c r="AD108" s="126" t="str">
        <f>IF(Completed!$K$107&lt;&gt;"",Completed!$K$107,"")</f>
        <v>Aizawa Chizuru</v>
      </c>
      <c r="AE108" s="127" t="str">
        <f>IF(Completed!$L$107&lt;&gt;"",Completed!$L$107,"")</f>
        <v/>
      </c>
    </row>
    <row r="109" spans="10:31">
      <c r="J109" s="65" t="str">
        <f>IF(Backlog!$A$109&lt;&gt;"",Backlog!$A$109,"")</f>
        <v/>
      </c>
      <c r="K109" s="72" t="str">
        <f>IF(Backlog!$B$109&lt;&gt;"",Backlog!$B$109,"")</f>
        <v/>
      </c>
      <c r="L109" s="123" t="str">
        <f>IF(Backlog!$C$109&lt;&gt;"",Backlog!$C$109,"")</f>
        <v/>
      </c>
      <c r="N109" s="65" t="str">
        <f>IF(Completed!$A$108&lt;&gt;"",Completed!$A$108,"")</f>
        <v>Haiyore! Nyaruko-san W</v>
      </c>
      <c r="O109" s="72">
        <f>IF(Completed!$B$108&lt;&gt;"",Completed!$B$108,"")</f>
        <v>2</v>
      </c>
      <c r="P109" s="72">
        <f ca="1">IF($N$109&lt;&gt;"", INDIRECT("'Tracker'!"&amp;ADDRESS(MATCH($N$109, Tracker[Anime Name], 0) + 2, 3)), "")</f>
        <v>12</v>
      </c>
      <c r="Q109" s="66" t="str">
        <f ca="1">IF($N$109&lt;&gt;"", INDIRECT("'Tracker'!"&amp;ADDRESS(MATCH($N$109, Tracker[Anime Name], 0) + 2, 4)), "")</f>
        <v>A</v>
      </c>
      <c r="R109" s="66" t="str">
        <f ca="1">IF($N$109&lt;&gt;"", INDIRECT("'Tracker'!"&amp;ADDRESS(MATCH($N$109, Tracker[Anime Name], 0) + 2, 5)), "")</f>
        <v>720p</v>
      </c>
      <c r="S109" s="66" t="str">
        <f ca="1">IF($N$109&lt;&gt;"", INDIRECT("'Tracker'!"&amp;ADDRESS(MATCH($N$109, Tracker[Anime Name], 0) + 2, 6)), "")</f>
        <v>BD</v>
      </c>
      <c r="T109" s="66" t="str">
        <f ca="1">IF($N$109&lt;&gt;"", INDIRECT("'Tracker'!"&amp;ADDRESS(MATCH($N$109, Tracker[Anime Name], 0) + 2, 7)), "")</f>
        <v>2013A</v>
      </c>
      <c r="U109" s="72" t="str">
        <f ca="1">IF($N$109&lt;&gt;"", INDIRECT("'Tracker'!"&amp;ADDRESS(MATCH($N$109, Tracker[Anime Name], 0) + 2, 8)), "")</f>
        <v>Final8</v>
      </c>
      <c r="V109" s="109">
        <f>IF(Completed!$C$108&lt;&gt;"",Completed!$C$108,"")</f>
        <v>5.5</v>
      </c>
      <c r="W109" s="109">
        <f>IF(Completed!$D$108&lt;&gt;"",Completed!$D$108,"")</f>
        <v>7</v>
      </c>
      <c r="X109" s="109">
        <f>IF(Completed!$E$108&lt;&gt;"",Completed!$E$108,"")</f>
        <v>6.5</v>
      </c>
      <c r="Y109" s="109">
        <f>IF(Completed!$F$108&lt;&gt;"",Completed!$F$108,"")</f>
        <v>7.5</v>
      </c>
      <c r="Z109" s="125">
        <f>IF(Completed!$G$108&lt;&gt;"",Completed!$G$108,"")</f>
        <v>6.9510050251256281</v>
      </c>
      <c r="AA109" s="136">
        <f>IF(Completed!$H$108&lt;&gt;"",Completed!$H$108,"")</f>
        <v>5.9525811333445429</v>
      </c>
      <c r="AB109" s="110">
        <f>IF(Completed!$I$108&lt;&gt;"",Completed!$I$108,"")</f>
        <v>41371</v>
      </c>
      <c r="AC109" s="110">
        <f>IF(Completed!$J$108&lt;&gt;"",Completed!$J$108,"")</f>
        <v>41455</v>
      </c>
      <c r="AD109" s="126" t="str">
        <f>IF(Completed!$K$108&lt;&gt;"",Completed!$K$108,"")</f>
        <v>Kuuko</v>
      </c>
      <c r="AE109" s="127" t="str">
        <f>IF(Completed!$L$108&lt;&gt;"",Completed!$L$108,"")</f>
        <v/>
      </c>
    </row>
    <row r="110" spans="10:31">
      <c r="J110" s="65" t="str">
        <f>IF(Backlog!$A$110&lt;&gt;"",Backlog!$A$110,"")</f>
        <v/>
      </c>
      <c r="K110" s="72" t="str">
        <f>IF(Backlog!$B$110&lt;&gt;"",Backlog!$B$110,"")</f>
        <v/>
      </c>
      <c r="L110" s="123" t="str">
        <f>IF(Backlog!$C$110&lt;&gt;"",Backlog!$C$110,"")</f>
        <v/>
      </c>
      <c r="N110" s="65" t="str">
        <f>IF(Completed!$A$109&lt;&gt;"",Completed!$A$109,"")</f>
        <v>Nekomonogatari Black</v>
      </c>
      <c r="O110" s="72">
        <f>IF(Completed!$B$109&lt;&gt;"",Completed!$B$109,"")</f>
        <v>1</v>
      </c>
      <c r="P110" s="72">
        <f ca="1">IF($N$110&lt;&gt;"", INDIRECT("'Tracker'!"&amp;ADDRESS(MATCH($N$110, Tracker[Anime Name], 0) + 2, 3)), "")</f>
        <v>4</v>
      </c>
      <c r="Q110" s="66" t="str">
        <f ca="1">IF($N$110&lt;&gt;"", INDIRECT("'Tracker'!"&amp;ADDRESS(MATCH($N$110, Tracker[Anime Name], 0) + 2, 4)), "")</f>
        <v>A</v>
      </c>
      <c r="R110" s="66" t="str">
        <f ca="1">IF($N$110&lt;&gt;"", INDIRECT("'Tracker'!"&amp;ADDRESS(MATCH($N$110, Tracker[Anime Name], 0) + 2, 5)), "")</f>
        <v>1080p</v>
      </c>
      <c r="S110" s="66" t="str">
        <f ca="1">IF($N$110&lt;&gt;"", INDIRECT("'Tracker'!"&amp;ADDRESS(MATCH($N$110, Tracker[Anime Name], 0) + 2, 6)), "")</f>
        <v>BD</v>
      </c>
      <c r="T110" s="66" t="str">
        <f ca="1">IF($N$110&lt;&gt;"", INDIRECT("'Tracker'!"&amp;ADDRESS(MATCH($N$110, Tracker[Anime Name], 0) + 2, 7)), "")</f>
        <v>2012D</v>
      </c>
      <c r="U110" s="72" t="str">
        <f ca="1">IF($N$110&lt;&gt;"", INDIRECT("'Tracker'!"&amp;ADDRESS(MATCH($N$110, Tracker[Anime Name], 0) + 2, 8)), "")</f>
        <v>Coalgirls, Mazui</v>
      </c>
      <c r="V110" s="109">
        <f>IF(Completed!$C$109&lt;&gt;"",Completed!$C$109,"")</f>
        <v>7</v>
      </c>
      <c r="W110" s="109">
        <f>IF(Completed!$D$109&lt;&gt;"",Completed!$D$109,"")</f>
        <v>6.5</v>
      </c>
      <c r="X110" s="109">
        <f>IF(Completed!$E$109&lt;&gt;"",Completed!$E$109,"")</f>
        <v>2.5</v>
      </c>
      <c r="Y110" s="109">
        <f>IF(Completed!$F$109&lt;&gt;"",Completed!$F$109,"")</f>
        <v>7.5</v>
      </c>
      <c r="Z110" s="125">
        <f>IF(Completed!$G$109&lt;&gt;"",Completed!$G$109,"")</f>
        <v>6.9007537688442211</v>
      </c>
      <c r="AA110" s="136">
        <f>IF(Completed!$H$109&lt;&gt;"",Completed!$H$109,"")</f>
        <v>5.8853203295779384</v>
      </c>
      <c r="AB110" s="110">
        <f>IF(Completed!$I$109&lt;&gt;"",Completed!$I$109,"")</f>
        <v>41465</v>
      </c>
      <c r="AC110" s="110">
        <f>IF(Completed!$J$109&lt;&gt;"",Completed!$J$109,"")</f>
        <v>41465</v>
      </c>
      <c r="AD110" s="126" t="str">
        <f>IF(Completed!$K$109&lt;&gt;"",Completed!$K$109,"")</f>
        <v>Oshino Shinobu</v>
      </c>
      <c r="AE110" s="127" t="str">
        <f>IF(Completed!$L$109&lt;&gt;"",Completed!$L$109,"")</f>
        <v>Pretty relaxing to watch, got better near the end</v>
      </c>
    </row>
    <row r="111" spans="10:31">
      <c r="J111" s="65" t="str">
        <f>IF(Backlog!$A$111&lt;&gt;"",Backlog!$A$111,"")</f>
        <v/>
      </c>
      <c r="K111" s="72" t="str">
        <f>IF(Backlog!$B$111&lt;&gt;"",Backlog!$B$111,"")</f>
        <v/>
      </c>
      <c r="L111" s="123" t="str">
        <f>IF(Backlog!$C$111&lt;&gt;"",Backlog!$C$111,"")</f>
        <v/>
      </c>
      <c r="N111" s="65" t="str">
        <f>IF(Completed!$A$110&lt;&gt;"",Completed!$A$110,"")</f>
        <v>Photokano</v>
      </c>
      <c r="O111" s="72">
        <f>IF(Completed!$B$110&lt;&gt;"",Completed!$B$110,"")</f>
        <v>1</v>
      </c>
      <c r="P111" s="72">
        <f ca="1">IF($N$111&lt;&gt;"", INDIRECT("'Tracker'!"&amp;ADDRESS(MATCH($N$111, Tracker[Anime Name], 0) + 2, 3)), "")</f>
        <v>13</v>
      </c>
      <c r="Q111" s="66" t="str">
        <f ca="1">IF($N$111&lt;&gt;"", INDIRECT("'Tracker'!"&amp;ADDRESS(MATCH($N$111, Tracker[Anime Name], 0) + 2, 4)), "")</f>
        <v>A</v>
      </c>
      <c r="R111" s="66" t="str">
        <f ca="1">IF($N$111&lt;&gt;"", INDIRECT("'Tracker'!"&amp;ADDRESS(MATCH($N$111, Tracker[Anime Name], 0) + 2, 5)), "")</f>
        <v>720p</v>
      </c>
      <c r="S111" s="66" t="str">
        <f ca="1">IF($N$111&lt;&gt;"", INDIRECT("'Tracker'!"&amp;ADDRESS(MATCH($N$111, Tracker[Anime Name], 0) + 2, 6)), "")</f>
        <v>TV</v>
      </c>
      <c r="T111" s="66" t="str">
        <f ca="1">IF($N$111&lt;&gt;"", INDIRECT("'Tracker'!"&amp;ADDRESS(MATCH($N$111, Tracker[Anime Name], 0) + 2, 7)), "")</f>
        <v>2013A</v>
      </c>
      <c r="U111" s="72" t="str">
        <f ca="1">IF($N$111&lt;&gt;"", INDIRECT("'Tracker'!"&amp;ADDRESS(MATCH($N$111, Tracker[Anime Name], 0) + 2, 8)), "")</f>
        <v>HorribleSubs</v>
      </c>
      <c r="V111" s="109">
        <f>IF(Completed!$C$110&lt;&gt;"",Completed!$C$110,"")</f>
        <v>6.5</v>
      </c>
      <c r="W111" s="109">
        <f>IF(Completed!$D$110&lt;&gt;"",Completed!$D$110,"")</f>
        <v>7</v>
      </c>
      <c r="X111" s="109">
        <f>IF(Completed!$E$110&lt;&gt;"",Completed!$E$110,"")</f>
        <v>6.5</v>
      </c>
      <c r="Y111" s="109">
        <f>IF(Completed!$F$110&lt;&gt;"",Completed!$F$110,"")</f>
        <v>7</v>
      </c>
      <c r="Z111" s="125">
        <f>IF(Completed!$G$110&lt;&gt;"",Completed!$G$110,"")</f>
        <v>6.8844221105527632</v>
      </c>
      <c r="AA111" s="136">
        <f>IF(Completed!$H$110&lt;&gt;"",Completed!$H$110,"")</f>
        <v>5.8634605683537906</v>
      </c>
      <c r="AB111" s="110">
        <f>IF(Completed!$I$110&lt;&gt;"",Completed!$I$110,"")</f>
        <v>41371</v>
      </c>
      <c r="AC111" s="110">
        <f>IF(Completed!$J$110&lt;&gt;"",Completed!$J$110,"")</f>
        <v>41453</v>
      </c>
      <c r="AD111" s="126" t="str">
        <f>IF(Completed!$K$110&lt;&gt;"",Completed!$K$110,"")</f>
        <v>Sakura Mai</v>
      </c>
      <c r="AE111" s="127" t="str">
        <f>IF(Completed!$L$110&lt;&gt;"",Completed!$L$110,"")</f>
        <v/>
      </c>
    </row>
    <row r="112" spans="10:31">
      <c r="J112" s="65" t="str">
        <f>IF(Backlog!$A$112&lt;&gt;"",Backlog!$A$112,"")</f>
        <v/>
      </c>
      <c r="K112" s="72" t="str">
        <f>IF(Backlog!$B$112&lt;&gt;"",Backlog!$B$112,"")</f>
        <v/>
      </c>
      <c r="L112" s="123" t="str">
        <f>IF(Backlog!$C$112&lt;&gt;"",Backlog!$C$112,"")</f>
        <v/>
      </c>
      <c r="N112" s="65" t="str">
        <f>IF(Completed!$A$111&lt;&gt;"",Completed!$A$111,"")</f>
        <v>Sasami-san @ Ganbaranai</v>
      </c>
      <c r="O112" s="72">
        <f>IF(Completed!$B$111&lt;&gt;"",Completed!$B$111,"")</f>
        <v>1</v>
      </c>
      <c r="P112" s="72">
        <f ca="1">IF($N$112&lt;&gt;"", INDIRECT("'Tracker'!"&amp;ADDRESS(MATCH($N$112, Tracker[Anime Name], 0) + 2, 3)), "")</f>
        <v>12</v>
      </c>
      <c r="Q112" s="66" t="str">
        <f ca="1">IF($N$112&lt;&gt;"", INDIRECT("'Tracker'!"&amp;ADDRESS(MATCH($N$112, Tracker[Anime Name], 0) + 2, 4)), "")</f>
        <v>A</v>
      </c>
      <c r="R112" s="66" t="str">
        <f ca="1">IF($N$112&lt;&gt;"", INDIRECT("'Tracker'!"&amp;ADDRESS(MATCH($N$112, Tracker[Anime Name], 0) + 2, 5)), "")</f>
        <v>720p</v>
      </c>
      <c r="S112" s="66" t="str">
        <f ca="1">IF($N$112&lt;&gt;"", INDIRECT("'Tracker'!"&amp;ADDRESS(MATCH($N$112, Tracker[Anime Name], 0) + 2, 6)), "")</f>
        <v>TV</v>
      </c>
      <c r="T112" s="66" t="str">
        <f ca="1">IF($N$112&lt;&gt;"", INDIRECT("'Tracker'!"&amp;ADDRESS(MATCH($N$112, Tracker[Anime Name], 0) + 2, 7)), "")</f>
        <v>2012D</v>
      </c>
      <c r="U112" s="72" t="str">
        <f ca="1">IF($N$112&lt;&gt;"", INDIRECT("'Tracker'!"&amp;ADDRESS(MATCH($N$112, Tracker[Anime Name], 0) + 2, 8)), "")</f>
        <v>FFF</v>
      </c>
      <c r="V112" s="109">
        <f>IF(Completed!$C$111&lt;&gt;"",Completed!$C$111,"")</f>
        <v>7</v>
      </c>
      <c r="W112" s="109">
        <f>IF(Completed!$D$111&lt;&gt;"",Completed!$D$111,"")</f>
        <v>7</v>
      </c>
      <c r="X112" s="109">
        <f>IF(Completed!$E$111&lt;&gt;"",Completed!$E$111,"")</f>
        <v>4.5</v>
      </c>
      <c r="Y112" s="109">
        <f>IF(Completed!$F$111&lt;&gt;"",Completed!$F$111,"")</f>
        <v>7</v>
      </c>
      <c r="Z112" s="125">
        <f>IF(Completed!$G$111&lt;&gt;"",Completed!$G$111,"")</f>
        <v>6.8806532663316577</v>
      </c>
      <c r="AA112" s="136">
        <f>IF(Completed!$H$111&lt;&gt;"",Completed!$H$111,"")</f>
        <v>5.8584160080712957</v>
      </c>
      <c r="AB112" s="110">
        <f>IF(Completed!$I$111&lt;&gt;"",Completed!$I$111,"")</f>
        <v>41292</v>
      </c>
      <c r="AC112" s="110">
        <f>IF(Completed!$J$111&lt;&gt;"",Completed!$J$111,"")</f>
        <v>41369</v>
      </c>
      <c r="AD112" s="126" t="str">
        <f>IF(Completed!$K$111&lt;&gt;"",Completed!$K$111,"")</f>
        <v>Yagami Kagami</v>
      </c>
      <c r="AE112" s="127" t="str">
        <f>IF(Completed!$L$111&lt;&gt;"",Completed!$L$111,"")</f>
        <v/>
      </c>
    </row>
    <row r="113" spans="10:31">
      <c r="J113" s="65" t="str">
        <f>IF(Backlog!$A$113&lt;&gt;"",Backlog!$A$113,"")</f>
        <v/>
      </c>
      <c r="K113" s="72" t="str">
        <f>IF(Backlog!$B$113&lt;&gt;"",Backlog!$B$113,"")</f>
        <v/>
      </c>
      <c r="L113" s="123" t="str">
        <f>IF(Backlog!$C$113&lt;&gt;"",Backlog!$C$113,"")</f>
        <v/>
      </c>
      <c r="N113" s="65" t="str">
        <f>IF(Completed!$A$112&lt;&gt;"",Completed!$A$112,"")</f>
        <v>Red Data Girl</v>
      </c>
      <c r="O113" s="72">
        <f>IF(Completed!$B$112&lt;&gt;"",Completed!$B$112,"")</f>
        <v>1</v>
      </c>
      <c r="P113" s="72">
        <f ca="1">IF($N$113&lt;&gt;"", INDIRECT("'Tracker'!"&amp;ADDRESS(MATCH($N$113, Tracker[Anime Name], 0) + 2, 3)), "")</f>
        <v>12</v>
      </c>
      <c r="Q113" s="66" t="str">
        <f ca="1">IF($N$113&lt;&gt;"", INDIRECT("'Tracker'!"&amp;ADDRESS(MATCH($N$113, Tracker[Anime Name], 0) + 2, 4)), "")</f>
        <v>A</v>
      </c>
      <c r="R113" s="66" t="str">
        <f ca="1">IF($N$113&lt;&gt;"", INDIRECT("'Tracker'!"&amp;ADDRESS(MATCH($N$113, Tracker[Anime Name], 0) + 2, 5)), "")</f>
        <v>720p</v>
      </c>
      <c r="S113" s="66" t="str">
        <f ca="1">IF($N$113&lt;&gt;"", INDIRECT("'Tracker'!"&amp;ADDRESS(MATCH($N$113, Tracker[Anime Name], 0) + 2, 6)), "")</f>
        <v>TV</v>
      </c>
      <c r="T113" s="66" t="str">
        <f ca="1">IF($N$113&lt;&gt;"", INDIRECT("'Tracker'!"&amp;ADDRESS(MATCH($N$113, Tracker[Anime Name], 0) + 2, 7)), "")</f>
        <v>2013A</v>
      </c>
      <c r="U113" s="72" t="str">
        <f ca="1">IF($N$113&lt;&gt;"", INDIRECT("'Tracker'!"&amp;ADDRESS(MATCH($N$113, Tracker[Anime Name], 0) + 2, 8)), "")</f>
        <v>HorribleSubs</v>
      </c>
      <c r="V113" s="109">
        <f>IF(Completed!$C$112&lt;&gt;"",Completed!$C$112,"")</f>
        <v>7</v>
      </c>
      <c r="W113" s="109">
        <f>IF(Completed!$D$112&lt;&gt;"",Completed!$D$112,"")</f>
        <v>6</v>
      </c>
      <c r="X113" s="109">
        <f>IF(Completed!$E$112&lt;&gt;"",Completed!$E$112,"")</f>
        <v>4.5</v>
      </c>
      <c r="Y113" s="109">
        <f>IF(Completed!$F$112&lt;&gt;"",Completed!$F$112,"")</f>
        <v>7.5</v>
      </c>
      <c r="Z113" s="125">
        <f>IF(Completed!$G$112&lt;&gt;"",Completed!$G$112,"")</f>
        <v>6.8618090452261313</v>
      </c>
      <c r="AA113" s="136">
        <f>IF(Completed!$H$112&lt;&gt;"",Completed!$H$112,"")</f>
        <v>5.8331932066588204</v>
      </c>
      <c r="AB113" s="110">
        <f>IF(Completed!$I$112&lt;&gt;"",Completed!$I$112,"")</f>
        <v>41379</v>
      </c>
      <c r="AC113" s="110">
        <f>IF(Completed!$J$112&lt;&gt;"",Completed!$J$112,"")</f>
        <v>41464</v>
      </c>
      <c r="AD113" s="126" t="str">
        <f>IF(Completed!$K$112&lt;&gt;"",Completed!$K$112,"")</f>
        <v>Himegami</v>
      </c>
      <c r="AE113" s="127" t="str">
        <f>IF(Completed!$L$112&lt;&gt;"",Completed!$L$112,"")</f>
        <v>They tried a bit too hard. 3strange5me</v>
      </c>
    </row>
    <row r="114" spans="10:31">
      <c r="J114" s="65" t="str">
        <f>IF(Backlog!$A$114&lt;&gt;"",Backlog!$A$114,"")</f>
        <v/>
      </c>
      <c r="K114" s="72" t="str">
        <f>IF(Backlog!$B$114&lt;&gt;"",Backlog!$B$114,"")</f>
        <v/>
      </c>
      <c r="L114" s="123" t="str">
        <f>IF(Backlog!$C$114&lt;&gt;"",Backlog!$C$114,"")</f>
        <v/>
      </c>
      <c r="N114" s="65" t="str">
        <f>IF(Completed!$A$113&lt;&gt;"",Completed!$A$113,"")</f>
        <v>Yuru Yuri ♪♪</v>
      </c>
      <c r="O114" s="72">
        <f>IF(Completed!$B$113&lt;&gt;"",Completed!$B$113,"")</f>
        <v>2</v>
      </c>
      <c r="P114" s="72">
        <f ca="1">IF($N$114&lt;&gt;"", INDIRECT("'Tracker'!"&amp;ADDRESS(MATCH($N$114, Tracker[Anime Name], 0) + 2, 3)), "")</f>
        <v>12</v>
      </c>
      <c r="Q114" s="66" t="str">
        <f ca="1">IF($N$114&lt;&gt;"", INDIRECT("'Tracker'!"&amp;ADDRESS(MATCH($N$114, Tracker[Anime Name], 0) + 2, 4)), "")</f>
        <v>A</v>
      </c>
      <c r="R114" s="66" t="str">
        <f ca="1">IF($N$114&lt;&gt;"", INDIRECT("'Tracker'!"&amp;ADDRESS(MATCH($N$114, Tracker[Anime Name], 0) + 2, 5)), "")</f>
        <v>1080p</v>
      </c>
      <c r="S114" s="66" t="str">
        <f ca="1">IF($N$114&lt;&gt;"", INDIRECT("'Tracker'!"&amp;ADDRESS(MATCH($N$114, Tracker[Anime Name], 0) + 2, 6)), "")</f>
        <v>BD</v>
      </c>
      <c r="T114" s="66" t="str">
        <f ca="1">IF($N$114&lt;&gt;"", INDIRECT("'Tracker'!"&amp;ADDRESS(MATCH($N$114, Tracker[Anime Name], 0) + 2, 7)), "")</f>
        <v>2012B</v>
      </c>
      <c r="U114" s="72" t="str">
        <f ca="1">IF($N$114&lt;&gt;"", INDIRECT("'Tracker'!"&amp;ADDRESS(MATCH($N$114, Tracker[Anime Name], 0) + 2, 8)), "")</f>
        <v>Doki</v>
      </c>
      <c r="V114" s="109">
        <f>IF(Completed!$C$113&lt;&gt;"",Completed!$C$113,"")</f>
        <v>2</v>
      </c>
      <c r="W114" s="109">
        <f>IF(Completed!$D$113&lt;&gt;"",Completed!$D$113,"")</f>
        <v>7.5</v>
      </c>
      <c r="X114" s="109">
        <f>IF(Completed!$E$113&lt;&gt;"",Completed!$E$113,"")</f>
        <v>10</v>
      </c>
      <c r="Y114" s="109">
        <f>IF(Completed!$F$113&lt;&gt;"",Completed!$F$113,"")</f>
        <v>8</v>
      </c>
      <c r="Z114" s="125">
        <f>IF(Completed!$G$113&lt;&gt;"",Completed!$G$113,"")</f>
        <v>6.8605527638190953</v>
      </c>
      <c r="AA114" s="136">
        <f>IF(Completed!$H$113&lt;&gt;"",Completed!$H$113,"")</f>
        <v>5.8315116865646539</v>
      </c>
      <c r="AB114" s="110">
        <f>IF(Completed!$I$113&lt;&gt;"",Completed!$I$113,"")</f>
        <v>41229</v>
      </c>
      <c r="AC114" s="110">
        <f>IF(Completed!$J$113&lt;&gt;"",Completed!$J$113,"")</f>
        <v>41230</v>
      </c>
      <c r="AD114" s="126" t="str">
        <f>IF(Completed!$K$113&lt;&gt;"",Completed!$K$113,"")</f>
        <v>Funami Yui</v>
      </c>
      <c r="AE114" s="127" t="str">
        <f>IF(Completed!$L$113&lt;&gt;"",Completed!$L$113,"")</f>
        <v/>
      </c>
    </row>
    <row r="115" spans="10:31">
      <c r="J115" s="65" t="str">
        <f>IF(Backlog!$A$115&lt;&gt;"",Backlog!$A$115,"")</f>
        <v/>
      </c>
      <c r="K115" s="72" t="str">
        <f>IF(Backlog!$B$115&lt;&gt;"",Backlog!$B$115,"")</f>
        <v/>
      </c>
      <c r="L115" s="123" t="str">
        <f>IF(Backlog!$C$115&lt;&gt;"",Backlog!$C$115,"")</f>
        <v/>
      </c>
      <c r="N115" s="65" t="str">
        <f>IF(Completed!$A$114&lt;&gt;"",Completed!$A$114,"")</f>
        <v>Super Sonico the Animation</v>
      </c>
      <c r="O115" s="72">
        <f>IF(Completed!$B$114&lt;&gt;"",Completed!$B$114,"")</f>
        <v>1</v>
      </c>
      <c r="P115" s="72">
        <f ca="1">IF($N$115&lt;&gt;"", INDIRECT("'Tracker'!"&amp;ADDRESS(MATCH($N$115, Tracker[Anime Name], 0) + 2, 3)), "")</f>
        <v>12</v>
      </c>
      <c r="Q115" s="66" t="str">
        <f ca="1">IF($N$115&lt;&gt;"", INDIRECT("'Tracker'!"&amp;ADDRESS(MATCH($N$115, Tracker[Anime Name], 0) + 2, 4)), "")</f>
        <v>A</v>
      </c>
      <c r="R115" s="66" t="str">
        <f ca="1">IF($N$115&lt;&gt;"", INDIRECT("'Tracker'!"&amp;ADDRESS(MATCH($N$115, Tracker[Anime Name], 0) + 2, 5)), "")</f>
        <v>720p</v>
      </c>
      <c r="S115" s="66" t="str">
        <f ca="1">IF($N$115&lt;&gt;"", INDIRECT("'Tracker'!"&amp;ADDRESS(MATCH($N$115, Tracker[Anime Name], 0) + 2, 6)), "")</f>
        <v>Web</v>
      </c>
      <c r="T115" s="66" t="str">
        <f ca="1">IF($N$115&lt;&gt;"", INDIRECT("'Tracker'!"&amp;ADDRESS(MATCH($N$115, Tracker[Anime Name], 0) + 2, 7)), "")</f>
        <v>2013D</v>
      </c>
      <c r="U115" s="72" t="str">
        <f ca="1">IF($N$115&lt;&gt;"", INDIRECT("'Tracker'!"&amp;ADDRESS(MATCH($N$115, Tracker[Anime Name], 0) + 2, 8)), "")</f>
        <v>HorribleSubs</v>
      </c>
      <c r="V115" s="109">
        <f>IF(Completed!$C$114&lt;&gt;"",Completed!$C$114,"")</f>
        <v>5.5</v>
      </c>
      <c r="W115" s="109">
        <f>IF(Completed!$D$114&lt;&gt;"",Completed!$D$114,"")</f>
        <v>7</v>
      </c>
      <c r="X115" s="109">
        <f>IF(Completed!$E$114&lt;&gt;"",Completed!$E$114,"")</f>
        <v>4.5</v>
      </c>
      <c r="Y115" s="109">
        <f>IF(Completed!$F$114&lt;&gt;"",Completed!$F$114,"")</f>
        <v>7.5</v>
      </c>
      <c r="Z115" s="125">
        <f>IF(Completed!$G$114&lt;&gt;"",Completed!$G$114,"")</f>
        <v>6.8555276381909547</v>
      </c>
      <c r="AA115" s="136">
        <f>IF(Completed!$H$114&lt;&gt;"",Completed!$H$114,"")</f>
        <v>5.8247856061879935</v>
      </c>
      <c r="AB115" s="110">
        <f>IF(Completed!$I$114&lt;&gt;"",Completed!$I$114,"")</f>
        <v>41647</v>
      </c>
      <c r="AC115" s="110">
        <f>IF(Completed!$J$114&lt;&gt;"",Completed!$J$114,"")</f>
        <v>41733</v>
      </c>
      <c r="AD115" s="126" t="str">
        <f>IF(Completed!$K$114&lt;&gt;"",Completed!$K$114,"")</f>
        <v>Leila</v>
      </c>
      <c r="AE115" s="127" t="str">
        <f>IF(Completed!$L$114&lt;&gt;"",Completed!$L$114,"")</f>
        <v/>
      </c>
    </row>
    <row r="116" spans="10:31">
      <c r="J116" s="65" t="str">
        <f>IF(Backlog!$A$116&lt;&gt;"",Backlog!$A$116,"")</f>
        <v/>
      </c>
      <c r="K116" s="72" t="str">
        <f>IF(Backlog!$B$116&lt;&gt;"",Backlog!$B$116,"")</f>
        <v/>
      </c>
      <c r="L116" s="123" t="str">
        <f>IF(Backlog!$C$116&lt;&gt;"",Backlog!$C$116,"")</f>
        <v/>
      </c>
      <c r="N116" s="65" t="str">
        <f>IF(Completed!$A$115&lt;&gt;"",Completed!$A$115,"")</f>
        <v>Yuru Yuri</v>
      </c>
      <c r="O116" s="72">
        <f>IF(Completed!$B$115&lt;&gt;"",Completed!$B$115,"")</f>
        <v>1</v>
      </c>
      <c r="P116" s="72">
        <f ca="1">IF($N$116&lt;&gt;"", INDIRECT("'Tracker'!"&amp;ADDRESS(MATCH($N$116, Tracker[Anime Name], 0) + 2, 3)), "")</f>
        <v>12</v>
      </c>
      <c r="Q116" s="66" t="str">
        <f ca="1">IF($N$116&lt;&gt;"", INDIRECT("'Tracker'!"&amp;ADDRESS(MATCH($N$116, Tracker[Anime Name], 0) + 2, 4)), "")</f>
        <v>A</v>
      </c>
      <c r="R116" s="66" t="str">
        <f ca="1">IF($N$116&lt;&gt;"", INDIRECT("'Tracker'!"&amp;ADDRESS(MATCH($N$116, Tracker[Anime Name], 0) + 2, 5)), "")</f>
        <v>1080p</v>
      </c>
      <c r="S116" s="66" t="str">
        <f ca="1">IF($N$116&lt;&gt;"", INDIRECT("'Tracker'!"&amp;ADDRESS(MATCH($N$116, Tracker[Anime Name], 0) + 2, 6)), "")</f>
        <v>BD</v>
      </c>
      <c r="T116" s="66" t="str">
        <f ca="1">IF($N$116&lt;&gt;"", INDIRECT("'Tracker'!"&amp;ADDRESS(MATCH($N$116, Tracker[Anime Name], 0) + 2, 7)), "")</f>
        <v>2011B</v>
      </c>
      <c r="U116" s="72" t="str">
        <f ca="1">IF($N$116&lt;&gt;"", INDIRECT("'Tracker'!"&amp;ADDRESS(MATCH($N$116, Tracker[Anime Name], 0) + 2, 8)), "")</f>
        <v>Doki</v>
      </c>
      <c r="V116" s="109">
        <f>IF(Completed!$C$115&lt;&gt;"",Completed!$C$115,"")</f>
        <v>2</v>
      </c>
      <c r="W116" s="109">
        <f>IF(Completed!$D$115&lt;&gt;"",Completed!$D$115,"")</f>
        <v>7.5</v>
      </c>
      <c r="X116" s="109">
        <f>IF(Completed!$E$115&lt;&gt;"",Completed!$E$115,"")</f>
        <v>9.5</v>
      </c>
      <c r="Y116" s="109">
        <f>IF(Completed!$F$115&lt;&gt;"",Completed!$F$115,"")</f>
        <v>8</v>
      </c>
      <c r="Z116" s="125">
        <f>IF(Completed!$G$115&lt;&gt;"",Completed!$G$115,"")</f>
        <v>6.8366834170854274</v>
      </c>
      <c r="AA116" s="136">
        <f>IF(Completed!$H$115&lt;&gt;"",Completed!$H$115,"")</f>
        <v>5.7995628047755172</v>
      </c>
      <c r="AB116" s="110">
        <f>IF(Completed!$I$115&lt;&gt;"",Completed!$I$115,"")</f>
        <v>41228</v>
      </c>
      <c r="AC116" s="110">
        <f>IF(Completed!$J$115&lt;&gt;"",Completed!$J$115,"")</f>
        <v>41229</v>
      </c>
      <c r="AD116" s="126" t="str">
        <f>IF(Completed!$K$115&lt;&gt;"",Completed!$K$115,"")</f>
        <v>Funami Yui</v>
      </c>
      <c r="AE116" s="127" t="str">
        <f>IF(Completed!$L$115&lt;&gt;"",Completed!$L$115,"")</f>
        <v/>
      </c>
    </row>
    <row r="117" spans="10:31">
      <c r="J117" s="65" t="str">
        <f>IF(Backlog!$A$117&lt;&gt;"",Backlog!$A$117,"")</f>
        <v/>
      </c>
      <c r="K117" s="72" t="str">
        <f>IF(Backlog!$B$117&lt;&gt;"",Backlog!$B$117,"")</f>
        <v/>
      </c>
      <c r="L117" s="123" t="str">
        <f>IF(Backlog!$C$117&lt;&gt;"",Backlog!$C$117,"")</f>
        <v/>
      </c>
      <c r="N117" s="65" t="str">
        <f>IF(Completed!$A$116&lt;&gt;"",Completed!$A$116,"")</f>
        <v>Miss Monochrome</v>
      </c>
      <c r="O117" s="72">
        <f>IF(Completed!$B$116&lt;&gt;"",Completed!$B$116,"")</f>
        <v>1</v>
      </c>
      <c r="P117" s="72">
        <f ca="1">IF($N$117&lt;&gt;"", INDIRECT("'Tracker'!"&amp;ADDRESS(MATCH($N$117, Tracker[Anime Name], 0) + 2, 3)), "")</f>
        <v>13</v>
      </c>
      <c r="Q117" s="66" t="str">
        <f ca="1">IF($N$117&lt;&gt;"", INDIRECT("'Tracker'!"&amp;ADDRESS(MATCH($N$117, Tracker[Anime Name], 0) + 2, 4)), "")</f>
        <v>B</v>
      </c>
      <c r="R117" s="66" t="str">
        <f ca="1">IF($N$117&lt;&gt;"", INDIRECT("'Tracker'!"&amp;ADDRESS(MATCH($N$117, Tracker[Anime Name], 0) + 2, 5)), "")</f>
        <v>720p</v>
      </c>
      <c r="S117" s="66" t="str">
        <f ca="1">IF($N$117&lt;&gt;"", INDIRECT("'Tracker'!"&amp;ADDRESS(MATCH($N$117, Tracker[Anime Name], 0) + 2, 6)), "")</f>
        <v>Web</v>
      </c>
      <c r="T117" s="66" t="str">
        <f ca="1">IF($N$117&lt;&gt;"", INDIRECT("'Tracker'!"&amp;ADDRESS(MATCH($N$117, Tracker[Anime Name], 0) + 2, 7)), "")</f>
        <v>2013C</v>
      </c>
      <c r="U117" s="72" t="str">
        <f ca="1">IF($N$117&lt;&gt;"", INDIRECT("'Tracker'!"&amp;ADDRESS(MATCH($N$117, Tracker[Anime Name], 0) + 2, 8)), "")</f>
        <v>HorribleSubs</v>
      </c>
      <c r="V117" s="109">
        <f>IF(Completed!$C$116&lt;&gt;"",Completed!$C$116,"")</f>
        <v>5</v>
      </c>
      <c r="W117" s="109">
        <f>IF(Completed!$D$116&lt;&gt;"",Completed!$D$116,"")</f>
        <v>7.5</v>
      </c>
      <c r="X117" s="109">
        <f>IF(Completed!$E$116&lt;&gt;"",Completed!$E$116,"")</f>
        <v>7.5</v>
      </c>
      <c r="Y117" s="109">
        <f>IF(Completed!$F$116&lt;&gt;"",Completed!$F$116,"")</f>
        <v>6.5</v>
      </c>
      <c r="Z117" s="125">
        <f>IF(Completed!$G$116&lt;&gt;"",Completed!$G$116,"")</f>
        <v>6.5414572864321618</v>
      </c>
      <c r="AA117" s="136">
        <f>IF(Completed!$H$116&lt;&gt;"",Completed!$H$116,"")</f>
        <v>5.4044055826467137</v>
      </c>
      <c r="AB117" s="110">
        <f>IF(Completed!$I$116&lt;&gt;"",Completed!$I$116,"")</f>
        <v>41550</v>
      </c>
      <c r="AC117" s="110">
        <f>IF(Completed!$J$116&lt;&gt;"",Completed!$J$116,"")</f>
        <v>41634</v>
      </c>
      <c r="AD117" s="126" t="str">
        <f>IF(Completed!$K$116&lt;&gt;"",Completed!$K$116,"")</f>
        <v>Miss Monochrome</v>
      </c>
      <c r="AE117" s="127" t="str">
        <f>IF(Completed!$L$116&lt;&gt;"",Completed!$L$116,"")</f>
        <v>Too short to give accurate ratings, but entertaining nonetheless</v>
      </c>
    </row>
    <row r="118" spans="10:31">
      <c r="J118" s="65" t="str">
        <f>IF(Backlog!$A$118&lt;&gt;"",Backlog!$A$118,"")</f>
        <v/>
      </c>
      <c r="K118" s="72" t="str">
        <f>IF(Backlog!$B$118&lt;&gt;"",Backlog!$B$118,"")</f>
        <v/>
      </c>
      <c r="L118" s="123" t="str">
        <f>IF(Backlog!$C$118&lt;&gt;"",Backlog!$C$118,"")</f>
        <v/>
      </c>
      <c r="N118" s="65" t="str">
        <f>IF(Completed!$A$117&lt;&gt;"",Completed!$A$117,"")</f>
        <v>Kanojo no Flag wo Oraretara</v>
      </c>
      <c r="O118" s="72">
        <f>IF(Completed!$B$117&lt;&gt;"",Completed!$B$117,"")</f>
        <v>1</v>
      </c>
      <c r="P118" s="72">
        <f ca="1">IF($N$118&lt;&gt;"", INDIRECT("'Tracker'!"&amp;ADDRESS(MATCH($N$118, Tracker[Anime Name], 0) + 2, 3)), "")</f>
        <v>13</v>
      </c>
      <c r="Q118" s="66" t="str">
        <f ca="1">IF($N$118&lt;&gt;"", INDIRECT("'Tracker'!"&amp;ADDRESS(MATCH($N$118, Tracker[Anime Name], 0) + 2, 4)), "")</f>
        <v>B</v>
      </c>
      <c r="R118" s="66" t="str">
        <f ca="1">IF($N$118&lt;&gt;"", INDIRECT("'Tracker'!"&amp;ADDRESS(MATCH($N$118, Tracker[Anime Name], 0) + 2, 5)), "")</f>
        <v>720p</v>
      </c>
      <c r="S118" s="66" t="str">
        <f ca="1">IF($N$118&lt;&gt;"", INDIRECT("'Tracker'!"&amp;ADDRESS(MATCH($N$118, Tracker[Anime Name], 0) + 2, 6)), "")</f>
        <v>TV</v>
      </c>
      <c r="T118" s="66" t="str">
        <f ca="1">IF($N$118&lt;&gt;"", INDIRECT("'Tracker'!"&amp;ADDRESS(MATCH($N$118, Tracker[Anime Name], 0) + 2, 7)), "")</f>
        <v>2014A</v>
      </c>
      <c r="U118" s="72" t="str">
        <f ca="1">IF($N$118&lt;&gt;"", INDIRECT("'Tracker'!"&amp;ADDRESS(MATCH($N$118, Tracker[Anime Name], 0) + 2, 8)), "")</f>
        <v>Underwater</v>
      </c>
      <c r="V118" s="109">
        <f>IF(Completed!$C$117&lt;&gt;"",Completed!$C$117,"")</f>
        <v>6</v>
      </c>
      <c r="W118" s="109">
        <f>IF(Completed!$D$117&lt;&gt;"",Completed!$D$117,"")</f>
        <v>7.5</v>
      </c>
      <c r="X118" s="109">
        <f>IF(Completed!$E$117&lt;&gt;"",Completed!$E$117,"")</f>
        <v>6</v>
      </c>
      <c r="Y118" s="109">
        <f>IF(Completed!$F$117&lt;&gt;"",Completed!$F$117,"")</f>
        <v>6</v>
      </c>
      <c r="Z118" s="125">
        <f>IF(Completed!$G$117&lt;&gt;"",Completed!$G$117,"")</f>
        <v>6.4032663316582914</v>
      </c>
      <c r="AA118" s="136">
        <f>IF(Completed!$H$117&lt;&gt;"",Completed!$H$117,"")</f>
        <v>5.2194383722885487</v>
      </c>
      <c r="AB118" s="110">
        <f>IF(Completed!$I$117&lt;&gt;"",Completed!$I$117,"")</f>
        <v>41796</v>
      </c>
      <c r="AC118" s="110">
        <f>IF(Completed!$J$117&lt;&gt;"",Completed!$J$117,"")</f>
        <v>41820</v>
      </c>
      <c r="AD118" s="126" t="str">
        <f>IF(Completed!$K$117&lt;&gt;"",Completed!$K$117,"")</f>
        <v>Nanami Bladefield</v>
      </c>
      <c r="AE118" s="127" t="str">
        <f>IF(Completed!$L$117&lt;&gt;"",Completed!$L$117,"")</f>
        <v>It would've been nicer if it kept the tone of the first few episodes</v>
      </c>
    </row>
    <row r="119" spans="10:31">
      <c r="J119" s="65" t="str">
        <f>IF(Backlog!$A$119&lt;&gt;"",Backlog!$A$119,"")</f>
        <v/>
      </c>
      <c r="K119" s="72" t="str">
        <f>IF(Backlog!$B$119&lt;&gt;"",Backlog!$B$119,"")</f>
        <v/>
      </c>
      <c r="L119" s="123" t="str">
        <f>IF(Backlog!$C$119&lt;&gt;"",Backlog!$C$119,"")</f>
        <v/>
      </c>
      <c r="N119" s="65" t="str">
        <f>IF(Completed!$A$118&lt;&gt;"",Completed!$A$118,"")</f>
        <v>Namiuchigiwa no Muromi-san</v>
      </c>
      <c r="O119" s="72">
        <f>IF(Completed!$B$118&lt;&gt;"",Completed!$B$118,"")</f>
        <v>1</v>
      </c>
      <c r="P119" s="72">
        <f ca="1">IF($N$119&lt;&gt;"", INDIRECT("'Tracker'!"&amp;ADDRESS(MATCH($N$119, Tracker[Anime Name], 0) + 2, 3)), "")</f>
        <v>13</v>
      </c>
      <c r="Q119" s="66" t="str">
        <f ca="1">IF($N$119&lt;&gt;"", INDIRECT("'Tracker'!"&amp;ADDRESS(MATCH($N$119, Tracker[Anime Name], 0) + 2, 4)), "")</f>
        <v>A</v>
      </c>
      <c r="R119" s="66" t="str">
        <f ca="1">IF($N$119&lt;&gt;"", INDIRECT("'Tracker'!"&amp;ADDRESS(MATCH($N$119, Tracker[Anime Name], 0) + 2, 5)), "")</f>
        <v>720p</v>
      </c>
      <c r="S119" s="66" t="str">
        <f ca="1">IF($N$119&lt;&gt;"", INDIRECT("'Tracker'!"&amp;ADDRESS(MATCH($N$119, Tracker[Anime Name], 0) + 2, 6)), "")</f>
        <v>Web</v>
      </c>
      <c r="T119" s="66" t="str">
        <f ca="1">IF($N$119&lt;&gt;"", INDIRECT("'Tracker'!"&amp;ADDRESS(MATCH($N$119, Tracker[Anime Name], 0) + 2, 7)), "")</f>
        <v>2013A</v>
      </c>
      <c r="U119" s="72" t="str">
        <f ca="1">IF($N$119&lt;&gt;"", INDIRECT("'Tracker'!"&amp;ADDRESS(MATCH($N$119, Tracker[Anime Name], 0) + 2, 8)), "")</f>
        <v>HorribleSubs</v>
      </c>
      <c r="V119" s="109">
        <f>IF(Completed!$C$118&lt;&gt;"",Completed!$C$118,"")</f>
        <v>3</v>
      </c>
      <c r="W119" s="109">
        <f>IF(Completed!$D$118&lt;&gt;"",Completed!$D$118,"")</f>
        <v>6.5</v>
      </c>
      <c r="X119" s="109">
        <f>IF(Completed!$E$118&lt;&gt;"",Completed!$E$118,"")</f>
        <v>6.5</v>
      </c>
      <c r="Y119" s="109">
        <f>IF(Completed!$F$118&lt;&gt;"",Completed!$F$118,"")</f>
        <v>7.5</v>
      </c>
      <c r="Z119" s="125">
        <f>IF(Completed!$G$118&lt;&gt;"",Completed!$G$118,"")</f>
        <v>6.358040201005025</v>
      </c>
      <c r="AA119" s="136">
        <f>IF(Completed!$H$118&lt;&gt;"",Completed!$H$118,"")</f>
        <v>5.1589036488986038</v>
      </c>
      <c r="AB119" s="110" t="e">
        <f>IF(Completed!#REF!&lt;&gt;"",Completed!#REF!,"")</f>
        <v>#REF!</v>
      </c>
      <c r="AC119" s="110">
        <f>IF(Completed!$I$118&lt;&gt;"",Completed!$I$118,"")</f>
        <v>41448</v>
      </c>
      <c r="AD119" s="126" t="str">
        <f>IF(Completed!$K$118&lt;&gt;"",Completed!$K$118,"")</f>
        <v>Levia-san</v>
      </c>
      <c r="AE119" s="127" t="str">
        <f>IF(Completed!$L$118&lt;&gt;"",Completed!$L$118,"")</f>
        <v>Not a bad show, despite low ratings. Pretty entertaining to watch overall</v>
      </c>
    </row>
    <row r="120" spans="10:31">
      <c r="J120" s="65" t="str">
        <f>IF(Backlog!$A$120&lt;&gt;"",Backlog!$A$120,"")</f>
        <v/>
      </c>
      <c r="K120" s="72" t="str">
        <f>IF(Backlog!$B$120&lt;&gt;"",Backlog!$B$120,"")</f>
        <v/>
      </c>
      <c r="L120" s="123" t="str">
        <f>IF(Backlog!$C$120&lt;&gt;"",Backlog!$C$120,"")</f>
        <v/>
      </c>
      <c r="N120" s="65" t="str">
        <f>IF(Completed!$A$119&lt;&gt;"",Completed!$A$119,"")</f>
        <v>Mangaka-san to Assistant-san to</v>
      </c>
      <c r="O120" s="72">
        <f>IF(Completed!$B$119&lt;&gt;"",Completed!$B$119,"")</f>
        <v>1</v>
      </c>
      <c r="P120" s="72">
        <f ca="1">IF($N$120&lt;&gt;"", INDIRECT("'Tracker'!"&amp;ADDRESS(MATCH($N$120, Tracker[Anime Name], 0) + 2, 3)), "")</f>
        <v>12</v>
      </c>
      <c r="Q120" s="66" t="str">
        <f ca="1">IF($N$120&lt;&gt;"", INDIRECT("'Tracker'!"&amp;ADDRESS(MATCH($N$120, Tracker[Anime Name], 0) + 2, 4)), "")</f>
        <v>B</v>
      </c>
      <c r="R120" s="66" t="str">
        <f ca="1">IF($N$120&lt;&gt;"", INDIRECT("'Tracker'!"&amp;ADDRESS(MATCH($N$120, Tracker[Anime Name], 0) + 2, 5)), "")</f>
        <v>720p</v>
      </c>
      <c r="S120" s="66" t="str">
        <f ca="1">IF($N$120&lt;&gt;"", INDIRECT("'Tracker'!"&amp;ADDRESS(MATCH($N$120, Tracker[Anime Name], 0) + 2, 6)), "")</f>
        <v>TV</v>
      </c>
      <c r="T120" s="66" t="str">
        <f ca="1">IF($N$120&lt;&gt;"", INDIRECT("'Tracker'!"&amp;ADDRESS(MATCH($N$120, Tracker[Anime Name], 0) + 2, 7)), "")</f>
        <v>2014A</v>
      </c>
      <c r="U120" s="72" t="str">
        <f ca="1">IF($N$120&lt;&gt;"", INDIRECT("'Tracker'!"&amp;ADDRESS(MATCH($N$120, Tracker[Anime Name], 0) + 2, 8)), "")</f>
        <v>Doki</v>
      </c>
      <c r="V120" s="109">
        <f>IF(Completed!$C$119&lt;&gt;"",Completed!$C$119,"")</f>
        <v>5</v>
      </c>
      <c r="W120" s="109">
        <f>IF(Completed!$D$119&lt;&gt;"",Completed!$D$119,"")</f>
        <v>6.5</v>
      </c>
      <c r="X120" s="109">
        <f>IF(Completed!$E$119&lt;&gt;"",Completed!$E$119,"")</f>
        <v>8</v>
      </c>
      <c r="Y120" s="109">
        <f>IF(Completed!$F$119&lt;&gt;"",Completed!$F$119,"")</f>
        <v>6.5</v>
      </c>
      <c r="Z120" s="125">
        <f>IF(Completed!$G$119&lt;&gt;"",Completed!$G$119,"")</f>
        <v>6.2964824120603025</v>
      </c>
      <c r="AA120" s="136">
        <f>IF(Completed!$H$119&lt;&gt;"",Completed!$H$119,"")</f>
        <v>5.0765091642845146</v>
      </c>
      <c r="AB120" s="110">
        <f>IF(Completed!$I$119&lt;&gt;"",Completed!$I$119,"")</f>
        <v>41785</v>
      </c>
      <c r="AC120" s="110">
        <f>IF(Completed!$J$119&lt;&gt;"",Completed!$J$119,"")</f>
        <v>41814</v>
      </c>
      <c r="AD120" s="126" t="str">
        <f>IF(Completed!$K$119&lt;&gt;"",Completed!$K$119,"")</f>
        <v>Sahoto Ashisu</v>
      </c>
      <c r="AE120" s="127" t="str">
        <f>IF(Completed!$L$119&lt;&gt;"",Completed!$L$119,"")</f>
        <v/>
      </c>
    </row>
    <row r="121" spans="10:31">
      <c r="J121" s="65" t="str">
        <f>IF(Backlog!$A$121&lt;&gt;"",Backlog!$A$121,"")</f>
        <v/>
      </c>
      <c r="K121" s="72" t="str">
        <f>IF(Backlog!$B$121&lt;&gt;"",Backlog!$B$121,"")</f>
        <v/>
      </c>
      <c r="L121" s="123" t="str">
        <f>IF(Backlog!$C$121&lt;&gt;"",Backlog!$C$121,"")</f>
        <v/>
      </c>
      <c r="N121" s="65" t="str">
        <f>IF(Completed!$A$120&lt;&gt;"",Completed!$A$120,"")</f>
        <v>Ore no Nounai Sentakushi ga, Gakuen Love Comedy wo Zenryoku de Jama Shiteiru</v>
      </c>
      <c r="O121" s="72">
        <f>IF(Completed!$B$120&lt;&gt;"",Completed!$B$120,"")</f>
        <v>1</v>
      </c>
      <c r="P121" s="72">
        <f ca="1">IF($N$121&lt;&gt;"", INDIRECT("'Tracker'!"&amp;ADDRESS(MATCH($N$121, Tracker[Anime Name], 0) + 2, 3)), "")</f>
        <v>10</v>
      </c>
      <c r="Q121" s="66" t="str">
        <f ca="1">IF($N$121&lt;&gt;"", INDIRECT("'Tracker'!"&amp;ADDRESS(MATCH($N$121, Tracker[Anime Name], 0) + 2, 4)), "")</f>
        <v>A</v>
      </c>
      <c r="R121" s="66" t="str">
        <f ca="1">IF($N$121&lt;&gt;"", INDIRECT("'Tracker'!"&amp;ADDRESS(MATCH($N$121, Tracker[Anime Name], 0) + 2, 5)), "")</f>
        <v>720p</v>
      </c>
      <c r="S121" s="66" t="str">
        <f ca="1">IF($N$121&lt;&gt;"", INDIRECT("'Tracker'!"&amp;ADDRESS(MATCH($N$121, Tracker[Anime Name], 0) + 2, 6)), "")</f>
        <v>TV</v>
      </c>
      <c r="T121" s="66" t="str">
        <f ca="1">IF($N$121&lt;&gt;"", INDIRECT("'Tracker'!"&amp;ADDRESS(MATCH($N$121, Tracker[Anime Name], 0) + 2, 7)), "")</f>
        <v>2013C</v>
      </c>
      <c r="U121" s="72" t="str">
        <f ca="1">IF($N$121&lt;&gt;"", INDIRECT("'Tracker'!"&amp;ADDRESS(MATCH($N$121, Tracker[Anime Name], 0) + 2, 8)), "")</f>
        <v>HorribleSubs</v>
      </c>
      <c r="V121" s="109">
        <f>IF(Completed!$C$120&lt;&gt;"",Completed!$C$120,"")</f>
        <v>6.5</v>
      </c>
      <c r="W121" s="109">
        <f>IF(Completed!$D$120&lt;&gt;"",Completed!$D$120,"")</f>
        <v>5.5</v>
      </c>
      <c r="X121" s="109">
        <f>IF(Completed!$E$120&lt;&gt;"",Completed!$E$120,"")</f>
        <v>7.5</v>
      </c>
      <c r="Y121" s="109">
        <f>IF(Completed!$F$120&lt;&gt;"",Completed!$F$120,"")</f>
        <v>6.5</v>
      </c>
      <c r="Z121" s="125">
        <f>IF(Completed!$G$120&lt;&gt;"",Completed!$G$120,"")</f>
        <v>6.2788944723618094</v>
      </c>
      <c r="AA121" s="136">
        <f>IF(Completed!$H$120&lt;&gt;"",Completed!$H$120,"")</f>
        <v>5.0529678829662013</v>
      </c>
      <c r="AB121" s="110">
        <f>IF(Completed!$I$120&lt;&gt;"",Completed!$I$120,"")</f>
        <v>41560</v>
      </c>
      <c r="AC121" s="110">
        <f>IF(Completed!$J$120&lt;&gt;"",Completed!$J$120,"")</f>
        <v>41618</v>
      </c>
      <c r="AD121" s="126" t="str">
        <f>IF(Completed!$K$120&lt;&gt;"",Completed!$K$120,"")</f>
        <v>Chocolat</v>
      </c>
      <c r="AE121" s="127" t="str">
        <f>IF(Completed!$L$120&lt;&gt;"",Completed!$L$120,"")</f>
        <v/>
      </c>
    </row>
    <row r="122" spans="10:31">
      <c r="J122" s="65" t="str">
        <f>IF(Backlog!$A$122&lt;&gt;"",Backlog!$A$122,"")</f>
        <v/>
      </c>
      <c r="K122" s="72" t="str">
        <f>IF(Backlog!$B$122&lt;&gt;"",Backlog!$B$122,"")</f>
        <v/>
      </c>
      <c r="L122" s="123" t="str">
        <f>IF(Backlog!$C$122&lt;&gt;"",Backlog!$C$122,"")</f>
        <v/>
      </c>
      <c r="N122" s="65" t="str">
        <f>IF(Completed!$A$121&lt;&gt;"",Completed!$A$121,"")</f>
        <v>Miyakawa-ke no Kuufuku</v>
      </c>
      <c r="O122" s="72">
        <f>IF(Completed!$B$121&lt;&gt;"",Completed!$B$121,"")</f>
        <v>1</v>
      </c>
      <c r="P122" s="72">
        <f ca="1">IF($N$122&lt;&gt;"", INDIRECT("'Tracker'!"&amp;ADDRESS(MATCH($N$122, Tracker[Anime Name], 0) + 2, 3)), "")</f>
        <v>10</v>
      </c>
      <c r="Q122" s="66" t="str">
        <f ca="1">IF($N$122&lt;&gt;"", INDIRECT("'Tracker'!"&amp;ADDRESS(MATCH($N$122, Tracker[Anime Name], 0) + 2, 4)), "")</f>
        <v>B</v>
      </c>
      <c r="R122" s="66" t="str">
        <f ca="1">IF($N$122&lt;&gt;"", INDIRECT("'Tracker'!"&amp;ADDRESS(MATCH($N$122, Tracker[Anime Name], 0) + 2, 5)), "")</f>
        <v>240p</v>
      </c>
      <c r="S122" s="66" t="str">
        <f ca="1">IF($N$122&lt;&gt;"", INDIRECT("'Tracker'!"&amp;ADDRESS(MATCH($N$122, Tracker[Anime Name], 0) + 2, 6)), "")</f>
        <v>TV</v>
      </c>
      <c r="T122" s="66" t="str">
        <f ca="1">IF($N$122&lt;&gt;"", INDIRECT("'Tracker'!"&amp;ADDRESS(MATCH($N$122, Tracker[Anime Name], 0) + 2, 7)), "")</f>
        <v>2013A</v>
      </c>
      <c r="U122" s="72" t="str">
        <f ca="1">IF($N$122&lt;&gt;"", INDIRECT("'Tracker'!"&amp;ADDRESS(MATCH($N$122, Tracker[Anime Name], 0) + 2, 8)), "")</f>
        <v>Miya-k</v>
      </c>
      <c r="V122" s="109">
        <f>IF(Completed!$C$121&lt;&gt;"",Completed!$C$121,"")</f>
        <v>2.5</v>
      </c>
      <c r="W122" s="109">
        <f>IF(Completed!$D$121&lt;&gt;"",Completed!$D$121,"")</f>
        <v>7.5</v>
      </c>
      <c r="X122" s="109">
        <f>IF(Completed!$E$121&lt;&gt;"",Completed!$E$121,"")</f>
        <v>5.5</v>
      </c>
      <c r="Y122" s="109">
        <f>IF(Completed!$F$121&lt;&gt;"",Completed!$F$121,"")</f>
        <v>6</v>
      </c>
      <c r="Z122" s="125">
        <f>IF(Completed!$G$121&lt;&gt;"",Completed!$G$121,"")</f>
        <v>5.7374371859296485</v>
      </c>
      <c r="AA122" s="136">
        <f>IF(Completed!$H$121&lt;&gt;"",Completed!$H$121,"")</f>
        <v>4.3282327223810331</v>
      </c>
      <c r="AB122" s="110">
        <f>IF(Completed!$I$121&lt;&gt;"",Completed!$I$121,"")</f>
        <v>41488</v>
      </c>
      <c r="AC122" s="110">
        <f>IF(Completed!$J$121&lt;&gt;"",Completed!$J$121,"")</f>
        <v>41492</v>
      </c>
      <c r="AD122" s="126" t="str">
        <f>IF(Completed!$K$121&lt;&gt;"",Completed!$K$121,"")</f>
        <v>Miyakawa Hikage</v>
      </c>
      <c r="AE122" s="127" t="str">
        <f>IF(Completed!$L$121&lt;&gt;"",Completed!$L$121,"")</f>
        <v>Need a higher resolution copy</v>
      </c>
    </row>
    <row r="123" spans="10:31">
      <c r="J123" s="65" t="str">
        <f>IF(Backlog!$A$123&lt;&gt;"",Backlog!$A$123,"")</f>
        <v/>
      </c>
      <c r="K123" s="72" t="str">
        <f>IF(Backlog!$B$123&lt;&gt;"",Backlog!$B$123,"")</f>
        <v/>
      </c>
      <c r="L123" s="123" t="str">
        <f>IF(Backlog!$C$123&lt;&gt;"",Backlog!$C$123,"")</f>
        <v/>
      </c>
      <c r="N123" s="65" t="str">
        <f>IF(Completed!$A$122&lt;&gt;"",Completed!$A$122,"")</f>
        <v>Tamako Market</v>
      </c>
      <c r="O123" s="72">
        <f>IF(Completed!$B$122&lt;&gt;"",Completed!$B$122,"")</f>
        <v>1</v>
      </c>
      <c r="P123" s="72">
        <f ca="1">IF($N$123&lt;&gt;"", INDIRECT("'Tracker'!"&amp;ADDRESS(MATCH($N$123, Tracker[Anime Name], 0) + 2, 3)), "")</f>
        <v>12</v>
      </c>
      <c r="Q123" s="66" t="str">
        <f ca="1">IF($N$123&lt;&gt;"", INDIRECT("'Tracker'!"&amp;ADDRESS(MATCH($N$123, Tracker[Anime Name], 0) + 2, 4)), "")</f>
        <v>A</v>
      </c>
      <c r="R123" s="66" t="str">
        <f ca="1">IF($N$123&lt;&gt;"", INDIRECT("'Tracker'!"&amp;ADDRESS(MATCH($N$123, Tracker[Anime Name], 0) + 2, 5)), "")</f>
        <v>720p</v>
      </c>
      <c r="S123" s="66" t="str">
        <f ca="1">IF($N$123&lt;&gt;"", INDIRECT("'Tracker'!"&amp;ADDRESS(MATCH($N$123, Tracker[Anime Name], 0) + 2, 6)), "")</f>
        <v>TV</v>
      </c>
      <c r="T123" s="66" t="str">
        <f ca="1">IF($N$123&lt;&gt;"", INDIRECT("'Tracker'!"&amp;ADDRESS(MATCH($N$123, Tracker[Anime Name], 0) + 2, 7)), "")</f>
        <v>2012D</v>
      </c>
      <c r="U123" s="72" t="str">
        <f ca="1">IF($N$123&lt;&gt;"", INDIRECT("'Tracker'!"&amp;ADDRESS(MATCH($N$123, Tracker[Anime Name], 0) + 2, 8)), "")</f>
        <v>Mazui</v>
      </c>
      <c r="V123" s="109">
        <f>IF(Completed!$C$122&lt;&gt;"",Completed!$C$122,"")</f>
        <v>5.5</v>
      </c>
      <c r="W123" s="109">
        <f>IF(Completed!$D$122&lt;&gt;"",Completed!$D$122,"")</f>
        <v>5.5</v>
      </c>
      <c r="X123" s="109">
        <f>IF(Completed!$E$122&lt;&gt;"",Completed!$E$122,"")</f>
        <v>5</v>
      </c>
      <c r="Y123" s="109">
        <f>IF(Completed!$F$122&lt;&gt;"",Completed!$F$122,"")</f>
        <v>6</v>
      </c>
      <c r="Z123" s="125">
        <f>IF(Completed!$G$122&lt;&gt;"",Completed!$G$122,"")</f>
        <v>5.7261306532663312</v>
      </c>
      <c r="AA123" s="136">
        <f>IF(Completed!$H$122&lt;&gt;"",Completed!$H$122,"")</f>
        <v>4.3130990415335448</v>
      </c>
      <c r="AB123" s="110">
        <f>IF(Completed!$I$122&lt;&gt;"",Completed!$I$122,"")</f>
        <v>41302</v>
      </c>
      <c r="AC123" s="110">
        <f>IF(Completed!$J$122&lt;&gt;"",Completed!$J$122,"")</f>
        <v>41360</v>
      </c>
      <c r="AD123" s="126" t="str">
        <f>IF(Completed!$K$122&lt;&gt;"",Completed!$K$122,"")</f>
        <v>Makino Kanna</v>
      </c>
      <c r="AE123" s="127" t="str">
        <f>IF(Completed!$L$122&lt;&gt;"",Completed!$L$122,"")</f>
        <v/>
      </c>
    </row>
    <row r="124" spans="10:31">
      <c r="J124" s="65" t="str">
        <f>IF(Backlog!$A$124&lt;&gt;"",Backlog!$A$124,"")</f>
        <v/>
      </c>
      <c r="K124" s="72" t="str">
        <f>IF(Backlog!$B$124&lt;&gt;"",Backlog!$B$124,"")</f>
        <v/>
      </c>
      <c r="L124" s="123" t="str">
        <f>IF(Backlog!$C$124&lt;&gt;"",Backlog!$C$124,"")</f>
        <v/>
      </c>
      <c r="N124" s="65" t="str">
        <f>IF(Completed!$A$123&lt;&gt;"",Completed!$A$123,"")</f>
        <v>Shiba Inuko-san</v>
      </c>
      <c r="O124" s="72">
        <f>IF(Completed!$B$123&lt;&gt;"",Completed!$B$123,"")</f>
        <v>1</v>
      </c>
      <c r="P124" s="72">
        <f ca="1">IF($N$124&lt;&gt;"", INDIRECT("'Tracker'!"&amp;ADDRESS(MATCH($N$124, Tracker[Anime Name], 0) + 2, 3)), "")</f>
        <v>26</v>
      </c>
      <c r="Q124" s="66" t="str">
        <f ca="1">IF($N$124&lt;&gt;"", INDIRECT("'Tracker'!"&amp;ADDRESS(MATCH($N$124, Tracker[Anime Name], 0) + 2, 4)), "")</f>
        <v>B</v>
      </c>
      <c r="R124" s="66" t="str">
        <f ca="1">IF($N$124&lt;&gt;"", INDIRECT("'Tracker'!"&amp;ADDRESS(MATCH($N$124, Tracker[Anime Name], 0) + 2, 5)), "")</f>
        <v>720p</v>
      </c>
      <c r="S124" s="66" t="str">
        <f ca="1">IF($N$124&lt;&gt;"", INDIRECT("'Tracker'!"&amp;ADDRESS(MATCH($N$124, Tracker[Anime Name], 0) + 2, 6)), "")</f>
        <v>TV</v>
      </c>
      <c r="T124" s="66" t="str">
        <f ca="1">IF($N$124&lt;&gt;"", INDIRECT("'Tracker'!"&amp;ADDRESS(MATCH($N$124, Tracker[Anime Name], 0) + 2, 7)), "")</f>
        <v>2012A</v>
      </c>
      <c r="U124" s="72" t="str">
        <f ca="1">IF($N$124&lt;&gt;"", INDIRECT("'Tracker'!"&amp;ADDRESS(MATCH($N$124, Tracker[Anime Name], 0) + 2, 8)), "")</f>
        <v>Migoto</v>
      </c>
      <c r="V124" s="109">
        <f>IF(Completed!$C$123&lt;&gt;"",Completed!$C$123,"")</f>
        <v>1.5</v>
      </c>
      <c r="W124" s="109">
        <f>IF(Completed!$D$123&lt;&gt;"",Completed!$D$123,"")</f>
        <v>5</v>
      </c>
      <c r="X124" s="109">
        <f>IF(Completed!$E$123&lt;&gt;"",Completed!$E$123,"")</f>
        <v>4</v>
      </c>
      <c r="Y124" s="109">
        <f>IF(Completed!$F$123&lt;&gt;"",Completed!$F$123,"")</f>
        <v>6.5</v>
      </c>
      <c r="Z124" s="125">
        <f>IF(Completed!$G$123&lt;&gt;"",Completed!$G$123,"")</f>
        <v>5.0603015075376883</v>
      </c>
      <c r="AA124" s="136">
        <f>IF(Completed!$H$123&lt;&gt;"",Completed!$H$123,"")</f>
        <v>3.4218933916260297</v>
      </c>
      <c r="AB124" s="110">
        <f>IF(Completed!$I$123&lt;&gt;"",Completed!$I$123,"")</f>
        <v>41705</v>
      </c>
      <c r="AC124" s="110">
        <f>IF(Completed!$J$123&lt;&gt;"",Completed!$J$123,"")</f>
        <v>41705</v>
      </c>
      <c r="AD124" s="126" t="str">
        <f>IF(Completed!$K$123&lt;&gt;"",Completed!$K$123,"")</f>
        <v>Ishibashi Chako</v>
      </c>
      <c r="AE124" s="127" t="str">
        <f>IF(Completed!$L$123&lt;&gt;"",Completed!$L$123,"")</f>
        <v>Wow</v>
      </c>
    </row>
    <row r="125" spans="10:31">
      <c r="J125" s="65" t="str">
        <f>IF(Backlog!$A$125&lt;&gt;"",Backlog!$A$125,"")</f>
        <v/>
      </c>
      <c r="K125" s="72" t="str">
        <f>IF(Backlog!$B$125&lt;&gt;"",Backlog!$B$125,"")</f>
        <v/>
      </c>
      <c r="L125" s="123" t="str">
        <f>IF(Backlog!$C$125&lt;&gt;"",Backlog!$C$125,"")</f>
        <v/>
      </c>
      <c r="N125" s="65" t="str">
        <f>IF(Completed!$A$124&lt;&gt;"",Completed!$A$124,"")</f>
        <v>Oku-sama wa Joushikousei</v>
      </c>
      <c r="O125" s="72">
        <f>IF(Completed!$B$124&lt;&gt;"",Completed!$B$124,"")</f>
        <v>1</v>
      </c>
      <c r="P125" s="72">
        <f ca="1">IF($N$125&lt;&gt;"", INDIRECT("'Tracker'!"&amp;ADDRESS(MATCH($N$125, Tracker[Anime Name], 0) + 2, 3)), "")</f>
        <v>13</v>
      </c>
      <c r="Q125" s="66" t="str">
        <f ca="1">IF($N$125&lt;&gt;"", INDIRECT("'Tracker'!"&amp;ADDRESS(MATCH($N$125, Tracker[Anime Name], 0) + 2, 4)), "")</f>
        <v>A</v>
      </c>
      <c r="R125" s="66" t="str">
        <f ca="1">IF($N$125&lt;&gt;"", INDIRECT("'Tracker'!"&amp;ADDRESS(MATCH($N$125, Tracker[Anime Name], 0) + 2, 5)), "")</f>
        <v>480p</v>
      </c>
      <c r="S125" s="66" t="str">
        <f ca="1">IF($N$125&lt;&gt;"", INDIRECT("'Tracker'!"&amp;ADDRESS(MATCH($N$125, Tracker[Anime Name], 0) + 2, 6)), "")</f>
        <v>TV</v>
      </c>
      <c r="T125" s="66" t="str">
        <f ca="1">IF($N$125&lt;&gt;"", INDIRECT("'Tracker'!"&amp;ADDRESS(MATCH($N$125, Tracker[Anime Name], 0) + 2, 7)), "")</f>
        <v>2005C</v>
      </c>
      <c r="U125" s="72" t="str">
        <f ca="1">IF($N$125&lt;&gt;"", INDIRECT("'Tracker'!"&amp;ADDRESS(MATCH($N$125, Tracker[Anime Name], 0) + 2, 8)), "")</f>
        <v>LIME</v>
      </c>
      <c r="V125" s="109">
        <f>IF(Completed!$C$124&lt;&gt;"",Completed!$C$124,"")</f>
        <v>3.5</v>
      </c>
      <c r="W125" s="109">
        <f>IF(Completed!$D$124&lt;&gt;"",Completed!$D$124,"")</f>
        <v>5.5</v>
      </c>
      <c r="X125" s="109">
        <f>IF(Completed!$E$124&lt;&gt;"",Completed!$E$124,"")</f>
        <v>6</v>
      </c>
      <c r="Y125" s="109">
        <f>IF(Completed!$F$124&lt;&gt;"",Completed!$F$124,"")</f>
        <v>5</v>
      </c>
      <c r="Z125" s="125">
        <f>IF(Completed!$G$124&lt;&gt;"",Completed!$G$124,"")</f>
        <v>4.9070351758793969</v>
      </c>
      <c r="AA125" s="136">
        <f>IF(Completed!$H$124&lt;&gt;"",Completed!$H$124,"")</f>
        <v>3.2167479401378842</v>
      </c>
      <c r="AB125" s="110">
        <f>IF(Completed!$I$124&lt;&gt;"",Completed!$I$124,"")</f>
        <v>40674</v>
      </c>
      <c r="AC125" s="110">
        <f>IF(Completed!$J$124&lt;&gt;"",Completed!$J$124,"")</f>
        <v>40675</v>
      </c>
      <c r="AD125" s="126" t="str">
        <f>IF(Completed!$K$124&lt;&gt;"",Completed!$K$124,"")</f>
        <v>--</v>
      </c>
      <c r="AE125" s="127" t="str">
        <f>IF(Completed!$L$124&lt;&gt;"",Completed!$L$124,"")</f>
        <v/>
      </c>
    </row>
    <row r="126" spans="10:31">
      <c r="J126" s="65" t="str">
        <f>IF(Backlog!$A$126&lt;&gt;"",Backlog!$A$126,"")</f>
        <v/>
      </c>
      <c r="K126" s="72" t="str">
        <f>IF(Backlog!$B$126&lt;&gt;"",Backlog!$B$126,"")</f>
        <v/>
      </c>
      <c r="L126" s="123" t="str">
        <f>IF(Backlog!$C$126&lt;&gt;"",Backlog!$C$126,"")</f>
        <v/>
      </c>
      <c r="N126" s="65" t="str">
        <f>IF(Completed!$A$125&lt;&gt;"",Completed!$A$125,"")</f>
        <v>Onii-chan dakedo Ai sae Areba Kankeinai yone!</v>
      </c>
      <c r="O126" s="72">
        <f>IF(Completed!$B$125&lt;&gt;"",Completed!$B$125,"")</f>
        <v>1</v>
      </c>
      <c r="P126" s="72">
        <f ca="1">IF($N$126&lt;&gt;"", INDIRECT("'Tracker'!"&amp;ADDRESS(MATCH($N$126, Tracker[Anime Name], 0) + 2, 3)), "")</f>
        <v>12</v>
      </c>
      <c r="Q126" s="66" t="str">
        <f ca="1">IF($N$126&lt;&gt;"", INDIRECT("'Tracker'!"&amp;ADDRESS(MATCH($N$126, Tracker[Anime Name], 0) + 2, 4)), "")</f>
        <v>--</v>
      </c>
      <c r="R126" s="66" t="str">
        <f ca="1">IF($N$126&lt;&gt;"", INDIRECT("'Tracker'!"&amp;ADDRESS(MATCH($N$126, Tracker[Anime Name], 0) + 2, 5)), "")</f>
        <v>--</v>
      </c>
      <c r="S126" s="66" t="str">
        <f ca="1">IF($N$126&lt;&gt;"", INDIRECT("'Tracker'!"&amp;ADDRESS(MATCH($N$126, Tracker[Anime Name], 0) + 2, 6)), "")</f>
        <v>--</v>
      </c>
      <c r="T126" s="66" t="str">
        <f ca="1">IF($N$126&lt;&gt;"", INDIRECT("'Tracker'!"&amp;ADDRESS(MATCH($N$126, Tracker[Anime Name], 0) + 2, 7)), "")</f>
        <v>2012C</v>
      </c>
      <c r="U126" s="72" t="str">
        <f ca="1">IF($N$126&lt;&gt;"", INDIRECT("'Tracker'!"&amp;ADDRESS(MATCH($N$126, Tracker[Anime Name], 0) + 2, 8)), "")</f>
        <v>-- NO DL --</v>
      </c>
      <c r="V126" s="109">
        <f>IF(Completed!$C$125&lt;&gt;"",Completed!$C$125,"")</f>
        <v>3</v>
      </c>
      <c r="W126" s="109">
        <f>IF(Completed!$D$125&lt;&gt;"",Completed!$D$125,"")</f>
        <v>2</v>
      </c>
      <c r="X126" s="109">
        <f>IF(Completed!$E$125&lt;&gt;"",Completed!$E$125,"")</f>
        <v>7</v>
      </c>
      <c r="Y126" s="109">
        <f>IF(Completed!$F$125&lt;&gt;"",Completed!$F$125,"")</f>
        <v>3</v>
      </c>
      <c r="Z126" s="125">
        <f>IF(Completed!$G$125&lt;&gt;"",Completed!$G$125,"")</f>
        <v>2.9221105527638187</v>
      </c>
      <c r="AA126" s="136">
        <f>IF(Completed!$H$125&lt;&gt;"",Completed!$H$125,"")</f>
        <v>0.5599461913569862</v>
      </c>
      <c r="AB126" s="110">
        <f>IF(Completed!$I$125&lt;&gt;"",Completed!$I$125,"")</f>
        <v>41254</v>
      </c>
      <c r="AC126" s="110">
        <f>IF(Completed!$J$125&lt;&gt;"",Completed!$J$125,"")</f>
        <v>41264</v>
      </c>
      <c r="AD126" s="126" t="str">
        <f>IF(Completed!$K$125&lt;&gt;"",Completed!$K$125,"")</f>
        <v>Sawatari Ginbei</v>
      </c>
      <c r="AE126" s="127" t="str">
        <f>IF(Completed!$L$125&lt;&gt;"",Completed!$L$125,"")</f>
        <v/>
      </c>
    </row>
    <row r="127" spans="10:31">
      <c r="J127" s="65" t="str">
        <f>IF(Backlog!$A$127&lt;&gt;"",Backlog!$A$127,"")</f>
        <v/>
      </c>
      <c r="K127" s="72" t="str">
        <f>IF(Backlog!$B$127&lt;&gt;"",Backlog!$B$127,"")</f>
        <v/>
      </c>
      <c r="L127" s="123" t="str">
        <f>IF(Backlog!$C$127&lt;&gt;"",Backlog!$C$127,"")</f>
        <v/>
      </c>
      <c r="N127" s="65" t="str">
        <f>IF(Completed!$A$126&lt;&gt;"",Completed!$A$126,"")</f>
        <v>Cyclops Shoujo Saipu</v>
      </c>
      <c r="O127" s="72">
        <f>IF(Completed!$B$126&lt;&gt;"",Completed!$B$126,"")</f>
        <v>1</v>
      </c>
      <c r="P127" s="72">
        <f ca="1">IF($N$127&lt;&gt;"", INDIRECT("'Tracker'!"&amp;ADDRESS(MATCH($N$127, Tracker[Anime Name], 0) + 2, 3)), "")</f>
        <v>12</v>
      </c>
      <c r="Q127" s="66" t="str">
        <f ca="1">IF($N$127&lt;&gt;"", INDIRECT("'Tracker'!"&amp;ADDRESS(MATCH($N$127, Tracker[Anime Name], 0) + 2, 4)), "")</f>
        <v>A</v>
      </c>
      <c r="R127" s="66" t="str">
        <f ca="1">IF($N$127&lt;&gt;"", INDIRECT("'Tracker'!"&amp;ADDRESS(MATCH($N$127, Tracker[Anime Name], 0) + 2, 5)), "")</f>
        <v>720p</v>
      </c>
      <c r="S127" s="66" t="str">
        <f ca="1">IF($N$127&lt;&gt;"", INDIRECT("'Tracker'!"&amp;ADDRESS(MATCH($N$127, Tracker[Anime Name], 0) + 2, 6)), "")</f>
        <v>TV</v>
      </c>
      <c r="T127" s="66" t="str">
        <f ca="1">IF($N$127&lt;&gt;"", INDIRECT("'Tracker'!"&amp;ADDRESS(MATCH($N$127, Tracker[Anime Name], 0) + 2, 7)), "")</f>
        <v>2013A</v>
      </c>
      <c r="U127" s="72" t="str">
        <f ca="1">IF($N$127&lt;&gt;"", INDIRECT("'Tracker'!"&amp;ADDRESS(MATCH($N$127, Tracker[Anime Name], 0) + 2, 8)), "")</f>
        <v>Migoto</v>
      </c>
      <c r="V127" s="109">
        <f>IF(Completed!$C$126&lt;&gt;"",Completed!$C$126,"")</f>
        <v>1.5</v>
      </c>
      <c r="W127" s="109">
        <f>IF(Completed!$D$126&lt;&gt;"",Completed!$D$126,"")</f>
        <v>2</v>
      </c>
      <c r="X127" s="109">
        <f>IF(Completed!$E$126&lt;&gt;"",Completed!$E$126,"")</f>
        <v>4</v>
      </c>
      <c r="Y127" s="109">
        <f>IF(Completed!$F$126&lt;&gt;"",Completed!$F$126,"")</f>
        <v>3</v>
      </c>
      <c r="Z127" s="125">
        <f>IF(Completed!$G$126&lt;&gt;"",Completed!$G$126,"")</f>
        <v>2.5037688442211055</v>
      </c>
      <c r="AA127" s="136">
        <f>IF(Completed!$H$126&lt;&gt;"",Completed!$H$126,"")</f>
        <v>0</v>
      </c>
      <c r="AB127" s="110">
        <f>IF(Completed!$I$126&lt;&gt;"",Completed!$I$126,"")</f>
        <v>41355</v>
      </c>
      <c r="AC127" s="110">
        <f>IF(Completed!$J$126&lt;&gt;"",Completed!$J$126,"")</f>
        <v>41451</v>
      </c>
      <c r="AD127" s="126" t="str">
        <f>IF(Completed!$K$126&lt;&gt;"",Completed!$K$126,"")</f>
        <v>--</v>
      </c>
      <c r="AE127" s="127" t="str">
        <f>IF(Completed!$L$126&lt;&gt;"",Completed!$L$126,"")</f>
        <v>Only watched because each episode was short enough to care about</v>
      </c>
    </row>
    <row r="128" spans="10:31">
      <c r="J128" s="65" t="str">
        <f>IF(Backlog!$A$128&lt;&gt;"",Backlog!$A$128,"")</f>
        <v/>
      </c>
      <c r="K128" s="72" t="str">
        <f>IF(Backlog!$B$128&lt;&gt;"",Backlog!$B$128,"")</f>
        <v/>
      </c>
      <c r="L128" s="123" t="str">
        <f>IF(Backlog!$C$128&lt;&gt;"",Backlog!$C$128,"")</f>
        <v/>
      </c>
      <c r="N128" s="65" t="str">
        <f>IF(Completed!$A$127&lt;&gt;"",Completed!$A$127,"")</f>
        <v/>
      </c>
      <c r="O128" s="72" t="str">
        <f>IF(Completed!$B$127&lt;&gt;"",Completed!$B$127,"")</f>
        <v/>
      </c>
      <c r="P128" s="72" t="str">
        <f ca="1">IF($N$128&lt;&gt;"", INDIRECT("'Tracker'!"&amp;ADDRESS(MATCH($N$128, Tracker[Anime Name], 0) + 2, 3)), "")</f>
        <v/>
      </c>
      <c r="Q128" s="66" t="str">
        <f ca="1">IF($N$128&lt;&gt;"", INDIRECT("'Tracker'!"&amp;ADDRESS(MATCH($N$128, Tracker[Anime Name], 0) + 2, 4)), "")</f>
        <v/>
      </c>
      <c r="R128" s="66" t="str">
        <f ca="1">IF($N$128&lt;&gt;"", INDIRECT("'Tracker'!"&amp;ADDRESS(MATCH($N$128, Tracker[Anime Name], 0) + 2, 5)), "")</f>
        <v/>
      </c>
      <c r="S128" s="66" t="str">
        <f ca="1">IF($N$128&lt;&gt;"", INDIRECT("'Tracker'!"&amp;ADDRESS(MATCH($N$128, Tracker[Anime Name], 0) + 2, 6)), "")</f>
        <v/>
      </c>
      <c r="T128" s="66" t="str">
        <f ca="1">IF($N$128&lt;&gt;"", INDIRECT("'Tracker'!"&amp;ADDRESS(MATCH($N$128, Tracker[Anime Name], 0) + 2, 7)), "")</f>
        <v/>
      </c>
      <c r="U128" s="72" t="str">
        <f ca="1">IF($N$128&lt;&gt;"", INDIRECT("'Tracker'!"&amp;ADDRESS(MATCH($N$128, Tracker[Anime Name], 0) + 2, 8)), "")</f>
        <v/>
      </c>
      <c r="V128" s="109" t="str">
        <f>IF(Completed!$C$127&lt;&gt;"",Completed!$C$127,"")</f>
        <v/>
      </c>
      <c r="W128" s="109" t="str">
        <f>IF(Completed!$D$127&lt;&gt;"",Completed!$D$127,"")</f>
        <v/>
      </c>
      <c r="X128" s="109" t="str">
        <f>IF(Completed!$E$127&lt;&gt;"",Completed!$E$127,"")</f>
        <v/>
      </c>
      <c r="Y128" s="109" t="str">
        <f>IF(Completed!$F$127&lt;&gt;"",Completed!$F$127,"")</f>
        <v/>
      </c>
      <c r="Z128" s="125" t="str">
        <f>IF(Completed!$G$127&lt;&gt;"",Completed!$G$127,"")</f>
        <v/>
      </c>
      <c r="AA128" s="136" t="str">
        <f>IF(Completed!$H$127&lt;&gt;"",Completed!$H$127,"")</f>
        <v/>
      </c>
      <c r="AB128" s="110" t="str">
        <f>IF(Completed!$I$127&lt;&gt;"",Completed!$I$127,"")</f>
        <v/>
      </c>
      <c r="AC128" s="110" t="str">
        <f>IF(Completed!$J$127&lt;&gt;"",Completed!$J$127,"")</f>
        <v/>
      </c>
      <c r="AD128" s="126" t="str">
        <f>IF(Completed!$K$127&lt;&gt;"",Completed!$K$127,"")</f>
        <v/>
      </c>
      <c r="AE128" s="127" t="str">
        <f>IF(Completed!$L$127&lt;&gt;"",Completed!$L$127,"")</f>
        <v/>
      </c>
    </row>
    <row r="129" spans="10:31">
      <c r="J129" s="65" t="str">
        <f>IF(Backlog!$A$129&lt;&gt;"",Backlog!$A$129,"")</f>
        <v/>
      </c>
      <c r="K129" s="72" t="str">
        <f>IF(Backlog!$B$129&lt;&gt;"",Backlog!$B$129,"")</f>
        <v/>
      </c>
      <c r="L129" s="123" t="str">
        <f>IF(Backlog!$C$129&lt;&gt;"",Backlog!$C$129,"")</f>
        <v/>
      </c>
      <c r="N129" s="65" t="str">
        <f>IF(Completed!$A$128&lt;&gt;"",Completed!$A$128,"")</f>
        <v/>
      </c>
      <c r="O129" s="72" t="str">
        <f>IF(Completed!$B$128&lt;&gt;"",Completed!$B$128,"")</f>
        <v/>
      </c>
      <c r="P129" s="72" t="str">
        <f ca="1">IF($N$129&lt;&gt;"", INDIRECT("'Tracker'!"&amp;ADDRESS(MATCH($N$129, Tracker[Anime Name], 0) + 2, 3)), "")</f>
        <v/>
      </c>
      <c r="Q129" s="66" t="str">
        <f ca="1">IF($N$129&lt;&gt;"", INDIRECT("'Tracker'!"&amp;ADDRESS(MATCH($N$129, Tracker[Anime Name], 0) + 2, 4)), "")</f>
        <v/>
      </c>
      <c r="R129" s="66" t="str">
        <f ca="1">IF($N$129&lt;&gt;"", INDIRECT("'Tracker'!"&amp;ADDRESS(MATCH($N$129, Tracker[Anime Name], 0) + 2, 5)), "")</f>
        <v/>
      </c>
      <c r="S129" s="66" t="str">
        <f ca="1">IF($N$129&lt;&gt;"", INDIRECT("'Tracker'!"&amp;ADDRESS(MATCH($N$129, Tracker[Anime Name], 0) + 2, 6)), "")</f>
        <v/>
      </c>
      <c r="T129" s="66" t="str">
        <f ca="1">IF($N$129&lt;&gt;"", INDIRECT("'Tracker'!"&amp;ADDRESS(MATCH($N$129, Tracker[Anime Name], 0) + 2, 7)), "")</f>
        <v/>
      </c>
      <c r="U129" s="72" t="str">
        <f ca="1">IF($N$129&lt;&gt;"", INDIRECT("'Tracker'!"&amp;ADDRESS(MATCH($N$129, Tracker[Anime Name], 0) + 2, 8)), "")</f>
        <v/>
      </c>
      <c r="V129" s="109" t="str">
        <f>IF(Completed!$C$128&lt;&gt;"",Completed!$C$128,"")</f>
        <v/>
      </c>
      <c r="W129" s="109" t="str">
        <f>IF(Completed!$D$128&lt;&gt;"",Completed!$D$128,"")</f>
        <v/>
      </c>
      <c r="X129" s="109" t="str">
        <f>IF(Completed!$E$128&lt;&gt;"",Completed!$E$128,"")</f>
        <v/>
      </c>
      <c r="Y129" s="109" t="str">
        <f>IF(Completed!$F$128&lt;&gt;"",Completed!$F$128,"")</f>
        <v/>
      </c>
      <c r="Z129" s="125" t="str">
        <f>IF(Completed!$G$128&lt;&gt;"",Completed!$G$128,"")</f>
        <v/>
      </c>
      <c r="AA129" s="136" t="str">
        <f>IF(Completed!$H$128&lt;&gt;"",Completed!$H$128,"")</f>
        <v/>
      </c>
      <c r="AB129" s="110" t="str">
        <f>IF(Completed!$I$128&lt;&gt;"",Completed!$I$128,"")</f>
        <v/>
      </c>
      <c r="AC129" s="110" t="str">
        <f>IF(Completed!$J$128&lt;&gt;"",Completed!$J$128,"")</f>
        <v/>
      </c>
      <c r="AD129" s="126" t="str">
        <f>IF(Completed!$K$128&lt;&gt;"",Completed!$K$128,"")</f>
        <v/>
      </c>
      <c r="AE129" s="127" t="str">
        <f>IF(Completed!$L$128&lt;&gt;"",Completed!$L$128,"")</f>
        <v/>
      </c>
    </row>
    <row r="130" spans="10:31">
      <c r="J130" s="65" t="str">
        <f>IF(Backlog!$A$130&lt;&gt;"",Backlog!$A$130,"")</f>
        <v/>
      </c>
      <c r="K130" s="72" t="str">
        <f>IF(Backlog!$B$130&lt;&gt;"",Backlog!$B$130,"")</f>
        <v/>
      </c>
      <c r="L130" s="123" t="str">
        <f>IF(Backlog!$C$130&lt;&gt;"",Backlog!$C$130,"")</f>
        <v/>
      </c>
      <c r="N130" s="65" t="str">
        <f>IF(Completed!$A$129&lt;&gt;"",Completed!$A$129,"")</f>
        <v/>
      </c>
      <c r="O130" s="72" t="str">
        <f>IF(Completed!$B$129&lt;&gt;"",Completed!$B$129,"")</f>
        <v/>
      </c>
      <c r="P130" s="72" t="str">
        <f ca="1">IF($N$130&lt;&gt;"", INDIRECT("'Tracker'!"&amp;ADDRESS(MATCH($N$130, Tracker[Anime Name], 0) + 2, 3)), "")</f>
        <v/>
      </c>
      <c r="Q130" s="66" t="str">
        <f ca="1">IF($N$130&lt;&gt;"", INDIRECT("'Tracker'!"&amp;ADDRESS(MATCH($N$130, Tracker[Anime Name], 0) + 2, 4)), "")</f>
        <v/>
      </c>
      <c r="R130" s="66" t="str">
        <f ca="1">IF($N$130&lt;&gt;"", INDIRECT("'Tracker'!"&amp;ADDRESS(MATCH($N$130, Tracker[Anime Name], 0) + 2, 5)), "")</f>
        <v/>
      </c>
      <c r="S130" s="66" t="str">
        <f ca="1">IF($N$130&lt;&gt;"", INDIRECT("'Tracker'!"&amp;ADDRESS(MATCH($N$130, Tracker[Anime Name], 0) + 2, 6)), "")</f>
        <v/>
      </c>
      <c r="T130" s="66" t="str">
        <f ca="1">IF($N$130&lt;&gt;"", INDIRECT("'Tracker'!"&amp;ADDRESS(MATCH($N$130, Tracker[Anime Name], 0) + 2, 7)), "")</f>
        <v/>
      </c>
      <c r="U130" s="72" t="str">
        <f ca="1">IF($N$130&lt;&gt;"", INDIRECT("'Tracker'!"&amp;ADDRESS(MATCH($N$130, Tracker[Anime Name], 0) + 2, 8)), "")</f>
        <v/>
      </c>
      <c r="V130" s="109" t="str">
        <f>IF(Completed!$C$129&lt;&gt;"",Completed!$C$129,"")</f>
        <v/>
      </c>
      <c r="W130" s="109" t="str">
        <f>IF(Completed!$D$129&lt;&gt;"",Completed!$D$129,"")</f>
        <v/>
      </c>
      <c r="X130" s="109" t="str">
        <f>IF(Completed!$E$129&lt;&gt;"",Completed!$E$129,"")</f>
        <v/>
      </c>
      <c r="Y130" s="109" t="str">
        <f>IF(Completed!$F$129&lt;&gt;"",Completed!$F$129,"")</f>
        <v/>
      </c>
      <c r="Z130" s="125" t="str">
        <f>IF(Completed!$G$129&lt;&gt;"",Completed!$G$129,"")</f>
        <v/>
      </c>
      <c r="AA130" s="136" t="str">
        <f>IF(Completed!$H$129&lt;&gt;"",Completed!$H$129,"")</f>
        <v/>
      </c>
      <c r="AB130" s="110" t="str">
        <f>IF(Completed!$I$129&lt;&gt;"",Completed!$I$129,"")</f>
        <v/>
      </c>
      <c r="AC130" s="110" t="str">
        <f>IF(Completed!$J$129&lt;&gt;"",Completed!$J$129,"")</f>
        <v/>
      </c>
      <c r="AD130" s="126" t="str">
        <f>IF(Completed!$K$129&lt;&gt;"",Completed!$K$129,"")</f>
        <v/>
      </c>
      <c r="AE130" s="127" t="str">
        <f>IF(Completed!$L$129&lt;&gt;"",Completed!$L$129,"")</f>
        <v/>
      </c>
    </row>
    <row r="131" spans="10:31">
      <c r="J131" s="65" t="str">
        <f>IF(Backlog!$A$131&lt;&gt;"",Backlog!$A$131,"")</f>
        <v/>
      </c>
      <c r="K131" s="72" t="str">
        <f>IF(Backlog!$B$131&lt;&gt;"",Backlog!$B$131,"")</f>
        <v/>
      </c>
      <c r="L131" s="123" t="str">
        <f>IF(Backlog!$C$131&lt;&gt;"",Backlog!$C$131,"")</f>
        <v/>
      </c>
      <c r="N131" s="65" t="str">
        <f>IF(Completed!$A$130&lt;&gt;"",Completed!$A$130,"")</f>
        <v/>
      </c>
      <c r="O131" s="72" t="str">
        <f>IF(Completed!$B$130&lt;&gt;"",Completed!$B$130,"")</f>
        <v/>
      </c>
      <c r="P131" s="72" t="str">
        <f ca="1">IF($N$131&lt;&gt;"", INDIRECT("'Tracker'!"&amp;ADDRESS(MATCH($N$131, Tracker[Anime Name], 0) + 2, 3)), "")</f>
        <v/>
      </c>
      <c r="Q131" s="66" t="str">
        <f ca="1">IF($N$131&lt;&gt;"", INDIRECT("'Tracker'!"&amp;ADDRESS(MATCH($N$131, Tracker[Anime Name], 0) + 2, 4)), "")</f>
        <v/>
      </c>
      <c r="R131" s="66" t="str">
        <f ca="1">IF($N$131&lt;&gt;"", INDIRECT("'Tracker'!"&amp;ADDRESS(MATCH($N$131, Tracker[Anime Name], 0) + 2, 5)), "")</f>
        <v/>
      </c>
      <c r="S131" s="66" t="str">
        <f ca="1">IF($N$131&lt;&gt;"", INDIRECT("'Tracker'!"&amp;ADDRESS(MATCH($N$131, Tracker[Anime Name], 0) + 2, 6)), "")</f>
        <v/>
      </c>
      <c r="T131" s="66" t="str">
        <f ca="1">IF($N$131&lt;&gt;"", INDIRECT("'Tracker'!"&amp;ADDRESS(MATCH($N$131, Tracker[Anime Name], 0) + 2, 7)), "")</f>
        <v/>
      </c>
      <c r="U131" s="72" t="str">
        <f ca="1">IF($N$131&lt;&gt;"", INDIRECT("'Tracker'!"&amp;ADDRESS(MATCH($N$131, Tracker[Anime Name], 0) + 2, 8)), "")</f>
        <v/>
      </c>
      <c r="V131" s="109" t="str">
        <f>IF(Completed!$C$130&lt;&gt;"",Completed!$C$130,"")</f>
        <v/>
      </c>
      <c r="W131" s="109" t="str">
        <f>IF(Completed!$D$130&lt;&gt;"",Completed!$D$130,"")</f>
        <v/>
      </c>
      <c r="X131" s="109" t="str">
        <f>IF(Completed!$E$130&lt;&gt;"",Completed!$E$130,"")</f>
        <v/>
      </c>
      <c r="Y131" s="109" t="str">
        <f>IF(Completed!$F$130&lt;&gt;"",Completed!$F$130,"")</f>
        <v/>
      </c>
      <c r="Z131" s="125" t="str">
        <f>IF(Completed!$G$130&lt;&gt;"",Completed!$G$130,"")</f>
        <v/>
      </c>
      <c r="AA131" s="136" t="str">
        <f>IF(Completed!$H$130&lt;&gt;"",Completed!$H$130,"")</f>
        <v/>
      </c>
      <c r="AB131" s="110" t="str">
        <f>IF(Completed!$I$130&lt;&gt;"",Completed!$I$130,"")</f>
        <v/>
      </c>
      <c r="AC131" s="110" t="str">
        <f>IF(Completed!$J$130&lt;&gt;"",Completed!$J$130,"")</f>
        <v/>
      </c>
      <c r="AD131" s="126" t="str">
        <f>IF(Completed!$K$130&lt;&gt;"",Completed!$K$130,"")</f>
        <v/>
      </c>
      <c r="AE131" s="127" t="str">
        <f>IF(Completed!$L$130&lt;&gt;"",Completed!$L$130,"")</f>
        <v/>
      </c>
    </row>
    <row r="132" spans="10:31">
      <c r="J132" s="65" t="str">
        <f>IF(Backlog!$A$132&lt;&gt;"",Backlog!$A$132,"")</f>
        <v/>
      </c>
      <c r="K132" s="72" t="str">
        <f>IF(Backlog!$B$132&lt;&gt;"",Backlog!$B$132,"")</f>
        <v/>
      </c>
      <c r="L132" s="123" t="str">
        <f>IF(Backlog!$C$132&lt;&gt;"",Backlog!$C$132,"")</f>
        <v/>
      </c>
      <c r="N132" s="65" t="str">
        <f>IF(Completed!$A$131&lt;&gt;"",Completed!$A$131,"")</f>
        <v/>
      </c>
      <c r="O132" s="72" t="str">
        <f>IF(Completed!$B$131&lt;&gt;"",Completed!$B$131,"")</f>
        <v/>
      </c>
      <c r="P132" s="72" t="str">
        <f ca="1">IF($N$132&lt;&gt;"", INDIRECT("'Tracker'!"&amp;ADDRESS(MATCH($N$132, Tracker[Anime Name], 0) + 2, 3)), "")</f>
        <v/>
      </c>
      <c r="Q132" s="66" t="str">
        <f ca="1">IF($N$132&lt;&gt;"", INDIRECT("'Tracker'!"&amp;ADDRESS(MATCH($N$132, Tracker[Anime Name], 0) + 2, 4)), "")</f>
        <v/>
      </c>
      <c r="R132" s="66" t="str">
        <f ca="1">IF($N$132&lt;&gt;"", INDIRECT("'Tracker'!"&amp;ADDRESS(MATCH($N$132, Tracker[Anime Name], 0) + 2, 5)), "")</f>
        <v/>
      </c>
      <c r="S132" s="66" t="str">
        <f ca="1">IF($N$132&lt;&gt;"", INDIRECT("'Tracker'!"&amp;ADDRESS(MATCH($N$132, Tracker[Anime Name], 0) + 2, 6)), "")</f>
        <v/>
      </c>
      <c r="T132" s="66" t="str">
        <f ca="1">IF($N$132&lt;&gt;"", INDIRECT("'Tracker'!"&amp;ADDRESS(MATCH($N$132, Tracker[Anime Name], 0) + 2, 7)), "")</f>
        <v/>
      </c>
      <c r="U132" s="72" t="str">
        <f ca="1">IF($N$132&lt;&gt;"", INDIRECT("'Tracker'!"&amp;ADDRESS(MATCH($N$132, Tracker[Anime Name], 0) + 2, 8)), "")</f>
        <v/>
      </c>
      <c r="V132" s="109" t="str">
        <f>IF(Completed!$C$131&lt;&gt;"",Completed!$C$131,"")</f>
        <v/>
      </c>
      <c r="W132" s="109" t="str">
        <f>IF(Completed!$D$131&lt;&gt;"",Completed!$D$131,"")</f>
        <v/>
      </c>
      <c r="X132" s="109" t="str">
        <f>IF(Completed!$E$131&lt;&gt;"",Completed!$E$131,"")</f>
        <v/>
      </c>
      <c r="Y132" s="109" t="str">
        <f>IF(Completed!$F$131&lt;&gt;"",Completed!$F$131,"")</f>
        <v/>
      </c>
      <c r="Z132" s="125" t="str">
        <f>IF(Completed!$G$131&lt;&gt;"",Completed!$G$131,"")</f>
        <v/>
      </c>
      <c r="AA132" s="136" t="str">
        <f>IF(Completed!$H$131&lt;&gt;"",Completed!$H$131,"")</f>
        <v/>
      </c>
      <c r="AB132" s="110" t="str">
        <f>IF(Completed!$I$131&lt;&gt;"",Completed!$I$131,"")</f>
        <v/>
      </c>
      <c r="AC132" s="110" t="str">
        <f>IF(Completed!$J$131&lt;&gt;"",Completed!$J$131,"")</f>
        <v/>
      </c>
      <c r="AD132" s="126" t="str">
        <f>IF(Completed!$K$131&lt;&gt;"",Completed!$K$131,"")</f>
        <v/>
      </c>
      <c r="AE132" s="127" t="str">
        <f>IF(Completed!$L$131&lt;&gt;"",Completed!$L$131,"")</f>
        <v/>
      </c>
    </row>
    <row r="133" spans="10:31">
      <c r="J133" s="65" t="str">
        <f>IF(Backlog!$A$133&lt;&gt;"",Backlog!$A$133,"")</f>
        <v/>
      </c>
      <c r="K133" s="72" t="str">
        <f>IF(Backlog!$B$133&lt;&gt;"",Backlog!$B$133,"")</f>
        <v/>
      </c>
      <c r="L133" s="123" t="str">
        <f>IF(Backlog!$C$133&lt;&gt;"",Backlog!$C$133,"")</f>
        <v/>
      </c>
      <c r="N133" s="65" t="str">
        <f>IF(Completed!$A$132&lt;&gt;"",Completed!$A$132,"")</f>
        <v/>
      </c>
      <c r="O133" s="72" t="str">
        <f>IF(Completed!$B$132&lt;&gt;"",Completed!$B$132,"")</f>
        <v/>
      </c>
      <c r="P133" s="72" t="str">
        <f ca="1">IF($N$133&lt;&gt;"", INDIRECT("'Tracker'!"&amp;ADDRESS(MATCH($N$133, Tracker[Anime Name], 0) + 2, 3)), "")</f>
        <v/>
      </c>
      <c r="Q133" s="66" t="str">
        <f ca="1">IF($N$133&lt;&gt;"", INDIRECT("'Tracker'!"&amp;ADDRESS(MATCH($N$133, Tracker[Anime Name], 0) + 2, 4)), "")</f>
        <v/>
      </c>
      <c r="R133" s="66" t="str">
        <f ca="1">IF($N$133&lt;&gt;"", INDIRECT("'Tracker'!"&amp;ADDRESS(MATCH($N$133, Tracker[Anime Name], 0) + 2, 5)), "")</f>
        <v/>
      </c>
      <c r="S133" s="66" t="str">
        <f ca="1">IF($N$133&lt;&gt;"", INDIRECT("'Tracker'!"&amp;ADDRESS(MATCH($N$133, Tracker[Anime Name], 0) + 2, 6)), "")</f>
        <v/>
      </c>
      <c r="T133" s="66" t="str">
        <f ca="1">IF($N$133&lt;&gt;"", INDIRECT("'Tracker'!"&amp;ADDRESS(MATCH($N$133, Tracker[Anime Name], 0) + 2, 7)), "")</f>
        <v/>
      </c>
      <c r="U133" s="72" t="str">
        <f ca="1">IF($N$133&lt;&gt;"", INDIRECT("'Tracker'!"&amp;ADDRESS(MATCH($N$133, Tracker[Anime Name], 0) + 2, 8)), "")</f>
        <v/>
      </c>
      <c r="V133" s="109" t="str">
        <f>IF(Completed!$C$132&lt;&gt;"",Completed!$C$132,"")</f>
        <v/>
      </c>
      <c r="W133" s="109" t="str">
        <f>IF(Completed!$D$132&lt;&gt;"",Completed!$D$132,"")</f>
        <v/>
      </c>
      <c r="X133" s="109" t="str">
        <f>IF(Completed!$E$132&lt;&gt;"",Completed!$E$132,"")</f>
        <v/>
      </c>
      <c r="Y133" s="109" t="str">
        <f>IF(Completed!$F$132&lt;&gt;"",Completed!$F$132,"")</f>
        <v/>
      </c>
      <c r="Z133" s="125" t="str">
        <f>IF(Completed!$G$132&lt;&gt;"",Completed!$G$132,"")</f>
        <v/>
      </c>
      <c r="AA133" s="136" t="str">
        <f>IF(Completed!$H$132&lt;&gt;"",Completed!$H$132,"")</f>
        <v/>
      </c>
      <c r="AB133" s="110" t="str">
        <f>IF(Completed!$I$132&lt;&gt;"",Completed!$I$132,"")</f>
        <v/>
      </c>
      <c r="AC133" s="110" t="str">
        <f>IF(Completed!$J$132&lt;&gt;"",Completed!$J$132,"")</f>
        <v/>
      </c>
      <c r="AD133" s="126" t="str">
        <f>IF(Completed!$K$132&lt;&gt;"",Completed!$K$132,"")</f>
        <v/>
      </c>
      <c r="AE133" s="127" t="str">
        <f>IF(Completed!$L$132&lt;&gt;"",Completed!$L$132,"")</f>
        <v/>
      </c>
    </row>
    <row r="134" spans="10:31">
      <c r="J134" s="65" t="str">
        <f>IF(Backlog!$A$134&lt;&gt;"",Backlog!$A$134,"")</f>
        <v/>
      </c>
      <c r="K134" s="72" t="str">
        <f>IF(Backlog!$B$134&lt;&gt;"",Backlog!$B$134,"")</f>
        <v/>
      </c>
      <c r="L134" s="123" t="str">
        <f>IF(Backlog!$C$134&lt;&gt;"",Backlog!$C$134,"")</f>
        <v/>
      </c>
      <c r="N134" s="65" t="str">
        <f>IF(Completed!$A$133&lt;&gt;"",Completed!$A$133,"")</f>
        <v/>
      </c>
      <c r="O134" s="72" t="str">
        <f>IF(Completed!$B$133&lt;&gt;"",Completed!$B$133,"")</f>
        <v/>
      </c>
      <c r="P134" s="72" t="str">
        <f ca="1">IF($N$134&lt;&gt;"", INDIRECT("'Tracker'!"&amp;ADDRESS(MATCH($N$134, Tracker[Anime Name], 0) + 2, 3)), "")</f>
        <v/>
      </c>
      <c r="Q134" s="66" t="str">
        <f ca="1">IF($N$134&lt;&gt;"", INDIRECT("'Tracker'!"&amp;ADDRESS(MATCH($N$134, Tracker[Anime Name], 0) + 2, 4)), "")</f>
        <v/>
      </c>
      <c r="R134" s="66" t="str">
        <f ca="1">IF($N$134&lt;&gt;"", INDIRECT("'Tracker'!"&amp;ADDRESS(MATCH($N$134, Tracker[Anime Name], 0) + 2, 5)), "")</f>
        <v/>
      </c>
      <c r="S134" s="66" t="str">
        <f ca="1">IF($N$134&lt;&gt;"", INDIRECT("'Tracker'!"&amp;ADDRESS(MATCH($N$134, Tracker[Anime Name], 0) + 2, 6)), "")</f>
        <v/>
      </c>
      <c r="T134" s="66" t="str">
        <f ca="1">IF($N$134&lt;&gt;"", INDIRECT("'Tracker'!"&amp;ADDRESS(MATCH($N$134, Tracker[Anime Name], 0) + 2, 7)), "")</f>
        <v/>
      </c>
      <c r="U134" s="72" t="str">
        <f ca="1">IF($N$134&lt;&gt;"", INDIRECT("'Tracker'!"&amp;ADDRESS(MATCH($N$134, Tracker[Anime Name], 0) + 2, 8)), "")</f>
        <v/>
      </c>
      <c r="V134" s="109" t="str">
        <f>IF(Completed!$C$133&lt;&gt;"",Completed!$C$133,"")</f>
        <v/>
      </c>
      <c r="W134" s="109" t="str">
        <f>IF(Completed!$D$133&lt;&gt;"",Completed!$D$133,"")</f>
        <v/>
      </c>
      <c r="X134" s="109" t="str">
        <f>IF(Completed!$E$133&lt;&gt;"",Completed!$E$133,"")</f>
        <v/>
      </c>
      <c r="Y134" s="109" t="str">
        <f>IF(Completed!$F$133&lt;&gt;"",Completed!$F$133,"")</f>
        <v/>
      </c>
      <c r="Z134" s="125" t="str">
        <f>IF(Completed!$G$133&lt;&gt;"",Completed!$G$133,"")</f>
        <v/>
      </c>
      <c r="AA134" s="136" t="str">
        <f>IF(Completed!$H$133&lt;&gt;"",Completed!$H$133,"")</f>
        <v/>
      </c>
      <c r="AB134" s="110" t="str">
        <f>IF(Completed!$I$133&lt;&gt;"",Completed!$I$133,"")</f>
        <v/>
      </c>
      <c r="AC134" s="110" t="str">
        <f>IF(Completed!$J$133&lt;&gt;"",Completed!$J$133,"")</f>
        <v/>
      </c>
      <c r="AD134" s="126" t="str">
        <f>IF(Completed!$K$133&lt;&gt;"",Completed!$K$133,"")</f>
        <v/>
      </c>
      <c r="AE134" s="127" t="str">
        <f>IF(Completed!$L$133&lt;&gt;"",Completed!$L$133,"")</f>
        <v/>
      </c>
    </row>
    <row r="135" spans="10:31">
      <c r="J135" s="65" t="str">
        <f>IF(Backlog!$A$135&lt;&gt;"",Backlog!$A$135,"")</f>
        <v/>
      </c>
      <c r="K135" s="72" t="str">
        <f>IF(Backlog!$B$135&lt;&gt;"",Backlog!$B$135,"")</f>
        <v/>
      </c>
      <c r="L135" s="123" t="str">
        <f>IF(Backlog!$C$135&lt;&gt;"",Backlog!$C$135,"")</f>
        <v/>
      </c>
      <c r="N135" s="65" t="str">
        <f>IF(Completed!$A$134&lt;&gt;"",Completed!$A$134,"")</f>
        <v/>
      </c>
      <c r="O135" s="72" t="str">
        <f>IF(Completed!$B$134&lt;&gt;"",Completed!$B$134,"")</f>
        <v/>
      </c>
      <c r="P135" s="72" t="str">
        <f ca="1">IF($N$135&lt;&gt;"", INDIRECT("'Tracker'!"&amp;ADDRESS(MATCH($N$135, Tracker[Anime Name], 0) + 2, 3)), "")</f>
        <v/>
      </c>
      <c r="Q135" s="66" t="str">
        <f ca="1">IF($N$135&lt;&gt;"", INDIRECT("'Tracker'!"&amp;ADDRESS(MATCH($N$135, Tracker[Anime Name], 0) + 2, 4)), "")</f>
        <v/>
      </c>
      <c r="R135" s="66" t="str">
        <f ca="1">IF($N$135&lt;&gt;"", INDIRECT("'Tracker'!"&amp;ADDRESS(MATCH($N$135, Tracker[Anime Name], 0) + 2, 5)), "")</f>
        <v/>
      </c>
      <c r="S135" s="66" t="str">
        <f ca="1">IF($N$135&lt;&gt;"", INDIRECT("'Tracker'!"&amp;ADDRESS(MATCH($N$135, Tracker[Anime Name], 0) + 2, 6)), "")</f>
        <v/>
      </c>
      <c r="T135" s="66" t="str">
        <f ca="1">IF($N$135&lt;&gt;"", INDIRECT("'Tracker'!"&amp;ADDRESS(MATCH($N$135, Tracker[Anime Name], 0) + 2, 7)), "")</f>
        <v/>
      </c>
      <c r="U135" s="72" t="str">
        <f ca="1">IF($N$135&lt;&gt;"", INDIRECT("'Tracker'!"&amp;ADDRESS(MATCH($N$135, Tracker[Anime Name], 0) + 2, 8)), "")</f>
        <v/>
      </c>
      <c r="V135" s="109" t="str">
        <f>IF(Completed!$C$134&lt;&gt;"",Completed!$C$134,"")</f>
        <v/>
      </c>
      <c r="W135" s="109" t="str">
        <f>IF(Completed!$D$134&lt;&gt;"",Completed!$D$134,"")</f>
        <v/>
      </c>
      <c r="X135" s="109" t="str">
        <f>IF(Completed!$E$134&lt;&gt;"",Completed!$E$134,"")</f>
        <v/>
      </c>
      <c r="Y135" s="109" t="str">
        <f>IF(Completed!$F$134&lt;&gt;"",Completed!$F$134,"")</f>
        <v/>
      </c>
      <c r="Z135" s="125" t="str">
        <f>IF(Completed!$G$134&lt;&gt;"",Completed!$G$134,"")</f>
        <v/>
      </c>
      <c r="AA135" s="136" t="str">
        <f>IF(Completed!$H$134&lt;&gt;"",Completed!$H$134,"")</f>
        <v/>
      </c>
      <c r="AB135" s="110" t="str">
        <f>IF(Completed!$I$134&lt;&gt;"",Completed!$I$134,"")</f>
        <v/>
      </c>
      <c r="AC135" s="110" t="str">
        <f>IF(Completed!$J$134&lt;&gt;"",Completed!$J$134,"")</f>
        <v/>
      </c>
      <c r="AD135" s="126" t="str">
        <f>IF(Completed!$K$134&lt;&gt;"",Completed!$K$134,"")</f>
        <v/>
      </c>
      <c r="AE135" s="127" t="str">
        <f>IF(Completed!$L$134&lt;&gt;"",Completed!$L$134,"")</f>
        <v/>
      </c>
    </row>
    <row r="136" spans="10:31">
      <c r="J136" s="65" t="str">
        <f>IF(Backlog!$A$136&lt;&gt;"",Backlog!$A$136,"")</f>
        <v/>
      </c>
      <c r="K136" s="72" t="str">
        <f>IF(Backlog!$B$136&lt;&gt;"",Backlog!$B$136,"")</f>
        <v/>
      </c>
      <c r="L136" s="123" t="str">
        <f>IF(Backlog!$C$136&lt;&gt;"",Backlog!$C$136,"")</f>
        <v/>
      </c>
      <c r="N136" s="65" t="str">
        <f>IF(Completed!$A$135&lt;&gt;"",Completed!$A$135,"")</f>
        <v/>
      </c>
      <c r="O136" s="72" t="str">
        <f>IF(Completed!$B$135&lt;&gt;"",Completed!$B$135,"")</f>
        <v/>
      </c>
      <c r="P136" s="72" t="str">
        <f ca="1">IF($N$136&lt;&gt;"", INDIRECT("'Tracker'!"&amp;ADDRESS(MATCH($N$136, Tracker[Anime Name], 0) + 2, 3)), "")</f>
        <v/>
      </c>
      <c r="Q136" s="66" t="str">
        <f ca="1">IF($N$136&lt;&gt;"", INDIRECT("'Tracker'!"&amp;ADDRESS(MATCH($N$136, Tracker[Anime Name], 0) + 2, 4)), "")</f>
        <v/>
      </c>
      <c r="R136" s="66" t="str">
        <f ca="1">IF($N$136&lt;&gt;"", INDIRECT("'Tracker'!"&amp;ADDRESS(MATCH($N$136, Tracker[Anime Name], 0) + 2, 5)), "")</f>
        <v/>
      </c>
      <c r="S136" s="66" t="str">
        <f ca="1">IF($N$136&lt;&gt;"", INDIRECT("'Tracker'!"&amp;ADDRESS(MATCH($N$136, Tracker[Anime Name], 0) + 2, 6)), "")</f>
        <v/>
      </c>
      <c r="T136" s="66" t="str">
        <f ca="1">IF($N$136&lt;&gt;"", INDIRECT("'Tracker'!"&amp;ADDRESS(MATCH($N$136, Tracker[Anime Name], 0) + 2, 7)), "")</f>
        <v/>
      </c>
      <c r="U136" s="72" t="str">
        <f ca="1">IF($N$136&lt;&gt;"", INDIRECT("'Tracker'!"&amp;ADDRESS(MATCH($N$136, Tracker[Anime Name], 0) + 2, 8)), "")</f>
        <v/>
      </c>
      <c r="V136" s="109" t="str">
        <f>IF(Completed!$C$135&lt;&gt;"",Completed!$C$135,"")</f>
        <v/>
      </c>
      <c r="W136" s="109" t="str">
        <f>IF(Completed!$D$135&lt;&gt;"",Completed!$D$135,"")</f>
        <v/>
      </c>
      <c r="X136" s="109" t="str">
        <f>IF(Completed!$E$135&lt;&gt;"",Completed!$E$135,"")</f>
        <v/>
      </c>
      <c r="Y136" s="109" t="str">
        <f>IF(Completed!$F$135&lt;&gt;"",Completed!$F$135,"")</f>
        <v/>
      </c>
      <c r="Z136" s="125" t="str">
        <f>IF(Completed!$G$135&lt;&gt;"",Completed!$G$135,"")</f>
        <v/>
      </c>
      <c r="AA136" s="136" t="str">
        <f>IF(Completed!$H$135&lt;&gt;"",Completed!$H$135,"")</f>
        <v/>
      </c>
      <c r="AB136" s="110" t="str">
        <f>IF(Completed!$I$135&lt;&gt;"",Completed!$I$135,"")</f>
        <v/>
      </c>
      <c r="AC136" s="110" t="str">
        <f>IF(Completed!$J$135&lt;&gt;"",Completed!$J$135,"")</f>
        <v/>
      </c>
      <c r="AD136" s="126" t="str">
        <f>IF(Completed!$K$135&lt;&gt;"",Completed!$K$135,"")</f>
        <v/>
      </c>
      <c r="AE136" s="127" t="str">
        <f>IF(Completed!$L$135&lt;&gt;"",Completed!$L$135,"")</f>
        <v/>
      </c>
    </row>
    <row r="137" spans="10:31">
      <c r="J137" s="65" t="str">
        <f>IF(Backlog!$A$137&lt;&gt;"",Backlog!$A$137,"")</f>
        <v/>
      </c>
      <c r="K137" s="72" t="str">
        <f>IF(Backlog!$B$137&lt;&gt;"",Backlog!$B$137,"")</f>
        <v/>
      </c>
      <c r="L137" s="123" t="str">
        <f>IF(Backlog!$C$137&lt;&gt;"",Backlog!$C$137,"")</f>
        <v/>
      </c>
      <c r="N137" s="65" t="str">
        <f>IF(Completed!$A$136&lt;&gt;"",Completed!$A$136,"")</f>
        <v/>
      </c>
      <c r="O137" s="72" t="str">
        <f>IF(Completed!$B$136&lt;&gt;"",Completed!$B$136,"")</f>
        <v/>
      </c>
      <c r="P137" s="72" t="str">
        <f ca="1">IF($N$137&lt;&gt;"", INDIRECT("'Tracker'!"&amp;ADDRESS(MATCH($N$137, Tracker[Anime Name], 0) + 2, 3)), "")</f>
        <v/>
      </c>
      <c r="Q137" s="66" t="str">
        <f ca="1">IF($N$137&lt;&gt;"", INDIRECT("'Tracker'!"&amp;ADDRESS(MATCH($N$137, Tracker[Anime Name], 0) + 2, 4)), "")</f>
        <v/>
      </c>
      <c r="R137" s="66" t="str">
        <f ca="1">IF($N$137&lt;&gt;"", INDIRECT("'Tracker'!"&amp;ADDRESS(MATCH($N$137, Tracker[Anime Name], 0) + 2, 5)), "")</f>
        <v/>
      </c>
      <c r="S137" s="66" t="str">
        <f ca="1">IF($N$137&lt;&gt;"", INDIRECT("'Tracker'!"&amp;ADDRESS(MATCH($N$137, Tracker[Anime Name], 0) + 2, 6)), "")</f>
        <v/>
      </c>
      <c r="T137" s="66" t="str">
        <f ca="1">IF($N$137&lt;&gt;"", INDIRECT("'Tracker'!"&amp;ADDRESS(MATCH($N$137, Tracker[Anime Name], 0) + 2, 7)), "")</f>
        <v/>
      </c>
      <c r="U137" s="72" t="str">
        <f ca="1">IF($N$137&lt;&gt;"", INDIRECT("'Tracker'!"&amp;ADDRESS(MATCH($N$137, Tracker[Anime Name], 0) + 2, 8)), "")</f>
        <v/>
      </c>
      <c r="V137" s="109" t="str">
        <f>IF(Completed!$C$136&lt;&gt;"",Completed!$C$136,"")</f>
        <v/>
      </c>
      <c r="W137" s="109" t="str">
        <f>IF(Completed!$D$136&lt;&gt;"",Completed!$D$136,"")</f>
        <v/>
      </c>
      <c r="X137" s="109" t="str">
        <f>IF(Completed!$E$136&lt;&gt;"",Completed!$E$136,"")</f>
        <v/>
      </c>
      <c r="Y137" s="109" t="str">
        <f>IF(Completed!$F$136&lt;&gt;"",Completed!$F$136,"")</f>
        <v/>
      </c>
      <c r="Z137" s="125" t="str">
        <f>IF(Completed!$G$136&lt;&gt;"",Completed!$G$136,"")</f>
        <v/>
      </c>
      <c r="AA137" s="136" t="str">
        <f>IF(Completed!$H$136&lt;&gt;"",Completed!$H$136,"")</f>
        <v/>
      </c>
      <c r="AB137" s="110" t="str">
        <f>IF(Completed!$I$136&lt;&gt;"",Completed!$I$136,"")</f>
        <v/>
      </c>
      <c r="AC137" s="110" t="str">
        <f>IF(Completed!$J$136&lt;&gt;"",Completed!$J$136,"")</f>
        <v/>
      </c>
      <c r="AD137" s="126" t="str">
        <f>IF(Completed!$K$136&lt;&gt;"",Completed!$K$136,"")</f>
        <v/>
      </c>
      <c r="AE137" s="127" t="str">
        <f>IF(Completed!$L$136&lt;&gt;"",Completed!$L$136,"")</f>
        <v/>
      </c>
    </row>
    <row r="138" spans="10:31">
      <c r="J138" s="65" t="str">
        <f>IF(Backlog!$A$138&lt;&gt;"",Backlog!$A$138,"")</f>
        <v/>
      </c>
      <c r="K138" s="72" t="str">
        <f>IF(Backlog!$B$138&lt;&gt;"",Backlog!$B$138,"")</f>
        <v/>
      </c>
      <c r="L138" s="123" t="str">
        <f>IF(Backlog!$C$138&lt;&gt;"",Backlog!$C$138,"")</f>
        <v/>
      </c>
      <c r="N138" s="65" t="str">
        <f>IF(Completed!$A$137&lt;&gt;"",Completed!$A$137,"")</f>
        <v/>
      </c>
      <c r="O138" s="72" t="str">
        <f>IF(Completed!$B$137&lt;&gt;"",Completed!$B$137,"")</f>
        <v/>
      </c>
      <c r="P138" s="72" t="str">
        <f ca="1">IF($N$138&lt;&gt;"", INDIRECT("'Tracker'!"&amp;ADDRESS(MATCH($N$138, Tracker[Anime Name], 0) + 2, 3)), "")</f>
        <v/>
      </c>
      <c r="Q138" s="66" t="str">
        <f ca="1">IF($N$138&lt;&gt;"", INDIRECT("'Tracker'!"&amp;ADDRESS(MATCH($N$138, Tracker[Anime Name], 0) + 2, 4)), "")</f>
        <v/>
      </c>
      <c r="R138" s="66" t="str">
        <f ca="1">IF($N$138&lt;&gt;"", INDIRECT("'Tracker'!"&amp;ADDRESS(MATCH($N$138, Tracker[Anime Name], 0) + 2, 5)), "")</f>
        <v/>
      </c>
      <c r="S138" s="66" t="str">
        <f ca="1">IF($N$138&lt;&gt;"", INDIRECT("'Tracker'!"&amp;ADDRESS(MATCH($N$138, Tracker[Anime Name], 0) + 2, 6)), "")</f>
        <v/>
      </c>
      <c r="T138" s="66" t="str">
        <f ca="1">IF($N$138&lt;&gt;"", INDIRECT("'Tracker'!"&amp;ADDRESS(MATCH($N$138, Tracker[Anime Name], 0) + 2, 7)), "")</f>
        <v/>
      </c>
      <c r="U138" s="72" t="str">
        <f ca="1">IF($N$138&lt;&gt;"", INDIRECT("'Tracker'!"&amp;ADDRESS(MATCH($N$138, Tracker[Anime Name], 0) + 2, 8)), "")</f>
        <v/>
      </c>
      <c r="V138" s="109" t="str">
        <f>IF(Completed!$C$137&lt;&gt;"",Completed!$C$137,"")</f>
        <v/>
      </c>
      <c r="W138" s="109" t="str">
        <f>IF(Completed!$D$137&lt;&gt;"",Completed!$D$137,"")</f>
        <v/>
      </c>
      <c r="X138" s="109" t="str">
        <f>IF(Completed!$E$137&lt;&gt;"",Completed!$E$137,"")</f>
        <v/>
      </c>
      <c r="Y138" s="109" t="str">
        <f>IF(Completed!$F$137&lt;&gt;"",Completed!$F$137,"")</f>
        <v/>
      </c>
      <c r="Z138" s="125" t="str">
        <f>IF(Completed!$G$137&lt;&gt;"",Completed!$G$137,"")</f>
        <v/>
      </c>
      <c r="AA138" s="136" t="str">
        <f>IF(Completed!$H$137&lt;&gt;"",Completed!$H$137,"")</f>
        <v/>
      </c>
      <c r="AB138" s="110" t="str">
        <f>IF(Completed!$I$137&lt;&gt;"",Completed!$I$137,"")</f>
        <v/>
      </c>
      <c r="AC138" s="110" t="str">
        <f>IF(Completed!$J$137&lt;&gt;"",Completed!$J$137,"")</f>
        <v/>
      </c>
      <c r="AD138" s="126" t="str">
        <f>IF(Completed!$K$137&lt;&gt;"",Completed!$K$137,"")</f>
        <v/>
      </c>
      <c r="AE138" s="127" t="str">
        <f>IF(Completed!$L$137&lt;&gt;"",Completed!$L$137,"")</f>
        <v/>
      </c>
    </row>
    <row r="139" spans="10:31">
      <c r="J139" s="65" t="str">
        <f>IF(Backlog!$A$139&lt;&gt;"",Backlog!$A$139,"")</f>
        <v/>
      </c>
      <c r="K139" s="72" t="str">
        <f>IF(Backlog!$B$139&lt;&gt;"",Backlog!$B$139,"")</f>
        <v/>
      </c>
      <c r="L139" s="123" t="str">
        <f>IF(Backlog!$C$139&lt;&gt;"",Backlog!$C$139,"")</f>
        <v/>
      </c>
      <c r="N139" s="65" t="str">
        <f>IF(Completed!$A$138&lt;&gt;"",Completed!$A$138,"")</f>
        <v/>
      </c>
      <c r="O139" s="72" t="str">
        <f>IF(Completed!$B$138&lt;&gt;"",Completed!$B$138,"")</f>
        <v/>
      </c>
      <c r="P139" s="72" t="str">
        <f ca="1">IF($N$139&lt;&gt;"", INDIRECT("'Tracker'!"&amp;ADDRESS(MATCH($N$139, Tracker[Anime Name], 0) + 2, 3)), "")</f>
        <v/>
      </c>
      <c r="Q139" s="66" t="str">
        <f ca="1">IF($N$139&lt;&gt;"", INDIRECT("'Tracker'!"&amp;ADDRESS(MATCH($N$139, Tracker[Anime Name], 0) + 2, 4)), "")</f>
        <v/>
      </c>
      <c r="R139" s="66" t="str">
        <f ca="1">IF($N$139&lt;&gt;"", INDIRECT("'Tracker'!"&amp;ADDRESS(MATCH($N$139, Tracker[Anime Name], 0) + 2, 5)), "")</f>
        <v/>
      </c>
      <c r="S139" s="66" t="str">
        <f ca="1">IF($N$139&lt;&gt;"", INDIRECT("'Tracker'!"&amp;ADDRESS(MATCH($N$139, Tracker[Anime Name], 0) + 2, 6)), "")</f>
        <v/>
      </c>
      <c r="T139" s="66" t="str">
        <f ca="1">IF($N$139&lt;&gt;"", INDIRECT("'Tracker'!"&amp;ADDRESS(MATCH($N$139, Tracker[Anime Name], 0) + 2, 7)), "")</f>
        <v/>
      </c>
      <c r="U139" s="72" t="str">
        <f ca="1">IF($N$139&lt;&gt;"", INDIRECT("'Tracker'!"&amp;ADDRESS(MATCH($N$139, Tracker[Anime Name], 0) + 2, 8)), "")</f>
        <v/>
      </c>
      <c r="V139" s="109" t="str">
        <f>IF(Completed!$C$138&lt;&gt;"",Completed!$C$138,"")</f>
        <v/>
      </c>
      <c r="W139" s="109" t="str">
        <f>IF(Completed!$D$138&lt;&gt;"",Completed!$D$138,"")</f>
        <v/>
      </c>
      <c r="X139" s="109" t="str">
        <f>IF(Completed!$E$138&lt;&gt;"",Completed!$E$138,"")</f>
        <v/>
      </c>
      <c r="Y139" s="109" t="str">
        <f>IF(Completed!$F$138&lt;&gt;"",Completed!$F$138,"")</f>
        <v/>
      </c>
      <c r="Z139" s="125" t="str">
        <f>IF(Completed!$G$138&lt;&gt;"",Completed!$G$138,"")</f>
        <v/>
      </c>
      <c r="AA139" s="136" t="str">
        <f>IF(Completed!$H$138&lt;&gt;"",Completed!$H$138,"")</f>
        <v/>
      </c>
      <c r="AB139" s="110" t="str">
        <f>IF(Completed!$I$138&lt;&gt;"",Completed!$I$138,"")</f>
        <v/>
      </c>
      <c r="AC139" s="110" t="str">
        <f>IF(Completed!$J$138&lt;&gt;"",Completed!$J$138,"")</f>
        <v/>
      </c>
      <c r="AD139" s="126" t="str">
        <f>IF(Completed!$K$138&lt;&gt;"",Completed!$K$138,"")</f>
        <v/>
      </c>
      <c r="AE139" s="127" t="str">
        <f>IF(Completed!$L$138&lt;&gt;"",Completed!$L$138,"")</f>
        <v/>
      </c>
    </row>
    <row r="140" spans="10:31">
      <c r="J140" s="65" t="str">
        <f>IF(Backlog!$A$140&lt;&gt;"",Backlog!$A$140,"")</f>
        <v/>
      </c>
      <c r="K140" s="72" t="str">
        <f>IF(Backlog!$B$140&lt;&gt;"",Backlog!$B$140,"")</f>
        <v/>
      </c>
      <c r="L140" s="123" t="str">
        <f>IF(Backlog!$C$140&lt;&gt;"",Backlog!$C$140,"")</f>
        <v/>
      </c>
      <c r="N140" s="65" t="str">
        <f>IF(Completed!$A$139&lt;&gt;"",Completed!$A$139,"")</f>
        <v/>
      </c>
      <c r="O140" s="72" t="str">
        <f>IF(Completed!$B$139&lt;&gt;"",Completed!$B$139,"")</f>
        <v/>
      </c>
      <c r="P140" s="72" t="str">
        <f ca="1">IF($N$140&lt;&gt;"", INDIRECT("'Tracker'!"&amp;ADDRESS(MATCH($N$140, Tracker[Anime Name], 0) + 2, 3)), "")</f>
        <v/>
      </c>
      <c r="Q140" s="66" t="str">
        <f ca="1">IF($N$140&lt;&gt;"", INDIRECT("'Tracker'!"&amp;ADDRESS(MATCH($N$140, Tracker[Anime Name], 0) + 2, 4)), "")</f>
        <v/>
      </c>
      <c r="R140" s="66" t="str">
        <f ca="1">IF($N$140&lt;&gt;"", INDIRECT("'Tracker'!"&amp;ADDRESS(MATCH($N$140, Tracker[Anime Name], 0) + 2, 5)), "")</f>
        <v/>
      </c>
      <c r="S140" s="66" t="str">
        <f ca="1">IF($N$140&lt;&gt;"", INDIRECT("'Tracker'!"&amp;ADDRESS(MATCH($N$140, Tracker[Anime Name], 0) + 2, 6)), "")</f>
        <v/>
      </c>
      <c r="T140" s="66" t="str">
        <f ca="1">IF($N$140&lt;&gt;"", INDIRECT("'Tracker'!"&amp;ADDRESS(MATCH($N$140, Tracker[Anime Name], 0) + 2, 7)), "")</f>
        <v/>
      </c>
      <c r="U140" s="72" t="str">
        <f ca="1">IF($N$140&lt;&gt;"", INDIRECT("'Tracker'!"&amp;ADDRESS(MATCH($N$140, Tracker[Anime Name], 0) + 2, 8)), "")</f>
        <v/>
      </c>
      <c r="V140" s="109" t="str">
        <f>IF(Completed!$C$139&lt;&gt;"",Completed!$C$139,"")</f>
        <v/>
      </c>
      <c r="W140" s="109" t="str">
        <f>IF(Completed!$D$139&lt;&gt;"",Completed!$D$139,"")</f>
        <v/>
      </c>
      <c r="X140" s="109" t="str">
        <f>IF(Completed!$E$139&lt;&gt;"",Completed!$E$139,"")</f>
        <v/>
      </c>
      <c r="Y140" s="109" t="str">
        <f>IF(Completed!$F$139&lt;&gt;"",Completed!$F$139,"")</f>
        <v/>
      </c>
      <c r="Z140" s="125" t="str">
        <f>IF(Completed!$G$139&lt;&gt;"",Completed!$G$139,"")</f>
        <v/>
      </c>
      <c r="AA140" s="136" t="str">
        <f>IF(Completed!$H$139&lt;&gt;"",Completed!$H$139,"")</f>
        <v/>
      </c>
      <c r="AB140" s="110" t="str">
        <f>IF(Completed!$I$139&lt;&gt;"",Completed!$I$139,"")</f>
        <v/>
      </c>
      <c r="AC140" s="110" t="str">
        <f>IF(Completed!$J$139&lt;&gt;"",Completed!$J$139,"")</f>
        <v/>
      </c>
      <c r="AD140" s="126" t="str">
        <f>IF(Completed!$K$139&lt;&gt;"",Completed!$K$139,"")</f>
        <v/>
      </c>
      <c r="AE140" s="127" t="str">
        <f>IF(Completed!$L$139&lt;&gt;"",Completed!$L$139,"")</f>
        <v/>
      </c>
    </row>
    <row r="141" spans="10:31">
      <c r="J141" s="65" t="str">
        <f>IF(Backlog!$A$141&lt;&gt;"",Backlog!$A$141,"")</f>
        <v/>
      </c>
      <c r="K141" s="72" t="str">
        <f>IF(Backlog!$B$141&lt;&gt;"",Backlog!$B$141,"")</f>
        <v/>
      </c>
      <c r="L141" s="123" t="str">
        <f>IF(Backlog!$C$141&lt;&gt;"",Backlog!$C$141,"")</f>
        <v/>
      </c>
      <c r="N141" s="65" t="str">
        <f>IF(Completed!$A$140&lt;&gt;"",Completed!$A$140,"")</f>
        <v/>
      </c>
      <c r="O141" s="72" t="str">
        <f>IF(Completed!$B$140&lt;&gt;"",Completed!$B$140,"")</f>
        <v/>
      </c>
      <c r="P141" s="72" t="str">
        <f ca="1">IF($N$141&lt;&gt;"", INDIRECT("'Tracker'!"&amp;ADDRESS(MATCH($N$141, Tracker[Anime Name], 0) + 2, 3)), "")</f>
        <v/>
      </c>
      <c r="Q141" s="66" t="str">
        <f ca="1">IF($N$141&lt;&gt;"", INDIRECT("'Tracker'!"&amp;ADDRESS(MATCH($N$141, Tracker[Anime Name], 0) + 2, 4)), "")</f>
        <v/>
      </c>
      <c r="R141" s="66" t="str">
        <f ca="1">IF($N$141&lt;&gt;"", INDIRECT("'Tracker'!"&amp;ADDRESS(MATCH($N$141, Tracker[Anime Name], 0) + 2, 5)), "")</f>
        <v/>
      </c>
      <c r="S141" s="66" t="str">
        <f ca="1">IF($N$141&lt;&gt;"", INDIRECT("'Tracker'!"&amp;ADDRESS(MATCH($N$141, Tracker[Anime Name], 0) + 2, 6)), "")</f>
        <v/>
      </c>
      <c r="T141" s="66" t="str">
        <f ca="1">IF($N$141&lt;&gt;"", INDIRECT("'Tracker'!"&amp;ADDRESS(MATCH($N$141, Tracker[Anime Name], 0) + 2, 7)), "")</f>
        <v/>
      </c>
      <c r="U141" s="72" t="str">
        <f ca="1">IF($N$141&lt;&gt;"", INDIRECT("'Tracker'!"&amp;ADDRESS(MATCH($N$141, Tracker[Anime Name], 0) + 2, 8)), "")</f>
        <v/>
      </c>
      <c r="V141" s="109" t="str">
        <f>IF(Completed!$C$140&lt;&gt;"",Completed!$C$140,"")</f>
        <v/>
      </c>
      <c r="W141" s="109" t="str">
        <f>IF(Completed!$D$140&lt;&gt;"",Completed!$D$140,"")</f>
        <v/>
      </c>
      <c r="X141" s="109" t="str">
        <f>IF(Completed!$E$140&lt;&gt;"",Completed!$E$140,"")</f>
        <v/>
      </c>
      <c r="Y141" s="109" t="str">
        <f>IF(Completed!$F$140&lt;&gt;"",Completed!$F$140,"")</f>
        <v/>
      </c>
      <c r="Z141" s="125" t="str">
        <f>IF(Completed!$G$140&lt;&gt;"",Completed!$G$140,"")</f>
        <v/>
      </c>
      <c r="AA141" s="136" t="str">
        <f>IF(Completed!$H$140&lt;&gt;"",Completed!$H$140,"")</f>
        <v/>
      </c>
      <c r="AB141" s="110" t="str">
        <f>IF(Completed!$I$140&lt;&gt;"",Completed!$I$140,"")</f>
        <v/>
      </c>
      <c r="AC141" s="110" t="str">
        <f>IF(Completed!$J$140&lt;&gt;"",Completed!$J$140,"")</f>
        <v/>
      </c>
      <c r="AD141" s="126" t="str">
        <f>IF(Completed!$K$140&lt;&gt;"",Completed!$K$140,"")</f>
        <v/>
      </c>
      <c r="AE141" s="127" t="str">
        <f>IF(Completed!$L$140&lt;&gt;"",Completed!$L$140,"")</f>
        <v/>
      </c>
    </row>
    <row r="142" spans="10:31">
      <c r="J142" s="65" t="str">
        <f>IF(Backlog!$A$142&lt;&gt;"",Backlog!$A$142,"")</f>
        <v/>
      </c>
      <c r="K142" s="72" t="str">
        <f>IF(Backlog!$B$142&lt;&gt;"",Backlog!$B$142,"")</f>
        <v/>
      </c>
      <c r="L142" s="123" t="str">
        <f>IF(Backlog!$C$142&lt;&gt;"",Backlog!$C$142,"")</f>
        <v/>
      </c>
      <c r="N142" s="65" t="str">
        <f>IF(Completed!$A$141&lt;&gt;"",Completed!$A$141,"")</f>
        <v/>
      </c>
      <c r="O142" s="72" t="str">
        <f>IF(Completed!$B$141&lt;&gt;"",Completed!$B$141,"")</f>
        <v/>
      </c>
      <c r="P142" s="72" t="str">
        <f ca="1">IF($N$142&lt;&gt;"", INDIRECT("'Tracker'!"&amp;ADDRESS(MATCH($N$142, Tracker[Anime Name], 0) + 2, 3)), "")</f>
        <v/>
      </c>
      <c r="Q142" s="66" t="str">
        <f ca="1">IF($N$142&lt;&gt;"", INDIRECT("'Tracker'!"&amp;ADDRESS(MATCH($N$142, Tracker[Anime Name], 0) + 2, 4)), "")</f>
        <v/>
      </c>
      <c r="R142" s="66" t="str">
        <f ca="1">IF($N$142&lt;&gt;"", INDIRECT("'Tracker'!"&amp;ADDRESS(MATCH($N$142, Tracker[Anime Name], 0) + 2, 5)), "")</f>
        <v/>
      </c>
      <c r="S142" s="66" t="str">
        <f ca="1">IF($N$142&lt;&gt;"", INDIRECT("'Tracker'!"&amp;ADDRESS(MATCH($N$142, Tracker[Anime Name], 0) + 2, 6)), "")</f>
        <v/>
      </c>
      <c r="T142" s="66" t="str">
        <f ca="1">IF($N$142&lt;&gt;"", INDIRECT("'Tracker'!"&amp;ADDRESS(MATCH($N$142, Tracker[Anime Name], 0) + 2, 7)), "")</f>
        <v/>
      </c>
      <c r="U142" s="72" t="str">
        <f ca="1">IF($N$142&lt;&gt;"", INDIRECT("'Tracker'!"&amp;ADDRESS(MATCH($N$142, Tracker[Anime Name], 0) + 2, 8)), "")</f>
        <v/>
      </c>
      <c r="V142" s="109" t="str">
        <f>IF(Completed!$C$141&lt;&gt;"",Completed!$C$141,"")</f>
        <v/>
      </c>
      <c r="W142" s="109" t="str">
        <f>IF(Completed!$D$141&lt;&gt;"",Completed!$D$141,"")</f>
        <v/>
      </c>
      <c r="X142" s="109" t="str">
        <f>IF(Completed!$E$141&lt;&gt;"",Completed!$E$141,"")</f>
        <v/>
      </c>
      <c r="Y142" s="109" t="str">
        <f>IF(Completed!$F$141&lt;&gt;"",Completed!$F$141,"")</f>
        <v/>
      </c>
      <c r="Z142" s="125" t="str">
        <f>IF(Completed!$G$141&lt;&gt;"",Completed!$G$141,"")</f>
        <v/>
      </c>
      <c r="AA142" s="136" t="str">
        <f>IF(Completed!$H$141&lt;&gt;"",Completed!$H$141,"")</f>
        <v/>
      </c>
      <c r="AB142" s="110" t="str">
        <f>IF(Completed!$I$141&lt;&gt;"",Completed!$I$141,"")</f>
        <v/>
      </c>
      <c r="AC142" s="110" t="str">
        <f>IF(Completed!$J$141&lt;&gt;"",Completed!$J$141,"")</f>
        <v/>
      </c>
      <c r="AD142" s="126" t="str">
        <f>IF(Completed!$K$141&lt;&gt;"",Completed!$K$141,"")</f>
        <v/>
      </c>
      <c r="AE142" s="127" t="str">
        <f>IF(Completed!$L$141&lt;&gt;"",Completed!$L$141,"")</f>
        <v/>
      </c>
    </row>
    <row r="143" spans="10:31">
      <c r="J143" s="65" t="str">
        <f>IF(Backlog!$A$143&lt;&gt;"",Backlog!$A$143,"")</f>
        <v/>
      </c>
      <c r="K143" s="72" t="str">
        <f>IF(Backlog!$B$143&lt;&gt;"",Backlog!$B$143,"")</f>
        <v/>
      </c>
      <c r="L143" s="123" t="str">
        <f>IF(Backlog!$C$143&lt;&gt;"",Backlog!$C$143,"")</f>
        <v/>
      </c>
      <c r="N143" s="65" t="str">
        <f>IF(Completed!$A$142&lt;&gt;"",Completed!$A$142,"")</f>
        <v/>
      </c>
      <c r="O143" s="72" t="str">
        <f>IF(Completed!$B$142&lt;&gt;"",Completed!$B$142,"")</f>
        <v/>
      </c>
      <c r="P143" s="72" t="str">
        <f ca="1">IF($N$143&lt;&gt;"", INDIRECT("'Tracker'!"&amp;ADDRESS(MATCH($N$143, Tracker[Anime Name], 0) + 2, 3)), "")</f>
        <v/>
      </c>
      <c r="Q143" s="66" t="str">
        <f ca="1">IF($N$143&lt;&gt;"", INDIRECT("'Tracker'!"&amp;ADDRESS(MATCH($N$143, Tracker[Anime Name], 0) + 2, 4)), "")</f>
        <v/>
      </c>
      <c r="R143" s="66" t="str">
        <f ca="1">IF($N$143&lt;&gt;"", INDIRECT("'Tracker'!"&amp;ADDRESS(MATCH($N$143, Tracker[Anime Name], 0) + 2, 5)), "")</f>
        <v/>
      </c>
      <c r="S143" s="66" t="str">
        <f ca="1">IF($N$143&lt;&gt;"", INDIRECT("'Tracker'!"&amp;ADDRESS(MATCH($N$143, Tracker[Anime Name], 0) + 2, 6)), "")</f>
        <v/>
      </c>
      <c r="T143" s="66" t="str">
        <f ca="1">IF($N$143&lt;&gt;"", INDIRECT("'Tracker'!"&amp;ADDRESS(MATCH($N$143, Tracker[Anime Name], 0) + 2, 7)), "")</f>
        <v/>
      </c>
      <c r="U143" s="72" t="str">
        <f ca="1">IF($N$143&lt;&gt;"", INDIRECT("'Tracker'!"&amp;ADDRESS(MATCH($N$143, Tracker[Anime Name], 0) + 2, 8)), "")</f>
        <v/>
      </c>
      <c r="V143" s="109" t="str">
        <f>IF(Completed!$C$142&lt;&gt;"",Completed!$C$142,"")</f>
        <v/>
      </c>
      <c r="W143" s="109" t="str">
        <f>IF(Completed!$D$142&lt;&gt;"",Completed!$D$142,"")</f>
        <v/>
      </c>
      <c r="X143" s="109" t="str">
        <f>IF(Completed!$E$142&lt;&gt;"",Completed!$E$142,"")</f>
        <v/>
      </c>
      <c r="Y143" s="109" t="str">
        <f>IF(Completed!$F$142&lt;&gt;"",Completed!$F$142,"")</f>
        <v/>
      </c>
      <c r="Z143" s="125" t="str">
        <f>IF(Completed!$G$142&lt;&gt;"",Completed!$G$142,"")</f>
        <v/>
      </c>
      <c r="AA143" s="136" t="str">
        <f>IF(Completed!$H$142&lt;&gt;"",Completed!$H$142,"")</f>
        <v/>
      </c>
      <c r="AB143" s="110" t="str">
        <f>IF(Completed!$I$142&lt;&gt;"",Completed!$I$142,"")</f>
        <v/>
      </c>
      <c r="AC143" s="110" t="str">
        <f>IF(Completed!$J$142&lt;&gt;"",Completed!$J$142,"")</f>
        <v/>
      </c>
      <c r="AD143" s="126" t="str">
        <f>IF(Completed!$K$142&lt;&gt;"",Completed!$K$142,"")</f>
        <v/>
      </c>
      <c r="AE143" s="127" t="str">
        <f>IF(Completed!$L$142&lt;&gt;"",Completed!$L$142,"")</f>
        <v/>
      </c>
    </row>
    <row r="144" spans="10:31">
      <c r="J144" s="65" t="str">
        <f>IF(Backlog!$A$144&lt;&gt;"",Backlog!$A$144,"")</f>
        <v/>
      </c>
      <c r="K144" s="72" t="str">
        <f>IF(Backlog!$B$144&lt;&gt;"",Backlog!$B$144,"")</f>
        <v/>
      </c>
      <c r="L144" s="123" t="str">
        <f>IF(Backlog!$C$144&lt;&gt;"",Backlog!$C$144,"")</f>
        <v/>
      </c>
      <c r="N144" s="65" t="str">
        <f>IF(Completed!$A$143&lt;&gt;"",Completed!$A$143,"")</f>
        <v/>
      </c>
      <c r="O144" s="72" t="str">
        <f>IF(Completed!$B$143&lt;&gt;"",Completed!$B$143,"")</f>
        <v/>
      </c>
      <c r="P144" s="72" t="str">
        <f ca="1">IF($N$144&lt;&gt;"", INDIRECT("'Tracker'!"&amp;ADDRESS(MATCH($N$144, Tracker[Anime Name], 0) + 2, 3)), "")</f>
        <v/>
      </c>
      <c r="Q144" s="66" t="str">
        <f ca="1">IF($N$144&lt;&gt;"", INDIRECT("'Tracker'!"&amp;ADDRESS(MATCH($N$144, Tracker[Anime Name], 0) + 2, 4)), "")</f>
        <v/>
      </c>
      <c r="R144" s="66" t="str">
        <f ca="1">IF($N$144&lt;&gt;"", INDIRECT("'Tracker'!"&amp;ADDRESS(MATCH($N$144, Tracker[Anime Name], 0) + 2, 5)), "")</f>
        <v/>
      </c>
      <c r="S144" s="66" t="str">
        <f ca="1">IF($N$144&lt;&gt;"", INDIRECT("'Tracker'!"&amp;ADDRESS(MATCH($N$144, Tracker[Anime Name], 0) + 2, 6)), "")</f>
        <v/>
      </c>
      <c r="T144" s="66" t="str">
        <f ca="1">IF($N$144&lt;&gt;"", INDIRECT("'Tracker'!"&amp;ADDRESS(MATCH($N$144, Tracker[Anime Name], 0) + 2, 7)), "")</f>
        <v/>
      </c>
      <c r="U144" s="72" t="str">
        <f ca="1">IF($N$144&lt;&gt;"", INDIRECT("'Tracker'!"&amp;ADDRESS(MATCH($N$144, Tracker[Anime Name], 0) + 2, 8)), "")</f>
        <v/>
      </c>
      <c r="V144" s="109" t="str">
        <f>IF(Completed!$C$143&lt;&gt;"",Completed!$C$143,"")</f>
        <v/>
      </c>
      <c r="W144" s="109" t="str">
        <f>IF(Completed!$D$143&lt;&gt;"",Completed!$D$143,"")</f>
        <v/>
      </c>
      <c r="X144" s="109" t="str">
        <f>IF(Completed!$E$143&lt;&gt;"",Completed!$E$143,"")</f>
        <v/>
      </c>
      <c r="Y144" s="109" t="str">
        <f>IF(Completed!$F$143&lt;&gt;"",Completed!$F$143,"")</f>
        <v/>
      </c>
      <c r="Z144" s="125" t="str">
        <f>IF(Completed!$G$143&lt;&gt;"",Completed!$G$143,"")</f>
        <v/>
      </c>
      <c r="AA144" s="136" t="str">
        <f>IF(Completed!$H$143&lt;&gt;"",Completed!$H$143,"")</f>
        <v/>
      </c>
      <c r="AB144" s="110" t="str">
        <f>IF(Completed!$I$143&lt;&gt;"",Completed!$I$143,"")</f>
        <v/>
      </c>
      <c r="AC144" s="110" t="str">
        <f>IF(Completed!$J$143&lt;&gt;"",Completed!$J$143,"")</f>
        <v/>
      </c>
      <c r="AD144" s="126" t="str">
        <f>IF(Completed!$K$143&lt;&gt;"",Completed!$K$143,"")</f>
        <v/>
      </c>
      <c r="AE144" s="127" t="str">
        <f>IF(Completed!$L$143&lt;&gt;"",Completed!$L$143,"")</f>
        <v/>
      </c>
    </row>
    <row r="145" spans="10:31">
      <c r="J145" s="65" t="str">
        <f>IF(Backlog!$A$145&lt;&gt;"",Backlog!$A$145,"")</f>
        <v/>
      </c>
      <c r="K145" s="72" t="str">
        <f>IF(Backlog!$B$145&lt;&gt;"",Backlog!$B$145,"")</f>
        <v/>
      </c>
      <c r="L145" s="123" t="str">
        <f>IF(Backlog!$C$145&lt;&gt;"",Backlog!$C$145,"")</f>
        <v/>
      </c>
      <c r="N145" s="65" t="str">
        <f>IF(Completed!$A$144&lt;&gt;"",Completed!$A$144,"")</f>
        <v/>
      </c>
      <c r="O145" s="72" t="str">
        <f>IF(Completed!$B$144&lt;&gt;"",Completed!$B$144,"")</f>
        <v/>
      </c>
      <c r="P145" s="72" t="str">
        <f ca="1">IF($N$145&lt;&gt;"", INDIRECT("'Tracker'!"&amp;ADDRESS(MATCH($N$145, Tracker[Anime Name], 0) + 2, 3)), "")</f>
        <v/>
      </c>
      <c r="Q145" s="66" t="str">
        <f ca="1">IF($N$145&lt;&gt;"", INDIRECT("'Tracker'!"&amp;ADDRESS(MATCH($N$145, Tracker[Anime Name], 0) + 2, 4)), "")</f>
        <v/>
      </c>
      <c r="R145" s="66" t="str">
        <f ca="1">IF($N$145&lt;&gt;"", INDIRECT("'Tracker'!"&amp;ADDRESS(MATCH($N$145, Tracker[Anime Name], 0) + 2, 5)), "")</f>
        <v/>
      </c>
      <c r="S145" s="66" t="str">
        <f ca="1">IF($N$145&lt;&gt;"", INDIRECT("'Tracker'!"&amp;ADDRESS(MATCH($N$145, Tracker[Anime Name], 0) + 2, 6)), "")</f>
        <v/>
      </c>
      <c r="T145" s="66" t="str">
        <f ca="1">IF($N$145&lt;&gt;"", INDIRECT("'Tracker'!"&amp;ADDRESS(MATCH($N$145, Tracker[Anime Name], 0) + 2, 7)), "")</f>
        <v/>
      </c>
      <c r="U145" s="72" t="str">
        <f ca="1">IF($N$145&lt;&gt;"", INDIRECT("'Tracker'!"&amp;ADDRESS(MATCH($N$145, Tracker[Anime Name], 0) + 2, 8)), "")</f>
        <v/>
      </c>
      <c r="V145" s="109" t="str">
        <f>IF(Completed!$C$144&lt;&gt;"",Completed!$C$144,"")</f>
        <v/>
      </c>
      <c r="W145" s="109" t="str">
        <f>IF(Completed!$D$144&lt;&gt;"",Completed!$D$144,"")</f>
        <v/>
      </c>
      <c r="X145" s="109" t="str">
        <f>IF(Completed!$E$144&lt;&gt;"",Completed!$E$144,"")</f>
        <v/>
      </c>
      <c r="Y145" s="109" t="str">
        <f>IF(Completed!$F$144&lt;&gt;"",Completed!$F$144,"")</f>
        <v/>
      </c>
      <c r="Z145" s="125" t="str">
        <f>IF(Completed!$G$144&lt;&gt;"",Completed!$G$144,"")</f>
        <v/>
      </c>
      <c r="AA145" s="136" t="str">
        <f>IF(Completed!$H$144&lt;&gt;"",Completed!$H$144,"")</f>
        <v/>
      </c>
      <c r="AB145" s="110" t="str">
        <f>IF(Completed!$I$144&lt;&gt;"",Completed!$I$144,"")</f>
        <v/>
      </c>
      <c r="AC145" s="110" t="str">
        <f>IF(Completed!$J$144&lt;&gt;"",Completed!$J$144,"")</f>
        <v/>
      </c>
      <c r="AD145" s="126" t="str">
        <f>IF(Completed!$K$144&lt;&gt;"",Completed!$K$144,"")</f>
        <v/>
      </c>
      <c r="AE145" s="127" t="str">
        <f>IF(Completed!$L$144&lt;&gt;"",Completed!$L$144,"")</f>
        <v/>
      </c>
    </row>
    <row r="146" spans="10:31">
      <c r="J146" s="65" t="str">
        <f>IF(Backlog!$A$146&lt;&gt;"",Backlog!$A$146,"")</f>
        <v/>
      </c>
      <c r="K146" s="72" t="str">
        <f>IF(Backlog!$B$146&lt;&gt;"",Backlog!$B$146,"")</f>
        <v/>
      </c>
      <c r="L146" s="123" t="str">
        <f>IF(Backlog!$C$146&lt;&gt;"",Backlog!$C$146,"")</f>
        <v/>
      </c>
      <c r="N146" s="65" t="str">
        <f>IF(Completed!$A$145&lt;&gt;"",Completed!$A$145,"")</f>
        <v/>
      </c>
      <c r="O146" s="72" t="str">
        <f>IF(Completed!$B$145&lt;&gt;"",Completed!$B$145,"")</f>
        <v/>
      </c>
      <c r="P146" s="72" t="str">
        <f ca="1">IF($N$146&lt;&gt;"", INDIRECT("'Tracker'!"&amp;ADDRESS(MATCH($N$146, Tracker[Anime Name], 0) + 2, 3)), "")</f>
        <v/>
      </c>
      <c r="Q146" s="66" t="str">
        <f ca="1">IF($N$146&lt;&gt;"", INDIRECT("'Tracker'!"&amp;ADDRESS(MATCH($N$146, Tracker[Anime Name], 0) + 2, 4)), "")</f>
        <v/>
      </c>
      <c r="R146" s="66" t="str">
        <f ca="1">IF($N$146&lt;&gt;"", INDIRECT("'Tracker'!"&amp;ADDRESS(MATCH($N$146, Tracker[Anime Name], 0) + 2, 5)), "")</f>
        <v/>
      </c>
      <c r="S146" s="66" t="str">
        <f ca="1">IF($N$146&lt;&gt;"", INDIRECT("'Tracker'!"&amp;ADDRESS(MATCH($N$146, Tracker[Anime Name], 0) + 2, 6)), "")</f>
        <v/>
      </c>
      <c r="T146" s="66" t="str">
        <f ca="1">IF($N$146&lt;&gt;"", INDIRECT("'Tracker'!"&amp;ADDRESS(MATCH($N$146, Tracker[Anime Name], 0) + 2, 7)), "")</f>
        <v/>
      </c>
      <c r="U146" s="72" t="str">
        <f ca="1">IF($N$146&lt;&gt;"", INDIRECT("'Tracker'!"&amp;ADDRESS(MATCH($N$146, Tracker[Anime Name], 0) + 2, 8)), "")</f>
        <v/>
      </c>
      <c r="V146" s="109" t="str">
        <f>IF(Completed!$C$145&lt;&gt;"",Completed!$C$145,"")</f>
        <v/>
      </c>
      <c r="W146" s="109" t="str">
        <f>IF(Completed!$D$145&lt;&gt;"",Completed!$D$145,"")</f>
        <v/>
      </c>
      <c r="X146" s="109" t="str">
        <f>IF(Completed!$E$145&lt;&gt;"",Completed!$E$145,"")</f>
        <v/>
      </c>
      <c r="Y146" s="109" t="str">
        <f>IF(Completed!$F$145&lt;&gt;"",Completed!$F$145,"")</f>
        <v/>
      </c>
      <c r="Z146" s="125" t="str">
        <f>IF(Completed!$G$145&lt;&gt;"",Completed!$G$145,"")</f>
        <v/>
      </c>
      <c r="AA146" s="136" t="str">
        <f>IF(Completed!$H$145&lt;&gt;"",Completed!$H$145,"")</f>
        <v/>
      </c>
      <c r="AB146" s="110" t="str">
        <f>IF(Completed!$I$145&lt;&gt;"",Completed!$I$145,"")</f>
        <v/>
      </c>
      <c r="AC146" s="110" t="str">
        <f>IF(Completed!$J$145&lt;&gt;"",Completed!$J$145,"")</f>
        <v/>
      </c>
      <c r="AD146" s="126" t="str">
        <f>IF(Completed!$K$145&lt;&gt;"",Completed!$K$145,"")</f>
        <v/>
      </c>
      <c r="AE146" s="127" t="str">
        <f>IF(Completed!$L$145&lt;&gt;"",Completed!$L$145,"")</f>
        <v/>
      </c>
    </row>
    <row r="147" spans="10:31">
      <c r="J147" s="65" t="str">
        <f>IF(Backlog!$A$147&lt;&gt;"",Backlog!$A$147,"")</f>
        <v/>
      </c>
      <c r="K147" s="72" t="str">
        <f>IF(Backlog!$B$147&lt;&gt;"",Backlog!$B$147,"")</f>
        <v/>
      </c>
      <c r="L147" s="123" t="str">
        <f>IF(Backlog!$C$147&lt;&gt;"",Backlog!$C$147,"")</f>
        <v/>
      </c>
      <c r="N147" s="65" t="str">
        <f>IF(Completed!$A$146&lt;&gt;"",Completed!$A$146,"")</f>
        <v/>
      </c>
      <c r="O147" s="72" t="str">
        <f>IF(Completed!$B$146&lt;&gt;"",Completed!$B$146,"")</f>
        <v/>
      </c>
      <c r="P147" s="72" t="str">
        <f ca="1">IF($N$147&lt;&gt;"", INDIRECT("'Tracker'!"&amp;ADDRESS(MATCH($N$147, Tracker[Anime Name], 0) + 2, 3)), "")</f>
        <v/>
      </c>
      <c r="Q147" s="66" t="str">
        <f ca="1">IF($N$147&lt;&gt;"", INDIRECT("'Tracker'!"&amp;ADDRESS(MATCH($N$147, Tracker[Anime Name], 0) + 2, 4)), "")</f>
        <v/>
      </c>
      <c r="R147" s="66" t="str">
        <f ca="1">IF($N$147&lt;&gt;"", INDIRECT("'Tracker'!"&amp;ADDRESS(MATCH($N$147, Tracker[Anime Name], 0) + 2, 5)), "")</f>
        <v/>
      </c>
      <c r="S147" s="66" t="str">
        <f ca="1">IF($N$147&lt;&gt;"", INDIRECT("'Tracker'!"&amp;ADDRESS(MATCH($N$147, Tracker[Anime Name], 0) + 2, 6)), "")</f>
        <v/>
      </c>
      <c r="T147" s="66" t="str">
        <f ca="1">IF($N$147&lt;&gt;"", INDIRECT("'Tracker'!"&amp;ADDRESS(MATCH($N$147, Tracker[Anime Name], 0) + 2, 7)), "")</f>
        <v/>
      </c>
      <c r="U147" s="72" t="str">
        <f ca="1">IF($N$147&lt;&gt;"", INDIRECT("'Tracker'!"&amp;ADDRESS(MATCH($N$147, Tracker[Anime Name], 0) + 2, 8)), "")</f>
        <v/>
      </c>
      <c r="V147" s="109" t="str">
        <f>IF(Completed!$C$146&lt;&gt;"",Completed!$C$146,"")</f>
        <v/>
      </c>
      <c r="W147" s="109" t="str">
        <f>IF(Completed!$D$146&lt;&gt;"",Completed!$D$146,"")</f>
        <v/>
      </c>
      <c r="X147" s="109" t="str">
        <f>IF(Completed!$E$146&lt;&gt;"",Completed!$E$146,"")</f>
        <v/>
      </c>
      <c r="Y147" s="109" t="str">
        <f>IF(Completed!$F$146&lt;&gt;"",Completed!$F$146,"")</f>
        <v/>
      </c>
      <c r="Z147" s="125" t="str">
        <f>IF(Completed!$G$146&lt;&gt;"",Completed!$G$146,"")</f>
        <v/>
      </c>
      <c r="AA147" s="136" t="str">
        <f>IF(Completed!$H$146&lt;&gt;"",Completed!$H$146,"")</f>
        <v/>
      </c>
      <c r="AB147" s="110" t="str">
        <f>IF(Completed!$I$146&lt;&gt;"",Completed!$I$146,"")</f>
        <v/>
      </c>
      <c r="AC147" s="110" t="str">
        <f>IF(Completed!$J$146&lt;&gt;"",Completed!$J$146,"")</f>
        <v/>
      </c>
      <c r="AD147" s="126" t="str">
        <f>IF(Completed!$K$146&lt;&gt;"",Completed!$K$146,"")</f>
        <v/>
      </c>
      <c r="AE147" s="127" t="str">
        <f>IF(Completed!$L$146&lt;&gt;"",Completed!$L$146,"")</f>
        <v/>
      </c>
    </row>
    <row r="148" spans="10:31">
      <c r="J148" s="65" t="str">
        <f>IF(Backlog!$A$148&lt;&gt;"",Backlog!$A$148,"")</f>
        <v/>
      </c>
      <c r="K148" s="72" t="str">
        <f>IF(Backlog!$B$148&lt;&gt;"",Backlog!$B$148,"")</f>
        <v/>
      </c>
      <c r="L148" s="123" t="str">
        <f>IF(Backlog!$C$148&lt;&gt;"",Backlog!$C$148,"")</f>
        <v/>
      </c>
      <c r="N148" s="65" t="str">
        <f>IF(Completed!$A$147&lt;&gt;"",Completed!$A$147,"")</f>
        <v/>
      </c>
      <c r="O148" s="72" t="str">
        <f>IF(Completed!$B$147&lt;&gt;"",Completed!$B$147,"")</f>
        <v/>
      </c>
      <c r="P148" s="72" t="str">
        <f ca="1">IF($N$148&lt;&gt;"", INDIRECT("'Tracker'!"&amp;ADDRESS(MATCH($N$148, Tracker[Anime Name], 0) + 2, 3)), "")</f>
        <v/>
      </c>
      <c r="Q148" s="66" t="str">
        <f ca="1">IF($N$148&lt;&gt;"", INDIRECT("'Tracker'!"&amp;ADDRESS(MATCH($N$148, Tracker[Anime Name], 0) + 2, 4)), "")</f>
        <v/>
      </c>
      <c r="R148" s="66" t="str">
        <f ca="1">IF($N$148&lt;&gt;"", INDIRECT("'Tracker'!"&amp;ADDRESS(MATCH($N$148, Tracker[Anime Name], 0) + 2, 5)), "")</f>
        <v/>
      </c>
      <c r="S148" s="66" t="str">
        <f ca="1">IF($N$148&lt;&gt;"", INDIRECT("'Tracker'!"&amp;ADDRESS(MATCH($N$148, Tracker[Anime Name], 0) + 2, 6)), "")</f>
        <v/>
      </c>
      <c r="T148" s="66" t="str">
        <f ca="1">IF($N$148&lt;&gt;"", INDIRECT("'Tracker'!"&amp;ADDRESS(MATCH($N$148, Tracker[Anime Name], 0) + 2, 7)), "")</f>
        <v/>
      </c>
      <c r="U148" s="72" t="str">
        <f ca="1">IF($N$148&lt;&gt;"", INDIRECT("'Tracker'!"&amp;ADDRESS(MATCH($N$148, Tracker[Anime Name], 0) + 2, 8)), "")</f>
        <v/>
      </c>
      <c r="V148" s="109" t="str">
        <f>IF(Completed!$C$147&lt;&gt;"",Completed!$C$147,"")</f>
        <v/>
      </c>
      <c r="W148" s="109" t="str">
        <f>IF(Completed!$D$147&lt;&gt;"",Completed!$D$147,"")</f>
        <v/>
      </c>
      <c r="X148" s="109" t="str">
        <f>IF(Completed!$E$147&lt;&gt;"",Completed!$E$147,"")</f>
        <v/>
      </c>
      <c r="Y148" s="109" t="str">
        <f>IF(Completed!$F$147&lt;&gt;"",Completed!$F$147,"")</f>
        <v/>
      </c>
      <c r="Z148" s="125" t="str">
        <f>IF(Completed!$G$147&lt;&gt;"",Completed!$G$147,"")</f>
        <v/>
      </c>
      <c r="AA148" s="136" t="str">
        <f>IF(Completed!$H$147&lt;&gt;"",Completed!$H$147,"")</f>
        <v/>
      </c>
      <c r="AB148" s="110" t="str">
        <f>IF(Completed!$I$147&lt;&gt;"",Completed!$I$147,"")</f>
        <v/>
      </c>
      <c r="AC148" s="110" t="str">
        <f>IF(Completed!$J$147&lt;&gt;"",Completed!$J$147,"")</f>
        <v/>
      </c>
      <c r="AD148" s="126" t="str">
        <f>IF(Completed!$K$147&lt;&gt;"",Completed!$K$147,"")</f>
        <v/>
      </c>
      <c r="AE148" s="127" t="str">
        <f>IF(Completed!$L$147&lt;&gt;"",Completed!$L$147,"")</f>
        <v/>
      </c>
    </row>
    <row r="149" spans="10:31">
      <c r="J149" s="65" t="str">
        <f>IF(Backlog!$A$149&lt;&gt;"",Backlog!$A$149,"")</f>
        <v/>
      </c>
      <c r="K149" s="72" t="str">
        <f>IF(Backlog!$B$149&lt;&gt;"",Backlog!$B$149,"")</f>
        <v/>
      </c>
      <c r="L149" s="123" t="str">
        <f>IF(Backlog!$C$149&lt;&gt;"",Backlog!$C$149,"")</f>
        <v/>
      </c>
      <c r="N149" s="65" t="str">
        <f>IF(Completed!$A$148&lt;&gt;"",Completed!$A$148,"")</f>
        <v/>
      </c>
      <c r="O149" s="72" t="str">
        <f>IF(Completed!$B$148&lt;&gt;"",Completed!$B$148,"")</f>
        <v/>
      </c>
      <c r="P149" s="72" t="str">
        <f ca="1">IF($N$149&lt;&gt;"", INDIRECT("'Tracker'!"&amp;ADDRESS(MATCH($N$149, Tracker[Anime Name], 0) + 2, 3)), "")</f>
        <v/>
      </c>
      <c r="Q149" s="66" t="str">
        <f ca="1">IF($N$149&lt;&gt;"", INDIRECT("'Tracker'!"&amp;ADDRESS(MATCH($N$149, Tracker[Anime Name], 0) + 2, 4)), "")</f>
        <v/>
      </c>
      <c r="R149" s="66" t="str">
        <f ca="1">IF($N$149&lt;&gt;"", INDIRECT("'Tracker'!"&amp;ADDRESS(MATCH($N$149, Tracker[Anime Name], 0) + 2, 5)), "")</f>
        <v/>
      </c>
      <c r="S149" s="66" t="str">
        <f ca="1">IF($N$149&lt;&gt;"", INDIRECT("'Tracker'!"&amp;ADDRESS(MATCH($N$149, Tracker[Anime Name], 0) + 2, 6)), "")</f>
        <v/>
      </c>
      <c r="T149" s="66" t="str">
        <f ca="1">IF($N$149&lt;&gt;"", INDIRECT("'Tracker'!"&amp;ADDRESS(MATCH($N$149, Tracker[Anime Name], 0) + 2, 7)), "")</f>
        <v/>
      </c>
      <c r="U149" s="72" t="str">
        <f ca="1">IF($N$149&lt;&gt;"", INDIRECT("'Tracker'!"&amp;ADDRESS(MATCH($N$149, Tracker[Anime Name], 0) + 2, 8)), "")</f>
        <v/>
      </c>
      <c r="V149" s="109" t="str">
        <f>IF(Completed!$C$148&lt;&gt;"",Completed!$C$148,"")</f>
        <v/>
      </c>
      <c r="W149" s="109" t="str">
        <f>IF(Completed!$D$148&lt;&gt;"",Completed!$D$148,"")</f>
        <v/>
      </c>
      <c r="X149" s="109" t="str">
        <f>IF(Completed!$E$148&lt;&gt;"",Completed!$E$148,"")</f>
        <v/>
      </c>
      <c r="Y149" s="109" t="str">
        <f>IF(Completed!$F$148&lt;&gt;"",Completed!$F$148,"")</f>
        <v/>
      </c>
      <c r="Z149" s="125" t="str">
        <f>IF(Completed!$G$148&lt;&gt;"",Completed!$G$148,"")</f>
        <v/>
      </c>
      <c r="AA149" s="136" t="str">
        <f>IF(Completed!$H$148&lt;&gt;"",Completed!$H$148,"")</f>
        <v/>
      </c>
      <c r="AB149" s="110" t="str">
        <f>IF(Completed!$I$148&lt;&gt;"",Completed!$I$148,"")</f>
        <v/>
      </c>
      <c r="AC149" s="110" t="str">
        <f>IF(Completed!$J$148&lt;&gt;"",Completed!$J$148,"")</f>
        <v/>
      </c>
      <c r="AD149" s="126" t="str">
        <f>IF(Completed!$K$148&lt;&gt;"",Completed!$K$148,"")</f>
        <v/>
      </c>
      <c r="AE149" s="127" t="str">
        <f>IF(Completed!$L$148&lt;&gt;"",Completed!$L$148,"")</f>
        <v/>
      </c>
    </row>
    <row r="150" spans="10:31">
      <c r="J150" s="65" t="str">
        <f>IF(Backlog!$A$150&lt;&gt;"",Backlog!$A$150,"")</f>
        <v/>
      </c>
      <c r="K150" s="72" t="str">
        <f>IF(Backlog!$B$150&lt;&gt;"",Backlog!$B$150,"")</f>
        <v/>
      </c>
      <c r="L150" s="123" t="str">
        <f>IF(Backlog!$C$150&lt;&gt;"",Backlog!$C$150,"")</f>
        <v/>
      </c>
      <c r="N150" s="65" t="str">
        <f>IF(Completed!$A$149&lt;&gt;"",Completed!$A$149,"")</f>
        <v/>
      </c>
      <c r="O150" s="72" t="str">
        <f>IF(Completed!$B$149&lt;&gt;"",Completed!$B$149,"")</f>
        <v/>
      </c>
      <c r="P150" s="72" t="str">
        <f ca="1">IF($N$150&lt;&gt;"", INDIRECT("'Tracker'!"&amp;ADDRESS(MATCH($N$150, Tracker[Anime Name], 0) + 2, 3)), "")</f>
        <v/>
      </c>
      <c r="Q150" s="66" t="str">
        <f ca="1">IF($N$150&lt;&gt;"", INDIRECT("'Tracker'!"&amp;ADDRESS(MATCH($N$150, Tracker[Anime Name], 0) + 2, 4)), "")</f>
        <v/>
      </c>
      <c r="R150" s="66" t="str">
        <f ca="1">IF($N$150&lt;&gt;"", INDIRECT("'Tracker'!"&amp;ADDRESS(MATCH($N$150, Tracker[Anime Name], 0) + 2, 5)), "")</f>
        <v/>
      </c>
      <c r="S150" s="66" t="str">
        <f ca="1">IF($N$150&lt;&gt;"", INDIRECT("'Tracker'!"&amp;ADDRESS(MATCH($N$150, Tracker[Anime Name], 0) + 2, 6)), "")</f>
        <v/>
      </c>
      <c r="T150" s="66" t="str">
        <f ca="1">IF($N$150&lt;&gt;"", INDIRECT("'Tracker'!"&amp;ADDRESS(MATCH($N$150, Tracker[Anime Name], 0) + 2, 7)), "")</f>
        <v/>
      </c>
      <c r="U150" s="72" t="str">
        <f ca="1">IF($N$150&lt;&gt;"", INDIRECT("'Tracker'!"&amp;ADDRESS(MATCH($N$150, Tracker[Anime Name], 0) + 2, 8)), "")</f>
        <v/>
      </c>
      <c r="V150" s="109" t="str">
        <f>IF(Completed!$C$149&lt;&gt;"",Completed!$C$149,"")</f>
        <v/>
      </c>
      <c r="W150" s="109" t="str">
        <f>IF(Completed!$D$149&lt;&gt;"",Completed!$D$149,"")</f>
        <v/>
      </c>
      <c r="X150" s="109" t="str">
        <f>IF(Completed!$E$149&lt;&gt;"",Completed!$E$149,"")</f>
        <v/>
      </c>
      <c r="Y150" s="109" t="str">
        <f>IF(Completed!$F$149&lt;&gt;"",Completed!$F$149,"")</f>
        <v/>
      </c>
      <c r="Z150" s="125" t="str">
        <f>IF(Completed!$G$149&lt;&gt;"",Completed!$G$149,"")</f>
        <v/>
      </c>
      <c r="AA150" s="136" t="str">
        <f>IF(Completed!$H$149&lt;&gt;"",Completed!$H$149,"")</f>
        <v/>
      </c>
      <c r="AB150" s="110" t="str">
        <f>IF(Completed!$I$149&lt;&gt;"",Completed!$I$149,"")</f>
        <v/>
      </c>
      <c r="AC150" s="110" t="str">
        <f>IF(Completed!$J$149&lt;&gt;"",Completed!$J$149,"")</f>
        <v/>
      </c>
      <c r="AD150" s="126" t="str">
        <f>IF(Completed!$K$149&lt;&gt;"",Completed!$K$149,"")</f>
        <v/>
      </c>
      <c r="AE150" s="127" t="str">
        <f>IF(Completed!$L$149&lt;&gt;"",Completed!$L$149,"")</f>
        <v/>
      </c>
    </row>
    <row r="151" spans="10:31">
      <c r="J151" s="65" t="str">
        <f>IF(Backlog!$A$151&lt;&gt;"",Backlog!$A$151,"")</f>
        <v/>
      </c>
      <c r="K151" s="72" t="str">
        <f>IF(Backlog!$B$151&lt;&gt;"",Backlog!$B$151,"")</f>
        <v/>
      </c>
      <c r="L151" s="123" t="str">
        <f>IF(Backlog!$C$151&lt;&gt;"",Backlog!$C$151,"")</f>
        <v/>
      </c>
      <c r="N151" s="65" t="str">
        <f>IF(Completed!$A$150&lt;&gt;"",Completed!$A$150,"")</f>
        <v/>
      </c>
      <c r="O151" s="72" t="str">
        <f>IF(Completed!$B$150&lt;&gt;"",Completed!$B$150,"")</f>
        <v/>
      </c>
      <c r="P151" s="72" t="str">
        <f ca="1">IF($N$151&lt;&gt;"", INDIRECT("'Tracker'!"&amp;ADDRESS(MATCH($N$151, Tracker[Anime Name], 0) + 2, 3)), "")</f>
        <v/>
      </c>
      <c r="Q151" s="66" t="str">
        <f ca="1">IF($N$151&lt;&gt;"", INDIRECT("'Tracker'!"&amp;ADDRESS(MATCH($N$151, Tracker[Anime Name], 0) + 2, 4)), "")</f>
        <v/>
      </c>
      <c r="R151" s="66" t="str">
        <f ca="1">IF($N$151&lt;&gt;"", INDIRECT("'Tracker'!"&amp;ADDRESS(MATCH($N$151, Tracker[Anime Name], 0) + 2, 5)), "")</f>
        <v/>
      </c>
      <c r="S151" s="66" t="str">
        <f ca="1">IF($N$151&lt;&gt;"", INDIRECT("'Tracker'!"&amp;ADDRESS(MATCH($N$151, Tracker[Anime Name], 0) + 2, 6)), "")</f>
        <v/>
      </c>
      <c r="T151" s="66" t="str">
        <f ca="1">IF($N$151&lt;&gt;"", INDIRECT("'Tracker'!"&amp;ADDRESS(MATCH($N$151, Tracker[Anime Name], 0) + 2, 7)), "")</f>
        <v/>
      </c>
      <c r="U151" s="72" t="str">
        <f ca="1">IF($N$151&lt;&gt;"", INDIRECT("'Tracker'!"&amp;ADDRESS(MATCH($N$151, Tracker[Anime Name], 0) + 2, 8)), "")</f>
        <v/>
      </c>
      <c r="V151" s="109" t="str">
        <f>IF(Completed!$C$150&lt;&gt;"",Completed!$C$150,"")</f>
        <v/>
      </c>
      <c r="W151" s="109" t="str">
        <f>IF(Completed!$D$150&lt;&gt;"",Completed!$D$150,"")</f>
        <v/>
      </c>
      <c r="X151" s="109" t="str">
        <f>IF(Completed!$E$150&lt;&gt;"",Completed!$E$150,"")</f>
        <v/>
      </c>
      <c r="Y151" s="109" t="str">
        <f>IF(Completed!$F$150&lt;&gt;"",Completed!$F$150,"")</f>
        <v/>
      </c>
      <c r="Z151" s="125" t="str">
        <f>IF(Completed!$G$150&lt;&gt;"",Completed!$G$150,"")</f>
        <v/>
      </c>
      <c r="AA151" s="136" t="str">
        <f>IF(Completed!$H$150&lt;&gt;"",Completed!$H$150,"")</f>
        <v/>
      </c>
      <c r="AB151" s="110" t="str">
        <f>IF(Completed!$I$150&lt;&gt;"",Completed!$I$150,"")</f>
        <v/>
      </c>
      <c r="AC151" s="110" t="str">
        <f>IF(Completed!$J$150&lt;&gt;"",Completed!$J$150,"")</f>
        <v/>
      </c>
      <c r="AD151" s="126" t="str">
        <f>IF(Completed!$K$150&lt;&gt;"",Completed!$K$150,"")</f>
        <v/>
      </c>
      <c r="AE151" s="127" t="str">
        <f>IF(Completed!$L$150&lt;&gt;"",Completed!$L$150,"")</f>
        <v/>
      </c>
    </row>
    <row r="152" spans="10:31">
      <c r="J152" s="65" t="str">
        <f>IF(Backlog!$A$152&lt;&gt;"",Backlog!$A$152,"")</f>
        <v/>
      </c>
      <c r="K152" s="72" t="str">
        <f>IF(Backlog!$B$152&lt;&gt;"",Backlog!$B$152,"")</f>
        <v/>
      </c>
      <c r="L152" s="123" t="str">
        <f>IF(Backlog!$C$152&lt;&gt;"",Backlog!$C$152,"")</f>
        <v/>
      </c>
      <c r="N152" s="65" t="str">
        <f>IF(Completed!$A$151&lt;&gt;"",Completed!$A$151,"")</f>
        <v/>
      </c>
      <c r="O152" s="72" t="str">
        <f>IF(Completed!$B$151&lt;&gt;"",Completed!$B$151,"")</f>
        <v/>
      </c>
      <c r="P152" s="72" t="str">
        <f ca="1">IF($N$152&lt;&gt;"", INDIRECT("'Tracker'!"&amp;ADDRESS(MATCH($N$152, Tracker[Anime Name], 0) + 2, 3)), "")</f>
        <v/>
      </c>
      <c r="Q152" s="66" t="str">
        <f ca="1">IF($N$152&lt;&gt;"", INDIRECT("'Tracker'!"&amp;ADDRESS(MATCH($N$152, Tracker[Anime Name], 0) + 2, 4)), "")</f>
        <v/>
      </c>
      <c r="R152" s="66" t="str">
        <f ca="1">IF($N$152&lt;&gt;"", INDIRECT("'Tracker'!"&amp;ADDRESS(MATCH($N$152, Tracker[Anime Name], 0) + 2, 5)), "")</f>
        <v/>
      </c>
      <c r="S152" s="66" t="str">
        <f ca="1">IF($N$152&lt;&gt;"", INDIRECT("'Tracker'!"&amp;ADDRESS(MATCH($N$152, Tracker[Anime Name], 0) + 2, 6)), "")</f>
        <v/>
      </c>
      <c r="T152" s="66" t="str">
        <f ca="1">IF($N$152&lt;&gt;"", INDIRECT("'Tracker'!"&amp;ADDRESS(MATCH($N$152, Tracker[Anime Name], 0) + 2, 7)), "")</f>
        <v/>
      </c>
      <c r="U152" s="72" t="str">
        <f ca="1">IF($N$152&lt;&gt;"", INDIRECT("'Tracker'!"&amp;ADDRESS(MATCH($N$152, Tracker[Anime Name], 0) + 2, 8)), "")</f>
        <v/>
      </c>
      <c r="V152" s="109" t="str">
        <f>IF(Completed!$C$151&lt;&gt;"",Completed!$C$151,"")</f>
        <v/>
      </c>
      <c r="W152" s="109" t="str">
        <f>IF(Completed!$D$151&lt;&gt;"",Completed!$D$151,"")</f>
        <v/>
      </c>
      <c r="X152" s="109" t="str">
        <f>IF(Completed!$E$151&lt;&gt;"",Completed!$E$151,"")</f>
        <v/>
      </c>
      <c r="Y152" s="109" t="str">
        <f>IF(Completed!$F$151&lt;&gt;"",Completed!$F$151,"")</f>
        <v/>
      </c>
      <c r="Z152" s="125" t="str">
        <f>IF(Completed!$G$151&lt;&gt;"",Completed!$G$151,"")</f>
        <v/>
      </c>
      <c r="AA152" s="136" t="str">
        <f>IF(Completed!$H$151&lt;&gt;"",Completed!$H$151,"")</f>
        <v/>
      </c>
      <c r="AB152" s="110" t="str">
        <f>IF(Completed!$I$151&lt;&gt;"",Completed!$I$151,"")</f>
        <v/>
      </c>
      <c r="AC152" s="110" t="str">
        <f>IF(Completed!$J$151&lt;&gt;"",Completed!$J$151,"")</f>
        <v/>
      </c>
      <c r="AD152" s="126" t="str">
        <f>IF(Completed!$K$151&lt;&gt;"",Completed!$K$151,"")</f>
        <v/>
      </c>
      <c r="AE152" s="127" t="str">
        <f>IF(Completed!$L$151&lt;&gt;"",Completed!$L$151,"")</f>
        <v/>
      </c>
    </row>
    <row r="153" spans="10:31">
      <c r="J153" s="65" t="str">
        <f>IF(Backlog!$A$153&lt;&gt;"",Backlog!$A$153,"")</f>
        <v/>
      </c>
      <c r="K153" s="72" t="str">
        <f>IF(Backlog!$B$153&lt;&gt;"",Backlog!$B$153,"")</f>
        <v/>
      </c>
      <c r="L153" s="123" t="str">
        <f>IF(Backlog!$C$153&lt;&gt;"",Backlog!$C$153,"")</f>
        <v/>
      </c>
      <c r="N153" s="65" t="str">
        <f>IF(Completed!$A$152&lt;&gt;"",Completed!$A$152,"")</f>
        <v/>
      </c>
      <c r="O153" s="72" t="str">
        <f>IF(Completed!$B$152&lt;&gt;"",Completed!$B$152,"")</f>
        <v/>
      </c>
      <c r="P153" s="72" t="str">
        <f ca="1">IF($N$153&lt;&gt;"", INDIRECT("'Tracker'!"&amp;ADDRESS(MATCH($N$153, Tracker[Anime Name], 0) + 2, 3)), "")</f>
        <v/>
      </c>
      <c r="Q153" s="66" t="str">
        <f ca="1">IF($N$153&lt;&gt;"", INDIRECT("'Tracker'!"&amp;ADDRESS(MATCH($N$153, Tracker[Anime Name], 0) + 2, 4)), "")</f>
        <v/>
      </c>
      <c r="R153" s="66" t="str">
        <f ca="1">IF($N$153&lt;&gt;"", INDIRECT("'Tracker'!"&amp;ADDRESS(MATCH($N$153, Tracker[Anime Name], 0) + 2, 5)), "")</f>
        <v/>
      </c>
      <c r="S153" s="66" t="str">
        <f ca="1">IF($N$153&lt;&gt;"", INDIRECT("'Tracker'!"&amp;ADDRESS(MATCH($N$153, Tracker[Anime Name], 0) + 2, 6)), "")</f>
        <v/>
      </c>
      <c r="T153" s="66" t="str">
        <f ca="1">IF($N$153&lt;&gt;"", INDIRECT("'Tracker'!"&amp;ADDRESS(MATCH($N$153, Tracker[Anime Name], 0) + 2, 7)), "")</f>
        <v/>
      </c>
      <c r="U153" s="72" t="str">
        <f ca="1">IF($N$153&lt;&gt;"", INDIRECT("'Tracker'!"&amp;ADDRESS(MATCH($N$153, Tracker[Anime Name], 0) + 2, 8)), "")</f>
        <v/>
      </c>
      <c r="V153" s="109" t="str">
        <f>IF(Completed!$C$152&lt;&gt;"",Completed!$C$152,"")</f>
        <v/>
      </c>
      <c r="W153" s="109" t="str">
        <f>IF(Completed!$D$152&lt;&gt;"",Completed!$D$152,"")</f>
        <v/>
      </c>
      <c r="X153" s="109" t="str">
        <f>IF(Completed!$E$152&lt;&gt;"",Completed!$E$152,"")</f>
        <v/>
      </c>
      <c r="Y153" s="109" t="str">
        <f>IF(Completed!$F$152&lt;&gt;"",Completed!$F$152,"")</f>
        <v/>
      </c>
      <c r="Z153" s="125" t="str">
        <f>IF(Completed!$G$152&lt;&gt;"",Completed!$G$152,"")</f>
        <v/>
      </c>
      <c r="AA153" s="136" t="str">
        <f>IF(Completed!$H$152&lt;&gt;"",Completed!$H$152,"")</f>
        <v/>
      </c>
      <c r="AB153" s="110" t="str">
        <f>IF(Completed!$I$152&lt;&gt;"",Completed!$I$152,"")</f>
        <v/>
      </c>
      <c r="AC153" s="110" t="str">
        <f>IF(Completed!$J$152&lt;&gt;"",Completed!$J$152,"")</f>
        <v/>
      </c>
      <c r="AD153" s="126" t="str">
        <f>IF(Completed!$K$152&lt;&gt;"",Completed!$K$152,"")</f>
        <v/>
      </c>
      <c r="AE153" s="127" t="str">
        <f>IF(Completed!$L$152&lt;&gt;"",Completed!$L$152,"")</f>
        <v/>
      </c>
    </row>
    <row r="154" spans="10:31">
      <c r="J154" s="65" t="str">
        <f>IF(Backlog!$A$154&lt;&gt;"",Backlog!$A$154,"")</f>
        <v/>
      </c>
      <c r="K154" s="72" t="str">
        <f>IF(Backlog!$B$154&lt;&gt;"",Backlog!$B$154,"")</f>
        <v/>
      </c>
      <c r="L154" s="123" t="str">
        <f>IF(Backlog!$C$154&lt;&gt;"",Backlog!$C$154,"")</f>
        <v/>
      </c>
      <c r="N154" s="65" t="str">
        <f>IF(Completed!$A$153&lt;&gt;"",Completed!$A$153,"")</f>
        <v/>
      </c>
      <c r="O154" s="72" t="str">
        <f>IF(Completed!$B$153&lt;&gt;"",Completed!$B$153,"")</f>
        <v/>
      </c>
      <c r="P154" s="72" t="str">
        <f ca="1">IF($N$154&lt;&gt;"", INDIRECT("'Tracker'!"&amp;ADDRESS(MATCH($N$154, Tracker[Anime Name], 0) + 2, 3)), "")</f>
        <v/>
      </c>
      <c r="Q154" s="66" t="str">
        <f ca="1">IF($N$154&lt;&gt;"", INDIRECT("'Tracker'!"&amp;ADDRESS(MATCH($N$154, Tracker[Anime Name], 0) + 2, 4)), "")</f>
        <v/>
      </c>
      <c r="R154" s="66" t="str">
        <f ca="1">IF($N$154&lt;&gt;"", INDIRECT("'Tracker'!"&amp;ADDRESS(MATCH($N$154, Tracker[Anime Name], 0) + 2, 5)), "")</f>
        <v/>
      </c>
      <c r="S154" s="66" t="str">
        <f ca="1">IF($N$154&lt;&gt;"", INDIRECT("'Tracker'!"&amp;ADDRESS(MATCH($N$154, Tracker[Anime Name], 0) + 2, 6)), "")</f>
        <v/>
      </c>
      <c r="T154" s="66" t="str">
        <f ca="1">IF($N$154&lt;&gt;"", INDIRECT("'Tracker'!"&amp;ADDRESS(MATCH($N$154, Tracker[Anime Name], 0) + 2, 7)), "")</f>
        <v/>
      </c>
      <c r="U154" s="72" t="str">
        <f ca="1">IF($N$154&lt;&gt;"", INDIRECT("'Tracker'!"&amp;ADDRESS(MATCH($N$154, Tracker[Anime Name], 0) + 2, 8)), "")</f>
        <v/>
      </c>
      <c r="V154" s="109" t="str">
        <f>IF(Completed!$C$153&lt;&gt;"",Completed!$C$153,"")</f>
        <v/>
      </c>
      <c r="W154" s="109" t="str">
        <f>IF(Completed!$D$153&lt;&gt;"",Completed!$D$153,"")</f>
        <v/>
      </c>
      <c r="X154" s="109" t="str">
        <f>IF(Completed!$E$153&lt;&gt;"",Completed!$E$153,"")</f>
        <v/>
      </c>
      <c r="Y154" s="109" t="str">
        <f>IF(Completed!$F$153&lt;&gt;"",Completed!$F$153,"")</f>
        <v/>
      </c>
      <c r="Z154" s="125" t="str">
        <f>IF(Completed!$G$153&lt;&gt;"",Completed!$G$153,"")</f>
        <v/>
      </c>
      <c r="AA154" s="136" t="str">
        <f>IF(Completed!$H$153&lt;&gt;"",Completed!$H$153,"")</f>
        <v/>
      </c>
      <c r="AB154" s="110" t="str">
        <f>IF(Completed!$I$153&lt;&gt;"",Completed!$I$153,"")</f>
        <v/>
      </c>
      <c r="AC154" s="110" t="str">
        <f>IF(Completed!$J$153&lt;&gt;"",Completed!$J$153,"")</f>
        <v/>
      </c>
      <c r="AD154" s="126" t="str">
        <f>IF(Completed!$K$153&lt;&gt;"",Completed!$K$153,"")</f>
        <v/>
      </c>
      <c r="AE154" s="127" t="str">
        <f>IF(Completed!$L$153&lt;&gt;"",Completed!$L$153,"")</f>
        <v/>
      </c>
    </row>
    <row r="155" spans="10:31">
      <c r="J155" s="65" t="str">
        <f>IF(Backlog!$A$155&lt;&gt;"",Backlog!$A$155,"")</f>
        <v/>
      </c>
      <c r="K155" s="72" t="str">
        <f>IF(Backlog!$B$155&lt;&gt;"",Backlog!$B$155,"")</f>
        <v/>
      </c>
      <c r="L155" s="123" t="str">
        <f>IF(Backlog!$C$155&lt;&gt;"",Backlog!$C$155,"")</f>
        <v/>
      </c>
      <c r="N155" s="65" t="str">
        <f>IF(Completed!$A$154&lt;&gt;"",Completed!$A$154,"")</f>
        <v/>
      </c>
      <c r="O155" s="72" t="str">
        <f>IF(Completed!$B$154&lt;&gt;"",Completed!$B$154,"")</f>
        <v/>
      </c>
      <c r="P155" s="72" t="str">
        <f ca="1">IF($N$155&lt;&gt;"", INDIRECT("'Tracker'!"&amp;ADDRESS(MATCH($N$155, Tracker[Anime Name], 0) + 2, 3)), "")</f>
        <v/>
      </c>
      <c r="Q155" s="66" t="str">
        <f ca="1">IF($N$155&lt;&gt;"", INDIRECT("'Tracker'!"&amp;ADDRESS(MATCH($N$155, Tracker[Anime Name], 0) + 2, 4)), "")</f>
        <v/>
      </c>
      <c r="R155" s="66" t="str">
        <f ca="1">IF($N$155&lt;&gt;"", INDIRECT("'Tracker'!"&amp;ADDRESS(MATCH($N$155, Tracker[Anime Name], 0) + 2, 5)), "")</f>
        <v/>
      </c>
      <c r="S155" s="66" t="str">
        <f ca="1">IF($N$155&lt;&gt;"", INDIRECT("'Tracker'!"&amp;ADDRESS(MATCH($N$155, Tracker[Anime Name], 0) + 2, 6)), "")</f>
        <v/>
      </c>
      <c r="T155" s="66" t="str">
        <f ca="1">IF($N$155&lt;&gt;"", INDIRECT("'Tracker'!"&amp;ADDRESS(MATCH($N$155, Tracker[Anime Name], 0) + 2, 7)), "")</f>
        <v/>
      </c>
      <c r="U155" s="72" t="str">
        <f ca="1">IF($N$155&lt;&gt;"", INDIRECT("'Tracker'!"&amp;ADDRESS(MATCH($N$155, Tracker[Anime Name], 0) + 2, 8)), "")</f>
        <v/>
      </c>
      <c r="V155" s="109" t="str">
        <f>IF(Completed!$C$154&lt;&gt;"",Completed!$C$154,"")</f>
        <v/>
      </c>
      <c r="W155" s="109" t="str">
        <f>IF(Completed!$D$154&lt;&gt;"",Completed!$D$154,"")</f>
        <v/>
      </c>
      <c r="X155" s="109" t="str">
        <f>IF(Completed!$E$154&lt;&gt;"",Completed!$E$154,"")</f>
        <v/>
      </c>
      <c r="Y155" s="109" t="str">
        <f>IF(Completed!$F$154&lt;&gt;"",Completed!$F$154,"")</f>
        <v/>
      </c>
      <c r="Z155" s="125" t="str">
        <f>IF(Completed!$G$154&lt;&gt;"",Completed!$G$154,"")</f>
        <v/>
      </c>
      <c r="AA155" s="136" t="str">
        <f>IF(Completed!$H$154&lt;&gt;"",Completed!$H$154,"")</f>
        <v/>
      </c>
      <c r="AB155" s="110" t="str">
        <f>IF(Completed!$I$154&lt;&gt;"",Completed!$I$154,"")</f>
        <v/>
      </c>
      <c r="AC155" s="110" t="str">
        <f>IF(Completed!$J$154&lt;&gt;"",Completed!$J$154,"")</f>
        <v/>
      </c>
      <c r="AD155" s="126" t="str">
        <f>IF(Completed!$K$154&lt;&gt;"",Completed!$K$154,"")</f>
        <v/>
      </c>
      <c r="AE155" s="127" t="str">
        <f>IF(Completed!$L$154&lt;&gt;"",Completed!$L$154,"")</f>
        <v/>
      </c>
    </row>
    <row r="156" spans="10:31">
      <c r="J156" s="65" t="str">
        <f>IF(Backlog!$A$156&lt;&gt;"",Backlog!$A$156,"")</f>
        <v/>
      </c>
      <c r="K156" s="72" t="str">
        <f>IF(Backlog!$B$156&lt;&gt;"",Backlog!$B$156,"")</f>
        <v/>
      </c>
      <c r="L156" s="123" t="str">
        <f>IF(Backlog!$C$156&lt;&gt;"",Backlog!$C$156,"")</f>
        <v/>
      </c>
      <c r="N156" s="65" t="str">
        <f>IF(Completed!$A$155&lt;&gt;"",Completed!$A$155,"")</f>
        <v/>
      </c>
      <c r="O156" s="72" t="str">
        <f>IF(Completed!$B$155&lt;&gt;"",Completed!$B$155,"")</f>
        <v/>
      </c>
      <c r="P156" s="72" t="str">
        <f ca="1">IF($N$156&lt;&gt;"", INDIRECT("'Tracker'!"&amp;ADDRESS(MATCH($N$156, Tracker[Anime Name], 0) + 2, 3)), "")</f>
        <v/>
      </c>
      <c r="Q156" s="66" t="str">
        <f ca="1">IF($N$156&lt;&gt;"", INDIRECT("'Tracker'!"&amp;ADDRESS(MATCH($N$156, Tracker[Anime Name], 0) + 2, 4)), "")</f>
        <v/>
      </c>
      <c r="R156" s="66" t="str">
        <f ca="1">IF($N$156&lt;&gt;"", INDIRECT("'Tracker'!"&amp;ADDRESS(MATCH($N$156, Tracker[Anime Name], 0) + 2, 5)), "")</f>
        <v/>
      </c>
      <c r="S156" s="66" t="str">
        <f ca="1">IF($N$156&lt;&gt;"", INDIRECT("'Tracker'!"&amp;ADDRESS(MATCH($N$156, Tracker[Anime Name], 0) + 2, 6)), "")</f>
        <v/>
      </c>
      <c r="T156" s="66" t="str">
        <f ca="1">IF($N$156&lt;&gt;"", INDIRECT("'Tracker'!"&amp;ADDRESS(MATCH($N$156, Tracker[Anime Name], 0) + 2, 7)), "")</f>
        <v/>
      </c>
      <c r="U156" s="72" t="str">
        <f ca="1">IF($N$156&lt;&gt;"", INDIRECT("'Tracker'!"&amp;ADDRESS(MATCH($N$156, Tracker[Anime Name], 0) + 2, 8)), "")</f>
        <v/>
      </c>
      <c r="V156" s="109" t="str">
        <f>IF(Completed!$C$155&lt;&gt;"",Completed!$C$155,"")</f>
        <v/>
      </c>
      <c r="W156" s="109" t="str">
        <f>IF(Completed!$D$155&lt;&gt;"",Completed!$D$155,"")</f>
        <v/>
      </c>
      <c r="X156" s="109" t="str">
        <f>IF(Completed!$E$155&lt;&gt;"",Completed!$E$155,"")</f>
        <v/>
      </c>
      <c r="Y156" s="109" t="str">
        <f>IF(Completed!$F$155&lt;&gt;"",Completed!$F$155,"")</f>
        <v/>
      </c>
      <c r="Z156" s="125" t="str">
        <f>IF(Completed!$G$155&lt;&gt;"",Completed!$G$155,"")</f>
        <v/>
      </c>
      <c r="AA156" s="136" t="str">
        <f>IF(Completed!$H$155&lt;&gt;"",Completed!$H$155,"")</f>
        <v/>
      </c>
      <c r="AB156" s="110" t="str">
        <f>IF(Completed!$I$155&lt;&gt;"",Completed!$I$155,"")</f>
        <v/>
      </c>
      <c r="AC156" s="110" t="str">
        <f>IF(Completed!$J$155&lt;&gt;"",Completed!$J$155,"")</f>
        <v/>
      </c>
      <c r="AD156" s="126" t="str">
        <f>IF(Completed!$K$155&lt;&gt;"",Completed!$K$155,"")</f>
        <v/>
      </c>
      <c r="AE156" s="127" t="str">
        <f>IF(Completed!$L$155&lt;&gt;"",Completed!$L$155,"")</f>
        <v/>
      </c>
    </row>
    <row r="157" spans="10:31">
      <c r="J157" s="65" t="str">
        <f>IF(Backlog!$A$157&lt;&gt;"",Backlog!$A$157,"")</f>
        <v/>
      </c>
      <c r="K157" s="72" t="str">
        <f>IF(Backlog!$B$157&lt;&gt;"",Backlog!$B$157,"")</f>
        <v/>
      </c>
      <c r="L157" s="123" t="str">
        <f>IF(Backlog!$C$157&lt;&gt;"",Backlog!$C$157,"")</f>
        <v/>
      </c>
      <c r="N157" s="65" t="str">
        <f>IF(Completed!$A$156&lt;&gt;"",Completed!$A$156,"")</f>
        <v/>
      </c>
      <c r="O157" s="72" t="str">
        <f>IF(Completed!$B$156&lt;&gt;"",Completed!$B$156,"")</f>
        <v/>
      </c>
      <c r="P157" s="72" t="str">
        <f ca="1">IF($N$157&lt;&gt;"", INDIRECT("'Tracker'!"&amp;ADDRESS(MATCH($N$157, Tracker[Anime Name], 0) + 2, 3)), "")</f>
        <v/>
      </c>
      <c r="Q157" s="66" t="str">
        <f ca="1">IF($N$157&lt;&gt;"", INDIRECT("'Tracker'!"&amp;ADDRESS(MATCH($N$157, Tracker[Anime Name], 0) + 2, 4)), "")</f>
        <v/>
      </c>
      <c r="R157" s="66" t="str">
        <f ca="1">IF($N$157&lt;&gt;"", INDIRECT("'Tracker'!"&amp;ADDRESS(MATCH($N$157, Tracker[Anime Name], 0) + 2, 5)), "")</f>
        <v/>
      </c>
      <c r="S157" s="66" t="str">
        <f ca="1">IF($N$157&lt;&gt;"", INDIRECT("'Tracker'!"&amp;ADDRESS(MATCH($N$157, Tracker[Anime Name], 0) + 2, 6)), "")</f>
        <v/>
      </c>
      <c r="T157" s="66" t="str">
        <f ca="1">IF($N$157&lt;&gt;"", INDIRECT("'Tracker'!"&amp;ADDRESS(MATCH($N$157, Tracker[Anime Name], 0) + 2, 7)), "")</f>
        <v/>
      </c>
      <c r="U157" s="72" t="str">
        <f ca="1">IF($N$157&lt;&gt;"", INDIRECT("'Tracker'!"&amp;ADDRESS(MATCH($N$157, Tracker[Anime Name], 0) + 2, 8)), "")</f>
        <v/>
      </c>
      <c r="V157" s="109" t="str">
        <f>IF(Completed!$C$156&lt;&gt;"",Completed!$C$156,"")</f>
        <v/>
      </c>
      <c r="W157" s="109" t="str">
        <f>IF(Completed!$D$156&lt;&gt;"",Completed!$D$156,"")</f>
        <v/>
      </c>
      <c r="X157" s="109" t="str">
        <f>IF(Completed!$E$156&lt;&gt;"",Completed!$E$156,"")</f>
        <v/>
      </c>
      <c r="Y157" s="109" t="str">
        <f>IF(Completed!$F$156&lt;&gt;"",Completed!$F$156,"")</f>
        <v/>
      </c>
      <c r="Z157" s="125" t="str">
        <f>IF(Completed!$G$156&lt;&gt;"",Completed!$G$156,"")</f>
        <v/>
      </c>
      <c r="AA157" s="136" t="str">
        <f>IF(Completed!$H$156&lt;&gt;"",Completed!$H$156,"")</f>
        <v/>
      </c>
      <c r="AB157" s="110" t="str">
        <f>IF(Completed!$I$156&lt;&gt;"",Completed!$I$156,"")</f>
        <v/>
      </c>
      <c r="AC157" s="110" t="str">
        <f>IF(Completed!$J$156&lt;&gt;"",Completed!$J$156,"")</f>
        <v/>
      </c>
      <c r="AD157" s="126" t="str">
        <f>IF(Completed!$K$156&lt;&gt;"",Completed!$K$156,"")</f>
        <v/>
      </c>
      <c r="AE157" s="127" t="str">
        <f>IF(Completed!$L$156&lt;&gt;"",Completed!$L$156,"")</f>
        <v/>
      </c>
    </row>
    <row r="158" spans="10:31">
      <c r="J158" s="65" t="str">
        <f>IF(Backlog!$A$158&lt;&gt;"",Backlog!$A$158,"")</f>
        <v/>
      </c>
      <c r="K158" s="72" t="str">
        <f>IF(Backlog!$B$158&lt;&gt;"",Backlog!$B$158,"")</f>
        <v/>
      </c>
      <c r="L158" s="123" t="str">
        <f>IF(Backlog!$C$158&lt;&gt;"",Backlog!$C$158,"")</f>
        <v/>
      </c>
      <c r="N158" s="65" t="str">
        <f>IF(Completed!$A$157&lt;&gt;"",Completed!$A$157,"")</f>
        <v/>
      </c>
      <c r="O158" s="72" t="str">
        <f>IF(Completed!$B$157&lt;&gt;"",Completed!$B$157,"")</f>
        <v/>
      </c>
      <c r="P158" s="72" t="str">
        <f ca="1">IF($N$158&lt;&gt;"", INDIRECT("'Tracker'!"&amp;ADDRESS(MATCH($N$158, Tracker[Anime Name], 0) + 2, 3)), "")</f>
        <v/>
      </c>
      <c r="Q158" s="66" t="str">
        <f ca="1">IF($N$158&lt;&gt;"", INDIRECT("'Tracker'!"&amp;ADDRESS(MATCH($N$158, Tracker[Anime Name], 0) + 2, 4)), "")</f>
        <v/>
      </c>
      <c r="R158" s="66" t="str">
        <f ca="1">IF($N$158&lt;&gt;"", INDIRECT("'Tracker'!"&amp;ADDRESS(MATCH($N$158, Tracker[Anime Name], 0) + 2, 5)), "")</f>
        <v/>
      </c>
      <c r="S158" s="66" t="str">
        <f ca="1">IF($N$158&lt;&gt;"", INDIRECT("'Tracker'!"&amp;ADDRESS(MATCH($N$158, Tracker[Anime Name], 0) + 2, 6)), "")</f>
        <v/>
      </c>
      <c r="T158" s="66" t="str">
        <f ca="1">IF($N$158&lt;&gt;"", INDIRECT("'Tracker'!"&amp;ADDRESS(MATCH($N$158, Tracker[Anime Name], 0) + 2, 7)), "")</f>
        <v/>
      </c>
      <c r="U158" s="72" t="str">
        <f ca="1">IF($N$158&lt;&gt;"", INDIRECT("'Tracker'!"&amp;ADDRESS(MATCH($N$158, Tracker[Anime Name], 0) + 2, 8)), "")</f>
        <v/>
      </c>
      <c r="V158" s="109" t="str">
        <f>IF(Completed!$C$157&lt;&gt;"",Completed!$C$157,"")</f>
        <v/>
      </c>
      <c r="W158" s="109" t="str">
        <f>IF(Completed!$D$157&lt;&gt;"",Completed!$D$157,"")</f>
        <v/>
      </c>
      <c r="X158" s="109" t="str">
        <f>IF(Completed!$E$157&lt;&gt;"",Completed!$E$157,"")</f>
        <v/>
      </c>
      <c r="Y158" s="109" t="str">
        <f>IF(Completed!$F$157&lt;&gt;"",Completed!$F$157,"")</f>
        <v/>
      </c>
      <c r="Z158" s="125" t="str">
        <f>IF(Completed!$G$157&lt;&gt;"",Completed!$G$157,"")</f>
        <v/>
      </c>
      <c r="AA158" s="136" t="str">
        <f>IF(Completed!$H$157&lt;&gt;"",Completed!$H$157,"")</f>
        <v/>
      </c>
      <c r="AB158" s="110" t="str">
        <f>IF(Completed!$I$157&lt;&gt;"",Completed!$I$157,"")</f>
        <v/>
      </c>
      <c r="AC158" s="110" t="str">
        <f>IF(Completed!$J$157&lt;&gt;"",Completed!$J$157,"")</f>
        <v/>
      </c>
      <c r="AD158" s="126" t="str">
        <f>IF(Completed!$K$157&lt;&gt;"",Completed!$K$157,"")</f>
        <v/>
      </c>
      <c r="AE158" s="127" t="str">
        <f>IF(Completed!$L$157&lt;&gt;"",Completed!$L$157,"")</f>
        <v/>
      </c>
    </row>
    <row r="159" spans="10:31">
      <c r="J159" s="65" t="str">
        <f>IF(Backlog!$A$159&lt;&gt;"",Backlog!$A$159,"")</f>
        <v/>
      </c>
      <c r="K159" s="72" t="str">
        <f>IF(Backlog!$B$159&lt;&gt;"",Backlog!$B$159,"")</f>
        <v/>
      </c>
      <c r="L159" s="123" t="str">
        <f>IF(Backlog!$C$159&lt;&gt;"",Backlog!$C$159,"")</f>
        <v/>
      </c>
      <c r="N159" s="65" t="str">
        <f>IF(Completed!$A$158&lt;&gt;"",Completed!$A$158,"")</f>
        <v/>
      </c>
      <c r="O159" s="72" t="str">
        <f>IF(Completed!$B$158&lt;&gt;"",Completed!$B$158,"")</f>
        <v/>
      </c>
      <c r="P159" s="72" t="str">
        <f ca="1">IF($N$159&lt;&gt;"", INDIRECT("'Tracker'!"&amp;ADDRESS(MATCH($N$159, Tracker[Anime Name], 0) + 2, 3)), "")</f>
        <v/>
      </c>
      <c r="Q159" s="66" t="str">
        <f ca="1">IF($N$159&lt;&gt;"", INDIRECT("'Tracker'!"&amp;ADDRESS(MATCH($N$159, Tracker[Anime Name], 0) + 2, 4)), "")</f>
        <v/>
      </c>
      <c r="R159" s="66" t="str">
        <f ca="1">IF($N$159&lt;&gt;"", INDIRECT("'Tracker'!"&amp;ADDRESS(MATCH($N$159, Tracker[Anime Name], 0) + 2, 5)), "")</f>
        <v/>
      </c>
      <c r="S159" s="66" t="str">
        <f ca="1">IF($N$159&lt;&gt;"", INDIRECT("'Tracker'!"&amp;ADDRESS(MATCH($N$159, Tracker[Anime Name], 0) + 2, 6)), "")</f>
        <v/>
      </c>
      <c r="T159" s="66" t="str">
        <f ca="1">IF($N$159&lt;&gt;"", INDIRECT("'Tracker'!"&amp;ADDRESS(MATCH($N$159, Tracker[Anime Name], 0) + 2, 7)), "")</f>
        <v/>
      </c>
      <c r="U159" s="72" t="str">
        <f ca="1">IF($N$159&lt;&gt;"", INDIRECT("'Tracker'!"&amp;ADDRESS(MATCH($N$159, Tracker[Anime Name], 0) + 2, 8)), "")</f>
        <v/>
      </c>
      <c r="V159" s="109" t="str">
        <f>IF(Completed!$C$158&lt;&gt;"",Completed!$C$158,"")</f>
        <v/>
      </c>
      <c r="W159" s="109" t="str">
        <f>IF(Completed!$D$158&lt;&gt;"",Completed!$D$158,"")</f>
        <v/>
      </c>
      <c r="X159" s="109" t="str">
        <f>IF(Completed!$E$158&lt;&gt;"",Completed!$E$158,"")</f>
        <v/>
      </c>
      <c r="Y159" s="109" t="str">
        <f>IF(Completed!$F$158&lt;&gt;"",Completed!$F$158,"")</f>
        <v/>
      </c>
      <c r="Z159" s="125" t="str">
        <f>IF(Completed!$G$158&lt;&gt;"",Completed!$G$158,"")</f>
        <v/>
      </c>
      <c r="AA159" s="136" t="str">
        <f>IF(Completed!$H$158&lt;&gt;"",Completed!$H$158,"")</f>
        <v/>
      </c>
      <c r="AB159" s="110" t="str">
        <f>IF(Completed!$I$158&lt;&gt;"",Completed!$I$158,"")</f>
        <v/>
      </c>
      <c r="AC159" s="110" t="str">
        <f>IF(Completed!$J$158&lt;&gt;"",Completed!$J$158,"")</f>
        <v/>
      </c>
      <c r="AD159" s="126" t="str">
        <f>IF(Completed!$K$158&lt;&gt;"",Completed!$K$158,"")</f>
        <v/>
      </c>
      <c r="AE159" s="127" t="str">
        <f>IF(Completed!$L$158&lt;&gt;"",Completed!$L$158,"")</f>
        <v/>
      </c>
    </row>
    <row r="160" spans="10:31">
      <c r="J160" s="65" t="str">
        <f>IF(Backlog!$A$160&lt;&gt;"",Backlog!$A$160,"")</f>
        <v/>
      </c>
      <c r="K160" s="72" t="str">
        <f>IF(Backlog!$B$160&lt;&gt;"",Backlog!$B$160,"")</f>
        <v/>
      </c>
      <c r="L160" s="123" t="str">
        <f>IF(Backlog!$C$160&lt;&gt;"",Backlog!$C$160,"")</f>
        <v/>
      </c>
      <c r="N160" s="65" t="str">
        <f>IF(Completed!$A$159&lt;&gt;"",Completed!$A$159,"")</f>
        <v/>
      </c>
      <c r="O160" s="72" t="str">
        <f>IF(Completed!$B$159&lt;&gt;"",Completed!$B$159,"")</f>
        <v/>
      </c>
      <c r="P160" s="72" t="str">
        <f ca="1">IF($N$160&lt;&gt;"", INDIRECT("'Tracker'!"&amp;ADDRESS(MATCH($N$160, Tracker[Anime Name], 0) + 2, 3)), "")</f>
        <v/>
      </c>
      <c r="Q160" s="66" t="str">
        <f ca="1">IF($N$160&lt;&gt;"", INDIRECT("'Tracker'!"&amp;ADDRESS(MATCH($N$160, Tracker[Anime Name], 0) + 2, 4)), "")</f>
        <v/>
      </c>
      <c r="R160" s="66" t="str">
        <f ca="1">IF($N$160&lt;&gt;"", INDIRECT("'Tracker'!"&amp;ADDRESS(MATCH($N$160, Tracker[Anime Name], 0) + 2, 5)), "")</f>
        <v/>
      </c>
      <c r="S160" s="66" t="str">
        <f ca="1">IF($N$160&lt;&gt;"", INDIRECT("'Tracker'!"&amp;ADDRESS(MATCH($N$160, Tracker[Anime Name], 0) + 2, 6)), "")</f>
        <v/>
      </c>
      <c r="T160" s="66" t="str">
        <f ca="1">IF($N$160&lt;&gt;"", INDIRECT("'Tracker'!"&amp;ADDRESS(MATCH($N$160, Tracker[Anime Name], 0) + 2, 7)), "")</f>
        <v/>
      </c>
      <c r="U160" s="72" t="str">
        <f ca="1">IF($N$160&lt;&gt;"", INDIRECT("'Tracker'!"&amp;ADDRESS(MATCH($N$160, Tracker[Anime Name], 0) + 2, 8)), "")</f>
        <v/>
      </c>
      <c r="V160" s="109" t="str">
        <f>IF(Completed!$C$159&lt;&gt;"",Completed!$C$159,"")</f>
        <v/>
      </c>
      <c r="W160" s="109" t="str">
        <f>IF(Completed!$D$159&lt;&gt;"",Completed!$D$159,"")</f>
        <v/>
      </c>
      <c r="X160" s="109" t="str">
        <f>IF(Completed!$E$159&lt;&gt;"",Completed!$E$159,"")</f>
        <v/>
      </c>
      <c r="Y160" s="109" t="str">
        <f>IF(Completed!$F$159&lt;&gt;"",Completed!$F$159,"")</f>
        <v/>
      </c>
      <c r="Z160" s="125" t="str">
        <f>IF(Completed!$G$159&lt;&gt;"",Completed!$G$159,"")</f>
        <v/>
      </c>
      <c r="AA160" s="136" t="str">
        <f>IF(Completed!$H$159&lt;&gt;"",Completed!$H$159,"")</f>
        <v/>
      </c>
      <c r="AB160" s="110" t="str">
        <f>IF(Completed!$I$159&lt;&gt;"",Completed!$I$159,"")</f>
        <v/>
      </c>
      <c r="AC160" s="110" t="str">
        <f>IF(Completed!$J$159&lt;&gt;"",Completed!$J$159,"")</f>
        <v/>
      </c>
      <c r="AD160" s="126" t="str">
        <f>IF(Completed!$K$159&lt;&gt;"",Completed!$K$159,"")</f>
        <v/>
      </c>
      <c r="AE160" s="127" t="str">
        <f>IF(Completed!$L$159&lt;&gt;"",Completed!$L$159,"")</f>
        <v/>
      </c>
    </row>
    <row r="161" spans="10:31">
      <c r="J161" s="65" t="str">
        <f>IF(Backlog!$A$161&lt;&gt;"",Backlog!$A$161,"")</f>
        <v/>
      </c>
      <c r="K161" s="72" t="str">
        <f>IF(Backlog!$B$161&lt;&gt;"",Backlog!$B$161,"")</f>
        <v/>
      </c>
      <c r="L161" s="123" t="str">
        <f>IF(Backlog!$C$161&lt;&gt;"",Backlog!$C$161,"")</f>
        <v/>
      </c>
      <c r="N161" s="65" t="str">
        <f>IF(Completed!$A$160&lt;&gt;"",Completed!$A$160,"")</f>
        <v/>
      </c>
      <c r="O161" s="72" t="str">
        <f>IF(Completed!$B$160&lt;&gt;"",Completed!$B$160,"")</f>
        <v/>
      </c>
      <c r="P161" s="72" t="str">
        <f ca="1">IF($N$161&lt;&gt;"", INDIRECT("'Tracker'!"&amp;ADDRESS(MATCH($N$161, Tracker[Anime Name], 0) + 2, 3)), "")</f>
        <v/>
      </c>
      <c r="Q161" s="66" t="str">
        <f ca="1">IF($N$161&lt;&gt;"", INDIRECT("'Tracker'!"&amp;ADDRESS(MATCH($N$161, Tracker[Anime Name], 0) + 2, 4)), "")</f>
        <v/>
      </c>
      <c r="R161" s="66" t="str">
        <f ca="1">IF($N$161&lt;&gt;"", INDIRECT("'Tracker'!"&amp;ADDRESS(MATCH($N$161, Tracker[Anime Name], 0) + 2, 5)), "")</f>
        <v/>
      </c>
      <c r="S161" s="66" t="str">
        <f ca="1">IF($N$161&lt;&gt;"", INDIRECT("'Tracker'!"&amp;ADDRESS(MATCH($N$161, Tracker[Anime Name], 0) + 2, 6)), "")</f>
        <v/>
      </c>
      <c r="T161" s="66" t="str">
        <f ca="1">IF($N$161&lt;&gt;"", INDIRECT("'Tracker'!"&amp;ADDRESS(MATCH($N$161, Tracker[Anime Name], 0) + 2, 7)), "")</f>
        <v/>
      </c>
      <c r="U161" s="72" t="str">
        <f ca="1">IF($N$161&lt;&gt;"", INDIRECT("'Tracker'!"&amp;ADDRESS(MATCH($N$161, Tracker[Anime Name], 0) + 2, 8)), "")</f>
        <v/>
      </c>
      <c r="V161" s="109" t="str">
        <f>IF(Completed!$C$160&lt;&gt;"",Completed!$C$160,"")</f>
        <v/>
      </c>
      <c r="W161" s="109" t="str">
        <f>IF(Completed!$D$160&lt;&gt;"",Completed!$D$160,"")</f>
        <v/>
      </c>
      <c r="X161" s="109" t="str">
        <f>IF(Completed!$E$160&lt;&gt;"",Completed!$E$160,"")</f>
        <v/>
      </c>
      <c r="Y161" s="109" t="str">
        <f>IF(Completed!$F$160&lt;&gt;"",Completed!$F$160,"")</f>
        <v/>
      </c>
      <c r="Z161" s="125" t="str">
        <f>IF(Completed!$G$160&lt;&gt;"",Completed!$G$160,"")</f>
        <v/>
      </c>
      <c r="AA161" s="136" t="str">
        <f>IF(Completed!$H$160&lt;&gt;"",Completed!$H$160,"")</f>
        <v/>
      </c>
      <c r="AB161" s="110" t="str">
        <f>IF(Completed!$I$160&lt;&gt;"",Completed!$I$160,"")</f>
        <v/>
      </c>
      <c r="AC161" s="110" t="str">
        <f>IF(Completed!$J$160&lt;&gt;"",Completed!$J$160,"")</f>
        <v/>
      </c>
      <c r="AD161" s="126" t="str">
        <f>IF(Completed!$K$160&lt;&gt;"",Completed!$K$160,"")</f>
        <v/>
      </c>
      <c r="AE161" s="127" t="str">
        <f>IF(Completed!$L$160&lt;&gt;"",Completed!$L$160,"")</f>
        <v/>
      </c>
    </row>
    <row r="162" spans="10:31">
      <c r="J162" s="65" t="str">
        <f>IF(Backlog!$A$162&lt;&gt;"",Backlog!$A$162,"")</f>
        <v/>
      </c>
      <c r="K162" s="72" t="str">
        <f>IF(Backlog!$B$162&lt;&gt;"",Backlog!$B$162,"")</f>
        <v/>
      </c>
      <c r="L162" s="123" t="str">
        <f>IF(Backlog!$C$162&lt;&gt;"",Backlog!$C$162,"")</f>
        <v/>
      </c>
      <c r="N162" s="65" t="str">
        <f>IF(Completed!$A$161&lt;&gt;"",Completed!$A$161,"")</f>
        <v/>
      </c>
      <c r="O162" s="72" t="str">
        <f>IF(Completed!$B$161&lt;&gt;"",Completed!$B$161,"")</f>
        <v/>
      </c>
      <c r="P162" s="72" t="str">
        <f ca="1">IF($N$162&lt;&gt;"", INDIRECT("'Tracker'!"&amp;ADDRESS(MATCH($N$162, Tracker[Anime Name], 0) + 2, 3)), "")</f>
        <v/>
      </c>
      <c r="Q162" s="66" t="str">
        <f ca="1">IF($N$162&lt;&gt;"", INDIRECT("'Tracker'!"&amp;ADDRESS(MATCH($N$162, Tracker[Anime Name], 0) + 2, 4)), "")</f>
        <v/>
      </c>
      <c r="R162" s="66" t="str">
        <f ca="1">IF($N$162&lt;&gt;"", INDIRECT("'Tracker'!"&amp;ADDRESS(MATCH($N$162, Tracker[Anime Name], 0) + 2, 5)), "")</f>
        <v/>
      </c>
      <c r="S162" s="66" t="str">
        <f ca="1">IF($N$162&lt;&gt;"", INDIRECT("'Tracker'!"&amp;ADDRESS(MATCH($N$162, Tracker[Anime Name], 0) + 2, 6)), "")</f>
        <v/>
      </c>
      <c r="T162" s="66" t="str">
        <f ca="1">IF($N$162&lt;&gt;"", INDIRECT("'Tracker'!"&amp;ADDRESS(MATCH($N$162, Tracker[Anime Name], 0) + 2, 7)), "")</f>
        <v/>
      </c>
      <c r="U162" s="72" t="str">
        <f ca="1">IF($N$162&lt;&gt;"", INDIRECT("'Tracker'!"&amp;ADDRESS(MATCH($N$162, Tracker[Anime Name], 0) + 2, 8)), "")</f>
        <v/>
      </c>
      <c r="V162" s="109" t="str">
        <f>IF(Completed!$C$161&lt;&gt;"",Completed!$C$161,"")</f>
        <v/>
      </c>
      <c r="W162" s="109" t="str">
        <f>IF(Completed!$D$161&lt;&gt;"",Completed!$D$161,"")</f>
        <v/>
      </c>
      <c r="X162" s="109" t="str">
        <f>IF(Completed!$E$161&lt;&gt;"",Completed!$E$161,"")</f>
        <v/>
      </c>
      <c r="Y162" s="109" t="str">
        <f>IF(Completed!$F$161&lt;&gt;"",Completed!$F$161,"")</f>
        <v/>
      </c>
      <c r="Z162" s="125" t="str">
        <f>IF(Completed!$G$161&lt;&gt;"",Completed!$G$161,"")</f>
        <v/>
      </c>
      <c r="AA162" s="136" t="str">
        <f>IF(Completed!$H$161&lt;&gt;"",Completed!$H$161,"")</f>
        <v/>
      </c>
      <c r="AB162" s="110" t="str">
        <f>IF(Completed!$I$161&lt;&gt;"",Completed!$I$161,"")</f>
        <v/>
      </c>
      <c r="AC162" s="110" t="str">
        <f>IF(Completed!$J$161&lt;&gt;"",Completed!$J$161,"")</f>
        <v/>
      </c>
      <c r="AD162" s="126" t="str">
        <f>IF(Completed!$K$161&lt;&gt;"",Completed!$K$161,"")</f>
        <v/>
      </c>
      <c r="AE162" s="127" t="str">
        <f>IF(Completed!$L$161&lt;&gt;"",Completed!$L$161,"")</f>
        <v/>
      </c>
    </row>
    <row r="163" spans="10:31">
      <c r="J163" s="65" t="str">
        <f>IF(Backlog!$A$163&lt;&gt;"",Backlog!$A$163,"")</f>
        <v/>
      </c>
      <c r="K163" s="72" t="str">
        <f>IF(Backlog!$B$163&lt;&gt;"",Backlog!$B$163,"")</f>
        <v/>
      </c>
      <c r="L163" s="123" t="str">
        <f>IF(Backlog!$C$163&lt;&gt;"",Backlog!$C$163,"")</f>
        <v/>
      </c>
      <c r="N163" s="65" t="str">
        <f>IF(Completed!$A$162&lt;&gt;"",Completed!$A$162,"")</f>
        <v/>
      </c>
      <c r="O163" s="72" t="str">
        <f>IF(Completed!$B$162&lt;&gt;"",Completed!$B$162,"")</f>
        <v/>
      </c>
      <c r="P163" s="72" t="str">
        <f ca="1">IF($N$163&lt;&gt;"", INDIRECT("'Tracker'!"&amp;ADDRESS(MATCH($N$163, Tracker[Anime Name], 0) + 2, 3)), "")</f>
        <v/>
      </c>
      <c r="Q163" s="66" t="str">
        <f ca="1">IF($N$163&lt;&gt;"", INDIRECT("'Tracker'!"&amp;ADDRESS(MATCH($N$163, Tracker[Anime Name], 0) + 2, 4)), "")</f>
        <v/>
      </c>
      <c r="R163" s="66" t="str">
        <f ca="1">IF($N$163&lt;&gt;"", INDIRECT("'Tracker'!"&amp;ADDRESS(MATCH($N$163, Tracker[Anime Name], 0) + 2, 5)), "")</f>
        <v/>
      </c>
      <c r="S163" s="66" t="str">
        <f ca="1">IF($N$163&lt;&gt;"", INDIRECT("'Tracker'!"&amp;ADDRESS(MATCH($N$163, Tracker[Anime Name], 0) + 2, 6)), "")</f>
        <v/>
      </c>
      <c r="T163" s="66" t="str">
        <f ca="1">IF($N$163&lt;&gt;"", INDIRECT("'Tracker'!"&amp;ADDRESS(MATCH($N$163, Tracker[Anime Name], 0) + 2, 7)), "")</f>
        <v/>
      </c>
      <c r="U163" s="72" t="str">
        <f ca="1">IF($N$163&lt;&gt;"", INDIRECT("'Tracker'!"&amp;ADDRESS(MATCH($N$163, Tracker[Anime Name], 0) + 2, 8)), "")</f>
        <v/>
      </c>
      <c r="V163" s="109" t="str">
        <f>IF(Completed!$C$162&lt;&gt;"",Completed!$C$162,"")</f>
        <v/>
      </c>
      <c r="W163" s="109" t="str">
        <f>IF(Completed!$D$162&lt;&gt;"",Completed!$D$162,"")</f>
        <v/>
      </c>
      <c r="X163" s="109" t="str">
        <f>IF(Completed!$E$162&lt;&gt;"",Completed!$E$162,"")</f>
        <v/>
      </c>
      <c r="Y163" s="109" t="str">
        <f>IF(Completed!$F$162&lt;&gt;"",Completed!$F$162,"")</f>
        <v/>
      </c>
      <c r="Z163" s="125" t="str">
        <f>IF(Completed!$G$162&lt;&gt;"",Completed!$G$162,"")</f>
        <v/>
      </c>
      <c r="AA163" s="136" t="str">
        <f>IF(Completed!$H$162&lt;&gt;"",Completed!$H$162,"")</f>
        <v/>
      </c>
      <c r="AB163" s="110" t="str">
        <f>IF(Completed!$I$162&lt;&gt;"",Completed!$I$162,"")</f>
        <v/>
      </c>
      <c r="AC163" s="110" t="str">
        <f>IF(Completed!$J$162&lt;&gt;"",Completed!$J$162,"")</f>
        <v/>
      </c>
      <c r="AD163" s="126" t="str">
        <f>IF(Completed!$K$162&lt;&gt;"",Completed!$K$162,"")</f>
        <v/>
      </c>
      <c r="AE163" s="127" t="str">
        <f>IF(Completed!$L$162&lt;&gt;"",Completed!$L$162,"")</f>
        <v/>
      </c>
    </row>
    <row r="164" spans="10:31">
      <c r="J164" s="65" t="str">
        <f>IF(Backlog!$A$164&lt;&gt;"",Backlog!$A$164,"")</f>
        <v/>
      </c>
      <c r="K164" s="72" t="str">
        <f>IF(Backlog!$B$164&lt;&gt;"",Backlog!$B$164,"")</f>
        <v/>
      </c>
      <c r="L164" s="123" t="str">
        <f>IF(Backlog!$C$164&lt;&gt;"",Backlog!$C$164,"")</f>
        <v/>
      </c>
      <c r="N164" s="65" t="str">
        <f>IF(Completed!$A$163&lt;&gt;"",Completed!$A$163,"")</f>
        <v/>
      </c>
      <c r="O164" s="72" t="str">
        <f>IF(Completed!$B$163&lt;&gt;"",Completed!$B$163,"")</f>
        <v/>
      </c>
      <c r="P164" s="72" t="str">
        <f ca="1">IF($N$164&lt;&gt;"", INDIRECT("'Tracker'!"&amp;ADDRESS(MATCH($N$164, Tracker[Anime Name], 0) + 2, 3)), "")</f>
        <v/>
      </c>
      <c r="Q164" s="66" t="str">
        <f ca="1">IF($N$164&lt;&gt;"", INDIRECT("'Tracker'!"&amp;ADDRESS(MATCH($N$164, Tracker[Anime Name], 0) + 2, 4)), "")</f>
        <v/>
      </c>
      <c r="R164" s="66" t="str">
        <f ca="1">IF($N$164&lt;&gt;"", INDIRECT("'Tracker'!"&amp;ADDRESS(MATCH($N$164, Tracker[Anime Name], 0) + 2, 5)), "")</f>
        <v/>
      </c>
      <c r="S164" s="66" t="str">
        <f ca="1">IF($N$164&lt;&gt;"", INDIRECT("'Tracker'!"&amp;ADDRESS(MATCH($N$164, Tracker[Anime Name], 0) + 2, 6)), "")</f>
        <v/>
      </c>
      <c r="T164" s="66" t="str">
        <f ca="1">IF($N$164&lt;&gt;"", INDIRECT("'Tracker'!"&amp;ADDRESS(MATCH($N$164, Tracker[Anime Name], 0) + 2, 7)), "")</f>
        <v/>
      </c>
      <c r="U164" s="72" t="str">
        <f ca="1">IF($N$164&lt;&gt;"", INDIRECT("'Tracker'!"&amp;ADDRESS(MATCH($N$164, Tracker[Anime Name], 0) + 2, 8)), "")</f>
        <v/>
      </c>
      <c r="V164" s="109" t="str">
        <f>IF(Completed!$C$163&lt;&gt;"",Completed!$C$163,"")</f>
        <v/>
      </c>
      <c r="W164" s="109" t="str">
        <f>IF(Completed!$D$163&lt;&gt;"",Completed!$D$163,"")</f>
        <v/>
      </c>
      <c r="X164" s="109" t="str">
        <f>IF(Completed!$E$163&lt;&gt;"",Completed!$E$163,"")</f>
        <v/>
      </c>
      <c r="Y164" s="109" t="str">
        <f>IF(Completed!$F$163&lt;&gt;"",Completed!$F$163,"")</f>
        <v/>
      </c>
      <c r="Z164" s="125" t="str">
        <f>IF(Completed!$G$163&lt;&gt;"",Completed!$G$163,"")</f>
        <v/>
      </c>
      <c r="AA164" s="136" t="str">
        <f>IF(Completed!$H$163&lt;&gt;"",Completed!$H$163,"")</f>
        <v/>
      </c>
      <c r="AB164" s="110" t="str">
        <f>IF(Completed!$I$163&lt;&gt;"",Completed!$I$163,"")</f>
        <v/>
      </c>
      <c r="AC164" s="110" t="str">
        <f>IF(Completed!$J$163&lt;&gt;"",Completed!$J$163,"")</f>
        <v/>
      </c>
      <c r="AD164" s="126" t="str">
        <f>IF(Completed!$K$163&lt;&gt;"",Completed!$K$163,"")</f>
        <v/>
      </c>
      <c r="AE164" s="127" t="str">
        <f>IF(Completed!$L$163&lt;&gt;"",Completed!$L$163,"")</f>
        <v/>
      </c>
    </row>
    <row r="165" spans="10:31">
      <c r="J165" s="65" t="str">
        <f>IF(Backlog!$A$165&lt;&gt;"",Backlog!$A$165,"")</f>
        <v/>
      </c>
      <c r="K165" s="72" t="str">
        <f>IF(Backlog!$B$165&lt;&gt;"",Backlog!$B$165,"")</f>
        <v/>
      </c>
      <c r="L165" s="123" t="str">
        <f>IF(Backlog!$C$165&lt;&gt;"",Backlog!$C$165,"")</f>
        <v/>
      </c>
      <c r="N165" s="65" t="str">
        <f>IF(Completed!$A$164&lt;&gt;"",Completed!$A$164,"")</f>
        <v/>
      </c>
      <c r="O165" s="72" t="str">
        <f>IF(Completed!$B$164&lt;&gt;"",Completed!$B$164,"")</f>
        <v/>
      </c>
      <c r="P165" s="72" t="str">
        <f ca="1">IF($N$165&lt;&gt;"", INDIRECT("'Tracker'!"&amp;ADDRESS(MATCH($N$165, Tracker[Anime Name], 0) + 2, 3)), "")</f>
        <v/>
      </c>
      <c r="Q165" s="66" t="str">
        <f ca="1">IF($N$165&lt;&gt;"", INDIRECT("'Tracker'!"&amp;ADDRESS(MATCH($N$165, Tracker[Anime Name], 0) + 2, 4)), "")</f>
        <v/>
      </c>
      <c r="R165" s="66" t="str">
        <f ca="1">IF($N$165&lt;&gt;"", INDIRECT("'Tracker'!"&amp;ADDRESS(MATCH($N$165, Tracker[Anime Name], 0) + 2, 5)), "")</f>
        <v/>
      </c>
      <c r="S165" s="66" t="str">
        <f ca="1">IF($N$165&lt;&gt;"", INDIRECT("'Tracker'!"&amp;ADDRESS(MATCH($N$165, Tracker[Anime Name], 0) + 2, 6)), "")</f>
        <v/>
      </c>
      <c r="T165" s="66" t="str">
        <f ca="1">IF($N$165&lt;&gt;"", INDIRECT("'Tracker'!"&amp;ADDRESS(MATCH($N$165, Tracker[Anime Name], 0) + 2, 7)), "")</f>
        <v/>
      </c>
      <c r="U165" s="72" t="str">
        <f ca="1">IF($N$165&lt;&gt;"", INDIRECT("'Tracker'!"&amp;ADDRESS(MATCH($N$165, Tracker[Anime Name], 0) + 2, 8)), "")</f>
        <v/>
      </c>
      <c r="V165" s="109" t="str">
        <f>IF(Completed!$C$164&lt;&gt;"",Completed!$C$164,"")</f>
        <v/>
      </c>
      <c r="W165" s="109" t="str">
        <f>IF(Completed!$D$164&lt;&gt;"",Completed!$D$164,"")</f>
        <v/>
      </c>
      <c r="X165" s="109" t="str">
        <f>IF(Completed!$E$164&lt;&gt;"",Completed!$E$164,"")</f>
        <v/>
      </c>
      <c r="Y165" s="109" t="str">
        <f>IF(Completed!$F$164&lt;&gt;"",Completed!$F$164,"")</f>
        <v/>
      </c>
      <c r="Z165" s="125" t="str">
        <f>IF(Completed!$G$164&lt;&gt;"",Completed!$G$164,"")</f>
        <v/>
      </c>
      <c r="AA165" s="136" t="str">
        <f>IF(Completed!$H$164&lt;&gt;"",Completed!$H$164,"")</f>
        <v/>
      </c>
      <c r="AB165" s="110" t="str">
        <f>IF(Completed!$I$164&lt;&gt;"",Completed!$I$164,"")</f>
        <v/>
      </c>
      <c r="AC165" s="110" t="str">
        <f>IF(Completed!$J$164&lt;&gt;"",Completed!$J$164,"")</f>
        <v/>
      </c>
      <c r="AD165" s="126" t="str">
        <f>IF(Completed!$K$164&lt;&gt;"",Completed!$K$164,"")</f>
        <v/>
      </c>
      <c r="AE165" s="127" t="str">
        <f>IF(Completed!$L$164&lt;&gt;"",Completed!$L$164,"")</f>
        <v/>
      </c>
    </row>
    <row r="166" spans="10:31">
      <c r="J166" s="65" t="str">
        <f>IF(Backlog!$A$166&lt;&gt;"",Backlog!$A$166,"")</f>
        <v/>
      </c>
      <c r="K166" s="72" t="str">
        <f>IF(Backlog!$B$166&lt;&gt;"",Backlog!$B$166,"")</f>
        <v/>
      </c>
      <c r="L166" s="123" t="str">
        <f>IF(Backlog!$C$166&lt;&gt;"",Backlog!$C$166,"")</f>
        <v/>
      </c>
      <c r="N166" s="65" t="str">
        <f>IF(Completed!$A$165&lt;&gt;"",Completed!$A$165,"")</f>
        <v/>
      </c>
      <c r="O166" s="72" t="str">
        <f>IF(Completed!$B$165&lt;&gt;"",Completed!$B$165,"")</f>
        <v/>
      </c>
      <c r="P166" s="72" t="str">
        <f ca="1">IF($N$166&lt;&gt;"", INDIRECT("'Tracker'!"&amp;ADDRESS(MATCH($N$166, Tracker[Anime Name], 0) + 2, 3)), "")</f>
        <v/>
      </c>
      <c r="Q166" s="66" t="str">
        <f ca="1">IF($N$166&lt;&gt;"", INDIRECT("'Tracker'!"&amp;ADDRESS(MATCH($N$166, Tracker[Anime Name], 0) + 2, 4)), "")</f>
        <v/>
      </c>
      <c r="R166" s="66" t="str">
        <f ca="1">IF($N$166&lt;&gt;"", INDIRECT("'Tracker'!"&amp;ADDRESS(MATCH($N$166, Tracker[Anime Name], 0) + 2, 5)), "")</f>
        <v/>
      </c>
      <c r="S166" s="66" t="str">
        <f ca="1">IF($N$166&lt;&gt;"", INDIRECT("'Tracker'!"&amp;ADDRESS(MATCH($N$166, Tracker[Anime Name], 0) + 2, 6)), "")</f>
        <v/>
      </c>
      <c r="T166" s="66" t="str">
        <f ca="1">IF($N$166&lt;&gt;"", INDIRECT("'Tracker'!"&amp;ADDRESS(MATCH($N$166, Tracker[Anime Name], 0) + 2, 7)), "")</f>
        <v/>
      </c>
      <c r="U166" s="72" t="str">
        <f ca="1">IF($N$166&lt;&gt;"", INDIRECT("'Tracker'!"&amp;ADDRESS(MATCH($N$166, Tracker[Anime Name], 0) + 2, 8)), "")</f>
        <v/>
      </c>
      <c r="V166" s="109" t="str">
        <f>IF(Completed!$C$165&lt;&gt;"",Completed!$C$165,"")</f>
        <v/>
      </c>
      <c r="W166" s="109" t="str">
        <f>IF(Completed!$D$165&lt;&gt;"",Completed!$D$165,"")</f>
        <v/>
      </c>
      <c r="X166" s="109" t="str">
        <f>IF(Completed!$E$165&lt;&gt;"",Completed!$E$165,"")</f>
        <v/>
      </c>
      <c r="Y166" s="109" t="str">
        <f>IF(Completed!$F$165&lt;&gt;"",Completed!$F$165,"")</f>
        <v/>
      </c>
      <c r="Z166" s="125" t="str">
        <f>IF(Completed!$G$165&lt;&gt;"",Completed!$G$165,"")</f>
        <v/>
      </c>
      <c r="AA166" s="136" t="str">
        <f>IF(Completed!$H$165&lt;&gt;"",Completed!$H$165,"")</f>
        <v/>
      </c>
      <c r="AB166" s="110" t="str">
        <f>IF(Completed!$I$165&lt;&gt;"",Completed!$I$165,"")</f>
        <v/>
      </c>
      <c r="AC166" s="110" t="str">
        <f>IF(Completed!$J$165&lt;&gt;"",Completed!$J$165,"")</f>
        <v/>
      </c>
      <c r="AD166" s="126" t="str">
        <f>IF(Completed!$K$165&lt;&gt;"",Completed!$K$165,"")</f>
        <v/>
      </c>
      <c r="AE166" s="127" t="str">
        <f>IF(Completed!$L$165&lt;&gt;"",Completed!$L$165,"")</f>
        <v/>
      </c>
    </row>
    <row r="167" spans="10:31">
      <c r="J167" s="65" t="str">
        <f>IF(Backlog!$A$167&lt;&gt;"",Backlog!$A$167,"")</f>
        <v/>
      </c>
      <c r="K167" s="72" t="str">
        <f>IF(Backlog!$B$167&lt;&gt;"",Backlog!$B$167,"")</f>
        <v/>
      </c>
      <c r="L167" s="123" t="str">
        <f>IF(Backlog!$C$167&lt;&gt;"",Backlog!$C$167,"")</f>
        <v/>
      </c>
      <c r="N167" s="65" t="str">
        <f>IF(Completed!$A$166&lt;&gt;"",Completed!$A$166,"")</f>
        <v/>
      </c>
      <c r="O167" s="72" t="str">
        <f>IF(Completed!$B$166&lt;&gt;"",Completed!$B$166,"")</f>
        <v/>
      </c>
      <c r="P167" s="72" t="str">
        <f ca="1">IF($N$167&lt;&gt;"", INDIRECT("'Tracker'!"&amp;ADDRESS(MATCH($N$167, Tracker[Anime Name], 0) + 2, 3)), "")</f>
        <v/>
      </c>
      <c r="Q167" s="66" t="str">
        <f ca="1">IF($N$167&lt;&gt;"", INDIRECT("'Tracker'!"&amp;ADDRESS(MATCH($N$167, Tracker[Anime Name], 0) + 2, 4)), "")</f>
        <v/>
      </c>
      <c r="R167" s="66" t="str">
        <f ca="1">IF($N$167&lt;&gt;"", INDIRECT("'Tracker'!"&amp;ADDRESS(MATCH($N$167, Tracker[Anime Name], 0) + 2, 5)), "")</f>
        <v/>
      </c>
      <c r="S167" s="66" t="str">
        <f ca="1">IF($N$167&lt;&gt;"", INDIRECT("'Tracker'!"&amp;ADDRESS(MATCH($N$167, Tracker[Anime Name], 0) + 2, 6)), "")</f>
        <v/>
      </c>
      <c r="T167" s="66" t="str">
        <f ca="1">IF($N$167&lt;&gt;"", INDIRECT("'Tracker'!"&amp;ADDRESS(MATCH($N$167, Tracker[Anime Name], 0) + 2, 7)), "")</f>
        <v/>
      </c>
      <c r="U167" s="72" t="str">
        <f ca="1">IF($N$167&lt;&gt;"", INDIRECT("'Tracker'!"&amp;ADDRESS(MATCH($N$167, Tracker[Anime Name], 0) + 2, 8)), "")</f>
        <v/>
      </c>
      <c r="V167" s="109" t="str">
        <f>IF(Completed!$C$166&lt;&gt;"",Completed!$C$166,"")</f>
        <v/>
      </c>
      <c r="W167" s="109" t="str">
        <f>IF(Completed!$D$166&lt;&gt;"",Completed!$D$166,"")</f>
        <v/>
      </c>
      <c r="X167" s="109" t="str">
        <f>IF(Completed!$E$166&lt;&gt;"",Completed!$E$166,"")</f>
        <v/>
      </c>
      <c r="Y167" s="109" t="str">
        <f>IF(Completed!$F$166&lt;&gt;"",Completed!$F$166,"")</f>
        <v/>
      </c>
      <c r="Z167" s="125" t="str">
        <f>IF(Completed!$G$166&lt;&gt;"",Completed!$G$166,"")</f>
        <v/>
      </c>
      <c r="AA167" s="136" t="str">
        <f>IF(Completed!$H$166&lt;&gt;"",Completed!$H$166,"")</f>
        <v/>
      </c>
      <c r="AB167" s="110" t="str">
        <f>IF(Completed!$I$166&lt;&gt;"",Completed!$I$166,"")</f>
        <v/>
      </c>
      <c r="AC167" s="110" t="str">
        <f>IF(Completed!$J$166&lt;&gt;"",Completed!$J$166,"")</f>
        <v/>
      </c>
      <c r="AD167" s="126" t="str">
        <f>IF(Completed!$K$166&lt;&gt;"",Completed!$K$166,"")</f>
        <v/>
      </c>
      <c r="AE167" s="127" t="str">
        <f>IF(Completed!$L$166&lt;&gt;"",Completed!$L$166,"")</f>
        <v/>
      </c>
    </row>
    <row r="168" spans="10:31">
      <c r="J168" s="65" t="str">
        <f>IF(Backlog!$A$168&lt;&gt;"",Backlog!$A$168,"")</f>
        <v/>
      </c>
      <c r="K168" s="72" t="str">
        <f>IF(Backlog!$B$168&lt;&gt;"",Backlog!$B$168,"")</f>
        <v/>
      </c>
      <c r="L168" s="123" t="str">
        <f>IF(Backlog!$C$168&lt;&gt;"",Backlog!$C$168,"")</f>
        <v/>
      </c>
      <c r="N168" s="65" t="str">
        <f>IF(Completed!$A$167&lt;&gt;"",Completed!$A$167,"")</f>
        <v/>
      </c>
      <c r="O168" s="72" t="str">
        <f>IF(Completed!$B$167&lt;&gt;"",Completed!$B$167,"")</f>
        <v/>
      </c>
      <c r="P168" s="72" t="str">
        <f ca="1">IF($N$168&lt;&gt;"", INDIRECT("'Tracker'!"&amp;ADDRESS(MATCH($N$168, Tracker[Anime Name], 0) + 2, 3)), "")</f>
        <v/>
      </c>
      <c r="Q168" s="66" t="str">
        <f ca="1">IF($N$168&lt;&gt;"", INDIRECT("'Tracker'!"&amp;ADDRESS(MATCH($N$168, Tracker[Anime Name], 0) + 2, 4)), "")</f>
        <v/>
      </c>
      <c r="R168" s="66" t="str">
        <f ca="1">IF($N$168&lt;&gt;"", INDIRECT("'Tracker'!"&amp;ADDRESS(MATCH($N$168, Tracker[Anime Name], 0) + 2, 5)), "")</f>
        <v/>
      </c>
      <c r="S168" s="66" t="str">
        <f ca="1">IF($N$168&lt;&gt;"", INDIRECT("'Tracker'!"&amp;ADDRESS(MATCH($N$168, Tracker[Anime Name], 0) + 2, 6)), "")</f>
        <v/>
      </c>
      <c r="T168" s="66" t="str">
        <f ca="1">IF($N$168&lt;&gt;"", INDIRECT("'Tracker'!"&amp;ADDRESS(MATCH($N$168, Tracker[Anime Name], 0) + 2, 7)), "")</f>
        <v/>
      </c>
      <c r="U168" s="72" t="str">
        <f ca="1">IF($N$168&lt;&gt;"", INDIRECT("'Tracker'!"&amp;ADDRESS(MATCH($N$168, Tracker[Anime Name], 0) + 2, 8)), "")</f>
        <v/>
      </c>
      <c r="V168" s="109" t="str">
        <f>IF(Completed!$C$167&lt;&gt;"",Completed!$C$167,"")</f>
        <v/>
      </c>
      <c r="W168" s="109" t="str">
        <f>IF(Completed!$D$167&lt;&gt;"",Completed!$D$167,"")</f>
        <v/>
      </c>
      <c r="X168" s="109" t="str">
        <f>IF(Completed!$E$167&lt;&gt;"",Completed!$E$167,"")</f>
        <v/>
      </c>
      <c r="Y168" s="109" t="str">
        <f>IF(Completed!$F$167&lt;&gt;"",Completed!$F$167,"")</f>
        <v/>
      </c>
      <c r="Z168" s="125" t="str">
        <f>IF(Completed!$G$167&lt;&gt;"",Completed!$G$167,"")</f>
        <v/>
      </c>
      <c r="AA168" s="136" t="str">
        <f>IF(Completed!$H$167&lt;&gt;"",Completed!$H$167,"")</f>
        <v/>
      </c>
      <c r="AB168" s="110" t="str">
        <f>IF(Completed!$I$167&lt;&gt;"",Completed!$I$167,"")</f>
        <v/>
      </c>
      <c r="AC168" s="110" t="str">
        <f>IF(Completed!$J$167&lt;&gt;"",Completed!$J$167,"")</f>
        <v/>
      </c>
      <c r="AD168" s="126" t="str">
        <f>IF(Completed!$K$167&lt;&gt;"",Completed!$K$167,"")</f>
        <v/>
      </c>
      <c r="AE168" s="127" t="str">
        <f>IF(Completed!$L$167&lt;&gt;"",Completed!$L$167,"")</f>
        <v/>
      </c>
    </row>
    <row r="169" spans="10:31">
      <c r="J169" s="65" t="str">
        <f>IF(Backlog!$A$169&lt;&gt;"",Backlog!$A$169,"")</f>
        <v/>
      </c>
      <c r="K169" s="72" t="str">
        <f>IF(Backlog!$B$169&lt;&gt;"",Backlog!$B$169,"")</f>
        <v/>
      </c>
      <c r="L169" s="123" t="str">
        <f>IF(Backlog!$C$169&lt;&gt;"",Backlog!$C$169,"")</f>
        <v/>
      </c>
      <c r="N169" s="65" t="str">
        <f>IF(Completed!$A$168&lt;&gt;"",Completed!$A$168,"")</f>
        <v/>
      </c>
      <c r="O169" s="72" t="str">
        <f>IF(Completed!$B$168&lt;&gt;"",Completed!$B$168,"")</f>
        <v/>
      </c>
      <c r="P169" s="72" t="str">
        <f ca="1">IF($N$169&lt;&gt;"", INDIRECT("'Tracker'!"&amp;ADDRESS(MATCH($N$169, Tracker[Anime Name], 0) + 2, 3)), "")</f>
        <v/>
      </c>
      <c r="Q169" s="66" t="str">
        <f ca="1">IF($N$169&lt;&gt;"", INDIRECT("'Tracker'!"&amp;ADDRESS(MATCH($N$169, Tracker[Anime Name], 0) + 2, 4)), "")</f>
        <v/>
      </c>
      <c r="R169" s="66" t="str">
        <f ca="1">IF($N$169&lt;&gt;"", INDIRECT("'Tracker'!"&amp;ADDRESS(MATCH($N$169, Tracker[Anime Name], 0) + 2, 5)), "")</f>
        <v/>
      </c>
      <c r="S169" s="66" t="str">
        <f ca="1">IF($N$169&lt;&gt;"", INDIRECT("'Tracker'!"&amp;ADDRESS(MATCH($N$169, Tracker[Anime Name], 0) + 2, 6)), "")</f>
        <v/>
      </c>
      <c r="T169" s="66" t="str">
        <f ca="1">IF($N$169&lt;&gt;"", INDIRECT("'Tracker'!"&amp;ADDRESS(MATCH($N$169, Tracker[Anime Name], 0) + 2, 7)), "")</f>
        <v/>
      </c>
      <c r="U169" s="72" t="str">
        <f ca="1">IF($N$169&lt;&gt;"", INDIRECT("'Tracker'!"&amp;ADDRESS(MATCH($N$169, Tracker[Anime Name], 0) + 2, 8)), "")</f>
        <v/>
      </c>
      <c r="V169" s="109" t="str">
        <f>IF(Completed!$C$168&lt;&gt;"",Completed!$C$168,"")</f>
        <v/>
      </c>
      <c r="W169" s="109" t="str">
        <f>IF(Completed!$D$168&lt;&gt;"",Completed!$D$168,"")</f>
        <v/>
      </c>
      <c r="X169" s="109" t="str">
        <f>IF(Completed!$E$168&lt;&gt;"",Completed!$E$168,"")</f>
        <v/>
      </c>
      <c r="Y169" s="109" t="str">
        <f>IF(Completed!$F$168&lt;&gt;"",Completed!$F$168,"")</f>
        <v/>
      </c>
      <c r="Z169" s="125" t="str">
        <f>IF(Completed!$G$168&lt;&gt;"",Completed!$G$168,"")</f>
        <v/>
      </c>
      <c r="AA169" s="136" t="str">
        <f>IF(Completed!$H$168&lt;&gt;"",Completed!$H$168,"")</f>
        <v/>
      </c>
      <c r="AB169" s="110" t="str">
        <f>IF(Completed!$I$168&lt;&gt;"",Completed!$I$168,"")</f>
        <v/>
      </c>
      <c r="AC169" s="110" t="str">
        <f>IF(Completed!$J$168&lt;&gt;"",Completed!$J$168,"")</f>
        <v/>
      </c>
      <c r="AD169" s="126" t="str">
        <f>IF(Completed!$K$168&lt;&gt;"",Completed!$K$168,"")</f>
        <v/>
      </c>
      <c r="AE169" s="127" t="str">
        <f>IF(Completed!$L$168&lt;&gt;"",Completed!$L$168,"")</f>
        <v/>
      </c>
    </row>
    <row r="170" spans="10:31">
      <c r="J170" s="65" t="str">
        <f>IF(Backlog!$A$170&lt;&gt;"",Backlog!$A$170,"")</f>
        <v/>
      </c>
      <c r="K170" s="72" t="str">
        <f>IF(Backlog!$B$170&lt;&gt;"",Backlog!$B$170,"")</f>
        <v/>
      </c>
      <c r="L170" s="123" t="str">
        <f>IF(Backlog!$C$170&lt;&gt;"",Backlog!$C$170,"")</f>
        <v/>
      </c>
      <c r="N170" s="65" t="str">
        <f>IF(Completed!$A$169&lt;&gt;"",Completed!$A$169,"")</f>
        <v/>
      </c>
      <c r="O170" s="72" t="str">
        <f>IF(Completed!$B$169&lt;&gt;"",Completed!$B$169,"")</f>
        <v/>
      </c>
      <c r="P170" s="72" t="str">
        <f ca="1">IF($N$170&lt;&gt;"", INDIRECT("'Tracker'!"&amp;ADDRESS(MATCH($N$170, Tracker[Anime Name], 0) + 2, 3)), "")</f>
        <v/>
      </c>
      <c r="Q170" s="66" t="str">
        <f ca="1">IF($N$170&lt;&gt;"", INDIRECT("'Tracker'!"&amp;ADDRESS(MATCH($N$170, Tracker[Anime Name], 0) + 2, 4)), "")</f>
        <v/>
      </c>
      <c r="R170" s="66" t="str">
        <f ca="1">IF($N$170&lt;&gt;"", INDIRECT("'Tracker'!"&amp;ADDRESS(MATCH($N$170, Tracker[Anime Name], 0) + 2, 5)), "")</f>
        <v/>
      </c>
      <c r="S170" s="66" t="str">
        <f ca="1">IF($N$170&lt;&gt;"", INDIRECT("'Tracker'!"&amp;ADDRESS(MATCH($N$170, Tracker[Anime Name], 0) + 2, 6)), "")</f>
        <v/>
      </c>
      <c r="T170" s="66" t="str">
        <f ca="1">IF($N$170&lt;&gt;"", INDIRECT("'Tracker'!"&amp;ADDRESS(MATCH($N$170, Tracker[Anime Name], 0) + 2, 7)), "")</f>
        <v/>
      </c>
      <c r="U170" s="72" t="str">
        <f ca="1">IF($N$170&lt;&gt;"", INDIRECT("'Tracker'!"&amp;ADDRESS(MATCH($N$170, Tracker[Anime Name], 0) + 2, 8)), "")</f>
        <v/>
      </c>
      <c r="V170" s="109" t="str">
        <f>IF(Completed!$C$169&lt;&gt;"",Completed!$C$169,"")</f>
        <v/>
      </c>
      <c r="W170" s="109" t="str">
        <f>IF(Completed!$D$169&lt;&gt;"",Completed!$D$169,"")</f>
        <v/>
      </c>
      <c r="X170" s="109" t="str">
        <f>IF(Completed!$E$169&lt;&gt;"",Completed!$E$169,"")</f>
        <v/>
      </c>
      <c r="Y170" s="109" t="str">
        <f>IF(Completed!$F$169&lt;&gt;"",Completed!$F$169,"")</f>
        <v/>
      </c>
      <c r="Z170" s="125" t="str">
        <f>IF(Completed!$G$169&lt;&gt;"",Completed!$G$169,"")</f>
        <v/>
      </c>
      <c r="AA170" s="136" t="str">
        <f>IF(Completed!$H$169&lt;&gt;"",Completed!$H$169,"")</f>
        <v/>
      </c>
      <c r="AB170" s="110" t="str">
        <f>IF(Completed!$I$169&lt;&gt;"",Completed!$I$169,"")</f>
        <v/>
      </c>
      <c r="AC170" s="110" t="str">
        <f>IF(Completed!$J$169&lt;&gt;"",Completed!$J$169,"")</f>
        <v/>
      </c>
      <c r="AD170" s="126" t="str">
        <f>IF(Completed!$K$169&lt;&gt;"",Completed!$K$169,"")</f>
        <v/>
      </c>
      <c r="AE170" s="127" t="str">
        <f>IF(Completed!$L$169&lt;&gt;"",Completed!$L$169,"")</f>
        <v/>
      </c>
    </row>
    <row r="171" spans="10:31">
      <c r="J171" s="65" t="str">
        <f>IF(Backlog!$A$171&lt;&gt;"",Backlog!$A$171,"")</f>
        <v/>
      </c>
      <c r="K171" s="72" t="str">
        <f>IF(Backlog!$B$171&lt;&gt;"",Backlog!$B$171,"")</f>
        <v/>
      </c>
      <c r="L171" s="123" t="str">
        <f>IF(Backlog!$C$171&lt;&gt;"",Backlog!$C$171,"")</f>
        <v/>
      </c>
      <c r="N171" s="65" t="str">
        <f>IF(Completed!$A$170&lt;&gt;"",Completed!$A$170,"")</f>
        <v/>
      </c>
      <c r="O171" s="72" t="str">
        <f>IF(Completed!$B$170&lt;&gt;"",Completed!$B$170,"")</f>
        <v/>
      </c>
      <c r="P171" s="72" t="str">
        <f ca="1">IF($N$171&lt;&gt;"", INDIRECT("'Tracker'!"&amp;ADDRESS(MATCH($N$171, Tracker[Anime Name], 0) + 2, 3)), "")</f>
        <v/>
      </c>
      <c r="Q171" s="66" t="str">
        <f ca="1">IF($N$171&lt;&gt;"", INDIRECT("'Tracker'!"&amp;ADDRESS(MATCH($N$171, Tracker[Anime Name], 0) + 2, 4)), "")</f>
        <v/>
      </c>
      <c r="R171" s="66" t="str">
        <f ca="1">IF($N$171&lt;&gt;"", INDIRECT("'Tracker'!"&amp;ADDRESS(MATCH($N$171, Tracker[Anime Name], 0) + 2, 5)), "")</f>
        <v/>
      </c>
      <c r="S171" s="66" t="str">
        <f ca="1">IF($N$171&lt;&gt;"", INDIRECT("'Tracker'!"&amp;ADDRESS(MATCH($N$171, Tracker[Anime Name], 0) + 2, 6)), "")</f>
        <v/>
      </c>
      <c r="T171" s="66" t="str">
        <f ca="1">IF($N$171&lt;&gt;"", INDIRECT("'Tracker'!"&amp;ADDRESS(MATCH($N$171, Tracker[Anime Name], 0) + 2, 7)), "")</f>
        <v/>
      </c>
      <c r="U171" s="72" t="str">
        <f ca="1">IF($N$171&lt;&gt;"", INDIRECT("'Tracker'!"&amp;ADDRESS(MATCH($N$171, Tracker[Anime Name], 0) + 2, 8)), "")</f>
        <v/>
      </c>
      <c r="V171" s="109" t="str">
        <f>IF(Completed!$C$170&lt;&gt;"",Completed!$C$170,"")</f>
        <v/>
      </c>
      <c r="W171" s="109" t="str">
        <f>IF(Completed!$D$170&lt;&gt;"",Completed!$D$170,"")</f>
        <v/>
      </c>
      <c r="X171" s="109" t="str">
        <f>IF(Completed!$E$170&lt;&gt;"",Completed!$E$170,"")</f>
        <v/>
      </c>
      <c r="Y171" s="109" t="str">
        <f>IF(Completed!$F$170&lt;&gt;"",Completed!$F$170,"")</f>
        <v/>
      </c>
      <c r="Z171" s="125" t="str">
        <f>IF(Completed!$G$170&lt;&gt;"",Completed!$G$170,"")</f>
        <v/>
      </c>
      <c r="AA171" s="136" t="str">
        <f>IF(Completed!$H$170&lt;&gt;"",Completed!$H$170,"")</f>
        <v/>
      </c>
      <c r="AB171" s="110" t="str">
        <f>IF(Completed!$I$170&lt;&gt;"",Completed!$I$170,"")</f>
        <v/>
      </c>
      <c r="AC171" s="110" t="str">
        <f>IF(Completed!$J$170&lt;&gt;"",Completed!$J$170,"")</f>
        <v/>
      </c>
      <c r="AD171" s="126" t="str">
        <f>IF(Completed!$K$170&lt;&gt;"",Completed!$K$170,"")</f>
        <v/>
      </c>
      <c r="AE171" s="127" t="str">
        <f>IF(Completed!$L$170&lt;&gt;"",Completed!$L$170,"")</f>
        <v/>
      </c>
    </row>
    <row r="172" spans="10:31">
      <c r="J172" s="65" t="str">
        <f>IF(Backlog!$A$172&lt;&gt;"",Backlog!$A$172,"")</f>
        <v/>
      </c>
      <c r="K172" s="72" t="str">
        <f>IF(Backlog!$B$172&lt;&gt;"",Backlog!$B$172,"")</f>
        <v/>
      </c>
      <c r="L172" s="123" t="str">
        <f>IF(Backlog!$C$172&lt;&gt;"",Backlog!$C$172,"")</f>
        <v/>
      </c>
      <c r="N172" s="65" t="str">
        <f>IF(Completed!$A$171&lt;&gt;"",Completed!$A$171,"")</f>
        <v/>
      </c>
      <c r="O172" s="72" t="str">
        <f>IF(Completed!$B$171&lt;&gt;"",Completed!$B$171,"")</f>
        <v/>
      </c>
      <c r="P172" s="72" t="str">
        <f ca="1">IF($N$172&lt;&gt;"", INDIRECT("'Tracker'!"&amp;ADDRESS(MATCH($N$172, Tracker[Anime Name], 0) + 2, 3)), "")</f>
        <v/>
      </c>
      <c r="Q172" s="66" t="str">
        <f ca="1">IF($N$172&lt;&gt;"", INDIRECT("'Tracker'!"&amp;ADDRESS(MATCH($N$172, Tracker[Anime Name], 0) + 2, 4)), "")</f>
        <v/>
      </c>
      <c r="R172" s="66" t="str">
        <f ca="1">IF($N$172&lt;&gt;"", INDIRECT("'Tracker'!"&amp;ADDRESS(MATCH($N$172, Tracker[Anime Name], 0) + 2, 5)), "")</f>
        <v/>
      </c>
      <c r="S172" s="66" t="str">
        <f ca="1">IF($N$172&lt;&gt;"", INDIRECT("'Tracker'!"&amp;ADDRESS(MATCH($N$172, Tracker[Anime Name], 0) + 2, 6)), "")</f>
        <v/>
      </c>
      <c r="T172" s="66" t="str">
        <f ca="1">IF($N$172&lt;&gt;"", INDIRECT("'Tracker'!"&amp;ADDRESS(MATCH($N$172, Tracker[Anime Name], 0) + 2, 7)), "")</f>
        <v/>
      </c>
      <c r="U172" s="72" t="str">
        <f ca="1">IF($N$172&lt;&gt;"", INDIRECT("'Tracker'!"&amp;ADDRESS(MATCH($N$172, Tracker[Anime Name], 0) + 2, 8)), "")</f>
        <v/>
      </c>
      <c r="V172" s="109" t="str">
        <f>IF(Completed!$C$171&lt;&gt;"",Completed!$C$171,"")</f>
        <v/>
      </c>
      <c r="W172" s="109" t="str">
        <f>IF(Completed!$D$171&lt;&gt;"",Completed!$D$171,"")</f>
        <v/>
      </c>
      <c r="X172" s="109" t="str">
        <f>IF(Completed!$E$171&lt;&gt;"",Completed!$E$171,"")</f>
        <v/>
      </c>
      <c r="Y172" s="109" t="str">
        <f>IF(Completed!$F$171&lt;&gt;"",Completed!$F$171,"")</f>
        <v/>
      </c>
      <c r="Z172" s="125" t="str">
        <f>IF(Completed!$G$171&lt;&gt;"",Completed!$G$171,"")</f>
        <v/>
      </c>
      <c r="AA172" s="136" t="str">
        <f>IF(Completed!$H$171&lt;&gt;"",Completed!$H$171,"")</f>
        <v/>
      </c>
      <c r="AB172" s="110" t="str">
        <f>IF(Completed!$I$171&lt;&gt;"",Completed!$I$171,"")</f>
        <v/>
      </c>
      <c r="AC172" s="110" t="str">
        <f>IF(Completed!$J$171&lt;&gt;"",Completed!$J$171,"")</f>
        <v/>
      </c>
      <c r="AD172" s="126" t="str">
        <f>IF(Completed!$K$171&lt;&gt;"",Completed!$K$171,"")</f>
        <v/>
      </c>
      <c r="AE172" s="127" t="str">
        <f>IF(Completed!$L$171&lt;&gt;"",Completed!$L$171,"")</f>
        <v/>
      </c>
    </row>
    <row r="173" spans="10:31">
      <c r="J173" s="65" t="str">
        <f>IF(Backlog!$A$173&lt;&gt;"",Backlog!$A$173,"")</f>
        <v/>
      </c>
      <c r="K173" s="72" t="str">
        <f>IF(Backlog!$B$173&lt;&gt;"",Backlog!$B$173,"")</f>
        <v/>
      </c>
      <c r="L173" s="123" t="str">
        <f>IF(Backlog!$C$173&lt;&gt;"",Backlog!$C$173,"")</f>
        <v/>
      </c>
      <c r="N173" s="65" t="str">
        <f>IF(Completed!$A$172&lt;&gt;"",Completed!$A$172,"")</f>
        <v/>
      </c>
      <c r="O173" s="72" t="str">
        <f>IF(Completed!$B$172&lt;&gt;"",Completed!$B$172,"")</f>
        <v/>
      </c>
      <c r="P173" s="72" t="str">
        <f ca="1">IF($N$173&lt;&gt;"", INDIRECT("'Tracker'!"&amp;ADDRESS(MATCH($N$173, Tracker[Anime Name], 0) + 2, 3)), "")</f>
        <v/>
      </c>
      <c r="Q173" s="66" t="str">
        <f ca="1">IF($N$173&lt;&gt;"", INDIRECT("'Tracker'!"&amp;ADDRESS(MATCH($N$173, Tracker[Anime Name], 0) + 2, 4)), "")</f>
        <v/>
      </c>
      <c r="R173" s="66" t="str">
        <f ca="1">IF($N$173&lt;&gt;"", INDIRECT("'Tracker'!"&amp;ADDRESS(MATCH($N$173, Tracker[Anime Name], 0) + 2, 5)), "")</f>
        <v/>
      </c>
      <c r="S173" s="66" t="str">
        <f ca="1">IF($N$173&lt;&gt;"", INDIRECT("'Tracker'!"&amp;ADDRESS(MATCH($N$173, Tracker[Anime Name], 0) + 2, 6)), "")</f>
        <v/>
      </c>
      <c r="T173" s="66" t="str">
        <f ca="1">IF($N$173&lt;&gt;"", INDIRECT("'Tracker'!"&amp;ADDRESS(MATCH($N$173, Tracker[Anime Name], 0) + 2, 7)), "")</f>
        <v/>
      </c>
      <c r="U173" s="72" t="str">
        <f ca="1">IF($N$173&lt;&gt;"", INDIRECT("'Tracker'!"&amp;ADDRESS(MATCH($N$173, Tracker[Anime Name], 0) + 2, 8)), "")</f>
        <v/>
      </c>
      <c r="V173" s="109" t="str">
        <f>IF(Completed!$C$172&lt;&gt;"",Completed!$C$172,"")</f>
        <v/>
      </c>
      <c r="W173" s="109" t="str">
        <f>IF(Completed!$D$172&lt;&gt;"",Completed!$D$172,"")</f>
        <v/>
      </c>
      <c r="X173" s="109" t="str">
        <f>IF(Completed!$E$172&lt;&gt;"",Completed!$E$172,"")</f>
        <v/>
      </c>
      <c r="Y173" s="109" t="str">
        <f>IF(Completed!$F$172&lt;&gt;"",Completed!$F$172,"")</f>
        <v/>
      </c>
      <c r="Z173" s="125" t="str">
        <f>IF(Completed!$G$172&lt;&gt;"",Completed!$G$172,"")</f>
        <v/>
      </c>
      <c r="AA173" s="136" t="str">
        <f>IF(Completed!$H$172&lt;&gt;"",Completed!$H$172,"")</f>
        <v/>
      </c>
      <c r="AB173" s="110" t="str">
        <f>IF(Completed!$I$172&lt;&gt;"",Completed!$I$172,"")</f>
        <v/>
      </c>
      <c r="AC173" s="110" t="str">
        <f>IF(Completed!$J$172&lt;&gt;"",Completed!$J$172,"")</f>
        <v/>
      </c>
      <c r="AD173" s="126" t="str">
        <f>IF(Completed!$K$172&lt;&gt;"",Completed!$K$172,"")</f>
        <v/>
      </c>
      <c r="AE173" s="127" t="str">
        <f>IF(Completed!$L$172&lt;&gt;"",Completed!$L$172,"")</f>
        <v/>
      </c>
    </row>
    <row r="174" spans="10:31">
      <c r="J174" s="65" t="str">
        <f>IF(Backlog!$A$174&lt;&gt;"",Backlog!$A$174,"")</f>
        <v/>
      </c>
      <c r="K174" s="72" t="str">
        <f>IF(Backlog!$B$174&lt;&gt;"",Backlog!$B$174,"")</f>
        <v/>
      </c>
      <c r="L174" s="123" t="str">
        <f>IF(Backlog!$C$174&lt;&gt;"",Backlog!$C$174,"")</f>
        <v/>
      </c>
      <c r="N174" s="65" t="str">
        <f>IF(Completed!$A$173&lt;&gt;"",Completed!$A$173,"")</f>
        <v/>
      </c>
      <c r="O174" s="72" t="str">
        <f>IF(Completed!$B$173&lt;&gt;"",Completed!$B$173,"")</f>
        <v/>
      </c>
      <c r="P174" s="72" t="str">
        <f ca="1">IF($N$174&lt;&gt;"", INDIRECT("'Tracker'!"&amp;ADDRESS(MATCH($N$174, Tracker[Anime Name], 0) + 2, 3)), "")</f>
        <v/>
      </c>
      <c r="Q174" s="66" t="str">
        <f ca="1">IF($N$174&lt;&gt;"", INDIRECT("'Tracker'!"&amp;ADDRESS(MATCH($N$174, Tracker[Anime Name], 0) + 2, 4)), "")</f>
        <v/>
      </c>
      <c r="R174" s="66" t="str">
        <f ca="1">IF($N$174&lt;&gt;"", INDIRECT("'Tracker'!"&amp;ADDRESS(MATCH($N$174, Tracker[Anime Name], 0) + 2, 5)), "")</f>
        <v/>
      </c>
      <c r="S174" s="66" t="str">
        <f ca="1">IF($N$174&lt;&gt;"", INDIRECT("'Tracker'!"&amp;ADDRESS(MATCH($N$174, Tracker[Anime Name], 0) + 2, 6)), "")</f>
        <v/>
      </c>
      <c r="T174" s="66" t="str">
        <f ca="1">IF($N$174&lt;&gt;"", INDIRECT("'Tracker'!"&amp;ADDRESS(MATCH($N$174, Tracker[Anime Name], 0) + 2, 7)), "")</f>
        <v/>
      </c>
      <c r="U174" s="72" t="str">
        <f ca="1">IF($N$174&lt;&gt;"", INDIRECT("'Tracker'!"&amp;ADDRESS(MATCH($N$174, Tracker[Anime Name], 0) + 2, 8)), "")</f>
        <v/>
      </c>
      <c r="V174" s="109" t="str">
        <f>IF(Completed!$C$173&lt;&gt;"",Completed!$C$173,"")</f>
        <v/>
      </c>
      <c r="W174" s="109" t="str">
        <f>IF(Completed!$D$173&lt;&gt;"",Completed!$D$173,"")</f>
        <v/>
      </c>
      <c r="X174" s="109" t="str">
        <f>IF(Completed!$E$173&lt;&gt;"",Completed!$E$173,"")</f>
        <v/>
      </c>
      <c r="Y174" s="109" t="str">
        <f>IF(Completed!$F$173&lt;&gt;"",Completed!$F$173,"")</f>
        <v/>
      </c>
      <c r="Z174" s="125" t="str">
        <f>IF(Completed!$G$173&lt;&gt;"",Completed!$G$173,"")</f>
        <v/>
      </c>
      <c r="AA174" s="136" t="str">
        <f>IF(Completed!$H$173&lt;&gt;"",Completed!$H$173,"")</f>
        <v/>
      </c>
      <c r="AB174" s="110" t="str">
        <f>IF(Completed!$I$173&lt;&gt;"",Completed!$I$173,"")</f>
        <v/>
      </c>
      <c r="AC174" s="110" t="str">
        <f>IF(Completed!$J$173&lt;&gt;"",Completed!$J$173,"")</f>
        <v/>
      </c>
      <c r="AD174" s="126" t="str">
        <f>IF(Completed!$K$173&lt;&gt;"",Completed!$K$173,"")</f>
        <v/>
      </c>
      <c r="AE174" s="127" t="str">
        <f>IF(Completed!$L$173&lt;&gt;"",Completed!$L$173,"")</f>
        <v/>
      </c>
    </row>
    <row r="175" spans="10:31">
      <c r="J175" s="65" t="str">
        <f>IF(Backlog!$A$175&lt;&gt;"",Backlog!$A$175,"")</f>
        <v/>
      </c>
      <c r="K175" s="72" t="str">
        <f>IF(Backlog!$B$175&lt;&gt;"",Backlog!$B$175,"")</f>
        <v/>
      </c>
      <c r="L175" s="123" t="str">
        <f>IF(Backlog!$C$175&lt;&gt;"",Backlog!$C$175,"")</f>
        <v/>
      </c>
      <c r="N175" s="65" t="str">
        <f>IF(Completed!$A$174&lt;&gt;"",Completed!$A$174,"")</f>
        <v/>
      </c>
      <c r="O175" s="72" t="str">
        <f>IF(Completed!$B$174&lt;&gt;"",Completed!$B$174,"")</f>
        <v/>
      </c>
      <c r="P175" s="72" t="str">
        <f ca="1">IF($N$175&lt;&gt;"", INDIRECT("'Tracker'!"&amp;ADDRESS(MATCH($N$175, Tracker[Anime Name], 0) + 2, 3)), "")</f>
        <v/>
      </c>
      <c r="Q175" s="66" t="str">
        <f ca="1">IF($N$175&lt;&gt;"", INDIRECT("'Tracker'!"&amp;ADDRESS(MATCH($N$175, Tracker[Anime Name], 0) + 2, 4)), "")</f>
        <v/>
      </c>
      <c r="R175" s="66" t="str">
        <f ca="1">IF($N$175&lt;&gt;"", INDIRECT("'Tracker'!"&amp;ADDRESS(MATCH($N$175, Tracker[Anime Name], 0) + 2, 5)), "")</f>
        <v/>
      </c>
      <c r="S175" s="66" t="str">
        <f ca="1">IF($N$175&lt;&gt;"", INDIRECT("'Tracker'!"&amp;ADDRESS(MATCH($N$175, Tracker[Anime Name], 0) + 2, 6)), "")</f>
        <v/>
      </c>
      <c r="T175" s="66" t="str">
        <f ca="1">IF($N$175&lt;&gt;"", INDIRECT("'Tracker'!"&amp;ADDRESS(MATCH($N$175, Tracker[Anime Name], 0) + 2, 7)), "")</f>
        <v/>
      </c>
      <c r="U175" s="72" t="str">
        <f ca="1">IF($N$175&lt;&gt;"", INDIRECT("'Tracker'!"&amp;ADDRESS(MATCH($N$175, Tracker[Anime Name], 0) + 2, 8)), "")</f>
        <v/>
      </c>
      <c r="V175" s="109" t="str">
        <f>IF(Completed!$C$174&lt;&gt;"",Completed!$C$174,"")</f>
        <v/>
      </c>
      <c r="W175" s="109" t="str">
        <f>IF(Completed!$D$174&lt;&gt;"",Completed!$D$174,"")</f>
        <v/>
      </c>
      <c r="X175" s="109" t="str">
        <f>IF(Completed!$E$174&lt;&gt;"",Completed!$E$174,"")</f>
        <v/>
      </c>
      <c r="Y175" s="109" t="str">
        <f>IF(Completed!$F$174&lt;&gt;"",Completed!$F$174,"")</f>
        <v/>
      </c>
      <c r="Z175" s="125" t="str">
        <f>IF(Completed!$G$174&lt;&gt;"",Completed!$G$174,"")</f>
        <v/>
      </c>
      <c r="AA175" s="136" t="str">
        <f>IF(Completed!$H$174&lt;&gt;"",Completed!$H$174,"")</f>
        <v/>
      </c>
      <c r="AB175" s="110" t="str">
        <f>IF(Completed!$I$174&lt;&gt;"",Completed!$I$174,"")</f>
        <v/>
      </c>
      <c r="AC175" s="110" t="str">
        <f>IF(Completed!$J$174&lt;&gt;"",Completed!$J$174,"")</f>
        <v/>
      </c>
      <c r="AD175" s="126" t="str">
        <f>IF(Completed!$K$174&lt;&gt;"",Completed!$K$174,"")</f>
        <v/>
      </c>
      <c r="AE175" s="127" t="str">
        <f>IF(Completed!$L$174&lt;&gt;"",Completed!$L$174,"")</f>
        <v/>
      </c>
    </row>
    <row r="176" spans="10:31">
      <c r="J176" s="65" t="str">
        <f>IF(Backlog!$A$176&lt;&gt;"",Backlog!$A$176,"")</f>
        <v/>
      </c>
      <c r="K176" s="72" t="str">
        <f>IF(Backlog!$B$176&lt;&gt;"",Backlog!$B$176,"")</f>
        <v/>
      </c>
      <c r="L176" s="123" t="str">
        <f>IF(Backlog!$C$176&lt;&gt;"",Backlog!$C$176,"")</f>
        <v/>
      </c>
      <c r="N176" s="65" t="str">
        <f>IF(Completed!$A$175&lt;&gt;"",Completed!$A$175,"")</f>
        <v/>
      </c>
      <c r="O176" s="72" t="str">
        <f>IF(Completed!$B$175&lt;&gt;"",Completed!$B$175,"")</f>
        <v/>
      </c>
      <c r="P176" s="72" t="str">
        <f ca="1">IF($N$176&lt;&gt;"", INDIRECT("'Tracker'!"&amp;ADDRESS(MATCH($N$176, Tracker[Anime Name], 0) + 2, 3)), "")</f>
        <v/>
      </c>
      <c r="Q176" s="66" t="str">
        <f ca="1">IF($N$176&lt;&gt;"", INDIRECT("'Tracker'!"&amp;ADDRESS(MATCH($N$176, Tracker[Anime Name], 0) + 2, 4)), "")</f>
        <v/>
      </c>
      <c r="R176" s="66" t="str">
        <f ca="1">IF($N$176&lt;&gt;"", INDIRECT("'Tracker'!"&amp;ADDRESS(MATCH($N$176, Tracker[Anime Name], 0) + 2, 5)), "")</f>
        <v/>
      </c>
      <c r="S176" s="66" t="str">
        <f ca="1">IF($N$176&lt;&gt;"", INDIRECT("'Tracker'!"&amp;ADDRESS(MATCH($N$176, Tracker[Anime Name], 0) + 2, 6)), "")</f>
        <v/>
      </c>
      <c r="T176" s="66" t="str">
        <f ca="1">IF($N$176&lt;&gt;"", INDIRECT("'Tracker'!"&amp;ADDRESS(MATCH($N$176, Tracker[Anime Name], 0) + 2, 7)), "")</f>
        <v/>
      </c>
      <c r="U176" s="72" t="str">
        <f ca="1">IF($N$176&lt;&gt;"", INDIRECT("'Tracker'!"&amp;ADDRESS(MATCH($N$176, Tracker[Anime Name], 0) + 2, 8)), "")</f>
        <v/>
      </c>
      <c r="V176" s="109" t="str">
        <f>IF(Completed!$C$175&lt;&gt;"",Completed!$C$175,"")</f>
        <v/>
      </c>
      <c r="W176" s="109" t="str">
        <f>IF(Completed!$D$175&lt;&gt;"",Completed!$D$175,"")</f>
        <v/>
      </c>
      <c r="X176" s="109" t="str">
        <f>IF(Completed!$E$175&lt;&gt;"",Completed!$E$175,"")</f>
        <v/>
      </c>
      <c r="Y176" s="109" t="str">
        <f>IF(Completed!$F$175&lt;&gt;"",Completed!$F$175,"")</f>
        <v/>
      </c>
      <c r="Z176" s="125" t="str">
        <f>IF(Completed!$G$175&lt;&gt;"",Completed!$G$175,"")</f>
        <v/>
      </c>
      <c r="AA176" s="136" t="str">
        <f>IF(Completed!$H$175&lt;&gt;"",Completed!$H$175,"")</f>
        <v/>
      </c>
      <c r="AB176" s="110" t="str">
        <f>IF(Completed!$I$175&lt;&gt;"",Completed!$I$175,"")</f>
        <v/>
      </c>
      <c r="AC176" s="110" t="str">
        <f>IF(Completed!$J$175&lt;&gt;"",Completed!$J$175,"")</f>
        <v/>
      </c>
      <c r="AD176" s="126" t="str">
        <f>IF(Completed!$K$175&lt;&gt;"",Completed!$K$175,"")</f>
        <v/>
      </c>
      <c r="AE176" s="127" t="str">
        <f>IF(Completed!$L$175&lt;&gt;"",Completed!$L$175,"")</f>
        <v/>
      </c>
    </row>
    <row r="177" spans="10:31">
      <c r="J177" s="65" t="str">
        <f>IF(Backlog!$A$177&lt;&gt;"",Backlog!$A$177,"")</f>
        <v/>
      </c>
      <c r="K177" s="72" t="str">
        <f>IF(Backlog!$B$177&lt;&gt;"",Backlog!$B$177,"")</f>
        <v/>
      </c>
      <c r="L177" s="123" t="str">
        <f>IF(Backlog!$C$177&lt;&gt;"",Backlog!$C$177,"")</f>
        <v/>
      </c>
      <c r="N177" s="65" t="str">
        <f>IF(Completed!$A$176&lt;&gt;"",Completed!$A$176,"")</f>
        <v/>
      </c>
      <c r="O177" s="72" t="str">
        <f>IF(Completed!$B$176&lt;&gt;"",Completed!$B$176,"")</f>
        <v/>
      </c>
      <c r="P177" s="72" t="str">
        <f ca="1">IF($N$177&lt;&gt;"", INDIRECT("'Tracker'!"&amp;ADDRESS(MATCH($N$177, Tracker[Anime Name], 0) + 2, 3)), "")</f>
        <v/>
      </c>
      <c r="Q177" s="66" t="str">
        <f ca="1">IF($N$177&lt;&gt;"", INDIRECT("'Tracker'!"&amp;ADDRESS(MATCH($N$177, Tracker[Anime Name], 0) + 2, 4)), "")</f>
        <v/>
      </c>
      <c r="R177" s="66" t="str">
        <f ca="1">IF($N$177&lt;&gt;"", INDIRECT("'Tracker'!"&amp;ADDRESS(MATCH($N$177, Tracker[Anime Name], 0) + 2, 5)), "")</f>
        <v/>
      </c>
      <c r="S177" s="66" t="str">
        <f ca="1">IF($N$177&lt;&gt;"", INDIRECT("'Tracker'!"&amp;ADDRESS(MATCH($N$177, Tracker[Anime Name], 0) + 2, 6)), "")</f>
        <v/>
      </c>
      <c r="T177" s="66" t="str">
        <f ca="1">IF($N$177&lt;&gt;"", INDIRECT("'Tracker'!"&amp;ADDRESS(MATCH($N$177, Tracker[Anime Name], 0) + 2, 7)), "")</f>
        <v/>
      </c>
      <c r="U177" s="72" t="str">
        <f ca="1">IF($N$177&lt;&gt;"", INDIRECT("'Tracker'!"&amp;ADDRESS(MATCH($N$177, Tracker[Anime Name], 0) + 2, 8)), "")</f>
        <v/>
      </c>
      <c r="V177" s="109" t="str">
        <f>IF(Completed!$C$176&lt;&gt;"",Completed!$C$176,"")</f>
        <v/>
      </c>
      <c r="W177" s="109" t="str">
        <f>IF(Completed!$D$176&lt;&gt;"",Completed!$D$176,"")</f>
        <v/>
      </c>
      <c r="X177" s="109" t="str">
        <f>IF(Completed!$E$176&lt;&gt;"",Completed!$E$176,"")</f>
        <v/>
      </c>
      <c r="Y177" s="109" t="str">
        <f>IF(Completed!$F$176&lt;&gt;"",Completed!$F$176,"")</f>
        <v/>
      </c>
      <c r="Z177" s="125" t="str">
        <f>IF(Completed!$G$176&lt;&gt;"",Completed!$G$176,"")</f>
        <v/>
      </c>
      <c r="AA177" s="136" t="str">
        <f>IF(Completed!$H$176&lt;&gt;"",Completed!$H$176,"")</f>
        <v/>
      </c>
      <c r="AB177" s="110" t="str">
        <f>IF(Completed!$I$176&lt;&gt;"",Completed!$I$176,"")</f>
        <v/>
      </c>
      <c r="AC177" s="110" t="str">
        <f>IF(Completed!$J$176&lt;&gt;"",Completed!$J$176,"")</f>
        <v/>
      </c>
      <c r="AD177" s="126" t="str">
        <f>IF(Completed!$K$176&lt;&gt;"",Completed!$K$176,"")</f>
        <v/>
      </c>
      <c r="AE177" s="127" t="str">
        <f>IF(Completed!$L$176&lt;&gt;"",Completed!$L$176,"")</f>
        <v/>
      </c>
    </row>
    <row r="178" spans="10:31">
      <c r="J178" s="65" t="str">
        <f>IF(Backlog!$A$178&lt;&gt;"",Backlog!$A$178,"")</f>
        <v/>
      </c>
      <c r="K178" s="72" t="str">
        <f>IF(Backlog!$B$178&lt;&gt;"",Backlog!$B$178,"")</f>
        <v/>
      </c>
      <c r="L178" s="123" t="str">
        <f>IF(Backlog!$C$178&lt;&gt;"",Backlog!$C$178,"")</f>
        <v/>
      </c>
      <c r="N178" s="65" t="str">
        <f>IF(Completed!$A$177&lt;&gt;"",Completed!$A$177,"")</f>
        <v/>
      </c>
      <c r="O178" s="72" t="str">
        <f>IF(Completed!$B$177&lt;&gt;"",Completed!$B$177,"")</f>
        <v/>
      </c>
      <c r="P178" s="72" t="str">
        <f ca="1">IF($N$178&lt;&gt;"", INDIRECT("'Tracker'!"&amp;ADDRESS(MATCH($N$178, Tracker[Anime Name], 0) + 2, 3)), "")</f>
        <v/>
      </c>
      <c r="Q178" s="66" t="str">
        <f ca="1">IF($N$178&lt;&gt;"", INDIRECT("'Tracker'!"&amp;ADDRESS(MATCH($N$178, Tracker[Anime Name], 0) + 2, 4)), "")</f>
        <v/>
      </c>
      <c r="R178" s="66" t="str">
        <f ca="1">IF($N$178&lt;&gt;"", INDIRECT("'Tracker'!"&amp;ADDRESS(MATCH($N$178, Tracker[Anime Name], 0) + 2, 5)), "")</f>
        <v/>
      </c>
      <c r="S178" s="66" t="str">
        <f ca="1">IF($N$178&lt;&gt;"", INDIRECT("'Tracker'!"&amp;ADDRESS(MATCH($N$178, Tracker[Anime Name], 0) + 2, 6)), "")</f>
        <v/>
      </c>
      <c r="T178" s="66" t="str">
        <f ca="1">IF($N$178&lt;&gt;"", INDIRECT("'Tracker'!"&amp;ADDRESS(MATCH($N$178, Tracker[Anime Name], 0) + 2, 7)), "")</f>
        <v/>
      </c>
      <c r="U178" s="72" t="str">
        <f ca="1">IF($N$178&lt;&gt;"", INDIRECT("'Tracker'!"&amp;ADDRESS(MATCH($N$178, Tracker[Anime Name], 0) + 2, 8)), "")</f>
        <v/>
      </c>
      <c r="V178" s="109" t="str">
        <f>IF(Completed!$C$177&lt;&gt;"",Completed!$C$177,"")</f>
        <v/>
      </c>
      <c r="W178" s="109" t="str">
        <f>IF(Completed!$D$177&lt;&gt;"",Completed!$D$177,"")</f>
        <v/>
      </c>
      <c r="X178" s="109" t="str">
        <f>IF(Completed!$E$177&lt;&gt;"",Completed!$E$177,"")</f>
        <v/>
      </c>
      <c r="Y178" s="109" t="str">
        <f>IF(Completed!$F$177&lt;&gt;"",Completed!$F$177,"")</f>
        <v/>
      </c>
      <c r="Z178" s="125" t="str">
        <f>IF(Completed!$G$177&lt;&gt;"",Completed!$G$177,"")</f>
        <v/>
      </c>
      <c r="AA178" s="136" t="str">
        <f>IF(Completed!$H$177&lt;&gt;"",Completed!$H$177,"")</f>
        <v/>
      </c>
      <c r="AB178" s="110" t="str">
        <f>IF(Completed!$I$177&lt;&gt;"",Completed!$I$177,"")</f>
        <v/>
      </c>
      <c r="AC178" s="110" t="str">
        <f>IF(Completed!$J$177&lt;&gt;"",Completed!$J$177,"")</f>
        <v/>
      </c>
      <c r="AD178" s="126" t="str">
        <f>IF(Completed!$K$177&lt;&gt;"",Completed!$K$177,"")</f>
        <v/>
      </c>
      <c r="AE178" s="127" t="str">
        <f>IF(Completed!$L$177&lt;&gt;"",Completed!$L$177,"")</f>
        <v/>
      </c>
    </row>
    <row r="179" spans="10:31">
      <c r="J179" s="65" t="str">
        <f>IF(Backlog!$A$179&lt;&gt;"",Backlog!$A$179,"")</f>
        <v/>
      </c>
      <c r="K179" s="72" t="str">
        <f>IF(Backlog!$B$179&lt;&gt;"",Backlog!$B$179,"")</f>
        <v/>
      </c>
      <c r="L179" s="123" t="str">
        <f>IF(Backlog!$C$179&lt;&gt;"",Backlog!$C$179,"")</f>
        <v/>
      </c>
      <c r="N179" s="65" t="str">
        <f>IF(Completed!$A$178&lt;&gt;"",Completed!$A$178,"")</f>
        <v/>
      </c>
      <c r="O179" s="72" t="str">
        <f>IF(Completed!$B$178&lt;&gt;"",Completed!$B$178,"")</f>
        <v/>
      </c>
      <c r="P179" s="72" t="str">
        <f ca="1">IF($N$179&lt;&gt;"", INDIRECT("'Tracker'!"&amp;ADDRESS(MATCH($N$179, Tracker[Anime Name], 0) + 2, 3)), "")</f>
        <v/>
      </c>
      <c r="Q179" s="66" t="str">
        <f ca="1">IF($N$179&lt;&gt;"", INDIRECT("'Tracker'!"&amp;ADDRESS(MATCH($N$179, Tracker[Anime Name], 0) + 2, 4)), "")</f>
        <v/>
      </c>
      <c r="R179" s="66" t="str">
        <f ca="1">IF($N$179&lt;&gt;"", INDIRECT("'Tracker'!"&amp;ADDRESS(MATCH($N$179, Tracker[Anime Name], 0) + 2, 5)), "")</f>
        <v/>
      </c>
      <c r="S179" s="66" t="str">
        <f ca="1">IF($N$179&lt;&gt;"", INDIRECT("'Tracker'!"&amp;ADDRESS(MATCH($N$179, Tracker[Anime Name], 0) + 2, 6)), "")</f>
        <v/>
      </c>
      <c r="T179" s="66" t="str">
        <f ca="1">IF($N$179&lt;&gt;"", INDIRECT("'Tracker'!"&amp;ADDRESS(MATCH($N$179, Tracker[Anime Name], 0) + 2, 7)), "")</f>
        <v/>
      </c>
      <c r="U179" s="72" t="str">
        <f ca="1">IF($N$179&lt;&gt;"", INDIRECT("'Tracker'!"&amp;ADDRESS(MATCH($N$179, Tracker[Anime Name], 0) + 2, 8)), "")</f>
        <v/>
      </c>
      <c r="V179" s="109" t="str">
        <f>IF(Completed!$C$178&lt;&gt;"",Completed!$C$178,"")</f>
        <v/>
      </c>
      <c r="W179" s="109" t="str">
        <f>IF(Completed!$D$178&lt;&gt;"",Completed!$D$178,"")</f>
        <v/>
      </c>
      <c r="X179" s="109" t="str">
        <f>IF(Completed!$E$178&lt;&gt;"",Completed!$E$178,"")</f>
        <v/>
      </c>
      <c r="Y179" s="109" t="str">
        <f>IF(Completed!$F$178&lt;&gt;"",Completed!$F$178,"")</f>
        <v/>
      </c>
      <c r="Z179" s="125" t="str">
        <f>IF(Completed!$G$178&lt;&gt;"",Completed!$G$178,"")</f>
        <v/>
      </c>
      <c r="AA179" s="136" t="str">
        <f>IF(Completed!$H$178&lt;&gt;"",Completed!$H$178,"")</f>
        <v/>
      </c>
      <c r="AB179" s="110" t="str">
        <f>IF(Completed!$I$178&lt;&gt;"",Completed!$I$178,"")</f>
        <v/>
      </c>
      <c r="AC179" s="110" t="str">
        <f>IF(Completed!$J$178&lt;&gt;"",Completed!$J$178,"")</f>
        <v/>
      </c>
      <c r="AD179" s="126" t="str">
        <f>IF(Completed!$K$178&lt;&gt;"",Completed!$K$178,"")</f>
        <v/>
      </c>
      <c r="AE179" s="127" t="str">
        <f>IF(Completed!$L$178&lt;&gt;"",Completed!$L$178,"")</f>
        <v/>
      </c>
    </row>
    <row r="180" spans="10:31">
      <c r="J180" s="65" t="str">
        <f>IF(Backlog!$A$180&lt;&gt;"",Backlog!$A$180,"")</f>
        <v/>
      </c>
      <c r="K180" s="72" t="str">
        <f>IF(Backlog!$B$180&lt;&gt;"",Backlog!$B$180,"")</f>
        <v/>
      </c>
      <c r="L180" s="123" t="str">
        <f>IF(Backlog!$C$180&lt;&gt;"",Backlog!$C$180,"")</f>
        <v/>
      </c>
      <c r="N180" s="65" t="str">
        <f>IF(Completed!$A$179&lt;&gt;"",Completed!$A$179,"")</f>
        <v/>
      </c>
      <c r="O180" s="72" t="str">
        <f>IF(Completed!$B$179&lt;&gt;"",Completed!$B$179,"")</f>
        <v/>
      </c>
      <c r="P180" s="72" t="str">
        <f ca="1">IF($N$180&lt;&gt;"", INDIRECT("'Tracker'!"&amp;ADDRESS(MATCH($N$180, Tracker[Anime Name], 0) + 2, 3)), "")</f>
        <v/>
      </c>
      <c r="Q180" s="66" t="str">
        <f ca="1">IF($N$180&lt;&gt;"", INDIRECT("'Tracker'!"&amp;ADDRESS(MATCH($N$180, Tracker[Anime Name], 0) + 2, 4)), "")</f>
        <v/>
      </c>
      <c r="R180" s="66" t="str">
        <f ca="1">IF($N$180&lt;&gt;"", INDIRECT("'Tracker'!"&amp;ADDRESS(MATCH($N$180, Tracker[Anime Name], 0) + 2, 5)), "")</f>
        <v/>
      </c>
      <c r="S180" s="66" t="str">
        <f ca="1">IF($N$180&lt;&gt;"", INDIRECT("'Tracker'!"&amp;ADDRESS(MATCH($N$180, Tracker[Anime Name], 0) + 2, 6)), "")</f>
        <v/>
      </c>
      <c r="T180" s="66" t="str">
        <f ca="1">IF($N$180&lt;&gt;"", INDIRECT("'Tracker'!"&amp;ADDRESS(MATCH($N$180, Tracker[Anime Name], 0) + 2, 7)), "")</f>
        <v/>
      </c>
      <c r="U180" s="72" t="str">
        <f ca="1">IF($N$180&lt;&gt;"", INDIRECT("'Tracker'!"&amp;ADDRESS(MATCH($N$180, Tracker[Anime Name], 0) + 2, 8)), "")</f>
        <v/>
      </c>
      <c r="V180" s="109" t="str">
        <f>IF(Completed!$C$179&lt;&gt;"",Completed!$C$179,"")</f>
        <v/>
      </c>
      <c r="W180" s="109" t="str">
        <f>IF(Completed!$D$179&lt;&gt;"",Completed!$D$179,"")</f>
        <v/>
      </c>
      <c r="X180" s="109" t="str">
        <f>IF(Completed!$E$179&lt;&gt;"",Completed!$E$179,"")</f>
        <v/>
      </c>
      <c r="Y180" s="109" t="str">
        <f>IF(Completed!$F$179&lt;&gt;"",Completed!$F$179,"")</f>
        <v/>
      </c>
      <c r="Z180" s="125" t="str">
        <f>IF(Completed!$G$179&lt;&gt;"",Completed!$G$179,"")</f>
        <v/>
      </c>
      <c r="AA180" s="136" t="str">
        <f>IF(Completed!$H$179&lt;&gt;"",Completed!$H$179,"")</f>
        <v/>
      </c>
      <c r="AB180" s="110" t="str">
        <f>IF(Completed!$I$179&lt;&gt;"",Completed!$I$179,"")</f>
        <v/>
      </c>
      <c r="AC180" s="110" t="str">
        <f>IF(Completed!$J$179&lt;&gt;"",Completed!$J$179,"")</f>
        <v/>
      </c>
      <c r="AD180" s="126" t="str">
        <f>IF(Completed!$K$179&lt;&gt;"",Completed!$K$179,"")</f>
        <v/>
      </c>
      <c r="AE180" s="127" t="str">
        <f>IF(Completed!$L$179&lt;&gt;"",Completed!$L$179,"")</f>
        <v/>
      </c>
    </row>
    <row r="181" spans="10:31">
      <c r="J181" s="65" t="str">
        <f>IF(Backlog!$A$181&lt;&gt;"",Backlog!$A$181,"")</f>
        <v/>
      </c>
      <c r="K181" s="72" t="str">
        <f>IF(Backlog!$B$181&lt;&gt;"",Backlog!$B$181,"")</f>
        <v/>
      </c>
      <c r="L181" s="123" t="str">
        <f>IF(Backlog!$C$181&lt;&gt;"",Backlog!$C$181,"")</f>
        <v/>
      </c>
      <c r="N181" s="65" t="str">
        <f>IF(Completed!$A$180&lt;&gt;"",Completed!$A$180,"")</f>
        <v/>
      </c>
      <c r="O181" s="72" t="str">
        <f>IF(Completed!$B$180&lt;&gt;"",Completed!$B$180,"")</f>
        <v/>
      </c>
      <c r="P181" s="72" t="str">
        <f ca="1">IF($N$181&lt;&gt;"", INDIRECT("'Tracker'!"&amp;ADDRESS(MATCH($N$181, Tracker[Anime Name], 0) + 2, 3)), "")</f>
        <v/>
      </c>
      <c r="Q181" s="66" t="str">
        <f ca="1">IF($N$181&lt;&gt;"", INDIRECT("'Tracker'!"&amp;ADDRESS(MATCH($N$181, Tracker[Anime Name], 0) + 2, 4)), "")</f>
        <v/>
      </c>
      <c r="R181" s="66" t="str">
        <f ca="1">IF($N$181&lt;&gt;"", INDIRECT("'Tracker'!"&amp;ADDRESS(MATCH($N$181, Tracker[Anime Name], 0) + 2, 5)), "")</f>
        <v/>
      </c>
      <c r="S181" s="66" t="str">
        <f ca="1">IF($N$181&lt;&gt;"", INDIRECT("'Tracker'!"&amp;ADDRESS(MATCH($N$181, Tracker[Anime Name], 0) + 2, 6)), "")</f>
        <v/>
      </c>
      <c r="T181" s="66" t="str">
        <f ca="1">IF($N$181&lt;&gt;"", INDIRECT("'Tracker'!"&amp;ADDRESS(MATCH($N$181, Tracker[Anime Name], 0) + 2, 7)), "")</f>
        <v/>
      </c>
      <c r="U181" s="72" t="str">
        <f ca="1">IF($N$181&lt;&gt;"", INDIRECT("'Tracker'!"&amp;ADDRESS(MATCH($N$181, Tracker[Anime Name], 0) + 2, 8)), "")</f>
        <v/>
      </c>
      <c r="V181" s="109" t="str">
        <f>IF(Completed!$C$180&lt;&gt;"",Completed!$C$180,"")</f>
        <v/>
      </c>
      <c r="W181" s="109" t="str">
        <f>IF(Completed!$D$180&lt;&gt;"",Completed!$D$180,"")</f>
        <v/>
      </c>
      <c r="X181" s="109" t="str">
        <f>IF(Completed!$E$180&lt;&gt;"",Completed!$E$180,"")</f>
        <v/>
      </c>
      <c r="Y181" s="109" t="str">
        <f>IF(Completed!$F$180&lt;&gt;"",Completed!$F$180,"")</f>
        <v/>
      </c>
      <c r="Z181" s="125" t="str">
        <f>IF(Completed!$G$180&lt;&gt;"",Completed!$G$180,"")</f>
        <v/>
      </c>
      <c r="AA181" s="136" t="str">
        <f>IF(Completed!$H$180&lt;&gt;"",Completed!$H$180,"")</f>
        <v/>
      </c>
      <c r="AB181" s="110" t="str">
        <f>IF(Completed!$I$180&lt;&gt;"",Completed!$I$180,"")</f>
        <v/>
      </c>
      <c r="AC181" s="110" t="str">
        <f>IF(Completed!$J$180&lt;&gt;"",Completed!$J$180,"")</f>
        <v/>
      </c>
      <c r="AD181" s="126" t="str">
        <f>IF(Completed!$K$180&lt;&gt;"",Completed!$K$180,"")</f>
        <v/>
      </c>
      <c r="AE181" s="127" t="str">
        <f>IF(Completed!$L$180&lt;&gt;"",Completed!$L$180,"")</f>
        <v/>
      </c>
    </row>
    <row r="182" spans="10:31">
      <c r="J182" s="65" t="str">
        <f>IF(Backlog!$A$182&lt;&gt;"",Backlog!$A$182,"")</f>
        <v/>
      </c>
      <c r="K182" s="72" t="str">
        <f>IF(Backlog!$B$182&lt;&gt;"",Backlog!$B$182,"")</f>
        <v/>
      </c>
      <c r="L182" s="123" t="str">
        <f>IF(Backlog!$C$182&lt;&gt;"",Backlog!$C$182,"")</f>
        <v/>
      </c>
      <c r="N182" s="65" t="str">
        <f>IF(Completed!$A$181&lt;&gt;"",Completed!$A$181,"")</f>
        <v/>
      </c>
      <c r="O182" s="72" t="str">
        <f>IF(Completed!$B$181&lt;&gt;"",Completed!$B$181,"")</f>
        <v/>
      </c>
      <c r="P182" s="72" t="str">
        <f ca="1">IF($N$182&lt;&gt;"", INDIRECT("'Tracker'!"&amp;ADDRESS(MATCH($N$182, Tracker[Anime Name], 0) + 2, 3)), "")</f>
        <v/>
      </c>
      <c r="Q182" s="66" t="str">
        <f ca="1">IF($N$182&lt;&gt;"", INDIRECT("'Tracker'!"&amp;ADDRESS(MATCH($N$182, Tracker[Anime Name], 0) + 2, 4)), "")</f>
        <v/>
      </c>
      <c r="R182" s="66" t="str">
        <f ca="1">IF($N$182&lt;&gt;"", INDIRECT("'Tracker'!"&amp;ADDRESS(MATCH($N$182, Tracker[Anime Name], 0) + 2, 5)), "")</f>
        <v/>
      </c>
      <c r="S182" s="66" t="str">
        <f ca="1">IF($N$182&lt;&gt;"", INDIRECT("'Tracker'!"&amp;ADDRESS(MATCH($N$182, Tracker[Anime Name], 0) + 2, 6)), "")</f>
        <v/>
      </c>
      <c r="T182" s="66" t="str">
        <f ca="1">IF($N$182&lt;&gt;"", INDIRECT("'Tracker'!"&amp;ADDRESS(MATCH($N$182, Tracker[Anime Name], 0) + 2, 7)), "")</f>
        <v/>
      </c>
      <c r="U182" s="72" t="str">
        <f ca="1">IF($N$182&lt;&gt;"", INDIRECT("'Tracker'!"&amp;ADDRESS(MATCH($N$182, Tracker[Anime Name], 0) + 2, 8)), "")</f>
        <v/>
      </c>
      <c r="V182" s="109" t="str">
        <f>IF(Completed!$C$181&lt;&gt;"",Completed!$C$181,"")</f>
        <v/>
      </c>
      <c r="W182" s="109" t="str">
        <f>IF(Completed!$D$181&lt;&gt;"",Completed!$D$181,"")</f>
        <v/>
      </c>
      <c r="X182" s="109" t="str">
        <f>IF(Completed!$E$181&lt;&gt;"",Completed!$E$181,"")</f>
        <v/>
      </c>
      <c r="Y182" s="109" t="str">
        <f>IF(Completed!$F$181&lt;&gt;"",Completed!$F$181,"")</f>
        <v/>
      </c>
      <c r="Z182" s="125" t="str">
        <f>IF(Completed!$G$181&lt;&gt;"",Completed!$G$181,"")</f>
        <v/>
      </c>
      <c r="AA182" s="136" t="str">
        <f>IF(Completed!$H$181&lt;&gt;"",Completed!$H$181,"")</f>
        <v/>
      </c>
      <c r="AB182" s="110" t="str">
        <f>IF(Completed!$I$181&lt;&gt;"",Completed!$I$181,"")</f>
        <v/>
      </c>
      <c r="AC182" s="110" t="str">
        <f>IF(Completed!$J$181&lt;&gt;"",Completed!$J$181,"")</f>
        <v/>
      </c>
      <c r="AD182" s="126" t="str">
        <f>IF(Completed!$K$181&lt;&gt;"",Completed!$K$181,"")</f>
        <v/>
      </c>
      <c r="AE182" s="127" t="str">
        <f>IF(Completed!$L$181&lt;&gt;"",Completed!$L$181,"")</f>
        <v/>
      </c>
    </row>
    <row r="183" spans="10:31">
      <c r="J183" s="65" t="str">
        <f>IF(Backlog!$A$183&lt;&gt;"",Backlog!$A$183,"")</f>
        <v/>
      </c>
      <c r="K183" s="72" t="str">
        <f>IF(Backlog!$B$183&lt;&gt;"",Backlog!$B$183,"")</f>
        <v/>
      </c>
      <c r="L183" s="123" t="str">
        <f>IF(Backlog!$C$183&lt;&gt;"",Backlog!$C$183,"")</f>
        <v/>
      </c>
      <c r="N183" s="65" t="str">
        <f>IF(Completed!$A$182&lt;&gt;"",Completed!$A$182,"")</f>
        <v/>
      </c>
      <c r="O183" s="72" t="str">
        <f>IF(Completed!$B$182&lt;&gt;"",Completed!$B$182,"")</f>
        <v/>
      </c>
      <c r="P183" s="72" t="str">
        <f ca="1">IF($N$183&lt;&gt;"", INDIRECT("'Tracker'!"&amp;ADDRESS(MATCH($N$183, Tracker[Anime Name], 0) + 2, 3)), "")</f>
        <v/>
      </c>
      <c r="Q183" s="66" t="str">
        <f ca="1">IF($N$183&lt;&gt;"", INDIRECT("'Tracker'!"&amp;ADDRESS(MATCH($N$183, Tracker[Anime Name], 0) + 2, 4)), "")</f>
        <v/>
      </c>
      <c r="R183" s="66" t="str">
        <f ca="1">IF($N$183&lt;&gt;"", INDIRECT("'Tracker'!"&amp;ADDRESS(MATCH($N$183, Tracker[Anime Name], 0) + 2, 5)), "")</f>
        <v/>
      </c>
      <c r="S183" s="66" t="str">
        <f ca="1">IF($N$183&lt;&gt;"", INDIRECT("'Tracker'!"&amp;ADDRESS(MATCH($N$183, Tracker[Anime Name], 0) + 2, 6)), "")</f>
        <v/>
      </c>
      <c r="T183" s="66" t="str">
        <f ca="1">IF($N$183&lt;&gt;"", INDIRECT("'Tracker'!"&amp;ADDRESS(MATCH($N$183, Tracker[Anime Name], 0) + 2, 7)), "")</f>
        <v/>
      </c>
      <c r="U183" s="72" t="str">
        <f ca="1">IF($N$183&lt;&gt;"", INDIRECT("'Tracker'!"&amp;ADDRESS(MATCH($N$183, Tracker[Anime Name], 0) + 2, 8)), "")</f>
        <v/>
      </c>
      <c r="V183" s="109" t="str">
        <f>IF(Completed!$C$182&lt;&gt;"",Completed!$C$182,"")</f>
        <v/>
      </c>
      <c r="W183" s="109" t="str">
        <f>IF(Completed!$D$182&lt;&gt;"",Completed!$D$182,"")</f>
        <v/>
      </c>
      <c r="X183" s="109" t="str">
        <f>IF(Completed!$E$182&lt;&gt;"",Completed!$E$182,"")</f>
        <v/>
      </c>
      <c r="Y183" s="109" t="str">
        <f>IF(Completed!$F$182&lt;&gt;"",Completed!$F$182,"")</f>
        <v/>
      </c>
      <c r="Z183" s="125" t="str">
        <f>IF(Completed!$G$182&lt;&gt;"",Completed!$G$182,"")</f>
        <v/>
      </c>
      <c r="AA183" s="136" t="str">
        <f>IF(Completed!$H$182&lt;&gt;"",Completed!$H$182,"")</f>
        <v/>
      </c>
      <c r="AB183" s="110" t="str">
        <f>IF(Completed!$I$182&lt;&gt;"",Completed!$I$182,"")</f>
        <v/>
      </c>
      <c r="AC183" s="110" t="str">
        <f>IF(Completed!$J$182&lt;&gt;"",Completed!$J$182,"")</f>
        <v/>
      </c>
      <c r="AD183" s="126" t="str">
        <f>IF(Completed!$K$182&lt;&gt;"",Completed!$K$182,"")</f>
        <v/>
      </c>
      <c r="AE183" s="127" t="str">
        <f>IF(Completed!$L$182&lt;&gt;"",Completed!$L$182,"")</f>
        <v/>
      </c>
    </row>
    <row r="184" spans="10:31">
      <c r="J184" s="65" t="str">
        <f>IF(Backlog!$A$184&lt;&gt;"",Backlog!$A$184,"")</f>
        <v/>
      </c>
      <c r="K184" s="72" t="str">
        <f>IF(Backlog!$B$184&lt;&gt;"",Backlog!$B$184,"")</f>
        <v/>
      </c>
      <c r="L184" s="123" t="str">
        <f>IF(Backlog!$C$184&lt;&gt;"",Backlog!$C$184,"")</f>
        <v/>
      </c>
      <c r="N184" s="65" t="str">
        <f>IF(Completed!$A$183&lt;&gt;"",Completed!$A$183,"")</f>
        <v/>
      </c>
      <c r="O184" s="72" t="str">
        <f>IF(Completed!$B$183&lt;&gt;"",Completed!$B$183,"")</f>
        <v/>
      </c>
      <c r="P184" s="72" t="str">
        <f ca="1">IF($N$184&lt;&gt;"", INDIRECT("'Tracker'!"&amp;ADDRESS(MATCH($N$184, Tracker[Anime Name], 0) + 2, 3)), "")</f>
        <v/>
      </c>
      <c r="Q184" s="66" t="str">
        <f ca="1">IF($N$184&lt;&gt;"", INDIRECT("'Tracker'!"&amp;ADDRESS(MATCH($N$184, Tracker[Anime Name], 0) + 2, 4)), "")</f>
        <v/>
      </c>
      <c r="R184" s="66" t="str">
        <f ca="1">IF($N$184&lt;&gt;"", INDIRECT("'Tracker'!"&amp;ADDRESS(MATCH($N$184, Tracker[Anime Name], 0) + 2, 5)), "")</f>
        <v/>
      </c>
      <c r="S184" s="66" t="str">
        <f ca="1">IF($N$184&lt;&gt;"", INDIRECT("'Tracker'!"&amp;ADDRESS(MATCH($N$184, Tracker[Anime Name], 0) + 2, 6)), "")</f>
        <v/>
      </c>
      <c r="T184" s="66" t="str">
        <f ca="1">IF($N$184&lt;&gt;"", INDIRECT("'Tracker'!"&amp;ADDRESS(MATCH($N$184, Tracker[Anime Name], 0) + 2, 7)), "")</f>
        <v/>
      </c>
      <c r="U184" s="72" t="str">
        <f ca="1">IF($N$184&lt;&gt;"", INDIRECT("'Tracker'!"&amp;ADDRESS(MATCH($N$184, Tracker[Anime Name], 0) + 2, 8)), "")</f>
        <v/>
      </c>
      <c r="V184" s="109" t="str">
        <f>IF(Completed!$C$183&lt;&gt;"",Completed!$C$183,"")</f>
        <v/>
      </c>
      <c r="W184" s="109" t="str">
        <f>IF(Completed!$D$183&lt;&gt;"",Completed!$D$183,"")</f>
        <v/>
      </c>
      <c r="X184" s="109" t="str">
        <f>IF(Completed!$E$183&lt;&gt;"",Completed!$E$183,"")</f>
        <v/>
      </c>
      <c r="Y184" s="109" t="str">
        <f>IF(Completed!$F$183&lt;&gt;"",Completed!$F$183,"")</f>
        <v/>
      </c>
      <c r="Z184" s="125" t="str">
        <f>IF(Completed!$G$183&lt;&gt;"",Completed!$G$183,"")</f>
        <v/>
      </c>
      <c r="AA184" s="136" t="str">
        <f>IF(Completed!$H$183&lt;&gt;"",Completed!$H$183,"")</f>
        <v/>
      </c>
      <c r="AB184" s="110" t="str">
        <f>IF(Completed!$I$183&lt;&gt;"",Completed!$I$183,"")</f>
        <v/>
      </c>
      <c r="AC184" s="110" t="str">
        <f>IF(Completed!$J$183&lt;&gt;"",Completed!$J$183,"")</f>
        <v/>
      </c>
      <c r="AD184" s="126" t="str">
        <f>IF(Completed!$K$183&lt;&gt;"",Completed!$K$183,"")</f>
        <v/>
      </c>
      <c r="AE184" s="127" t="str">
        <f>IF(Completed!$L$183&lt;&gt;"",Completed!$L$183,"")</f>
        <v/>
      </c>
    </row>
    <row r="185" spans="10:31">
      <c r="J185" s="65" t="str">
        <f>IF(Backlog!$A$185&lt;&gt;"",Backlog!$A$185,"")</f>
        <v/>
      </c>
      <c r="K185" s="72" t="str">
        <f>IF(Backlog!$B$185&lt;&gt;"",Backlog!$B$185,"")</f>
        <v/>
      </c>
      <c r="L185" s="123" t="str">
        <f>IF(Backlog!$C$185&lt;&gt;"",Backlog!$C$185,"")</f>
        <v/>
      </c>
      <c r="N185" s="65" t="str">
        <f>IF(Completed!$A$184&lt;&gt;"",Completed!$A$184,"")</f>
        <v/>
      </c>
      <c r="O185" s="72" t="str">
        <f>IF(Completed!$B$184&lt;&gt;"",Completed!$B$184,"")</f>
        <v/>
      </c>
      <c r="P185" s="72" t="str">
        <f ca="1">IF($N$185&lt;&gt;"", INDIRECT("'Tracker'!"&amp;ADDRESS(MATCH($N$185, Tracker[Anime Name], 0) + 2, 3)), "")</f>
        <v/>
      </c>
      <c r="Q185" s="66" t="str">
        <f ca="1">IF($N$185&lt;&gt;"", INDIRECT("'Tracker'!"&amp;ADDRESS(MATCH($N$185, Tracker[Anime Name], 0) + 2, 4)), "")</f>
        <v/>
      </c>
      <c r="R185" s="66" t="str">
        <f ca="1">IF($N$185&lt;&gt;"", INDIRECT("'Tracker'!"&amp;ADDRESS(MATCH($N$185, Tracker[Anime Name], 0) + 2, 5)), "")</f>
        <v/>
      </c>
      <c r="S185" s="66" t="str">
        <f ca="1">IF($N$185&lt;&gt;"", INDIRECT("'Tracker'!"&amp;ADDRESS(MATCH($N$185, Tracker[Anime Name], 0) + 2, 6)), "")</f>
        <v/>
      </c>
      <c r="T185" s="66" t="str">
        <f ca="1">IF($N$185&lt;&gt;"", INDIRECT("'Tracker'!"&amp;ADDRESS(MATCH($N$185, Tracker[Anime Name], 0) + 2, 7)), "")</f>
        <v/>
      </c>
      <c r="U185" s="72" t="str">
        <f ca="1">IF($N$185&lt;&gt;"", INDIRECT("'Tracker'!"&amp;ADDRESS(MATCH($N$185, Tracker[Anime Name], 0) + 2, 8)), "")</f>
        <v/>
      </c>
      <c r="V185" s="109" t="str">
        <f>IF(Completed!$C$184&lt;&gt;"",Completed!$C$184,"")</f>
        <v/>
      </c>
      <c r="W185" s="109" t="str">
        <f>IF(Completed!$D$184&lt;&gt;"",Completed!$D$184,"")</f>
        <v/>
      </c>
      <c r="X185" s="109" t="str">
        <f>IF(Completed!$E$184&lt;&gt;"",Completed!$E$184,"")</f>
        <v/>
      </c>
      <c r="Y185" s="109" t="str">
        <f>IF(Completed!$F$184&lt;&gt;"",Completed!$F$184,"")</f>
        <v/>
      </c>
      <c r="Z185" s="125" t="str">
        <f>IF(Completed!$G$184&lt;&gt;"",Completed!$G$184,"")</f>
        <v/>
      </c>
      <c r="AA185" s="136" t="str">
        <f>IF(Completed!$H$184&lt;&gt;"",Completed!$H$184,"")</f>
        <v/>
      </c>
      <c r="AB185" s="110" t="str">
        <f>IF(Completed!$I$184&lt;&gt;"",Completed!$I$184,"")</f>
        <v/>
      </c>
      <c r="AC185" s="110" t="str">
        <f>IF(Completed!$J$184&lt;&gt;"",Completed!$J$184,"")</f>
        <v/>
      </c>
      <c r="AD185" s="126" t="str">
        <f>IF(Completed!$K$184&lt;&gt;"",Completed!$K$184,"")</f>
        <v/>
      </c>
      <c r="AE185" s="127" t="str">
        <f>IF(Completed!$L$184&lt;&gt;"",Completed!$L$184,"")</f>
        <v/>
      </c>
    </row>
    <row r="186" spans="10:31">
      <c r="J186" s="65" t="str">
        <f>IF(Backlog!$A$186&lt;&gt;"",Backlog!$A$186,"")</f>
        <v/>
      </c>
      <c r="K186" s="72" t="str">
        <f>IF(Backlog!$B$186&lt;&gt;"",Backlog!$B$186,"")</f>
        <v/>
      </c>
      <c r="L186" s="123" t="str">
        <f>IF(Backlog!$C$186&lt;&gt;"",Backlog!$C$186,"")</f>
        <v/>
      </c>
      <c r="N186" s="65" t="str">
        <f>IF(Completed!$A$185&lt;&gt;"",Completed!$A$185,"")</f>
        <v/>
      </c>
      <c r="O186" s="72" t="str">
        <f>IF(Completed!$B$185&lt;&gt;"",Completed!$B$185,"")</f>
        <v/>
      </c>
      <c r="P186" s="72" t="str">
        <f ca="1">IF($N$186&lt;&gt;"", INDIRECT("'Tracker'!"&amp;ADDRESS(MATCH($N$186, Tracker[Anime Name], 0) + 2, 3)), "")</f>
        <v/>
      </c>
      <c r="Q186" s="66" t="str">
        <f ca="1">IF($N$186&lt;&gt;"", INDIRECT("'Tracker'!"&amp;ADDRESS(MATCH($N$186, Tracker[Anime Name], 0) + 2, 4)), "")</f>
        <v/>
      </c>
      <c r="R186" s="66" t="str">
        <f ca="1">IF($N$186&lt;&gt;"", INDIRECT("'Tracker'!"&amp;ADDRESS(MATCH($N$186, Tracker[Anime Name], 0) + 2, 5)), "")</f>
        <v/>
      </c>
      <c r="S186" s="66" t="str">
        <f ca="1">IF($N$186&lt;&gt;"", INDIRECT("'Tracker'!"&amp;ADDRESS(MATCH($N$186, Tracker[Anime Name], 0) + 2, 6)), "")</f>
        <v/>
      </c>
      <c r="T186" s="66" t="str">
        <f ca="1">IF($N$186&lt;&gt;"", INDIRECT("'Tracker'!"&amp;ADDRESS(MATCH($N$186, Tracker[Anime Name], 0) + 2, 7)), "")</f>
        <v/>
      </c>
      <c r="U186" s="72" t="str">
        <f ca="1">IF($N$186&lt;&gt;"", INDIRECT("'Tracker'!"&amp;ADDRESS(MATCH($N$186, Tracker[Anime Name], 0) + 2, 8)), "")</f>
        <v/>
      </c>
      <c r="V186" s="109" t="str">
        <f>IF(Completed!$C$185&lt;&gt;"",Completed!$C$185,"")</f>
        <v/>
      </c>
      <c r="W186" s="109" t="str">
        <f>IF(Completed!$D$185&lt;&gt;"",Completed!$D$185,"")</f>
        <v/>
      </c>
      <c r="X186" s="109" t="str">
        <f>IF(Completed!$E$185&lt;&gt;"",Completed!$E$185,"")</f>
        <v/>
      </c>
      <c r="Y186" s="109" t="str">
        <f>IF(Completed!$F$185&lt;&gt;"",Completed!$F$185,"")</f>
        <v/>
      </c>
      <c r="Z186" s="125" t="str">
        <f>IF(Completed!$G$185&lt;&gt;"",Completed!$G$185,"")</f>
        <v/>
      </c>
      <c r="AA186" s="136" t="str">
        <f>IF(Completed!$H$185&lt;&gt;"",Completed!$H$185,"")</f>
        <v/>
      </c>
      <c r="AB186" s="110" t="str">
        <f>IF(Completed!$I$185&lt;&gt;"",Completed!$I$185,"")</f>
        <v/>
      </c>
      <c r="AC186" s="110" t="str">
        <f>IF(Completed!$J$185&lt;&gt;"",Completed!$J$185,"")</f>
        <v/>
      </c>
      <c r="AD186" s="126" t="str">
        <f>IF(Completed!$K$185&lt;&gt;"",Completed!$K$185,"")</f>
        <v/>
      </c>
      <c r="AE186" s="127" t="str">
        <f>IF(Completed!$L$185&lt;&gt;"",Completed!$L$185,"")</f>
        <v/>
      </c>
    </row>
    <row r="187" spans="10:31">
      <c r="J187" s="65" t="str">
        <f>IF(Backlog!$A$187&lt;&gt;"",Backlog!$A$187,"")</f>
        <v/>
      </c>
      <c r="K187" s="72" t="str">
        <f>IF(Backlog!$B$187&lt;&gt;"",Backlog!$B$187,"")</f>
        <v/>
      </c>
      <c r="L187" s="123" t="str">
        <f>IF(Backlog!$C$187&lt;&gt;"",Backlog!$C$187,"")</f>
        <v/>
      </c>
      <c r="N187" s="65" t="str">
        <f>IF(Completed!$A$186&lt;&gt;"",Completed!$A$186,"")</f>
        <v/>
      </c>
      <c r="O187" s="72" t="str">
        <f>IF(Completed!$B$186&lt;&gt;"",Completed!$B$186,"")</f>
        <v/>
      </c>
      <c r="P187" s="72" t="str">
        <f ca="1">IF($N$187&lt;&gt;"", INDIRECT("'Tracker'!"&amp;ADDRESS(MATCH($N$187, Tracker[Anime Name], 0) + 2, 3)), "")</f>
        <v/>
      </c>
      <c r="Q187" s="66" t="str">
        <f ca="1">IF($N$187&lt;&gt;"", INDIRECT("'Tracker'!"&amp;ADDRESS(MATCH($N$187, Tracker[Anime Name], 0) + 2, 4)), "")</f>
        <v/>
      </c>
      <c r="R187" s="66" t="str">
        <f ca="1">IF($N$187&lt;&gt;"", INDIRECT("'Tracker'!"&amp;ADDRESS(MATCH($N$187, Tracker[Anime Name], 0) + 2, 5)), "")</f>
        <v/>
      </c>
      <c r="S187" s="66" t="str">
        <f ca="1">IF($N$187&lt;&gt;"", INDIRECT("'Tracker'!"&amp;ADDRESS(MATCH($N$187, Tracker[Anime Name], 0) + 2, 6)), "")</f>
        <v/>
      </c>
      <c r="T187" s="66" t="str">
        <f ca="1">IF($N$187&lt;&gt;"", INDIRECT("'Tracker'!"&amp;ADDRESS(MATCH($N$187, Tracker[Anime Name], 0) + 2, 7)), "")</f>
        <v/>
      </c>
      <c r="U187" s="72" t="str">
        <f ca="1">IF($N$187&lt;&gt;"", INDIRECT("'Tracker'!"&amp;ADDRESS(MATCH($N$187, Tracker[Anime Name], 0) + 2, 8)), "")</f>
        <v/>
      </c>
      <c r="V187" s="109" t="str">
        <f>IF(Completed!$C$186&lt;&gt;"",Completed!$C$186,"")</f>
        <v/>
      </c>
      <c r="W187" s="109" t="str">
        <f>IF(Completed!$D$186&lt;&gt;"",Completed!$D$186,"")</f>
        <v/>
      </c>
      <c r="X187" s="109" t="str">
        <f>IF(Completed!$E$186&lt;&gt;"",Completed!$E$186,"")</f>
        <v/>
      </c>
      <c r="Y187" s="109" t="str">
        <f>IF(Completed!$F$186&lt;&gt;"",Completed!$F$186,"")</f>
        <v/>
      </c>
      <c r="Z187" s="125" t="str">
        <f>IF(Completed!$G$186&lt;&gt;"",Completed!$G$186,"")</f>
        <v/>
      </c>
      <c r="AA187" s="136" t="str">
        <f>IF(Completed!$H$186&lt;&gt;"",Completed!$H$186,"")</f>
        <v/>
      </c>
      <c r="AB187" s="110" t="str">
        <f>IF(Completed!$I$186&lt;&gt;"",Completed!$I$186,"")</f>
        <v/>
      </c>
      <c r="AC187" s="110" t="str">
        <f>IF(Completed!$J$186&lt;&gt;"",Completed!$J$186,"")</f>
        <v/>
      </c>
      <c r="AD187" s="126" t="str">
        <f>IF(Completed!$K$186&lt;&gt;"",Completed!$K$186,"")</f>
        <v/>
      </c>
      <c r="AE187" s="127" t="str">
        <f>IF(Completed!$L$186&lt;&gt;"",Completed!$L$186,"")</f>
        <v/>
      </c>
    </row>
    <row r="188" spans="10:31">
      <c r="J188" s="65" t="str">
        <f>IF(Backlog!$A$188&lt;&gt;"",Backlog!$A$188,"")</f>
        <v/>
      </c>
      <c r="K188" s="72" t="str">
        <f>IF(Backlog!$B$188&lt;&gt;"",Backlog!$B$188,"")</f>
        <v/>
      </c>
      <c r="L188" s="123" t="str">
        <f>IF(Backlog!$C$188&lt;&gt;"",Backlog!$C$188,"")</f>
        <v/>
      </c>
      <c r="N188" s="65" t="str">
        <f>IF(Completed!$A$187&lt;&gt;"",Completed!$A$187,"")</f>
        <v/>
      </c>
      <c r="O188" s="72" t="str">
        <f>IF(Completed!$B$187&lt;&gt;"",Completed!$B$187,"")</f>
        <v/>
      </c>
      <c r="P188" s="72" t="str">
        <f ca="1">IF($N$188&lt;&gt;"", INDIRECT("'Tracker'!"&amp;ADDRESS(MATCH($N$188, Tracker[Anime Name], 0) + 2, 3)), "")</f>
        <v/>
      </c>
      <c r="Q188" s="66" t="str">
        <f ca="1">IF($N$188&lt;&gt;"", INDIRECT("'Tracker'!"&amp;ADDRESS(MATCH($N$188, Tracker[Anime Name], 0) + 2, 4)), "")</f>
        <v/>
      </c>
      <c r="R188" s="66" t="str">
        <f ca="1">IF($N$188&lt;&gt;"", INDIRECT("'Tracker'!"&amp;ADDRESS(MATCH($N$188, Tracker[Anime Name], 0) + 2, 5)), "")</f>
        <v/>
      </c>
      <c r="S188" s="66" t="str">
        <f ca="1">IF($N$188&lt;&gt;"", INDIRECT("'Tracker'!"&amp;ADDRESS(MATCH($N$188, Tracker[Anime Name], 0) + 2, 6)), "")</f>
        <v/>
      </c>
      <c r="T188" s="66" t="str">
        <f ca="1">IF($N$188&lt;&gt;"", INDIRECT("'Tracker'!"&amp;ADDRESS(MATCH($N$188, Tracker[Anime Name], 0) + 2, 7)), "")</f>
        <v/>
      </c>
      <c r="U188" s="72" t="str">
        <f ca="1">IF($N$188&lt;&gt;"", INDIRECT("'Tracker'!"&amp;ADDRESS(MATCH($N$188, Tracker[Anime Name], 0) + 2, 8)), "")</f>
        <v/>
      </c>
      <c r="V188" s="109" t="str">
        <f>IF(Completed!$C$187&lt;&gt;"",Completed!$C$187,"")</f>
        <v/>
      </c>
      <c r="W188" s="109" t="str">
        <f>IF(Completed!$D$187&lt;&gt;"",Completed!$D$187,"")</f>
        <v/>
      </c>
      <c r="X188" s="109" t="str">
        <f>IF(Completed!$E$187&lt;&gt;"",Completed!$E$187,"")</f>
        <v/>
      </c>
      <c r="Y188" s="109" t="str">
        <f>IF(Completed!$F$187&lt;&gt;"",Completed!$F$187,"")</f>
        <v/>
      </c>
      <c r="Z188" s="125" t="str">
        <f>IF(Completed!$G$187&lt;&gt;"",Completed!$G$187,"")</f>
        <v/>
      </c>
      <c r="AA188" s="136" t="str">
        <f>IF(Completed!$H$187&lt;&gt;"",Completed!$H$187,"")</f>
        <v/>
      </c>
      <c r="AB188" s="110" t="str">
        <f>IF(Completed!$I$187&lt;&gt;"",Completed!$I$187,"")</f>
        <v/>
      </c>
      <c r="AC188" s="110" t="str">
        <f>IF(Completed!$J$187&lt;&gt;"",Completed!$J$187,"")</f>
        <v/>
      </c>
      <c r="AD188" s="126" t="str">
        <f>IF(Completed!$K$187&lt;&gt;"",Completed!$K$187,"")</f>
        <v/>
      </c>
      <c r="AE188" s="127" t="str">
        <f>IF(Completed!$L$187&lt;&gt;"",Completed!$L$187,"")</f>
        <v/>
      </c>
    </row>
    <row r="189" spans="10:31">
      <c r="J189" s="65" t="str">
        <f>IF(Backlog!$A$189&lt;&gt;"",Backlog!$A$189,"")</f>
        <v/>
      </c>
      <c r="K189" s="72" t="str">
        <f>IF(Backlog!$B$189&lt;&gt;"",Backlog!$B$189,"")</f>
        <v/>
      </c>
      <c r="L189" s="123" t="str">
        <f>IF(Backlog!$C$189&lt;&gt;"",Backlog!$C$189,"")</f>
        <v/>
      </c>
      <c r="N189" s="65" t="str">
        <f>IF(Completed!$A$188&lt;&gt;"",Completed!$A$188,"")</f>
        <v/>
      </c>
      <c r="O189" s="72" t="str">
        <f>IF(Completed!$B$188&lt;&gt;"",Completed!$B$188,"")</f>
        <v/>
      </c>
      <c r="P189" s="72" t="str">
        <f ca="1">IF($N$189&lt;&gt;"", INDIRECT("'Tracker'!"&amp;ADDRESS(MATCH($N$189, Tracker[Anime Name], 0) + 2, 3)), "")</f>
        <v/>
      </c>
      <c r="Q189" s="66" t="str">
        <f ca="1">IF($N$189&lt;&gt;"", INDIRECT("'Tracker'!"&amp;ADDRESS(MATCH($N$189, Tracker[Anime Name], 0) + 2, 4)), "")</f>
        <v/>
      </c>
      <c r="R189" s="66" t="str">
        <f ca="1">IF($N$189&lt;&gt;"", INDIRECT("'Tracker'!"&amp;ADDRESS(MATCH($N$189, Tracker[Anime Name], 0) + 2, 5)), "")</f>
        <v/>
      </c>
      <c r="S189" s="66" t="str">
        <f ca="1">IF($N$189&lt;&gt;"", INDIRECT("'Tracker'!"&amp;ADDRESS(MATCH($N$189, Tracker[Anime Name], 0) + 2, 6)), "")</f>
        <v/>
      </c>
      <c r="T189" s="66" t="str">
        <f ca="1">IF($N$189&lt;&gt;"", INDIRECT("'Tracker'!"&amp;ADDRESS(MATCH($N$189, Tracker[Anime Name], 0) + 2, 7)), "")</f>
        <v/>
      </c>
      <c r="U189" s="72" t="str">
        <f ca="1">IF($N$189&lt;&gt;"", INDIRECT("'Tracker'!"&amp;ADDRESS(MATCH($N$189, Tracker[Anime Name], 0) + 2, 8)), "")</f>
        <v/>
      </c>
      <c r="V189" s="109" t="str">
        <f>IF(Completed!$C$188&lt;&gt;"",Completed!$C$188,"")</f>
        <v/>
      </c>
      <c r="W189" s="109" t="str">
        <f>IF(Completed!$D$188&lt;&gt;"",Completed!$D$188,"")</f>
        <v/>
      </c>
      <c r="X189" s="109" t="str">
        <f>IF(Completed!$E$188&lt;&gt;"",Completed!$E$188,"")</f>
        <v/>
      </c>
      <c r="Y189" s="109" t="str">
        <f>IF(Completed!$F$188&lt;&gt;"",Completed!$F$188,"")</f>
        <v/>
      </c>
      <c r="Z189" s="125" t="str">
        <f>IF(Completed!$G$188&lt;&gt;"",Completed!$G$188,"")</f>
        <v/>
      </c>
      <c r="AA189" s="136" t="str">
        <f>IF(Completed!$H$188&lt;&gt;"",Completed!$H$188,"")</f>
        <v/>
      </c>
      <c r="AB189" s="110" t="str">
        <f>IF(Completed!$I$188&lt;&gt;"",Completed!$I$188,"")</f>
        <v/>
      </c>
      <c r="AC189" s="110" t="str">
        <f>IF(Completed!$J$188&lt;&gt;"",Completed!$J$188,"")</f>
        <v/>
      </c>
      <c r="AD189" s="126" t="str">
        <f>IF(Completed!$K$188&lt;&gt;"",Completed!$K$188,"")</f>
        <v/>
      </c>
      <c r="AE189" s="127" t="str">
        <f>IF(Completed!$L$188&lt;&gt;"",Completed!$L$188,"")</f>
        <v/>
      </c>
    </row>
    <row r="190" spans="10:31">
      <c r="J190" s="65" t="str">
        <f>IF(Backlog!$A$190&lt;&gt;"",Backlog!$A$190,"")</f>
        <v/>
      </c>
      <c r="K190" s="72" t="str">
        <f>IF(Backlog!$B$190&lt;&gt;"",Backlog!$B$190,"")</f>
        <v/>
      </c>
      <c r="L190" s="123" t="str">
        <f>IF(Backlog!$C$190&lt;&gt;"",Backlog!$C$190,"")</f>
        <v/>
      </c>
      <c r="N190" s="65" t="str">
        <f>IF(Completed!$A$189&lt;&gt;"",Completed!$A$189,"")</f>
        <v/>
      </c>
      <c r="O190" s="72" t="str">
        <f>IF(Completed!$B$189&lt;&gt;"",Completed!$B$189,"")</f>
        <v/>
      </c>
      <c r="P190" s="72" t="str">
        <f ca="1">IF($N$190&lt;&gt;"", INDIRECT("'Tracker'!"&amp;ADDRESS(MATCH($N$190, Tracker[Anime Name], 0) + 2, 3)), "")</f>
        <v/>
      </c>
      <c r="Q190" s="66" t="str">
        <f ca="1">IF($N$190&lt;&gt;"", INDIRECT("'Tracker'!"&amp;ADDRESS(MATCH($N$190, Tracker[Anime Name], 0) + 2, 4)), "")</f>
        <v/>
      </c>
      <c r="R190" s="66" t="str">
        <f ca="1">IF($N$190&lt;&gt;"", INDIRECT("'Tracker'!"&amp;ADDRESS(MATCH($N$190, Tracker[Anime Name], 0) + 2, 5)), "")</f>
        <v/>
      </c>
      <c r="S190" s="66" t="str">
        <f ca="1">IF($N$190&lt;&gt;"", INDIRECT("'Tracker'!"&amp;ADDRESS(MATCH($N$190, Tracker[Anime Name], 0) + 2, 6)), "")</f>
        <v/>
      </c>
      <c r="T190" s="66" t="str">
        <f ca="1">IF($N$190&lt;&gt;"", INDIRECT("'Tracker'!"&amp;ADDRESS(MATCH($N$190, Tracker[Anime Name], 0) + 2, 7)), "")</f>
        <v/>
      </c>
      <c r="U190" s="72" t="str">
        <f ca="1">IF($N$190&lt;&gt;"", INDIRECT("'Tracker'!"&amp;ADDRESS(MATCH($N$190, Tracker[Anime Name], 0) + 2, 8)), "")</f>
        <v/>
      </c>
      <c r="V190" s="109" t="str">
        <f>IF(Completed!$C$189&lt;&gt;"",Completed!$C$189,"")</f>
        <v/>
      </c>
      <c r="W190" s="109" t="str">
        <f>IF(Completed!$D$189&lt;&gt;"",Completed!$D$189,"")</f>
        <v/>
      </c>
      <c r="X190" s="109" t="str">
        <f>IF(Completed!$E$189&lt;&gt;"",Completed!$E$189,"")</f>
        <v/>
      </c>
      <c r="Y190" s="109" t="str">
        <f>IF(Completed!$F$189&lt;&gt;"",Completed!$F$189,"")</f>
        <v/>
      </c>
      <c r="Z190" s="125" t="str">
        <f>IF(Completed!$G$189&lt;&gt;"",Completed!$G$189,"")</f>
        <v/>
      </c>
      <c r="AA190" s="136" t="str">
        <f>IF(Completed!$H$189&lt;&gt;"",Completed!$H$189,"")</f>
        <v/>
      </c>
      <c r="AB190" s="110" t="str">
        <f>IF(Completed!$I$189&lt;&gt;"",Completed!$I$189,"")</f>
        <v/>
      </c>
      <c r="AC190" s="110" t="str">
        <f>IF(Completed!$J$189&lt;&gt;"",Completed!$J$189,"")</f>
        <v/>
      </c>
      <c r="AD190" s="126" t="str">
        <f>IF(Completed!$K$189&lt;&gt;"",Completed!$K$189,"")</f>
        <v/>
      </c>
      <c r="AE190" s="127" t="str">
        <f>IF(Completed!$L$189&lt;&gt;"",Completed!$L$189,"")</f>
        <v/>
      </c>
    </row>
    <row r="191" spans="10:31">
      <c r="J191" s="65" t="str">
        <f>IF(Backlog!$A$191&lt;&gt;"",Backlog!$A$191,"")</f>
        <v/>
      </c>
      <c r="K191" s="72" t="str">
        <f>IF(Backlog!$B$191&lt;&gt;"",Backlog!$B$191,"")</f>
        <v/>
      </c>
      <c r="L191" s="123" t="str">
        <f>IF(Backlog!$C$191&lt;&gt;"",Backlog!$C$191,"")</f>
        <v/>
      </c>
      <c r="N191" s="65" t="str">
        <f>IF(Completed!$A$190&lt;&gt;"",Completed!$A$190,"")</f>
        <v/>
      </c>
      <c r="O191" s="72" t="str">
        <f>IF(Completed!$B$190&lt;&gt;"",Completed!$B$190,"")</f>
        <v/>
      </c>
      <c r="P191" s="72" t="str">
        <f ca="1">IF($N$191&lt;&gt;"", INDIRECT("'Tracker'!"&amp;ADDRESS(MATCH($N$191, Tracker[Anime Name], 0) + 2, 3)), "")</f>
        <v/>
      </c>
      <c r="Q191" s="66" t="str">
        <f ca="1">IF($N$191&lt;&gt;"", INDIRECT("'Tracker'!"&amp;ADDRESS(MATCH($N$191, Tracker[Anime Name], 0) + 2, 4)), "")</f>
        <v/>
      </c>
      <c r="R191" s="66" t="str">
        <f ca="1">IF($N$191&lt;&gt;"", INDIRECT("'Tracker'!"&amp;ADDRESS(MATCH($N$191, Tracker[Anime Name], 0) + 2, 5)), "")</f>
        <v/>
      </c>
      <c r="S191" s="66" t="str">
        <f ca="1">IF($N$191&lt;&gt;"", INDIRECT("'Tracker'!"&amp;ADDRESS(MATCH($N$191, Tracker[Anime Name], 0) + 2, 6)), "")</f>
        <v/>
      </c>
      <c r="T191" s="66" t="str">
        <f ca="1">IF($N$191&lt;&gt;"", INDIRECT("'Tracker'!"&amp;ADDRESS(MATCH($N$191, Tracker[Anime Name], 0) + 2, 7)), "")</f>
        <v/>
      </c>
      <c r="U191" s="72" t="str">
        <f ca="1">IF($N$191&lt;&gt;"", INDIRECT("'Tracker'!"&amp;ADDRESS(MATCH($N$191, Tracker[Anime Name], 0) + 2, 8)), "")</f>
        <v/>
      </c>
      <c r="V191" s="109" t="str">
        <f>IF(Completed!$C$190&lt;&gt;"",Completed!$C$190,"")</f>
        <v/>
      </c>
      <c r="W191" s="109" t="str">
        <f>IF(Completed!$D$190&lt;&gt;"",Completed!$D$190,"")</f>
        <v/>
      </c>
      <c r="X191" s="109" t="str">
        <f>IF(Completed!$E$190&lt;&gt;"",Completed!$E$190,"")</f>
        <v/>
      </c>
      <c r="Y191" s="109" t="str">
        <f>IF(Completed!$F$190&lt;&gt;"",Completed!$F$190,"")</f>
        <v/>
      </c>
      <c r="Z191" s="125" t="str">
        <f>IF(Completed!$G$190&lt;&gt;"",Completed!$G$190,"")</f>
        <v/>
      </c>
      <c r="AA191" s="136" t="str">
        <f>IF(Completed!$H$190&lt;&gt;"",Completed!$H$190,"")</f>
        <v/>
      </c>
      <c r="AB191" s="110" t="str">
        <f>IF(Completed!$I$190&lt;&gt;"",Completed!$I$190,"")</f>
        <v/>
      </c>
      <c r="AC191" s="110" t="str">
        <f>IF(Completed!$J$190&lt;&gt;"",Completed!$J$190,"")</f>
        <v/>
      </c>
      <c r="AD191" s="126" t="str">
        <f>IF(Completed!$K$190&lt;&gt;"",Completed!$K$190,"")</f>
        <v/>
      </c>
      <c r="AE191" s="127" t="str">
        <f>IF(Completed!$L$190&lt;&gt;"",Completed!$L$190,"")</f>
        <v/>
      </c>
    </row>
    <row r="192" spans="10:31">
      <c r="J192" s="65" t="str">
        <f>IF(Backlog!$A$192&lt;&gt;"",Backlog!$A$192,"")</f>
        <v/>
      </c>
      <c r="K192" s="72" t="str">
        <f>IF(Backlog!$B$192&lt;&gt;"",Backlog!$B$192,"")</f>
        <v/>
      </c>
      <c r="L192" s="123" t="str">
        <f>IF(Backlog!$C$192&lt;&gt;"",Backlog!$C$192,"")</f>
        <v/>
      </c>
      <c r="N192" s="65" t="str">
        <f>IF(Completed!$A$191&lt;&gt;"",Completed!$A$191,"")</f>
        <v/>
      </c>
      <c r="O192" s="72" t="str">
        <f>IF(Completed!$B$191&lt;&gt;"",Completed!$B$191,"")</f>
        <v/>
      </c>
      <c r="P192" s="72" t="str">
        <f ca="1">IF($N$192&lt;&gt;"", INDIRECT("'Tracker'!"&amp;ADDRESS(MATCH($N$192, Tracker[Anime Name], 0) + 2, 3)), "")</f>
        <v/>
      </c>
      <c r="Q192" s="66" t="str">
        <f ca="1">IF($N$192&lt;&gt;"", INDIRECT("'Tracker'!"&amp;ADDRESS(MATCH($N$192, Tracker[Anime Name], 0) + 2, 4)), "")</f>
        <v/>
      </c>
      <c r="R192" s="66" t="str">
        <f ca="1">IF($N$192&lt;&gt;"", INDIRECT("'Tracker'!"&amp;ADDRESS(MATCH($N$192, Tracker[Anime Name], 0) + 2, 5)), "")</f>
        <v/>
      </c>
      <c r="S192" s="66" t="str">
        <f ca="1">IF($N$192&lt;&gt;"", INDIRECT("'Tracker'!"&amp;ADDRESS(MATCH($N$192, Tracker[Anime Name], 0) + 2, 6)), "")</f>
        <v/>
      </c>
      <c r="T192" s="66" t="str">
        <f ca="1">IF($N$192&lt;&gt;"", INDIRECT("'Tracker'!"&amp;ADDRESS(MATCH($N$192, Tracker[Anime Name], 0) + 2, 7)), "")</f>
        <v/>
      </c>
      <c r="U192" s="72" t="str">
        <f ca="1">IF($N$192&lt;&gt;"", INDIRECT("'Tracker'!"&amp;ADDRESS(MATCH($N$192, Tracker[Anime Name], 0) + 2, 8)), "")</f>
        <v/>
      </c>
      <c r="V192" s="109" t="str">
        <f>IF(Completed!$C$191&lt;&gt;"",Completed!$C$191,"")</f>
        <v/>
      </c>
      <c r="W192" s="109" t="str">
        <f>IF(Completed!$D$191&lt;&gt;"",Completed!$D$191,"")</f>
        <v/>
      </c>
      <c r="X192" s="109" t="str">
        <f>IF(Completed!$E$191&lt;&gt;"",Completed!$E$191,"")</f>
        <v/>
      </c>
      <c r="Y192" s="109" t="str">
        <f>IF(Completed!$F$191&lt;&gt;"",Completed!$F$191,"")</f>
        <v/>
      </c>
      <c r="Z192" s="125" t="str">
        <f>IF(Completed!$G$191&lt;&gt;"",Completed!$G$191,"")</f>
        <v/>
      </c>
      <c r="AA192" s="136" t="str">
        <f>IF(Completed!$H$191&lt;&gt;"",Completed!$H$191,"")</f>
        <v/>
      </c>
      <c r="AB192" s="110" t="str">
        <f>IF(Completed!$I$191&lt;&gt;"",Completed!$I$191,"")</f>
        <v/>
      </c>
      <c r="AC192" s="110" t="str">
        <f>IF(Completed!$J$191&lt;&gt;"",Completed!$J$191,"")</f>
        <v/>
      </c>
      <c r="AD192" s="126" t="str">
        <f>IF(Completed!$K$191&lt;&gt;"",Completed!$K$191,"")</f>
        <v/>
      </c>
      <c r="AE192" s="127" t="str">
        <f>IF(Completed!$L$191&lt;&gt;"",Completed!$L$191,"")</f>
        <v/>
      </c>
    </row>
    <row r="193" spans="10:31">
      <c r="J193" s="65" t="str">
        <f>IF(Backlog!$A$195&lt;&gt;"",Backlog!$A$195,"")</f>
        <v/>
      </c>
      <c r="K193" s="72" t="str">
        <f>IF(Backlog!$B$195&lt;&gt;"",Backlog!$B$195,"")</f>
        <v/>
      </c>
      <c r="L193" s="123" t="str">
        <f>IF(Backlog!$C$195&lt;&gt;"",Backlog!$C$195,"")</f>
        <v/>
      </c>
      <c r="N193" s="65" t="str">
        <f>IF(Completed!$A$194&lt;&gt;"",Completed!$A$194,"")</f>
        <v/>
      </c>
      <c r="O193" s="72" t="str">
        <f>IF(Completed!$B$194&lt;&gt;"",Completed!$B$194,"")</f>
        <v/>
      </c>
      <c r="P193" s="72" t="str">
        <f ca="1">IF($N$193&lt;&gt;"", INDIRECT("'Tracker'!"&amp;ADDRESS(MATCH($N$193, Tracker[Anime Name], 0) + 2, 3)), "")</f>
        <v/>
      </c>
      <c r="Q193" s="66" t="str">
        <f ca="1">IF($N$193&lt;&gt;"", INDIRECT("'Tracker'!"&amp;ADDRESS(MATCH($N$193, Tracker[Anime Name], 0) + 2, 4)), "")</f>
        <v/>
      </c>
      <c r="R193" s="66" t="str">
        <f ca="1">IF($N$193&lt;&gt;"", INDIRECT("'Tracker'!"&amp;ADDRESS(MATCH($N$193, Tracker[Anime Name], 0) + 2, 5)), "")</f>
        <v/>
      </c>
      <c r="S193" s="66" t="str">
        <f ca="1">IF($N$193&lt;&gt;"", INDIRECT("'Tracker'!"&amp;ADDRESS(MATCH($N$193, Tracker[Anime Name], 0) + 2, 6)), "")</f>
        <v/>
      </c>
      <c r="T193" s="66" t="str">
        <f ca="1">IF($N$193&lt;&gt;"", INDIRECT("'Tracker'!"&amp;ADDRESS(MATCH($N$193, Tracker[Anime Name], 0) + 2, 7)), "")</f>
        <v/>
      </c>
      <c r="U193" s="72" t="str">
        <f ca="1">IF($N$193&lt;&gt;"", INDIRECT("'Tracker'!"&amp;ADDRESS(MATCH($N$193, Tracker[Anime Name], 0) + 2, 8)), "")</f>
        <v/>
      </c>
      <c r="V193" s="109" t="str">
        <f>IF(Completed!$C$194&lt;&gt;"",Completed!$C$194,"")</f>
        <v/>
      </c>
      <c r="W193" s="109" t="str">
        <f>IF(Completed!$D$194&lt;&gt;"",Completed!$D$194,"")</f>
        <v/>
      </c>
      <c r="X193" s="109" t="str">
        <f>IF(Completed!$E$194&lt;&gt;"",Completed!$E$194,"")</f>
        <v/>
      </c>
      <c r="Y193" s="109" t="str">
        <f>IF(Completed!$F$194&lt;&gt;"",Completed!$F$194,"")</f>
        <v/>
      </c>
      <c r="Z193" s="125" t="str">
        <f>IF(Completed!$G$194&lt;&gt;"",Completed!$G$194,"")</f>
        <v/>
      </c>
      <c r="AA193" s="136" t="str">
        <f>IF(Completed!$H$194&lt;&gt;"",Completed!$H$194,"")</f>
        <v/>
      </c>
      <c r="AB193" s="110" t="str">
        <f>IF(Completed!$I$194&lt;&gt;"",Completed!$I$194,"")</f>
        <v/>
      </c>
      <c r="AC193" s="110" t="str">
        <f>IF(Completed!$J$194&lt;&gt;"",Completed!$J$194,"")</f>
        <v/>
      </c>
      <c r="AD193" s="126" t="str">
        <f>IF(Completed!$K$194&lt;&gt;"",Completed!$K$194,"")</f>
        <v/>
      </c>
      <c r="AE193" s="127" t="str">
        <f>IF(Completed!$L$194&lt;&gt;"",Completed!$L$194,"")</f>
        <v/>
      </c>
    </row>
    <row r="194" spans="10:31">
      <c r="J194" s="65" t="str">
        <f>IF(Backlog!$A$196&lt;&gt;"",Backlog!$A$196,"")</f>
        <v/>
      </c>
      <c r="K194" s="72" t="str">
        <f>IF(Backlog!$B$196&lt;&gt;"",Backlog!$B$196,"")</f>
        <v/>
      </c>
      <c r="L194" s="123" t="str">
        <f>IF(Backlog!$C$196&lt;&gt;"",Backlog!$C$196,"")</f>
        <v/>
      </c>
      <c r="N194" s="65" t="str">
        <f>IF(Completed!$A$195&lt;&gt;"",Completed!$A$195,"")</f>
        <v/>
      </c>
      <c r="O194" s="72" t="str">
        <f>IF(Completed!$B$195&lt;&gt;"",Completed!$B$195,"")</f>
        <v/>
      </c>
      <c r="P194" s="72" t="str">
        <f ca="1">IF($N$194&lt;&gt;"", INDIRECT("'Tracker'!"&amp;ADDRESS(MATCH($N$194, Tracker[Anime Name], 0) + 2, 3)), "")</f>
        <v/>
      </c>
      <c r="Q194" s="66" t="str">
        <f ca="1">IF($N$194&lt;&gt;"", INDIRECT("'Tracker'!"&amp;ADDRESS(MATCH($N$194, Tracker[Anime Name], 0) + 2, 4)), "")</f>
        <v/>
      </c>
      <c r="R194" s="66" t="str">
        <f ca="1">IF($N$194&lt;&gt;"", INDIRECT("'Tracker'!"&amp;ADDRESS(MATCH($N$194, Tracker[Anime Name], 0) + 2, 5)), "")</f>
        <v/>
      </c>
      <c r="S194" s="66" t="str">
        <f ca="1">IF($N$194&lt;&gt;"", INDIRECT("'Tracker'!"&amp;ADDRESS(MATCH($N$194, Tracker[Anime Name], 0) + 2, 6)), "")</f>
        <v/>
      </c>
      <c r="T194" s="66" t="str">
        <f ca="1">IF($N$194&lt;&gt;"", INDIRECT("'Tracker'!"&amp;ADDRESS(MATCH($N$194, Tracker[Anime Name], 0) + 2, 7)), "")</f>
        <v/>
      </c>
      <c r="U194" s="72" t="str">
        <f ca="1">IF($N$194&lt;&gt;"", INDIRECT("'Tracker'!"&amp;ADDRESS(MATCH($N$194, Tracker[Anime Name], 0) + 2, 8)), "")</f>
        <v/>
      </c>
      <c r="V194" s="109" t="str">
        <f>IF(Completed!$C$195&lt;&gt;"",Completed!$C$195,"")</f>
        <v/>
      </c>
      <c r="W194" s="109" t="str">
        <f>IF(Completed!$D$195&lt;&gt;"",Completed!$D$195,"")</f>
        <v/>
      </c>
      <c r="X194" s="109" t="str">
        <f>IF(Completed!$E$195&lt;&gt;"",Completed!$E$195,"")</f>
        <v/>
      </c>
      <c r="Y194" s="109" t="str">
        <f>IF(Completed!$F$195&lt;&gt;"",Completed!$F$195,"")</f>
        <v/>
      </c>
      <c r="Z194" s="125" t="str">
        <f>IF(Completed!$G$195&lt;&gt;"",Completed!$G$195,"")</f>
        <v/>
      </c>
      <c r="AA194" s="136" t="str">
        <f>IF(Completed!$H$195&lt;&gt;"",Completed!$H$195,"")</f>
        <v/>
      </c>
      <c r="AB194" s="110" t="str">
        <f>IF(Completed!$I$195&lt;&gt;"",Completed!$I$195,"")</f>
        <v/>
      </c>
      <c r="AC194" s="110" t="str">
        <f>IF(Completed!$J$195&lt;&gt;"",Completed!$J$195,"")</f>
        <v/>
      </c>
      <c r="AD194" s="126" t="str">
        <f>IF(Completed!$K$195&lt;&gt;"",Completed!$K$195,"")</f>
        <v/>
      </c>
      <c r="AE194" s="127" t="str">
        <f>IF(Completed!$L$195&lt;&gt;"",Completed!$L$195,"")</f>
        <v/>
      </c>
    </row>
    <row r="195" spans="10:31">
      <c r="J195" s="65" t="str">
        <f>IF(Backlog!$A$197&lt;&gt;"",Backlog!$A$197,"")</f>
        <v/>
      </c>
      <c r="K195" s="72" t="str">
        <f>IF(Backlog!$B$197&lt;&gt;"",Backlog!$B$197,"")</f>
        <v/>
      </c>
      <c r="L195" s="123" t="str">
        <f>IF(Backlog!$C$197&lt;&gt;"",Backlog!$C$197,"")</f>
        <v/>
      </c>
      <c r="N195" s="65" t="str">
        <f>IF(Completed!$A$196&lt;&gt;"",Completed!$A$196,"")</f>
        <v/>
      </c>
      <c r="O195" s="72" t="str">
        <f>IF(Completed!$B$196&lt;&gt;"",Completed!$B$196,"")</f>
        <v/>
      </c>
      <c r="P195" s="72" t="str">
        <f ca="1">IF($N$195&lt;&gt;"", INDIRECT("'Tracker'!"&amp;ADDRESS(MATCH($N$195, Tracker[Anime Name], 0) + 2, 3)), "")</f>
        <v/>
      </c>
      <c r="Q195" s="66" t="str">
        <f ca="1">IF($N$195&lt;&gt;"", INDIRECT("'Tracker'!"&amp;ADDRESS(MATCH($N$195, Tracker[Anime Name], 0) + 2, 4)), "")</f>
        <v/>
      </c>
      <c r="R195" s="66" t="str">
        <f ca="1">IF($N$195&lt;&gt;"", INDIRECT("'Tracker'!"&amp;ADDRESS(MATCH($N$195, Tracker[Anime Name], 0) + 2, 5)), "")</f>
        <v/>
      </c>
      <c r="S195" s="66" t="str">
        <f ca="1">IF($N$195&lt;&gt;"", INDIRECT("'Tracker'!"&amp;ADDRESS(MATCH($N$195, Tracker[Anime Name], 0) + 2, 6)), "")</f>
        <v/>
      </c>
      <c r="T195" s="66" t="str">
        <f ca="1">IF($N$195&lt;&gt;"", INDIRECT("'Tracker'!"&amp;ADDRESS(MATCH($N$195, Tracker[Anime Name], 0) + 2, 7)), "")</f>
        <v/>
      </c>
      <c r="U195" s="72" t="str">
        <f ca="1">IF($N$195&lt;&gt;"", INDIRECT("'Tracker'!"&amp;ADDRESS(MATCH($N$195, Tracker[Anime Name], 0) + 2, 8)), "")</f>
        <v/>
      </c>
      <c r="V195" s="109" t="str">
        <f>IF(Completed!$C$196&lt;&gt;"",Completed!$C$196,"")</f>
        <v/>
      </c>
      <c r="W195" s="109" t="str">
        <f>IF(Completed!$D$196&lt;&gt;"",Completed!$D$196,"")</f>
        <v/>
      </c>
      <c r="X195" s="109" t="str">
        <f>IF(Completed!$E$196&lt;&gt;"",Completed!$E$196,"")</f>
        <v/>
      </c>
      <c r="Y195" s="109" t="str">
        <f>IF(Completed!$F$196&lt;&gt;"",Completed!$F$196,"")</f>
        <v/>
      </c>
      <c r="Z195" s="125" t="str">
        <f>IF(Completed!$G$196&lt;&gt;"",Completed!$G$196,"")</f>
        <v/>
      </c>
      <c r="AA195" s="136" t="str">
        <f>IF(Completed!$H$196&lt;&gt;"",Completed!$H$196,"")</f>
        <v/>
      </c>
      <c r="AB195" s="110" t="str">
        <f>IF(Completed!$I$196&lt;&gt;"",Completed!$I$196,"")</f>
        <v/>
      </c>
      <c r="AC195" s="110" t="str">
        <f>IF(Completed!$J$196&lt;&gt;"",Completed!$J$196,"")</f>
        <v/>
      </c>
      <c r="AD195" s="126" t="str">
        <f>IF(Completed!$K$196&lt;&gt;"",Completed!$K$196,"")</f>
        <v/>
      </c>
      <c r="AE195" s="127" t="str">
        <f>IF(Completed!$L$196&lt;&gt;"",Completed!$L$196,"")</f>
        <v/>
      </c>
    </row>
  </sheetData>
  <sheetProtection algorithmName="SHA-512" hashValue="JXlw78bKOaSGp0sbeWm/O3Sxj+3zBQnAvUi9HL3p2pkiEV7y6OywxoEfTsUQFf26fYmWtZ7k0ttRH6jCTqr0XQ==" saltValue="4ttowRbmUWOEyTt7onru7g==" spinCount="100000" sheet="1" scenarios="1" formatCells="0" formatColumns="0" formatRows="0"/>
  <sortState ref="A4:F23">
    <sortCondition sortBy="cellColor" ref="A4:A23" dxfId="9"/>
    <sortCondition ref="B4:B23" customList="Mon,Tue,Wed,Thu,Fri,Sat,Sun,'"/>
  </sortState>
  <mergeCells count="18">
    <mergeCell ref="A26:H26"/>
    <mergeCell ref="B27:H27"/>
    <mergeCell ref="A30:A31"/>
    <mergeCell ref="A1:AE1"/>
    <mergeCell ref="N2:AE2"/>
    <mergeCell ref="A2:H2"/>
    <mergeCell ref="J2:L2"/>
    <mergeCell ref="C24:G24"/>
    <mergeCell ref="C25:G25"/>
    <mergeCell ref="B36:H37"/>
    <mergeCell ref="A32:A33"/>
    <mergeCell ref="A36:A37"/>
    <mergeCell ref="A28:A29"/>
    <mergeCell ref="B28:H29"/>
    <mergeCell ref="A34:A35"/>
    <mergeCell ref="B30:H31"/>
    <mergeCell ref="B32:H33"/>
    <mergeCell ref="B34:H35"/>
  </mergeCells>
  <conditionalFormatting sqref="A4">
    <cfRule type="expression" dxfId="8" priority="3">
      <formula>(($E4-$D4)=0)</formula>
    </cfRule>
    <cfRule type="expression" dxfId="7" priority="4">
      <formula>(($E4-$D4)&gt;0)</formula>
    </cfRule>
  </conditionalFormatting>
  <conditionalFormatting sqref="A5:A23">
    <cfRule type="expression" dxfId="6" priority="1">
      <formula>(($E5-$D5)=0)</formula>
    </cfRule>
    <cfRule type="expression" dxfId="5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571500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7</xdr:col>
                    <xdr:colOff>561975</xdr:colOff>
                    <xdr:row>32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2"/>
  <sheetViews>
    <sheetView showGridLines="0" topLeftCell="A165" workbookViewId="0">
      <selection activeCell="F182" sqref="F182"/>
    </sheetView>
  </sheetViews>
  <sheetFormatPr defaultRowHeight="15"/>
  <cols>
    <col min="1" max="1" width="37" style="6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7" bestFit="1" customWidth="1"/>
  </cols>
  <sheetData>
    <row r="1" spans="1:8" ht="16.5">
      <c r="A1" s="211" t="s">
        <v>530</v>
      </c>
      <c r="B1" s="212"/>
      <c r="C1" s="212"/>
      <c r="D1" s="212"/>
      <c r="E1" s="212"/>
      <c r="F1" s="212"/>
      <c r="G1" s="212"/>
      <c r="H1" s="212"/>
    </row>
    <row r="2" spans="1:8" ht="16.5">
      <c r="A2" s="48" t="s">
        <v>3</v>
      </c>
      <c r="B2" s="48" t="s">
        <v>199</v>
      </c>
      <c r="C2" s="48" t="s">
        <v>528</v>
      </c>
      <c r="D2" s="48" t="s">
        <v>320</v>
      </c>
      <c r="E2" s="48" t="s">
        <v>529</v>
      </c>
      <c r="F2" s="48" t="s">
        <v>115</v>
      </c>
      <c r="G2" s="48" t="s">
        <v>499</v>
      </c>
      <c r="H2" s="48" t="s">
        <v>620</v>
      </c>
    </row>
    <row r="3" spans="1:8" ht="16.5">
      <c r="A3" s="65" t="s">
        <v>394</v>
      </c>
      <c r="B3" s="72">
        <v>1</v>
      </c>
      <c r="C3" s="72">
        <v>26</v>
      </c>
      <c r="D3" s="66" t="s">
        <v>318</v>
      </c>
      <c r="E3" s="66" t="s">
        <v>588</v>
      </c>
      <c r="F3" s="135" t="s">
        <v>514</v>
      </c>
      <c r="G3" s="78" t="s">
        <v>660</v>
      </c>
      <c r="H3" s="78" t="s">
        <v>395</v>
      </c>
    </row>
    <row r="4" spans="1:8" ht="16.5">
      <c r="A4" s="65" t="s">
        <v>448</v>
      </c>
      <c r="B4" s="72">
        <v>1</v>
      </c>
      <c r="C4" s="72">
        <v>70</v>
      </c>
      <c r="D4" s="77" t="s">
        <v>165</v>
      </c>
      <c r="E4" s="77" t="s">
        <v>165</v>
      </c>
      <c r="F4" s="77" t="s">
        <v>165</v>
      </c>
      <c r="G4" s="80" t="s">
        <v>621</v>
      </c>
      <c r="H4" s="80" t="s">
        <v>165</v>
      </c>
    </row>
    <row r="5" spans="1:8" ht="16.5">
      <c r="A5" s="65" t="s">
        <v>280</v>
      </c>
      <c r="B5" s="72">
        <v>1</v>
      </c>
      <c r="C5" s="72">
        <v>13</v>
      </c>
      <c r="D5" s="66" t="s">
        <v>318</v>
      </c>
      <c r="E5" s="66" t="s">
        <v>584</v>
      </c>
      <c r="F5" s="66" t="s">
        <v>511</v>
      </c>
      <c r="G5" s="78" t="s">
        <v>664</v>
      </c>
      <c r="H5" s="78" t="s">
        <v>609</v>
      </c>
    </row>
    <row r="6" spans="1:8" ht="16.5">
      <c r="A6" s="65" t="s">
        <v>315</v>
      </c>
      <c r="B6" s="72">
        <v>1</v>
      </c>
      <c r="C6" s="72">
        <v>7</v>
      </c>
      <c r="D6" s="66" t="s">
        <v>321</v>
      </c>
      <c r="E6" s="66" t="s">
        <v>584</v>
      </c>
      <c r="F6" s="66" t="s">
        <v>511</v>
      </c>
      <c r="G6" s="78" t="s">
        <v>653</v>
      </c>
      <c r="H6" s="78" t="s">
        <v>369</v>
      </c>
    </row>
    <row r="7" spans="1:8" ht="16.5">
      <c r="A7" s="65" t="s">
        <v>316</v>
      </c>
      <c r="B7" s="72">
        <v>1</v>
      </c>
      <c r="C7" s="72">
        <v>26</v>
      </c>
      <c r="D7" s="66" t="s">
        <v>321</v>
      </c>
      <c r="E7" s="66" t="s">
        <v>589</v>
      </c>
      <c r="F7" s="66" t="s">
        <v>514</v>
      </c>
      <c r="G7" s="78" t="s">
        <v>636</v>
      </c>
      <c r="H7" s="78" t="s">
        <v>396</v>
      </c>
    </row>
    <row r="8" spans="1:8" ht="16.5">
      <c r="A8" s="58" t="s">
        <v>97</v>
      </c>
      <c r="B8" s="11">
        <v>5</v>
      </c>
      <c r="C8" s="11">
        <v>220</v>
      </c>
      <c r="D8" s="60" t="s">
        <v>165</v>
      </c>
      <c r="E8" s="77" t="s">
        <v>165</v>
      </c>
      <c r="F8" s="77" t="s">
        <v>165</v>
      </c>
      <c r="G8" s="80" t="s">
        <v>631</v>
      </c>
      <c r="H8" s="61" t="s">
        <v>513</v>
      </c>
    </row>
    <row r="9" spans="1:8" ht="16.5">
      <c r="A9" s="58" t="s">
        <v>162</v>
      </c>
      <c r="B9" s="11">
        <v>1</v>
      </c>
      <c r="C9" s="11">
        <v>26</v>
      </c>
      <c r="D9" s="59" t="s">
        <v>318</v>
      </c>
      <c r="E9" s="66" t="s">
        <v>590</v>
      </c>
      <c r="F9" s="66" t="s">
        <v>514</v>
      </c>
      <c r="G9" s="78" t="s">
        <v>663</v>
      </c>
      <c r="H9" s="119" t="s">
        <v>379</v>
      </c>
    </row>
    <row r="10" spans="1:8" ht="16.5">
      <c r="A10" s="65" t="s">
        <v>39</v>
      </c>
      <c r="B10" s="72">
        <v>1</v>
      </c>
      <c r="C10" s="72">
        <v>13</v>
      </c>
      <c r="D10" s="66" t="s">
        <v>318</v>
      </c>
      <c r="E10" s="66" t="s">
        <v>584</v>
      </c>
      <c r="F10" s="66" t="s">
        <v>511</v>
      </c>
      <c r="G10" s="78" t="s">
        <v>634</v>
      </c>
      <c r="H10" s="78" t="s">
        <v>361</v>
      </c>
    </row>
    <row r="11" spans="1:8" ht="16.5">
      <c r="A11" s="65" t="s">
        <v>19</v>
      </c>
      <c r="B11" s="72">
        <v>1</v>
      </c>
      <c r="C11" s="72">
        <v>24</v>
      </c>
      <c r="D11" s="77" t="s">
        <v>321</v>
      </c>
      <c r="E11" s="66" t="s">
        <v>592</v>
      </c>
      <c r="F11" s="66" t="s">
        <v>514</v>
      </c>
      <c r="G11" s="78" t="s">
        <v>658</v>
      </c>
      <c r="H11" s="80" t="s">
        <v>385</v>
      </c>
    </row>
    <row r="12" spans="1:8" ht="16.5">
      <c r="A12" s="65" t="s">
        <v>60</v>
      </c>
      <c r="B12" s="11">
        <v>1</v>
      </c>
      <c r="C12" s="72">
        <v>26</v>
      </c>
      <c r="D12" s="60" t="s">
        <v>318</v>
      </c>
      <c r="E12" s="66" t="s">
        <v>585</v>
      </c>
      <c r="F12" s="101" t="s">
        <v>511</v>
      </c>
      <c r="G12" s="78" t="s">
        <v>659</v>
      </c>
      <c r="H12" s="100" t="s">
        <v>384</v>
      </c>
    </row>
    <row r="13" spans="1:8" ht="16.5">
      <c r="A13" s="58" t="s">
        <v>106</v>
      </c>
      <c r="B13" s="11">
        <v>1</v>
      </c>
      <c r="C13" s="11">
        <v>13</v>
      </c>
      <c r="D13" s="59" t="s">
        <v>318</v>
      </c>
      <c r="E13" s="66" t="s">
        <v>589</v>
      </c>
      <c r="F13" s="66" t="s">
        <v>510</v>
      </c>
      <c r="G13" s="78" t="s">
        <v>659</v>
      </c>
      <c r="H13" s="119" t="s">
        <v>376</v>
      </c>
    </row>
    <row r="14" spans="1:8" ht="16.5">
      <c r="A14" s="58" t="s">
        <v>144</v>
      </c>
      <c r="B14" s="11">
        <v>1</v>
      </c>
      <c r="C14" s="11">
        <v>24</v>
      </c>
      <c r="D14" s="59" t="s">
        <v>318</v>
      </c>
      <c r="E14" s="66" t="s">
        <v>584</v>
      </c>
      <c r="F14" s="66" t="s">
        <v>511</v>
      </c>
      <c r="G14" s="78" t="s">
        <v>659</v>
      </c>
      <c r="H14" s="119" t="s">
        <v>369</v>
      </c>
    </row>
    <row r="15" spans="1:8" ht="16.5">
      <c r="A15" s="58" t="s">
        <v>307</v>
      </c>
      <c r="B15" s="11">
        <v>1</v>
      </c>
      <c r="C15" s="11">
        <v>24</v>
      </c>
      <c r="D15" s="59" t="s">
        <v>318</v>
      </c>
      <c r="E15" s="66" t="s">
        <v>584</v>
      </c>
      <c r="F15" s="66" t="s">
        <v>511</v>
      </c>
      <c r="G15" s="78" t="s">
        <v>652</v>
      </c>
      <c r="H15" s="140" t="s">
        <v>604</v>
      </c>
    </row>
    <row r="16" spans="1:8" ht="16.5">
      <c r="A16" s="65" t="s">
        <v>166</v>
      </c>
      <c r="B16" s="72">
        <v>1</v>
      </c>
      <c r="C16" s="72">
        <v>26</v>
      </c>
      <c r="D16" s="66" t="s">
        <v>318</v>
      </c>
      <c r="E16" s="66" t="s">
        <v>589</v>
      </c>
      <c r="F16" s="66" t="s">
        <v>514</v>
      </c>
      <c r="G16" s="78" t="s">
        <v>666</v>
      </c>
      <c r="H16" s="78" t="s">
        <v>388</v>
      </c>
    </row>
    <row r="17" spans="1:8" ht="16.5">
      <c r="A17" s="58" t="s">
        <v>370</v>
      </c>
      <c r="B17" s="11">
        <v>1</v>
      </c>
      <c r="C17" s="11">
        <v>28</v>
      </c>
      <c r="D17" s="59" t="s">
        <v>318</v>
      </c>
      <c r="E17" s="66" t="s">
        <v>584</v>
      </c>
      <c r="F17" s="66" t="s">
        <v>511</v>
      </c>
      <c r="G17" s="78" t="s">
        <v>666</v>
      </c>
      <c r="H17" s="140" t="s">
        <v>369</v>
      </c>
    </row>
    <row r="18" spans="1:8" ht="16.5">
      <c r="A18" s="65" t="s">
        <v>287</v>
      </c>
      <c r="B18" s="72">
        <v>2</v>
      </c>
      <c r="C18" s="72">
        <v>12</v>
      </c>
      <c r="D18" s="77" t="s">
        <v>321</v>
      </c>
      <c r="E18" s="66" t="s">
        <v>584</v>
      </c>
      <c r="F18" s="66" t="s">
        <v>514</v>
      </c>
      <c r="G18" s="78" t="s">
        <v>657</v>
      </c>
      <c r="H18" s="80" t="s">
        <v>520</v>
      </c>
    </row>
    <row r="19" spans="1:8" ht="16.5">
      <c r="A19" s="65" t="s">
        <v>317</v>
      </c>
      <c r="B19" s="72">
        <v>1</v>
      </c>
      <c r="C19" s="72">
        <v>24</v>
      </c>
      <c r="D19" s="66" t="s">
        <v>318</v>
      </c>
      <c r="E19" s="66" t="s">
        <v>589</v>
      </c>
      <c r="F19" s="66" t="s">
        <v>514</v>
      </c>
      <c r="G19" s="78" t="s">
        <v>657</v>
      </c>
      <c r="H19" s="78" t="s">
        <v>392</v>
      </c>
    </row>
    <row r="20" spans="1:8" ht="16.5">
      <c r="A20" s="65" t="s">
        <v>462</v>
      </c>
      <c r="B20" s="72">
        <v>1</v>
      </c>
      <c r="C20" s="72">
        <v>13</v>
      </c>
      <c r="D20" s="66" t="s">
        <v>321</v>
      </c>
      <c r="E20" s="66" t="s">
        <v>584</v>
      </c>
      <c r="F20" s="66" t="s">
        <v>511</v>
      </c>
      <c r="G20" s="78" t="s">
        <v>657</v>
      </c>
      <c r="H20" s="78" t="s">
        <v>361</v>
      </c>
    </row>
    <row r="21" spans="1:8" ht="16.5">
      <c r="A21" s="65" t="s">
        <v>284</v>
      </c>
      <c r="B21" s="72">
        <v>1</v>
      </c>
      <c r="C21" s="72">
        <v>25</v>
      </c>
      <c r="D21" s="66" t="s">
        <v>318</v>
      </c>
      <c r="E21" s="66"/>
      <c r="F21" s="66" t="s">
        <v>511</v>
      </c>
      <c r="G21" s="78" t="s">
        <v>648</v>
      </c>
      <c r="H21" s="78" t="s">
        <v>601</v>
      </c>
    </row>
    <row r="22" spans="1:8" ht="16.5">
      <c r="A22" s="65" t="s">
        <v>54</v>
      </c>
      <c r="B22" s="72">
        <v>1</v>
      </c>
      <c r="C22" s="72">
        <v>24</v>
      </c>
      <c r="D22" s="66" t="s">
        <v>318</v>
      </c>
      <c r="E22" s="66" t="s">
        <v>584</v>
      </c>
      <c r="F22" s="66" t="s">
        <v>511</v>
      </c>
      <c r="G22" s="78" t="s">
        <v>648</v>
      </c>
      <c r="H22" s="78" t="s">
        <v>604</v>
      </c>
    </row>
    <row r="23" spans="1:8" ht="16.5">
      <c r="A23" s="65" t="s">
        <v>49</v>
      </c>
      <c r="B23" s="72">
        <v>1</v>
      </c>
      <c r="C23" s="72">
        <v>12</v>
      </c>
      <c r="D23" s="66" t="s">
        <v>318</v>
      </c>
      <c r="E23" s="66" t="s">
        <v>584</v>
      </c>
      <c r="F23" s="66" t="s">
        <v>511</v>
      </c>
      <c r="G23" s="78" t="s">
        <v>656</v>
      </c>
      <c r="H23" s="78" t="s">
        <v>383</v>
      </c>
    </row>
    <row r="24" spans="1:8" ht="16.5">
      <c r="A24" s="65" t="s">
        <v>24</v>
      </c>
      <c r="B24" s="72">
        <v>1</v>
      </c>
      <c r="C24" s="72">
        <v>23</v>
      </c>
      <c r="D24" s="66" t="s">
        <v>318</v>
      </c>
      <c r="E24" s="66" t="s">
        <v>584</v>
      </c>
      <c r="F24" s="66" t="s">
        <v>510</v>
      </c>
      <c r="G24" s="78" t="s">
        <v>656</v>
      </c>
      <c r="H24" s="78" t="s">
        <v>519</v>
      </c>
    </row>
    <row r="25" spans="1:8" ht="16.5">
      <c r="A25" s="65" t="s">
        <v>286</v>
      </c>
      <c r="B25" s="72">
        <v>1</v>
      </c>
      <c r="C25" s="72">
        <v>26</v>
      </c>
      <c r="D25" s="66" t="s">
        <v>318</v>
      </c>
      <c r="E25" s="66" t="s">
        <v>584</v>
      </c>
      <c r="F25" s="66" t="s">
        <v>511</v>
      </c>
      <c r="G25" s="78" t="s">
        <v>638</v>
      </c>
      <c r="H25" s="78" t="s">
        <v>602</v>
      </c>
    </row>
    <row r="26" spans="1:8" ht="16.5">
      <c r="A26" s="65" t="s">
        <v>309</v>
      </c>
      <c r="B26" s="72">
        <v>1</v>
      </c>
      <c r="C26" s="72">
        <v>24</v>
      </c>
      <c r="D26" s="66" t="s">
        <v>318</v>
      </c>
      <c r="E26" s="66" t="s">
        <v>584</v>
      </c>
      <c r="F26" s="66" t="s">
        <v>511</v>
      </c>
      <c r="G26" s="78" t="s">
        <v>638</v>
      </c>
      <c r="H26" s="78" t="s">
        <v>603</v>
      </c>
    </row>
    <row r="27" spans="1:8" ht="16.5">
      <c r="A27" s="58" t="s">
        <v>192</v>
      </c>
      <c r="B27" s="11">
        <v>1</v>
      </c>
      <c r="C27" s="11">
        <v>24</v>
      </c>
      <c r="D27" s="59" t="s">
        <v>318</v>
      </c>
      <c r="E27" s="66" t="s">
        <v>584</v>
      </c>
      <c r="F27" s="66" t="s">
        <v>511</v>
      </c>
      <c r="G27" s="78" t="s">
        <v>638</v>
      </c>
      <c r="H27" s="140" t="s">
        <v>361</v>
      </c>
    </row>
    <row r="28" spans="1:8" ht="16.5">
      <c r="A28" s="58" t="s">
        <v>167</v>
      </c>
      <c r="B28" s="11">
        <v>1</v>
      </c>
      <c r="C28" s="11">
        <v>16</v>
      </c>
      <c r="D28" s="59" t="s">
        <v>321</v>
      </c>
      <c r="E28" s="66" t="s">
        <v>584</v>
      </c>
      <c r="F28" s="66" t="s">
        <v>511</v>
      </c>
      <c r="G28" s="78" t="s">
        <v>637</v>
      </c>
      <c r="H28" s="76" t="s">
        <v>616</v>
      </c>
    </row>
    <row r="29" spans="1:8" ht="16.5">
      <c r="A29" s="65" t="s">
        <v>518</v>
      </c>
      <c r="B29" s="72">
        <v>2</v>
      </c>
      <c r="C29" s="72">
        <v>12</v>
      </c>
      <c r="D29" s="66" t="s">
        <v>321</v>
      </c>
      <c r="E29" s="66" t="s">
        <v>584</v>
      </c>
      <c r="F29" s="66" t="s">
        <v>511</v>
      </c>
      <c r="G29" s="78" t="s">
        <v>637</v>
      </c>
      <c r="H29" s="78" t="s">
        <v>361</v>
      </c>
    </row>
    <row r="30" spans="1:8" ht="16.5">
      <c r="A30" s="58" t="s">
        <v>110</v>
      </c>
      <c r="B30" s="11">
        <v>1</v>
      </c>
      <c r="C30" s="11">
        <v>22</v>
      </c>
      <c r="D30" s="59" t="s">
        <v>318</v>
      </c>
      <c r="E30" s="66" t="s">
        <v>584</v>
      </c>
      <c r="F30" s="66" t="s">
        <v>511</v>
      </c>
      <c r="G30" s="78" t="s">
        <v>647</v>
      </c>
      <c r="H30" s="140" t="s">
        <v>618</v>
      </c>
    </row>
    <row r="31" spans="1:8" ht="16.5">
      <c r="A31" s="58" t="s">
        <v>196</v>
      </c>
      <c r="B31" s="11">
        <v>2</v>
      </c>
      <c r="C31" s="11">
        <v>24</v>
      </c>
      <c r="D31" s="59" t="s">
        <v>318</v>
      </c>
      <c r="E31" s="66" t="s">
        <v>584</v>
      </c>
      <c r="F31" s="66" t="s">
        <v>510</v>
      </c>
      <c r="G31" s="78" t="s">
        <v>647</v>
      </c>
      <c r="H31" s="140" t="s">
        <v>619</v>
      </c>
    </row>
    <row r="32" spans="1:8" ht="16.5">
      <c r="A32" s="58" t="s">
        <v>27</v>
      </c>
      <c r="B32" s="11">
        <v>1</v>
      </c>
      <c r="C32" s="11">
        <v>13</v>
      </c>
      <c r="D32" s="59" t="s">
        <v>321</v>
      </c>
      <c r="E32" s="66" t="s">
        <v>584</v>
      </c>
      <c r="F32" s="66" t="s">
        <v>511</v>
      </c>
      <c r="G32" s="78" t="s">
        <v>665</v>
      </c>
      <c r="H32" s="119" t="s">
        <v>602</v>
      </c>
    </row>
    <row r="33" spans="1:8" ht="16.5">
      <c r="A33" s="65" t="s">
        <v>285</v>
      </c>
      <c r="B33" s="72">
        <v>2</v>
      </c>
      <c r="C33" s="72">
        <v>25</v>
      </c>
      <c r="D33" s="66" t="s">
        <v>318</v>
      </c>
      <c r="E33" s="66"/>
      <c r="F33" s="66" t="s">
        <v>511</v>
      </c>
      <c r="G33" s="78" t="s">
        <v>649</v>
      </c>
      <c r="H33" s="80" t="s">
        <v>601</v>
      </c>
    </row>
    <row r="34" spans="1:8" ht="16.5">
      <c r="A34" s="65" t="s">
        <v>21</v>
      </c>
      <c r="B34" s="72">
        <v>1</v>
      </c>
      <c r="C34" s="72">
        <v>12</v>
      </c>
      <c r="D34" s="66" t="s">
        <v>318</v>
      </c>
      <c r="E34" s="66" t="s">
        <v>584</v>
      </c>
      <c r="F34" s="66" t="s">
        <v>510</v>
      </c>
      <c r="G34" s="78" t="s">
        <v>649</v>
      </c>
      <c r="H34" s="78" t="s">
        <v>386</v>
      </c>
    </row>
    <row r="35" spans="1:8" ht="16.5">
      <c r="A35" s="65" t="s">
        <v>35</v>
      </c>
      <c r="B35" s="72">
        <v>1</v>
      </c>
      <c r="C35" s="72">
        <v>12</v>
      </c>
      <c r="D35" s="66" t="s">
        <v>318</v>
      </c>
      <c r="E35" s="66" t="s">
        <v>584</v>
      </c>
      <c r="F35" s="66" t="s">
        <v>511</v>
      </c>
      <c r="G35" s="78" t="s">
        <v>649</v>
      </c>
      <c r="H35" s="78" t="s">
        <v>369</v>
      </c>
    </row>
    <row r="36" spans="1:8" ht="16.5">
      <c r="A36" s="65" t="s">
        <v>497</v>
      </c>
      <c r="B36" s="72">
        <v>3</v>
      </c>
      <c r="C36" s="72">
        <v>13</v>
      </c>
      <c r="D36" s="77" t="s">
        <v>165</v>
      </c>
      <c r="E36" s="66" t="s">
        <v>165</v>
      </c>
      <c r="F36" s="66" t="s">
        <v>165</v>
      </c>
      <c r="G36" s="78" t="s">
        <v>622</v>
      </c>
      <c r="H36" s="78" t="s">
        <v>165</v>
      </c>
    </row>
    <row r="37" spans="1:8" ht="16.5">
      <c r="A37" s="65" t="s">
        <v>517</v>
      </c>
      <c r="B37" s="72">
        <v>3</v>
      </c>
      <c r="C37" s="72">
        <v>12</v>
      </c>
      <c r="D37" s="66" t="s">
        <v>321</v>
      </c>
      <c r="E37" s="66" t="s">
        <v>584</v>
      </c>
      <c r="F37" s="66" t="s">
        <v>511</v>
      </c>
      <c r="G37" s="78" t="s">
        <v>622</v>
      </c>
      <c r="H37" s="78" t="s">
        <v>361</v>
      </c>
    </row>
    <row r="38" spans="1:8" ht="16.5">
      <c r="A38" s="58" t="s">
        <v>672</v>
      </c>
      <c r="B38" s="11">
        <v>2</v>
      </c>
      <c r="C38" s="11">
        <v>22</v>
      </c>
      <c r="D38" s="59" t="s">
        <v>318</v>
      </c>
      <c r="E38" s="66" t="s">
        <v>584</v>
      </c>
      <c r="F38" s="66" t="s">
        <v>511</v>
      </c>
      <c r="G38" s="78" t="s">
        <v>646</v>
      </c>
      <c r="H38" s="140" t="s">
        <v>361</v>
      </c>
    </row>
    <row r="39" spans="1:8" ht="16.5">
      <c r="A39" s="65" t="s">
        <v>288</v>
      </c>
      <c r="B39" s="72">
        <v>2</v>
      </c>
      <c r="C39" s="72">
        <v>11</v>
      </c>
      <c r="D39" s="66" t="s">
        <v>318</v>
      </c>
      <c r="E39" s="66" t="s">
        <v>584</v>
      </c>
      <c r="F39" s="66" t="s">
        <v>510</v>
      </c>
      <c r="G39" s="78" t="s">
        <v>646</v>
      </c>
      <c r="H39" s="78" t="s">
        <v>598</v>
      </c>
    </row>
    <row r="40" spans="1:8" ht="16.5">
      <c r="A40" s="58" t="s">
        <v>591</v>
      </c>
      <c r="B40" s="11">
        <v>1</v>
      </c>
      <c r="C40" s="11">
        <v>24</v>
      </c>
      <c r="D40" s="59" t="s">
        <v>318</v>
      </c>
      <c r="E40" s="66" t="s">
        <v>584</v>
      </c>
      <c r="F40" s="66" t="s">
        <v>511</v>
      </c>
      <c r="G40" s="78" t="s">
        <v>646</v>
      </c>
      <c r="H40" s="140" t="s">
        <v>604</v>
      </c>
    </row>
    <row r="41" spans="1:8" ht="16.5">
      <c r="A41" s="58" t="s">
        <v>190</v>
      </c>
      <c r="B41" s="11">
        <v>1</v>
      </c>
      <c r="C41" s="11">
        <v>25</v>
      </c>
      <c r="D41" s="59" t="s">
        <v>318</v>
      </c>
      <c r="E41" s="66" t="s">
        <v>584</v>
      </c>
      <c r="F41" s="66" t="s">
        <v>511</v>
      </c>
      <c r="G41" s="78" t="s">
        <v>646</v>
      </c>
      <c r="H41" s="140" t="s">
        <v>601</v>
      </c>
    </row>
    <row r="42" spans="1:8" ht="16.5">
      <c r="A42" s="65" t="s">
        <v>278</v>
      </c>
      <c r="B42" s="72">
        <v>1</v>
      </c>
      <c r="C42" s="72">
        <v>52</v>
      </c>
      <c r="D42" s="66" t="s">
        <v>318</v>
      </c>
      <c r="E42" s="66" t="s">
        <v>586</v>
      </c>
      <c r="F42" s="66" t="s">
        <v>514</v>
      </c>
      <c r="G42" s="78" t="s">
        <v>655</v>
      </c>
      <c r="H42" s="78" t="s">
        <v>380</v>
      </c>
    </row>
    <row r="43" spans="1:8" ht="16.5">
      <c r="A43" s="65" t="s">
        <v>355</v>
      </c>
      <c r="B43" s="72">
        <v>1</v>
      </c>
      <c r="C43" s="72">
        <v>26</v>
      </c>
      <c r="D43" s="77" t="s">
        <v>321</v>
      </c>
      <c r="E43" s="66" t="s">
        <v>584</v>
      </c>
      <c r="F43" s="77" t="s">
        <v>511</v>
      </c>
      <c r="G43" s="80" t="s">
        <v>655</v>
      </c>
      <c r="H43" s="78" t="s">
        <v>604</v>
      </c>
    </row>
    <row r="44" spans="1:8" ht="16.5">
      <c r="A44" s="65" t="s">
        <v>515</v>
      </c>
      <c r="B44" s="72">
        <v>2</v>
      </c>
      <c r="C44" s="72">
        <v>64</v>
      </c>
      <c r="D44" s="66" t="s">
        <v>321</v>
      </c>
      <c r="E44" s="66" t="s">
        <v>584</v>
      </c>
      <c r="F44" s="66" t="s">
        <v>510</v>
      </c>
      <c r="G44" s="78" t="s">
        <v>654</v>
      </c>
      <c r="H44" s="78" t="s">
        <v>382</v>
      </c>
    </row>
    <row r="45" spans="1:8" ht="16.5">
      <c r="A45" s="58" t="s">
        <v>145</v>
      </c>
      <c r="B45" s="11">
        <v>1</v>
      </c>
      <c r="C45" s="11">
        <v>13</v>
      </c>
      <c r="D45" s="59" t="s">
        <v>318</v>
      </c>
      <c r="E45" s="66" t="s">
        <v>584</v>
      </c>
      <c r="F45" s="66" t="s">
        <v>511</v>
      </c>
      <c r="G45" s="78" t="s">
        <v>654</v>
      </c>
      <c r="H45" s="140" t="s">
        <v>373</v>
      </c>
    </row>
    <row r="46" spans="1:8" ht="16.5">
      <c r="A46" s="58" t="s">
        <v>50</v>
      </c>
      <c r="B46" s="11">
        <v>1</v>
      </c>
      <c r="C46" s="11">
        <v>15</v>
      </c>
      <c r="D46" s="59" t="s">
        <v>318</v>
      </c>
      <c r="E46" s="66" t="s">
        <v>584</v>
      </c>
      <c r="F46" s="66" t="s">
        <v>511</v>
      </c>
      <c r="G46" s="78" t="s">
        <v>640</v>
      </c>
      <c r="H46" s="119" t="s">
        <v>599</v>
      </c>
    </row>
    <row r="47" spans="1:8" ht="16.5">
      <c r="A47" s="58" t="s">
        <v>33</v>
      </c>
      <c r="B47" s="11">
        <v>2</v>
      </c>
      <c r="C47" s="11">
        <v>12</v>
      </c>
      <c r="D47" s="59" t="s">
        <v>321</v>
      </c>
      <c r="E47" s="66" t="s">
        <v>584</v>
      </c>
      <c r="F47" s="66" t="s">
        <v>511</v>
      </c>
      <c r="G47" s="78" t="s">
        <v>640</v>
      </c>
      <c r="H47" s="140" t="s">
        <v>600</v>
      </c>
    </row>
    <row r="48" spans="1:8" ht="16.5">
      <c r="A48" s="65" t="s">
        <v>314</v>
      </c>
      <c r="B48" s="72">
        <v>1</v>
      </c>
      <c r="C48" s="72">
        <v>12</v>
      </c>
      <c r="D48" s="66" t="s">
        <v>321</v>
      </c>
      <c r="E48" s="66" t="s">
        <v>584</v>
      </c>
      <c r="F48" s="66" t="s">
        <v>511</v>
      </c>
      <c r="G48" s="78" t="s">
        <v>661</v>
      </c>
      <c r="H48" s="78" t="s">
        <v>617</v>
      </c>
    </row>
    <row r="49" spans="1:8" ht="16.5">
      <c r="A49" s="58" t="s">
        <v>301</v>
      </c>
      <c r="B49" s="11">
        <v>1</v>
      </c>
      <c r="C49" s="11">
        <v>13</v>
      </c>
      <c r="D49" s="59" t="s">
        <v>318</v>
      </c>
      <c r="E49" s="66" t="s">
        <v>584</v>
      </c>
      <c r="F49" s="66" t="s">
        <v>514</v>
      </c>
      <c r="G49" s="78" t="s">
        <v>661</v>
      </c>
      <c r="H49" s="140" t="s">
        <v>381</v>
      </c>
    </row>
    <row r="50" spans="1:8" ht="16.5">
      <c r="A50" s="58" t="s">
        <v>521</v>
      </c>
      <c r="B50" s="11">
        <v>1</v>
      </c>
      <c r="C50" s="11">
        <v>24</v>
      </c>
      <c r="D50" s="59" t="s">
        <v>318</v>
      </c>
      <c r="E50" s="66" t="s">
        <v>584</v>
      </c>
      <c r="F50" s="66" t="s">
        <v>511</v>
      </c>
      <c r="G50" s="78" t="s">
        <v>661</v>
      </c>
      <c r="H50" s="140" t="s">
        <v>369</v>
      </c>
    </row>
    <row r="51" spans="1:8" ht="16.5">
      <c r="A51" s="58" t="s">
        <v>86</v>
      </c>
      <c r="B51" s="11">
        <v>1</v>
      </c>
      <c r="C51" s="11">
        <v>13</v>
      </c>
      <c r="D51" s="59" t="s">
        <v>318</v>
      </c>
      <c r="E51" s="66" t="s">
        <v>585</v>
      </c>
      <c r="F51" s="66" t="s">
        <v>511</v>
      </c>
      <c r="G51" s="78" t="s">
        <v>627</v>
      </c>
      <c r="H51" s="140" t="s">
        <v>369</v>
      </c>
    </row>
    <row r="52" spans="1:8" ht="16.5">
      <c r="A52" s="58" t="s">
        <v>168</v>
      </c>
      <c r="B52" s="11">
        <v>1</v>
      </c>
      <c r="C52" s="11">
        <v>25</v>
      </c>
      <c r="D52" s="59" t="s">
        <v>321</v>
      </c>
      <c r="E52" s="66" t="s">
        <v>584</v>
      </c>
      <c r="F52" s="66" t="s">
        <v>511</v>
      </c>
      <c r="G52" s="78" t="s">
        <v>627</v>
      </c>
      <c r="H52" s="140" t="s">
        <v>601</v>
      </c>
    </row>
    <row r="53" spans="1:8" ht="16.5">
      <c r="A53" s="65" t="s">
        <v>552</v>
      </c>
      <c r="B53" s="72">
        <v>2</v>
      </c>
      <c r="C53" s="72">
        <v>12</v>
      </c>
      <c r="D53" s="77" t="s">
        <v>165</v>
      </c>
      <c r="E53" s="66" t="s">
        <v>165</v>
      </c>
      <c r="F53" s="66" t="s">
        <v>165</v>
      </c>
      <c r="G53" s="78" t="s">
        <v>627</v>
      </c>
      <c r="H53" s="78" t="s">
        <v>165</v>
      </c>
    </row>
    <row r="54" spans="1:8" ht="16.5">
      <c r="A54" s="65" t="s">
        <v>311</v>
      </c>
      <c r="B54" s="72">
        <v>1</v>
      </c>
      <c r="C54" s="72">
        <v>12</v>
      </c>
      <c r="D54" s="66" t="s">
        <v>321</v>
      </c>
      <c r="E54" s="66" t="s">
        <v>584</v>
      </c>
      <c r="F54" s="66" t="s">
        <v>511</v>
      </c>
      <c r="G54" s="78" t="s">
        <v>627</v>
      </c>
      <c r="H54" s="78" t="s">
        <v>600</v>
      </c>
    </row>
    <row r="55" spans="1:8" ht="16.5">
      <c r="A55" s="65" t="s">
        <v>289</v>
      </c>
      <c r="B55" s="72">
        <v>3</v>
      </c>
      <c r="C55" s="72">
        <v>12</v>
      </c>
      <c r="D55" s="66" t="s">
        <v>318</v>
      </c>
      <c r="E55" s="66" t="s">
        <v>584</v>
      </c>
      <c r="F55" s="66" t="s">
        <v>510</v>
      </c>
      <c r="G55" s="78" t="s">
        <v>627</v>
      </c>
      <c r="H55" s="78" t="s">
        <v>373</v>
      </c>
    </row>
    <row r="56" spans="1:8" ht="16.5">
      <c r="A56" s="65" t="s">
        <v>73</v>
      </c>
      <c r="B56" s="72">
        <v>1</v>
      </c>
      <c r="C56" s="72">
        <v>24</v>
      </c>
      <c r="D56" s="77" t="s">
        <v>165</v>
      </c>
      <c r="E56" s="66" t="s">
        <v>165</v>
      </c>
      <c r="F56" s="66" t="s">
        <v>165</v>
      </c>
      <c r="G56" s="78" t="s">
        <v>627</v>
      </c>
      <c r="H56" s="78" t="s">
        <v>165</v>
      </c>
    </row>
    <row r="57" spans="1:8" ht="16.5">
      <c r="A57" s="58" t="s">
        <v>227</v>
      </c>
      <c r="B57" s="11">
        <v>1</v>
      </c>
      <c r="C57" s="11">
        <v>13</v>
      </c>
      <c r="D57" s="59" t="s">
        <v>318</v>
      </c>
      <c r="E57" s="66" t="s">
        <v>584</v>
      </c>
      <c r="F57" s="66" t="s">
        <v>511</v>
      </c>
      <c r="G57" s="78" t="s">
        <v>627</v>
      </c>
      <c r="H57" s="140" t="s">
        <v>610</v>
      </c>
    </row>
    <row r="58" spans="1:8" ht="16.5">
      <c r="A58" s="58" t="s">
        <v>29</v>
      </c>
      <c r="B58" s="11">
        <v>1</v>
      </c>
      <c r="C58" s="11">
        <v>14</v>
      </c>
      <c r="D58" s="59" t="s">
        <v>318</v>
      </c>
      <c r="E58" s="66" t="s">
        <v>584</v>
      </c>
      <c r="F58" s="66" t="s">
        <v>511</v>
      </c>
      <c r="G58" s="78" t="s">
        <v>623</v>
      </c>
      <c r="H58" s="140" t="s">
        <v>361</v>
      </c>
    </row>
    <row r="59" spans="1:8" ht="16.5">
      <c r="A59" s="65" t="s">
        <v>169</v>
      </c>
      <c r="B59" s="72">
        <v>1</v>
      </c>
      <c r="C59" s="72">
        <v>27</v>
      </c>
      <c r="D59" s="66" t="s">
        <v>318</v>
      </c>
      <c r="E59" s="66" t="s">
        <v>584</v>
      </c>
      <c r="F59" s="66" t="s">
        <v>510</v>
      </c>
      <c r="G59" s="78" t="s">
        <v>623</v>
      </c>
      <c r="H59" s="78" t="s">
        <v>343</v>
      </c>
    </row>
    <row r="60" spans="1:8" ht="16.5">
      <c r="A60" s="58" t="s">
        <v>193</v>
      </c>
      <c r="B60" s="11">
        <v>2</v>
      </c>
      <c r="C60" s="11">
        <v>24</v>
      </c>
      <c r="D60" s="59" t="s">
        <v>318</v>
      </c>
      <c r="E60" s="66" t="s">
        <v>584</v>
      </c>
      <c r="F60" s="66" t="s">
        <v>511</v>
      </c>
      <c r="G60" s="78" t="s">
        <v>623</v>
      </c>
      <c r="H60" s="140" t="s">
        <v>369</v>
      </c>
    </row>
    <row r="61" spans="1:8" ht="16.5">
      <c r="A61" s="58" t="s">
        <v>28</v>
      </c>
      <c r="B61" s="11">
        <v>1</v>
      </c>
      <c r="C61" s="11">
        <v>11</v>
      </c>
      <c r="D61" s="59" t="s">
        <v>318</v>
      </c>
      <c r="E61" s="66" t="s">
        <v>584</v>
      </c>
      <c r="F61" s="66" t="s">
        <v>511</v>
      </c>
      <c r="G61" s="78" t="s">
        <v>623</v>
      </c>
      <c r="H61" s="140" t="s">
        <v>369</v>
      </c>
    </row>
    <row r="62" spans="1:8" ht="16.5">
      <c r="A62" s="65" t="s">
        <v>641</v>
      </c>
      <c r="B62" s="72">
        <v>1</v>
      </c>
      <c r="C62" s="72">
        <v>25</v>
      </c>
      <c r="D62" s="66" t="s">
        <v>321</v>
      </c>
      <c r="E62" s="66" t="s">
        <v>584</v>
      </c>
      <c r="F62" s="66" t="s">
        <v>510</v>
      </c>
      <c r="G62" s="78" t="s">
        <v>644</v>
      </c>
      <c r="H62" s="78" t="s">
        <v>426</v>
      </c>
    </row>
    <row r="63" spans="1:8" ht="16.5">
      <c r="A63" s="58" t="s">
        <v>177</v>
      </c>
      <c r="B63" s="11">
        <v>1</v>
      </c>
      <c r="C63" s="11">
        <v>16</v>
      </c>
      <c r="D63" s="59" t="s">
        <v>318</v>
      </c>
      <c r="E63" s="66" t="s">
        <v>584</v>
      </c>
      <c r="F63" s="66" t="s">
        <v>511</v>
      </c>
      <c r="G63" s="78" t="s">
        <v>644</v>
      </c>
      <c r="H63" s="140" t="s">
        <v>600</v>
      </c>
    </row>
    <row r="64" spans="1:8" ht="16.5">
      <c r="A64" s="58" t="s">
        <v>231</v>
      </c>
      <c r="B64" s="11">
        <v>1</v>
      </c>
      <c r="C64" s="11">
        <v>13</v>
      </c>
      <c r="D64" s="59" t="s">
        <v>318</v>
      </c>
      <c r="E64" s="66" t="s">
        <v>584</v>
      </c>
      <c r="F64" s="66" t="s">
        <v>511</v>
      </c>
      <c r="G64" s="78" t="s">
        <v>644</v>
      </c>
      <c r="H64" s="140" t="s">
        <v>488</v>
      </c>
    </row>
    <row r="65" spans="1:8" ht="16.5">
      <c r="A65" s="58" t="s">
        <v>99</v>
      </c>
      <c r="B65" s="11">
        <v>1</v>
      </c>
      <c r="C65" s="11">
        <v>12</v>
      </c>
      <c r="D65" s="59" t="s">
        <v>318</v>
      </c>
      <c r="E65" s="66" t="s">
        <v>584</v>
      </c>
      <c r="F65" s="66" t="s">
        <v>511</v>
      </c>
      <c r="G65" s="78" t="s">
        <v>644</v>
      </c>
      <c r="H65" s="140" t="s">
        <v>343</v>
      </c>
    </row>
    <row r="66" spans="1:8" ht="16.5">
      <c r="A66" s="65" t="s">
        <v>290</v>
      </c>
      <c r="B66" s="72">
        <v>2</v>
      </c>
      <c r="C66" s="72">
        <v>12</v>
      </c>
      <c r="D66" s="66" t="s">
        <v>318</v>
      </c>
      <c r="E66" s="66" t="s">
        <v>584</v>
      </c>
      <c r="F66" s="66" t="s">
        <v>511</v>
      </c>
      <c r="G66" s="78" t="s">
        <v>644</v>
      </c>
      <c r="H66" s="78" t="s">
        <v>387</v>
      </c>
    </row>
    <row r="67" spans="1:8" ht="16.5">
      <c r="A67" s="65" t="s">
        <v>32</v>
      </c>
      <c r="B67" s="72">
        <v>1</v>
      </c>
      <c r="C67" s="72">
        <v>12</v>
      </c>
      <c r="D67" s="66" t="s">
        <v>318</v>
      </c>
      <c r="E67" s="66" t="s">
        <v>584</v>
      </c>
      <c r="F67" s="66" t="s">
        <v>511</v>
      </c>
      <c r="G67" s="78" t="s">
        <v>644</v>
      </c>
      <c r="H67" s="78" t="s">
        <v>389</v>
      </c>
    </row>
    <row r="68" spans="1:8" ht="16.5">
      <c r="A68" s="58" t="s">
        <v>175</v>
      </c>
      <c r="B68" s="11">
        <v>2</v>
      </c>
      <c r="C68" s="11">
        <v>24</v>
      </c>
      <c r="D68" s="59" t="s">
        <v>318</v>
      </c>
      <c r="E68" s="66" t="s">
        <v>584</v>
      </c>
      <c r="F68" s="66" t="s">
        <v>511</v>
      </c>
      <c r="G68" s="78" t="s">
        <v>644</v>
      </c>
      <c r="H68" s="140" t="s">
        <v>613</v>
      </c>
    </row>
    <row r="69" spans="1:8" ht="16.5">
      <c r="A69" s="58" t="s">
        <v>37</v>
      </c>
      <c r="B69" s="11">
        <v>1</v>
      </c>
      <c r="C69" s="11">
        <v>12</v>
      </c>
      <c r="D69" s="59" t="s">
        <v>318</v>
      </c>
      <c r="E69" s="66" t="s">
        <v>584</v>
      </c>
      <c r="F69" s="66" t="s">
        <v>511</v>
      </c>
      <c r="G69" s="78" t="s">
        <v>644</v>
      </c>
      <c r="H69" s="140" t="s">
        <v>615</v>
      </c>
    </row>
    <row r="70" spans="1:8" ht="16.5">
      <c r="A70" s="58" t="s">
        <v>61</v>
      </c>
      <c r="B70" s="11">
        <v>1</v>
      </c>
      <c r="C70" s="11">
        <v>12</v>
      </c>
      <c r="D70" s="59" t="s">
        <v>321</v>
      </c>
      <c r="E70" s="66" t="s">
        <v>584</v>
      </c>
      <c r="F70" s="66" t="s">
        <v>511</v>
      </c>
      <c r="G70" s="78" t="s">
        <v>662</v>
      </c>
      <c r="H70" s="140" t="s">
        <v>361</v>
      </c>
    </row>
    <row r="71" spans="1:8" ht="16.5">
      <c r="A71" s="58" t="s">
        <v>224</v>
      </c>
      <c r="B71" s="11">
        <v>1</v>
      </c>
      <c r="C71" s="11">
        <v>11</v>
      </c>
      <c r="D71" s="59" t="s">
        <v>318</v>
      </c>
      <c r="E71" s="66" t="s">
        <v>585</v>
      </c>
      <c r="F71" s="66" t="s">
        <v>511</v>
      </c>
      <c r="G71" s="78" t="s">
        <v>630</v>
      </c>
      <c r="H71" s="140" t="s">
        <v>361</v>
      </c>
    </row>
    <row r="72" spans="1:8" ht="16.5">
      <c r="A72" s="65" t="s">
        <v>42</v>
      </c>
      <c r="B72" s="72">
        <v>1</v>
      </c>
      <c r="C72" s="72">
        <v>12</v>
      </c>
      <c r="D72" s="66" t="s">
        <v>321</v>
      </c>
      <c r="E72" s="66" t="s">
        <v>584</v>
      </c>
      <c r="F72" s="66" t="s">
        <v>511</v>
      </c>
      <c r="G72" s="78" t="s">
        <v>630</v>
      </c>
      <c r="H72" s="78" t="s">
        <v>600</v>
      </c>
    </row>
    <row r="73" spans="1:8" ht="16.5">
      <c r="A73" s="65" t="s">
        <v>279</v>
      </c>
      <c r="B73" s="72">
        <v>1</v>
      </c>
      <c r="C73" s="72">
        <v>12</v>
      </c>
      <c r="D73" s="66" t="s">
        <v>318</v>
      </c>
      <c r="E73" s="66" t="s">
        <v>584</v>
      </c>
      <c r="F73" s="66" t="s">
        <v>510</v>
      </c>
      <c r="G73" s="78" t="s">
        <v>630</v>
      </c>
      <c r="H73" s="78" t="s">
        <v>342</v>
      </c>
    </row>
    <row r="74" spans="1:8" ht="16.5">
      <c r="A74" s="58" t="s">
        <v>191</v>
      </c>
      <c r="B74" s="11">
        <v>1</v>
      </c>
      <c r="C74" s="11">
        <v>26</v>
      </c>
      <c r="D74" s="59" t="s">
        <v>318</v>
      </c>
      <c r="E74" s="66"/>
      <c r="F74" s="66" t="s">
        <v>511</v>
      </c>
      <c r="G74" s="78" t="s">
        <v>630</v>
      </c>
      <c r="H74" s="140" t="s">
        <v>361</v>
      </c>
    </row>
    <row r="75" spans="1:8" ht="16.5">
      <c r="A75" s="65" t="s">
        <v>293</v>
      </c>
      <c r="B75" s="72">
        <v>2</v>
      </c>
      <c r="C75" s="72">
        <v>12</v>
      </c>
      <c r="D75" s="77" t="s">
        <v>165</v>
      </c>
      <c r="E75" s="66" t="s">
        <v>165</v>
      </c>
      <c r="F75" s="66" t="s">
        <v>165</v>
      </c>
      <c r="G75" s="78" t="s">
        <v>630</v>
      </c>
      <c r="H75" s="78" t="s">
        <v>165</v>
      </c>
    </row>
    <row r="76" spans="1:8" ht="16.5">
      <c r="A76" s="58" t="s">
        <v>111</v>
      </c>
      <c r="B76" s="11">
        <v>1</v>
      </c>
      <c r="C76" s="11">
        <v>25</v>
      </c>
      <c r="D76" s="59" t="s">
        <v>318</v>
      </c>
      <c r="E76" s="66" t="s">
        <v>584</v>
      </c>
      <c r="F76" s="66" t="s">
        <v>511</v>
      </c>
      <c r="G76" s="78" t="s">
        <v>630</v>
      </c>
      <c r="H76" s="140" t="s">
        <v>488</v>
      </c>
    </row>
    <row r="77" spans="1:8" ht="16.5">
      <c r="A77" s="65" t="s">
        <v>291</v>
      </c>
      <c r="B77" s="72">
        <v>2</v>
      </c>
      <c r="C77" s="72">
        <v>12</v>
      </c>
      <c r="D77" s="66" t="s">
        <v>318</v>
      </c>
      <c r="E77" s="66" t="s">
        <v>584</v>
      </c>
      <c r="F77" s="66" t="s">
        <v>511</v>
      </c>
      <c r="G77" s="78" t="s">
        <v>630</v>
      </c>
      <c r="H77" s="78" t="s">
        <v>389</v>
      </c>
    </row>
    <row r="78" spans="1:8" ht="16.5">
      <c r="A78" s="58" t="s">
        <v>81</v>
      </c>
      <c r="B78" s="11">
        <v>2</v>
      </c>
      <c r="C78" s="11">
        <v>13</v>
      </c>
      <c r="D78" s="59" t="s">
        <v>318</v>
      </c>
      <c r="E78" s="66" t="s">
        <v>584</v>
      </c>
      <c r="F78" s="66" t="s">
        <v>511</v>
      </c>
      <c r="G78" s="78" t="s">
        <v>639</v>
      </c>
      <c r="H78" s="140" t="s">
        <v>527</v>
      </c>
    </row>
    <row r="79" spans="1:8" ht="16.5">
      <c r="A79" s="58" t="s">
        <v>164</v>
      </c>
      <c r="B79" s="11">
        <v>1</v>
      </c>
      <c r="C79" s="11">
        <v>12</v>
      </c>
      <c r="D79" s="59" t="s">
        <v>318</v>
      </c>
      <c r="E79" s="66" t="s">
        <v>584</v>
      </c>
      <c r="F79" s="66" t="s">
        <v>511</v>
      </c>
      <c r="G79" s="78" t="s">
        <v>639</v>
      </c>
      <c r="H79" s="140" t="s">
        <v>608</v>
      </c>
    </row>
    <row r="80" spans="1:8" ht="16.5">
      <c r="A80" s="58" t="s">
        <v>195</v>
      </c>
      <c r="B80" s="11">
        <v>1</v>
      </c>
      <c r="C80" s="11">
        <v>26</v>
      </c>
      <c r="D80" s="59" t="s">
        <v>318</v>
      </c>
      <c r="E80" s="66" t="s">
        <v>584</v>
      </c>
      <c r="F80" s="66" t="s">
        <v>511</v>
      </c>
      <c r="G80" s="78" t="s">
        <v>639</v>
      </c>
      <c r="H80" s="140" t="s">
        <v>612</v>
      </c>
    </row>
    <row r="81" spans="1:8" ht="16.5">
      <c r="A81" s="65" t="s">
        <v>390</v>
      </c>
      <c r="B81" s="72">
        <v>1</v>
      </c>
      <c r="C81" s="72">
        <v>11</v>
      </c>
      <c r="D81" s="66" t="s">
        <v>318</v>
      </c>
      <c r="E81" s="66" t="s">
        <v>584</v>
      </c>
      <c r="F81" s="66" t="s">
        <v>511</v>
      </c>
      <c r="G81" s="78" t="s">
        <v>639</v>
      </c>
      <c r="H81" s="78" t="s">
        <v>391</v>
      </c>
    </row>
    <row r="82" spans="1:8" ht="16.5">
      <c r="A82" s="58" t="s">
        <v>103</v>
      </c>
      <c r="B82" s="11">
        <v>1</v>
      </c>
      <c r="C82" s="11">
        <v>12</v>
      </c>
      <c r="D82" s="59" t="s">
        <v>318</v>
      </c>
      <c r="E82" s="66" t="s">
        <v>585</v>
      </c>
      <c r="F82" s="66" t="s">
        <v>511</v>
      </c>
      <c r="G82" s="78" t="s">
        <v>639</v>
      </c>
      <c r="H82" s="140" t="s">
        <v>361</v>
      </c>
    </row>
    <row r="83" spans="1:8" ht="16.5">
      <c r="A83" s="65" t="s">
        <v>642</v>
      </c>
      <c r="B83" s="72">
        <v>2</v>
      </c>
      <c r="C83" s="72">
        <v>24</v>
      </c>
      <c r="D83" s="77" t="s">
        <v>321</v>
      </c>
      <c r="E83" s="66" t="s">
        <v>584</v>
      </c>
      <c r="F83" s="77" t="s">
        <v>510</v>
      </c>
      <c r="G83" s="80" t="s">
        <v>626</v>
      </c>
      <c r="H83" s="80" t="s">
        <v>427</v>
      </c>
    </row>
    <row r="84" spans="1:8" ht="16.5">
      <c r="A84" s="58" t="s">
        <v>74</v>
      </c>
      <c r="B84" s="11">
        <v>1</v>
      </c>
      <c r="C84" s="11">
        <v>13</v>
      </c>
      <c r="D84" s="59" t="s">
        <v>318</v>
      </c>
      <c r="E84" s="66" t="s">
        <v>584</v>
      </c>
      <c r="F84" s="66" t="s">
        <v>511</v>
      </c>
      <c r="G84" s="78" t="s">
        <v>626</v>
      </c>
      <c r="H84" s="102" t="s">
        <v>600</v>
      </c>
    </row>
    <row r="85" spans="1:8" ht="16.5">
      <c r="A85" s="58" t="s">
        <v>152</v>
      </c>
      <c r="B85" s="11">
        <v>1</v>
      </c>
      <c r="C85" s="11">
        <v>25</v>
      </c>
      <c r="D85" s="59" t="s">
        <v>318</v>
      </c>
      <c r="E85" s="66" t="s">
        <v>584</v>
      </c>
      <c r="F85" s="66" t="s">
        <v>510</v>
      </c>
      <c r="G85" s="78" t="s">
        <v>626</v>
      </c>
      <c r="H85" s="140" t="s">
        <v>364</v>
      </c>
    </row>
    <row r="86" spans="1:8" ht="16.5">
      <c r="A86" s="65" t="s">
        <v>308</v>
      </c>
      <c r="B86" s="72">
        <v>2</v>
      </c>
      <c r="C86" s="72">
        <v>25</v>
      </c>
      <c r="D86" s="66" t="s">
        <v>318</v>
      </c>
      <c r="E86" s="66" t="s">
        <v>584</v>
      </c>
      <c r="F86" s="66" t="s">
        <v>511</v>
      </c>
      <c r="G86" s="78" t="s">
        <v>626</v>
      </c>
      <c r="H86" s="78" t="s">
        <v>342</v>
      </c>
    </row>
    <row r="87" spans="1:8" ht="16.5">
      <c r="A87" s="58" t="s">
        <v>282</v>
      </c>
      <c r="B87" s="11">
        <v>1</v>
      </c>
      <c r="C87" s="11">
        <v>26</v>
      </c>
      <c r="D87" s="59" t="s">
        <v>318</v>
      </c>
      <c r="E87" s="66" t="s">
        <v>584</v>
      </c>
      <c r="F87" s="66" t="s">
        <v>511</v>
      </c>
      <c r="G87" s="78" t="s">
        <v>626</v>
      </c>
      <c r="H87" s="140" t="s">
        <v>363</v>
      </c>
    </row>
    <row r="88" spans="1:8" ht="16.5">
      <c r="A88" s="58" t="s">
        <v>197</v>
      </c>
      <c r="B88" s="11">
        <v>3</v>
      </c>
      <c r="C88" s="11">
        <v>24</v>
      </c>
      <c r="D88" s="59" t="s">
        <v>318</v>
      </c>
      <c r="E88" s="66" t="s">
        <v>584</v>
      </c>
      <c r="F88" s="66" t="s">
        <v>511</v>
      </c>
      <c r="G88" s="78" t="s">
        <v>626</v>
      </c>
      <c r="H88" s="102" t="s">
        <v>361</v>
      </c>
    </row>
    <row r="89" spans="1:8" ht="16.5">
      <c r="A89" s="58" t="s">
        <v>96</v>
      </c>
      <c r="B89" s="11">
        <v>2</v>
      </c>
      <c r="C89" s="11">
        <v>12</v>
      </c>
      <c r="D89" s="59" t="s">
        <v>318</v>
      </c>
      <c r="E89" s="66" t="s">
        <v>584</v>
      </c>
      <c r="F89" s="66" t="s">
        <v>511</v>
      </c>
      <c r="G89" s="78" t="s">
        <v>626</v>
      </c>
      <c r="H89" s="140" t="s">
        <v>343</v>
      </c>
    </row>
    <row r="90" spans="1:8" ht="16.5">
      <c r="A90" s="65" t="s">
        <v>393</v>
      </c>
      <c r="B90" s="72">
        <v>1</v>
      </c>
      <c r="C90" s="72">
        <v>12</v>
      </c>
      <c r="D90" s="66" t="s">
        <v>318</v>
      </c>
      <c r="E90" s="66" t="s">
        <v>584</v>
      </c>
      <c r="F90" s="66" t="s">
        <v>510</v>
      </c>
      <c r="G90" s="78" t="s">
        <v>635</v>
      </c>
      <c r="H90" s="78" t="s">
        <v>372</v>
      </c>
    </row>
    <row r="91" spans="1:8" ht="16.5">
      <c r="A91" s="58" t="s">
        <v>374</v>
      </c>
      <c r="B91" s="11">
        <v>1</v>
      </c>
      <c r="C91" s="11">
        <v>8</v>
      </c>
      <c r="D91" s="59" t="s">
        <v>318</v>
      </c>
      <c r="E91" s="66" t="s">
        <v>584</v>
      </c>
      <c r="F91" s="66" t="s">
        <v>511</v>
      </c>
      <c r="G91" s="78" t="s">
        <v>635</v>
      </c>
      <c r="H91" s="102" t="s">
        <v>363</v>
      </c>
    </row>
    <row r="92" spans="1:8" ht="16.5">
      <c r="A92" s="58" t="s">
        <v>212</v>
      </c>
      <c r="B92" s="11">
        <v>1</v>
      </c>
      <c r="C92" s="11">
        <v>12</v>
      </c>
      <c r="D92" s="59" t="s">
        <v>318</v>
      </c>
      <c r="E92" s="66" t="s">
        <v>584</v>
      </c>
      <c r="F92" s="66" t="s">
        <v>511</v>
      </c>
      <c r="G92" s="78" t="s">
        <v>635</v>
      </c>
      <c r="H92" s="140" t="s">
        <v>367</v>
      </c>
    </row>
    <row r="93" spans="1:8" ht="16.5">
      <c r="A93" s="58" t="s">
        <v>88</v>
      </c>
      <c r="B93" s="11">
        <v>2</v>
      </c>
      <c r="C93" s="11">
        <v>11</v>
      </c>
      <c r="D93" s="59" t="s">
        <v>318</v>
      </c>
      <c r="E93" s="66" t="s">
        <v>584</v>
      </c>
      <c r="F93" s="66" t="s">
        <v>511</v>
      </c>
      <c r="G93" s="78" t="s">
        <v>635</v>
      </c>
      <c r="H93" s="140" t="s">
        <v>606</v>
      </c>
    </row>
    <row r="94" spans="1:8" ht="16.5">
      <c r="A94" s="65" t="s">
        <v>463</v>
      </c>
      <c r="B94" s="72">
        <v>4</v>
      </c>
      <c r="C94" s="72">
        <v>12</v>
      </c>
      <c r="D94" s="66" t="s">
        <v>321</v>
      </c>
      <c r="E94" s="66" t="s">
        <v>584</v>
      </c>
      <c r="F94" s="66" t="s">
        <v>511</v>
      </c>
      <c r="G94" s="78" t="s">
        <v>635</v>
      </c>
      <c r="H94" s="78" t="s">
        <v>361</v>
      </c>
    </row>
    <row r="95" spans="1:8" ht="16.5">
      <c r="A95" s="58" t="s">
        <v>90</v>
      </c>
      <c r="B95" s="11">
        <v>1</v>
      </c>
      <c r="C95" s="11">
        <v>13</v>
      </c>
      <c r="D95" s="59" t="s">
        <v>318</v>
      </c>
      <c r="E95" s="66" t="s">
        <v>584</v>
      </c>
      <c r="F95" s="66" t="s">
        <v>511</v>
      </c>
      <c r="G95" s="78" t="s">
        <v>632</v>
      </c>
      <c r="H95" s="140" t="s">
        <v>360</v>
      </c>
    </row>
    <row r="96" spans="1:8" ht="16.5">
      <c r="A96" s="58" t="s">
        <v>79</v>
      </c>
      <c r="B96" s="11">
        <v>1</v>
      </c>
      <c r="C96" s="11">
        <v>13</v>
      </c>
      <c r="D96" s="59" t="s">
        <v>318</v>
      </c>
      <c r="E96" s="66" t="s">
        <v>584</v>
      </c>
      <c r="F96" s="66" t="s">
        <v>510</v>
      </c>
      <c r="G96" s="78" t="s">
        <v>632</v>
      </c>
      <c r="H96" s="140" t="s">
        <v>368</v>
      </c>
    </row>
    <row r="97" spans="1:8" ht="16.5">
      <c r="A97" s="58" t="s">
        <v>198</v>
      </c>
      <c r="B97" s="11">
        <v>1</v>
      </c>
      <c r="C97" s="11">
        <v>22</v>
      </c>
      <c r="D97" s="59" t="s">
        <v>318</v>
      </c>
      <c r="E97" s="66" t="s">
        <v>584</v>
      </c>
      <c r="F97" s="66" t="s">
        <v>511</v>
      </c>
      <c r="G97" s="78" t="s">
        <v>632</v>
      </c>
      <c r="H97" s="140" t="s">
        <v>600</v>
      </c>
    </row>
    <row r="98" spans="1:8" ht="16.5">
      <c r="A98" s="58" t="s">
        <v>400</v>
      </c>
      <c r="B98" s="11">
        <v>1</v>
      </c>
      <c r="C98" s="11">
        <v>12</v>
      </c>
      <c r="D98" s="59" t="s">
        <v>321</v>
      </c>
      <c r="E98" s="66" t="s">
        <v>584</v>
      </c>
      <c r="F98" s="66" t="s">
        <v>512</v>
      </c>
      <c r="G98" s="78" t="s">
        <v>632</v>
      </c>
      <c r="H98" s="119" t="s">
        <v>364</v>
      </c>
    </row>
    <row r="99" spans="1:8" ht="16.5">
      <c r="A99" s="58" t="s">
        <v>449</v>
      </c>
      <c r="B99" s="11">
        <v>1</v>
      </c>
      <c r="C99" s="11">
        <v>26</v>
      </c>
      <c r="D99" s="59" t="s">
        <v>321</v>
      </c>
      <c r="E99" s="66" t="s">
        <v>584</v>
      </c>
      <c r="F99" s="66" t="s">
        <v>510</v>
      </c>
      <c r="G99" s="78" t="s">
        <v>632</v>
      </c>
      <c r="H99" s="119" t="s">
        <v>365</v>
      </c>
    </row>
    <row r="100" spans="1:8" ht="16.5">
      <c r="A100" s="65" t="s">
        <v>313</v>
      </c>
      <c r="B100" s="72">
        <v>1</v>
      </c>
      <c r="C100" s="72">
        <v>16</v>
      </c>
      <c r="D100" s="77" t="s">
        <v>321</v>
      </c>
      <c r="E100" s="66" t="s">
        <v>584</v>
      </c>
      <c r="F100" s="77" t="s">
        <v>511</v>
      </c>
      <c r="G100" s="80" t="s">
        <v>633</v>
      </c>
      <c r="H100" s="78" t="s">
        <v>361</v>
      </c>
    </row>
    <row r="101" spans="1:8" ht="16.5">
      <c r="A101" s="58" t="s">
        <v>41</v>
      </c>
      <c r="B101" s="11">
        <v>1</v>
      </c>
      <c r="C101" s="11">
        <v>17</v>
      </c>
      <c r="D101" s="59" t="s">
        <v>318</v>
      </c>
      <c r="E101" s="66" t="s">
        <v>584</v>
      </c>
      <c r="F101" s="66" t="s">
        <v>511</v>
      </c>
      <c r="G101" s="78" t="s">
        <v>633</v>
      </c>
      <c r="H101" s="140" t="s">
        <v>594</v>
      </c>
    </row>
    <row r="102" spans="1:8" ht="16.5">
      <c r="A102" s="58" t="s">
        <v>611</v>
      </c>
      <c r="B102" s="11">
        <v>1</v>
      </c>
      <c r="C102" s="11">
        <v>25</v>
      </c>
      <c r="D102" s="59" t="s">
        <v>318</v>
      </c>
      <c r="E102" s="66" t="s">
        <v>584</v>
      </c>
      <c r="F102" s="66" t="s">
        <v>511</v>
      </c>
      <c r="G102" s="78" t="s">
        <v>633</v>
      </c>
      <c r="H102" s="140" t="s">
        <v>607</v>
      </c>
    </row>
    <row r="103" spans="1:8" ht="16.5">
      <c r="A103" s="58" t="s">
        <v>104</v>
      </c>
      <c r="B103" s="11">
        <v>2</v>
      </c>
      <c r="C103" s="11">
        <v>12</v>
      </c>
      <c r="D103" s="59" t="s">
        <v>318</v>
      </c>
      <c r="E103" s="66" t="s">
        <v>585</v>
      </c>
      <c r="F103" s="66" t="s">
        <v>511</v>
      </c>
      <c r="G103" s="78" t="s">
        <v>633</v>
      </c>
      <c r="H103" s="140" t="s">
        <v>361</v>
      </c>
    </row>
    <row r="104" spans="1:8" ht="16.5">
      <c r="A104" s="65" t="s">
        <v>643</v>
      </c>
      <c r="B104" s="72">
        <v>3</v>
      </c>
      <c r="C104" s="72">
        <v>25</v>
      </c>
      <c r="D104" s="66" t="s">
        <v>321</v>
      </c>
      <c r="E104" s="66" t="s">
        <v>584</v>
      </c>
      <c r="F104" s="66" t="s">
        <v>510</v>
      </c>
      <c r="G104" s="78" t="s">
        <v>624</v>
      </c>
      <c r="H104" s="78" t="s">
        <v>427</v>
      </c>
    </row>
    <row r="105" spans="1:8" ht="16.5">
      <c r="A105" s="58" t="s">
        <v>70</v>
      </c>
      <c r="B105" s="11">
        <v>1</v>
      </c>
      <c r="C105" s="11">
        <v>12</v>
      </c>
      <c r="D105" s="59" t="s">
        <v>318</v>
      </c>
      <c r="E105" s="66" t="s">
        <v>584</v>
      </c>
      <c r="F105" s="66" t="s">
        <v>510</v>
      </c>
      <c r="G105" s="78" t="s">
        <v>624</v>
      </c>
      <c r="H105" s="140" t="s">
        <v>597</v>
      </c>
    </row>
    <row r="106" spans="1:8" ht="16.5">
      <c r="A106" s="65" t="s">
        <v>46</v>
      </c>
      <c r="B106" s="72">
        <v>1</v>
      </c>
      <c r="C106" s="72">
        <v>12</v>
      </c>
      <c r="D106" s="66" t="s">
        <v>318</v>
      </c>
      <c r="E106" s="66" t="s">
        <v>585</v>
      </c>
      <c r="F106" s="66" t="s">
        <v>511</v>
      </c>
      <c r="G106" s="78" t="s">
        <v>624</v>
      </c>
      <c r="H106" s="78" t="s">
        <v>525</v>
      </c>
    </row>
    <row r="107" spans="1:8" ht="16.5">
      <c r="A107" s="65" t="s">
        <v>498</v>
      </c>
      <c r="B107" s="72">
        <v>4</v>
      </c>
      <c r="C107" s="72">
        <v>12</v>
      </c>
      <c r="D107" s="77" t="s">
        <v>165</v>
      </c>
      <c r="E107" s="66" t="s">
        <v>165</v>
      </c>
      <c r="F107" s="66" t="s">
        <v>165</v>
      </c>
      <c r="G107" s="78" t="s">
        <v>624</v>
      </c>
      <c r="H107" s="78" t="s">
        <v>165</v>
      </c>
    </row>
    <row r="108" spans="1:8" ht="16.5">
      <c r="A108" s="58" t="s">
        <v>52</v>
      </c>
      <c r="B108" s="11">
        <v>1</v>
      </c>
      <c r="C108" s="11">
        <v>13</v>
      </c>
      <c r="D108" s="59" t="s">
        <v>318</v>
      </c>
      <c r="E108" s="66" t="s">
        <v>585</v>
      </c>
      <c r="F108" s="66" t="s">
        <v>511</v>
      </c>
      <c r="G108" s="78" t="s">
        <v>624</v>
      </c>
      <c r="H108" s="140" t="s">
        <v>361</v>
      </c>
    </row>
    <row r="109" spans="1:8" ht="16.5">
      <c r="A109" s="58" t="s">
        <v>151</v>
      </c>
      <c r="B109" s="11">
        <v>1</v>
      </c>
      <c r="C109" s="11">
        <v>12</v>
      </c>
      <c r="D109" s="59" t="s">
        <v>318</v>
      </c>
      <c r="E109" s="66" t="s">
        <v>585</v>
      </c>
      <c r="F109" s="66" t="s">
        <v>511</v>
      </c>
      <c r="G109" s="78" t="s">
        <v>624</v>
      </c>
      <c r="H109" s="140" t="s">
        <v>361</v>
      </c>
    </row>
    <row r="110" spans="1:8" ht="16.5">
      <c r="A110" s="58" t="s">
        <v>107</v>
      </c>
      <c r="B110" s="11">
        <v>1</v>
      </c>
      <c r="C110" s="11">
        <v>12</v>
      </c>
      <c r="D110" s="60" t="s">
        <v>165</v>
      </c>
      <c r="E110" s="77" t="s">
        <v>165</v>
      </c>
      <c r="F110" s="77" t="s">
        <v>165</v>
      </c>
      <c r="G110" s="80" t="s">
        <v>624</v>
      </c>
      <c r="H110" s="61" t="s">
        <v>513</v>
      </c>
    </row>
    <row r="111" spans="1:8" ht="16.5">
      <c r="A111" s="65" t="s">
        <v>461</v>
      </c>
      <c r="B111" s="72">
        <v>1</v>
      </c>
      <c r="C111" s="72">
        <v>22</v>
      </c>
      <c r="D111" s="66" t="s">
        <v>321</v>
      </c>
      <c r="E111" s="66" t="s">
        <v>584</v>
      </c>
      <c r="F111" s="66" t="s">
        <v>511</v>
      </c>
      <c r="G111" s="78" t="s">
        <v>624</v>
      </c>
      <c r="H111" s="78" t="s">
        <v>372</v>
      </c>
    </row>
    <row r="112" spans="1:8" ht="16.5">
      <c r="A112" s="58" t="s">
        <v>194</v>
      </c>
      <c r="B112" s="11">
        <v>1</v>
      </c>
      <c r="C112" s="11">
        <v>24</v>
      </c>
      <c r="D112" s="59" t="s">
        <v>318</v>
      </c>
      <c r="E112" s="66" t="s">
        <v>584</v>
      </c>
      <c r="F112" s="66" t="s">
        <v>511</v>
      </c>
      <c r="G112" s="78" t="s">
        <v>624</v>
      </c>
      <c r="H112" s="140" t="s">
        <v>607</v>
      </c>
    </row>
    <row r="113" spans="1:8" ht="16.5">
      <c r="A113" s="65" t="s">
        <v>78</v>
      </c>
      <c r="B113" s="72">
        <v>1</v>
      </c>
      <c r="C113" s="72">
        <v>25</v>
      </c>
      <c r="D113" s="77" t="s">
        <v>321</v>
      </c>
      <c r="E113" s="66" t="s">
        <v>584</v>
      </c>
      <c r="F113" s="77" t="s">
        <v>510</v>
      </c>
      <c r="G113" s="80" t="s">
        <v>624</v>
      </c>
      <c r="H113" s="78" t="s">
        <v>342</v>
      </c>
    </row>
    <row r="114" spans="1:8" ht="16.5">
      <c r="A114" s="58" t="s">
        <v>274</v>
      </c>
      <c r="B114" s="11">
        <v>2</v>
      </c>
      <c r="C114" s="11">
        <v>12</v>
      </c>
      <c r="D114" s="59" t="s">
        <v>318</v>
      </c>
      <c r="E114" s="52" t="s">
        <v>584</v>
      </c>
      <c r="F114" s="52" t="s">
        <v>510</v>
      </c>
      <c r="G114" s="104" t="s">
        <v>629</v>
      </c>
      <c r="H114" s="140" t="s">
        <v>371</v>
      </c>
    </row>
    <row r="115" spans="1:8" ht="16.5">
      <c r="A115" s="58" t="s">
        <v>229</v>
      </c>
      <c r="B115" s="11">
        <v>2</v>
      </c>
      <c r="C115" s="11">
        <v>25</v>
      </c>
      <c r="D115" s="59" t="s">
        <v>318</v>
      </c>
      <c r="E115" s="66" t="s">
        <v>584</v>
      </c>
      <c r="F115" s="66" t="s">
        <v>510</v>
      </c>
      <c r="G115" s="78" t="s">
        <v>629</v>
      </c>
      <c r="H115" s="119" t="s">
        <v>364</v>
      </c>
    </row>
    <row r="116" spans="1:8" ht="16.5">
      <c r="A116" s="65" t="s">
        <v>82</v>
      </c>
      <c r="B116" s="72">
        <v>1</v>
      </c>
      <c r="C116" s="72">
        <v>12</v>
      </c>
      <c r="D116" s="77" t="s">
        <v>321</v>
      </c>
      <c r="E116" s="66" t="s">
        <v>584</v>
      </c>
      <c r="F116" s="77" t="s">
        <v>511</v>
      </c>
      <c r="G116" s="80" t="s">
        <v>629</v>
      </c>
      <c r="H116" s="78" t="s">
        <v>361</v>
      </c>
    </row>
    <row r="117" spans="1:8" ht="16.5">
      <c r="A117" s="58" t="s">
        <v>43</v>
      </c>
      <c r="B117" s="11">
        <v>1</v>
      </c>
      <c r="C117" s="11">
        <v>13</v>
      </c>
      <c r="D117" s="59" t="s">
        <v>321</v>
      </c>
      <c r="E117" s="66" t="s">
        <v>584</v>
      </c>
      <c r="F117" s="66" t="s">
        <v>512</v>
      </c>
      <c r="G117" s="78" t="s">
        <v>629</v>
      </c>
      <c r="H117" s="140" t="s">
        <v>372</v>
      </c>
    </row>
    <row r="118" spans="1:8" ht="16.5">
      <c r="A118" s="58" t="s">
        <v>149</v>
      </c>
      <c r="B118" s="11">
        <v>1</v>
      </c>
      <c r="C118" s="11">
        <v>12</v>
      </c>
      <c r="D118" s="59" t="s">
        <v>318</v>
      </c>
      <c r="E118" s="66" t="s">
        <v>584</v>
      </c>
      <c r="F118" s="66" t="s">
        <v>510</v>
      </c>
      <c r="G118" s="78" t="s">
        <v>629</v>
      </c>
      <c r="H118" s="140" t="s">
        <v>364</v>
      </c>
    </row>
    <row r="119" spans="1:8" ht="16.5">
      <c r="A119" s="65" t="s">
        <v>516</v>
      </c>
      <c r="B119" s="72">
        <v>1</v>
      </c>
      <c r="C119" s="72">
        <v>13</v>
      </c>
      <c r="D119" s="77" t="s">
        <v>321</v>
      </c>
      <c r="E119" s="66" t="s">
        <v>584</v>
      </c>
      <c r="F119" s="77" t="s">
        <v>511</v>
      </c>
      <c r="G119" s="80" t="s">
        <v>629</v>
      </c>
      <c r="H119" s="78" t="s">
        <v>343</v>
      </c>
    </row>
    <row r="120" spans="1:8" ht="16.5">
      <c r="A120" s="58" t="s">
        <v>418</v>
      </c>
      <c r="B120" s="11">
        <v>1</v>
      </c>
      <c r="C120" s="11">
        <v>12</v>
      </c>
      <c r="D120" s="59" t="s">
        <v>318</v>
      </c>
      <c r="E120" s="66" t="s">
        <v>584</v>
      </c>
      <c r="F120" s="66" t="s">
        <v>510</v>
      </c>
      <c r="G120" s="78" t="s">
        <v>629</v>
      </c>
      <c r="H120" s="140" t="s">
        <v>343</v>
      </c>
    </row>
    <row r="121" spans="1:8" ht="16.5">
      <c r="A121" s="58" t="s">
        <v>47</v>
      </c>
      <c r="B121" s="11">
        <v>1</v>
      </c>
      <c r="C121" s="11">
        <v>12</v>
      </c>
      <c r="D121" s="59" t="s">
        <v>318</v>
      </c>
      <c r="E121" s="66" t="s">
        <v>584</v>
      </c>
      <c r="F121" s="66" t="s">
        <v>511</v>
      </c>
      <c r="G121" s="78" t="s">
        <v>629</v>
      </c>
      <c r="H121" s="140" t="s">
        <v>367</v>
      </c>
    </row>
    <row r="122" spans="1:8" ht="16.5">
      <c r="A122" s="58" t="s">
        <v>605</v>
      </c>
      <c r="B122" s="11">
        <v>1</v>
      </c>
      <c r="C122" s="11">
        <v>4</v>
      </c>
      <c r="D122" s="59" t="s">
        <v>318</v>
      </c>
      <c r="E122" s="66" t="s">
        <v>585</v>
      </c>
      <c r="F122" s="66" t="s">
        <v>511</v>
      </c>
      <c r="G122" s="78" t="s">
        <v>629</v>
      </c>
      <c r="H122" s="119" t="s">
        <v>600</v>
      </c>
    </row>
    <row r="123" spans="1:8" ht="16.5">
      <c r="A123" s="65" t="s">
        <v>26</v>
      </c>
      <c r="B123" s="72">
        <v>1</v>
      </c>
      <c r="C123" s="72">
        <v>13</v>
      </c>
      <c r="D123" s="66" t="s">
        <v>318</v>
      </c>
      <c r="E123" s="66" t="s">
        <v>584</v>
      </c>
      <c r="F123" s="66" t="s">
        <v>510</v>
      </c>
      <c r="G123" s="78" t="s">
        <v>629</v>
      </c>
      <c r="H123" s="78" t="s">
        <v>364</v>
      </c>
    </row>
    <row r="124" spans="1:8" ht="16.5">
      <c r="A124" s="65" t="s">
        <v>66</v>
      </c>
      <c r="B124" s="72">
        <v>1</v>
      </c>
      <c r="C124" s="72">
        <v>64</v>
      </c>
      <c r="D124" s="77" t="s">
        <v>165</v>
      </c>
      <c r="E124" s="66" t="s">
        <v>165</v>
      </c>
      <c r="F124" s="66" t="s">
        <v>165</v>
      </c>
      <c r="G124" s="78" t="s">
        <v>629</v>
      </c>
      <c r="H124" s="78" t="s">
        <v>165</v>
      </c>
    </row>
    <row r="125" spans="1:8" ht="16.5">
      <c r="A125" s="58" t="s">
        <v>101</v>
      </c>
      <c r="B125" s="11">
        <v>1</v>
      </c>
      <c r="C125" s="11">
        <v>12</v>
      </c>
      <c r="D125" s="59" t="s">
        <v>318</v>
      </c>
      <c r="E125" s="66" t="s">
        <v>584</v>
      </c>
      <c r="F125" s="66" t="s">
        <v>510</v>
      </c>
      <c r="G125" s="78" t="s">
        <v>629</v>
      </c>
      <c r="H125" s="119" t="s">
        <v>343</v>
      </c>
    </row>
    <row r="126" spans="1:8" ht="16.5">
      <c r="A126" s="58" t="s">
        <v>105</v>
      </c>
      <c r="B126" s="11">
        <v>1</v>
      </c>
      <c r="C126" s="11">
        <v>12</v>
      </c>
      <c r="D126" s="59" t="s">
        <v>318</v>
      </c>
      <c r="E126" s="66" t="s">
        <v>584</v>
      </c>
      <c r="F126" s="66" t="s">
        <v>510</v>
      </c>
      <c r="G126" s="78" t="s">
        <v>629</v>
      </c>
      <c r="H126" s="140" t="s">
        <v>371</v>
      </c>
    </row>
    <row r="127" spans="1:8" ht="16.5">
      <c r="A127" s="58" t="s">
        <v>20</v>
      </c>
      <c r="B127" s="11">
        <v>1</v>
      </c>
      <c r="C127" s="11">
        <v>12</v>
      </c>
      <c r="D127" s="59" t="s">
        <v>318</v>
      </c>
      <c r="E127" s="66" t="s">
        <v>584</v>
      </c>
      <c r="F127" s="66" t="s">
        <v>510</v>
      </c>
      <c r="G127" s="78" t="s">
        <v>651</v>
      </c>
      <c r="H127" s="140" t="s">
        <v>365</v>
      </c>
    </row>
    <row r="128" spans="1:8" ht="16.5">
      <c r="A128" s="58" t="s">
        <v>159</v>
      </c>
      <c r="B128" s="11">
        <v>1</v>
      </c>
      <c r="C128" s="11">
        <v>13</v>
      </c>
      <c r="D128" s="59" t="s">
        <v>318</v>
      </c>
      <c r="E128" s="66" t="s">
        <v>584</v>
      </c>
      <c r="F128" s="66" t="s">
        <v>510</v>
      </c>
      <c r="G128" s="78" t="s">
        <v>651</v>
      </c>
      <c r="H128" s="140" t="s">
        <v>366</v>
      </c>
    </row>
    <row r="129" spans="1:8" ht="16.5">
      <c r="A129" s="65" t="s">
        <v>225</v>
      </c>
      <c r="B129" s="72">
        <v>1</v>
      </c>
      <c r="C129" s="72">
        <v>12</v>
      </c>
      <c r="D129" s="66" t="s">
        <v>321</v>
      </c>
      <c r="E129" s="66" t="s">
        <v>584</v>
      </c>
      <c r="F129" s="66" t="s">
        <v>510</v>
      </c>
      <c r="G129" s="78" t="s">
        <v>651</v>
      </c>
      <c r="H129" s="78" t="s">
        <v>343</v>
      </c>
    </row>
    <row r="130" spans="1:8" ht="16.5">
      <c r="A130" s="58" t="s">
        <v>13</v>
      </c>
      <c r="B130" s="11">
        <v>2</v>
      </c>
      <c r="C130" s="11">
        <v>12</v>
      </c>
      <c r="D130" s="59" t="s">
        <v>318</v>
      </c>
      <c r="E130" s="66" t="s">
        <v>584</v>
      </c>
      <c r="F130" s="66" t="s">
        <v>511</v>
      </c>
      <c r="G130" s="78" t="s">
        <v>651</v>
      </c>
      <c r="H130" s="140" t="s">
        <v>363</v>
      </c>
    </row>
    <row r="131" spans="1:8" ht="16.5">
      <c r="A131" s="58" t="s">
        <v>23</v>
      </c>
      <c r="B131" s="11">
        <v>1</v>
      </c>
      <c r="C131" s="11">
        <v>13</v>
      </c>
      <c r="D131" s="59" t="s">
        <v>318</v>
      </c>
      <c r="E131" s="66" t="s">
        <v>584</v>
      </c>
      <c r="F131" s="66" t="s">
        <v>511</v>
      </c>
      <c r="G131" s="78" t="s">
        <v>651</v>
      </c>
      <c r="H131" s="103" t="s">
        <v>343</v>
      </c>
    </row>
    <row r="132" spans="1:8" ht="16.5">
      <c r="A132" s="58" t="s">
        <v>174</v>
      </c>
      <c r="B132" s="11">
        <v>1</v>
      </c>
      <c r="C132" s="11">
        <v>13</v>
      </c>
      <c r="D132" s="59" t="s">
        <v>318</v>
      </c>
      <c r="E132" s="66" t="s">
        <v>585</v>
      </c>
      <c r="F132" s="66" t="s">
        <v>511</v>
      </c>
      <c r="G132" s="78" t="s">
        <v>651</v>
      </c>
      <c r="H132" s="102" t="s">
        <v>361</v>
      </c>
    </row>
    <row r="133" spans="1:8" ht="16.5">
      <c r="A133" s="58" t="s">
        <v>223</v>
      </c>
      <c r="B133" s="11">
        <v>1</v>
      </c>
      <c r="C133" s="11">
        <v>10</v>
      </c>
      <c r="D133" s="66" t="s">
        <v>321</v>
      </c>
      <c r="E133" s="66" t="s">
        <v>587</v>
      </c>
      <c r="F133" s="66" t="s">
        <v>510</v>
      </c>
      <c r="G133" s="78" t="s">
        <v>651</v>
      </c>
      <c r="H133" s="87" t="s">
        <v>375</v>
      </c>
    </row>
    <row r="134" spans="1:8" ht="16.5">
      <c r="A134" s="58" t="s">
        <v>172</v>
      </c>
      <c r="B134" s="11">
        <v>1</v>
      </c>
      <c r="C134" s="11">
        <v>13</v>
      </c>
      <c r="D134" s="59" t="s">
        <v>318</v>
      </c>
      <c r="E134" s="66" t="s">
        <v>584</v>
      </c>
      <c r="F134" s="66" t="s">
        <v>512</v>
      </c>
      <c r="G134" s="78" t="s">
        <v>651</v>
      </c>
      <c r="H134" s="140" t="s">
        <v>364</v>
      </c>
    </row>
    <row r="135" spans="1:8" ht="16.5">
      <c r="A135" s="58" t="s">
        <v>331</v>
      </c>
      <c r="B135" s="11">
        <v>2</v>
      </c>
      <c r="C135" s="11">
        <v>16</v>
      </c>
      <c r="D135" s="59" t="s">
        <v>318</v>
      </c>
      <c r="E135" s="66" t="s">
        <v>585</v>
      </c>
      <c r="F135" s="66" t="s">
        <v>511</v>
      </c>
      <c r="G135" s="78" t="s">
        <v>651</v>
      </c>
      <c r="H135" s="140" t="s">
        <v>607</v>
      </c>
    </row>
    <row r="136" spans="1:8" ht="16.5">
      <c r="A136" s="58" t="s">
        <v>161</v>
      </c>
      <c r="B136" s="11">
        <v>1</v>
      </c>
      <c r="C136" s="11">
        <v>13</v>
      </c>
      <c r="D136" s="59" t="s">
        <v>318</v>
      </c>
      <c r="E136" s="66" t="s">
        <v>584</v>
      </c>
      <c r="F136" s="66" t="s">
        <v>510</v>
      </c>
      <c r="G136" s="78" t="s">
        <v>651</v>
      </c>
      <c r="H136" s="119" t="s">
        <v>364</v>
      </c>
    </row>
    <row r="137" spans="1:8" ht="16.5">
      <c r="A137" s="58" t="s">
        <v>18</v>
      </c>
      <c r="B137" s="11">
        <v>1</v>
      </c>
      <c r="C137" s="11">
        <v>12</v>
      </c>
      <c r="D137" s="59" t="s">
        <v>318</v>
      </c>
      <c r="E137" s="66" t="s">
        <v>584</v>
      </c>
      <c r="F137" s="66" t="s">
        <v>510</v>
      </c>
      <c r="G137" s="78" t="s">
        <v>651</v>
      </c>
      <c r="H137" s="140" t="s">
        <v>364</v>
      </c>
    </row>
    <row r="138" spans="1:8" ht="16.5">
      <c r="A138" s="58" t="s">
        <v>582</v>
      </c>
      <c r="B138" s="11">
        <v>1</v>
      </c>
      <c r="C138" s="11">
        <v>25</v>
      </c>
      <c r="D138" s="59" t="s">
        <v>321</v>
      </c>
      <c r="E138" s="66" t="s">
        <v>584</v>
      </c>
      <c r="F138" s="66" t="s">
        <v>511</v>
      </c>
      <c r="G138" s="78" t="s">
        <v>651</v>
      </c>
      <c r="H138" s="140" t="s">
        <v>607</v>
      </c>
    </row>
    <row r="139" spans="1:8" ht="16.5">
      <c r="A139" s="58" t="s">
        <v>522</v>
      </c>
      <c r="B139" s="11">
        <v>2</v>
      </c>
      <c r="C139" s="11">
        <v>24</v>
      </c>
      <c r="D139" s="59" t="s">
        <v>318</v>
      </c>
      <c r="E139" s="66" t="s">
        <v>584</v>
      </c>
      <c r="F139" s="66" t="s">
        <v>511</v>
      </c>
      <c r="G139" s="78" t="s">
        <v>651</v>
      </c>
      <c r="H139" s="140" t="s">
        <v>613</v>
      </c>
    </row>
    <row r="140" spans="1:8" ht="16.5">
      <c r="A140" s="58" t="s">
        <v>25</v>
      </c>
      <c r="B140" s="11">
        <v>1</v>
      </c>
      <c r="C140" s="11">
        <v>13</v>
      </c>
      <c r="D140" s="59" t="s">
        <v>318</v>
      </c>
      <c r="E140" s="66" t="s">
        <v>584</v>
      </c>
      <c r="F140" s="66" t="s">
        <v>511</v>
      </c>
      <c r="G140" s="78" t="s">
        <v>651</v>
      </c>
      <c r="H140" s="140" t="s">
        <v>614</v>
      </c>
    </row>
    <row r="141" spans="1:8" ht="16.5">
      <c r="A141" s="58" t="s">
        <v>171</v>
      </c>
      <c r="B141" s="11">
        <v>1</v>
      </c>
      <c r="C141" s="11">
        <v>12</v>
      </c>
      <c r="D141" s="59" t="s">
        <v>318</v>
      </c>
      <c r="E141" s="66" t="s">
        <v>584</v>
      </c>
      <c r="F141" s="66" t="s">
        <v>511</v>
      </c>
      <c r="G141" s="78" t="s">
        <v>651</v>
      </c>
      <c r="H141" s="140" t="s">
        <v>372</v>
      </c>
    </row>
    <row r="142" spans="1:8" ht="16.5">
      <c r="A142" s="65" t="s">
        <v>330</v>
      </c>
      <c r="B142" s="72">
        <v>1</v>
      </c>
      <c r="C142" s="72">
        <v>12</v>
      </c>
      <c r="D142" s="77" t="s">
        <v>321</v>
      </c>
      <c r="E142" s="66" t="s">
        <v>584</v>
      </c>
      <c r="F142" s="77" t="s">
        <v>510</v>
      </c>
      <c r="G142" s="80" t="s">
        <v>650</v>
      </c>
      <c r="H142" s="78" t="s">
        <v>342</v>
      </c>
    </row>
    <row r="143" spans="1:8" ht="16.5">
      <c r="A143" s="58" t="s">
        <v>216</v>
      </c>
      <c r="B143" s="11">
        <v>1</v>
      </c>
      <c r="C143" s="11">
        <v>12</v>
      </c>
      <c r="D143" s="59" t="s">
        <v>318</v>
      </c>
      <c r="E143" s="66" t="s">
        <v>585</v>
      </c>
      <c r="F143" s="66" t="s">
        <v>511</v>
      </c>
      <c r="G143" s="78" t="s">
        <v>650</v>
      </c>
      <c r="H143" s="140" t="s">
        <v>372</v>
      </c>
    </row>
    <row r="144" spans="1:8" ht="16.5">
      <c r="A144" s="58" t="s">
        <v>306</v>
      </c>
      <c r="B144" s="11">
        <v>1</v>
      </c>
      <c r="C144" s="11">
        <v>12</v>
      </c>
      <c r="D144" s="59" t="s">
        <v>318</v>
      </c>
      <c r="E144" s="66" t="s">
        <v>584</v>
      </c>
      <c r="F144" s="66" t="s">
        <v>510</v>
      </c>
      <c r="G144" s="78" t="s">
        <v>650</v>
      </c>
      <c r="H144" s="140" t="s">
        <v>364</v>
      </c>
    </row>
    <row r="145" spans="1:8" ht="16.5">
      <c r="A145" s="58" t="s">
        <v>181</v>
      </c>
      <c r="B145" s="11">
        <v>1</v>
      </c>
      <c r="C145" s="11">
        <v>12</v>
      </c>
      <c r="D145" s="59" t="s">
        <v>318</v>
      </c>
      <c r="E145" s="66" t="s">
        <v>584</v>
      </c>
      <c r="F145" s="66" t="s">
        <v>510</v>
      </c>
      <c r="G145" s="78" t="s">
        <v>650</v>
      </c>
      <c r="H145" s="102" t="s">
        <v>364</v>
      </c>
    </row>
    <row r="146" spans="1:8" ht="16.5">
      <c r="A146" s="58" t="s">
        <v>215</v>
      </c>
      <c r="B146" s="11">
        <v>1</v>
      </c>
      <c r="C146" s="11">
        <v>12</v>
      </c>
      <c r="D146" s="59" t="s">
        <v>318</v>
      </c>
      <c r="E146" s="66" t="s">
        <v>584</v>
      </c>
      <c r="F146" s="66" t="s">
        <v>512</v>
      </c>
      <c r="G146" s="78" t="s">
        <v>650</v>
      </c>
      <c r="H146" s="119" t="s">
        <v>364</v>
      </c>
    </row>
    <row r="147" spans="1:8" ht="16.5">
      <c r="A147" s="58" t="s">
        <v>213</v>
      </c>
      <c r="B147" s="11">
        <v>1</v>
      </c>
      <c r="C147" s="11">
        <v>12</v>
      </c>
      <c r="D147" s="59" t="s">
        <v>318</v>
      </c>
      <c r="E147" s="66" t="s">
        <v>585</v>
      </c>
      <c r="F147" s="66" t="s">
        <v>511</v>
      </c>
      <c r="G147" s="78" t="s">
        <v>650</v>
      </c>
      <c r="H147" s="119" t="s">
        <v>361</v>
      </c>
    </row>
    <row r="148" spans="1:8" ht="16.5">
      <c r="A148" s="58" t="s">
        <v>217</v>
      </c>
      <c r="B148" s="11">
        <v>1</v>
      </c>
      <c r="C148" s="11">
        <v>13</v>
      </c>
      <c r="D148" s="59" t="s">
        <v>318</v>
      </c>
      <c r="E148" s="66" t="s">
        <v>584</v>
      </c>
      <c r="F148" s="66" t="s">
        <v>510</v>
      </c>
      <c r="G148" s="78" t="s">
        <v>650</v>
      </c>
      <c r="H148" s="119" t="s">
        <v>343</v>
      </c>
    </row>
    <row r="149" spans="1:8" ht="16.5">
      <c r="A149" s="58" t="s">
        <v>430</v>
      </c>
      <c r="B149" s="11">
        <v>2</v>
      </c>
      <c r="C149" s="11">
        <v>26</v>
      </c>
      <c r="D149" s="59" t="s">
        <v>318</v>
      </c>
      <c r="E149" s="66" t="s">
        <v>584</v>
      </c>
      <c r="F149" s="66" t="s">
        <v>510</v>
      </c>
      <c r="G149" s="78" t="s">
        <v>650</v>
      </c>
      <c r="H149" s="119" t="s">
        <v>364</v>
      </c>
    </row>
    <row r="150" spans="1:8" ht="16.5">
      <c r="A150" s="58" t="s">
        <v>214</v>
      </c>
      <c r="B150" s="11">
        <v>2</v>
      </c>
      <c r="C150" s="11">
        <v>12</v>
      </c>
      <c r="D150" s="59" t="s">
        <v>318</v>
      </c>
      <c r="E150" s="66" t="s">
        <v>585</v>
      </c>
      <c r="F150" s="66" t="s">
        <v>511</v>
      </c>
      <c r="G150" s="78" t="s">
        <v>650</v>
      </c>
      <c r="H150" s="119" t="s">
        <v>526</v>
      </c>
    </row>
    <row r="151" spans="1:8" ht="16.5">
      <c r="A151" s="58" t="s">
        <v>219</v>
      </c>
      <c r="B151" s="11">
        <v>1</v>
      </c>
      <c r="C151" s="11">
        <v>13</v>
      </c>
      <c r="D151" s="59" t="s">
        <v>318</v>
      </c>
      <c r="E151" s="66" t="s">
        <v>584</v>
      </c>
      <c r="F151" s="66" t="s">
        <v>512</v>
      </c>
      <c r="G151" s="78" t="s">
        <v>650</v>
      </c>
      <c r="H151" s="140" t="s">
        <v>364</v>
      </c>
    </row>
    <row r="152" spans="1:8" ht="16.5">
      <c r="A152" s="65" t="s">
        <v>464</v>
      </c>
      <c r="B152" s="72">
        <v>1</v>
      </c>
      <c r="C152" s="72">
        <v>13</v>
      </c>
      <c r="D152" s="66" t="s">
        <v>321</v>
      </c>
      <c r="E152" s="66" t="s">
        <v>584</v>
      </c>
      <c r="F152" s="66" t="s">
        <v>510</v>
      </c>
      <c r="G152" s="78" t="s">
        <v>650</v>
      </c>
      <c r="H152" s="78" t="s">
        <v>443</v>
      </c>
    </row>
    <row r="153" spans="1:8" ht="16.5">
      <c r="A153" s="62" t="s">
        <v>220</v>
      </c>
      <c r="B153" s="11">
        <v>1</v>
      </c>
      <c r="C153" s="11">
        <v>12</v>
      </c>
      <c r="D153" s="59" t="s">
        <v>318</v>
      </c>
      <c r="E153" s="66" t="s">
        <v>584</v>
      </c>
      <c r="F153" s="66" t="s">
        <v>510</v>
      </c>
      <c r="G153" s="78" t="s">
        <v>650</v>
      </c>
      <c r="H153" s="140" t="s">
        <v>596</v>
      </c>
    </row>
    <row r="154" spans="1:8" ht="16.5">
      <c r="A154" s="58" t="s">
        <v>346</v>
      </c>
      <c r="B154" s="11">
        <v>1</v>
      </c>
      <c r="C154" s="11">
        <v>12</v>
      </c>
      <c r="D154" s="59" t="s">
        <v>321</v>
      </c>
      <c r="E154" s="66" t="s">
        <v>584</v>
      </c>
      <c r="F154" s="66" t="s">
        <v>510</v>
      </c>
      <c r="G154" s="78" t="s">
        <v>625</v>
      </c>
      <c r="H154" s="140" t="s">
        <v>364</v>
      </c>
    </row>
    <row r="155" spans="1:8" ht="16.5">
      <c r="A155" s="58" t="s">
        <v>335</v>
      </c>
      <c r="B155" s="11">
        <v>1</v>
      </c>
      <c r="C155" s="11">
        <v>13</v>
      </c>
      <c r="D155" s="59" t="s">
        <v>318</v>
      </c>
      <c r="E155" s="66" t="s">
        <v>584</v>
      </c>
      <c r="F155" s="66" t="s">
        <v>512</v>
      </c>
      <c r="G155" s="78" t="s">
        <v>625</v>
      </c>
      <c r="H155" s="140" t="s">
        <v>364</v>
      </c>
    </row>
    <row r="156" spans="1:8" ht="16.5">
      <c r="A156" s="58" t="s">
        <v>334</v>
      </c>
      <c r="B156" s="11">
        <v>1</v>
      </c>
      <c r="C156" s="11">
        <v>24</v>
      </c>
      <c r="D156" s="59" t="s">
        <v>318</v>
      </c>
      <c r="E156" s="66" t="s">
        <v>584</v>
      </c>
      <c r="F156" s="66" t="s">
        <v>510</v>
      </c>
      <c r="G156" s="78" t="s">
        <v>625</v>
      </c>
      <c r="H156" s="140" t="s">
        <v>343</v>
      </c>
    </row>
    <row r="157" spans="1:8" ht="16.5">
      <c r="A157" s="58" t="s">
        <v>336</v>
      </c>
      <c r="B157" s="11">
        <v>1</v>
      </c>
      <c r="C157" s="11">
        <v>24</v>
      </c>
      <c r="D157" s="59" t="s">
        <v>321</v>
      </c>
      <c r="E157" s="66" t="s">
        <v>584</v>
      </c>
      <c r="F157" s="66" t="s">
        <v>510</v>
      </c>
      <c r="G157" s="78" t="s">
        <v>625</v>
      </c>
      <c r="H157" s="119" t="s">
        <v>364</v>
      </c>
    </row>
    <row r="158" spans="1:8" ht="16.5">
      <c r="A158" s="58" t="s">
        <v>333</v>
      </c>
      <c r="B158" s="11">
        <v>1</v>
      </c>
      <c r="C158" s="11">
        <v>12</v>
      </c>
      <c r="D158" s="59" t="s">
        <v>321</v>
      </c>
      <c r="E158" s="66" t="s">
        <v>584</v>
      </c>
      <c r="F158" s="66" t="s">
        <v>510</v>
      </c>
      <c r="G158" s="78" t="s">
        <v>625</v>
      </c>
      <c r="H158" s="102" t="s">
        <v>342</v>
      </c>
    </row>
    <row r="159" spans="1:8" ht="16.5">
      <c r="A159" s="65" t="s">
        <v>405</v>
      </c>
      <c r="B159" s="72">
        <v>1</v>
      </c>
      <c r="C159" s="72">
        <v>13</v>
      </c>
      <c r="D159" s="77" t="s">
        <v>165</v>
      </c>
      <c r="E159" s="66" t="s">
        <v>165</v>
      </c>
      <c r="F159" s="66" t="s">
        <v>165</v>
      </c>
      <c r="G159" s="78" t="s">
        <v>625</v>
      </c>
      <c r="H159" s="78" t="s">
        <v>165</v>
      </c>
    </row>
    <row r="160" spans="1:8" ht="16.5">
      <c r="A160" s="58" t="s">
        <v>337</v>
      </c>
      <c r="B160" s="11">
        <v>1</v>
      </c>
      <c r="C160" s="11">
        <v>25</v>
      </c>
      <c r="D160" s="59" t="s">
        <v>321</v>
      </c>
      <c r="E160" s="66" t="s">
        <v>584</v>
      </c>
      <c r="F160" s="66" t="s">
        <v>510</v>
      </c>
      <c r="G160" s="78" t="s">
        <v>625</v>
      </c>
      <c r="H160" s="102" t="s">
        <v>364</v>
      </c>
    </row>
    <row r="161" spans="1:8" ht="16.5">
      <c r="A161" s="58" t="s">
        <v>341</v>
      </c>
      <c r="B161" s="11">
        <v>1</v>
      </c>
      <c r="C161" s="11">
        <v>13</v>
      </c>
      <c r="D161" s="59" t="s">
        <v>321</v>
      </c>
      <c r="E161" s="66" t="s">
        <v>584</v>
      </c>
      <c r="F161" s="66" t="s">
        <v>512</v>
      </c>
      <c r="G161" s="78" t="s">
        <v>625</v>
      </c>
      <c r="H161" s="140" t="s">
        <v>364</v>
      </c>
    </row>
    <row r="162" spans="1:8" ht="16.5">
      <c r="A162" s="58" t="s">
        <v>432</v>
      </c>
      <c r="B162" s="11">
        <v>1</v>
      </c>
      <c r="C162" s="11">
        <v>12</v>
      </c>
      <c r="D162" s="59" t="s">
        <v>321</v>
      </c>
      <c r="E162" s="66" t="s">
        <v>584</v>
      </c>
      <c r="F162" s="66" t="s">
        <v>510</v>
      </c>
      <c r="G162" s="78" t="s">
        <v>625</v>
      </c>
      <c r="H162" s="140" t="s">
        <v>364</v>
      </c>
    </row>
    <row r="163" spans="1:8" ht="16.5">
      <c r="A163" s="58" t="s">
        <v>347</v>
      </c>
      <c r="B163" s="11">
        <v>1</v>
      </c>
      <c r="C163" s="11">
        <v>10</v>
      </c>
      <c r="D163" s="59" t="s">
        <v>318</v>
      </c>
      <c r="E163" s="66" t="s">
        <v>584</v>
      </c>
      <c r="F163" s="66" t="s">
        <v>510</v>
      </c>
      <c r="G163" s="78" t="s">
        <v>625</v>
      </c>
      <c r="H163" s="102" t="s">
        <v>364</v>
      </c>
    </row>
    <row r="164" spans="1:8" ht="16.5">
      <c r="A164" s="58" t="s">
        <v>338</v>
      </c>
      <c r="B164" s="11">
        <v>1</v>
      </c>
      <c r="C164" s="11">
        <v>22</v>
      </c>
      <c r="D164" s="59" t="s">
        <v>321</v>
      </c>
      <c r="E164" s="66" t="s">
        <v>584</v>
      </c>
      <c r="F164" s="66" t="s">
        <v>510</v>
      </c>
      <c r="G164" s="78" t="s">
        <v>625</v>
      </c>
      <c r="H164" s="119" t="s">
        <v>364</v>
      </c>
    </row>
    <row r="165" spans="1:8" ht="16.5">
      <c r="A165" s="58" t="s">
        <v>339</v>
      </c>
      <c r="B165" s="11">
        <v>2</v>
      </c>
      <c r="C165" s="11">
        <v>12</v>
      </c>
      <c r="D165" s="59" t="s">
        <v>321</v>
      </c>
      <c r="E165" s="66" t="s">
        <v>584</v>
      </c>
      <c r="F165" s="66" t="s">
        <v>510</v>
      </c>
      <c r="G165" s="78" t="s">
        <v>625</v>
      </c>
      <c r="H165" s="140" t="s">
        <v>342</v>
      </c>
    </row>
    <row r="166" spans="1:8" ht="16.5">
      <c r="A166" s="83" t="s">
        <v>416</v>
      </c>
      <c r="B166" s="84">
        <v>2</v>
      </c>
      <c r="C166" s="84">
        <v>12</v>
      </c>
      <c r="D166" s="85" t="s">
        <v>318</v>
      </c>
      <c r="E166" s="52" t="s">
        <v>584</v>
      </c>
      <c r="F166" s="52" t="s">
        <v>510</v>
      </c>
      <c r="G166" s="104" t="s">
        <v>645</v>
      </c>
      <c r="H166" s="86" t="s">
        <v>596</v>
      </c>
    </row>
    <row r="167" spans="1:8" ht="16.5">
      <c r="A167" s="58" t="s">
        <v>419</v>
      </c>
      <c r="B167" s="11">
        <v>1</v>
      </c>
      <c r="C167" s="11">
        <v>12</v>
      </c>
      <c r="D167" s="59" t="s">
        <v>321</v>
      </c>
      <c r="E167" s="66" t="s">
        <v>584</v>
      </c>
      <c r="F167" s="66" t="s">
        <v>510</v>
      </c>
      <c r="G167" s="78" t="s">
        <v>645</v>
      </c>
      <c r="H167" s="119" t="s">
        <v>443</v>
      </c>
    </row>
    <row r="168" spans="1:8" ht="16.5">
      <c r="A168" s="58" t="s">
        <v>421</v>
      </c>
      <c r="B168" s="11">
        <v>1</v>
      </c>
      <c r="C168" s="11">
        <v>10</v>
      </c>
      <c r="D168" s="59" t="s">
        <v>318</v>
      </c>
      <c r="E168" s="66" t="s">
        <v>584</v>
      </c>
      <c r="F168" s="66" t="s">
        <v>510</v>
      </c>
      <c r="G168" s="78" t="s">
        <v>645</v>
      </c>
      <c r="H168" s="140" t="s">
        <v>443</v>
      </c>
    </row>
    <row r="169" spans="1:8" ht="16.5">
      <c r="A169" s="65" t="s">
        <v>493</v>
      </c>
      <c r="B169" s="72">
        <v>1</v>
      </c>
      <c r="C169" s="72">
        <v>12</v>
      </c>
      <c r="D169" s="66" t="s">
        <v>321</v>
      </c>
      <c r="E169" s="66" t="s">
        <v>584</v>
      </c>
      <c r="F169" s="66" t="s">
        <v>510</v>
      </c>
      <c r="G169" s="78" t="s">
        <v>645</v>
      </c>
      <c r="H169" s="78" t="s">
        <v>377</v>
      </c>
    </row>
    <row r="170" spans="1:8" ht="16.5">
      <c r="A170" s="65" t="s">
        <v>415</v>
      </c>
      <c r="B170" s="11">
        <v>1</v>
      </c>
      <c r="C170" s="72">
        <v>20</v>
      </c>
      <c r="D170" s="59" t="s">
        <v>321</v>
      </c>
      <c r="E170" s="66" t="s">
        <v>584</v>
      </c>
      <c r="F170" s="98" t="s">
        <v>510</v>
      </c>
      <c r="G170" s="78" t="s">
        <v>645</v>
      </c>
      <c r="H170" s="11" t="s">
        <v>343</v>
      </c>
    </row>
    <row r="171" spans="1:8" ht="16.5">
      <c r="A171" s="58" t="s">
        <v>434</v>
      </c>
      <c r="B171" s="11">
        <v>1</v>
      </c>
      <c r="C171" s="11">
        <v>12</v>
      </c>
      <c r="D171" s="59" t="s">
        <v>321</v>
      </c>
      <c r="E171" s="66" t="s">
        <v>584</v>
      </c>
      <c r="F171" s="66" t="s">
        <v>510</v>
      </c>
      <c r="G171" s="78" t="s">
        <v>645</v>
      </c>
      <c r="H171" s="140" t="s">
        <v>343</v>
      </c>
    </row>
    <row r="172" spans="1:8" ht="16.5">
      <c r="A172" s="58" t="s">
        <v>417</v>
      </c>
      <c r="B172" s="11">
        <v>1</v>
      </c>
      <c r="C172" s="11">
        <v>12</v>
      </c>
      <c r="D172" s="59" t="s">
        <v>321</v>
      </c>
      <c r="E172" s="66" t="s">
        <v>584</v>
      </c>
      <c r="F172" s="66" t="s">
        <v>510</v>
      </c>
      <c r="G172" s="78" t="s">
        <v>645</v>
      </c>
      <c r="H172" s="140" t="s">
        <v>361</v>
      </c>
    </row>
    <row r="173" spans="1:8" ht="16.5">
      <c r="A173" s="58" t="s">
        <v>420</v>
      </c>
      <c r="B173" s="11">
        <v>1</v>
      </c>
      <c r="C173" s="11">
        <v>13</v>
      </c>
      <c r="D173" s="59" t="s">
        <v>321</v>
      </c>
      <c r="E173" s="66" t="s">
        <v>584</v>
      </c>
      <c r="F173" s="66" t="s">
        <v>512</v>
      </c>
      <c r="G173" s="78" t="s">
        <v>645</v>
      </c>
      <c r="H173" s="119" t="s">
        <v>364</v>
      </c>
    </row>
    <row r="174" spans="1:8" ht="16.5">
      <c r="A174" s="58" t="s">
        <v>444</v>
      </c>
      <c r="B174" s="11">
        <v>1</v>
      </c>
      <c r="C174" s="11">
        <v>12</v>
      </c>
      <c r="D174" s="59" t="s">
        <v>318</v>
      </c>
      <c r="E174" s="66" t="s">
        <v>584</v>
      </c>
      <c r="F174" s="66" t="s">
        <v>512</v>
      </c>
      <c r="G174" s="78" t="s">
        <v>645</v>
      </c>
      <c r="H174" s="119" t="s">
        <v>364</v>
      </c>
    </row>
    <row r="175" spans="1:8" ht="16.5">
      <c r="A175" s="58" t="s">
        <v>436</v>
      </c>
      <c r="B175" s="11">
        <v>1</v>
      </c>
      <c r="C175" s="11">
        <v>21</v>
      </c>
      <c r="D175" s="59" t="s">
        <v>321</v>
      </c>
      <c r="E175" s="66" t="s">
        <v>584</v>
      </c>
      <c r="F175" s="66" t="s">
        <v>510</v>
      </c>
      <c r="G175" s="78" t="s">
        <v>645</v>
      </c>
      <c r="H175" s="140" t="s">
        <v>443</v>
      </c>
    </row>
    <row r="176" spans="1:8" ht="16.5">
      <c r="A176" s="83" t="s">
        <v>440</v>
      </c>
      <c r="B176" s="84">
        <v>1</v>
      </c>
      <c r="C176" s="84">
        <v>12</v>
      </c>
      <c r="D176" s="85" t="s">
        <v>318</v>
      </c>
      <c r="E176" s="52" t="s">
        <v>584</v>
      </c>
      <c r="F176" s="52" t="s">
        <v>510</v>
      </c>
      <c r="G176" s="104" t="s">
        <v>645</v>
      </c>
      <c r="H176" s="86" t="s">
        <v>343</v>
      </c>
    </row>
    <row r="177" spans="1:8" ht="16.5">
      <c r="A177" s="65" t="s">
        <v>472</v>
      </c>
      <c r="B177" s="11">
        <v>1</v>
      </c>
      <c r="C177" s="72">
        <v>12</v>
      </c>
      <c r="D177" s="59" t="s">
        <v>321</v>
      </c>
      <c r="E177" s="66" t="s">
        <v>584</v>
      </c>
      <c r="F177" s="98" t="s">
        <v>512</v>
      </c>
      <c r="G177" s="78" t="s">
        <v>628</v>
      </c>
      <c r="H177" s="141" t="s">
        <v>364</v>
      </c>
    </row>
    <row r="178" spans="1:8" ht="16.5">
      <c r="A178" s="65" t="s">
        <v>473</v>
      </c>
      <c r="B178" s="11">
        <v>1</v>
      </c>
      <c r="C178" s="72"/>
      <c r="D178" s="59" t="s">
        <v>321</v>
      </c>
      <c r="E178" s="66" t="s">
        <v>584</v>
      </c>
      <c r="F178" s="98" t="s">
        <v>510</v>
      </c>
      <c r="G178" s="78" t="s">
        <v>628</v>
      </c>
      <c r="H178" s="12" t="s">
        <v>377</v>
      </c>
    </row>
    <row r="179" spans="1:8" ht="16.5">
      <c r="A179" s="65" t="s">
        <v>474</v>
      </c>
      <c r="B179" s="11">
        <v>1</v>
      </c>
      <c r="C179" s="72"/>
      <c r="D179" s="59" t="s">
        <v>321</v>
      </c>
      <c r="E179" s="66" t="s">
        <v>584</v>
      </c>
      <c r="F179" s="98" t="s">
        <v>510</v>
      </c>
      <c r="G179" s="78" t="s">
        <v>628</v>
      </c>
      <c r="H179" s="12" t="s">
        <v>488</v>
      </c>
    </row>
    <row r="180" spans="1:8" ht="16.5">
      <c r="A180" s="65" t="s">
        <v>475</v>
      </c>
      <c r="B180" s="11">
        <v>1</v>
      </c>
      <c r="C180" s="72">
        <v>12</v>
      </c>
      <c r="D180" s="59" t="s">
        <v>321</v>
      </c>
      <c r="E180" s="66" t="s">
        <v>584</v>
      </c>
      <c r="F180" s="98" t="s">
        <v>510</v>
      </c>
      <c r="G180" s="78" t="s">
        <v>628</v>
      </c>
      <c r="H180" s="12" t="s">
        <v>595</v>
      </c>
    </row>
    <row r="181" spans="1:8" ht="16.5">
      <c r="A181" s="65" t="s">
        <v>476</v>
      </c>
      <c r="B181" s="11">
        <v>1</v>
      </c>
      <c r="C181" s="72">
        <v>12</v>
      </c>
      <c r="D181" s="59" t="s">
        <v>321</v>
      </c>
      <c r="E181" s="66" t="s">
        <v>584</v>
      </c>
      <c r="F181" s="98" t="s">
        <v>510</v>
      </c>
      <c r="G181" s="78" t="s">
        <v>628</v>
      </c>
      <c r="H181" s="12" t="s">
        <v>366</v>
      </c>
    </row>
    <row r="182" spans="1:8" ht="16.5">
      <c r="A182" s="65" t="s">
        <v>477</v>
      </c>
      <c r="B182" s="11">
        <v>1</v>
      </c>
      <c r="C182" s="72">
        <v>12</v>
      </c>
      <c r="D182" s="59" t="s">
        <v>321</v>
      </c>
      <c r="E182" s="66" t="s">
        <v>584</v>
      </c>
      <c r="F182" s="98" t="s">
        <v>510</v>
      </c>
      <c r="G182" s="78" t="s">
        <v>628</v>
      </c>
      <c r="H182" s="12" t="s">
        <v>443</v>
      </c>
    </row>
    <row r="183" spans="1:8" ht="16.5">
      <c r="A183" s="65" t="s">
        <v>478</v>
      </c>
      <c r="B183" s="11">
        <v>1</v>
      </c>
      <c r="C183" s="72">
        <v>13</v>
      </c>
      <c r="D183" s="59" t="s">
        <v>321</v>
      </c>
      <c r="E183" s="66" t="s">
        <v>584</v>
      </c>
      <c r="F183" s="60" t="s">
        <v>510</v>
      </c>
      <c r="G183" s="78" t="s">
        <v>628</v>
      </c>
      <c r="H183" s="184" t="s">
        <v>377</v>
      </c>
    </row>
    <row r="184" spans="1:8" ht="16.5">
      <c r="A184" s="65" t="s">
        <v>479</v>
      </c>
      <c r="B184" s="11">
        <v>1</v>
      </c>
      <c r="C184" s="72"/>
      <c r="D184" s="60" t="s">
        <v>165</v>
      </c>
      <c r="E184" s="77" t="s">
        <v>165</v>
      </c>
      <c r="F184" s="60" t="s">
        <v>510</v>
      </c>
      <c r="G184" s="78" t="s">
        <v>628</v>
      </c>
      <c r="H184" s="183" t="s">
        <v>165</v>
      </c>
    </row>
    <row r="185" spans="1:8" ht="16.5">
      <c r="A185" s="65" t="s">
        <v>487</v>
      </c>
      <c r="B185" s="11">
        <v>1</v>
      </c>
      <c r="C185" s="72">
        <v>12</v>
      </c>
      <c r="D185" s="59" t="s">
        <v>321</v>
      </c>
      <c r="E185" s="66" t="s">
        <v>584</v>
      </c>
      <c r="F185" s="98" t="s">
        <v>510</v>
      </c>
      <c r="G185" s="78" t="s">
        <v>628</v>
      </c>
      <c r="H185" s="12" t="s">
        <v>361</v>
      </c>
    </row>
    <row r="186" spans="1:8" ht="16.5">
      <c r="A186" s="65" t="s">
        <v>489</v>
      </c>
      <c r="B186" s="11">
        <v>1</v>
      </c>
      <c r="C186" s="72">
        <v>12</v>
      </c>
      <c r="D186" s="59" t="s">
        <v>321</v>
      </c>
      <c r="E186" s="66" t="s">
        <v>584</v>
      </c>
      <c r="F186" s="98" t="s">
        <v>510</v>
      </c>
      <c r="G186" s="78" t="s">
        <v>628</v>
      </c>
      <c r="H186" s="141" t="s">
        <v>364</v>
      </c>
    </row>
    <row r="187" spans="1:8" ht="16.5">
      <c r="A187" s="65" t="s">
        <v>471</v>
      </c>
      <c r="B187" s="72">
        <v>2</v>
      </c>
      <c r="C187" s="81">
        <v>10</v>
      </c>
      <c r="D187" s="77" t="s">
        <v>165</v>
      </c>
      <c r="E187" s="66" t="s">
        <v>165</v>
      </c>
      <c r="F187" s="66" t="s">
        <v>165</v>
      </c>
      <c r="G187" s="78" t="s">
        <v>628</v>
      </c>
      <c r="H187" s="99" t="s">
        <v>165</v>
      </c>
    </row>
    <row r="188" spans="1:8" ht="16.5">
      <c r="A188" s="65" t="s">
        <v>480</v>
      </c>
      <c r="B188" s="11">
        <v>1</v>
      </c>
      <c r="C188" s="72">
        <v>12</v>
      </c>
      <c r="D188" s="59" t="s">
        <v>321</v>
      </c>
      <c r="E188" s="66" t="s">
        <v>584</v>
      </c>
      <c r="F188" s="98" t="s">
        <v>510</v>
      </c>
      <c r="G188" s="78" t="s">
        <v>628</v>
      </c>
      <c r="H188" s="12" t="s">
        <v>593</v>
      </c>
    </row>
    <row r="189" spans="1:8" ht="16.5">
      <c r="A189" s="65" t="s">
        <v>468</v>
      </c>
      <c r="B189" s="72">
        <v>1</v>
      </c>
      <c r="C189" s="72">
        <v>12</v>
      </c>
      <c r="D189" s="77" t="s">
        <v>165</v>
      </c>
      <c r="E189" s="66" t="s">
        <v>165</v>
      </c>
      <c r="F189" s="66" t="s">
        <v>165</v>
      </c>
      <c r="G189" s="78" t="s">
        <v>628</v>
      </c>
      <c r="H189" s="99" t="s">
        <v>165</v>
      </c>
    </row>
    <row r="190" spans="1:8" ht="16.5">
      <c r="A190" s="65" t="s">
        <v>481</v>
      </c>
      <c r="B190" s="11">
        <v>1</v>
      </c>
      <c r="C190" s="72">
        <v>11</v>
      </c>
      <c r="D190" s="59" t="s">
        <v>321</v>
      </c>
      <c r="E190" s="66" t="s">
        <v>584</v>
      </c>
      <c r="F190" s="98" t="s">
        <v>510</v>
      </c>
      <c r="G190" s="78" t="s">
        <v>628</v>
      </c>
      <c r="H190" s="12" t="s">
        <v>488</v>
      </c>
    </row>
    <row r="191" spans="1:8" ht="16.5">
      <c r="A191" s="65" t="s">
        <v>492</v>
      </c>
      <c r="B191" s="11">
        <v>1</v>
      </c>
      <c r="C191" s="72">
        <v>11</v>
      </c>
      <c r="D191" s="59" t="s">
        <v>321</v>
      </c>
      <c r="E191" s="66" t="s">
        <v>584</v>
      </c>
      <c r="F191" s="98" t="s">
        <v>510</v>
      </c>
      <c r="G191" s="78" t="s">
        <v>628</v>
      </c>
      <c r="H191" s="12" t="s">
        <v>343</v>
      </c>
    </row>
    <row r="192" spans="1:8" ht="16.5">
      <c r="A192" s="65" t="s">
        <v>482</v>
      </c>
      <c r="B192" s="11">
        <v>1</v>
      </c>
      <c r="C192" s="72">
        <v>12</v>
      </c>
      <c r="D192" s="59" t="s">
        <v>321</v>
      </c>
      <c r="E192" s="66" t="s">
        <v>584</v>
      </c>
      <c r="F192" s="60" t="s">
        <v>510</v>
      </c>
      <c r="G192" s="78" t="s">
        <v>628</v>
      </c>
      <c r="H192" s="12" t="s">
        <v>377</v>
      </c>
    </row>
  </sheetData>
  <mergeCells count="1">
    <mergeCell ref="A1:H1"/>
  </mergeCells>
  <conditionalFormatting sqref="A100 A103:A104 A106:A109 A111:A112">
    <cfRule type="expression" dxfId="4" priority="20">
      <formula>NOT(($F100-$D100)=0)</formula>
    </cfRule>
  </conditionalFormatting>
  <conditionalFormatting sqref="A114">
    <cfRule type="expression" dxfId="3" priority="29">
      <formula>(($F114-$D114)=0)</formula>
    </cfRule>
    <cfRule type="expression" dxfId="2" priority="30">
      <formula>(($F114-$D114)&gt;0)</formula>
    </cfRule>
  </conditionalFormatting>
  <conditionalFormatting sqref="A177:A192">
    <cfRule type="expression" dxfId="1" priority="1">
      <formula>(($E177-$D177)=0)</formula>
    </cfRule>
    <cfRule type="expression" dxfId="0" priority="2">
      <formula>(($E177-$D177)&gt;0)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3"/>
  <sheetViews>
    <sheetView showGridLines="0" topLeftCell="A55" zoomScaleNormal="100" workbookViewId="0">
      <selection activeCell="A3" sqref="A3:C63"/>
    </sheetView>
  </sheetViews>
  <sheetFormatPr defaultRowHeight="15"/>
  <cols>
    <col min="1" max="1" width="48.140625" style="6" bestFit="1" customWidth="1"/>
    <col min="2" max="2" width="6.42578125" style="57" bestFit="1" customWidth="1"/>
    <col min="3" max="3" width="9.140625" style="7"/>
  </cols>
  <sheetData>
    <row r="1" spans="1:3" ht="16.5">
      <c r="A1" s="211" t="s">
        <v>1</v>
      </c>
      <c r="B1" s="212"/>
      <c r="C1" s="212"/>
    </row>
    <row r="2" spans="1:3" ht="16.5">
      <c r="A2" s="48" t="s">
        <v>3</v>
      </c>
      <c r="B2" s="48" t="s">
        <v>199</v>
      </c>
      <c r="C2" s="63" t="s">
        <v>4</v>
      </c>
    </row>
    <row r="3" spans="1:3" ht="16.5">
      <c r="A3" s="58" t="s">
        <v>39</v>
      </c>
      <c r="B3" s="82">
        <v>1</v>
      </c>
      <c r="C3" s="11" t="s">
        <v>14</v>
      </c>
    </row>
    <row r="4" spans="1:3" ht="16.5">
      <c r="A4" s="58" t="s">
        <v>393</v>
      </c>
      <c r="B4" s="82">
        <v>1</v>
      </c>
      <c r="C4" s="11" t="s">
        <v>14</v>
      </c>
    </row>
    <row r="5" spans="1:3" ht="16.5">
      <c r="A5" s="58" t="s">
        <v>316</v>
      </c>
      <c r="B5" s="82">
        <v>1</v>
      </c>
      <c r="C5" s="11" t="s">
        <v>14</v>
      </c>
    </row>
    <row r="6" spans="1:3" ht="16.5">
      <c r="A6" s="58" t="s">
        <v>404</v>
      </c>
      <c r="B6" s="82">
        <v>1</v>
      </c>
      <c r="C6" s="11" t="s">
        <v>14</v>
      </c>
    </row>
    <row r="7" spans="1:3" ht="16.5">
      <c r="A7" s="58" t="s">
        <v>424</v>
      </c>
      <c r="B7" s="82">
        <v>2</v>
      </c>
      <c r="C7" s="11" t="s">
        <v>14</v>
      </c>
    </row>
    <row r="8" spans="1:3" ht="16.5">
      <c r="A8" s="58" t="s">
        <v>425</v>
      </c>
      <c r="B8" s="82">
        <v>3</v>
      </c>
      <c r="C8" s="11" t="s">
        <v>14</v>
      </c>
    </row>
    <row r="9" spans="1:3" ht="16.5">
      <c r="A9" s="58" t="s">
        <v>284</v>
      </c>
      <c r="B9" s="82">
        <v>1</v>
      </c>
      <c r="C9" s="11" t="s">
        <v>14</v>
      </c>
    </row>
    <row r="10" spans="1:3" ht="16.5">
      <c r="A10" s="58" t="s">
        <v>285</v>
      </c>
      <c r="B10" s="82">
        <v>2</v>
      </c>
      <c r="C10" s="11" t="s">
        <v>277</v>
      </c>
    </row>
    <row r="11" spans="1:3" ht="16.5">
      <c r="A11" s="58" t="s">
        <v>330</v>
      </c>
      <c r="B11" s="82">
        <v>1</v>
      </c>
      <c r="C11" s="11" t="s">
        <v>14</v>
      </c>
    </row>
    <row r="12" spans="1:3" ht="16.5">
      <c r="A12" s="58" t="s">
        <v>286</v>
      </c>
      <c r="B12" s="82">
        <v>1</v>
      </c>
      <c r="C12" s="11" t="s">
        <v>277</v>
      </c>
    </row>
    <row r="13" spans="1:3" ht="16.5">
      <c r="A13" s="58" t="s">
        <v>225</v>
      </c>
      <c r="B13" s="82">
        <v>1</v>
      </c>
      <c r="C13" s="11" t="s">
        <v>14</v>
      </c>
    </row>
    <row r="14" spans="1:3" ht="17.25" thickBot="1">
      <c r="A14" s="58" t="s">
        <v>309</v>
      </c>
      <c r="B14" s="82">
        <v>1</v>
      </c>
      <c r="C14" s="43" t="s">
        <v>14</v>
      </c>
    </row>
    <row r="15" spans="1:3" ht="16.5">
      <c r="A15" s="58" t="s">
        <v>42</v>
      </c>
      <c r="B15" s="82">
        <v>1</v>
      </c>
      <c r="C15" s="11" t="s">
        <v>14</v>
      </c>
    </row>
    <row r="16" spans="1:3" ht="16.5">
      <c r="A16" s="58" t="s">
        <v>308</v>
      </c>
      <c r="B16" s="82">
        <v>1</v>
      </c>
      <c r="C16" s="11" t="s">
        <v>14</v>
      </c>
    </row>
    <row r="17" spans="1:3" ht="16.5">
      <c r="A17" s="58" t="s">
        <v>315</v>
      </c>
      <c r="B17" s="82">
        <v>1</v>
      </c>
      <c r="C17" s="11" t="s">
        <v>14</v>
      </c>
    </row>
    <row r="18" spans="1:3" ht="16.5">
      <c r="A18" s="58" t="s">
        <v>515</v>
      </c>
      <c r="B18" s="82">
        <v>2</v>
      </c>
      <c r="C18" s="11" t="s">
        <v>14</v>
      </c>
    </row>
    <row r="19" spans="1:3" ht="16.5">
      <c r="A19" s="58" t="s">
        <v>46</v>
      </c>
      <c r="B19" s="82">
        <v>1</v>
      </c>
      <c r="C19" s="11" t="s">
        <v>14</v>
      </c>
    </row>
    <row r="20" spans="1:3" ht="16.5">
      <c r="A20" s="58" t="s">
        <v>82</v>
      </c>
      <c r="B20" s="82">
        <v>1</v>
      </c>
      <c r="C20" s="11" t="s">
        <v>14</v>
      </c>
    </row>
    <row r="21" spans="1:3" ht="16.5">
      <c r="A21" s="58" t="s">
        <v>278</v>
      </c>
      <c r="B21" s="82">
        <v>1</v>
      </c>
      <c r="C21" s="11" t="s">
        <v>277</v>
      </c>
    </row>
    <row r="22" spans="1:3" ht="16.5">
      <c r="A22" s="58" t="s">
        <v>49</v>
      </c>
      <c r="B22" s="82">
        <v>1</v>
      </c>
      <c r="C22" s="11" t="s">
        <v>14</v>
      </c>
    </row>
    <row r="23" spans="1:3" ht="16.5">
      <c r="A23" s="58" t="s">
        <v>279</v>
      </c>
      <c r="B23" s="82">
        <v>1</v>
      </c>
      <c r="C23" s="11" t="s">
        <v>277</v>
      </c>
    </row>
    <row r="24" spans="1:3" ht="16.5">
      <c r="A24" s="58" t="s">
        <v>19</v>
      </c>
      <c r="B24" s="82">
        <v>1</v>
      </c>
      <c r="C24" s="11" t="s">
        <v>14</v>
      </c>
    </row>
    <row r="25" spans="1:3" ht="16.5">
      <c r="A25" s="58" t="s">
        <v>287</v>
      </c>
      <c r="B25" s="82">
        <v>2</v>
      </c>
      <c r="C25" s="11" t="s">
        <v>14</v>
      </c>
    </row>
    <row r="26" spans="1:3" ht="16.5">
      <c r="A26" s="58" t="s">
        <v>313</v>
      </c>
      <c r="B26" s="82">
        <v>1</v>
      </c>
      <c r="C26" s="11" t="s">
        <v>14</v>
      </c>
    </row>
    <row r="27" spans="1:3" ht="16.5">
      <c r="A27" s="58" t="s">
        <v>21</v>
      </c>
      <c r="B27" s="82">
        <v>1</v>
      </c>
      <c r="C27" s="11" t="s">
        <v>14</v>
      </c>
    </row>
    <row r="28" spans="1:3" ht="16.5">
      <c r="A28" s="58" t="s">
        <v>169</v>
      </c>
      <c r="B28" s="82">
        <v>1</v>
      </c>
      <c r="C28" s="11" t="s">
        <v>14</v>
      </c>
    </row>
    <row r="29" spans="1:3" ht="16.5">
      <c r="A29" s="58" t="s">
        <v>54</v>
      </c>
      <c r="B29" s="82">
        <v>1</v>
      </c>
      <c r="C29" s="11" t="s">
        <v>14</v>
      </c>
    </row>
    <row r="30" spans="1:3" ht="16.5">
      <c r="A30" s="58" t="s">
        <v>311</v>
      </c>
      <c r="B30" s="82">
        <v>1</v>
      </c>
      <c r="C30" s="11" t="s">
        <v>14</v>
      </c>
    </row>
    <row r="31" spans="1:3" ht="16.5">
      <c r="A31" s="58" t="s">
        <v>516</v>
      </c>
      <c r="B31" s="82">
        <v>1</v>
      </c>
      <c r="C31" s="11" t="s">
        <v>14</v>
      </c>
    </row>
    <row r="32" spans="1:3" ht="16.5">
      <c r="A32" s="58" t="s">
        <v>394</v>
      </c>
      <c r="B32" s="82">
        <v>1</v>
      </c>
      <c r="C32" s="11" t="s">
        <v>14</v>
      </c>
    </row>
    <row r="33" spans="1:3" ht="16.5">
      <c r="A33" s="58" t="s">
        <v>24</v>
      </c>
      <c r="B33" s="82">
        <v>1</v>
      </c>
      <c r="C33" s="11" t="s">
        <v>14</v>
      </c>
    </row>
    <row r="34" spans="1:3" ht="16.5">
      <c r="A34" s="58" t="s">
        <v>288</v>
      </c>
      <c r="B34" s="82">
        <v>2</v>
      </c>
      <c r="C34" s="11" t="s">
        <v>277</v>
      </c>
    </row>
    <row r="35" spans="1:3" ht="16.5">
      <c r="A35" s="58" t="s">
        <v>289</v>
      </c>
      <c r="B35" s="82">
        <v>3</v>
      </c>
      <c r="C35" s="11" t="s">
        <v>277</v>
      </c>
    </row>
    <row r="36" spans="1:3" ht="16.5">
      <c r="A36" s="58" t="s">
        <v>314</v>
      </c>
      <c r="B36" s="82">
        <v>1</v>
      </c>
      <c r="C36" s="11" t="s">
        <v>14</v>
      </c>
    </row>
    <row r="37" spans="1:3" ht="16.5">
      <c r="A37" s="58" t="s">
        <v>26</v>
      </c>
      <c r="B37" s="82">
        <v>1</v>
      </c>
      <c r="C37" s="11" t="s">
        <v>14</v>
      </c>
    </row>
    <row r="38" spans="1:3" ht="16.5">
      <c r="A38" s="58" t="s">
        <v>461</v>
      </c>
      <c r="B38" s="82">
        <v>1</v>
      </c>
      <c r="C38" s="11" t="s">
        <v>14</v>
      </c>
    </row>
    <row r="39" spans="1:3" ht="16.5">
      <c r="A39" s="58" t="s">
        <v>280</v>
      </c>
      <c r="B39" s="82">
        <v>1</v>
      </c>
      <c r="C39" s="11" t="s">
        <v>277</v>
      </c>
    </row>
    <row r="40" spans="1:3" ht="16.5">
      <c r="A40" s="58" t="s">
        <v>78</v>
      </c>
      <c r="B40" s="82">
        <v>1</v>
      </c>
      <c r="C40" s="11" t="s">
        <v>14</v>
      </c>
    </row>
    <row r="41" spans="1:3" ht="16.5">
      <c r="A41" s="58" t="s">
        <v>290</v>
      </c>
      <c r="B41" s="82">
        <v>2</v>
      </c>
      <c r="C41" s="11" t="s">
        <v>277</v>
      </c>
    </row>
    <row r="42" spans="1:3" ht="16.5">
      <c r="A42" s="58" t="s">
        <v>166</v>
      </c>
      <c r="B42" s="82">
        <v>1</v>
      </c>
      <c r="C42" s="11" t="s">
        <v>14</v>
      </c>
    </row>
    <row r="43" spans="1:3" ht="16.5">
      <c r="A43" s="58" t="s">
        <v>32</v>
      </c>
      <c r="B43" s="82">
        <v>1</v>
      </c>
      <c r="C43" s="11" t="s">
        <v>14</v>
      </c>
    </row>
    <row r="44" spans="1:3" ht="16.5">
      <c r="A44" s="58" t="s">
        <v>291</v>
      </c>
      <c r="B44" s="82">
        <v>2</v>
      </c>
      <c r="C44" s="11" t="s">
        <v>277</v>
      </c>
    </row>
    <row r="45" spans="1:3" ht="16.5">
      <c r="A45" s="58" t="s">
        <v>35</v>
      </c>
      <c r="B45" s="82">
        <v>1</v>
      </c>
      <c r="C45" s="11" t="s">
        <v>14</v>
      </c>
    </row>
    <row r="46" spans="1:3" ht="16.5">
      <c r="A46" s="58" t="s">
        <v>464</v>
      </c>
      <c r="B46" s="82">
        <v>1</v>
      </c>
      <c r="C46" s="11" t="s">
        <v>14</v>
      </c>
    </row>
    <row r="47" spans="1:3" ht="16.5">
      <c r="A47" s="58" t="s">
        <v>317</v>
      </c>
      <c r="B47" s="82">
        <v>1</v>
      </c>
      <c r="C47" s="11" t="s">
        <v>14</v>
      </c>
    </row>
    <row r="48" spans="1:3" ht="16.5">
      <c r="A48" s="58" t="s">
        <v>355</v>
      </c>
      <c r="B48" s="82">
        <v>1</v>
      </c>
      <c r="C48" s="11" t="s">
        <v>14</v>
      </c>
    </row>
    <row r="49" spans="1:3" ht="16.5">
      <c r="A49" s="58" t="s">
        <v>462</v>
      </c>
      <c r="B49" s="82">
        <v>1</v>
      </c>
      <c r="C49" s="11" t="s">
        <v>14</v>
      </c>
    </row>
    <row r="50" spans="1:3" ht="16.5">
      <c r="A50" s="58" t="s">
        <v>463</v>
      </c>
      <c r="B50" s="82">
        <v>2</v>
      </c>
      <c r="C50" s="11" t="s">
        <v>14</v>
      </c>
    </row>
    <row r="51" spans="1:3" ht="16.5">
      <c r="A51" s="58" t="s">
        <v>518</v>
      </c>
      <c r="B51" s="82">
        <v>3</v>
      </c>
      <c r="C51" s="11" t="s">
        <v>14</v>
      </c>
    </row>
    <row r="52" spans="1:3" ht="16.5">
      <c r="A52" s="58" t="s">
        <v>517</v>
      </c>
      <c r="B52" s="82">
        <v>4</v>
      </c>
      <c r="C52" s="11" t="s">
        <v>14</v>
      </c>
    </row>
    <row r="53" spans="1:3" ht="16.5">
      <c r="A53" s="58" t="s">
        <v>448</v>
      </c>
      <c r="B53" s="82">
        <v>1</v>
      </c>
      <c r="C53" s="11" t="s">
        <v>40</v>
      </c>
    </row>
    <row r="54" spans="1:3" ht="16.5">
      <c r="A54" s="58" t="s">
        <v>292</v>
      </c>
      <c r="B54" s="82">
        <v>2</v>
      </c>
      <c r="C54" s="11" t="s">
        <v>281</v>
      </c>
    </row>
    <row r="55" spans="1:3" ht="16.5">
      <c r="A55" s="58" t="s">
        <v>497</v>
      </c>
      <c r="B55" s="82">
        <v>3</v>
      </c>
      <c r="C55" s="11" t="s">
        <v>281</v>
      </c>
    </row>
    <row r="56" spans="1:3" ht="16.5">
      <c r="A56" s="58" t="s">
        <v>498</v>
      </c>
      <c r="B56" s="82">
        <v>4</v>
      </c>
      <c r="C56" s="11" t="s">
        <v>281</v>
      </c>
    </row>
    <row r="57" spans="1:3" ht="16.5">
      <c r="A57" s="58" t="s">
        <v>405</v>
      </c>
      <c r="B57" s="82">
        <v>1</v>
      </c>
      <c r="C57" s="11" t="s">
        <v>40</v>
      </c>
    </row>
    <row r="58" spans="1:3" ht="16.5">
      <c r="A58" s="65" t="s">
        <v>479</v>
      </c>
      <c r="B58" s="82">
        <v>1</v>
      </c>
      <c r="C58" s="72" t="s">
        <v>40</v>
      </c>
    </row>
    <row r="59" spans="1:3" ht="16.5">
      <c r="A59" s="58" t="s">
        <v>471</v>
      </c>
      <c r="B59" s="82">
        <v>2</v>
      </c>
      <c r="C59" s="11" t="s">
        <v>40</v>
      </c>
    </row>
    <row r="60" spans="1:3" ht="16.5">
      <c r="A60" s="58" t="s">
        <v>468</v>
      </c>
      <c r="B60" s="82">
        <v>1</v>
      </c>
      <c r="C60" s="11" t="s">
        <v>40</v>
      </c>
    </row>
    <row r="61" spans="1:3" ht="16.5">
      <c r="A61" s="58" t="s">
        <v>66</v>
      </c>
      <c r="B61" s="82">
        <v>1</v>
      </c>
      <c r="C61" s="11" t="s">
        <v>40</v>
      </c>
    </row>
    <row r="62" spans="1:3" ht="16.5">
      <c r="A62" s="58" t="s">
        <v>73</v>
      </c>
      <c r="B62" s="82">
        <v>1</v>
      </c>
      <c r="C62" s="11" t="s">
        <v>40</v>
      </c>
    </row>
    <row r="63" spans="1:3" ht="16.5">
      <c r="A63" s="83" t="s">
        <v>293</v>
      </c>
      <c r="B63" s="82">
        <v>2</v>
      </c>
      <c r="C63" s="84" t="s">
        <v>281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6"/>
  <sheetViews>
    <sheetView showGridLines="0" topLeftCell="A49" workbookViewId="0">
      <selection activeCell="A3" sqref="A3:L126"/>
    </sheetView>
  </sheetViews>
  <sheetFormatPr defaultRowHeight="15"/>
  <cols>
    <col min="1" max="1" width="42.85546875" style="6" customWidth="1"/>
    <col min="2" max="2" width="6.28515625" customWidth="1"/>
    <col min="3" max="7" width="7.7109375" customWidth="1"/>
    <col min="9" max="10" width="13.7109375" style="108" customWidth="1"/>
    <col min="11" max="11" width="23.140625" bestFit="1" customWidth="1"/>
    <col min="12" max="12" width="99.140625" style="7" bestFit="1" customWidth="1"/>
  </cols>
  <sheetData>
    <row r="1" spans="1:12" ht="16.5">
      <c r="A1" s="211" t="s">
        <v>2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</row>
    <row r="2" spans="1:12" ht="16.5">
      <c r="A2" s="48" t="s">
        <v>3</v>
      </c>
      <c r="B2" s="48" t="s">
        <v>199</v>
      </c>
      <c r="C2" s="48" t="s">
        <v>5</v>
      </c>
      <c r="D2" s="48" t="s">
        <v>6</v>
      </c>
      <c r="E2" s="48" t="s">
        <v>7</v>
      </c>
      <c r="F2" s="48" t="s">
        <v>8</v>
      </c>
      <c r="G2" s="48" t="s">
        <v>9</v>
      </c>
      <c r="H2" s="48" t="s">
        <v>10</v>
      </c>
      <c r="I2" s="107" t="s">
        <v>500</v>
      </c>
      <c r="J2" s="107" t="s">
        <v>667</v>
      </c>
      <c r="K2" s="48" t="s">
        <v>233</v>
      </c>
      <c r="L2" s="48" t="s">
        <v>12</v>
      </c>
    </row>
    <row r="3" spans="1:12" ht="16.5">
      <c r="A3" s="65" t="s">
        <v>43</v>
      </c>
      <c r="B3" s="72">
        <v>1</v>
      </c>
      <c r="C3" s="109">
        <v>11</v>
      </c>
      <c r="D3" s="109">
        <v>11</v>
      </c>
      <c r="E3" s="109">
        <v>0</v>
      </c>
      <c r="F3" s="109">
        <v>10</v>
      </c>
      <c r="G3" s="115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116">
        <f>IF('Vars and Stats'!$B$13="Y",10*(Completed[[#This Row],[Raw]]-'Vars and Stats'!$B$9)/'Vars and Stats'!$B$10, 10*Completed[[#This Row],[Raw]]/'Vars and Stats'!$B$8)</f>
        <v>10</v>
      </c>
      <c r="I3" s="110">
        <v>41290</v>
      </c>
      <c r="J3" s="110">
        <v>41352</v>
      </c>
      <c r="K3" s="111" t="s">
        <v>43</v>
      </c>
      <c r="L3" s="73"/>
    </row>
    <row r="4" spans="1:12" ht="16.5">
      <c r="A4" s="65" t="s">
        <v>400</v>
      </c>
      <c r="B4" s="72">
        <v>1</v>
      </c>
      <c r="C4" s="109">
        <v>9.5</v>
      </c>
      <c r="D4" s="109">
        <v>10</v>
      </c>
      <c r="E4" s="109">
        <v>3.5</v>
      </c>
      <c r="F4" s="109">
        <v>10</v>
      </c>
      <c r="G4" s="115">
        <f>(Completed[[#This Row],[Plot]]*'Vars and Stats'!$B$3+Completed[[#This Row],[Char.]]*'Vars and Stats'!$B$4+Completed[[#This Row],[Moe]]*'Vars and Stats'!$B$5+Completed[[#This Row],[Pref]]*'Vars and Stats'!$B$6)/'Vars and Stats'!$B$11</f>
        <v>9.5979899497487438</v>
      </c>
      <c r="H4" s="116">
        <f>IF('Vars and Stats'!$B$13="Y",10*(Completed[[#This Row],[Raw]]-'Vars and Stats'!$B$9)/'Vars and Stats'!$B$10, 10*Completed[[#This Row],[Raw]]/'Vars and Stats'!$B$8)</f>
        <v>9.4955439717504628</v>
      </c>
      <c r="I4" s="110">
        <v>41646</v>
      </c>
      <c r="J4" s="110">
        <v>41647</v>
      </c>
      <c r="K4" s="112" t="s">
        <v>441</v>
      </c>
      <c r="L4" s="73" t="s">
        <v>442</v>
      </c>
    </row>
    <row r="5" spans="1:12" ht="16.5">
      <c r="A5" s="65" t="s">
        <v>111</v>
      </c>
      <c r="B5" s="72">
        <v>1</v>
      </c>
      <c r="C5" s="109">
        <v>10</v>
      </c>
      <c r="D5" s="109">
        <v>9.5</v>
      </c>
      <c r="E5" s="109">
        <v>4</v>
      </c>
      <c r="F5" s="109">
        <v>10</v>
      </c>
      <c r="G5" s="115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5" s="116">
        <f>IF('Vars and Stats'!$B$13="Y",10*(Completed[[#This Row],[Raw]]-'Vars and Stats'!$B$9)/'Vars and Stats'!$B$10, 10*Completed[[#This Row],[Raw]]/'Vars and Stats'!$B$8)</f>
        <v>9.4703211703379839</v>
      </c>
      <c r="I5" s="110">
        <v>41270</v>
      </c>
      <c r="J5" s="110">
        <v>41279</v>
      </c>
      <c r="K5" s="112" t="s">
        <v>234</v>
      </c>
      <c r="L5" s="73" t="s">
        <v>452</v>
      </c>
    </row>
    <row r="6" spans="1:12" ht="16.5">
      <c r="A6" s="65" t="s">
        <v>167</v>
      </c>
      <c r="B6" s="72">
        <v>1</v>
      </c>
      <c r="C6" s="109">
        <v>10</v>
      </c>
      <c r="D6" s="109">
        <v>10</v>
      </c>
      <c r="E6" s="109">
        <v>3</v>
      </c>
      <c r="F6" s="109">
        <v>9.5</v>
      </c>
      <c r="G6" s="115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116">
        <f>IF('Vars and Stats'!$B$13="Y",10*(Completed[[#This Row],[Raw]]-'Vars and Stats'!$B$9)/'Vars and Stats'!$B$10, 10*Completed[[#This Row],[Raw]]/'Vars and Stats'!$B$8)</f>
        <v>9.2517235580965203</v>
      </c>
      <c r="I6" s="110">
        <v>41607</v>
      </c>
      <c r="J6" s="110">
        <v>41634</v>
      </c>
      <c r="K6" s="112" t="s">
        <v>406</v>
      </c>
      <c r="L6" s="73" t="s">
        <v>407</v>
      </c>
    </row>
    <row r="7" spans="1:12" ht="16.5">
      <c r="A7" s="65" t="s">
        <v>477</v>
      </c>
      <c r="B7" s="72">
        <v>1</v>
      </c>
      <c r="C7" s="109">
        <v>9</v>
      </c>
      <c r="D7" s="109">
        <v>9.5</v>
      </c>
      <c r="E7" s="109">
        <v>7</v>
      </c>
      <c r="F7" s="109">
        <v>9.5</v>
      </c>
      <c r="G7" s="131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132">
        <f>IF('Vars and Stats'!$B$13="Y",10*(Completed[[#This Row],[Raw]]-'Vars and Stats'!$B$9)/'Vars and Stats'!$B$10, 10*Completed[[#This Row],[Raw]]/'Vars and Stats'!$B$8)</f>
        <v>9.0818900285858408</v>
      </c>
      <c r="I7" s="101">
        <v>41749</v>
      </c>
      <c r="J7" s="110">
        <v>41815</v>
      </c>
      <c r="K7" s="112" t="s">
        <v>681</v>
      </c>
      <c r="L7" s="73" t="s">
        <v>682</v>
      </c>
    </row>
    <row r="8" spans="1:12" ht="16.5">
      <c r="A8" s="65" t="s">
        <v>28</v>
      </c>
      <c r="B8" s="72">
        <v>1</v>
      </c>
      <c r="C8" s="109">
        <v>10</v>
      </c>
      <c r="D8" s="109">
        <v>9</v>
      </c>
      <c r="E8" s="109">
        <v>5</v>
      </c>
      <c r="F8" s="109">
        <v>9.5</v>
      </c>
      <c r="G8" s="115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116">
        <f>IF('Vars and Stats'!$B$13="Y",10*(Completed[[#This Row],[Raw]]-'Vars and Stats'!$B$9)/'Vars and Stats'!$B$10, 10*Completed[[#This Row],[Raw]]/'Vars and Stats'!$B$8)</f>
        <v>9.0196737851017303</v>
      </c>
      <c r="I8" s="110">
        <v>41742</v>
      </c>
      <c r="J8" s="110">
        <v>41746</v>
      </c>
      <c r="K8" s="112" t="s">
        <v>484</v>
      </c>
      <c r="L8" s="73" t="s">
        <v>485</v>
      </c>
    </row>
    <row r="9" spans="1:12" ht="16.5">
      <c r="A9" s="65" t="s">
        <v>672</v>
      </c>
      <c r="B9" s="72">
        <v>2</v>
      </c>
      <c r="C9" s="109">
        <v>9.5</v>
      </c>
      <c r="D9" s="109">
        <v>10</v>
      </c>
      <c r="E9" s="109">
        <v>6</v>
      </c>
      <c r="F9" s="109">
        <v>9</v>
      </c>
      <c r="G9" s="115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116">
        <f>IF('Vars and Stats'!$B$13="Y",10*(Completed[[#This Row],[Raw]]-'Vars and Stats'!$B$9)/'Vars and Stats'!$B$10, 10*Completed[[#This Row],[Raw]]/'Vars and Stats'!$B$8)</f>
        <v>8.9860433832184299</v>
      </c>
      <c r="I9" s="110">
        <v>41293</v>
      </c>
      <c r="J9" s="110">
        <v>41294</v>
      </c>
      <c r="K9" s="112" t="s">
        <v>207</v>
      </c>
      <c r="L9" s="73" t="s">
        <v>22</v>
      </c>
    </row>
    <row r="10" spans="1:12" ht="16.5">
      <c r="A10" s="65" t="s">
        <v>168</v>
      </c>
      <c r="B10" s="72">
        <v>1</v>
      </c>
      <c r="C10" s="109">
        <v>10</v>
      </c>
      <c r="D10" s="109">
        <v>9</v>
      </c>
      <c r="E10" s="109">
        <v>4</v>
      </c>
      <c r="F10" s="109">
        <v>9.5</v>
      </c>
      <c r="G10" s="115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116">
        <f>IF('Vars and Stats'!$B$13="Y",10*(Completed[[#This Row],[Raw]]-'Vars and Stats'!$B$9)/'Vars and Stats'!$B$10, 10*Completed[[#This Row],[Raw]]/'Vars and Stats'!$B$8)</f>
        <v>8.9557760215234552</v>
      </c>
      <c r="I10" s="110">
        <v>41750</v>
      </c>
      <c r="J10" s="110">
        <v>41756</v>
      </c>
      <c r="K10" s="112" t="s">
        <v>494</v>
      </c>
      <c r="L10" s="73"/>
    </row>
    <row r="11" spans="1:12" ht="16.5">
      <c r="A11" s="65" t="s">
        <v>493</v>
      </c>
      <c r="B11" s="72">
        <v>1</v>
      </c>
      <c r="C11" s="109">
        <v>9</v>
      </c>
      <c r="D11" s="109">
        <v>9</v>
      </c>
      <c r="E11" s="109">
        <v>7.5</v>
      </c>
      <c r="F11" s="109">
        <v>9.5</v>
      </c>
      <c r="G11" s="131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132">
        <f>IF('Vars and Stats'!$B$13="Y",10*(Completed[[#This Row],[Raw]]-'Vars and Stats'!$B$9)/'Vars and Stats'!$B$10, 10*Completed[[#This Row],[Raw]]/'Vars and Stats'!$B$8)</f>
        <v>8.933916260299311</v>
      </c>
      <c r="I11" s="101">
        <v>41814</v>
      </c>
      <c r="J11" s="110">
        <v>41815</v>
      </c>
      <c r="K11" s="112" t="s">
        <v>678</v>
      </c>
      <c r="L11" s="73" t="s">
        <v>679</v>
      </c>
    </row>
    <row r="12" spans="1:12" ht="16.5">
      <c r="A12" s="65" t="s">
        <v>27</v>
      </c>
      <c r="B12" s="72">
        <v>1</v>
      </c>
      <c r="C12" s="109">
        <v>9</v>
      </c>
      <c r="D12" s="109">
        <v>9.5</v>
      </c>
      <c r="E12" s="109">
        <v>4.5</v>
      </c>
      <c r="F12" s="109">
        <v>9.5</v>
      </c>
      <c r="G12" s="115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116">
        <f>IF('Vars and Stats'!$B$13="Y",10*(Completed[[#This Row],[Raw]]-'Vars and Stats'!$B$9)/'Vars and Stats'!$B$10, 10*Completed[[#This Row],[Raw]]/'Vars and Stats'!$B$8)</f>
        <v>8.9221456196401565</v>
      </c>
      <c r="I12" s="110">
        <v>41357</v>
      </c>
      <c r="J12" s="110">
        <v>41357</v>
      </c>
      <c r="K12" s="112" t="s">
        <v>235</v>
      </c>
      <c r="L12" s="73"/>
    </row>
    <row r="13" spans="1:12" ht="16.5">
      <c r="A13" s="65" t="s">
        <v>197</v>
      </c>
      <c r="B13" s="72">
        <v>3</v>
      </c>
      <c r="C13" s="109">
        <v>10</v>
      </c>
      <c r="D13" s="109">
        <v>8.5</v>
      </c>
      <c r="E13" s="109">
        <v>6</v>
      </c>
      <c r="F13" s="109">
        <v>9.5</v>
      </c>
      <c r="G13" s="115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116">
        <f>IF('Vars and Stats'!$B$13="Y",10*(Completed[[#This Row],[Raw]]-'Vars and Stats'!$B$9)/'Vars and Stats'!$B$10, 10*Completed[[#This Row],[Raw]]/'Vars and Stats'!$B$8)</f>
        <v>8.9036488986043363</v>
      </c>
      <c r="I13" s="110">
        <v>41400</v>
      </c>
      <c r="J13" s="110">
        <v>41402</v>
      </c>
      <c r="K13" s="112" t="s">
        <v>202</v>
      </c>
      <c r="L13" s="88"/>
    </row>
    <row r="14" spans="1:12" ht="16.5">
      <c r="A14" s="65" t="s">
        <v>337</v>
      </c>
      <c r="B14" s="72">
        <v>1</v>
      </c>
      <c r="C14" s="109">
        <v>9</v>
      </c>
      <c r="D14" s="109">
        <v>9</v>
      </c>
      <c r="E14" s="109">
        <v>6.5</v>
      </c>
      <c r="F14" s="109">
        <v>9.5</v>
      </c>
      <c r="G14" s="115">
        <f>(Completed[[#This Row],[Plot]]*'Vars and Stats'!$B$3+Completed[[#This Row],[Char.]]*'Vars and Stats'!$B$4+Completed[[#This Row],[Moe]]*'Vars and Stats'!$B$5+Completed[[#This Row],[Pref]]*'Vars and Stats'!$B$6)/'Vars and Stats'!$B$11</f>
        <v>9.1306532663316595</v>
      </c>
      <c r="H14" s="116">
        <f>IF('Vars and Stats'!$B$13="Y",10*(Completed[[#This Row],[Raw]]-'Vars and Stats'!$B$9)/'Vars and Stats'!$B$10, 10*Completed[[#This Row],[Raw]]/'Vars and Stats'!$B$8)</f>
        <v>8.8700184967210376</v>
      </c>
      <c r="I14" s="110">
        <v>41555</v>
      </c>
      <c r="J14" s="110">
        <v>41720</v>
      </c>
      <c r="K14" s="112" t="s">
        <v>348</v>
      </c>
      <c r="L14" s="73" t="s">
        <v>457</v>
      </c>
    </row>
    <row r="15" spans="1:12" ht="16.5">
      <c r="A15" s="65" t="s">
        <v>151</v>
      </c>
      <c r="B15" s="72">
        <v>1</v>
      </c>
      <c r="C15" s="109">
        <v>9</v>
      </c>
      <c r="D15" s="109">
        <v>9.5</v>
      </c>
      <c r="E15" s="109">
        <v>6.5</v>
      </c>
      <c r="F15" s="109">
        <v>9</v>
      </c>
      <c r="G15" s="115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116">
        <f>IF('Vars and Stats'!$B$13="Y",10*(Completed[[#This Row],[Raw]]-'Vars and Stats'!$B$9)/'Vars and Stats'!$B$10, 10*Completed[[#This Row],[Raw]]/'Vars and Stats'!$B$8)</f>
        <v>8.7153186480578437</v>
      </c>
      <c r="I15" s="110">
        <v>41636</v>
      </c>
      <c r="J15" s="110">
        <v>41636</v>
      </c>
      <c r="K15" s="112" t="s">
        <v>428</v>
      </c>
      <c r="L15" s="73" t="s">
        <v>429</v>
      </c>
    </row>
    <row r="16" spans="1:12" ht="16.5">
      <c r="A16" s="65" t="s">
        <v>29</v>
      </c>
      <c r="B16" s="72">
        <v>1</v>
      </c>
      <c r="C16" s="109">
        <v>9</v>
      </c>
      <c r="D16" s="109">
        <v>9</v>
      </c>
      <c r="E16" s="109">
        <v>4</v>
      </c>
      <c r="F16" s="109">
        <v>9.5</v>
      </c>
      <c r="G16" s="115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116">
        <f>IF('Vars and Stats'!$B$13="Y",10*(Completed[[#This Row],[Raw]]-'Vars and Stats'!$B$9)/'Vars and Stats'!$B$10, 10*Completed[[#This Row],[Raw]]/'Vars and Stats'!$B$8)</f>
        <v>8.7102740877753533</v>
      </c>
      <c r="I16" s="110">
        <v>41295</v>
      </c>
      <c r="J16" s="110">
        <v>41300</v>
      </c>
      <c r="K16" s="112" t="s">
        <v>204</v>
      </c>
      <c r="L16" s="73" t="s">
        <v>30</v>
      </c>
    </row>
    <row r="17" spans="1:12" ht="16.5">
      <c r="A17" s="65" t="s">
        <v>482</v>
      </c>
      <c r="B17" s="72">
        <v>1</v>
      </c>
      <c r="C17" s="109">
        <v>10</v>
      </c>
      <c r="D17" s="109">
        <v>9</v>
      </c>
      <c r="E17" s="109">
        <v>5</v>
      </c>
      <c r="F17" s="109">
        <v>9</v>
      </c>
      <c r="G17" s="131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132">
        <f>IF('Vars and Stats'!$B$13="Y",10*(Completed[[#This Row],[Raw]]-'Vars and Stats'!$B$9)/'Vars and Stats'!$B$10, 10*Completed[[#This Row],[Raw]]/'Vars and Stats'!$B$8)</f>
        <v>8.6850512863628726</v>
      </c>
      <c r="I17" s="101">
        <v>41796</v>
      </c>
      <c r="J17" s="110">
        <v>41816</v>
      </c>
      <c r="K17" s="112" t="s">
        <v>689</v>
      </c>
      <c r="L17" s="73"/>
    </row>
    <row r="18" spans="1:12" ht="16.5">
      <c r="A18" s="65" t="s">
        <v>339</v>
      </c>
      <c r="B18" s="72">
        <v>2</v>
      </c>
      <c r="C18" s="109">
        <v>9</v>
      </c>
      <c r="D18" s="109">
        <v>9.5</v>
      </c>
      <c r="E18" s="109">
        <v>6</v>
      </c>
      <c r="F18" s="109">
        <v>9</v>
      </c>
      <c r="G18" s="115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116">
        <f>IF('Vars and Stats'!$B$13="Y",10*(Completed[[#This Row],[Raw]]-'Vars and Stats'!$B$9)/'Vars and Stats'!$B$10, 10*Completed[[#This Row],[Raw]]/'Vars and Stats'!$B$8)</f>
        <v>8.6833697662687044</v>
      </c>
      <c r="I18" s="110">
        <v>41553</v>
      </c>
      <c r="J18" s="110">
        <v>41632</v>
      </c>
      <c r="K18" s="112" t="s">
        <v>356</v>
      </c>
      <c r="L18" s="73"/>
    </row>
    <row r="19" spans="1:12" ht="16.5">
      <c r="A19" s="65" t="s">
        <v>144</v>
      </c>
      <c r="B19" s="72">
        <v>1</v>
      </c>
      <c r="C19" s="109">
        <v>9.5</v>
      </c>
      <c r="D19" s="109">
        <v>9</v>
      </c>
      <c r="E19" s="109">
        <v>6.5</v>
      </c>
      <c r="F19" s="109">
        <v>9</v>
      </c>
      <c r="G19" s="115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116">
        <f>IF('Vars and Stats'!$B$13="Y",10*(Completed[[#This Row],[Raw]]-'Vars and Stats'!$B$9)/'Vars and Stats'!$B$10, 10*Completed[[#This Row],[Raw]]/'Vars and Stats'!$B$8)</f>
        <v>8.6581469648562308</v>
      </c>
      <c r="I19" s="110">
        <v>41369</v>
      </c>
      <c r="J19" s="110">
        <v>41389</v>
      </c>
      <c r="K19" s="112" t="s">
        <v>202</v>
      </c>
      <c r="L19" s="73" t="s">
        <v>15</v>
      </c>
    </row>
    <row r="20" spans="1:12" ht="16.5">
      <c r="A20" s="65" t="s">
        <v>336</v>
      </c>
      <c r="B20" s="72">
        <v>1</v>
      </c>
      <c r="C20" s="109">
        <v>9</v>
      </c>
      <c r="D20" s="109">
        <v>8.5</v>
      </c>
      <c r="E20" s="109">
        <v>5</v>
      </c>
      <c r="F20" s="109">
        <v>9.5</v>
      </c>
      <c r="G20" s="115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116">
        <f>IF('Vars and Stats'!$B$13="Y",10*(Completed[[#This Row],[Raw]]-'Vars and Stats'!$B$9)/'Vars and Stats'!$B$10, 10*Completed[[#This Row],[Raw]]/'Vars and Stats'!$B$8)</f>
        <v>8.5942492012779557</v>
      </c>
      <c r="I20" s="110">
        <v>41555</v>
      </c>
      <c r="J20" s="110">
        <v>41726</v>
      </c>
      <c r="K20" s="112" t="s">
        <v>453</v>
      </c>
      <c r="L20" s="73" t="s">
        <v>454</v>
      </c>
    </row>
    <row r="21" spans="1:12" ht="16.5">
      <c r="A21" s="65" t="s">
        <v>152</v>
      </c>
      <c r="B21" s="72">
        <v>1</v>
      </c>
      <c r="C21" s="109">
        <v>9.5</v>
      </c>
      <c r="D21" s="109">
        <v>8.5</v>
      </c>
      <c r="E21" s="109">
        <v>3</v>
      </c>
      <c r="F21" s="109">
        <v>9.5</v>
      </c>
      <c r="G21" s="115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116">
        <f>IF('Vars and Stats'!$B$13="Y",10*(Completed[[#This Row],[Raw]]-'Vars and Stats'!$B$9)/'Vars and Stats'!$B$10, 10*Completed[[#This Row],[Raw]]/'Vars and Stats'!$B$8)</f>
        <v>8.5892046409954599</v>
      </c>
      <c r="I21" s="110">
        <v>41477</v>
      </c>
      <c r="J21" s="110">
        <v>41479</v>
      </c>
      <c r="K21" s="112" t="s">
        <v>238</v>
      </c>
      <c r="L21" s="73"/>
    </row>
    <row r="22" spans="1:12" ht="16.5">
      <c r="A22" s="65" t="s">
        <v>481</v>
      </c>
      <c r="B22" s="72">
        <v>1</v>
      </c>
      <c r="C22" s="109">
        <v>9.5</v>
      </c>
      <c r="D22" s="109">
        <v>8.5</v>
      </c>
      <c r="E22" s="109">
        <v>3</v>
      </c>
      <c r="F22" s="109">
        <v>9.5</v>
      </c>
      <c r="G22" s="131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132">
        <f>IF('Vars and Stats'!$B$13="Y",10*(Completed[[#This Row],[Raw]]-'Vars and Stats'!$B$9)/'Vars and Stats'!$B$10, 10*Completed[[#This Row],[Raw]]/'Vars and Stats'!$B$8)</f>
        <v>8.5892046409954599</v>
      </c>
      <c r="I22" s="182">
        <v>41750</v>
      </c>
      <c r="J22" s="110">
        <v>41817</v>
      </c>
      <c r="K22" s="111" t="s">
        <v>165</v>
      </c>
      <c r="L22" s="73" t="s">
        <v>690</v>
      </c>
    </row>
    <row r="23" spans="1:12" ht="16.5">
      <c r="A23" s="65" t="s">
        <v>33</v>
      </c>
      <c r="B23" s="72">
        <v>2</v>
      </c>
      <c r="C23" s="109">
        <v>8.5</v>
      </c>
      <c r="D23" s="109">
        <v>9</v>
      </c>
      <c r="E23" s="109">
        <v>4</v>
      </c>
      <c r="F23" s="109">
        <v>9.5</v>
      </c>
      <c r="G23" s="115">
        <f>(Completed[[#This Row],[Plot]]*'Vars and Stats'!$B$3+Completed[[#This Row],[Char.]]*'Vars and Stats'!$B$4+Completed[[#This Row],[Moe]]*'Vars and Stats'!$B$5+Completed[[#This Row],[Pref]]*'Vars and Stats'!$B$6)/'Vars and Stats'!$B$11</f>
        <v>8.9195979899497484</v>
      </c>
      <c r="H23" s="116">
        <f>IF('Vars and Stats'!$B$13="Y",10*(Completed[[#This Row],[Raw]]-'Vars and Stats'!$B$9)/'Vars and Stats'!$B$10, 10*Completed[[#This Row],[Raw]]/'Vars and Stats'!$B$8)</f>
        <v>8.5875231209012934</v>
      </c>
      <c r="I23" s="110">
        <v>41358</v>
      </c>
      <c r="J23" s="110">
        <v>41359</v>
      </c>
      <c r="K23" s="112" t="s">
        <v>236</v>
      </c>
      <c r="L23" s="73"/>
    </row>
    <row r="24" spans="1:12" ht="16.5">
      <c r="A24" s="144" t="s">
        <v>480</v>
      </c>
      <c r="B24" s="145">
        <v>1</v>
      </c>
      <c r="C24" s="146">
        <v>9.5</v>
      </c>
      <c r="D24" s="146">
        <v>8.5</v>
      </c>
      <c r="E24" s="146">
        <v>7.5</v>
      </c>
      <c r="F24" s="146">
        <v>9</v>
      </c>
      <c r="G24" s="150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4" s="151">
        <f>IF('Vars and Stats'!$B$13="Y",10*(Completed[[#This Row],[Raw]]-'Vars and Stats'!$B$9)/'Vars and Stats'!$B$10, 10*Completed[[#This Row],[Raw]]/'Vars and Stats'!$B$8)</f>
        <v>8.5421220783588367</v>
      </c>
      <c r="I24" s="101">
        <v>41750</v>
      </c>
      <c r="J24" s="147">
        <v>41815</v>
      </c>
      <c r="K24" s="148" t="s">
        <v>687</v>
      </c>
      <c r="L24" s="149"/>
    </row>
    <row r="25" spans="1:12" ht="16.5">
      <c r="A25" s="65" t="s">
        <v>190</v>
      </c>
      <c r="B25" s="72">
        <v>1</v>
      </c>
      <c r="C25" s="109">
        <v>9</v>
      </c>
      <c r="D25" s="109">
        <v>9</v>
      </c>
      <c r="E25" s="109">
        <v>5.5</v>
      </c>
      <c r="F25" s="109">
        <v>9</v>
      </c>
      <c r="G25" s="115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5" s="116">
        <f>IF('Vars and Stats'!$B$13="Y",10*(Completed[[#This Row],[Raw]]-'Vars and Stats'!$B$9)/'Vars and Stats'!$B$10, 10*Completed[[#This Row],[Raw]]/'Vars and Stats'!$B$8)</f>
        <v>8.4714982344039012</v>
      </c>
      <c r="I25" s="110">
        <v>41280</v>
      </c>
      <c r="J25" s="110">
        <v>41281</v>
      </c>
      <c r="K25" s="112" t="s">
        <v>401</v>
      </c>
      <c r="L25" s="73"/>
    </row>
    <row r="26" spans="1:12" ht="16.5">
      <c r="A26" s="65" t="s">
        <v>229</v>
      </c>
      <c r="B26" s="72">
        <v>2</v>
      </c>
      <c r="C26" s="109">
        <v>9</v>
      </c>
      <c r="D26" s="109">
        <v>8.5</v>
      </c>
      <c r="E26" s="109">
        <v>3</v>
      </c>
      <c r="F26" s="109">
        <v>9.5</v>
      </c>
      <c r="G26" s="115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6" s="116">
        <f>IF('Vars and Stats'!$B$13="Y",10*(Completed[[#This Row],[Raw]]-'Vars and Stats'!$B$9)/'Vars and Stats'!$B$10, 10*Completed[[#This Row],[Raw]]/'Vars and Stats'!$B$8)</f>
        <v>8.4664536741214036</v>
      </c>
      <c r="I26" s="110">
        <v>41479</v>
      </c>
      <c r="J26" s="110">
        <v>41481</v>
      </c>
      <c r="K26" s="112" t="s">
        <v>238</v>
      </c>
      <c r="L26" s="73" t="s">
        <v>230</v>
      </c>
    </row>
    <row r="27" spans="1:12" ht="16.5">
      <c r="A27" s="65" t="s">
        <v>50</v>
      </c>
      <c r="B27" s="72">
        <v>1</v>
      </c>
      <c r="C27" s="109">
        <v>8.5</v>
      </c>
      <c r="D27" s="109">
        <v>9.5</v>
      </c>
      <c r="E27" s="109">
        <v>4.5</v>
      </c>
      <c r="F27" s="109">
        <v>9</v>
      </c>
      <c r="G27" s="115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7" s="116">
        <f>IF('Vars and Stats'!$B$13="Y",10*(Completed[[#This Row],[Raw]]-'Vars and Stats'!$B$9)/'Vars and Stats'!$B$10, 10*Completed[[#This Row],[Raw]]/'Vars and Stats'!$B$8)</f>
        <v>8.4647721540272425</v>
      </c>
      <c r="I27" s="110">
        <v>41304</v>
      </c>
      <c r="J27" s="110">
        <v>41312</v>
      </c>
      <c r="K27" s="112" t="s">
        <v>243</v>
      </c>
      <c r="L27" s="73" t="s">
        <v>51</v>
      </c>
    </row>
    <row r="28" spans="1:12" ht="16.5">
      <c r="A28" s="65" t="s">
        <v>306</v>
      </c>
      <c r="B28" s="72">
        <v>1</v>
      </c>
      <c r="C28" s="109">
        <v>9.5</v>
      </c>
      <c r="D28" s="109">
        <v>8.5</v>
      </c>
      <c r="E28" s="109">
        <v>6</v>
      </c>
      <c r="F28" s="109">
        <v>9</v>
      </c>
      <c r="G28" s="115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8" s="116">
        <f>IF('Vars and Stats'!$B$13="Y",10*(Completed[[#This Row],[Raw]]-'Vars and Stats'!$B$9)/'Vars and Stats'!$B$10, 10*Completed[[#This Row],[Raw]]/'Vars and Stats'!$B$8)</f>
        <v>8.446275432991424</v>
      </c>
      <c r="I28" s="110">
        <v>41562</v>
      </c>
      <c r="J28" s="110">
        <v>41574</v>
      </c>
      <c r="K28" s="112" t="s">
        <v>352</v>
      </c>
      <c r="L28" s="73" t="s">
        <v>353</v>
      </c>
    </row>
    <row r="29" spans="1:12" ht="16.5">
      <c r="A29" s="65" t="s">
        <v>307</v>
      </c>
      <c r="B29" s="72">
        <v>1</v>
      </c>
      <c r="C29" s="109">
        <v>9</v>
      </c>
      <c r="D29" s="109">
        <v>9</v>
      </c>
      <c r="E29" s="109">
        <v>5</v>
      </c>
      <c r="F29" s="109">
        <v>9</v>
      </c>
      <c r="G29" s="115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9" s="116">
        <f>IF('Vars and Stats'!$B$13="Y",10*(Completed[[#This Row],[Raw]]-'Vars and Stats'!$B$9)/'Vars and Stats'!$B$10, 10*Completed[[#This Row],[Raw]]/'Vars and Stats'!$B$8)</f>
        <v>8.4395493526147636</v>
      </c>
      <c r="I29" s="110">
        <v>41537</v>
      </c>
      <c r="J29" s="113">
        <v>41559</v>
      </c>
      <c r="K29" s="112" t="s">
        <v>344</v>
      </c>
      <c r="L29" s="73"/>
    </row>
    <row r="30" spans="1:12" ht="16.5">
      <c r="A30" s="65" t="s">
        <v>110</v>
      </c>
      <c r="B30" s="72">
        <v>1</v>
      </c>
      <c r="C30" s="109">
        <v>8</v>
      </c>
      <c r="D30" s="109">
        <v>9.5</v>
      </c>
      <c r="E30" s="109">
        <v>6</v>
      </c>
      <c r="F30" s="109">
        <v>9</v>
      </c>
      <c r="G30" s="115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30" s="116">
        <f>IF('Vars and Stats'!$B$13="Y",10*(Completed[[#This Row],[Raw]]-'Vars and Stats'!$B$9)/'Vars and Stats'!$B$10, 10*Completed[[#This Row],[Raw]]/'Vars and Stats'!$B$8)</f>
        <v>8.4378678325206025</v>
      </c>
      <c r="I30" s="110">
        <v>41286</v>
      </c>
      <c r="J30" s="110">
        <v>41292</v>
      </c>
      <c r="K30" s="112" t="s">
        <v>207</v>
      </c>
      <c r="L30" s="73"/>
    </row>
    <row r="31" spans="1:12" ht="16.5">
      <c r="A31" s="65" t="s">
        <v>52</v>
      </c>
      <c r="B31" s="72">
        <v>1</v>
      </c>
      <c r="C31" s="109">
        <v>9</v>
      </c>
      <c r="D31" s="109">
        <v>9</v>
      </c>
      <c r="E31" s="109">
        <v>4.5</v>
      </c>
      <c r="F31" s="109">
        <v>9</v>
      </c>
      <c r="G31" s="115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116">
        <f>IF('Vars and Stats'!$B$13="Y",10*(Completed[[#This Row],[Raw]]-'Vars and Stats'!$B$9)/'Vars and Stats'!$B$10, 10*Completed[[#This Row],[Raw]]/'Vars and Stats'!$B$8)</f>
        <v>8.4076004708256278</v>
      </c>
      <c r="I31" s="110">
        <v>41645</v>
      </c>
      <c r="J31" s="110">
        <v>41645</v>
      </c>
      <c r="K31" s="112" t="s">
        <v>439</v>
      </c>
      <c r="L31" s="73" t="s">
        <v>438</v>
      </c>
    </row>
    <row r="32" spans="1:12" ht="16.5">
      <c r="A32" s="65" t="s">
        <v>582</v>
      </c>
      <c r="B32" s="72">
        <v>1</v>
      </c>
      <c r="C32" s="109">
        <v>10</v>
      </c>
      <c r="D32" s="109">
        <v>8</v>
      </c>
      <c r="E32" s="109">
        <v>1</v>
      </c>
      <c r="F32" s="109">
        <v>9.5</v>
      </c>
      <c r="G32" s="115">
        <f>(Completed[[#This Row],[Plot]]*'Vars and Stats'!$B$3+Completed[[#This Row],[Char.]]*'Vars and Stats'!$B$4+Completed[[#This Row],[Moe]]*'Vars and Stats'!$B$5+Completed[[#This Row],[Pref]]*'Vars and Stats'!$B$6)/'Vars and Stats'!$B$11</f>
        <v>8.782663316582914</v>
      </c>
      <c r="H32" s="116">
        <f>IF('Vars and Stats'!$B$13="Y",10*(Completed[[#This Row],[Raw]]-'Vars and Stats'!$B$9)/'Vars and Stats'!$B$10, 10*Completed[[#This Row],[Raw]]/'Vars and Stats'!$B$8)</f>
        <v>8.4042374306372949</v>
      </c>
      <c r="I32" s="110">
        <v>41397</v>
      </c>
      <c r="J32" s="110">
        <v>41546</v>
      </c>
      <c r="K32" s="112" t="s">
        <v>332</v>
      </c>
      <c r="L32" s="73"/>
    </row>
    <row r="33" spans="1:12" ht="16.5">
      <c r="A33" s="65" t="s">
        <v>25</v>
      </c>
      <c r="B33" s="72">
        <v>1</v>
      </c>
      <c r="C33" s="109">
        <v>8</v>
      </c>
      <c r="D33" s="109">
        <v>9.5</v>
      </c>
      <c r="E33" s="109">
        <v>5</v>
      </c>
      <c r="F33" s="109">
        <v>9</v>
      </c>
      <c r="G33" s="115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3" s="116">
        <f>IF('Vars and Stats'!$B$13="Y",10*(Completed[[#This Row],[Raw]]-'Vars and Stats'!$B$9)/'Vars and Stats'!$B$10, 10*Completed[[#This Row],[Raw]]/'Vars and Stats'!$B$8)</f>
        <v>8.3739700689423238</v>
      </c>
      <c r="I33" s="110">
        <v>41370</v>
      </c>
      <c r="J33" s="110">
        <v>41454</v>
      </c>
      <c r="K33" s="112" t="s">
        <v>239</v>
      </c>
      <c r="L33" s="73" t="s">
        <v>506</v>
      </c>
    </row>
    <row r="34" spans="1:12" ht="16.5">
      <c r="A34" s="65" t="s">
        <v>224</v>
      </c>
      <c r="B34" s="72">
        <v>1</v>
      </c>
      <c r="C34" s="109">
        <v>9.5</v>
      </c>
      <c r="D34" s="109">
        <v>8</v>
      </c>
      <c r="E34" s="109">
        <v>6</v>
      </c>
      <c r="F34" s="109">
        <v>9</v>
      </c>
      <c r="G34" s="115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4" s="116">
        <f>IF('Vars and Stats'!$B$13="Y",10*(Completed[[#This Row],[Raw]]-'Vars and Stats'!$B$9)/'Vars and Stats'!$B$10, 10*Completed[[#This Row],[Raw]]/'Vars and Stats'!$B$8)</f>
        <v>8.2663527829157566</v>
      </c>
      <c r="I34" s="110">
        <v>41530</v>
      </c>
      <c r="J34" s="110">
        <v>41532</v>
      </c>
      <c r="K34" s="112" t="s">
        <v>304</v>
      </c>
      <c r="L34" s="73" t="s">
        <v>305</v>
      </c>
    </row>
    <row r="35" spans="1:12" ht="16.5">
      <c r="A35" s="65" t="s">
        <v>41</v>
      </c>
      <c r="B35" s="72">
        <v>1</v>
      </c>
      <c r="C35" s="109">
        <v>8.5</v>
      </c>
      <c r="D35" s="109">
        <v>9</v>
      </c>
      <c r="E35" s="109">
        <v>4</v>
      </c>
      <c r="F35" s="109">
        <v>9</v>
      </c>
      <c r="G35" s="115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116">
        <f>IF('Vars and Stats'!$B$13="Y",10*(Completed[[#This Row],[Raw]]-'Vars and Stats'!$B$9)/'Vars and Stats'!$B$10, 10*Completed[[#This Row],[Raw]]/'Vars and Stats'!$B$8)</f>
        <v>8.2529006221624357</v>
      </c>
      <c r="I35" s="110">
        <v>41328</v>
      </c>
      <c r="J35" s="110">
        <v>41329</v>
      </c>
      <c r="K35" s="112" t="s">
        <v>237</v>
      </c>
      <c r="L35" s="73"/>
    </row>
    <row r="36" spans="1:12" ht="16.5">
      <c r="A36" s="65" t="s">
        <v>219</v>
      </c>
      <c r="B36" s="72">
        <v>1</v>
      </c>
      <c r="C36" s="109">
        <v>8</v>
      </c>
      <c r="D36" s="109">
        <v>9</v>
      </c>
      <c r="E36" s="109">
        <v>5.5</v>
      </c>
      <c r="F36" s="109">
        <v>9</v>
      </c>
      <c r="G36" s="115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116">
        <f>IF('Vars and Stats'!$B$13="Y",10*(Completed[[#This Row],[Raw]]-'Vars and Stats'!$B$9)/'Vars and Stats'!$B$10, 10*Completed[[#This Row],[Raw]]/'Vars and Stats'!$B$8)</f>
        <v>8.2259963006557921</v>
      </c>
      <c r="I36" s="110">
        <v>41461</v>
      </c>
      <c r="J36" s="110">
        <v>41543</v>
      </c>
      <c r="K36" s="112" t="s">
        <v>328</v>
      </c>
      <c r="L36" s="73" t="s">
        <v>329</v>
      </c>
    </row>
    <row r="37" spans="1:12" ht="16.5">
      <c r="A37" s="65" t="s">
        <v>196</v>
      </c>
      <c r="B37" s="72">
        <v>2</v>
      </c>
      <c r="C37" s="109">
        <v>9</v>
      </c>
      <c r="D37" s="109">
        <v>9</v>
      </c>
      <c r="E37" s="109">
        <v>6.5</v>
      </c>
      <c r="F37" s="109">
        <v>8.5</v>
      </c>
      <c r="G37" s="115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116">
        <f>IF('Vars and Stats'!$B$13="Y",10*(Completed[[#This Row],[Raw]]-'Vars and Stats'!$B$9)/'Vars and Stats'!$B$10, 10*Completed[[#This Row],[Raw]]/'Vars and Stats'!$B$8)</f>
        <v>8.2007734992433168</v>
      </c>
      <c r="I37" s="110">
        <v>41395</v>
      </c>
      <c r="J37" s="110">
        <v>41400</v>
      </c>
      <c r="K37" s="112" t="s">
        <v>202</v>
      </c>
      <c r="L37" s="73" t="s">
        <v>532</v>
      </c>
    </row>
    <row r="38" spans="1:12" ht="16.5">
      <c r="A38" s="65" t="s">
        <v>432</v>
      </c>
      <c r="B38" s="72">
        <v>1</v>
      </c>
      <c r="C38" s="109">
        <v>4</v>
      </c>
      <c r="D38" s="109">
        <v>9</v>
      </c>
      <c r="E38" s="109">
        <v>9.5</v>
      </c>
      <c r="F38" s="109">
        <v>10</v>
      </c>
      <c r="G38" s="115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116">
        <f>IF('Vars and Stats'!$B$13="Y",10*(Completed[[#This Row],[Raw]]-'Vars and Stats'!$B$9)/'Vars and Stats'!$B$10, 10*Completed[[#This Row],[Raw]]/'Vars and Stats'!$B$8)</f>
        <v>8.1688246174541774</v>
      </c>
      <c r="I38" s="110">
        <v>41638</v>
      </c>
      <c r="J38" s="110">
        <v>41641</v>
      </c>
      <c r="K38" s="112" t="s">
        <v>433</v>
      </c>
      <c r="L38" s="73"/>
    </row>
    <row r="39" spans="1:12" ht="16.5">
      <c r="A39" s="65" t="s">
        <v>521</v>
      </c>
      <c r="B39" s="72">
        <v>1</v>
      </c>
      <c r="C39" s="109">
        <v>7.5</v>
      </c>
      <c r="D39" s="109">
        <v>9</v>
      </c>
      <c r="E39" s="109">
        <v>6</v>
      </c>
      <c r="F39" s="109">
        <v>9</v>
      </c>
      <c r="G39" s="115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116">
        <f>IF('Vars and Stats'!$B$13="Y",10*(Completed[[#This Row],[Raw]]-'Vars and Stats'!$B$9)/'Vars and Stats'!$B$10, 10*Completed[[#This Row],[Raw]]/'Vars and Stats'!$B$8)</f>
        <v>8.1351942155708752</v>
      </c>
      <c r="I39" s="110">
        <v>41436</v>
      </c>
      <c r="J39" s="110">
        <v>41438</v>
      </c>
      <c r="K39" s="112" t="s">
        <v>240</v>
      </c>
      <c r="L39" s="88"/>
    </row>
    <row r="40" spans="1:12" ht="16.5">
      <c r="A40" s="65" t="s">
        <v>90</v>
      </c>
      <c r="B40" s="72">
        <v>1</v>
      </c>
      <c r="C40" s="109">
        <v>5</v>
      </c>
      <c r="D40" s="109">
        <v>9</v>
      </c>
      <c r="E40" s="109">
        <v>10</v>
      </c>
      <c r="F40" s="109">
        <v>9.5</v>
      </c>
      <c r="G40" s="115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116">
        <f>IF('Vars and Stats'!$B$13="Y",10*(Completed[[#This Row],[Raw]]-'Vars and Stats'!$B$9)/'Vars and Stats'!$B$10, 10*Completed[[#This Row],[Raw]]/'Vars and Stats'!$B$8)</f>
        <v>8.1116529342525627</v>
      </c>
      <c r="I40" s="110">
        <v>41316</v>
      </c>
      <c r="J40" s="110">
        <v>41316</v>
      </c>
      <c r="K40" s="112" t="s">
        <v>263</v>
      </c>
      <c r="L40" s="73" t="s">
        <v>91</v>
      </c>
    </row>
    <row r="41" spans="1:12" ht="16.5">
      <c r="A41" s="65" t="s">
        <v>522</v>
      </c>
      <c r="B41" s="72">
        <v>2</v>
      </c>
      <c r="C41" s="109">
        <v>8.5</v>
      </c>
      <c r="D41" s="109">
        <v>8.5</v>
      </c>
      <c r="E41" s="109">
        <v>4.5</v>
      </c>
      <c r="F41" s="109">
        <v>9</v>
      </c>
      <c r="G41" s="115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116">
        <f>IF('Vars and Stats'!$B$13="Y",10*(Completed[[#This Row],[Raw]]-'Vars and Stats'!$B$9)/'Vars and Stats'!$B$10, 10*Completed[[#This Row],[Raw]]/'Vars and Stats'!$B$8)</f>
        <v>8.1049268538759023</v>
      </c>
      <c r="I41" s="110">
        <v>41473</v>
      </c>
      <c r="J41" s="110">
        <v>41546</v>
      </c>
      <c r="K41" s="112" t="s">
        <v>240</v>
      </c>
      <c r="L41" s="73"/>
    </row>
    <row r="42" spans="1:12" ht="16.5">
      <c r="A42" s="65" t="s">
        <v>282</v>
      </c>
      <c r="B42" s="72">
        <v>1</v>
      </c>
      <c r="C42" s="109">
        <v>9.5</v>
      </c>
      <c r="D42" s="109">
        <v>7.5</v>
      </c>
      <c r="E42" s="109">
        <v>5</v>
      </c>
      <c r="F42" s="109">
        <v>9</v>
      </c>
      <c r="G42" s="115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116">
        <f>IF('Vars and Stats'!$B$13="Y",10*(Completed[[#This Row],[Raw]]-'Vars and Stats'!$B$9)/'Vars and Stats'!$B$10, 10*Completed[[#This Row],[Raw]]/'Vars and Stats'!$B$8)</f>
        <v>8.0225323692618122</v>
      </c>
      <c r="I42" s="110">
        <v>41485</v>
      </c>
      <c r="J42" s="110">
        <v>41491</v>
      </c>
      <c r="K42" s="112" t="s">
        <v>283</v>
      </c>
      <c r="L42" s="73" t="s">
        <v>303</v>
      </c>
    </row>
    <row r="43" spans="1:12" ht="16.5">
      <c r="A43" s="65" t="s">
        <v>175</v>
      </c>
      <c r="B43" s="72">
        <v>2</v>
      </c>
      <c r="C43" s="109">
        <v>9</v>
      </c>
      <c r="D43" s="109">
        <v>8</v>
      </c>
      <c r="E43" s="109">
        <v>4</v>
      </c>
      <c r="F43" s="109">
        <v>9</v>
      </c>
      <c r="G43" s="115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116">
        <f>IF('Vars and Stats'!$B$13="Y",10*(Completed[[#This Row],[Raw]]-'Vars and Stats'!$B$9)/'Vars and Stats'!$B$10, 10*Completed[[#This Row],[Raw]]/'Vars and Stats'!$B$8)</f>
        <v>8.0158062888851518</v>
      </c>
      <c r="I43" s="110">
        <v>41468</v>
      </c>
      <c r="J43" s="110">
        <v>41470</v>
      </c>
      <c r="K43" s="112" t="s">
        <v>240</v>
      </c>
      <c r="L43" s="88" t="s">
        <v>228</v>
      </c>
    </row>
    <row r="44" spans="1:12" ht="16.5">
      <c r="A44" s="65" t="s">
        <v>23</v>
      </c>
      <c r="B44" s="72">
        <v>1</v>
      </c>
      <c r="C44" s="109">
        <v>8</v>
      </c>
      <c r="D44" s="109">
        <v>8.5</v>
      </c>
      <c r="E44" s="109">
        <v>5</v>
      </c>
      <c r="F44" s="109">
        <v>9</v>
      </c>
      <c r="G44" s="115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116">
        <f>IF('Vars and Stats'!$B$13="Y",10*(Completed[[#This Row],[Raw]]-'Vars and Stats'!$B$9)/'Vars and Stats'!$B$10, 10*Completed[[#This Row],[Raw]]/'Vars and Stats'!$B$8)</f>
        <v>8.0141247687909889</v>
      </c>
      <c r="I44" s="110">
        <v>41371</v>
      </c>
      <c r="J44" s="110">
        <v>41452</v>
      </c>
      <c r="K44" s="112" t="s">
        <v>245</v>
      </c>
      <c r="L44" s="73"/>
    </row>
    <row r="45" spans="1:12" ht="16.5">
      <c r="A45" s="65" t="s">
        <v>489</v>
      </c>
      <c r="B45" s="72">
        <v>1</v>
      </c>
      <c r="C45" s="109">
        <v>8.5</v>
      </c>
      <c r="D45" s="109">
        <v>9</v>
      </c>
      <c r="E45" s="109">
        <v>5.5</v>
      </c>
      <c r="F45" s="109">
        <v>8.5</v>
      </c>
      <c r="G45" s="131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132">
        <f>IF('Vars and Stats'!$B$13="Y",10*(Completed[[#This Row],[Raw]]-'Vars and Stats'!$B$9)/'Vars and Stats'!$B$10, 10*Completed[[#This Row],[Raw]]/'Vars and Stats'!$B$8)</f>
        <v>8.0141247687909889</v>
      </c>
      <c r="I45" s="110">
        <v>41785</v>
      </c>
      <c r="J45" s="110">
        <v>41818</v>
      </c>
      <c r="K45" s="112" t="s">
        <v>693</v>
      </c>
      <c r="L45" s="73" t="s">
        <v>692</v>
      </c>
    </row>
    <row r="46" spans="1:12" ht="16.5">
      <c r="A46" s="65" t="s">
        <v>331</v>
      </c>
      <c r="B46" s="72">
        <v>2</v>
      </c>
      <c r="C46" s="109">
        <v>8.5</v>
      </c>
      <c r="D46" s="109">
        <v>8</v>
      </c>
      <c r="E46" s="109">
        <v>5.5</v>
      </c>
      <c r="F46" s="109">
        <v>9</v>
      </c>
      <c r="G46" s="115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116">
        <f>IF('Vars and Stats'!$B$13="Y",10*(Completed[[#This Row],[Raw]]-'Vars and Stats'!$B$9)/'Vars and Stats'!$B$10, 10*Completed[[#This Row],[Raw]]/'Vars and Stats'!$B$8)</f>
        <v>7.9889019673785109</v>
      </c>
      <c r="I46" s="110">
        <v>41370</v>
      </c>
      <c r="J46" s="110">
        <v>41512</v>
      </c>
      <c r="K46" s="112" t="s">
        <v>273</v>
      </c>
      <c r="L46" s="73"/>
    </row>
    <row r="47" spans="1:12" ht="16.5">
      <c r="A47" s="65" t="s">
        <v>475</v>
      </c>
      <c r="B47" s="72">
        <v>1</v>
      </c>
      <c r="C47" s="109">
        <v>4.5</v>
      </c>
      <c r="D47" s="109">
        <v>9</v>
      </c>
      <c r="E47" s="109">
        <v>10</v>
      </c>
      <c r="F47" s="109">
        <v>9.5</v>
      </c>
      <c r="G47" s="131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7" s="132">
        <f>IF('Vars and Stats'!$B$13="Y",10*(Completed[[#This Row],[Raw]]-'Vars and Stats'!$B$9)/'Vars and Stats'!$B$10, 10*Completed[[#This Row],[Raw]]/'Vars and Stats'!$B$8)</f>
        <v>7.9889019673785109</v>
      </c>
      <c r="I47" s="110">
        <v>41762</v>
      </c>
      <c r="J47" s="110">
        <v>41820</v>
      </c>
      <c r="K47" s="112" t="s">
        <v>695</v>
      </c>
      <c r="L47" s="73"/>
    </row>
    <row r="48" spans="1:12" ht="16.5">
      <c r="A48" s="65" t="s">
        <v>492</v>
      </c>
      <c r="B48" s="72">
        <v>1</v>
      </c>
      <c r="C48" s="109">
        <v>9</v>
      </c>
      <c r="D48" s="109">
        <v>8.5</v>
      </c>
      <c r="E48" s="109">
        <v>5.5</v>
      </c>
      <c r="F48" s="109">
        <v>8.5</v>
      </c>
      <c r="G48" s="131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132">
        <f>IF('Vars and Stats'!$B$13="Y",10*(Completed[[#This Row],[Raw]]-'Vars and Stats'!$B$9)/'Vars and Stats'!$B$10, 10*Completed[[#This Row],[Raw]]/'Vars and Stats'!$B$8)</f>
        <v>7.9569530855893724</v>
      </c>
      <c r="I48" s="113">
        <v>41786</v>
      </c>
      <c r="J48" s="110">
        <v>41812</v>
      </c>
      <c r="K48" s="112" t="s">
        <v>680</v>
      </c>
      <c r="L48" s="88"/>
    </row>
    <row r="49" spans="1:12" ht="16.5">
      <c r="A49" s="65" t="s">
        <v>194</v>
      </c>
      <c r="B49" s="72">
        <v>1</v>
      </c>
      <c r="C49" s="109">
        <v>8.5</v>
      </c>
      <c r="D49" s="109">
        <v>8</v>
      </c>
      <c r="E49" s="109">
        <v>5</v>
      </c>
      <c r="F49" s="109">
        <v>9</v>
      </c>
      <c r="G49" s="115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9" s="116">
        <f>IF('Vars and Stats'!$B$13="Y",10*(Completed[[#This Row],[Raw]]-'Vars and Stats'!$B$9)/'Vars and Stats'!$B$10, 10*Completed[[#This Row],[Raw]]/'Vars and Stats'!$B$8)</f>
        <v>7.9569530855893724</v>
      </c>
      <c r="I49" s="110">
        <v>41261</v>
      </c>
      <c r="J49" s="110">
        <v>41359</v>
      </c>
      <c r="K49" s="112" t="s">
        <v>205</v>
      </c>
      <c r="L49" s="73"/>
    </row>
    <row r="50" spans="1:12" ht="16.5">
      <c r="A50" s="65" t="s">
        <v>434</v>
      </c>
      <c r="B50" s="72">
        <v>1</v>
      </c>
      <c r="C50" s="109">
        <v>9</v>
      </c>
      <c r="D50" s="109">
        <v>8.5</v>
      </c>
      <c r="E50" s="109">
        <v>5</v>
      </c>
      <c r="F50" s="109">
        <v>8.5</v>
      </c>
      <c r="G50" s="115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50" s="116">
        <f>IF('Vars and Stats'!$B$13="Y",10*(Completed[[#This Row],[Raw]]-'Vars and Stats'!$B$9)/'Vars and Stats'!$B$10, 10*Completed[[#This Row],[Raw]]/'Vars and Stats'!$B$8)</f>
        <v>7.9250042038002348</v>
      </c>
      <c r="I50" s="110">
        <v>41647</v>
      </c>
      <c r="J50" s="110">
        <v>41726</v>
      </c>
      <c r="K50" s="112" t="s">
        <v>456</v>
      </c>
      <c r="L50" s="73"/>
    </row>
    <row r="51" spans="1:12" ht="16.5">
      <c r="A51" s="65" t="s">
        <v>346</v>
      </c>
      <c r="B51" s="72">
        <v>1</v>
      </c>
      <c r="C51" s="109">
        <v>8.5</v>
      </c>
      <c r="D51" s="109">
        <v>8.5</v>
      </c>
      <c r="E51" s="109">
        <v>6.5</v>
      </c>
      <c r="F51" s="109">
        <v>8.5</v>
      </c>
      <c r="G51" s="115">
        <f>(Completed[[#This Row],[Plot]]*'Vars and Stats'!$B$3+Completed[[#This Row],[Char.]]*'Vars and Stats'!$B$4+Completed[[#This Row],[Moe]]*'Vars and Stats'!$B$5+Completed[[#This Row],[Pref]]*'Vars and Stats'!$B$6)/'Vars and Stats'!$B$11</f>
        <v>8.4045226130653266</v>
      </c>
      <c r="H51" s="116">
        <f>IF('Vars and Stats'!$B$13="Y",10*(Completed[[#This Row],[Raw]]-'Vars and Stats'!$B$9)/'Vars and Stats'!$B$10, 10*Completed[[#This Row],[Raw]]/'Vars and Stats'!$B$8)</f>
        <v>7.8980998822935931</v>
      </c>
      <c r="I51" s="110">
        <v>41555</v>
      </c>
      <c r="J51" s="110">
        <v>41631</v>
      </c>
      <c r="K51" s="112" t="s">
        <v>411</v>
      </c>
      <c r="L51" s="73" t="s">
        <v>412</v>
      </c>
    </row>
    <row r="52" spans="1:12" ht="16.5">
      <c r="A52" s="65" t="s">
        <v>193</v>
      </c>
      <c r="B52" s="72">
        <v>2</v>
      </c>
      <c r="C52" s="109">
        <v>6.5</v>
      </c>
      <c r="D52" s="109">
        <v>7.5</v>
      </c>
      <c r="E52" s="109">
        <v>9</v>
      </c>
      <c r="F52" s="109">
        <v>9.5</v>
      </c>
      <c r="G52" s="115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2" s="116">
        <f>IF('Vars and Stats'!$B$13="Y",10*(Completed[[#This Row],[Raw]]-'Vars and Stats'!$B$9)/'Vars and Stats'!$B$10, 10*Completed[[#This Row],[Raw]]/'Vars and Stats'!$B$8)</f>
        <v>7.8762401210694479</v>
      </c>
      <c r="I52" s="110">
        <v>41338</v>
      </c>
      <c r="J52" s="110">
        <v>41340</v>
      </c>
      <c r="K52" s="112" t="s">
        <v>210</v>
      </c>
      <c r="L52" s="73" t="s">
        <v>55</v>
      </c>
    </row>
    <row r="53" spans="1:12" ht="16.5">
      <c r="A53" s="65" t="s">
        <v>333</v>
      </c>
      <c r="B53" s="72">
        <v>1</v>
      </c>
      <c r="C53" s="109">
        <v>8.5</v>
      </c>
      <c r="D53" s="109">
        <v>8.5</v>
      </c>
      <c r="E53" s="109">
        <v>6</v>
      </c>
      <c r="F53" s="109">
        <v>8.5</v>
      </c>
      <c r="G53" s="115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3" s="116">
        <f>IF('Vars and Stats'!$B$13="Y",10*(Completed[[#This Row],[Raw]]-'Vars and Stats'!$B$9)/'Vars and Stats'!$B$10, 10*Completed[[#This Row],[Raw]]/'Vars and Stats'!$B$8)</f>
        <v>7.8661510005044573</v>
      </c>
      <c r="I53" s="110">
        <v>41550</v>
      </c>
      <c r="J53" s="110">
        <v>41628</v>
      </c>
      <c r="K53" s="112" t="s">
        <v>403</v>
      </c>
      <c r="L53" s="73" t="s">
        <v>507</v>
      </c>
    </row>
    <row r="54" spans="1:12" ht="16.5">
      <c r="A54" s="65" t="s">
        <v>192</v>
      </c>
      <c r="B54" s="72">
        <v>1</v>
      </c>
      <c r="C54" s="109">
        <v>4</v>
      </c>
      <c r="D54" s="109">
        <v>9</v>
      </c>
      <c r="E54" s="109">
        <v>10</v>
      </c>
      <c r="F54" s="109">
        <v>9.5</v>
      </c>
      <c r="G54" s="115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4" s="116">
        <f>IF('Vars and Stats'!$B$13="Y",10*(Completed[[#This Row],[Raw]]-'Vars and Stats'!$B$9)/'Vars and Stats'!$B$10, 10*Completed[[#This Row],[Raw]]/'Vars and Stats'!$B$8)</f>
        <v>7.8661510005044573</v>
      </c>
      <c r="I54" s="110">
        <v>41300</v>
      </c>
      <c r="J54" s="110">
        <v>41302</v>
      </c>
      <c r="K54" s="112" t="s">
        <v>262</v>
      </c>
      <c r="L54" s="73" t="s">
        <v>93</v>
      </c>
    </row>
    <row r="55" spans="1:12" ht="16.5">
      <c r="A55" s="65" t="s">
        <v>47</v>
      </c>
      <c r="B55" s="72">
        <v>1</v>
      </c>
      <c r="C55" s="109">
        <v>9</v>
      </c>
      <c r="D55" s="109">
        <v>8.5</v>
      </c>
      <c r="E55" s="109">
        <v>3</v>
      </c>
      <c r="F55" s="109">
        <v>8.5</v>
      </c>
      <c r="G55" s="115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5" s="116">
        <f>IF('Vars and Stats'!$B$13="Y",10*(Completed[[#This Row],[Raw]]-'Vars and Stats'!$B$9)/'Vars and Stats'!$B$10, 10*Completed[[#This Row],[Raw]]/'Vars and Stats'!$B$8)</f>
        <v>7.7972086766436846</v>
      </c>
      <c r="I55" s="110">
        <v>41411</v>
      </c>
      <c r="J55" s="110">
        <v>41413</v>
      </c>
      <c r="K55" s="112" t="s">
        <v>242</v>
      </c>
      <c r="L55" s="73"/>
    </row>
    <row r="56" spans="1:12" ht="16.5">
      <c r="A56" s="65" t="s">
        <v>274</v>
      </c>
      <c r="B56" s="72">
        <v>2</v>
      </c>
      <c r="C56" s="109">
        <v>9</v>
      </c>
      <c r="D56" s="109">
        <v>8</v>
      </c>
      <c r="E56" s="109">
        <v>5.5</v>
      </c>
      <c r="F56" s="109">
        <v>8.5</v>
      </c>
      <c r="G56" s="115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116">
        <f>IF('Vars and Stats'!$B$13="Y",10*(Completed[[#This Row],[Raw]]-'Vars and Stats'!$B$9)/'Vars and Stats'!$B$10, 10*Completed[[#This Row],[Raw]]/'Vars and Stats'!$B$8)</f>
        <v>7.7770304355137059</v>
      </c>
      <c r="I56" s="110">
        <v>41633</v>
      </c>
      <c r="J56" s="110">
        <v>41635</v>
      </c>
      <c r="K56" s="112" t="s">
        <v>422</v>
      </c>
      <c r="L56" s="73" t="s">
        <v>423</v>
      </c>
    </row>
    <row r="57" spans="1:12" ht="16.5">
      <c r="A57" s="65" t="s">
        <v>430</v>
      </c>
      <c r="B57" s="72">
        <v>2</v>
      </c>
      <c r="C57" s="109">
        <v>9</v>
      </c>
      <c r="D57" s="109">
        <v>8</v>
      </c>
      <c r="E57" s="109">
        <v>5.5</v>
      </c>
      <c r="F57" s="109">
        <v>8.5</v>
      </c>
      <c r="G57" s="115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7" s="116">
        <f>IF('Vars and Stats'!$B$13="Y",10*(Completed[[#This Row],[Raw]]-'Vars and Stats'!$B$9)/'Vars and Stats'!$B$10, 10*Completed[[#This Row],[Raw]]/'Vars and Stats'!$B$8)</f>
        <v>7.7770304355137059</v>
      </c>
      <c r="I57" s="110">
        <v>41461</v>
      </c>
      <c r="J57" s="110">
        <v>41638</v>
      </c>
      <c r="K57" s="112" t="s">
        <v>243</v>
      </c>
      <c r="L57" s="73" t="s">
        <v>431</v>
      </c>
    </row>
    <row r="58" spans="1:12" ht="16.5">
      <c r="A58" s="65" t="s">
        <v>591</v>
      </c>
      <c r="B58" s="72">
        <v>1</v>
      </c>
      <c r="C58" s="109">
        <v>8.5</v>
      </c>
      <c r="D58" s="109">
        <v>7.5</v>
      </c>
      <c r="E58" s="109">
        <v>5</v>
      </c>
      <c r="F58" s="109">
        <v>9</v>
      </c>
      <c r="G58" s="115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8" s="116">
        <f>IF('Vars and Stats'!$B$13="Y",10*(Completed[[#This Row],[Raw]]-'Vars and Stats'!$B$9)/'Vars and Stats'!$B$10, 10*Completed[[#This Row],[Raw]]/'Vars and Stats'!$B$8)</f>
        <v>7.7770304355137059</v>
      </c>
      <c r="I58" s="110">
        <v>41431</v>
      </c>
      <c r="J58" s="110">
        <v>41436</v>
      </c>
      <c r="K58" s="112" t="s">
        <v>240</v>
      </c>
      <c r="L58" s="73"/>
    </row>
    <row r="59" spans="1:12" ht="16.5">
      <c r="A59" s="65" t="s">
        <v>174</v>
      </c>
      <c r="B59" s="72">
        <v>1</v>
      </c>
      <c r="C59" s="109">
        <v>7</v>
      </c>
      <c r="D59" s="109">
        <v>8.5</v>
      </c>
      <c r="E59" s="109">
        <v>10</v>
      </c>
      <c r="F59" s="109">
        <v>8.5</v>
      </c>
      <c r="G59" s="115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9" s="116">
        <f>IF('Vars and Stats'!$B$13="Y",10*(Completed[[#This Row],[Raw]]-'Vars and Stats'!$B$9)/'Vars and Stats'!$B$10, 10*Completed[[#This Row],[Raw]]/'Vars and Stats'!$B$8)</f>
        <v>7.7534891541953899</v>
      </c>
      <c r="I59" s="110">
        <v>41378</v>
      </c>
      <c r="J59" s="110">
        <v>41454</v>
      </c>
      <c r="K59" s="112" t="s">
        <v>249</v>
      </c>
      <c r="L59" s="73"/>
    </row>
    <row r="60" spans="1:12" ht="16.5">
      <c r="A60" s="65" t="s">
        <v>198</v>
      </c>
      <c r="B60" s="72">
        <v>1</v>
      </c>
      <c r="C60" s="109">
        <v>9</v>
      </c>
      <c r="D60" s="109">
        <v>8</v>
      </c>
      <c r="E60" s="109">
        <v>5</v>
      </c>
      <c r="F60" s="109">
        <v>8.5</v>
      </c>
      <c r="G60" s="115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60" s="116">
        <f>IF('Vars and Stats'!$B$13="Y",10*(Completed[[#This Row],[Raw]]-'Vars and Stats'!$B$9)/'Vars and Stats'!$B$10, 10*Completed[[#This Row],[Raw]]/'Vars and Stats'!$B$8)</f>
        <v>7.7450815537245683</v>
      </c>
      <c r="I60" s="110">
        <v>41424</v>
      </c>
      <c r="J60" s="110">
        <v>41430</v>
      </c>
      <c r="K60" s="112" t="s">
        <v>241</v>
      </c>
      <c r="L60" s="73" t="s">
        <v>148</v>
      </c>
    </row>
    <row r="61" spans="1:12" ht="16.5">
      <c r="A61" s="65" t="s">
        <v>61</v>
      </c>
      <c r="B61" s="72">
        <v>1</v>
      </c>
      <c r="C61" s="109">
        <v>9</v>
      </c>
      <c r="D61" s="109">
        <v>7.5</v>
      </c>
      <c r="E61" s="109">
        <v>5</v>
      </c>
      <c r="F61" s="109">
        <v>8.5</v>
      </c>
      <c r="G61" s="115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1" s="116">
        <f>IF('Vars and Stats'!$B$13="Y",10*(Completed[[#This Row],[Raw]]-'Vars and Stats'!$B$9)/'Vars and Stats'!$B$10, 10*Completed[[#This Row],[Raw]]/'Vars and Stats'!$B$8)</f>
        <v>7.5651589036488991</v>
      </c>
      <c r="I61" s="110">
        <v>41255</v>
      </c>
      <c r="J61" s="110">
        <v>41256</v>
      </c>
      <c r="K61" s="112" t="s">
        <v>244</v>
      </c>
      <c r="L61" s="73"/>
    </row>
    <row r="62" spans="1:12" ht="16.5">
      <c r="A62" s="65" t="s">
        <v>338</v>
      </c>
      <c r="B62" s="72">
        <v>1</v>
      </c>
      <c r="C62" s="109">
        <v>8.5</v>
      </c>
      <c r="D62" s="109">
        <v>8</v>
      </c>
      <c r="E62" s="109">
        <v>4</v>
      </c>
      <c r="F62" s="109">
        <v>8.5</v>
      </c>
      <c r="G62" s="115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2" s="116">
        <f>IF('Vars and Stats'!$B$13="Y",10*(Completed[[#This Row],[Raw]]-'Vars and Stats'!$B$9)/'Vars and Stats'!$B$10, 10*Completed[[#This Row],[Raw]]/'Vars and Stats'!$B$8)</f>
        <v>7.5584328232722369</v>
      </c>
      <c r="I62" s="110">
        <v>41562</v>
      </c>
      <c r="J62" s="110">
        <v>41728</v>
      </c>
      <c r="K62" s="112" t="s">
        <v>458</v>
      </c>
      <c r="L62" s="73" t="s">
        <v>459</v>
      </c>
    </row>
    <row r="63" spans="1:12" ht="16.5">
      <c r="A63" s="65" t="s">
        <v>476</v>
      </c>
      <c r="B63" s="72">
        <v>1</v>
      </c>
      <c r="C63" s="109">
        <v>8.5</v>
      </c>
      <c r="D63" s="109">
        <v>8</v>
      </c>
      <c r="E63" s="109">
        <v>3.5</v>
      </c>
      <c r="F63" s="109">
        <v>8.5</v>
      </c>
      <c r="G63" s="131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3" s="132">
        <f>IF('Vars and Stats'!$B$13="Y",10*(Completed[[#This Row],[Raw]]-'Vars and Stats'!$B$9)/'Vars and Stats'!$B$10, 10*Completed[[#This Row],[Raw]]/'Vars and Stats'!$B$8)</f>
        <v>7.5264839414831002</v>
      </c>
      <c r="I63" s="101">
        <v>41789</v>
      </c>
      <c r="J63" s="110">
        <v>41816</v>
      </c>
      <c r="K63" s="112" t="s">
        <v>683</v>
      </c>
      <c r="L63" s="73"/>
    </row>
    <row r="64" spans="1:12" ht="16.5">
      <c r="A64" s="65" t="s">
        <v>81</v>
      </c>
      <c r="B64" s="72">
        <v>2</v>
      </c>
      <c r="C64" s="109">
        <v>7</v>
      </c>
      <c r="D64" s="109">
        <v>8</v>
      </c>
      <c r="E64" s="109">
        <v>3.5</v>
      </c>
      <c r="F64" s="109">
        <v>9</v>
      </c>
      <c r="G64" s="115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4" s="116">
        <f>IF('Vars and Stats'!$B$13="Y",10*(Completed[[#This Row],[Raw]]-'Vars and Stats'!$B$9)/'Vars and Stats'!$B$10, 10*Completed[[#This Row],[Raw]]/'Vars and Stats'!$B$8)</f>
        <v>7.4928535395997988</v>
      </c>
      <c r="I64" s="110">
        <v>41354</v>
      </c>
      <c r="J64" s="110">
        <v>41355</v>
      </c>
      <c r="K64" s="112" t="s">
        <v>398</v>
      </c>
      <c r="L64" s="73"/>
    </row>
    <row r="65" spans="1:12" ht="16.5">
      <c r="A65" s="65" t="s">
        <v>436</v>
      </c>
      <c r="B65" s="72">
        <v>1</v>
      </c>
      <c r="C65" s="109">
        <v>5</v>
      </c>
      <c r="D65" s="109">
        <v>9</v>
      </c>
      <c r="E65" s="109">
        <v>5</v>
      </c>
      <c r="F65" s="109">
        <v>9</v>
      </c>
      <c r="G65" s="115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5" s="116">
        <f>IF('Vars and Stats'!$B$13="Y",10*(Completed[[#This Row],[Raw]]-'Vars and Stats'!$B$9)/'Vars and Stats'!$B$10, 10*Completed[[#This Row],[Raw]]/'Vars and Stats'!$B$8)</f>
        <v>7.457541617622331</v>
      </c>
      <c r="I65" s="110">
        <v>41648</v>
      </c>
      <c r="J65" s="110">
        <v>41785</v>
      </c>
      <c r="K65" s="112" t="s">
        <v>502</v>
      </c>
      <c r="L65" s="73"/>
    </row>
    <row r="66" spans="1:12" ht="16.5">
      <c r="A66" s="65" t="s">
        <v>195</v>
      </c>
      <c r="B66" s="72">
        <v>1</v>
      </c>
      <c r="C66" s="109">
        <v>6.5</v>
      </c>
      <c r="D66" s="109">
        <v>8.5</v>
      </c>
      <c r="E66" s="109">
        <v>6.5</v>
      </c>
      <c r="F66" s="109">
        <v>8.5</v>
      </c>
      <c r="G66" s="115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6" s="116">
        <f>IF('Vars and Stats'!$B$13="Y",10*(Completed[[#This Row],[Raw]]-'Vars and Stats'!$B$9)/'Vars and Stats'!$B$10, 10*Completed[[#This Row],[Raw]]/'Vars and Stats'!$B$8)</f>
        <v>7.4070960147973759</v>
      </c>
      <c r="I66" s="110">
        <v>41394</v>
      </c>
      <c r="J66" s="110">
        <v>41397</v>
      </c>
      <c r="K66" s="112" t="s">
        <v>251</v>
      </c>
      <c r="L66" s="73" t="s">
        <v>67</v>
      </c>
    </row>
    <row r="67" spans="1:12" ht="16.5">
      <c r="A67" s="65" t="s">
        <v>417</v>
      </c>
      <c r="B67" s="72">
        <v>1</v>
      </c>
      <c r="C67" s="109">
        <v>6.5</v>
      </c>
      <c r="D67" s="109">
        <v>8</v>
      </c>
      <c r="E67" s="109">
        <v>9</v>
      </c>
      <c r="F67" s="109">
        <v>8.5</v>
      </c>
      <c r="G67" s="115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7" s="116">
        <f>IF('Vars and Stats'!$B$13="Y",10*(Completed[[#This Row],[Raw]]-'Vars and Stats'!$B$9)/'Vars and Stats'!$B$10, 10*Completed[[#This Row],[Raw]]/'Vars and Stats'!$B$8)</f>
        <v>7.3869177736673945</v>
      </c>
      <c r="I67" s="110">
        <v>41650</v>
      </c>
      <c r="J67" s="110">
        <v>41733</v>
      </c>
      <c r="K67" s="112" t="s">
        <v>465</v>
      </c>
      <c r="L67" s="88"/>
    </row>
    <row r="68" spans="1:12" ht="16.5">
      <c r="A68" s="65" t="s">
        <v>227</v>
      </c>
      <c r="B68" s="72">
        <v>1</v>
      </c>
      <c r="C68" s="109">
        <v>8</v>
      </c>
      <c r="D68" s="109">
        <v>6.5</v>
      </c>
      <c r="E68" s="109">
        <v>6</v>
      </c>
      <c r="F68" s="109">
        <v>9</v>
      </c>
      <c r="G68" s="115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68" s="116">
        <f>IF('Vars and Stats'!$B$13="Y",10*(Completed[[#This Row],[Raw]]-'Vars and Stats'!$B$9)/'Vars and Stats'!$B$10, 10*Completed[[#This Row],[Raw]]/'Vars and Stats'!$B$8)</f>
        <v>7.3583319320665863</v>
      </c>
      <c r="I68" s="110">
        <v>41316</v>
      </c>
      <c r="J68" s="110">
        <v>41323</v>
      </c>
      <c r="K68" s="112" t="s">
        <v>248</v>
      </c>
      <c r="L68" s="73"/>
    </row>
    <row r="69" spans="1:12" ht="16.5">
      <c r="A69" s="65" t="s">
        <v>177</v>
      </c>
      <c r="B69" s="72">
        <v>1</v>
      </c>
      <c r="C69" s="109">
        <v>8</v>
      </c>
      <c r="D69" s="109">
        <v>8.5</v>
      </c>
      <c r="E69" s="109">
        <v>5</v>
      </c>
      <c r="F69" s="109">
        <v>8</v>
      </c>
      <c r="G69" s="115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69" s="116">
        <f>IF('Vars and Stats'!$B$13="Y",10*(Completed[[#This Row],[Raw]]-'Vars and Stats'!$B$9)/'Vars and Stats'!$B$10, 10*Completed[[#This Row],[Raw]]/'Vars and Stats'!$B$8)</f>
        <v>7.3448797713132672</v>
      </c>
      <c r="I69" s="110">
        <v>41360</v>
      </c>
      <c r="J69" s="110">
        <v>41363</v>
      </c>
      <c r="K69" s="112" t="s">
        <v>250</v>
      </c>
      <c r="L69" s="73" t="s">
        <v>183</v>
      </c>
    </row>
    <row r="70" spans="1:12" ht="16.5">
      <c r="A70" s="65" t="s">
        <v>74</v>
      </c>
      <c r="B70" s="72">
        <v>1</v>
      </c>
      <c r="C70" s="109">
        <v>7</v>
      </c>
      <c r="D70" s="109">
        <v>8</v>
      </c>
      <c r="E70" s="109">
        <v>5.5</v>
      </c>
      <c r="F70" s="109">
        <v>8.5</v>
      </c>
      <c r="G70" s="115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0" s="116">
        <f>IF('Vars and Stats'!$B$13="Y",10*(Completed[[#This Row],[Raw]]-'Vars and Stats'!$B$9)/'Vars and Stats'!$B$10, 10*Completed[[#This Row],[Raw]]/'Vars and Stats'!$B$8)</f>
        <v>7.2860265680174878</v>
      </c>
      <c r="I70" s="110">
        <v>41363</v>
      </c>
      <c r="J70" s="110">
        <v>41364</v>
      </c>
      <c r="K70" s="112" t="s">
        <v>276</v>
      </c>
      <c r="L70" s="73"/>
    </row>
    <row r="71" spans="1:12" ht="16.5">
      <c r="A71" s="65" t="s">
        <v>216</v>
      </c>
      <c r="B71" s="72">
        <v>1</v>
      </c>
      <c r="C71" s="109">
        <v>8.5</v>
      </c>
      <c r="D71" s="109">
        <v>7.5</v>
      </c>
      <c r="E71" s="109">
        <v>2.5</v>
      </c>
      <c r="F71" s="109">
        <v>8.5</v>
      </c>
      <c r="G71" s="115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1" s="116">
        <f>IF('Vars and Stats'!$B$13="Y",10*(Completed[[#This Row],[Raw]]-'Vars and Stats'!$B$9)/'Vars and Stats'!$B$10, 10*Completed[[#This Row],[Raw]]/'Vars and Stats'!$B$8)</f>
        <v>7.2826635278291567</v>
      </c>
      <c r="I71" s="110">
        <v>41459</v>
      </c>
      <c r="J71" s="110">
        <v>41543</v>
      </c>
      <c r="K71" s="112" t="s">
        <v>324</v>
      </c>
      <c r="L71" s="73" t="s">
        <v>694</v>
      </c>
    </row>
    <row r="72" spans="1:12" ht="16.5">
      <c r="A72" s="65" t="s">
        <v>145</v>
      </c>
      <c r="B72" s="72">
        <v>1</v>
      </c>
      <c r="C72" s="109">
        <v>6</v>
      </c>
      <c r="D72" s="109">
        <v>7</v>
      </c>
      <c r="E72" s="109">
        <v>9</v>
      </c>
      <c r="F72" s="109">
        <v>9</v>
      </c>
      <c r="G72" s="115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2" s="116">
        <f>IF('Vars and Stats'!$B$13="Y",10*(Completed[[#This Row],[Raw]]-'Vars and Stats'!$B$9)/'Vars and Stats'!$B$10, 10*Completed[[#This Row],[Raw]]/'Vars and Stats'!$B$8)</f>
        <v>7.2389440053808647</v>
      </c>
      <c r="I72" s="110">
        <v>41337</v>
      </c>
      <c r="J72" s="110">
        <v>41338</v>
      </c>
      <c r="K72" s="112" t="s">
        <v>210</v>
      </c>
      <c r="L72" s="73" t="s">
        <v>182</v>
      </c>
    </row>
    <row r="73" spans="1:12" ht="16.5">
      <c r="A73" s="65" t="s">
        <v>86</v>
      </c>
      <c r="B73" s="72">
        <v>1</v>
      </c>
      <c r="C73" s="109">
        <v>6.5</v>
      </c>
      <c r="D73" s="109">
        <v>7.5</v>
      </c>
      <c r="E73" s="109">
        <v>4</v>
      </c>
      <c r="F73" s="109">
        <v>9</v>
      </c>
      <c r="G73" s="115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3" s="116">
        <f>IF('Vars and Stats'!$B$13="Y",10*(Completed[[#This Row],[Raw]]-'Vars and Stats'!$B$9)/'Vars and Stats'!$B$10, 10*Completed[[#This Row],[Raw]]/'Vars and Stats'!$B$8)</f>
        <v>7.2221288044392118</v>
      </c>
      <c r="I73" s="110">
        <v>41347</v>
      </c>
      <c r="J73" s="110">
        <v>41354</v>
      </c>
      <c r="K73" s="137" t="s">
        <v>398</v>
      </c>
      <c r="L73" s="73"/>
    </row>
    <row r="74" spans="1:12" ht="16.5">
      <c r="A74" s="65" t="s">
        <v>214</v>
      </c>
      <c r="B74" s="72">
        <v>2</v>
      </c>
      <c r="C74" s="109">
        <v>7</v>
      </c>
      <c r="D74" s="109">
        <v>8</v>
      </c>
      <c r="E74" s="109">
        <v>9.5</v>
      </c>
      <c r="F74" s="109">
        <v>8</v>
      </c>
      <c r="G74" s="115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4" s="116">
        <f>IF('Vars and Stats'!$B$13="Y",10*(Completed[[#This Row],[Raw]]-'Vars and Stats'!$B$9)/'Vars and Stats'!$B$10, 10*Completed[[#This Row],[Raw]]/'Vars and Stats'!$B$8)</f>
        <v>7.2069951235917262</v>
      </c>
      <c r="I74" s="110">
        <v>41468</v>
      </c>
      <c r="J74" s="110">
        <v>41589</v>
      </c>
      <c r="K74" s="138" t="s">
        <v>209</v>
      </c>
      <c r="L74" s="73"/>
    </row>
    <row r="75" spans="1:12" ht="16.5">
      <c r="A75" s="65" t="s">
        <v>611</v>
      </c>
      <c r="B75" s="72">
        <v>1</v>
      </c>
      <c r="C75" s="109">
        <v>8</v>
      </c>
      <c r="D75" s="109">
        <v>8</v>
      </c>
      <c r="E75" s="109">
        <v>5</v>
      </c>
      <c r="F75" s="109">
        <v>8</v>
      </c>
      <c r="G75" s="115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5" s="116">
        <f>IF('Vars and Stats'!$B$13="Y",10*(Completed[[#This Row],[Raw]]-'Vars and Stats'!$B$9)/'Vars and Stats'!$B$10, 10*Completed[[#This Row],[Raw]]/'Vars and Stats'!$B$8)</f>
        <v>7.164957121237598</v>
      </c>
      <c r="I75" s="110">
        <v>41245</v>
      </c>
      <c r="J75" s="110">
        <v>41250</v>
      </c>
      <c r="K75" s="112" t="s">
        <v>275</v>
      </c>
      <c r="L75" s="73" t="s">
        <v>671</v>
      </c>
    </row>
    <row r="76" spans="1:12" ht="16.5">
      <c r="A76" s="65" t="s">
        <v>334</v>
      </c>
      <c r="B76" s="72">
        <v>1</v>
      </c>
      <c r="C76" s="109">
        <v>8</v>
      </c>
      <c r="D76" s="109">
        <v>8</v>
      </c>
      <c r="E76" s="109">
        <v>5</v>
      </c>
      <c r="F76" s="109">
        <v>8</v>
      </c>
      <c r="G76" s="115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6" s="116">
        <f>IF('Vars and Stats'!$B$13="Y",10*(Completed[[#This Row],[Raw]]-'Vars and Stats'!$B$9)/'Vars and Stats'!$B$10, 10*Completed[[#This Row],[Raw]]/'Vars and Stats'!$B$8)</f>
        <v>7.164957121237598</v>
      </c>
      <c r="I76" s="110">
        <v>41555</v>
      </c>
      <c r="J76" s="110">
        <v>41748</v>
      </c>
      <c r="K76" s="112" t="s">
        <v>486</v>
      </c>
      <c r="L76" s="73"/>
    </row>
    <row r="77" spans="1:12" ht="16.5">
      <c r="A77" s="65" t="s">
        <v>164</v>
      </c>
      <c r="B77" s="72">
        <v>1</v>
      </c>
      <c r="C77" s="109">
        <v>7.5</v>
      </c>
      <c r="D77" s="109">
        <v>7.5</v>
      </c>
      <c r="E77" s="109">
        <v>9.5</v>
      </c>
      <c r="F77" s="109">
        <v>8</v>
      </c>
      <c r="G77" s="115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7" s="116">
        <f>IF('Vars and Stats'!$B$13="Y",10*(Completed[[#This Row],[Raw]]-'Vars and Stats'!$B$9)/'Vars and Stats'!$B$10, 10*Completed[[#This Row],[Raw]]/'Vars and Stats'!$B$8)</f>
        <v>7.1498234403901124</v>
      </c>
      <c r="I77" s="110">
        <v>41453</v>
      </c>
      <c r="J77" s="110">
        <v>41456</v>
      </c>
      <c r="K77" s="112" t="s">
        <v>209</v>
      </c>
      <c r="L77" s="73"/>
    </row>
    <row r="78" spans="1:12" ht="16.5">
      <c r="A78" s="65" t="s">
        <v>421</v>
      </c>
      <c r="B78" s="72">
        <v>1</v>
      </c>
      <c r="C78" s="109">
        <v>7.5</v>
      </c>
      <c r="D78" s="109">
        <v>8</v>
      </c>
      <c r="E78" s="109">
        <v>6</v>
      </c>
      <c r="F78" s="109">
        <v>8</v>
      </c>
      <c r="G78" s="115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78" s="116">
        <f>IF('Vars and Stats'!$B$13="Y",10*(Completed[[#This Row],[Raw]]-'Vars and Stats'!$B$9)/'Vars and Stats'!$B$10, 10*Completed[[#This Row],[Raw]]/'Vars and Stats'!$B$8)</f>
        <v>7.1061039179418186</v>
      </c>
      <c r="I78" s="110">
        <v>41661</v>
      </c>
      <c r="J78" s="110">
        <v>41722</v>
      </c>
      <c r="K78" s="112" t="s">
        <v>455</v>
      </c>
      <c r="L78" s="73"/>
    </row>
    <row r="79" spans="1:12" ht="16.5">
      <c r="A79" s="65" t="s">
        <v>212</v>
      </c>
      <c r="B79" s="72">
        <v>1</v>
      </c>
      <c r="C79" s="109">
        <v>4</v>
      </c>
      <c r="D79" s="109">
        <v>8</v>
      </c>
      <c r="E79" s="109">
        <v>3</v>
      </c>
      <c r="F79" s="109">
        <v>9.5</v>
      </c>
      <c r="G79" s="115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79" s="116">
        <f>IF('Vars and Stats'!$B$13="Y",10*(Completed[[#This Row],[Raw]]-'Vars and Stats'!$B$9)/'Vars and Stats'!$B$10, 10*Completed[[#This Row],[Raw]]/'Vars and Stats'!$B$8)</f>
        <v>7.0590213553051964</v>
      </c>
      <c r="I79" s="110">
        <v>41443</v>
      </c>
      <c r="J79" s="110">
        <v>41444</v>
      </c>
      <c r="K79" s="112" t="s">
        <v>255</v>
      </c>
      <c r="L79" s="73"/>
    </row>
    <row r="80" spans="1:12" ht="16.5">
      <c r="A80" s="65" t="s">
        <v>37</v>
      </c>
      <c r="B80" s="72">
        <v>1</v>
      </c>
      <c r="C80" s="109">
        <v>7</v>
      </c>
      <c r="D80" s="109">
        <v>8</v>
      </c>
      <c r="E80" s="109">
        <v>7</v>
      </c>
      <c r="F80" s="109">
        <v>8</v>
      </c>
      <c r="G80" s="115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0" s="116">
        <f>IF('Vars and Stats'!$B$13="Y",10*(Completed[[#This Row],[Raw]]-'Vars and Stats'!$B$9)/'Vars and Stats'!$B$10, 10*Completed[[#This Row],[Raw]]/'Vars and Stats'!$B$8)</f>
        <v>7.0472507146460401</v>
      </c>
      <c r="I80" s="110">
        <v>41457</v>
      </c>
      <c r="J80" s="110">
        <v>41463</v>
      </c>
      <c r="K80" s="112" t="s">
        <v>208</v>
      </c>
      <c r="L80" s="73"/>
    </row>
    <row r="81" spans="1:12" ht="16.5">
      <c r="A81" s="65" t="s">
        <v>419</v>
      </c>
      <c r="B81" s="72">
        <v>1</v>
      </c>
      <c r="C81" s="109">
        <v>7.5</v>
      </c>
      <c r="D81" s="109">
        <v>8</v>
      </c>
      <c r="E81" s="109">
        <v>5</v>
      </c>
      <c r="F81" s="109">
        <v>8</v>
      </c>
      <c r="G81" s="115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1" s="116">
        <f>IF('Vars and Stats'!$B$13="Y",10*(Completed[[#This Row],[Raw]]-'Vars and Stats'!$B$9)/'Vars and Stats'!$B$10, 10*Completed[[#This Row],[Raw]]/'Vars and Stats'!$B$8)</f>
        <v>7.0422061543635452</v>
      </c>
      <c r="I81" s="110">
        <v>41648</v>
      </c>
      <c r="J81" s="110">
        <v>41746</v>
      </c>
      <c r="K81" s="112" t="s">
        <v>483</v>
      </c>
      <c r="L81" s="73"/>
    </row>
    <row r="82" spans="1:12" ht="16.5">
      <c r="A82" s="65" t="s">
        <v>213</v>
      </c>
      <c r="B82" s="72">
        <v>1</v>
      </c>
      <c r="C82" s="109">
        <v>3.5</v>
      </c>
      <c r="D82" s="109">
        <v>8</v>
      </c>
      <c r="E82" s="109">
        <v>9.5</v>
      </c>
      <c r="F82" s="109">
        <v>9</v>
      </c>
      <c r="G82" s="115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2" s="116">
        <f>IF('Vars and Stats'!$B$13="Y",10*(Completed[[#This Row],[Raw]]-'Vars and Stats'!$B$9)/'Vars and Stats'!$B$10, 10*Completed[[#This Row],[Raw]]/'Vars and Stats'!$B$8)</f>
        <v>7.0169833529510663</v>
      </c>
      <c r="I82" s="110">
        <v>41462</v>
      </c>
      <c r="J82" s="110">
        <v>41538</v>
      </c>
      <c r="K82" s="112" t="s">
        <v>312</v>
      </c>
      <c r="L82" s="73"/>
    </row>
    <row r="83" spans="1:12" ht="16.5">
      <c r="A83" s="65" t="s">
        <v>191</v>
      </c>
      <c r="B83" s="72">
        <v>1</v>
      </c>
      <c r="C83" s="109">
        <v>2</v>
      </c>
      <c r="D83" s="109">
        <v>8.5</v>
      </c>
      <c r="E83" s="109">
        <v>7</v>
      </c>
      <c r="F83" s="109">
        <v>9.5</v>
      </c>
      <c r="G83" s="115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3" s="116">
        <f>IF('Vars and Stats'!$B$13="Y",10*(Completed[[#This Row],[Raw]]-'Vars and Stats'!$B$9)/'Vars and Stats'!$B$10, 10*Completed[[#This Row],[Raw]]/'Vars and Stats'!$B$8)</f>
        <v>7.0035311921977463</v>
      </c>
      <c r="I83" s="110">
        <v>41291</v>
      </c>
      <c r="J83" s="110">
        <v>41298</v>
      </c>
      <c r="K83" s="112" t="s">
        <v>259</v>
      </c>
      <c r="L83" s="73" t="s">
        <v>102</v>
      </c>
    </row>
    <row r="84" spans="1:12" ht="16.5">
      <c r="A84" s="65" t="s">
        <v>335</v>
      </c>
      <c r="B84" s="72">
        <v>1</v>
      </c>
      <c r="C84" s="109">
        <v>8.5</v>
      </c>
      <c r="D84" s="109">
        <v>7.5</v>
      </c>
      <c r="E84" s="109">
        <v>2</v>
      </c>
      <c r="F84" s="109">
        <v>8</v>
      </c>
      <c r="G84" s="115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4" s="116">
        <f>IF('Vars and Stats'!$B$13="Y",10*(Completed[[#This Row],[Raw]]-'Vars and Stats'!$B$9)/'Vars and Stats'!$B$10, 10*Completed[[#This Row],[Raw]]/'Vars and Stats'!$B$8)</f>
        <v>6.9160921473011605</v>
      </c>
      <c r="I84" s="110">
        <v>41555</v>
      </c>
      <c r="J84" s="110">
        <v>41634</v>
      </c>
      <c r="K84" s="112" t="s">
        <v>409</v>
      </c>
      <c r="L84" s="73" t="s">
        <v>410</v>
      </c>
    </row>
    <row r="85" spans="1:12" ht="16.5">
      <c r="A85" s="65" t="s">
        <v>416</v>
      </c>
      <c r="B85" s="72">
        <v>2</v>
      </c>
      <c r="C85" s="109">
        <v>8</v>
      </c>
      <c r="D85" s="109">
        <v>8</v>
      </c>
      <c r="E85" s="109">
        <v>6</v>
      </c>
      <c r="F85" s="109">
        <v>7.5</v>
      </c>
      <c r="G85" s="115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5" s="116">
        <f>IF('Vars and Stats'!$B$13="Y",10*(Completed[[#This Row],[Raw]]-'Vars and Stats'!$B$9)/'Vars and Stats'!$B$10, 10*Completed[[#This Row],[Raw]]/'Vars and Stats'!$B$8)</f>
        <v>6.8942323860770145</v>
      </c>
      <c r="I85" s="110">
        <v>41648</v>
      </c>
      <c r="J85" s="110">
        <v>41730</v>
      </c>
      <c r="K85" s="112" t="s">
        <v>460</v>
      </c>
      <c r="L85" s="73"/>
    </row>
    <row r="86" spans="1:12" ht="16.5">
      <c r="A86" s="65" t="s">
        <v>70</v>
      </c>
      <c r="B86" s="72">
        <v>1</v>
      </c>
      <c r="C86" s="109">
        <v>8</v>
      </c>
      <c r="D86" s="109">
        <v>7</v>
      </c>
      <c r="E86" s="109">
        <v>6</v>
      </c>
      <c r="F86" s="109">
        <v>8</v>
      </c>
      <c r="G86" s="115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6" s="116">
        <f>IF('Vars and Stats'!$B$13="Y",10*(Completed[[#This Row],[Raw]]-'Vars and Stats'!$B$9)/'Vars and Stats'!$B$10, 10*Completed[[#This Row],[Raw]]/'Vars and Stats'!$B$8)</f>
        <v>6.8690095846645365</v>
      </c>
      <c r="I86" s="110">
        <v>41251</v>
      </c>
      <c r="J86" s="110">
        <v>41263</v>
      </c>
      <c r="K86" s="138" t="s">
        <v>266</v>
      </c>
      <c r="L86" s="73"/>
    </row>
    <row r="87" spans="1:12" ht="16.5">
      <c r="A87" s="65" t="s">
        <v>217</v>
      </c>
      <c r="B87" s="72">
        <v>1</v>
      </c>
      <c r="C87" s="109">
        <v>8</v>
      </c>
      <c r="D87" s="109">
        <v>8</v>
      </c>
      <c r="E87" s="109">
        <v>5.5</v>
      </c>
      <c r="F87" s="109">
        <v>7.5</v>
      </c>
      <c r="G87" s="115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7" s="116">
        <f>IF('Vars and Stats'!$B$13="Y",10*(Completed[[#This Row],[Raw]]-'Vars and Stats'!$B$9)/'Vars and Stats'!$B$10, 10*Completed[[#This Row],[Raw]]/'Vars and Stats'!$B$8)</f>
        <v>6.862283504287876</v>
      </c>
      <c r="I87" s="110">
        <v>41461</v>
      </c>
      <c r="J87" s="110">
        <v>41546</v>
      </c>
      <c r="K87" s="112" t="s">
        <v>397</v>
      </c>
      <c r="L87" s="73"/>
    </row>
    <row r="88" spans="1:12" ht="16.5">
      <c r="A88" s="65" t="s">
        <v>149</v>
      </c>
      <c r="B88" s="72">
        <v>1</v>
      </c>
      <c r="C88" s="109">
        <v>7</v>
      </c>
      <c r="D88" s="109">
        <v>7.5</v>
      </c>
      <c r="E88" s="109">
        <v>6.5</v>
      </c>
      <c r="F88" s="109">
        <v>8</v>
      </c>
      <c r="G88" s="115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88" s="116">
        <f>IF('Vars and Stats'!$B$13="Y",10*(Completed[[#This Row],[Raw]]-'Vars and Stats'!$B$9)/'Vars and Stats'!$B$10, 10*Completed[[#This Row],[Raw]]/'Vars and Stats'!$B$8)</f>
        <v>6.8353791827812342</v>
      </c>
      <c r="I88" s="110">
        <v>41430</v>
      </c>
      <c r="J88" s="110">
        <v>41431</v>
      </c>
      <c r="K88" s="111" t="s">
        <v>399</v>
      </c>
      <c r="L88" s="73" t="s">
        <v>150</v>
      </c>
    </row>
    <row r="89" spans="1:12" ht="16.5">
      <c r="A89" s="65" t="s">
        <v>374</v>
      </c>
      <c r="B89" s="72">
        <v>1</v>
      </c>
      <c r="C89" s="109">
        <v>7.5</v>
      </c>
      <c r="D89" s="109">
        <v>7.5</v>
      </c>
      <c r="E89" s="109">
        <v>3.5</v>
      </c>
      <c r="F89" s="109">
        <v>8</v>
      </c>
      <c r="G89" s="115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89" s="116">
        <f>IF('Vars and Stats'!$B$13="Y",10*(Completed[[#This Row],[Raw]]-'Vars and Stats'!$B$9)/'Vars and Stats'!$B$10, 10*Completed[[#This Row],[Raw]]/'Vars and Stats'!$B$8)</f>
        <v>6.7664368589204633</v>
      </c>
      <c r="I89" s="110">
        <v>41541</v>
      </c>
      <c r="J89" s="110">
        <v>41541</v>
      </c>
      <c r="K89" s="112" t="s">
        <v>323</v>
      </c>
      <c r="L89" s="73"/>
    </row>
    <row r="90" spans="1:12" ht="16.5">
      <c r="A90" s="65" t="s">
        <v>472</v>
      </c>
      <c r="B90" s="72">
        <v>1</v>
      </c>
      <c r="C90" s="109">
        <v>7.5</v>
      </c>
      <c r="D90" s="109">
        <v>8</v>
      </c>
      <c r="E90" s="109">
        <v>5.5</v>
      </c>
      <c r="F90" s="109">
        <v>7.5</v>
      </c>
      <c r="G90" s="131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0" s="132">
        <f>IF('Vars and Stats'!$B$13="Y",10*(Completed[[#This Row],[Raw]]-'Vars and Stats'!$B$9)/'Vars and Stats'!$B$10, 10*Completed[[#This Row],[Raw]]/'Vars and Stats'!$B$8)</f>
        <v>6.7395325374138233</v>
      </c>
      <c r="I90" s="98">
        <v>41759</v>
      </c>
      <c r="J90" s="110">
        <v>41812</v>
      </c>
      <c r="K90" s="112" t="s">
        <v>676</v>
      </c>
      <c r="L90" s="73" t="s">
        <v>677</v>
      </c>
    </row>
    <row r="91" spans="1:12" ht="16.5">
      <c r="A91" s="65" t="s">
        <v>420</v>
      </c>
      <c r="B91" s="72">
        <v>1</v>
      </c>
      <c r="C91" s="109">
        <v>5</v>
      </c>
      <c r="D91" s="109">
        <v>7</v>
      </c>
      <c r="E91" s="109">
        <v>4</v>
      </c>
      <c r="F91" s="109">
        <v>9</v>
      </c>
      <c r="G91" s="115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1" s="116">
        <f>IF('Vars and Stats'!$B$13="Y",10*(Completed[[#This Row],[Raw]]-'Vars and Stats'!$B$9)/'Vars and Stats'!$B$10, 10*Completed[[#This Row],[Raw]]/'Vars and Stats'!$B$8)</f>
        <v>6.6739532537413817</v>
      </c>
      <c r="I91" s="110">
        <v>41650</v>
      </c>
      <c r="J91" s="110">
        <v>41744</v>
      </c>
      <c r="K91" s="112" t="s">
        <v>467</v>
      </c>
      <c r="L91" s="73"/>
    </row>
    <row r="92" spans="1:12" ht="16.5">
      <c r="A92" s="65" t="s">
        <v>159</v>
      </c>
      <c r="B92" s="72">
        <v>1</v>
      </c>
      <c r="C92" s="109">
        <v>8</v>
      </c>
      <c r="D92" s="109">
        <v>7.5</v>
      </c>
      <c r="E92" s="109">
        <v>5</v>
      </c>
      <c r="F92" s="109">
        <v>7.5</v>
      </c>
      <c r="G92" s="115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2" s="116">
        <f>IF('Vars and Stats'!$B$13="Y",10*(Completed[[#This Row],[Raw]]-'Vars and Stats'!$B$9)/'Vars and Stats'!$B$10, 10*Completed[[#This Row],[Raw]]/'Vars and Stats'!$B$8)</f>
        <v>6.650411972423071</v>
      </c>
      <c r="I92" s="110">
        <v>41453</v>
      </c>
      <c r="J92" s="110">
        <v>41457</v>
      </c>
      <c r="K92" s="112" t="s">
        <v>265</v>
      </c>
      <c r="L92" s="73" t="s">
        <v>189</v>
      </c>
    </row>
    <row r="93" spans="1:12" ht="16.5">
      <c r="A93" s="65" t="s">
        <v>215</v>
      </c>
      <c r="B93" s="72">
        <v>1</v>
      </c>
      <c r="C93" s="109">
        <v>7</v>
      </c>
      <c r="D93" s="109">
        <v>7.5</v>
      </c>
      <c r="E93" s="109">
        <v>3.5</v>
      </c>
      <c r="F93" s="109">
        <v>8</v>
      </c>
      <c r="G93" s="115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3" s="116">
        <f>IF('Vars and Stats'!$B$13="Y",10*(Completed[[#This Row],[Raw]]-'Vars and Stats'!$B$9)/'Vars and Stats'!$B$10, 10*Completed[[#This Row],[Raw]]/'Vars and Stats'!$B$8)</f>
        <v>6.6436858920464097</v>
      </c>
      <c r="I93" s="110">
        <v>41465</v>
      </c>
      <c r="J93" s="110">
        <v>41543</v>
      </c>
      <c r="K93" s="112" t="s">
        <v>326</v>
      </c>
      <c r="L93" s="73" t="s">
        <v>325</v>
      </c>
    </row>
    <row r="94" spans="1:12" ht="16.5">
      <c r="A94" s="65" t="s">
        <v>181</v>
      </c>
      <c r="B94" s="72">
        <v>1</v>
      </c>
      <c r="C94" s="109">
        <v>6.5</v>
      </c>
      <c r="D94" s="109">
        <v>7.5</v>
      </c>
      <c r="E94" s="109">
        <v>5</v>
      </c>
      <c r="F94" s="109">
        <v>8</v>
      </c>
      <c r="G94" s="115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4" s="116">
        <f>IF('Vars and Stats'!$B$13="Y",10*(Completed[[#This Row],[Raw]]-'Vars and Stats'!$B$9)/'Vars and Stats'!$B$10, 10*Completed[[#This Row],[Raw]]/'Vars and Stats'!$B$8)</f>
        <v>6.6167815705397679</v>
      </c>
      <c r="I94" s="110">
        <v>41456</v>
      </c>
      <c r="J94" s="110">
        <v>41535</v>
      </c>
      <c r="K94" s="112" t="s">
        <v>310</v>
      </c>
      <c r="L94" s="73"/>
    </row>
    <row r="95" spans="1:12" ht="16.5">
      <c r="A95" s="65" t="s">
        <v>162</v>
      </c>
      <c r="B95" s="72">
        <v>1</v>
      </c>
      <c r="C95" s="109">
        <v>4</v>
      </c>
      <c r="D95" s="109">
        <v>8</v>
      </c>
      <c r="E95" s="109">
        <v>0</v>
      </c>
      <c r="F95" s="109">
        <v>9</v>
      </c>
      <c r="G95" s="115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5" s="116">
        <f>IF('Vars and Stats'!$B$13="Y",10*(Completed[[#This Row],[Raw]]-'Vars and Stats'!$B$9)/'Vars and Stats'!$B$10, 10*Completed[[#This Row],[Raw]]/'Vars and Stats'!$B$8)</f>
        <v>6.5327055658315123</v>
      </c>
      <c r="I95" s="110">
        <v>41450</v>
      </c>
      <c r="J95" s="110">
        <v>41452</v>
      </c>
      <c r="K95" s="112" t="s">
        <v>254</v>
      </c>
      <c r="L95" s="73" t="s">
        <v>163</v>
      </c>
    </row>
    <row r="96" spans="1:12" ht="16.5">
      <c r="A96" s="65" t="s">
        <v>418</v>
      </c>
      <c r="B96" s="72">
        <v>1</v>
      </c>
      <c r="C96" s="109">
        <v>6.5</v>
      </c>
      <c r="D96" s="109">
        <v>9</v>
      </c>
      <c r="E96" s="109">
        <v>5</v>
      </c>
      <c r="F96" s="109">
        <v>7</v>
      </c>
      <c r="G96" s="115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6" s="116">
        <f>IF('Vars and Stats'!$B$13="Y",10*(Completed[[#This Row],[Raw]]-'Vars and Stats'!$B$9)/'Vars and Stats'!$B$10, 10*Completed[[#This Row],[Raw]]/'Vars and Stats'!$B$8)</f>
        <v>6.4873045232890529</v>
      </c>
      <c r="I96" s="110">
        <v>41650</v>
      </c>
      <c r="J96" s="110">
        <v>41745</v>
      </c>
      <c r="K96" s="112" t="s">
        <v>469</v>
      </c>
      <c r="L96" s="73" t="s">
        <v>470</v>
      </c>
    </row>
    <row r="97" spans="1:12" ht="16.5">
      <c r="A97" s="65" t="s">
        <v>370</v>
      </c>
      <c r="B97" s="72">
        <v>1</v>
      </c>
      <c r="C97" s="109">
        <v>7.5</v>
      </c>
      <c r="D97" s="109">
        <v>7.5</v>
      </c>
      <c r="E97" s="109">
        <v>4</v>
      </c>
      <c r="F97" s="109">
        <v>7.5</v>
      </c>
      <c r="G97" s="115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7" s="116">
        <f>IF('Vars and Stats'!$B$13="Y",10*(Completed[[#This Row],[Raw]]-'Vars and Stats'!$B$9)/'Vars and Stats'!$B$10, 10*Completed[[#This Row],[Raw]]/'Vars and Stats'!$B$8)</f>
        <v>6.4637632419707414</v>
      </c>
      <c r="I97" s="110">
        <v>41330</v>
      </c>
      <c r="J97" s="110">
        <v>41346</v>
      </c>
      <c r="K97" s="112" t="s">
        <v>252</v>
      </c>
      <c r="L97" s="73" t="s">
        <v>84</v>
      </c>
    </row>
    <row r="98" spans="1:12" ht="16.5">
      <c r="A98" s="65" t="s">
        <v>440</v>
      </c>
      <c r="B98" s="72">
        <v>1</v>
      </c>
      <c r="C98" s="109">
        <v>7.5</v>
      </c>
      <c r="D98" s="109">
        <v>7.5</v>
      </c>
      <c r="E98" s="109">
        <v>3.5</v>
      </c>
      <c r="F98" s="109">
        <v>7.5</v>
      </c>
      <c r="G98" s="115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98" s="116">
        <f>IF('Vars and Stats'!$B$13="Y",10*(Completed[[#This Row],[Raw]]-'Vars and Stats'!$B$9)/'Vars and Stats'!$B$10, 10*Completed[[#This Row],[Raw]]/'Vars and Stats'!$B$8)</f>
        <v>6.4318143601816038</v>
      </c>
      <c r="I98" s="110">
        <v>41650</v>
      </c>
      <c r="J98" s="110">
        <v>41749</v>
      </c>
      <c r="K98" s="112" t="s">
        <v>490</v>
      </c>
      <c r="L98" s="73"/>
    </row>
    <row r="99" spans="1:12" ht="16.5">
      <c r="A99" s="65" t="s">
        <v>301</v>
      </c>
      <c r="B99" s="72">
        <v>1</v>
      </c>
      <c r="C99" s="109">
        <v>7</v>
      </c>
      <c r="D99" s="109">
        <v>7</v>
      </c>
      <c r="E99" s="109">
        <v>7.5</v>
      </c>
      <c r="F99" s="109">
        <v>7.5</v>
      </c>
      <c r="G99" s="115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99" s="116">
        <f>IF('Vars and Stats'!$B$13="Y",10*(Completed[[#This Row],[Raw]]-'Vars and Stats'!$B$9)/'Vars and Stats'!$B$10, 10*Completed[[#This Row],[Raw]]/'Vars and Stats'!$B$8)</f>
        <v>6.3847317975449807</v>
      </c>
      <c r="I99" s="110">
        <v>41496</v>
      </c>
      <c r="J99" s="110">
        <v>41512</v>
      </c>
      <c r="K99" s="112" t="s">
        <v>302</v>
      </c>
      <c r="L99" s="73" t="s">
        <v>504</v>
      </c>
    </row>
    <row r="100" spans="1:12" ht="16.5">
      <c r="A100" s="65" t="s">
        <v>79</v>
      </c>
      <c r="B100" s="72">
        <v>1</v>
      </c>
      <c r="C100" s="109">
        <v>6</v>
      </c>
      <c r="D100" s="109">
        <v>7</v>
      </c>
      <c r="E100" s="109">
        <v>6</v>
      </c>
      <c r="F100" s="109">
        <v>8</v>
      </c>
      <c r="G100" s="115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0" s="116">
        <f>IF('Vars and Stats'!$B$13="Y",10*(Completed[[#This Row],[Raw]]-'Vars and Stats'!$B$9)/'Vars and Stats'!$B$10, 10*Completed[[#This Row],[Raw]]/'Vars and Stats'!$B$8)</f>
        <v>6.3780057171683193</v>
      </c>
      <c r="I100" s="110">
        <v>41365</v>
      </c>
      <c r="J100" s="110">
        <v>41369</v>
      </c>
      <c r="K100" s="137" t="s">
        <v>247</v>
      </c>
      <c r="L100" s="73"/>
    </row>
    <row r="101" spans="1:12" ht="16.5">
      <c r="A101" s="65" t="s">
        <v>88</v>
      </c>
      <c r="B101" s="72">
        <v>2</v>
      </c>
      <c r="C101" s="109">
        <v>7</v>
      </c>
      <c r="D101" s="109">
        <v>7.5</v>
      </c>
      <c r="E101" s="109">
        <v>4.5</v>
      </c>
      <c r="F101" s="109">
        <v>7.5</v>
      </c>
      <c r="G101" s="115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1" s="116">
        <f>IF('Vars and Stats'!$B$13="Y",10*(Completed[[#This Row],[Raw]]-'Vars and Stats'!$B$9)/'Vars and Stats'!$B$10, 10*Completed[[#This Row],[Raw]]/'Vars and Stats'!$B$8)</f>
        <v>6.3729611568858235</v>
      </c>
      <c r="I101" s="110">
        <v>41345</v>
      </c>
      <c r="J101" s="110">
        <v>41350</v>
      </c>
      <c r="K101" s="112" t="s">
        <v>243</v>
      </c>
      <c r="L101" s="73"/>
    </row>
    <row r="102" spans="1:12" ht="16.5">
      <c r="A102" s="65" t="s">
        <v>171</v>
      </c>
      <c r="B102" s="72">
        <v>1</v>
      </c>
      <c r="C102" s="109">
        <v>4</v>
      </c>
      <c r="D102" s="109">
        <v>7</v>
      </c>
      <c r="E102" s="109">
        <v>8</v>
      </c>
      <c r="F102" s="109">
        <v>8.5</v>
      </c>
      <c r="G102" s="115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2" s="116">
        <f>IF('Vars and Stats'!$B$13="Y",10*(Completed[[#This Row],[Raw]]-'Vars and Stats'!$B$9)/'Vars and Stats'!$B$10, 10*Completed[[#This Row],[Raw]]/'Vars and Stats'!$B$8)</f>
        <v>6.3494198755675129</v>
      </c>
      <c r="I102" s="110">
        <v>41449</v>
      </c>
      <c r="J102" s="110">
        <v>41451</v>
      </c>
      <c r="K102" s="112" t="s">
        <v>257</v>
      </c>
      <c r="L102" s="73"/>
    </row>
    <row r="103" spans="1:12" ht="16.5">
      <c r="A103" s="65" t="s">
        <v>99</v>
      </c>
      <c r="B103" s="72">
        <v>1</v>
      </c>
      <c r="C103" s="109">
        <v>3</v>
      </c>
      <c r="D103" s="109">
        <v>8</v>
      </c>
      <c r="E103" s="109">
        <v>9</v>
      </c>
      <c r="F103" s="109">
        <v>8</v>
      </c>
      <c r="G103" s="115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3" s="116">
        <f>IF('Vars and Stats'!$B$13="Y",10*(Completed[[#This Row],[Raw]]-'Vars and Stats'!$B$9)/'Vars and Stats'!$B$10, 10*Completed[[#This Row],[Raw]]/'Vars and Stats'!$B$8)</f>
        <v>6.1930385068101561</v>
      </c>
      <c r="I103" s="110">
        <v>41288</v>
      </c>
      <c r="J103" s="110">
        <v>41288</v>
      </c>
      <c r="K103" s="112" t="s">
        <v>260</v>
      </c>
      <c r="L103" s="73"/>
    </row>
    <row r="104" spans="1:12" ht="16.5">
      <c r="A104" s="65" t="s">
        <v>97</v>
      </c>
      <c r="B104" s="72">
        <v>5</v>
      </c>
      <c r="C104" s="109">
        <v>7.5</v>
      </c>
      <c r="D104" s="109">
        <v>8</v>
      </c>
      <c r="E104" s="109">
        <v>0.5</v>
      </c>
      <c r="F104" s="109">
        <v>7</v>
      </c>
      <c r="G104" s="115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4" s="116">
        <f>IF('Vars and Stats'!$B$13="Y",10*(Completed[[#This Row],[Raw]]-'Vars and Stats'!$B$9)/'Vars and Stats'!$B$10, 10*Completed[[#This Row],[Raw]]/'Vars and Stats'!$B$8)</f>
        <v>6.0854212207835898</v>
      </c>
      <c r="I104" s="110">
        <v>41088</v>
      </c>
      <c r="J104" s="110">
        <v>41108</v>
      </c>
      <c r="K104" s="112" t="s">
        <v>264</v>
      </c>
      <c r="L104" s="73" t="s">
        <v>378</v>
      </c>
    </row>
    <row r="105" spans="1:12" ht="16.5">
      <c r="A105" s="114" t="s">
        <v>220</v>
      </c>
      <c r="B105" s="72">
        <v>1</v>
      </c>
      <c r="C105" s="109">
        <v>6.5</v>
      </c>
      <c r="D105" s="109">
        <v>7</v>
      </c>
      <c r="E105" s="109">
        <v>4.5</v>
      </c>
      <c r="F105" s="109">
        <v>7.5</v>
      </c>
      <c r="G105" s="115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5" s="116">
        <f>IF('Vars and Stats'!$B$13="Y",10*(Completed[[#This Row],[Raw]]-'Vars and Stats'!$B$9)/'Vars and Stats'!$B$10, 10*Completed[[#This Row],[Raw]]/'Vars and Stats'!$B$8)</f>
        <v>6.0702875399361016</v>
      </c>
      <c r="I105" s="110">
        <v>41464</v>
      </c>
      <c r="J105" s="110">
        <v>41543</v>
      </c>
      <c r="K105" s="112" t="s">
        <v>327</v>
      </c>
      <c r="L105" s="73"/>
    </row>
    <row r="106" spans="1:12" ht="16.5">
      <c r="A106" s="65" t="s">
        <v>231</v>
      </c>
      <c r="B106" s="72">
        <v>1</v>
      </c>
      <c r="C106" s="109">
        <v>5</v>
      </c>
      <c r="D106" s="109">
        <v>7</v>
      </c>
      <c r="E106" s="109">
        <v>4.5</v>
      </c>
      <c r="F106" s="109">
        <v>8</v>
      </c>
      <c r="G106" s="115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6" s="116">
        <f>IF('Vars and Stats'!$B$13="Y",10*(Completed[[#This Row],[Raw]]-'Vars and Stats'!$B$9)/'Vars and Stats'!$B$10, 10*Completed[[#This Row],[Raw]]/'Vars and Stats'!$B$8)</f>
        <v>6.0366571380527994</v>
      </c>
      <c r="I106" s="110">
        <v>41470</v>
      </c>
      <c r="J106" s="110">
        <v>41482</v>
      </c>
      <c r="K106" s="112" t="s">
        <v>261</v>
      </c>
      <c r="L106" s="73" t="s">
        <v>232</v>
      </c>
    </row>
    <row r="107" spans="1:12" ht="16.5">
      <c r="A107" s="65" t="s">
        <v>96</v>
      </c>
      <c r="B107" s="72">
        <v>2</v>
      </c>
      <c r="C107" s="109">
        <v>3.5</v>
      </c>
      <c r="D107" s="109">
        <v>8</v>
      </c>
      <c r="E107" s="109">
        <v>9</v>
      </c>
      <c r="F107" s="109">
        <v>7.5</v>
      </c>
      <c r="G107" s="115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7" s="116">
        <f>IF('Vars and Stats'!$B$13="Y",10*(Completed[[#This Row],[Raw]]-'Vars and Stats'!$B$9)/'Vars and Stats'!$B$10, 10*Completed[[#This Row],[Raw]]/'Vars and Stats'!$B$8)</f>
        <v>5.9811669749453493</v>
      </c>
      <c r="I107" s="110">
        <v>41289</v>
      </c>
      <c r="J107" s="110">
        <v>41289</v>
      </c>
      <c r="K107" s="112" t="s">
        <v>260</v>
      </c>
      <c r="L107" s="73"/>
    </row>
    <row r="108" spans="1:12" ht="16.5">
      <c r="A108" s="65" t="s">
        <v>13</v>
      </c>
      <c r="B108" s="72">
        <v>2</v>
      </c>
      <c r="C108" s="109">
        <v>5.5</v>
      </c>
      <c r="D108" s="109">
        <v>7</v>
      </c>
      <c r="E108" s="109">
        <v>6.5</v>
      </c>
      <c r="F108" s="109">
        <v>7.5</v>
      </c>
      <c r="G108" s="115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08" s="116">
        <f>IF('Vars and Stats'!$B$13="Y",10*(Completed[[#This Row],[Raw]]-'Vars and Stats'!$B$9)/'Vars and Stats'!$B$10, 10*Completed[[#This Row],[Raw]]/'Vars and Stats'!$B$8)</f>
        <v>5.9525811333445429</v>
      </c>
      <c r="I108" s="110">
        <v>41371</v>
      </c>
      <c r="J108" s="110">
        <v>41455</v>
      </c>
      <c r="K108" s="112" t="s">
        <v>247</v>
      </c>
      <c r="L108" s="73"/>
    </row>
    <row r="109" spans="1:12" ht="16.5">
      <c r="A109" s="65" t="s">
        <v>605</v>
      </c>
      <c r="B109" s="72">
        <v>1</v>
      </c>
      <c r="C109" s="109">
        <v>7</v>
      </c>
      <c r="D109" s="109">
        <v>6.5</v>
      </c>
      <c r="E109" s="109">
        <v>2.5</v>
      </c>
      <c r="F109" s="109">
        <v>7.5</v>
      </c>
      <c r="G109" s="115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09" s="116">
        <f>IF('Vars and Stats'!$B$13="Y",10*(Completed[[#This Row],[Raw]]-'Vars and Stats'!$B$9)/'Vars and Stats'!$B$10, 10*Completed[[#This Row],[Raw]]/'Vars and Stats'!$B$8)</f>
        <v>5.8853203295779384</v>
      </c>
      <c r="I109" s="110">
        <v>41465</v>
      </c>
      <c r="J109" s="110">
        <v>41465</v>
      </c>
      <c r="K109" s="112" t="s">
        <v>243</v>
      </c>
      <c r="L109" s="73" t="s">
        <v>495</v>
      </c>
    </row>
    <row r="110" spans="1:12" ht="16.5">
      <c r="A110" s="65" t="s">
        <v>161</v>
      </c>
      <c r="B110" s="72">
        <v>1</v>
      </c>
      <c r="C110" s="109">
        <v>6.5</v>
      </c>
      <c r="D110" s="109">
        <v>7</v>
      </c>
      <c r="E110" s="109">
        <v>6.5</v>
      </c>
      <c r="F110" s="109">
        <v>7</v>
      </c>
      <c r="G110" s="115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0" s="116">
        <f>IF('Vars and Stats'!$B$13="Y",10*(Completed[[#This Row],[Raw]]-'Vars and Stats'!$B$9)/'Vars and Stats'!$B$10, 10*Completed[[#This Row],[Raw]]/'Vars and Stats'!$B$8)</f>
        <v>5.8634605683537906</v>
      </c>
      <c r="I110" s="110">
        <v>41371</v>
      </c>
      <c r="J110" s="110">
        <v>41453</v>
      </c>
      <c r="K110" s="112" t="s">
        <v>253</v>
      </c>
      <c r="L110" s="73"/>
    </row>
    <row r="111" spans="1:12" ht="16.5">
      <c r="A111" s="65" t="s">
        <v>101</v>
      </c>
      <c r="B111" s="72">
        <v>1</v>
      </c>
      <c r="C111" s="109">
        <v>7</v>
      </c>
      <c r="D111" s="109">
        <v>7</v>
      </c>
      <c r="E111" s="109">
        <v>4.5</v>
      </c>
      <c r="F111" s="109">
        <v>7</v>
      </c>
      <c r="G111" s="115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1" s="116">
        <f>IF('Vars and Stats'!$B$13="Y",10*(Completed[[#This Row],[Raw]]-'Vars and Stats'!$B$9)/'Vars and Stats'!$B$10, 10*Completed[[#This Row],[Raw]]/'Vars and Stats'!$B$8)</f>
        <v>5.8584160080712957</v>
      </c>
      <c r="I111" s="110">
        <v>41292</v>
      </c>
      <c r="J111" s="110">
        <v>41369</v>
      </c>
      <c r="K111" s="112" t="s">
        <v>268</v>
      </c>
      <c r="L111" s="73"/>
    </row>
    <row r="112" spans="1:12" ht="16.5">
      <c r="A112" s="65" t="s">
        <v>18</v>
      </c>
      <c r="B112" s="72">
        <v>1</v>
      </c>
      <c r="C112" s="109">
        <v>7</v>
      </c>
      <c r="D112" s="109">
        <v>6</v>
      </c>
      <c r="E112" s="109">
        <v>4.5</v>
      </c>
      <c r="F112" s="109">
        <v>7.5</v>
      </c>
      <c r="G112" s="115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2" s="116">
        <f>IF('Vars and Stats'!$B$13="Y",10*(Completed[[#This Row],[Raw]]-'Vars and Stats'!$B$9)/'Vars and Stats'!$B$10, 10*Completed[[#This Row],[Raw]]/'Vars and Stats'!$B$8)</f>
        <v>5.8331932066588204</v>
      </c>
      <c r="I112" s="110">
        <v>41379</v>
      </c>
      <c r="J112" s="110">
        <v>41464</v>
      </c>
      <c r="K112" s="112" t="s">
        <v>267</v>
      </c>
      <c r="L112" s="73" t="s">
        <v>226</v>
      </c>
    </row>
    <row r="113" spans="1:12" ht="16.5">
      <c r="A113" s="65" t="s">
        <v>104</v>
      </c>
      <c r="B113" s="72">
        <v>2</v>
      </c>
      <c r="C113" s="109">
        <v>2</v>
      </c>
      <c r="D113" s="109">
        <v>7.5</v>
      </c>
      <c r="E113" s="109">
        <v>10</v>
      </c>
      <c r="F113" s="109">
        <v>8</v>
      </c>
      <c r="G113" s="115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3" s="116">
        <f>IF('Vars and Stats'!$B$13="Y",10*(Completed[[#This Row],[Raw]]-'Vars and Stats'!$B$9)/'Vars and Stats'!$B$10, 10*Completed[[#This Row],[Raw]]/'Vars and Stats'!$B$8)</f>
        <v>5.8315116865646539</v>
      </c>
      <c r="I113" s="110">
        <v>41229</v>
      </c>
      <c r="J113" s="110">
        <v>41230</v>
      </c>
      <c r="K113" s="112" t="s">
        <v>246</v>
      </c>
      <c r="L113" s="73"/>
    </row>
    <row r="114" spans="1:12" ht="16.5">
      <c r="A114" s="65" t="s">
        <v>444</v>
      </c>
      <c r="B114" s="72">
        <v>1</v>
      </c>
      <c r="C114" s="109">
        <v>5.5</v>
      </c>
      <c r="D114" s="109">
        <v>7</v>
      </c>
      <c r="E114" s="109">
        <v>4.5</v>
      </c>
      <c r="F114" s="109">
        <v>7.5</v>
      </c>
      <c r="G114" s="115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4" s="116">
        <f>IF('Vars and Stats'!$B$13="Y",10*(Completed[[#This Row],[Raw]]-'Vars and Stats'!$B$9)/'Vars and Stats'!$B$10, 10*Completed[[#This Row],[Raw]]/'Vars and Stats'!$B$8)</f>
        <v>5.8247856061879935</v>
      </c>
      <c r="I114" s="110">
        <v>41647</v>
      </c>
      <c r="J114" s="110">
        <v>41733</v>
      </c>
      <c r="K114" s="112" t="s">
        <v>466</v>
      </c>
      <c r="L114" s="73"/>
    </row>
    <row r="115" spans="1:12" ht="16.5">
      <c r="A115" s="65" t="s">
        <v>103</v>
      </c>
      <c r="B115" s="79">
        <v>1</v>
      </c>
      <c r="C115" s="130">
        <v>2</v>
      </c>
      <c r="D115" s="130">
        <v>7.5</v>
      </c>
      <c r="E115" s="130">
        <v>9.5</v>
      </c>
      <c r="F115" s="130">
        <v>8</v>
      </c>
      <c r="G115" s="115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5" s="116">
        <f>IF('Vars and Stats'!$B$13="Y",10*(Completed[[#This Row],[Raw]]-'Vars and Stats'!$B$9)/'Vars and Stats'!$B$10, 10*Completed[[#This Row],[Raw]]/'Vars and Stats'!$B$8)</f>
        <v>5.7995628047755172</v>
      </c>
      <c r="I115" s="55">
        <v>41228</v>
      </c>
      <c r="J115" s="55">
        <v>41229</v>
      </c>
      <c r="K115" s="133" t="s">
        <v>246</v>
      </c>
      <c r="L115" s="134"/>
    </row>
    <row r="116" spans="1:12" ht="16.5">
      <c r="A116" s="54" t="s">
        <v>341</v>
      </c>
      <c r="B116" s="79">
        <v>1</v>
      </c>
      <c r="C116" s="130">
        <v>5</v>
      </c>
      <c r="D116" s="130">
        <v>7.5</v>
      </c>
      <c r="E116" s="130">
        <v>7.5</v>
      </c>
      <c r="F116" s="130">
        <v>6.5</v>
      </c>
      <c r="G116" s="115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6" s="116">
        <f>IF('Vars and Stats'!$B$13="Y",10*(Completed[[#This Row],[Raw]]-'Vars and Stats'!$B$9)/'Vars and Stats'!$B$10, 10*Completed[[#This Row],[Raw]]/'Vars and Stats'!$B$8)</f>
        <v>5.4044055826467137</v>
      </c>
      <c r="I116" s="110">
        <v>41550</v>
      </c>
      <c r="J116" s="55">
        <v>41634</v>
      </c>
      <c r="K116" s="133" t="s">
        <v>341</v>
      </c>
      <c r="L116" s="134" t="s">
        <v>408</v>
      </c>
    </row>
    <row r="117" spans="1:12" ht="16.5">
      <c r="A117" s="54" t="s">
        <v>478</v>
      </c>
      <c r="B117" s="79">
        <v>1</v>
      </c>
      <c r="C117" s="130">
        <v>6</v>
      </c>
      <c r="D117" s="130">
        <v>7.5</v>
      </c>
      <c r="E117" s="130">
        <v>6</v>
      </c>
      <c r="F117" s="130">
        <v>6</v>
      </c>
      <c r="G117" s="131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7" s="132">
        <f>IF('Vars and Stats'!$B$13="Y",10*(Completed[[#This Row],[Raw]]-'Vars and Stats'!$B$9)/'Vars and Stats'!$B$10, 10*Completed[[#This Row],[Raw]]/'Vars and Stats'!$B$8)</f>
        <v>5.2194383722885487</v>
      </c>
      <c r="I117" s="110">
        <v>41796</v>
      </c>
      <c r="J117" s="55">
        <v>41820</v>
      </c>
      <c r="K117" s="133" t="s">
        <v>696</v>
      </c>
      <c r="L117" s="134" t="s">
        <v>697</v>
      </c>
    </row>
    <row r="118" spans="1:12" ht="16.5">
      <c r="A118" s="54" t="s">
        <v>172</v>
      </c>
      <c r="B118" s="79">
        <v>1</v>
      </c>
      <c r="C118" s="130">
        <v>3</v>
      </c>
      <c r="D118" s="130">
        <v>6.5</v>
      </c>
      <c r="E118" s="130">
        <v>6.5</v>
      </c>
      <c r="F118" s="130">
        <v>7.5</v>
      </c>
      <c r="G118" s="115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18" s="116">
        <f>IF('Vars and Stats'!$B$13="Y",10*(Completed[[#This Row],[Raw]]-'Vars and Stats'!$B$9)/'Vars and Stats'!$B$10, 10*Completed[[#This Row],[Raw]]/'Vars and Stats'!$B$8)</f>
        <v>5.1589036488986038</v>
      </c>
      <c r="I118" s="55">
        <v>41448</v>
      </c>
      <c r="J118" s="55">
        <v>41455</v>
      </c>
      <c r="K118" s="133" t="s">
        <v>256</v>
      </c>
      <c r="L118" s="134" t="s">
        <v>176</v>
      </c>
    </row>
    <row r="119" spans="1:12" ht="16.5">
      <c r="A119" s="54" t="s">
        <v>487</v>
      </c>
      <c r="B119" s="79">
        <v>1</v>
      </c>
      <c r="C119" s="130">
        <v>5</v>
      </c>
      <c r="D119" s="130">
        <v>6.5</v>
      </c>
      <c r="E119" s="130">
        <v>8</v>
      </c>
      <c r="F119" s="130">
        <v>6.5</v>
      </c>
      <c r="G119" s="131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19" s="132">
        <f>IF('Vars and Stats'!$B$13="Y",10*(Completed[[#This Row],[Raw]]-'Vars and Stats'!$B$9)/'Vars and Stats'!$B$10, 10*Completed[[#This Row],[Raw]]/'Vars and Stats'!$B$8)</f>
        <v>5.0765091642845146</v>
      </c>
      <c r="I119" s="110">
        <v>41785</v>
      </c>
      <c r="J119" s="55">
        <v>41814</v>
      </c>
      <c r="K119" s="133" t="s">
        <v>673</v>
      </c>
      <c r="L119" s="134"/>
    </row>
    <row r="120" spans="1:12" ht="16.5">
      <c r="A120" s="54" t="s">
        <v>347</v>
      </c>
      <c r="B120" s="79">
        <v>1</v>
      </c>
      <c r="C120" s="130">
        <v>6.5</v>
      </c>
      <c r="D120" s="130">
        <v>5.5</v>
      </c>
      <c r="E120" s="130">
        <v>7.5</v>
      </c>
      <c r="F120" s="130">
        <v>6.5</v>
      </c>
      <c r="G120" s="115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0" s="116">
        <f>IF('Vars and Stats'!$B$13="Y",10*(Completed[[#This Row],[Raw]]-'Vars and Stats'!$B$9)/'Vars and Stats'!$B$10, 10*Completed[[#This Row],[Raw]]/'Vars and Stats'!$B$8)</f>
        <v>5.0529678829662013</v>
      </c>
      <c r="I120" s="110">
        <v>41560</v>
      </c>
      <c r="J120" s="55">
        <v>41618</v>
      </c>
      <c r="K120" s="133" t="s">
        <v>402</v>
      </c>
      <c r="L120" s="134"/>
    </row>
    <row r="121" spans="1:12" ht="16.5">
      <c r="A121" s="54" t="s">
        <v>223</v>
      </c>
      <c r="B121" s="79">
        <v>1</v>
      </c>
      <c r="C121" s="130">
        <v>2.5</v>
      </c>
      <c r="D121" s="130">
        <v>7.5</v>
      </c>
      <c r="E121" s="130">
        <v>5.5</v>
      </c>
      <c r="F121" s="130">
        <v>6</v>
      </c>
      <c r="G121" s="115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1" s="116">
        <f>IF('Vars and Stats'!$B$13="Y",10*(Completed[[#This Row],[Raw]]-'Vars and Stats'!$B$9)/'Vars and Stats'!$B$10, 10*Completed[[#This Row],[Raw]]/'Vars and Stats'!$B$8)</f>
        <v>4.3282327223810331</v>
      </c>
      <c r="I121" s="110">
        <v>41488</v>
      </c>
      <c r="J121" s="55">
        <v>41492</v>
      </c>
      <c r="K121" s="133" t="s">
        <v>294</v>
      </c>
      <c r="L121" s="134" t="s">
        <v>505</v>
      </c>
    </row>
    <row r="122" spans="1:12" ht="16.5">
      <c r="A122" s="54" t="s">
        <v>105</v>
      </c>
      <c r="B122" s="79">
        <v>1</v>
      </c>
      <c r="C122" s="130">
        <v>5.5</v>
      </c>
      <c r="D122" s="130">
        <v>5.5</v>
      </c>
      <c r="E122" s="130">
        <v>5</v>
      </c>
      <c r="F122" s="130">
        <v>6</v>
      </c>
      <c r="G122" s="115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2" s="116">
        <f>IF('Vars and Stats'!$B$13="Y",10*(Completed[[#This Row],[Raw]]-'Vars and Stats'!$B$9)/'Vars and Stats'!$B$10, 10*Completed[[#This Row],[Raw]]/'Vars and Stats'!$B$8)</f>
        <v>4.3130990415335448</v>
      </c>
      <c r="I122" s="110">
        <v>41302</v>
      </c>
      <c r="J122" s="55">
        <v>41360</v>
      </c>
      <c r="K122" s="133" t="s">
        <v>258</v>
      </c>
      <c r="L122" s="134"/>
    </row>
    <row r="123" spans="1:12" ht="16.5">
      <c r="A123" s="54" t="s">
        <v>449</v>
      </c>
      <c r="B123" s="79">
        <v>1</v>
      </c>
      <c r="C123" s="130">
        <v>1.5</v>
      </c>
      <c r="D123" s="130">
        <v>5</v>
      </c>
      <c r="E123" s="130">
        <v>4</v>
      </c>
      <c r="F123" s="130">
        <v>6.5</v>
      </c>
      <c r="G123" s="115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3" s="116">
        <f>IF('Vars and Stats'!$B$13="Y",10*(Completed[[#This Row],[Raw]]-'Vars and Stats'!$B$9)/'Vars and Stats'!$B$10, 10*Completed[[#This Row],[Raw]]/'Vars and Stats'!$B$8)</f>
        <v>3.4218933916260297</v>
      </c>
      <c r="I123" s="110">
        <v>41705</v>
      </c>
      <c r="J123" s="55">
        <v>41705</v>
      </c>
      <c r="K123" s="133" t="s">
        <v>450</v>
      </c>
      <c r="L123" s="134" t="s">
        <v>451</v>
      </c>
    </row>
    <row r="124" spans="1:12" ht="16.5">
      <c r="A124" s="54" t="s">
        <v>106</v>
      </c>
      <c r="B124" s="79">
        <v>1</v>
      </c>
      <c r="C124" s="130">
        <v>3.5</v>
      </c>
      <c r="D124" s="130">
        <v>5.5</v>
      </c>
      <c r="E124" s="130">
        <v>6</v>
      </c>
      <c r="F124" s="130">
        <v>5</v>
      </c>
      <c r="G124" s="115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4" s="116">
        <f>IF('Vars and Stats'!$B$13="Y",10*(Completed[[#This Row],[Raw]]-'Vars and Stats'!$B$9)/'Vars and Stats'!$B$10, 10*Completed[[#This Row],[Raw]]/'Vars and Stats'!$B$8)</f>
        <v>3.2167479401378842</v>
      </c>
      <c r="I124" s="55">
        <v>40674</v>
      </c>
      <c r="J124" s="55">
        <v>40675</v>
      </c>
      <c r="K124" s="139" t="s">
        <v>165</v>
      </c>
      <c r="L124" s="134"/>
    </row>
    <row r="125" spans="1:12" ht="16.5">
      <c r="A125" s="54" t="s">
        <v>107</v>
      </c>
      <c r="B125" s="79">
        <v>1</v>
      </c>
      <c r="C125" s="130">
        <v>3</v>
      </c>
      <c r="D125" s="130">
        <v>2</v>
      </c>
      <c r="E125" s="130">
        <v>7</v>
      </c>
      <c r="F125" s="130">
        <v>3</v>
      </c>
      <c r="G125" s="115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5" s="116">
        <f>IF('Vars and Stats'!$B$13="Y",10*(Completed[[#This Row],[Raw]]-'Vars and Stats'!$B$9)/'Vars and Stats'!$B$10, 10*Completed[[#This Row],[Raw]]/'Vars and Stats'!$B$8)</f>
        <v>0.5599461913569862</v>
      </c>
      <c r="I125" s="55">
        <v>41254</v>
      </c>
      <c r="J125" s="55">
        <v>41264</v>
      </c>
      <c r="K125" s="133" t="s">
        <v>269</v>
      </c>
      <c r="L125" s="134"/>
    </row>
    <row r="126" spans="1:12" ht="16.5">
      <c r="A126" s="54" t="s">
        <v>20</v>
      </c>
      <c r="B126" s="79">
        <v>1</v>
      </c>
      <c r="C126" s="130">
        <v>1.5</v>
      </c>
      <c r="D126" s="130">
        <v>2</v>
      </c>
      <c r="E126" s="130">
        <v>4</v>
      </c>
      <c r="F126" s="130">
        <v>3</v>
      </c>
      <c r="G126" s="115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6" s="116">
        <f>IF('Vars and Stats'!$B$13="Y",10*(Completed[[#This Row],[Raw]]-'Vars and Stats'!$B$9)/'Vars and Stats'!$B$10, 10*Completed[[#This Row],[Raw]]/'Vars and Stats'!$B$8)</f>
        <v>0</v>
      </c>
      <c r="I126" s="55">
        <v>41355</v>
      </c>
      <c r="J126" s="55">
        <v>41451</v>
      </c>
      <c r="K126" s="133" t="s">
        <v>165</v>
      </c>
      <c r="L126" s="134" t="s">
        <v>170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activeCell="A3" sqref="A3:D14"/>
    </sheetView>
  </sheetViews>
  <sheetFormatPr defaultRowHeight="15"/>
  <cols>
    <col min="1" max="1" width="35.140625" style="6" customWidth="1"/>
    <col min="2" max="2" width="6.42578125" style="42" bestFit="1" customWidth="1"/>
    <col min="3" max="3" width="14.7109375" style="3" customWidth="1"/>
    <col min="4" max="4" width="15.7109375" style="7" customWidth="1"/>
  </cols>
  <sheetData>
    <row r="1" spans="1:4" ht="16.5">
      <c r="A1" s="211" t="s">
        <v>508</v>
      </c>
      <c r="B1" s="212"/>
      <c r="C1" s="212"/>
      <c r="D1" s="213"/>
    </row>
    <row r="2" spans="1:4" ht="16.5">
      <c r="A2" s="49" t="s">
        <v>3</v>
      </c>
      <c r="B2" s="64" t="s">
        <v>199</v>
      </c>
      <c r="C2" s="48" t="s">
        <v>501</v>
      </c>
      <c r="D2" s="50" t="s">
        <v>503</v>
      </c>
    </row>
    <row r="3" spans="1:4" ht="16.5">
      <c r="A3" s="65" t="s">
        <v>191</v>
      </c>
      <c r="B3" s="66">
        <v>1</v>
      </c>
      <c r="C3" s="53">
        <v>41483</v>
      </c>
      <c r="D3" s="53">
        <v>41484</v>
      </c>
    </row>
    <row r="4" spans="1:4" ht="16.5">
      <c r="A4" s="54" t="s">
        <v>43</v>
      </c>
      <c r="B4" s="52">
        <v>1</v>
      </c>
      <c r="C4" s="53">
        <v>41515</v>
      </c>
      <c r="D4" s="53">
        <v>41880</v>
      </c>
    </row>
    <row r="5" spans="1:4" ht="16.5">
      <c r="A5" s="54" t="s">
        <v>43</v>
      </c>
      <c r="B5" s="52">
        <v>1</v>
      </c>
      <c r="C5" s="53">
        <v>41608</v>
      </c>
      <c r="D5" s="53">
        <v>41973</v>
      </c>
    </row>
    <row r="6" spans="1:4" ht="16.5">
      <c r="A6" s="65" t="s">
        <v>167</v>
      </c>
      <c r="B6" s="66">
        <v>1</v>
      </c>
      <c r="C6" s="152">
        <v>41696</v>
      </c>
      <c r="D6" s="152">
        <v>41700</v>
      </c>
    </row>
    <row r="7" spans="1:4" ht="16.5">
      <c r="A7" s="54" t="s">
        <v>111</v>
      </c>
      <c r="B7" s="52">
        <v>1</v>
      </c>
      <c r="C7" s="53">
        <v>41706</v>
      </c>
      <c r="D7" s="53">
        <v>41714</v>
      </c>
    </row>
    <row r="8" spans="1:4" ht="16.5">
      <c r="A8" s="54" t="s">
        <v>212</v>
      </c>
      <c r="B8" s="52">
        <v>1</v>
      </c>
      <c r="C8" s="53">
        <v>41725</v>
      </c>
      <c r="D8" s="53">
        <v>41728</v>
      </c>
    </row>
    <row r="9" spans="1:4" ht="16.5">
      <c r="A9" s="83" t="s">
        <v>582</v>
      </c>
      <c r="B9" s="85">
        <v>1</v>
      </c>
      <c r="C9" s="51">
        <v>41731</v>
      </c>
      <c r="D9" s="51">
        <v>41737</v>
      </c>
    </row>
    <row r="10" spans="1:4" ht="16.5">
      <c r="A10" s="54" t="s">
        <v>162</v>
      </c>
      <c r="B10" s="52">
        <v>1</v>
      </c>
      <c r="C10" s="53">
        <v>41769</v>
      </c>
      <c r="D10" s="53">
        <v>41777</v>
      </c>
    </row>
    <row r="11" spans="1:4" ht="16.5">
      <c r="A11" s="54" t="s">
        <v>90</v>
      </c>
      <c r="B11" s="52">
        <v>1</v>
      </c>
      <c r="C11" s="53">
        <v>41789</v>
      </c>
      <c r="D11" s="53">
        <v>41792</v>
      </c>
    </row>
    <row r="12" spans="1:4" ht="16.5">
      <c r="A12" s="54" t="s">
        <v>25</v>
      </c>
      <c r="B12" s="52">
        <v>1</v>
      </c>
      <c r="C12" s="53">
        <v>41793</v>
      </c>
      <c r="D12" s="53">
        <v>41793</v>
      </c>
    </row>
    <row r="13" spans="1:4" ht="16.5">
      <c r="A13" s="54" t="s">
        <v>227</v>
      </c>
      <c r="B13" s="52">
        <v>1</v>
      </c>
      <c r="C13" s="53">
        <v>41794</v>
      </c>
      <c r="D13" s="53">
        <v>41795</v>
      </c>
    </row>
    <row r="14" spans="1:4" ht="16.5">
      <c r="A14" s="83" t="s">
        <v>86</v>
      </c>
      <c r="B14" s="85">
        <v>1</v>
      </c>
      <c r="C14" s="53">
        <v>41798</v>
      </c>
      <c r="D14" s="51"/>
    </row>
    <row r="15" spans="1:4" ht="16.5">
      <c r="C15" s="55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7" bestFit="1" customWidth="1"/>
    <col min="11" max="11" width="3.140625" customWidth="1"/>
  </cols>
  <sheetData>
    <row r="1" spans="1:8" ht="16.5">
      <c r="A1" s="214" t="s">
        <v>57</v>
      </c>
      <c r="B1" s="215"/>
      <c r="C1" s="215"/>
      <c r="D1" s="216"/>
      <c r="E1" s="2"/>
      <c r="F1" s="1"/>
      <c r="G1" s="1"/>
      <c r="H1" s="1"/>
    </row>
    <row r="2" spans="1:8" ht="16.5">
      <c r="A2" s="49" t="s">
        <v>3</v>
      </c>
      <c r="B2" s="48" t="s">
        <v>199</v>
      </c>
      <c r="C2" s="48" t="s">
        <v>413</v>
      </c>
      <c r="D2" s="142" t="s">
        <v>59</v>
      </c>
      <c r="E2" s="2"/>
      <c r="F2" s="1"/>
      <c r="G2" s="1"/>
      <c r="H2" s="1"/>
    </row>
    <row r="3" spans="1:8" ht="16.5">
      <c r="A3" s="11" t="s">
        <v>63</v>
      </c>
      <c r="B3" s="14">
        <v>15</v>
      </c>
      <c r="C3" s="11">
        <v>580</v>
      </c>
      <c r="D3" s="14" t="s">
        <v>685</v>
      </c>
      <c r="E3" s="2"/>
      <c r="F3" s="1"/>
      <c r="G3" s="1"/>
      <c r="H3" s="1"/>
    </row>
    <row r="4" spans="1:8" ht="16.5">
      <c r="A4" s="11" t="s">
        <v>65</v>
      </c>
      <c r="B4" s="14">
        <v>9</v>
      </c>
      <c r="C4" s="11">
        <v>178</v>
      </c>
      <c r="D4" s="14" t="s">
        <v>685</v>
      </c>
      <c r="E4" s="2"/>
      <c r="F4" s="1"/>
      <c r="G4" s="1"/>
      <c r="H4" s="1"/>
    </row>
    <row r="5" spans="1:8" ht="16.5">
      <c r="A5" s="11" t="s">
        <v>69</v>
      </c>
      <c r="B5" s="14">
        <v>1</v>
      </c>
      <c r="C5" s="11">
        <v>12</v>
      </c>
      <c r="D5" s="14" t="s">
        <v>685</v>
      </c>
      <c r="E5" s="2"/>
      <c r="F5" s="1"/>
      <c r="G5" s="1"/>
      <c r="H5" s="1"/>
    </row>
    <row r="6" spans="1:8" ht="16.5">
      <c r="A6" s="11" t="s">
        <v>72</v>
      </c>
      <c r="B6" s="14">
        <v>4</v>
      </c>
      <c r="C6" s="11">
        <v>175</v>
      </c>
      <c r="D6" s="14" t="s">
        <v>686</v>
      </c>
      <c r="E6" s="2"/>
      <c r="F6" s="1"/>
      <c r="G6" s="1"/>
      <c r="H6" s="1"/>
    </row>
    <row r="7" spans="1:8" ht="16.5">
      <c r="A7" s="11" t="s">
        <v>76</v>
      </c>
      <c r="B7" s="14">
        <v>1</v>
      </c>
      <c r="C7" s="11">
        <v>13</v>
      </c>
      <c r="D7" s="14" t="s">
        <v>77</v>
      </c>
      <c r="E7" s="2"/>
      <c r="F7" s="1"/>
      <c r="G7" s="1"/>
      <c r="H7" s="1"/>
    </row>
    <row r="8" spans="1:8" ht="16.5">
      <c r="A8" s="11" t="s">
        <v>270</v>
      </c>
      <c r="B8" s="14">
        <v>1</v>
      </c>
      <c r="C8" s="11">
        <v>3</v>
      </c>
      <c r="D8" s="14" t="s">
        <v>272</v>
      </c>
      <c r="E8" s="2"/>
      <c r="F8" s="1"/>
      <c r="G8" s="1"/>
      <c r="H8" s="1"/>
    </row>
    <row r="9" spans="1:8" ht="16.5">
      <c r="A9" s="84" t="s">
        <v>345</v>
      </c>
      <c r="B9" s="143">
        <v>1</v>
      </c>
      <c r="C9" s="84">
        <v>3</v>
      </c>
      <c r="D9" s="143" t="s">
        <v>354</v>
      </c>
      <c r="E9" s="2"/>
      <c r="F9" s="1"/>
      <c r="G9" s="1"/>
      <c r="H9" s="1"/>
    </row>
  </sheetData>
  <mergeCells count="1">
    <mergeCell ref="A1:D1"/>
  </mergeCells>
  <phoneticPr fontId="5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5536"/>
  <sheetViews>
    <sheetView showGridLines="0" zoomScaleNormal="100" workbookViewId="0">
      <selection activeCell="K35" sqref="K35"/>
    </sheetView>
  </sheetViews>
  <sheetFormatPr defaultRowHeight="15"/>
  <cols>
    <col min="1" max="1" width="41.140625" style="6"/>
    <col min="2" max="2" width="13.42578125" style="3"/>
    <col min="3" max="3" width="8.5703125" style="7"/>
    <col min="4" max="4" width="6.28515625"/>
    <col min="5" max="5" width="42.85546875" style="6"/>
    <col min="6" max="7" width="7.7109375" style="3"/>
    <col min="8" max="8" width="7.7109375" style="4"/>
    <col min="9" max="9" width="15.140625" style="7"/>
    <col min="10" max="10" width="8.5703125"/>
    <col min="11" max="11" width="9.85546875"/>
    <col min="12" max="1025" width="8.5703125"/>
  </cols>
  <sheetData>
    <row r="1" spans="1:12" ht="15" customHeight="1">
      <c r="A1" s="217" t="s">
        <v>112</v>
      </c>
      <c r="B1" s="218"/>
      <c r="C1" s="218"/>
      <c r="D1" s="218"/>
      <c r="E1" s="218"/>
      <c r="F1" s="218"/>
      <c r="G1" s="218"/>
      <c r="H1" s="218"/>
      <c r="I1" s="219"/>
    </row>
    <row r="2" spans="1:12" ht="15" customHeight="1">
      <c r="A2" s="214" t="s">
        <v>113</v>
      </c>
      <c r="B2" s="215"/>
      <c r="C2" s="216"/>
      <c r="D2" s="9"/>
      <c r="E2" s="214" t="s">
        <v>2</v>
      </c>
      <c r="F2" s="215"/>
      <c r="G2" s="215"/>
      <c r="H2" s="215"/>
      <c r="I2" s="216"/>
    </row>
    <row r="3" spans="1:12" ht="15" customHeight="1">
      <c r="A3" s="37" t="s">
        <v>114</v>
      </c>
      <c r="B3" s="37" t="s">
        <v>115</v>
      </c>
      <c r="C3" s="37" t="s">
        <v>4</v>
      </c>
      <c r="D3" s="9"/>
      <c r="E3" s="37" t="s">
        <v>114</v>
      </c>
      <c r="F3" s="37" t="s">
        <v>4</v>
      </c>
      <c r="G3" s="37" t="s">
        <v>115</v>
      </c>
      <c r="H3" s="38" t="s">
        <v>109</v>
      </c>
      <c r="I3" s="37" t="s">
        <v>11</v>
      </c>
    </row>
    <row r="4" spans="1:12" ht="15" customHeight="1">
      <c r="A4" s="10" t="s">
        <v>153</v>
      </c>
      <c r="B4" s="11" t="s">
        <v>116</v>
      </c>
      <c r="C4" s="12" t="s">
        <v>14</v>
      </c>
      <c r="D4" s="9"/>
      <c r="E4" s="10" t="s">
        <v>160</v>
      </c>
      <c r="F4" s="11" t="s">
        <v>14</v>
      </c>
      <c r="G4" s="11" t="s">
        <v>116</v>
      </c>
      <c r="H4" s="39">
        <v>9.81</v>
      </c>
      <c r="I4" s="40">
        <v>41446</v>
      </c>
    </row>
    <row r="5" spans="1:12" ht="15" customHeight="1">
      <c r="A5" s="10" t="s">
        <v>118</v>
      </c>
      <c r="B5" s="11" t="s">
        <v>116</v>
      </c>
      <c r="C5" s="12" t="s">
        <v>40</v>
      </c>
      <c r="D5" s="9"/>
      <c r="E5" s="10" t="s">
        <v>117</v>
      </c>
      <c r="F5" s="11" t="s">
        <v>14</v>
      </c>
      <c r="G5" s="11" t="s">
        <v>116</v>
      </c>
      <c r="H5" s="39">
        <v>9.56</v>
      </c>
      <c r="I5" s="40">
        <v>41356</v>
      </c>
    </row>
    <row r="6" spans="1:12" ht="15" customHeight="1">
      <c r="A6" s="10" t="s">
        <v>120</v>
      </c>
      <c r="B6" s="11" t="s">
        <v>116</v>
      </c>
      <c r="C6" s="12" t="s">
        <v>40</v>
      </c>
      <c r="D6" s="9"/>
      <c r="E6" s="10" t="s">
        <v>119</v>
      </c>
      <c r="F6" s="11" t="s">
        <v>14</v>
      </c>
      <c r="G6" s="11" t="s">
        <v>116</v>
      </c>
      <c r="H6" s="39">
        <v>9.5399999999999991</v>
      </c>
      <c r="I6" s="40">
        <v>41370</v>
      </c>
    </row>
    <row r="7" spans="1:12" ht="15" customHeight="1">
      <c r="A7" s="10" t="s">
        <v>122</v>
      </c>
      <c r="B7" s="11" t="s">
        <v>123</v>
      </c>
      <c r="C7" s="12" t="s">
        <v>40</v>
      </c>
      <c r="D7" s="9"/>
      <c r="E7" s="10" t="s">
        <v>121</v>
      </c>
      <c r="F7" s="11" t="s">
        <v>14</v>
      </c>
      <c r="G7" s="11" t="s">
        <v>116</v>
      </c>
      <c r="H7" s="39">
        <v>9.49</v>
      </c>
      <c r="I7" s="40">
        <v>41400</v>
      </c>
      <c r="L7" t="s">
        <v>496</v>
      </c>
    </row>
    <row r="8" spans="1:12" ht="15" customHeight="1">
      <c r="A8" s="10" t="s">
        <v>147</v>
      </c>
      <c r="B8" s="11" t="s">
        <v>130</v>
      </c>
      <c r="C8" s="12" t="s">
        <v>14</v>
      </c>
      <c r="D8" s="9"/>
      <c r="E8" s="10" t="s">
        <v>297</v>
      </c>
      <c r="F8" s="11" t="s">
        <v>300</v>
      </c>
      <c r="G8" s="11" t="s">
        <v>298</v>
      </c>
      <c r="H8" s="39">
        <v>9.35</v>
      </c>
      <c r="I8" s="40">
        <v>41507</v>
      </c>
    </row>
    <row r="9" spans="1:12" ht="15" customHeight="1">
      <c r="A9" s="10" t="s">
        <v>155</v>
      </c>
      <c r="B9" s="11" t="s">
        <v>116</v>
      </c>
      <c r="C9" s="12" t="s">
        <v>14</v>
      </c>
      <c r="D9" s="9"/>
      <c r="E9" s="10" t="s">
        <v>124</v>
      </c>
      <c r="F9" s="11" t="s">
        <v>14</v>
      </c>
      <c r="G9" s="11" t="s">
        <v>116</v>
      </c>
      <c r="H9" s="39">
        <v>9.1199999999999992</v>
      </c>
      <c r="I9" s="40">
        <v>41381</v>
      </c>
    </row>
    <row r="10" spans="1:12" ht="15" customHeight="1">
      <c r="A10" s="10" t="s">
        <v>156</v>
      </c>
      <c r="B10" s="11" t="s">
        <v>116</v>
      </c>
      <c r="C10" s="12" t="s">
        <v>14</v>
      </c>
      <c r="D10" s="9"/>
      <c r="E10" s="10" t="s">
        <v>125</v>
      </c>
      <c r="F10" s="11" t="s">
        <v>14</v>
      </c>
      <c r="G10" s="11" t="s">
        <v>116</v>
      </c>
      <c r="H10" s="39">
        <v>8.6199999999999992</v>
      </c>
      <c r="I10" s="40">
        <v>41355</v>
      </c>
    </row>
    <row r="11" spans="1:12" ht="15" customHeight="1">
      <c r="A11" s="10"/>
      <c r="B11" s="11"/>
      <c r="C11" s="12"/>
      <c r="D11" s="9"/>
      <c r="E11" s="10" t="s">
        <v>126</v>
      </c>
      <c r="F11" s="11" t="s">
        <v>127</v>
      </c>
      <c r="G11" s="11" t="s">
        <v>116</v>
      </c>
      <c r="H11" s="39">
        <v>8.59</v>
      </c>
      <c r="I11" s="40">
        <v>41294</v>
      </c>
    </row>
    <row r="12" spans="1:12" ht="15" customHeight="1">
      <c r="A12" s="10"/>
      <c r="B12" s="11"/>
      <c r="C12" s="12"/>
      <c r="D12" s="9"/>
      <c r="E12" s="10" t="s">
        <v>128</v>
      </c>
      <c r="F12" s="11" t="s">
        <v>14</v>
      </c>
      <c r="G12" s="11" t="s">
        <v>116</v>
      </c>
      <c r="H12" s="39">
        <v>7.21</v>
      </c>
      <c r="I12" s="40">
        <v>41372</v>
      </c>
    </row>
    <row r="13" spans="1:12" ht="15" customHeight="1">
      <c r="A13" s="10"/>
      <c r="B13" s="11"/>
      <c r="C13" s="12"/>
      <c r="D13" s="9"/>
      <c r="E13" s="41" t="s">
        <v>296</v>
      </c>
      <c r="F13" s="11" t="s">
        <v>299</v>
      </c>
      <c r="G13" s="11" t="s">
        <v>295</v>
      </c>
      <c r="H13" s="39">
        <v>9.56</v>
      </c>
      <c r="I13" s="40">
        <v>41499</v>
      </c>
    </row>
    <row r="14" spans="1:12" ht="15" customHeight="1">
      <c r="A14" s="10"/>
      <c r="B14" s="11"/>
      <c r="C14" s="12"/>
      <c r="D14" s="9"/>
      <c r="E14" s="10" t="s">
        <v>142</v>
      </c>
      <c r="F14" s="11" t="s">
        <v>14</v>
      </c>
      <c r="G14" s="11" t="s">
        <v>130</v>
      </c>
      <c r="H14" s="39">
        <v>9.32</v>
      </c>
      <c r="I14" s="40">
        <v>41387</v>
      </c>
    </row>
    <row r="15" spans="1:12" ht="15" customHeight="1">
      <c r="A15" s="10"/>
      <c r="B15" s="11"/>
      <c r="C15" s="12"/>
      <c r="D15" s="9"/>
      <c r="E15" s="10" t="s">
        <v>129</v>
      </c>
      <c r="F15" s="11" t="s">
        <v>14</v>
      </c>
      <c r="G15" s="11" t="s">
        <v>130</v>
      </c>
      <c r="H15" s="39">
        <v>9.2100000000000009</v>
      </c>
      <c r="I15" s="40">
        <v>41421</v>
      </c>
    </row>
    <row r="16" spans="1:12" ht="15" customHeight="1">
      <c r="A16" s="10"/>
      <c r="B16" s="11"/>
      <c r="C16" s="12"/>
      <c r="D16" s="9"/>
      <c r="E16" s="10" t="s">
        <v>154</v>
      </c>
      <c r="F16" s="11" t="s">
        <v>14</v>
      </c>
      <c r="G16" s="11" t="s">
        <v>130</v>
      </c>
      <c r="H16" s="39">
        <v>9.2100000000000009</v>
      </c>
      <c r="I16" s="40">
        <v>41446</v>
      </c>
    </row>
    <row r="17" spans="1:11" ht="15" customHeight="1">
      <c r="A17" s="10"/>
      <c r="B17" s="11"/>
      <c r="C17" s="12"/>
      <c r="D17" s="9"/>
      <c r="E17" s="10" t="s">
        <v>146</v>
      </c>
      <c r="F17" s="11" t="s">
        <v>14</v>
      </c>
      <c r="G17" s="11" t="s">
        <v>130</v>
      </c>
      <c r="H17" s="39">
        <v>9.17</v>
      </c>
      <c r="I17" s="40">
        <v>41411</v>
      </c>
    </row>
    <row r="18" spans="1:11" ht="15" customHeight="1">
      <c r="A18" s="10"/>
      <c r="B18" s="11"/>
      <c r="C18" s="12"/>
      <c r="D18" s="9"/>
      <c r="E18" s="10" t="s">
        <v>131</v>
      </c>
      <c r="F18" s="11" t="s">
        <v>14</v>
      </c>
      <c r="G18" s="11" t="s">
        <v>123</v>
      </c>
      <c r="H18" s="39">
        <v>9.6199999999999992</v>
      </c>
      <c r="I18" s="40">
        <v>41294</v>
      </c>
    </row>
    <row r="19" spans="1:11" ht="15" customHeight="1">
      <c r="A19" s="10"/>
      <c r="B19" s="11"/>
      <c r="C19" s="12"/>
      <c r="D19" s="9"/>
      <c r="E19" s="10" t="s">
        <v>132</v>
      </c>
      <c r="F19" s="11" t="s">
        <v>14</v>
      </c>
      <c r="G19" s="11" t="s">
        <v>123</v>
      </c>
      <c r="H19" s="39">
        <v>9.43</v>
      </c>
      <c r="I19" s="40">
        <v>41294</v>
      </c>
    </row>
    <row r="20" spans="1:11" ht="15" customHeight="1">
      <c r="A20" s="10"/>
      <c r="B20" s="11"/>
      <c r="C20" s="12"/>
      <c r="D20" s="9"/>
      <c r="E20" s="10" t="s">
        <v>133</v>
      </c>
      <c r="F20" s="11" t="s">
        <v>14</v>
      </c>
      <c r="G20" s="11" t="s">
        <v>123</v>
      </c>
      <c r="H20" s="39">
        <v>9.36</v>
      </c>
      <c r="I20" s="40">
        <v>41370</v>
      </c>
    </row>
    <row r="21" spans="1:11" ht="15" customHeight="1">
      <c r="A21" s="10"/>
      <c r="B21" s="11"/>
      <c r="C21" s="12"/>
      <c r="D21" s="9"/>
      <c r="E21" s="10" t="s">
        <v>134</v>
      </c>
      <c r="F21" s="11" t="s">
        <v>14</v>
      </c>
      <c r="G21" s="11" t="s">
        <v>123</v>
      </c>
      <c r="H21" s="39">
        <v>9.27</v>
      </c>
      <c r="I21" s="40">
        <v>41360</v>
      </c>
    </row>
    <row r="22" spans="1:11" ht="15" customHeight="1">
      <c r="A22" s="10"/>
      <c r="B22" s="11"/>
      <c r="C22" s="12"/>
      <c r="D22" s="9"/>
      <c r="E22" s="10" t="s">
        <v>135</v>
      </c>
      <c r="F22" s="11" t="s">
        <v>14</v>
      </c>
      <c r="G22" s="11" t="s">
        <v>123</v>
      </c>
      <c r="H22" s="39">
        <v>9.23</v>
      </c>
      <c r="I22" s="40">
        <v>41300</v>
      </c>
      <c r="K22" s="5"/>
    </row>
    <row r="23" spans="1:11" ht="15" customHeight="1">
      <c r="A23" s="10"/>
      <c r="B23" s="11"/>
      <c r="C23" s="12"/>
      <c r="D23" s="9"/>
      <c r="E23" s="10" t="s">
        <v>136</v>
      </c>
      <c r="F23" s="11" t="s">
        <v>14</v>
      </c>
      <c r="G23" s="11" t="s">
        <v>123</v>
      </c>
      <c r="H23" s="39">
        <v>9.0500000000000007</v>
      </c>
      <c r="I23" s="40">
        <v>41281</v>
      </c>
    </row>
    <row r="24" spans="1:11" ht="15" customHeight="1">
      <c r="A24" s="10"/>
      <c r="B24" s="11"/>
      <c r="C24" s="12"/>
      <c r="D24" s="9"/>
      <c r="E24" s="10" t="s">
        <v>137</v>
      </c>
      <c r="F24" s="11" t="s">
        <v>14</v>
      </c>
      <c r="G24" s="11" t="s">
        <v>123</v>
      </c>
      <c r="H24" s="39">
        <v>8.9700000000000006</v>
      </c>
      <c r="I24" s="40">
        <v>41302</v>
      </c>
    </row>
    <row r="25" spans="1:11" ht="15" customHeight="1">
      <c r="A25" s="10"/>
      <c r="B25" s="11"/>
      <c r="C25" s="12"/>
      <c r="D25" s="9"/>
      <c r="E25" s="10" t="s">
        <v>138</v>
      </c>
      <c r="F25" s="11" t="s">
        <v>14</v>
      </c>
      <c r="G25" s="11" t="s">
        <v>123</v>
      </c>
      <c r="H25" s="39">
        <v>8.9700000000000006</v>
      </c>
      <c r="I25" s="40">
        <v>41355</v>
      </c>
    </row>
    <row r="26" spans="1:11" ht="15" customHeight="1">
      <c r="A26" s="10"/>
      <c r="B26" s="11"/>
      <c r="C26" s="12"/>
      <c r="D26" s="9"/>
      <c r="E26" s="10" t="s">
        <v>139</v>
      </c>
      <c r="F26" s="11" t="s">
        <v>14</v>
      </c>
      <c r="G26" s="11" t="s">
        <v>123</v>
      </c>
      <c r="H26" s="39">
        <v>8.58</v>
      </c>
      <c r="I26" s="40">
        <v>41336</v>
      </c>
    </row>
    <row r="27" spans="1:11" ht="15" customHeight="1">
      <c r="A27" s="10"/>
      <c r="B27" s="11"/>
      <c r="C27" s="12"/>
      <c r="D27" s="9"/>
      <c r="E27" s="10" t="s">
        <v>157</v>
      </c>
      <c r="F27" s="11" t="s">
        <v>14</v>
      </c>
      <c r="G27" s="11" t="s">
        <v>123</v>
      </c>
      <c r="H27" s="39">
        <v>8.31</v>
      </c>
      <c r="I27" s="40">
        <v>41440</v>
      </c>
    </row>
    <row r="28" spans="1:11" ht="15" customHeight="1">
      <c r="A28" s="10"/>
      <c r="B28" s="11"/>
      <c r="C28" s="12"/>
      <c r="D28" s="9"/>
      <c r="E28" s="10" t="s">
        <v>173</v>
      </c>
      <c r="F28" s="11" t="s">
        <v>14</v>
      </c>
      <c r="G28" s="11" t="s">
        <v>123</v>
      </c>
      <c r="H28" s="39">
        <v>8.31</v>
      </c>
      <c r="I28" s="40">
        <v>41451</v>
      </c>
    </row>
    <row r="29" spans="1:11" ht="15" customHeight="1">
      <c r="A29" s="10"/>
      <c r="B29" s="11"/>
      <c r="C29" s="12"/>
      <c r="D29" s="9"/>
      <c r="E29" s="10" t="s">
        <v>222</v>
      </c>
      <c r="F29" s="11" t="s">
        <v>14</v>
      </c>
      <c r="G29" s="11" t="s">
        <v>123</v>
      </c>
      <c r="H29" s="39">
        <v>8.2799999999999994</v>
      </c>
      <c r="I29" s="40">
        <v>41462</v>
      </c>
    </row>
    <row r="30" spans="1:11" ht="15" customHeight="1">
      <c r="A30" s="10"/>
      <c r="B30" s="11"/>
      <c r="C30" s="12"/>
      <c r="D30" s="9"/>
      <c r="E30" s="10" t="s">
        <v>140</v>
      </c>
      <c r="F30" s="11" t="s">
        <v>14</v>
      </c>
      <c r="G30" s="11" t="s">
        <v>123</v>
      </c>
      <c r="H30" s="39">
        <v>8.1199999999999992</v>
      </c>
      <c r="I30" s="40">
        <v>41412</v>
      </c>
    </row>
    <row r="31" spans="1:11" ht="15" customHeight="1">
      <c r="A31" s="10"/>
      <c r="B31" s="11"/>
      <c r="C31" s="12"/>
      <c r="D31" s="9"/>
      <c r="E31" s="10" t="s">
        <v>221</v>
      </c>
      <c r="F31" s="11" t="s">
        <v>14</v>
      </c>
      <c r="G31" s="11" t="s">
        <v>123</v>
      </c>
      <c r="H31" s="39">
        <v>7.89</v>
      </c>
      <c r="I31" s="40">
        <v>41462</v>
      </c>
    </row>
    <row r="32" spans="1:11" ht="15" customHeight="1">
      <c r="A32" s="10"/>
      <c r="B32" s="11"/>
      <c r="C32" s="12"/>
      <c r="D32" s="9"/>
      <c r="E32" s="10" t="s">
        <v>141</v>
      </c>
      <c r="F32" s="11" t="s">
        <v>14</v>
      </c>
      <c r="G32" s="11" t="s">
        <v>123</v>
      </c>
      <c r="H32" s="39">
        <v>7.62</v>
      </c>
      <c r="I32" s="40">
        <v>41400</v>
      </c>
    </row>
    <row r="33" spans="1:9" ht="15" customHeight="1">
      <c r="A33" s="10"/>
      <c r="B33" s="11"/>
      <c r="C33" s="12"/>
      <c r="D33" s="9"/>
      <c r="E33" s="10" t="s">
        <v>322</v>
      </c>
      <c r="F33" s="11" t="s">
        <v>14</v>
      </c>
      <c r="G33" s="11" t="s">
        <v>116</v>
      </c>
      <c r="H33" s="39">
        <v>9.2100000000000009</v>
      </c>
      <c r="I33" s="40">
        <v>41543</v>
      </c>
    </row>
    <row r="34" spans="1:9" ht="15" customHeight="1">
      <c r="A34" s="10"/>
      <c r="B34" s="11"/>
      <c r="C34" s="12"/>
      <c r="D34" s="9"/>
      <c r="E34" s="10" t="s">
        <v>349</v>
      </c>
      <c r="F34" s="11" t="s">
        <v>14</v>
      </c>
      <c r="G34" s="11" t="s">
        <v>123</v>
      </c>
      <c r="H34" s="39">
        <v>9.24</v>
      </c>
      <c r="I34" s="40" t="s">
        <v>350</v>
      </c>
    </row>
    <row r="35" spans="1:9" ht="15" customHeight="1">
      <c r="A35" s="10"/>
      <c r="B35" s="11"/>
      <c r="C35" s="12"/>
      <c r="D35" s="9"/>
      <c r="E35" s="10" t="s">
        <v>351</v>
      </c>
      <c r="F35" s="11" t="s">
        <v>14</v>
      </c>
      <c r="G35" s="11" t="s">
        <v>123</v>
      </c>
      <c r="H35" s="39">
        <v>7.15</v>
      </c>
      <c r="I35" s="40" t="s">
        <v>350</v>
      </c>
    </row>
    <row r="36" spans="1:9" ht="15" customHeight="1">
      <c r="A36" s="10"/>
      <c r="B36" s="11"/>
      <c r="C36" s="12"/>
      <c r="D36" s="9"/>
      <c r="E36" s="10"/>
      <c r="F36" s="11"/>
      <c r="G36" s="11"/>
      <c r="H36" s="39"/>
      <c r="I36" s="40"/>
    </row>
    <row r="37" spans="1:9" ht="15" customHeight="1">
      <c r="A37" s="10"/>
      <c r="B37" s="11"/>
      <c r="C37" s="12"/>
      <c r="D37" s="9"/>
      <c r="E37" s="10"/>
      <c r="F37" s="11"/>
      <c r="G37" s="11"/>
      <c r="H37" s="39"/>
      <c r="I37" s="40"/>
    </row>
    <row r="38" spans="1:9" ht="15" customHeight="1">
      <c r="A38" s="10"/>
      <c r="B38" s="11"/>
      <c r="C38" s="12"/>
      <c r="D38" s="9"/>
      <c r="E38" s="10"/>
      <c r="F38" s="11"/>
      <c r="G38" s="11"/>
      <c r="H38" s="39"/>
      <c r="I38" s="40"/>
    </row>
    <row r="39" spans="1:9" ht="15" customHeight="1">
      <c r="A39" s="10"/>
      <c r="B39" s="11"/>
      <c r="C39" s="12"/>
      <c r="D39" s="9"/>
      <c r="E39" s="10"/>
      <c r="F39" s="11"/>
      <c r="G39" s="11"/>
      <c r="H39" s="39"/>
      <c r="I39" s="40"/>
    </row>
    <row r="40" spans="1:9" ht="15" customHeight="1">
      <c r="A40" s="10"/>
      <c r="B40" s="11"/>
      <c r="C40" s="12"/>
      <c r="D40" s="9"/>
      <c r="E40" s="10"/>
      <c r="F40" s="11"/>
      <c r="G40" s="11"/>
      <c r="H40" s="39"/>
      <c r="I40" s="40"/>
    </row>
    <row r="41" spans="1:9" ht="15" customHeight="1">
      <c r="A41" s="10"/>
      <c r="B41" s="11"/>
      <c r="C41" s="12"/>
      <c r="D41" s="9"/>
      <c r="E41" s="10"/>
      <c r="F41" s="11"/>
      <c r="G41" s="11"/>
      <c r="H41" s="39"/>
      <c r="I41" s="40"/>
    </row>
    <row r="42" spans="1:9" ht="15" customHeight="1">
      <c r="A42" s="10"/>
      <c r="B42" s="11"/>
      <c r="C42" s="12"/>
      <c r="D42" s="9"/>
      <c r="E42" s="10"/>
      <c r="F42" s="11"/>
      <c r="G42" s="11"/>
      <c r="H42" s="39"/>
      <c r="I42" s="40"/>
    </row>
    <row r="43" spans="1:9" ht="15" customHeight="1">
      <c r="A43" s="10"/>
      <c r="B43" s="11"/>
      <c r="C43" s="12"/>
      <c r="D43" s="9"/>
      <c r="E43" s="10"/>
      <c r="F43" s="11"/>
      <c r="G43" s="11"/>
      <c r="H43" s="39"/>
      <c r="I43" s="40"/>
    </row>
    <row r="44" spans="1:9" ht="15" customHeight="1">
      <c r="A44" s="10"/>
      <c r="B44" s="11"/>
      <c r="C44" s="12"/>
      <c r="D44" s="9"/>
      <c r="E44" s="10"/>
      <c r="F44" s="11"/>
      <c r="G44" s="11"/>
      <c r="H44" s="39"/>
      <c r="I44" s="40"/>
    </row>
    <row r="45" spans="1:9" ht="15" customHeight="1">
      <c r="A45" s="10"/>
      <c r="B45" s="11"/>
      <c r="C45" s="12"/>
      <c r="D45" s="9"/>
      <c r="E45" s="10"/>
      <c r="F45" s="11"/>
      <c r="G45" s="11"/>
      <c r="H45" s="39"/>
      <c r="I45" s="40"/>
    </row>
    <row r="46" spans="1:9" ht="15" customHeight="1">
      <c r="A46" s="10"/>
      <c r="B46" s="11"/>
      <c r="C46" s="12"/>
      <c r="D46" s="9"/>
      <c r="E46" s="10"/>
      <c r="F46" s="11"/>
      <c r="G46" s="11"/>
      <c r="H46" s="39"/>
      <c r="I46" s="40"/>
    </row>
    <row r="47" spans="1:9" ht="15" customHeight="1">
      <c r="A47" s="10"/>
      <c r="B47" s="11"/>
      <c r="C47" s="12"/>
      <c r="D47" s="9"/>
      <c r="E47" s="10"/>
      <c r="F47" s="11"/>
      <c r="G47" s="11"/>
      <c r="H47" s="39"/>
      <c r="I47" s="40"/>
    </row>
    <row r="48" spans="1:9" ht="15" customHeight="1">
      <c r="A48" s="10"/>
      <c r="B48" s="11"/>
      <c r="C48" s="12"/>
      <c r="D48" s="9"/>
      <c r="E48" s="10"/>
      <c r="F48" s="11"/>
      <c r="G48" s="11"/>
      <c r="H48" s="39"/>
      <c r="I48" s="40"/>
    </row>
    <row r="49" spans="1:9" ht="15" customHeight="1">
      <c r="A49" s="10"/>
      <c r="B49" s="11"/>
      <c r="C49" s="12"/>
      <c r="D49" s="9"/>
      <c r="E49" s="10"/>
      <c r="F49" s="11"/>
      <c r="G49" s="11"/>
      <c r="H49" s="39"/>
      <c r="I49" s="40"/>
    </row>
    <row r="50" spans="1:9" ht="15" customHeight="1">
      <c r="A50" s="10"/>
      <c r="B50" s="11"/>
      <c r="C50" s="12"/>
      <c r="D50" s="9"/>
      <c r="E50" s="10"/>
      <c r="F50" s="11"/>
      <c r="G50" s="11"/>
      <c r="H50" s="39"/>
      <c r="I50" s="40"/>
    </row>
    <row r="51" spans="1:9" ht="15" customHeight="1">
      <c r="A51" s="10"/>
      <c r="B51" s="11"/>
      <c r="C51" s="12"/>
      <c r="D51" s="9"/>
      <c r="E51" s="10"/>
      <c r="F51" s="11"/>
      <c r="G51" s="11"/>
      <c r="H51" s="39"/>
      <c r="I51" s="40"/>
    </row>
    <row r="52" spans="1:9" ht="15" customHeight="1">
      <c r="A52" s="10"/>
      <c r="B52" s="11"/>
      <c r="C52" s="12"/>
      <c r="D52" s="9"/>
      <c r="E52" s="10"/>
      <c r="F52" s="11"/>
      <c r="G52" s="11"/>
      <c r="H52" s="39"/>
      <c r="I52" s="40"/>
    </row>
    <row r="53" spans="1:9" ht="15" customHeight="1">
      <c r="A53" s="10"/>
      <c r="B53" s="11"/>
      <c r="C53" s="12"/>
      <c r="D53" s="9"/>
      <c r="E53" s="10"/>
      <c r="F53" s="11"/>
      <c r="G53" s="11"/>
      <c r="H53" s="39"/>
      <c r="I53" s="40"/>
    </row>
    <row r="54" spans="1:9" ht="15" customHeight="1">
      <c r="A54" s="10"/>
      <c r="B54" s="11"/>
      <c r="C54" s="12"/>
      <c r="D54" s="9"/>
      <c r="E54" s="10"/>
      <c r="F54" s="11"/>
      <c r="G54" s="11"/>
      <c r="H54" s="39"/>
      <c r="I54" s="40"/>
    </row>
    <row r="55" spans="1:9" ht="15" customHeight="1">
      <c r="A55" s="10"/>
      <c r="B55" s="11"/>
      <c r="C55" s="12"/>
      <c r="D55" s="9"/>
      <c r="E55" s="10"/>
      <c r="F55" s="11"/>
      <c r="G55" s="11"/>
      <c r="H55" s="39"/>
      <c r="I55" s="40"/>
    </row>
    <row r="56" spans="1:9" ht="15" customHeight="1">
      <c r="A56" s="10"/>
      <c r="B56" s="11"/>
      <c r="C56" s="12"/>
      <c r="D56" s="9"/>
      <c r="E56" s="10"/>
      <c r="F56" s="11"/>
      <c r="G56" s="11"/>
      <c r="H56" s="39"/>
      <c r="I56" s="40"/>
    </row>
    <row r="57" spans="1:9" ht="15" customHeight="1">
      <c r="A57" s="10"/>
      <c r="B57" s="11"/>
      <c r="C57" s="12"/>
      <c r="D57" s="9"/>
      <c r="E57" s="10"/>
      <c r="F57" s="11"/>
      <c r="G57" s="11"/>
      <c r="H57" s="39"/>
      <c r="I57" s="40"/>
    </row>
    <row r="58" spans="1:9" ht="15" customHeight="1">
      <c r="A58" s="10"/>
      <c r="B58" s="11"/>
      <c r="C58" s="12"/>
      <c r="D58" s="9"/>
      <c r="E58" s="10"/>
      <c r="F58" s="11"/>
      <c r="G58" s="11"/>
      <c r="H58" s="39"/>
      <c r="I58" s="40"/>
    </row>
    <row r="59" spans="1:9" ht="15" customHeight="1">
      <c r="A59" s="10"/>
      <c r="B59" s="11"/>
      <c r="C59" s="12"/>
      <c r="D59" s="9"/>
      <c r="E59" s="10"/>
      <c r="F59" s="11"/>
      <c r="G59" s="11"/>
      <c r="H59" s="39"/>
      <c r="I59" s="40"/>
    </row>
    <row r="60" spans="1:9" ht="15" customHeight="1">
      <c r="A60" s="10"/>
      <c r="B60" s="11"/>
      <c r="C60" s="12"/>
      <c r="D60" s="9"/>
      <c r="E60" s="10"/>
      <c r="F60" s="11"/>
      <c r="G60" s="11"/>
      <c r="H60" s="39"/>
      <c r="I60" s="40"/>
    </row>
    <row r="61" spans="1:9" ht="15" customHeight="1">
      <c r="A61" s="10"/>
      <c r="B61" s="11"/>
      <c r="C61" s="12"/>
      <c r="D61" s="9"/>
      <c r="E61" s="10"/>
      <c r="F61" s="11"/>
      <c r="G61" s="11"/>
      <c r="H61" s="39"/>
      <c r="I61" s="40"/>
    </row>
    <row r="62" spans="1:9" ht="15" customHeight="1">
      <c r="A62" s="10"/>
      <c r="B62" s="11"/>
      <c r="C62" s="12"/>
      <c r="D62" s="9"/>
      <c r="E62" s="10"/>
      <c r="F62" s="11"/>
      <c r="G62" s="11"/>
      <c r="H62" s="39"/>
      <c r="I62" s="40"/>
    </row>
    <row r="63" spans="1:9" ht="15" customHeight="1">
      <c r="A63" s="10"/>
      <c r="B63" s="11"/>
      <c r="C63" s="12"/>
      <c r="D63" s="9"/>
      <c r="E63" s="10"/>
      <c r="F63" s="11"/>
      <c r="G63" s="11"/>
      <c r="H63" s="39"/>
      <c r="I63" s="40"/>
    </row>
    <row r="64" spans="1:9" ht="15" customHeight="1">
      <c r="A64" s="10"/>
      <c r="B64" s="11"/>
      <c r="C64" s="12"/>
      <c r="D64" s="9"/>
      <c r="E64" s="10"/>
      <c r="F64" s="11"/>
      <c r="G64" s="11"/>
      <c r="H64" s="39"/>
      <c r="I64" s="40"/>
    </row>
    <row r="65" spans="1:9" ht="15" customHeight="1">
      <c r="A65" s="10"/>
      <c r="B65" s="11"/>
      <c r="C65" s="12"/>
      <c r="D65" s="9"/>
      <c r="E65" s="10"/>
      <c r="F65" s="11"/>
      <c r="G65" s="11"/>
      <c r="H65" s="39"/>
      <c r="I65" s="40"/>
    </row>
    <row r="66" spans="1:9" ht="15" customHeight="1">
      <c r="A66" s="10"/>
      <c r="B66" s="11"/>
      <c r="C66" s="12"/>
      <c r="D66" s="9"/>
      <c r="E66" s="10"/>
      <c r="F66" s="11"/>
      <c r="G66" s="11"/>
      <c r="H66" s="39"/>
      <c r="I66" s="40"/>
    </row>
    <row r="67" spans="1:9" ht="15" customHeight="1">
      <c r="A67" s="10"/>
      <c r="B67" s="11"/>
      <c r="C67" s="12"/>
      <c r="D67" s="9"/>
      <c r="E67" s="10"/>
      <c r="F67" s="11"/>
      <c r="G67" s="11"/>
      <c r="H67" s="39"/>
      <c r="I67" s="40"/>
    </row>
    <row r="68" spans="1:9" ht="15" customHeight="1">
      <c r="A68" s="10"/>
      <c r="B68" s="11"/>
      <c r="C68" s="12"/>
      <c r="D68" s="9"/>
      <c r="E68" s="10"/>
      <c r="F68" s="11"/>
      <c r="G68" s="11"/>
      <c r="H68" s="39"/>
      <c r="I68" s="40"/>
    </row>
    <row r="69" spans="1:9" ht="15" customHeight="1">
      <c r="A69" s="10"/>
      <c r="B69" s="11"/>
      <c r="C69" s="12"/>
      <c r="D69" s="9"/>
      <c r="E69" s="10"/>
      <c r="F69" s="11"/>
      <c r="G69" s="11"/>
      <c r="H69" s="39"/>
      <c r="I69" s="40"/>
    </row>
    <row r="70" spans="1:9" ht="15" customHeight="1">
      <c r="A70" s="10"/>
      <c r="B70" s="11"/>
      <c r="C70" s="12"/>
      <c r="D70" s="9"/>
      <c r="E70" s="10"/>
      <c r="F70" s="11"/>
      <c r="G70" s="11"/>
      <c r="H70" s="39"/>
      <c r="I70" s="40"/>
    </row>
    <row r="71" spans="1:9" ht="15" customHeight="1">
      <c r="A71" s="10"/>
      <c r="B71" s="11"/>
      <c r="C71" s="12"/>
      <c r="D71" s="9"/>
      <c r="E71" s="10"/>
      <c r="F71" s="11"/>
      <c r="G71" s="11"/>
      <c r="H71" s="39"/>
      <c r="I71" s="40"/>
    </row>
    <row r="72" spans="1:9" ht="15" customHeight="1">
      <c r="A72" s="10"/>
      <c r="B72" s="11"/>
      <c r="C72" s="12"/>
      <c r="D72" s="9"/>
      <c r="E72" s="10"/>
      <c r="F72" s="11"/>
      <c r="G72" s="11"/>
      <c r="H72" s="39"/>
      <c r="I72" s="40"/>
    </row>
    <row r="73" spans="1:9" ht="15" customHeight="1">
      <c r="A73" s="10"/>
      <c r="B73" s="11"/>
      <c r="C73" s="12"/>
      <c r="D73" s="9"/>
      <c r="E73" s="10"/>
      <c r="F73" s="11"/>
      <c r="G73" s="11"/>
      <c r="H73" s="39"/>
      <c r="I73" s="40"/>
    </row>
    <row r="74" spans="1:9" ht="15" customHeight="1">
      <c r="A74" s="10"/>
      <c r="B74" s="11"/>
      <c r="C74" s="12"/>
      <c r="D74" s="9"/>
      <c r="E74" s="10"/>
      <c r="F74" s="11"/>
      <c r="G74" s="11"/>
      <c r="H74" s="39"/>
      <c r="I74" s="40"/>
    </row>
    <row r="75" spans="1:9" ht="15" customHeight="1">
      <c r="A75" s="10"/>
      <c r="B75" s="11"/>
      <c r="C75" s="12"/>
      <c r="D75" s="9"/>
      <c r="E75" s="10"/>
      <c r="F75" s="11"/>
      <c r="G75" s="11"/>
      <c r="H75" s="39"/>
      <c r="I75" s="40"/>
    </row>
    <row r="76" spans="1:9" ht="15" customHeight="1">
      <c r="A76" s="10"/>
      <c r="B76" s="11"/>
      <c r="C76" s="12"/>
      <c r="D76" s="9"/>
      <c r="E76" s="10"/>
      <c r="F76" s="11"/>
      <c r="G76" s="11"/>
      <c r="H76" s="39"/>
      <c r="I76" s="40"/>
    </row>
    <row r="77" spans="1:9" ht="15" customHeight="1">
      <c r="A77" s="10"/>
      <c r="B77" s="11"/>
      <c r="C77" s="12"/>
      <c r="D77" s="9"/>
      <c r="E77" s="10"/>
      <c r="F77" s="11"/>
      <c r="G77" s="11"/>
      <c r="H77" s="39"/>
      <c r="I77" s="40"/>
    </row>
    <row r="78" spans="1:9" ht="15" customHeight="1">
      <c r="A78" s="10"/>
      <c r="B78" s="11"/>
      <c r="C78" s="12"/>
      <c r="D78" s="9"/>
      <c r="E78" s="10"/>
      <c r="F78" s="11"/>
      <c r="G78" s="11"/>
      <c r="H78" s="39"/>
      <c r="I78" s="40"/>
    </row>
    <row r="79" spans="1:9" ht="15" customHeight="1">
      <c r="A79" s="10"/>
      <c r="B79" s="11"/>
      <c r="C79" s="12"/>
      <c r="D79" s="9"/>
      <c r="E79" s="10"/>
      <c r="F79" s="11"/>
      <c r="G79" s="11"/>
      <c r="H79" s="39"/>
      <c r="I79" s="40"/>
    </row>
    <row r="80" spans="1:9" ht="15" customHeight="1">
      <c r="A80" s="10"/>
      <c r="B80" s="11"/>
      <c r="C80" s="12"/>
      <c r="D80" s="9"/>
      <c r="E80" s="10"/>
      <c r="F80" s="11"/>
      <c r="G80" s="11"/>
      <c r="H80" s="39"/>
      <c r="I80" s="40"/>
    </row>
    <row r="81" spans="1:9" ht="15" customHeight="1">
      <c r="A81" s="10"/>
      <c r="B81" s="11"/>
      <c r="C81" s="12"/>
      <c r="D81" s="9"/>
      <c r="E81" s="10"/>
      <c r="F81" s="11"/>
      <c r="G81" s="11"/>
      <c r="H81" s="39"/>
      <c r="I81" s="40"/>
    </row>
    <row r="82" spans="1:9" ht="15" customHeight="1">
      <c r="A82" s="10"/>
      <c r="B82" s="11"/>
      <c r="C82" s="12"/>
      <c r="D82" s="9"/>
      <c r="E82" s="10"/>
      <c r="F82" s="11"/>
      <c r="G82" s="11"/>
      <c r="H82" s="39"/>
      <c r="I82" s="40"/>
    </row>
    <row r="83" spans="1:9" ht="15" customHeight="1">
      <c r="A83" s="10"/>
      <c r="B83" s="11"/>
      <c r="C83" s="12"/>
      <c r="D83" s="9"/>
      <c r="E83" s="10"/>
      <c r="F83" s="11"/>
      <c r="G83" s="11"/>
      <c r="H83" s="39"/>
      <c r="I83" s="40"/>
    </row>
    <row r="84" spans="1:9" ht="15" customHeight="1">
      <c r="A84" s="10"/>
      <c r="B84" s="11"/>
      <c r="C84" s="12"/>
      <c r="D84" s="9"/>
      <c r="E84" s="10"/>
      <c r="F84" s="11"/>
      <c r="G84" s="11"/>
      <c r="H84" s="39"/>
      <c r="I84" s="40"/>
    </row>
    <row r="85" spans="1:9" ht="15" customHeight="1">
      <c r="A85" s="10"/>
      <c r="B85" s="11"/>
      <c r="C85" s="12"/>
      <c r="D85" s="9"/>
      <c r="E85" s="10"/>
      <c r="F85" s="11"/>
      <c r="G85" s="11"/>
      <c r="H85" s="39"/>
      <c r="I85" s="40"/>
    </row>
    <row r="86" spans="1:9" ht="15" customHeight="1">
      <c r="A86" s="10"/>
      <c r="B86" s="11"/>
      <c r="C86" s="12"/>
      <c r="D86" s="9"/>
      <c r="E86" s="10"/>
      <c r="F86" s="11"/>
      <c r="G86" s="11"/>
      <c r="H86" s="39"/>
      <c r="I86" s="40"/>
    </row>
    <row r="87" spans="1:9" ht="15" customHeight="1">
      <c r="A87" s="10"/>
      <c r="B87" s="11"/>
      <c r="C87" s="12"/>
      <c r="D87" s="9"/>
      <c r="E87" s="10"/>
      <c r="F87" s="11"/>
      <c r="G87" s="11"/>
      <c r="H87" s="39"/>
      <c r="I87" s="40"/>
    </row>
    <row r="88" spans="1:9" ht="15" customHeight="1">
      <c r="A88" s="10"/>
      <c r="B88" s="11"/>
      <c r="C88" s="12"/>
      <c r="D88" s="9"/>
      <c r="E88" s="10"/>
      <c r="F88" s="11"/>
      <c r="G88" s="11"/>
      <c r="H88" s="39"/>
      <c r="I88" s="40"/>
    </row>
    <row r="89" spans="1:9" ht="15" customHeight="1">
      <c r="A89" s="10"/>
      <c r="B89" s="11"/>
      <c r="C89" s="12"/>
      <c r="D89" s="9"/>
      <c r="E89" s="10"/>
      <c r="F89" s="11"/>
      <c r="G89" s="11"/>
      <c r="H89" s="39"/>
      <c r="I89" s="40"/>
    </row>
    <row r="90" spans="1:9" ht="15" customHeight="1">
      <c r="A90" s="10"/>
      <c r="B90" s="11"/>
      <c r="C90" s="12"/>
      <c r="D90" s="9"/>
      <c r="E90" s="10"/>
      <c r="F90" s="11"/>
      <c r="G90" s="11"/>
      <c r="H90" s="39"/>
      <c r="I90" s="40"/>
    </row>
    <row r="91" spans="1:9" ht="15" customHeight="1">
      <c r="A91" s="10"/>
      <c r="B91" s="11"/>
      <c r="C91" s="12"/>
      <c r="D91" s="9"/>
      <c r="E91" s="10"/>
      <c r="F91" s="11"/>
      <c r="G91" s="11"/>
      <c r="H91" s="39"/>
      <c r="I91" s="40"/>
    </row>
    <row r="92" spans="1:9" ht="15" customHeight="1">
      <c r="A92" s="10"/>
      <c r="B92" s="11"/>
      <c r="C92" s="12"/>
      <c r="D92" s="9"/>
      <c r="E92" s="10"/>
      <c r="F92" s="11"/>
      <c r="G92" s="11"/>
      <c r="H92" s="39"/>
      <c r="I92" s="40"/>
    </row>
    <row r="93" spans="1:9" ht="15" customHeight="1">
      <c r="A93" s="10"/>
      <c r="B93" s="11"/>
      <c r="C93" s="12"/>
      <c r="D93" s="9"/>
      <c r="E93" s="10"/>
      <c r="F93" s="11"/>
      <c r="G93" s="11"/>
      <c r="H93" s="39"/>
      <c r="I93" s="40"/>
    </row>
    <row r="94" spans="1:9" ht="15" customHeight="1">
      <c r="A94" s="10"/>
      <c r="B94" s="11"/>
      <c r="C94" s="12"/>
      <c r="D94" s="9"/>
      <c r="E94" s="10"/>
      <c r="F94" s="11"/>
      <c r="G94" s="11"/>
      <c r="H94" s="39"/>
      <c r="I94" s="40"/>
    </row>
    <row r="95" spans="1:9" ht="15" customHeight="1">
      <c r="A95" s="10"/>
      <c r="B95" s="11"/>
      <c r="C95" s="12"/>
      <c r="D95" s="9"/>
      <c r="E95" s="10"/>
      <c r="F95" s="11"/>
      <c r="G95" s="11"/>
      <c r="H95" s="39"/>
      <c r="I95" s="40"/>
    </row>
    <row r="96" spans="1:9" ht="15" customHeight="1">
      <c r="A96" s="10"/>
      <c r="B96" s="11"/>
      <c r="C96" s="12"/>
      <c r="D96" s="9"/>
      <c r="E96" s="10"/>
      <c r="F96" s="11"/>
      <c r="G96" s="11"/>
      <c r="H96" s="39"/>
      <c r="I96" s="40"/>
    </row>
    <row r="97" spans="1:9" ht="15" customHeight="1">
      <c r="A97" s="10"/>
      <c r="B97" s="11"/>
      <c r="C97" s="12"/>
      <c r="D97" s="9"/>
      <c r="E97" s="10"/>
      <c r="F97" s="11"/>
      <c r="G97" s="11"/>
      <c r="H97" s="39"/>
      <c r="I97" s="40"/>
    </row>
    <row r="98" spans="1:9" ht="15" customHeight="1">
      <c r="A98" s="10"/>
      <c r="B98" s="11"/>
      <c r="C98" s="12"/>
      <c r="D98" s="9"/>
      <c r="E98" s="10"/>
      <c r="F98" s="11"/>
      <c r="G98" s="11"/>
      <c r="H98" s="39"/>
      <c r="I98" s="40"/>
    </row>
    <row r="99" spans="1:9" ht="15" customHeight="1">
      <c r="A99" s="10"/>
      <c r="B99" s="11"/>
      <c r="C99" s="12"/>
      <c r="D99" s="9"/>
      <c r="E99" s="10"/>
      <c r="F99" s="11"/>
      <c r="G99" s="11"/>
      <c r="H99" s="39"/>
      <c r="I99" s="40"/>
    </row>
    <row r="100" spans="1:9" ht="15" customHeight="1">
      <c r="A100" s="10"/>
      <c r="B100" s="11"/>
      <c r="C100" s="12"/>
      <c r="D100" s="9"/>
      <c r="E100" s="10"/>
      <c r="F100" s="11"/>
      <c r="G100" s="11"/>
      <c r="H100" s="39"/>
      <c r="I100" s="40"/>
    </row>
    <row r="101" spans="1:9" ht="15" customHeight="1">
      <c r="A101" s="10"/>
      <c r="B101" s="11"/>
      <c r="C101" s="12"/>
      <c r="D101" s="9"/>
      <c r="E101" s="10"/>
      <c r="F101" s="11"/>
      <c r="G101" s="11"/>
      <c r="H101" s="39"/>
      <c r="I101" s="40"/>
    </row>
    <row r="102" spans="1:9" ht="15" customHeight="1">
      <c r="A102" s="10"/>
      <c r="B102" s="11"/>
      <c r="C102" s="12"/>
      <c r="D102" s="9"/>
      <c r="E102" s="10"/>
      <c r="F102" s="11"/>
      <c r="G102" s="11"/>
      <c r="H102" s="39"/>
      <c r="I102" s="40"/>
    </row>
    <row r="103" spans="1:9" ht="15" customHeight="1">
      <c r="A103" s="10"/>
      <c r="B103" s="11"/>
      <c r="C103" s="12"/>
      <c r="D103" s="9"/>
      <c r="E103" s="10"/>
      <c r="F103" s="11"/>
      <c r="G103" s="11"/>
      <c r="H103" s="39"/>
      <c r="I103" s="40"/>
    </row>
    <row r="104" spans="1:9" ht="15" customHeight="1">
      <c r="A104" s="10"/>
      <c r="B104" s="11"/>
      <c r="C104" s="12"/>
      <c r="D104" s="9"/>
      <c r="E104" s="10"/>
      <c r="F104" s="11"/>
      <c r="G104" s="11"/>
      <c r="H104" s="39"/>
      <c r="I104" s="40"/>
    </row>
    <row r="105" spans="1:9" ht="15" customHeight="1">
      <c r="A105" s="10"/>
      <c r="B105" s="11"/>
      <c r="C105" s="12"/>
      <c r="D105" s="9"/>
      <c r="E105" s="10"/>
      <c r="F105" s="11"/>
      <c r="G105" s="11"/>
      <c r="H105" s="39"/>
      <c r="I105" s="40"/>
    </row>
    <row r="106" spans="1:9" ht="15" customHeight="1">
      <c r="A106" s="10"/>
      <c r="B106" s="11"/>
      <c r="C106" s="12"/>
      <c r="D106" s="9"/>
      <c r="E106" s="10"/>
      <c r="F106" s="11"/>
      <c r="G106" s="11"/>
      <c r="H106" s="39"/>
      <c r="I106" s="40"/>
    </row>
    <row r="107" spans="1:9" ht="15" customHeight="1">
      <c r="A107" s="10"/>
      <c r="B107" s="11"/>
      <c r="C107" s="12"/>
      <c r="D107" s="9"/>
      <c r="E107" s="10"/>
      <c r="F107" s="11"/>
      <c r="G107" s="11"/>
      <c r="H107" s="39"/>
      <c r="I107" s="40"/>
    </row>
    <row r="108" spans="1:9" ht="15" customHeight="1">
      <c r="A108" s="10"/>
      <c r="B108" s="11"/>
      <c r="C108" s="12"/>
      <c r="D108" s="9"/>
      <c r="E108" s="10"/>
      <c r="F108" s="11"/>
      <c r="G108" s="11"/>
      <c r="H108" s="39"/>
      <c r="I108" s="40"/>
    </row>
    <row r="109" spans="1:9" ht="15" customHeight="1">
      <c r="A109" s="10"/>
      <c r="B109" s="11"/>
      <c r="C109" s="12"/>
      <c r="D109" s="9"/>
      <c r="E109" s="10"/>
      <c r="F109" s="11"/>
      <c r="G109" s="11"/>
      <c r="H109" s="39"/>
      <c r="I109" s="40"/>
    </row>
    <row r="110" spans="1:9" ht="15" customHeight="1">
      <c r="A110" s="10"/>
      <c r="B110" s="11"/>
      <c r="C110" s="12"/>
      <c r="D110" s="9"/>
      <c r="E110" s="10"/>
      <c r="F110" s="11"/>
      <c r="G110" s="11"/>
      <c r="H110" s="39"/>
      <c r="I110" s="40"/>
    </row>
    <row r="111" spans="1:9" ht="15" customHeight="1">
      <c r="A111" s="10"/>
      <c r="B111" s="11"/>
      <c r="C111" s="12"/>
      <c r="D111" s="9"/>
      <c r="E111" s="10"/>
      <c r="F111" s="11"/>
      <c r="G111" s="11"/>
      <c r="H111" s="39"/>
      <c r="I111" s="40"/>
    </row>
    <row r="112" spans="1:9" ht="15" customHeight="1">
      <c r="A112" s="10"/>
      <c r="B112" s="11"/>
      <c r="C112" s="12"/>
      <c r="D112" s="9"/>
      <c r="E112" s="10"/>
      <c r="F112" s="11"/>
      <c r="G112" s="11"/>
      <c r="H112" s="39"/>
      <c r="I112" s="40"/>
    </row>
    <row r="113" spans="1:9" ht="15" customHeight="1">
      <c r="A113" s="10"/>
      <c r="B113" s="11"/>
      <c r="C113" s="12"/>
      <c r="D113" s="9"/>
      <c r="E113" s="10"/>
      <c r="F113" s="11"/>
      <c r="G113" s="11"/>
      <c r="H113" s="39"/>
      <c r="I113" s="40"/>
    </row>
    <row r="114" spans="1:9" ht="15" customHeight="1">
      <c r="A114" s="10"/>
      <c r="B114" s="11"/>
      <c r="C114" s="12"/>
      <c r="D114" s="9"/>
      <c r="E114" s="10"/>
      <c r="F114" s="11"/>
      <c r="G114" s="11"/>
      <c r="H114" s="39"/>
      <c r="I114" s="40"/>
    </row>
    <row r="115" spans="1:9" ht="15" customHeight="1">
      <c r="A115" s="10"/>
      <c r="B115" s="11"/>
      <c r="C115" s="12"/>
      <c r="D115" s="9"/>
      <c r="E115" s="10"/>
      <c r="F115" s="11"/>
      <c r="G115" s="11"/>
      <c r="H115" s="39"/>
      <c r="I115" s="40"/>
    </row>
    <row r="116" spans="1:9" ht="15" customHeight="1">
      <c r="A116" s="10"/>
      <c r="B116" s="11"/>
      <c r="C116" s="12"/>
      <c r="D116" s="9"/>
      <c r="E116" s="10"/>
      <c r="F116" s="11"/>
      <c r="G116" s="11"/>
      <c r="H116" s="39"/>
      <c r="I116" s="40"/>
    </row>
    <row r="117" spans="1:9" ht="15" customHeight="1">
      <c r="A117" s="10"/>
      <c r="B117" s="11"/>
      <c r="C117" s="12"/>
      <c r="D117" s="9"/>
      <c r="E117" s="10"/>
      <c r="F117" s="11"/>
      <c r="G117" s="11"/>
      <c r="H117" s="39"/>
      <c r="I117" s="40"/>
    </row>
    <row r="118" spans="1:9" ht="15" customHeight="1">
      <c r="A118" s="10"/>
      <c r="B118" s="11"/>
      <c r="C118" s="12"/>
      <c r="D118" s="9"/>
      <c r="E118" s="10"/>
      <c r="F118" s="11"/>
      <c r="G118" s="11"/>
      <c r="H118" s="39"/>
      <c r="I118" s="40"/>
    </row>
    <row r="119" spans="1:9" ht="15" customHeight="1">
      <c r="A119" s="10"/>
      <c r="B119" s="11"/>
      <c r="C119" s="12"/>
      <c r="D119" s="9"/>
      <c r="E119" s="10"/>
      <c r="F119" s="11"/>
      <c r="G119" s="11"/>
      <c r="H119" s="39"/>
      <c r="I119" s="40"/>
    </row>
    <row r="120" spans="1:9" ht="15" customHeight="1">
      <c r="A120" s="10"/>
      <c r="B120" s="11"/>
      <c r="C120" s="12"/>
      <c r="D120" s="9"/>
      <c r="E120" s="10"/>
      <c r="F120" s="11"/>
      <c r="G120" s="11"/>
      <c r="H120" s="39"/>
      <c r="I120" s="40"/>
    </row>
    <row r="121" spans="1:9" ht="15" customHeight="1">
      <c r="A121" s="10"/>
      <c r="B121" s="11"/>
      <c r="C121" s="12"/>
      <c r="D121" s="9"/>
      <c r="E121" s="10"/>
      <c r="F121" s="11"/>
      <c r="G121" s="11"/>
      <c r="H121" s="39"/>
      <c r="I121" s="40"/>
    </row>
    <row r="122" spans="1:9" ht="15" customHeight="1">
      <c r="A122" s="10"/>
      <c r="B122" s="11"/>
      <c r="C122" s="12"/>
      <c r="D122" s="9"/>
      <c r="E122" s="10"/>
      <c r="F122" s="11"/>
      <c r="G122" s="11"/>
      <c r="H122" s="39"/>
      <c r="I122" s="40"/>
    </row>
    <row r="123" spans="1:9" ht="15" customHeight="1">
      <c r="A123" s="10"/>
      <c r="B123" s="11"/>
      <c r="C123" s="12"/>
      <c r="D123" s="9"/>
      <c r="E123" s="10"/>
      <c r="F123" s="11"/>
      <c r="G123" s="11"/>
      <c r="H123" s="39"/>
      <c r="I123" s="40"/>
    </row>
    <row r="124" spans="1:9" ht="15" customHeight="1">
      <c r="A124" s="10"/>
      <c r="B124" s="11"/>
      <c r="C124" s="12"/>
      <c r="D124" s="9"/>
      <c r="E124" s="10"/>
      <c r="F124" s="11"/>
      <c r="G124" s="11"/>
      <c r="H124" s="39"/>
      <c r="I124" s="40"/>
    </row>
    <row r="125" spans="1:9" ht="15" customHeight="1">
      <c r="A125" s="10"/>
      <c r="B125" s="11"/>
      <c r="C125" s="12"/>
      <c r="D125" s="9"/>
      <c r="E125" s="10"/>
      <c r="F125" s="11"/>
      <c r="G125" s="11"/>
      <c r="H125" s="39"/>
      <c r="I125" s="40"/>
    </row>
    <row r="126" spans="1:9" ht="15" customHeight="1">
      <c r="A126" s="10"/>
      <c r="B126" s="11"/>
      <c r="C126" s="12"/>
      <c r="D126" s="9"/>
      <c r="E126" s="10"/>
      <c r="F126" s="11"/>
      <c r="G126" s="11"/>
      <c r="H126" s="39"/>
      <c r="I126" s="40"/>
    </row>
    <row r="127" spans="1:9" ht="15" customHeight="1">
      <c r="A127" s="10"/>
      <c r="B127" s="11"/>
      <c r="C127" s="12"/>
      <c r="D127" s="9"/>
      <c r="E127" s="10"/>
      <c r="F127" s="11"/>
      <c r="G127" s="11"/>
      <c r="H127" s="39"/>
      <c r="I127" s="40"/>
    </row>
    <row r="128" spans="1:9" ht="15" customHeight="1">
      <c r="A128" s="10"/>
      <c r="B128" s="11"/>
      <c r="C128" s="12"/>
      <c r="D128" s="9"/>
      <c r="E128" s="10"/>
      <c r="F128" s="11"/>
      <c r="G128" s="11"/>
      <c r="H128" s="39"/>
      <c r="I128" s="40"/>
    </row>
    <row r="129" spans="1:9" ht="15" customHeight="1">
      <c r="A129" s="10"/>
      <c r="B129" s="11"/>
      <c r="C129" s="12"/>
      <c r="D129" s="9"/>
      <c r="E129" s="10"/>
      <c r="F129" s="11"/>
      <c r="G129" s="11"/>
      <c r="H129" s="39"/>
      <c r="I129" s="40"/>
    </row>
    <row r="130" spans="1:9" ht="15" customHeight="1">
      <c r="A130" s="10"/>
      <c r="B130" s="11"/>
      <c r="C130" s="12"/>
      <c r="D130" s="9"/>
      <c r="E130" s="10"/>
      <c r="F130" s="11"/>
      <c r="G130" s="11"/>
      <c r="H130" s="39"/>
      <c r="I130" s="40"/>
    </row>
    <row r="131" spans="1:9" ht="15" customHeight="1">
      <c r="A131" s="10"/>
      <c r="B131" s="11"/>
      <c r="C131" s="12"/>
      <c r="D131" s="9"/>
      <c r="E131" s="10"/>
      <c r="F131" s="11"/>
      <c r="G131" s="11"/>
      <c r="H131" s="39"/>
      <c r="I131" s="40"/>
    </row>
    <row r="132" spans="1:9" ht="15" customHeight="1">
      <c r="A132" s="10"/>
      <c r="B132" s="11"/>
      <c r="C132" s="12"/>
      <c r="D132" s="9"/>
      <c r="E132" s="10"/>
      <c r="F132" s="11"/>
      <c r="G132" s="11"/>
      <c r="H132" s="39"/>
      <c r="I132" s="40"/>
    </row>
    <row r="133" spans="1:9" ht="15" customHeight="1">
      <c r="A133" s="10"/>
      <c r="B133" s="11"/>
      <c r="C133" s="12"/>
      <c r="D133" s="9"/>
      <c r="E133" s="10"/>
      <c r="F133" s="11"/>
      <c r="G133" s="11"/>
      <c r="H133" s="39"/>
      <c r="I133" s="40"/>
    </row>
    <row r="134" spans="1:9" ht="15" customHeight="1">
      <c r="A134" s="10"/>
      <c r="B134" s="11"/>
      <c r="C134" s="12"/>
      <c r="D134" s="9"/>
      <c r="E134" s="10"/>
      <c r="F134" s="11"/>
      <c r="G134" s="11"/>
      <c r="H134" s="39"/>
      <c r="I134" s="40"/>
    </row>
    <row r="135" spans="1:9" ht="15" customHeight="1">
      <c r="A135" s="10"/>
      <c r="B135" s="11"/>
      <c r="C135" s="12"/>
      <c r="D135" s="9"/>
      <c r="E135" s="10"/>
      <c r="F135" s="11"/>
      <c r="G135" s="11"/>
      <c r="H135" s="39"/>
      <c r="I135" s="40"/>
    </row>
    <row r="136" spans="1:9" ht="15" customHeight="1">
      <c r="A136" s="10"/>
      <c r="B136" s="11"/>
      <c r="C136" s="12"/>
      <c r="D136" s="9"/>
      <c r="E136" s="10"/>
      <c r="F136" s="11"/>
      <c r="G136" s="11"/>
      <c r="H136" s="39"/>
      <c r="I136" s="40"/>
    </row>
    <row r="137" spans="1:9" ht="15" customHeight="1">
      <c r="A137" s="10"/>
      <c r="B137" s="11"/>
      <c r="C137" s="12"/>
      <c r="D137" s="9"/>
      <c r="E137" s="10"/>
      <c r="F137" s="11"/>
      <c r="G137" s="11"/>
      <c r="H137" s="39"/>
      <c r="I137" s="40"/>
    </row>
    <row r="138" spans="1:9" ht="15" customHeight="1">
      <c r="A138" s="10"/>
      <c r="B138" s="11"/>
      <c r="C138" s="12"/>
      <c r="D138" s="9"/>
      <c r="E138" s="10"/>
      <c r="F138" s="11"/>
      <c r="G138" s="11"/>
      <c r="H138" s="39"/>
      <c r="I138" s="40"/>
    </row>
    <row r="139" spans="1:9" ht="15" customHeight="1">
      <c r="A139" s="10"/>
      <c r="B139" s="11"/>
      <c r="C139" s="12"/>
      <c r="D139" s="9"/>
      <c r="E139" s="10"/>
      <c r="F139" s="11"/>
      <c r="G139" s="11"/>
      <c r="H139" s="39"/>
      <c r="I139" s="40"/>
    </row>
    <row r="140" spans="1:9" ht="15" customHeight="1">
      <c r="A140" s="10"/>
      <c r="B140" s="11"/>
      <c r="C140" s="12"/>
      <c r="D140" s="9"/>
      <c r="E140" s="10"/>
      <c r="F140" s="11"/>
      <c r="G140" s="11"/>
      <c r="H140" s="39"/>
      <c r="I140" s="40"/>
    </row>
    <row r="141" spans="1:9" ht="15" customHeight="1">
      <c r="A141" s="10"/>
      <c r="B141" s="11"/>
      <c r="C141" s="12"/>
      <c r="D141" s="9"/>
      <c r="E141" s="10"/>
      <c r="F141" s="11"/>
      <c r="G141" s="11"/>
      <c r="H141" s="39"/>
      <c r="I141" s="40"/>
    </row>
    <row r="142" spans="1:9" ht="15" customHeight="1">
      <c r="A142" s="10"/>
      <c r="B142" s="11"/>
      <c r="C142" s="12"/>
      <c r="D142" s="9"/>
      <c r="E142" s="10"/>
      <c r="F142" s="11"/>
      <c r="G142" s="11"/>
      <c r="H142" s="39"/>
      <c r="I142" s="40"/>
    </row>
    <row r="143" spans="1:9" ht="15" customHeight="1">
      <c r="A143" s="10"/>
      <c r="B143" s="11"/>
      <c r="C143" s="12"/>
      <c r="D143" s="9"/>
      <c r="E143" s="10"/>
      <c r="F143" s="11"/>
      <c r="G143" s="11"/>
      <c r="H143" s="39"/>
      <c r="I143" s="40"/>
    </row>
    <row r="144" spans="1:9" ht="15" customHeight="1">
      <c r="A144" s="10"/>
      <c r="B144" s="11"/>
      <c r="C144" s="12"/>
      <c r="D144" s="9"/>
      <c r="E144" s="10"/>
      <c r="F144" s="11"/>
      <c r="G144" s="11"/>
      <c r="H144" s="39"/>
      <c r="I144" s="40"/>
    </row>
    <row r="145" spans="1:9" ht="15" customHeight="1">
      <c r="A145" s="10"/>
      <c r="B145" s="11"/>
      <c r="C145" s="12"/>
      <c r="D145" s="9"/>
      <c r="E145" s="10"/>
      <c r="F145" s="11"/>
      <c r="G145" s="11"/>
      <c r="H145" s="39"/>
      <c r="I145" s="40"/>
    </row>
    <row r="146" spans="1:9" ht="15" customHeight="1">
      <c r="A146" s="10"/>
      <c r="B146" s="11"/>
      <c r="C146" s="12"/>
      <c r="D146" s="9"/>
      <c r="E146" s="10"/>
      <c r="F146" s="11"/>
      <c r="G146" s="11"/>
      <c r="H146" s="39"/>
      <c r="I146" s="40"/>
    </row>
    <row r="147" spans="1:9" ht="15" customHeight="1">
      <c r="A147" s="10"/>
      <c r="B147" s="11"/>
      <c r="C147" s="12"/>
      <c r="D147" s="9"/>
      <c r="E147" s="10"/>
      <c r="F147" s="11"/>
      <c r="G147" s="11"/>
      <c r="H147" s="39"/>
      <c r="I147" s="40"/>
    </row>
    <row r="148" spans="1:9" ht="15" customHeight="1">
      <c r="A148" s="10"/>
      <c r="B148" s="11"/>
      <c r="C148" s="12"/>
      <c r="D148" s="9"/>
      <c r="E148" s="10"/>
      <c r="F148" s="11"/>
      <c r="G148" s="11"/>
      <c r="H148" s="39"/>
      <c r="I148" s="40"/>
    </row>
    <row r="149" spans="1:9" ht="15" customHeight="1">
      <c r="A149" s="10"/>
      <c r="B149" s="11"/>
      <c r="C149" s="12"/>
      <c r="D149" s="9"/>
      <c r="E149" s="10"/>
      <c r="F149" s="11"/>
      <c r="G149" s="11"/>
      <c r="H149" s="39"/>
      <c r="I149" s="40"/>
    </row>
    <row r="150" spans="1:9" ht="15" customHeight="1">
      <c r="A150" s="10"/>
      <c r="B150" s="11"/>
      <c r="C150" s="12"/>
      <c r="D150" s="9"/>
      <c r="E150" s="10"/>
      <c r="F150" s="11"/>
      <c r="G150" s="11"/>
      <c r="H150" s="39"/>
      <c r="I150" s="40"/>
    </row>
    <row r="151" spans="1:9" ht="15" customHeight="1"/>
    <row r="152" spans="1:9" ht="15" customHeight="1"/>
    <row r="153" spans="1:9" ht="15" customHeight="1"/>
    <row r="154" spans="1:9" ht="15" customHeight="1"/>
    <row r="155" spans="1:9" ht="15" customHeight="1"/>
    <row r="156" spans="1:9" ht="15" customHeight="1"/>
    <row r="157" spans="1:9" ht="15" customHeight="1"/>
    <row r="158" spans="1:9" ht="15" customHeight="1"/>
    <row r="159" spans="1:9" ht="15" customHeight="1"/>
    <row r="160" spans="1: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  <row r="50001" ht="15" customHeight="1"/>
    <row r="50002" ht="15" customHeight="1"/>
    <row r="50003" ht="15" customHeight="1"/>
    <row r="50004" ht="15" customHeight="1"/>
    <row r="50005" ht="15" customHeight="1"/>
    <row r="50006" ht="15" customHeight="1"/>
    <row r="50007" ht="15" customHeight="1"/>
    <row r="50008" ht="15" customHeight="1"/>
    <row r="50009" ht="15" customHeight="1"/>
    <row r="50010" ht="15" customHeight="1"/>
    <row r="50011" ht="15" customHeight="1"/>
    <row r="50012" ht="15" customHeight="1"/>
    <row r="50013" ht="15" customHeight="1"/>
    <row r="50014" ht="15" customHeight="1"/>
    <row r="50015" ht="15" customHeight="1"/>
    <row r="50016" ht="15" customHeight="1"/>
    <row r="50017" ht="15" customHeight="1"/>
    <row r="50018" ht="15" customHeight="1"/>
    <row r="50019" ht="15" customHeight="1"/>
    <row r="50020" ht="15" customHeight="1"/>
    <row r="50021" ht="15" customHeight="1"/>
    <row r="50022" ht="15" customHeight="1"/>
    <row r="50023" ht="15" customHeight="1"/>
    <row r="50024" ht="15" customHeight="1"/>
    <row r="50025" ht="15" customHeight="1"/>
    <row r="50026" ht="15" customHeight="1"/>
    <row r="50027" ht="15" customHeight="1"/>
    <row r="50028" ht="15" customHeight="1"/>
    <row r="50029" ht="15" customHeight="1"/>
    <row r="50030" ht="15" customHeight="1"/>
    <row r="50031" ht="15" customHeight="1"/>
    <row r="50032" ht="15" customHeight="1"/>
    <row r="50033" ht="15" customHeight="1"/>
    <row r="50034" ht="15" customHeight="1"/>
    <row r="50035" ht="15" customHeight="1"/>
    <row r="50036" ht="15" customHeight="1"/>
    <row r="50037" ht="15" customHeight="1"/>
    <row r="50038" ht="15" customHeight="1"/>
    <row r="50039" ht="15" customHeight="1"/>
    <row r="50040" ht="15" customHeight="1"/>
    <row r="50041" ht="15" customHeight="1"/>
    <row r="50042" ht="15" customHeight="1"/>
    <row r="50043" ht="15" customHeight="1"/>
    <row r="50044" ht="15" customHeight="1"/>
    <row r="50045" ht="15" customHeight="1"/>
    <row r="50046" ht="15" customHeight="1"/>
    <row r="50047" ht="15" customHeight="1"/>
    <row r="50048" ht="15" customHeight="1"/>
    <row r="50049" ht="15" customHeight="1"/>
    <row r="50050" ht="15" customHeight="1"/>
    <row r="50051" ht="15" customHeight="1"/>
    <row r="50052" ht="15" customHeight="1"/>
    <row r="50053" ht="15" customHeight="1"/>
    <row r="50054" ht="15" customHeight="1"/>
    <row r="50055" ht="15" customHeight="1"/>
    <row r="50056" ht="15" customHeight="1"/>
    <row r="50057" ht="15" customHeight="1"/>
    <row r="50058" ht="15" customHeight="1"/>
    <row r="50059" ht="15" customHeight="1"/>
    <row r="50060" ht="15" customHeight="1"/>
    <row r="50061" ht="15" customHeight="1"/>
    <row r="50062" ht="15" customHeight="1"/>
    <row r="50063" ht="15" customHeight="1"/>
    <row r="50064" ht="15" customHeight="1"/>
    <row r="50065" ht="15" customHeight="1"/>
    <row r="50066" ht="15" customHeight="1"/>
    <row r="50067" ht="15" customHeight="1"/>
    <row r="50068" ht="15" customHeight="1"/>
    <row r="50069" ht="15" customHeight="1"/>
    <row r="50070" ht="15" customHeight="1"/>
    <row r="50071" ht="15" customHeight="1"/>
    <row r="50072" ht="15" customHeight="1"/>
    <row r="50073" ht="15" customHeight="1"/>
    <row r="50074" ht="15" customHeight="1"/>
    <row r="50075" ht="15" customHeight="1"/>
    <row r="50076" ht="15" customHeight="1"/>
    <row r="50077" ht="15" customHeight="1"/>
    <row r="50078" ht="15" customHeight="1"/>
    <row r="50079" ht="15" customHeight="1"/>
    <row r="50080" ht="15" customHeight="1"/>
    <row r="50081" ht="15" customHeight="1"/>
    <row r="50082" ht="15" customHeight="1"/>
    <row r="50083" ht="15" customHeight="1"/>
    <row r="50084" ht="15" customHeight="1"/>
    <row r="50085" ht="15" customHeight="1"/>
    <row r="50086" ht="15" customHeight="1"/>
    <row r="50087" ht="15" customHeight="1"/>
    <row r="50088" ht="15" customHeight="1"/>
    <row r="50089" ht="15" customHeight="1"/>
    <row r="50090" ht="15" customHeight="1"/>
    <row r="50091" ht="15" customHeight="1"/>
    <row r="50092" ht="15" customHeight="1"/>
    <row r="50093" ht="15" customHeight="1"/>
    <row r="50094" ht="15" customHeight="1"/>
    <row r="50095" ht="15" customHeight="1"/>
    <row r="50096" ht="15" customHeight="1"/>
    <row r="50097" ht="15" customHeight="1"/>
    <row r="50098" ht="15" customHeight="1"/>
    <row r="50099" ht="15" customHeight="1"/>
    <row r="50100" ht="15" customHeight="1"/>
    <row r="50101" ht="15" customHeight="1"/>
    <row r="50102" ht="15" customHeight="1"/>
    <row r="50103" ht="15" customHeight="1"/>
    <row r="50104" ht="15" customHeight="1"/>
    <row r="50105" ht="15" customHeight="1"/>
    <row r="50106" ht="15" customHeight="1"/>
    <row r="50107" ht="15" customHeight="1"/>
    <row r="50108" ht="15" customHeight="1"/>
    <row r="50109" ht="15" customHeight="1"/>
    <row r="50110" ht="15" customHeight="1"/>
    <row r="50111" ht="15" customHeight="1"/>
    <row r="50112" ht="15" customHeight="1"/>
    <row r="50113" ht="15" customHeight="1"/>
    <row r="50114" ht="15" customHeight="1"/>
    <row r="50115" ht="15" customHeight="1"/>
    <row r="50116" ht="15" customHeight="1"/>
    <row r="50117" ht="15" customHeight="1"/>
    <row r="50118" ht="15" customHeight="1"/>
    <row r="50119" ht="15" customHeight="1"/>
    <row r="50120" ht="15" customHeight="1"/>
    <row r="50121" ht="15" customHeight="1"/>
    <row r="50122" ht="15" customHeight="1"/>
    <row r="50123" ht="15" customHeight="1"/>
    <row r="50124" ht="15" customHeight="1"/>
    <row r="50125" ht="15" customHeight="1"/>
    <row r="50126" ht="15" customHeight="1"/>
    <row r="50127" ht="15" customHeight="1"/>
    <row r="50128" ht="15" customHeight="1"/>
    <row r="50129" ht="15" customHeight="1"/>
    <row r="50130" ht="15" customHeight="1"/>
    <row r="50131" ht="15" customHeight="1"/>
    <row r="50132" ht="15" customHeight="1"/>
    <row r="50133" ht="15" customHeight="1"/>
    <row r="50134" ht="15" customHeight="1"/>
    <row r="50135" ht="15" customHeight="1"/>
    <row r="50136" ht="15" customHeight="1"/>
    <row r="50137" ht="15" customHeight="1"/>
    <row r="50138" ht="15" customHeight="1"/>
    <row r="50139" ht="15" customHeight="1"/>
    <row r="50140" ht="15" customHeight="1"/>
    <row r="50141" ht="15" customHeight="1"/>
    <row r="50142" ht="15" customHeight="1"/>
    <row r="50143" ht="15" customHeight="1"/>
    <row r="50144" ht="15" customHeight="1"/>
    <row r="50145" ht="15" customHeight="1"/>
    <row r="50146" ht="15" customHeight="1"/>
    <row r="50147" ht="15" customHeight="1"/>
    <row r="50148" ht="15" customHeight="1"/>
    <row r="50149" ht="15" customHeight="1"/>
    <row r="50150" ht="15" customHeight="1"/>
    <row r="50151" ht="15" customHeight="1"/>
    <row r="50152" ht="15" customHeight="1"/>
    <row r="50153" ht="15" customHeight="1"/>
    <row r="50154" ht="15" customHeight="1"/>
    <row r="50155" ht="15" customHeight="1"/>
    <row r="50156" ht="15" customHeight="1"/>
    <row r="50157" ht="15" customHeight="1"/>
    <row r="50158" ht="15" customHeight="1"/>
    <row r="50159" ht="15" customHeight="1"/>
    <row r="50160" ht="15" customHeight="1"/>
    <row r="50161" ht="15" customHeight="1"/>
    <row r="50162" ht="15" customHeight="1"/>
    <row r="50163" ht="15" customHeight="1"/>
    <row r="50164" ht="15" customHeight="1"/>
    <row r="50165" ht="15" customHeight="1"/>
    <row r="50166" ht="15" customHeight="1"/>
    <row r="50167" ht="15" customHeight="1"/>
    <row r="50168" ht="15" customHeight="1"/>
    <row r="50169" ht="15" customHeight="1"/>
    <row r="50170" ht="15" customHeight="1"/>
    <row r="50171" ht="15" customHeight="1"/>
    <row r="50172" ht="15" customHeight="1"/>
    <row r="50173" ht="15" customHeight="1"/>
    <row r="50174" ht="15" customHeight="1"/>
    <row r="50175" ht="15" customHeight="1"/>
    <row r="50176" ht="15" customHeight="1"/>
    <row r="50177" ht="15" customHeight="1"/>
    <row r="50178" ht="15" customHeight="1"/>
    <row r="50179" ht="15" customHeight="1"/>
    <row r="50180" ht="15" customHeight="1"/>
    <row r="50181" ht="15" customHeight="1"/>
    <row r="50182" ht="15" customHeight="1"/>
    <row r="50183" ht="15" customHeight="1"/>
    <row r="50184" ht="15" customHeight="1"/>
    <row r="50185" ht="15" customHeight="1"/>
    <row r="50186" ht="15" customHeight="1"/>
    <row r="50187" ht="15" customHeight="1"/>
    <row r="50188" ht="15" customHeight="1"/>
    <row r="50189" ht="15" customHeight="1"/>
    <row r="50190" ht="15" customHeight="1"/>
    <row r="50191" ht="15" customHeight="1"/>
    <row r="50192" ht="15" customHeight="1"/>
    <row r="50193" ht="15" customHeight="1"/>
    <row r="50194" ht="15" customHeight="1"/>
    <row r="50195" ht="15" customHeight="1"/>
    <row r="50196" ht="15" customHeight="1"/>
    <row r="50197" ht="15" customHeight="1"/>
    <row r="50198" ht="15" customHeight="1"/>
    <row r="50199" ht="15" customHeight="1"/>
    <row r="50200" ht="15" customHeight="1"/>
    <row r="50201" ht="15" customHeight="1"/>
    <row r="50202" ht="15" customHeight="1"/>
    <row r="50203" ht="15" customHeight="1"/>
    <row r="50204" ht="15" customHeight="1"/>
    <row r="50205" ht="15" customHeight="1"/>
    <row r="50206" ht="15" customHeight="1"/>
    <row r="50207" ht="15" customHeight="1"/>
    <row r="50208" ht="15" customHeight="1"/>
    <row r="50209" ht="15" customHeight="1"/>
    <row r="50210" ht="15" customHeight="1"/>
    <row r="50211" ht="15" customHeight="1"/>
    <row r="50212" ht="15" customHeight="1"/>
    <row r="50213" ht="15" customHeight="1"/>
    <row r="50214" ht="15" customHeight="1"/>
    <row r="50215" ht="15" customHeight="1"/>
    <row r="50216" ht="15" customHeight="1"/>
    <row r="50217" ht="15" customHeight="1"/>
    <row r="50218" ht="15" customHeight="1"/>
    <row r="50219" ht="15" customHeight="1"/>
    <row r="50220" ht="15" customHeight="1"/>
    <row r="50221" ht="15" customHeight="1"/>
    <row r="50222" ht="15" customHeight="1"/>
    <row r="50223" ht="15" customHeight="1"/>
    <row r="50224" ht="15" customHeight="1"/>
    <row r="50225" ht="15" customHeight="1"/>
    <row r="50226" ht="15" customHeight="1"/>
    <row r="50227" ht="15" customHeight="1"/>
    <row r="50228" ht="15" customHeight="1"/>
    <row r="50229" ht="15" customHeight="1"/>
    <row r="50230" ht="15" customHeight="1"/>
    <row r="50231" ht="15" customHeight="1"/>
    <row r="50232" ht="15" customHeight="1"/>
    <row r="50233" ht="15" customHeight="1"/>
    <row r="50234" ht="15" customHeight="1"/>
    <row r="50235" ht="15" customHeight="1"/>
    <row r="50236" ht="15" customHeight="1"/>
    <row r="50237" ht="15" customHeight="1"/>
    <row r="50238" ht="15" customHeight="1"/>
    <row r="50239" ht="15" customHeight="1"/>
    <row r="50240" ht="15" customHeight="1"/>
    <row r="50241" ht="15" customHeight="1"/>
    <row r="50242" ht="15" customHeight="1"/>
    <row r="50243" ht="15" customHeight="1"/>
    <row r="50244" ht="15" customHeight="1"/>
    <row r="50245" ht="15" customHeight="1"/>
    <row r="50246" ht="15" customHeight="1"/>
    <row r="50247" ht="15" customHeight="1"/>
    <row r="50248" ht="15" customHeight="1"/>
    <row r="50249" ht="15" customHeight="1"/>
    <row r="50250" ht="15" customHeight="1"/>
    <row r="50251" ht="15" customHeight="1"/>
    <row r="50252" ht="15" customHeight="1"/>
    <row r="50253" ht="15" customHeight="1"/>
    <row r="50254" ht="15" customHeight="1"/>
    <row r="50255" ht="15" customHeight="1"/>
    <row r="50256" ht="15" customHeight="1"/>
    <row r="50257" ht="15" customHeight="1"/>
    <row r="50258" ht="15" customHeight="1"/>
    <row r="50259" ht="15" customHeight="1"/>
    <row r="50260" ht="15" customHeight="1"/>
    <row r="50261" ht="15" customHeight="1"/>
    <row r="50262" ht="15" customHeight="1"/>
    <row r="50263" ht="15" customHeight="1"/>
    <row r="50264" ht="15" customHeight="1"/>
    <row r="50265" ht="15" customHeight="1"/>
    <row r="50266" ht="15" customHeight="1"/>
    <row r="50267" ht="15" customHeight="1"/>
    <row r="50268" ht="15" customHeight="1"/>
    <row r="50269" ht="15" customHeight="1"/>
    <row r="50270" ht="15" customHeight="1"/>
    <row r="50271" ht="15" customHeight="1"/>
    <row r="50272" ht="15" customHeight="1"/>
    <row r="50273" ht="15" customHeight="1"/>
    <row r="50274" ht="15" customHeight="1"/>
    <row r="50275" ht="15" customHeight="1"/>
    <row r="50276" ht="15" customHeight="1"/>
    <row r="50277" ht="15" customHeight="1"/>
    <row r="50278" ht="15" customHeight="1"/>
    <row r="50279" ht="15" customHeight="1"/>
    <row r="50280" ht="15" customHeight="1"/>
    <row r="50281" ht="15" customHeight="1"/>
    <row r="50282" ht="15" customHeight="1"/>
    <row r="50283" ht="15" customHeight="1"/>
    <row r="50284" ht="15" customHeight="1"/>
    <row r="50285" ht="15" customHeight="1"/>
    <row r="50286" ht="15" customHeight="1"/>
    <row r="50287" ht="15" customHeight="1"/>
    <row r="50288" ht="15" customHeight="1"/>
    <row r="50289" ht="15" customHeight="1"/>
    <row r="50290" ht="15" customHeight="1"/>
    <row r="50291" ht="15" customHeight="1"/>
    <row r="50292" ht="15" customHeight="1"/>
    <row r="50293" ht="15" customHeight="1"/>
    <row r="50294" ht="15" customHeight="1"/>
    <row r="50295" ht="15" customHeight="1"/>
    <row r="50296" ht="15" customHeight="1"/>
    <row r="50297" ht="15" customHeight="1"/>
    <row r="50298" ht="15" customHeight="1"/>
    <row r="50299" ht="15" customHeight="1"/>
    <row r="50300" ht="15" customHeight="1"/>
    <row r="50301" ht="15" customHeight="1"/>
    <row r="50302" ht="15" customHeight="1"/>
    <row r="50303" ht="15" customHeight="1"/>
    <row r="50304" ht="15" customHeight="1"/>
    <row r="50305" ht="15" customHeight="1"/>
    <row r="50306" ht="15" customHeight="1"/>
    <row r="50307" ht="15" customHeight="1"/>
    <row r="50308" ht="15" customHeight="1"/>
    <row r="50309" ht="15" customHeight="1"/>
    <row r="50310" ht="15" customHeight="1"/>
    <row r="50311" ht="15" customHeight="1"/>
    <row r="50312" ht="15" customHeight="1"/>
    <row r="50313" ht="15" customHeight="1"/>
    <row r="50314" ht="15" customHeight="1"/>
    <row r="50315" ht="15" customHeight="1"/>
    <row r="50316" ht="15" customHeight="1"/>
    <row r="50317" ht="15" customHeight="1"/>
    <row r="50318" ht="15" customHeight="1"/>
    <row r="50319" ht="15" customHeight="1"/>
    <row r="50320" ht="15" customHeight="1"/>
    <row r="50321" ht="15" customHeight="1"/>
    <row r="50322" ht="15" customHeight="1"/>
    <row r="50323" ht="15" customHeight="1"/>
    <row r="50324" ht="15" customHeight="1"/>
    <row r="50325" ht="15" customHeight="1"/>
    <row r="50326" ht="15" customHeight="1"/>
    <row r="50327" ht="15" customHeight="1"/>
    <row r="50328" ht="15" customHeight="1"/>
    <row r="50329" ht="15" customHeight="1"/>
    <row r="50330" ht="15" customHeight="1"/>
    <row r="50331" ht="15" customHeight="1"/>
    <row r="50332" ht="15" customHeight="1"/>
    <row r="50333" ht="15" customHeight="1"/>
    <row r="50334" ht="15" customHeight="1"/>
    <row r="50335" ht="15" customHeight="1"/>
    <row r="50336" ht="15" customHeight="1"/>
    <row r="50337" ht="15" customHeight="1"/>
    <row r="50338" ht="15" customHeight="1"/>
    <row r="50339" ht="15" customHeight="1"/>
    <row r="50340" ht="15" customHeight="1"/>
    <row r="50341" ht="15" customHeight="1"/>
    <row r="50342" ht="15" customHeight="1"/>
    <row r="50343" ht="15" customHeight="1"/>
    <row r="50344" ht="15" customHeight="1"/>
    <row r="50345" ht="15" customHeight="1"/>
    <row r="50346" ht="15" customHeight="1"/>
    <row r="50347" ht="15" customHeight="1"/>
    <row r="50348" ht="15" customHeight="1"/>
    <row r="50349" ht="15" customHeight="1"/>
    <row r="50350" ht="15" customHeight="1"/>
    <row r="50351" ht="15" customHeight="1"/>
    <row r="50352" ht="15" customHeight="1"/>
    <row r="50353" ht="15" customHeight="1"/>
    <row r="50354" ht="15" customHeight="1"/>
    <row r="50355" ht="15" customHeight="1"/>
    <row r="50356" ht="15" customHeight="1"/>
    <row r="50357" ht="15" customHeight="1"/>
    <row r="50358" ht="15" customHeight="1"/>
    <row r="50359" ht="15" customHeight="1"/>
    <row r="50360" ht="15" customHeight="1"/>
    <row r="50361" ht="15" customHeight="1"/>
    <row r="50362" ht="15" customHeight="1"/>
    <row r="50363" ht="15" customHeight="1"/>
    <row r="50364" ht="15" customHeight="1"/>
    <row r="50365" ht="15" customHeight="1"/>
    <row r="50366" ht="15" customHeight="1"/>
    <row r="50367" ht="15" customHeight="1"/>
    <row r="50368" ht="15" customHeight="1"/>
    <row r="50369" ht="15" customHeight="1"/>
    <row r="50370" ht="15" customHeight="1"/>
    <row r="50371" ht="15" customHeight="1"/>
    <row r="50372" ht="15" customHeight="1"/>
    <row r="50373" ht="15" customHeight="1"/>
    <row r="50374" ht="15" customHeight="1"/>
    <row r="50375" ht="15" customHeight="1"/>
    <row r="50376" ht="15" customHeight="1"/>
    <row r="50377" ht="15" customHeight="1"/>
    <row r="50378" ht="15" customHeight="1"/>
    <row r="50379" ht="15" customHeight="1"/>
    <row r="50380" ht="15" customHeight="1"/>
    <row r="50381" ht="15" customHeight="1"/>
    <row r="50382" ht="15" customHeight="1"/>
    <row r="50383" ht="15" customHeight="1"/>
    <row r="50384" ht="15" customHeight="1"/>
    <row r="50385" ht="15" customHeight="1"/>
    <row r="50386" ht="15" customHeight="1"/>
    <row r="50387" ht="15" customHeight="1"/>
    <row r="50388" ht="15" customHeight="1"/>
    <row r="50389" ht="15" customHeight="1"/>
    <row r="50390" ht="15" customHeight="1"/>
    <row r="50391" ht="15" customHeight="1"/>
    <row r="50392" ht="15" customHeight="1"/>
    <row r="50393" ht="15" customHeight="1"/>
    <row r="50394" ht="15" customHeight="1"/>
    <row r="50395" ht="15" customHeight="1"/>
    <row r="50396" ht="15" customHeight="1"/>
    <row r="50397" ht="15" customHeight="1"/>
    <row r="50398" ht="15" customHeight="1"/>
    <row r="50399" ht="15" customHeight="1"/>
    <row r="50400" ht="15" customHeight="1"/>
    <row r="50401" ht="15" customHeight="1"/>
    <row r="50402" ht="15" customHeight="1"/>
    <row r="50403" ht="15" customHeight="1"/>
    <row r="50404" ht="15" customHeight="1"/>
    <row r="50405" ht="15" customHeight="1"/>
    <row r="50406" ht="15" customHeight="1"/>
    <row r="50407" ht="15" customHeight="1"/>
    <row r="50408" ht="15" customHeight="1"/>
    <row r="50409" ht="15" customHeight="1"/>
    <row r="50410" ht="15" customHeight="1"/>
    <row r="50411" ht="15" customHeight="1"/>
    <row r="50412" ht="15" customHeight="1"/>
    <row r="50413" ht="15" customHeight="1"/>
    <row r="50414" ht="15" customHeight="1"/>
    <row r="50415" ht="15" customHeight="1"/>
    <row r="50416" ht="15" customHeight="1"/>
    <row r="50417" ht="15" customHeight="1"/>
    <row r="50418" ht="15" customHeight="1"/>
    <row r="50419" ht="15" customHeight="1"/>
    <row r="50420" ht="15" customHeight="1"/>
    <row r="50421" ht="15" customHeight="1"/>
    <row r="50422" ht="15" customHeight="1"/>
    <row r="50423" ht="15" customHeight="1"/>
    <row r="50424" ht="15" customHeight="1"/>
    <row r="50425" ht="15" customHeight="1"/>
    <row r="50426" ht="15" customHeight="1"/>
    <row r="50427" ht="15" customHeight="1"/>
    <row r="50428" ht="15" customHeight="1"/>
    <row r="50429" ht="15" customHeight="1"/>
    <row r="50430" ht="15" customHeight="1"/>
    <row r="50431" ht="15" customHeight="1"/>
    <row r="50432" ht="15" customHeight="1"/>
    <row r="50433" ht="15" customHeight="1"/>
    <row r="50434" ht="15" customHeight="1"/>
    <row r="50435" ht="15" customHeight="1"/>
    <row r="50436" ht="15" customHeight="1"/>
    <row r="50437" ht="15" customHeight="1"/>
    <row r="50438" ht="15" customHeight="1"/>
    <row r="50439" ht="15" customHeight="1"/>
    <row r="50440" ht="15" customHeight="1"/>
    <row r="50441" ht="15" customHeight="1"/>
    <row r="50442" ht="15" customHeight="1"/>
    <row r="50443" ht="15" customHeight="1"/>
    <row r="50444" ht="15" customHeight="1"/>
    <row r="50445" ht="15" customHeight="1"/>
    <row r="50446" ht="15" customHeight="1"/>
    <row r="50447" ht="15" customHeight="1"/>
    <row r="50448" ht="15" customHeight="1"/>
    <row r="50449" ht="15" customHeight="1"/>
    <row r="50450" ht="15" customHeight="1"/>
    <row r="50451" ht="15" customHeight="1"/>
    <row r="50452" ht="15" customHeight="1"/>
    <row r="50453" ht="15" customHeight="1"/>
    <row r="50454" ht="15" customHeight="1"/>
    <row r="50455" ht="15" customHeight="1"/>
    <row r="50456" ht="15" customHeight="1"/>
    <row r="50457" ht="15" customHeight="1"/>
    <row r="50458" ht="15" customHeight="1"/>
    <row r="50459" ht="15" customHeight="1"/>
    <row r="50460" ht="15" customHeight="1"/>
    <row r="50461" ht="15" customHeight="1"/>
    <row r="50462" ht="15" customHeight="1"/>
    <row r="50463" ht="15" customHeight="1"/>
    <row r="50464" ht="15" customHeight="1"/>
    <row r="50465" ht="15" customHeight="1"/>
    <row r="50466" ht="15" customHeight="1"/>
    <row r="50467" ht="15" customHeight="1"/>
    <row r="50468" ht="15" customHeight="1"/>
    <row r="50469" ht="15" customHeight="1"/>
    <row r="50470" ht="15" customHeight="1"/>
    <row r="50471" ht="15" customHeight="1"/>
    <row r="50472" ht="15" customHeight="1"/>
    <row r="50473" ht="15" customHeight="1"/>
    <row r="50474" ht="15" customHeight="1"/>
    <row r="50475" ht="15" customHeight="1"/>
    <row r="50476" ht="15" customHeight="1"/>
    <row r="50477" ht="15" customHeight="1"/>
    <row r="50478" ht="15" customHeight="1"/>
    <row r="50479" ht="15" customHeight="1"/>
    <row r="50480" ht="15" customHeight="1"/>
    <row r="50481" ht="15" customHeight="1"/>
    <row r="50482" ht="15" customHeight="1"/>
    <row r="50483" ht="15" customHeight="1"/>
    <row r="50484" ht="15" customHeight="1"/>
    <row r="50485" ht="15" customHeight="1"/>
    <row r="50486" ht="15" customHeight="1"/>
    <row r="50487" ht="15" customHeight="1"/>
    <row r="50488" ht="15" customHeight="1"/>
    <row r="50489" ht="15" customHeight="1"/>
    <row r="50490" ht="15" customHeight="1"/>
    <row r="50491" ht="15" customHeight="1"/>
    <row r="50492" ht="15" customHeight="1"/>
    <row r="50493" ht="15" customHeight="1"/>
    <row r="50494" ht="15" customHeight="1"/>
    <row r="50495" ht="15" customHeight="1"/>
    <row r="50496" ht="15" customHeight="1"/>
    <row r="50497" ht="15" customHeight="1"/>
    <row r="50498" ht="15" customHeight="1"/>
    <row r="50499" ht="15" customHeight="1"/>
    <row r="50500" ht="15" customHeight="1"/>
    <row r="50501" ht="15" customHeight="1"/>
    <row r="50502" ht="15" customHeight="1"/>
    <row r="50503" ht="15" customHeight="1"/>
    <row r="50504" ht="15" customHeight="1"/>
    <row r="50505" ht="15" customHeight="1"/>
    <row r="50506" ht="15" customHeight="1"/>
    <row r="50507" ht="15" customHeight="1"/>
    <row r="50508" ht="15" customHeight="1"/>
    <row r="50509" ht="15" customHeight="1"/>
    <row r="50510" ht="15" customHeight="1"/>
    <row r="50511" ht="15" customHeight="1"/>
    <row r="50512" ht="15" customHeight="1"/>
    <row r="50513" ht="15" customHeight="1"/>
    <row r="50514" ht="15" customHeight="1"/>
    <row r="50515" ht="15" customHeight="1"/>
    <row r="50516" ht="15" customHeight="1"/>
    <row r="50517" ht="15" customHeight="1"/>
    <row r="50518" ht="15" customHeight="1"/>
    <row r="50519" ht="15" customHeight="1"/>
    <row r="50520" ht="15" customHeight="1"/>
    <row r="50521" ht="15" customHeight="1"/>
    <row r="50522" ht="15" customHeight="1"/>
    <row r="50523" ht="15" customHeight="1"/>
    <row r="50524" ht="15" customHeight="1"/>
    <row r="50525" ht="15" customHeight="1"/>
    <row r="50526" ht="15" customHeight="1"/>
    <row r="50527" ht="15" customHeight="1"/>
    <row r="50528" ht="15" customHeight="1"/>
    <row r="50529" ht="15" customHeight="1"/>
    <row r="50530" ht="15" customHeight="1"/>
    <row r="50531" ht="15" customHeight="1"/>
    <row r="50532" ht="15" customHeight="1"/>
    <row r="50533" ht="15" customHeight="1"/>
    <row r="50534" ht="15" customHeight="1"/>
    <row r="50535" ht="15" customHeight="1"/>
    <row r="50536" ht="15" customHeight="1"/>
    <row r="50537" ht="15" customHeight="1"/>
    <row r="50538" ht="15" customHeight="1"/>
    <row r="50539" ht="15" customHeight="1"/>
    <row r="50540" ht="15" customHeight="1"/>
    <row r="50541" ht="15" customHeight="1"/>
    <row r="50542" ht="15" customHeight="1"/>
    <row r="50543" ht="15" customHeight="1"/>
    <row r="50544" ht="15" customHeight="1"/>
    <row r="50545" ht="15" customHeight="1"/>
    <row r="50546" ht="15" customHeight="1"/>
    <row r="50547" ht="15" customHeight="1"/>
    <row r="50548" ht="15" customHeight="1"/>
    <row r="50549" ht="15" customHeight="1"/>
    <row r="50550" ht="15" customHeight="1"/>
    <row r="50551" ht="15" customHeight="1"/>
    <row r="50552" ht="15" customHeight="1"/>
    <row r="50553" ht="15" customHeight="1"/>
    <row r="50554" ht="15" customHeight="1"/>
    <row r="50555" ht="15" customHeight="1"/>
    <row r="50556" ht="15" customHeight="1"/>
    <row r="50557" ht="15" customHeight="1"/>
    <row r="50558" ht="15" customHeight="1"/>
    <row r="50559" ht="15" customHeight="1"/>
    <row r="50560" ht="15" customHeight="1"/>
    <row r="50561" ht="15" customHeight="1"/>
    <row r="50562" ht="15" customHeight="1"/>
    <row r="50563" ht="15" customHeight="1"/>
    <row r="50564" ht="15" customHeight="1"/>
    <row r="50565" ht="15" customHeight="1"/>
    <row r="50566" ht="15" customHeight="1"/>
    <row r="50567" ht="15" customHeight="1"/>
    <row r="50568" ht="15" customHeight="1"/>
    <row r="50569" ht="15" customHeight="1"/>
    <row r="50570" ht="15" customHeight="1"/>
    <row r="50571" ht="15" customHeight="1"/>
    <row r="50572" ht="15" customHeight="1"/>
    <row r="50573" ht="15" customHeight="1"/>
    <row r="50574" ht="15" customHeight="1"/>
    <row r="50575" ht="15" customHeight="1"/>
    <row r="50576" ht="15" customHeight="1"/>
    <row r="50577" ht="15" customHeight="1"/>
    <row r="50578" ht="15" customHeight="1"/>
    <row r="50579" ht="15" customHeight="1"/>
    <row r="50580" ht="15" customHeight="1"/>
    <row r="50581" ht="15" customHeight="1"/>
    <row r="50582" ht="15" customHeight="1"/>
    <row r="50583" ht="15" customHeight="1"/>
    <row r="50584" ht="15" customHeight="1"/>
    <row r="50585" ht="15" customHeight="1"/>
    <row r="50586" ht="15" customHeight="1"/>
    <row r="50587" ht="15" customHeight="1"/>
    <row r="50588" ht="15" customHeight="1"/>
    <row r="50589" ht="15" customHeight="1"/>
    <row r="50590" ht="15" customHeight="1"/>
    <row r="50591" ht="15" customHeight="1"/>
    <row r="50592" ht="15" customHeight="1"/>
    <row r="50593" ht="15" customHeight="1"/>
    <row r="50594" ht="15" customHeight="1"/>
    <row r="50595" ht="15" customHeight="1"/>
    <row r="50596" ht="15" customHeight="1"/>
    <row r="50597" ht="15" customHeight="1"/>
    <row r="50598" ht="15" customHeight="1"/>
    <row r="50599" ht="15" customHeight="1"/>
    <row r="50600" ht="15" customHeight="1"/>
    <row r="50601" ht="15" customHeight="1"/>
    <row r="50602" ht="15" customHeight="1"/>
    <row r="50603" ht="15" customHeight="1"/>
    <row r="50604" ht="15" customHeight="1"/>
    <row r="50605" ht="15" customHeight="1"/>
    <row r="50606" ht="15" customHeight="1"/>
    <row r="50607" ht="15" customHeight="1"/>
    <row r="50608" ht="15" customHeight="1"/>
    <row r="50609" ht="15" customHeight="1"/>
    <row r="50610" ht="15" customHeight="1"/>
    <row r="50611" ht="15" customHeight="1"/>
    <row r="50612" ht="15" customHeight="1"/>
    <row r="50613" ht="15" customHeight="1"/>
    <row r="50614" ht="15" customHeight="1"/>
    <row r="50615" ht="15" customHeight="1"/>
    <row r="50616" ht="15" customHeight="1"/>
    <row r="50617" ht="15" customHeight="1"/>
    <row r="50618" ht="15" customHeight="1"/>
    <row r="50619" ht="15" customHeight="1"/>
    <row r="50620" ht="15" customHeight="1"/>
    <row r="50621" ht="15" customHeight="1"/>
    <row r="50622" ht="15" customHeight="1"/>
    <row r="50623" ht="15" customHeight="1"/>
    <row r="50624" ht="15" customHeight="1"/>
    <row r="50625" ht="15" customHeight="1"/>
    <row r="50626" ht="15" customHeight="1"/>
    <row r="50627" ht="15" customHeight="1"/>
    <row r="50628" ht="15" customHeight="1"/>
    <row r="50629" ht="15" customHeight="1"/>
    <row r="50630" ht="15" customHeight="1"/>
    <row r="50631" ht="15" customHeight="1"/>
    <row r="50632" ht="15" customHeight="1"/>
    <row r="50633" ht="15" customHeight="1"/>
    <row r="50634" ht="15" customHeight="1"/>
    <row r="50635" ht="15" customHeight="1"/>
    <row r="50636" ht="15" customHeight="1"/>
    <row r="50637" ht="15" customHeight="1"/>
    <row r="50638" ht="15" customHeight="1"/>
    <row r="50639" ht="15" customHeight="1"/>
    <row r="50640" ht="15" customHeight="1"/>
    <row r="50641" ht="15" customHeight="1"/>
    <row r="50642" ht="15" customHeight="1"/>
    <row r="50643" ht="15" customHeight="1"/>
    <row r="50644" ht="15" customHeight="1"/>
    <row r="50645" ht="15" customHeight="1"/>
    <row r="50646" ht="15" customHeight="1"/>
    <row r="50647" ht="15" customHeight="1"/>
    <row r="50648" ht="15" customHeight="1"/>
    <row r="50649" ht="15" customHeight="1"/>
    <row r="50650" ht="15" customHeight="1"/>
    <row r="50651" ht="15" customHeight="1"/>
    <row r="50652" ht="15" customHeight="1"/>
    <row r="50653" ht="15" customHeight="1"/>
    <row r="50654" ht="15" customHeight="1"/>
    <row r="50655" ht="15" customHeight="1"/>
    <row r="50656" ht="15" customHeight="1"/>
    <row r="50657" ht="15" customHeight="1"/>
    <row r="50658" ht="15" customHeight="1"/>
    <row r="50659" ht="15" customHeight="1"/>
    <row r="50660" ht="15" customHeight="1"/>
    <row r="50661" ht="15" customHeight="1"/>
    <row r="50662" ht="15" customHeight="1"/>
    <row r="50663" ht="15" customHeight="1"/>
    <row r="50664" ht="15" customHeight="1"/>
    <row r="50665" ht="15" customHeight="1"/>
    <row r="50666" ht="15" customHeight="1"/>
    <row r="50667" ht="15" customHeight="1"/>
    <row r="50668" ht="15" customHeight="1"/>
    <row r="50669" ht="15" customHeight="1"/>
    <row r="50670" ht="15" customHeight="1"/>
    <row r="50671" ht="15" customHeight="1"/>
    <row r="50672" ht="15" customHeight="1"/>
    <row r="50673" ht="15" customHeight="1"/>
    <row r="50674" ht="15" customHeight="1"/>
    <row r="50675" ht="15" customHeight="1"/>
    <row r="50676" ht="15" customHeight="1"/>
    <row r="50677" ht="15" customHeight="1"/>
    <row r="50678" ht="15" customHeight="1"/>
    <row r="50679" ht="15" customHeight="1"/>
    <row r="50680" ht="15" customHeight="1"/>
    <row r="50681" ht="15" customHeight="1"/>
    <row r="50682" ht="15" customHeight="1"/>
    <row r="50683" ht="15" customHeight="1"/>
    <row r="50684" ht="15" customHeight="1"/>
    <row r="50685" ht="15" customHeight="1"/>
    <row r="50686" ht="15" customHeight="1"/>
    <row r="50687" ht="15" customHeight="1"/>
    <row r="50688" ht="15" customHeight="1"/>
    <row r="50689" ht="15" customHeight="1"/>
    <row r="50690" ht="15" customHeight="1"/>
    <row r="50691" ht="15" customHeight="1"/>
    <row r="50692" ht="15" customHeight="1"/>
    <row r="50693" ht="15" customHeight="1"/>
    <row r="50694" ht="15" customHeight="1"/>
    <row r="50695" ht="15" customHeight="1"/>
    <row r="50696" ht="15" customHeight="1"/>
    <row r="50697" ht="15" customHeight="1"/>
    <row r="50698" ht="15" customHeight="1"/>
    <row r="50699" ht="15" customHeight="1"/>
    <row r="50700" ht="15" customHeight="1"/>
    <row r="50701" ht="15" customHeight="1"/>
    <row r="50702" ht="15" customHeight="1"/>
    <row r="50703" ht="15" customHeight="1"/>
    <row r="50704" ht="15" customHeight="1"/>
    <row r="50705" ht="15" customHeight="1"/>
    <row r="50706" ht="15" customHeight="1"/>
    <row r="50707" ht="15" customHeight="1"/>
    <row r="50708" ht="15" customHeight="1"/>
    <row r="50709" ht="15" customHeight="1"/>
    <row r="50710" ht="15" customHeight="1"/>
    <row r="50711" ht="15" customHeight="1"/>
    <row r="50712" ht="15" customHeight="1"/>
    <row r="50713" ht="15" customHeight="1"/>
    <row r="50714" ht="15" customHeight="1"/>
    <row r="50715" ht="15" customHeight="1"/>
    <row r="50716" ht="15" customHeight="1"/>
    <row r="50717" ht="15" customHeight="1"/>
    <row r="50718" ht="15" customHeight="1"/>
    <row r="50719" ht="15" customHeight="1"/>
    <row r="50720" ht="15" customHeight="1"/>
    <row r="50721" ht="15" customHeight="1"/>
    <row r="50722" ht="15" customHeight="1"/>
    <row r="50723" ht="15" customHeight="1"/>
    <row r="50724" ht="15" customHeight="1"/>
    <row r="50725" ht="15" customHeight="1"/>
    <row r="50726" ht="15" customHeight="1"/>
    <row r="50727" ht="15" customHeight="1"/>
    <row r="50728" ht="15" customHeight="1"/>
    <row r="50729" ht="15" customHeight="1"/>
    <row r="50730" ht="15" customHeight="1"/>
    <row r="50731" ht="15" customHeight="1"/>
    <row r="50732" ht="15" customHeight="1"/>
    <row r="50733" ht="15" customHeight="1"/>
    <row r="50734" ht="15" customHeight="1"/>
    <row r="50735" ht="15" customHeight="1"/>
    <row r="50736" ht="15" customHeight="1"/>
    <row r="50737" ht="15" customHeight="1"/>
    <row r="50738" ht="15" customHeight="1"/>
    <row r="50739" ht="15" customHeight="1"/>
    <row r="50740" ht="15" customHeight="1"/>
    <row r="50741" ht="15" customHeight="1"/>
    <row r="50742" ht="15" customHeight="1"/>
    <row r="50743" ht="15" customHeight="1"/>
    <row r="50744" ht="15" customHeight="1"/>
    <row r="50745" ht="15" customHeight="1"/>
    <row r="50746" ht="15" customHeight="1"/>
    <row r="50747" ht="15" customHeight="1"/>
    <row r="50748" ht="15" customHeight="1"/>
    <row r="50749" ht="15" customHeight="1"/>
    <row r="50750" ht="15" customHeight="1"/>
    <row r="50751" ht="15" customHeight="1"/>
    <row r="50752" ht="15" customHeight="1"/>
    <row r="50753" ht="15" customHeight="1"/>
    <row r="50754" ht="15" customHeight="1"/>
    <row r="50755" ht="15" customHeight="1"/>
    <row r="50756" ht="15" customHeight="1"/>
    <row r="50757" ht="15" customHeight="1"/>
    <row r="50758" ht="15" customHeight="1"/>
    <row r="50759" ht="15" customHeight="1"/>
    <row r="50760" ht="15" customHeight="1"/>
    <row r="50761" ht="15" customHeight="1"/>
    <row r="50762" ht="15" customHeight="1"/>
    <row r="50763" ht="15" customHeight="1"/>
    <row r="50764" ht="15" customHeight="1"/>
    <row r="50765" ht="15" customHeight="1"/>
    <row r="50766" ht="15" customHeight="1"/>
    <row r="50767" ht="15" customHeight="1"/>
    <row r="50768" ht="15" customHeight="1"/>
    <row r="50769" ht="15" customHeight="1"/>
    <row r="50770" ht="15" customHeight="1"/>
    <row r="50771" ht="15" customHeight="1"/>
    <row r="50772" ht="15" customHeight="1"/>
    <row r="50773" ht="15" customHeight="1"/>
    <row r="50774" ht="15" customHeight="1"/>
    <row r="50775" ht="15" customHeight="1"/>
    <row r="50776" ht="15" customHeight="1"/>
    <row r="50777" ht="15" customHeight="1"/>
    <row r="50778" ht="15" customHeight="1"/>
    <row r="50779" ht="15" customHeight="1"/>
    <row r="50780" ht="15" customHeight="1"/>
    <row r="50781" ht="15" customHeight="1"/>
    <row r="50782" ht="15" customHeight="1"/>
    <row r="50783" ht="15" customHeight="1"/>
    <row r="50784" ht="15" customHeight="1"/>
    <row r="50785" ht="15" customHeight="1"/>
    <row r="50786" ht="15" customHeight="1"/>
    <row r="50787" ht="15" customHeight="1"/>
    <row r="50788" ht="15" customHeight="1"/>
    <row r="50789" ht="15" customHeight="1"/>
    <row r="50790" ht="15" customHeight="1"/>
    <row r="50791" ht="15" customHeight="1"/>
    <row r="50792" ht="15" customHeight="1"/>
    <row r="50793" ht="15" customHeight="1"/>
    <row r="50794" ht="15" customHeight="1"/>
    <row r="50795" ht="15" customHeight="1"/>
    <row r="50796" ht="15" customHeight="1"/>
    <row r="50797" ht="15" customHeight="1"/>
    <row r="50798" ht="15" customHeight="1"/>
    <row r="50799" ht="15" customHeight="1"/>
    <row r="50800" ht="15" customHeight="1"/>
    <row r="50801" ht="15" customHeight="1"/>
    <row r="50802" ht="15" customHeight="1"/>
    <row r="50803" ht="15" customHeight="1"/>
    <row r="50804" ht="15" customHeight="1"/>
    <row r="50805" ht="15" customHeight="1"/>
    <row r="50806" ht="15" customHeight="1"/>
    <row r="50807" ht="15" customHeight="1"/>
    <row r="50808" ht="15" customHeight="1"/>
    <row r="50809" ht="15" customHeight="1"/>
    <row r="50810" ht="15" customHeight="1"/>
    <row r="50811" ht="15" customHeight="1"/>
    <row r="50812" ht="15" customHeight="1"/>
    <row r="50813" ht="15" customHeight="1"/>
    <row r="50814" ht="15" customHeight="1"/>
    <row r="50815" ht="15" customHeight="1"/>
    <row r="50816" ht="15" customHeight="1"/>
    <row r="50817" ht="15" customHeight="1"/>
    <row r="50818" ht="15" customHeight="1"/>
    <row r="50819" ht="15" customHeight="1"/>
    <row r="50820" ht="15" customHeight="1"/>
    <row r="50821" ht="15" customHeight="1"/>
    <row r="50822" ht="15" customHeight="1"/>
    <row r="50823" ht="15" customHeight="1"/>
    <row r="50824" ht="15" customHeight="1"/>
    <row r="50825" ht="15" customHeight="1"/>
    <row r="50826" ht="15" customHeight="1"/>
    <row r="50827" ht="15" customHeight="1"/>
    <row r="50828" ht="15" customHeight="1"/>
    <row r="50829" ht="15" customHeight="1"/>
    <row r="50830" ht="15" customHeight="1"/>
    <row r="50831" ht="15" customHeight="1"/>
    <row r="50832" ht="15" customHeight="1"/>
    <row r="50833" ht="15" customHeight="1"/>
    <row r="50834" ht="15" customHeight="1"/>
    <row r="50835" ht="15" customHeight="1"/>
    <row r="50836" ht="15" customHeight="1"/>
    <row r="50837" ht="15" customHeight="1"/>
    <row r="50838" ht="15" customHeight="1"/>
    <row r="50839" ht="15" customHeight="1"/>
    <row r="50840" ht="15" customHeight="1"/>
    <row r="50841" ht="15" customHeight="1"/>
    <row r="50842" ht="15" customHeight="1"/>
    <row r="50843" ht="15" customHeight="1"/>
    <row r="50844" ht="15" customHeight="1"/>
    <row r="50845" ht="15" customHeight="1"/>
    <row r="50846" ht="15" customHeight="1"/>
    <row r="50847" ht="15" customHeight="1"/>
    <row r="50848" ht="15" customHeight="1"/>
    <row r="50849" ht="15" customHeight="1"/>
    <row r="50850" ht="15" customHeight="1"/>
    <row r="50851" ht="15" customHeight="1"/>
    <row r="50852" ht="15" customHeight="1"/>
    <row r="50853" ht="15" customHeight="1"/>
    <row r="50854" ht="15" customHeight="1"/>
    <row r="50855" ht="15" customHeight="1"/>
    <row r="50856" ht="15" customHeight="1"/>
    <row r="50857" ht="15" customHeight="1"/>
    <row r="50858" ht="15" customHeight="1"/>
    <row r="50859" ht="15" customHeight="1"/>
    <row r="50860" ht="15" customHeight="1"/>
    <row r="50861" ht="15" customHeight="1"/>
    <row r="50862" ht="15" customHeight="1"/>
    <row r="50863" ht="15" customHeight="1"/>
    <row r="50864" ht="15" customHeight="1"/>
    <row r="50865" ht="15" customHeight="1"/>
    <row r="50866" ht="15" customHeight="1"/>
    <row r="50867" ht="15" customHeight="1"/>
    <row r="50868" ht="15" customHeight="1"/>
    <row r="50869" ht="15" customHeight="1"/>
    <row r="50870" ht="15" customHeight="1"/>
    <row r="50871" ht="15" customHeight="1"/>
    <row r="50872" ht="15" customHeight="1"/>
    <row r="50873" ht="15" customHeight="1"/>
    <row r="50874" ht="15" customHeight="1"/>
    <row r="50875" ht="15" customHeight="1"/>
    <row r="50876" ht="15" customHeight="1"/>
    <row r="50877" ht="15" customHeight="1"/>
    <row r="50878" ht="15" customHeight="1"/>
    <row r="50879" ht="15" customHeight="1"/>
    <row r="50880" ht="15" customHeight="1"/>
    <row r="50881" ht="15" customHeight="1"/>
    <row r="50882" ht="15" customHeight="1"/>
    <row r="50883" ht="15" customHeight="1"/>
    <row r="50884" ht="15" customHeight="1"/>
    <row r="50885" ht="15" customHeight="1"/>
    <row r="50886" ht="15" customHeight="1"/>
    <row r="50887" ht="15" customHeight="1"/>
    <row r="50888" ht="15" customHeight="1"/>
    <row r="50889" ht="15" customHeight="1"/>
    <row r="50890" ht="15" customHeight="1"/>
    <row r="50891" ht="15" customHeight="1"/>
    <row r="50892" ht="15" customHeight="1"/>
    <row r="50893" ht="15" customHeight="1"/>
    <row r="50894" ht="15" customHeight="1"/>
    <row r="50895" ht="15" customHeight="1"/>
    <row r="50896" ht="15" customHeight="1"/>
    <row r="50897" ht="15" customHeight="1"/>
    <row r="50898" ht="15" customHeight="1"/>
    <row r="50899" ht="15" customHeight="1"/>
    <row r="50900" ht="15" customHeight="1"/>
    <row r="50901" ht="15" customHeight="1"/>
    <row r="50902" ht="15" customHeight="1"/>
    <row r="50903" ht="15" customHeight="1"/>
    <row r="50904" ht="15" customHeight="1"/>
    <row r="50905" ht="15" customHeight="1"/>
    <row r="50906" ht="15" customHeight="1"/>
    <row r="50907" ht="15" customHeight="1"/>
    <row r="50908" ht="15" customHeight="1"/>
    <row r="50909" ht="15" customHeight="1"/>
    <row r="50910" ht="15" customHeight="1"/>
    <row r="50911" ht="15" customHeight="1"/>
    <row r="50912" ht="15" customHeight="1"/>
    <row r="50913" ht="15" customHeight="1"/>
    <row r="50914" ht="15" customHeight="1"/>
    <row r="50915" ht="15" customHeight="1"/>
    <row r="50916" ht="15" customHeight="1"/>
    <row r="50917" ht="15" customHeight="1"/>
    <row r="50918" ht="15" customHeight="1"/>
    <row r="50919" ht="15" customHeight="1"/>
    <row r="50920" ht="15" customHeight="1"/>
    <row r="50921" ht="15" customHeight="1"/>
    <row r="50922" ht="15" customHeight="1"/>
    <row r="50923" ht="15" customHeight="1"/>
    <row r="50924" ht="15" customHeight="1"/>
    <row r="50925" ht="15" customHeight="1"/>
    <row r="50926" ht="15" customHeight="1"/>
    <row r="50927" ht="15" customHeight="1"/>
    <row r="50928" ht="15" customHeight="1"/>
    <row r="50929" ht="15" customHeight="1"/>
    <row r="50930" ht="15" customHeight="1"/>
    <row r="50931" ht="15" customHeight="1"/>
    <row r="50932" ht="15" customHeight="1"/>
    <row r="50933" ht="15" customHeight="1"/>
    <row r="50934" ht="15" customHeight="1"/>
    <row r="50935" ht="15" customHeight="1"/>
    <row r="50936" ht="15" customHeight="1"/>
    <row r="50937" ht="15" customHeight="1"/>
    <row r="50938" ht="15" customHeight="1"/>
    <row r="50939" ht="15" customHeight="1"/>
    <row r="50940" ht="15" customHeight="1"/>
    <row r="50941" ht="15" customHeight="1"/>
    <row r="50942" ht="15" customHeight="1"/>
    <row r="50943" ht="15" customHeight="1"/>
    <row r="50944" ht="15" customHeight="1"/>
    <row r="50945" ht="15" customHeight="1"/>
    <row r="50946" ht="15" customHeight="1"/>
    <row r="50947" ht="15" customHeight="1"/>
    <row r="50948" ht="15" customHeight="1"/>
    <row r="50949" ht="15" customHeight="1"/>
    <row r="50950" ht="15" customHeight="1"/>
    <row r="50951" ht="15" customHeight="1"/>
    <row r="50952" ht="15" customHeight="1"/>
    <row r="50953" ht="15" customHeight="1"/>
    <row r="50954" ht="15" customHeight="1"/>
    <row r="50955" ht="15" customHeight="1"/>
    <row r="50956" ht="15" customHeight="1"/>
    <row r="50957" ht="15" customHeight="1"/>
    <row r="50958" ht="15" customHeight="1"/>
    <row r="50959" ht="15" customHeight="1"/>
    <row r="50960" ht="15" customHeight="1"/>
    <row r="50961" ht="15" customHeight="1"/>
    <row r="50962" ht="15" customHeight="1"/>
    <row r="50963" ht="15" customHeight="1"/>
    <row r="50964" ht="15" customHeight="1"/>
    <row r="50965" ht="15" customHeight="1"/>
    <row r="50966" ht="15" customHeight="1"/>
    <row r="50967" ht="15" customHeight="1"/>
    <row r="50968" ht="15" customHeight="1"/>
    <row r="50969" ht="15" customHeight="1"/>
    <row r="50970" ht="15" customHeight="1"/>
    <row r="50971" ht="15" customHeight="1"/>
    <row r="50972" ht="15" customHeight="1"/>
    <row r="50973" ht="15" customHeight="1"/>
    <row r="50974" ht="15" customHeight="1"/>
    <row r="50975" ht="15" customHeight="1"/>
    <row r="50976" ht="15" customHeight="1"/>
    <row r="50977" ht="15" customHeight="1"/>
    <row r="50978" ht="15" customHeight="1"/>
    <row r="50979" ht="15" customHeight="1"/>
    <row r="50980" ht="15" customHeight="1"/>
    <row r="50981" ht="15" customHeight="1"/>
    <row r="50982" ht="15" customHeight="1"/>
    <row r="50983" ht="15" customHeight="1"/>
    <row r="50984" ht="15" customHeight="1"/>
    <row r="50985" ht="15" customHeight="1"/>
    <row r="50986" ht="15" customHeight="1"/>
    <row r="50987" ht="15" customHeight="1"/>
    <row r="50988" ht="15" customHeight="1"/>
    <row r="50989" ht="15" customHeight="1"/>
    <row r="50990" ht="15" customHeight="1"/>
    <row r="50991" ht="15" customHeight="1"/>
    <row r="50992" ht="15" customHeight="1"/>
    <row r="50993" ht="15" customHeight="1"/>
    <row r="50994" ht="15" customHeight="1"/>
    <row r="50995" ht="15" customHeight="1"/>
    <row r="50996" ht="15" customHeight="1"/>
    <row r="50997" ht="15" customHeight="1"/>
    <row r="50998" ht="15" customHeight="1"/>
    <row r="50999" ht="15" customHeight="1"/>
    <row r="51000" ht="15" customHeight="1"/>
    <row r="51001" ht="15" customHeight="1"/>
    <row r="51002" ht="15" customHeight="1"/>
    <row r="51003" ht="15" customHeight="1"/>
    <row r="51004" ht="15" customHeight="1"/>
    <row r="51005" ht="15" customHeight="1"/>
    <row r="51006" ht="15" customHeight="1"/>
    <row r="51007" ht="15" customHeight="1"/>
    <row r="51008" ht="15" customHeight="1"/>
    <row r="51009" ht="15" customHeight="1"/>
    <row r="51010" ht="15" customHeight="1"/>
    <row r="51011" ht="15" customHeight="1"/>
    <row r="51012" ht="15" customHeight="1"/>
    <row r="51013" ht="15" customHeight="1"/>
    <row r="51014" ht="15" customHeight="1"/>
    <row r="51015" ht="15" customHeight="1"/>
    <row r="51016" ht="15" customHeight="1"/>
    <row r="51017" ht="15" customHeight="1"/>
    <row r="51018" ht="15" customHeight="1"/>
    <row r="51019" ht="15" customHeight="1"/>
    <row r="51020" ht="15" customHeight="1"/>
    <row r="51021" ht="15" customHeight="1"/>
    <row r="51022" ht="15" customHeight="1"/>
    <row r="51023" ht="15" customHeight="1"/>
    <row r="51024" ht="15" customHeight="1"/>
    <row r="51025" ht="15" customHeight="1"/>
    <row r="51026" ht="15" customHeight="1"/>
    <row r="51027" ht="15" customHeight="1"/>
    <row r="51028" ht="15" customHeight="1"/>
    <row r="51029" ht="15" customHeight="1"/>
    <row r="51030" ht="15" customHeight="1"/>
    <row r="51031" ht="15" customHeight="1"/>
    <row r="51032" ht="15" customHeight="1"/>
    <row r="51033" ht="15" customHeight="1"/>
    <row r="51034" ht="15" customHeight="1"/>
    <row r="51035" ht="15" customHeight="1"/>
    <row r="51036" ht="15" customHeight="1"/>
    <row r="51037" ht="15" customHeight="1"/>
    <row r="51038" ht="15" customHeight="1"/>
    <row r="51039" ht="15" customHeight="1"/>
    <row r="51040" ht="15" customHeight="1"/>
    <row r="51041" ht="15" customHeight="1"/>
    <row r="51042" ht="15" customHeight="1"/>
    <row r="51043" ht="15" customHeight="1"/>
    <row r="51044" ht="15" customHeight="1"/>
    <row r="51045" ht="15" customHeight="1"/>
    <row r="51046" ht="15" customHeight="1"/>
    <row r="51047" ht="15" customHeight="1"/>
    <row r="51048" ht="15" customHeight="1"/>
    <row r="51049" ht="15" customHeight="1"/>
    <row r="51050" ht="15" customHeight="1"/>
    <row r="51051" ht="15" customHeight="1"/>
    <row r="51052" ht="15" customHeight="1"/>
    <row r="51053" ht="15" customHeight="1"/>
    <row r="51054" ht="15" customHeight="1"/>
    <row r="51055" ht="15" customHeight="1"/>
    <row r="51056" ht="15" customHeight="1"/>
    <row r="51057" ht="15" customHeight="1"/>
    <row r="51058" ht="15" customHeight="1"/>
    <row r="51059" ht="15" customHeight="1"/>
    <row r="51060" ht="15" customHeight="1"/>
    <row r="51061" ht="15" customHeight="1"/>
    <row r="51062" ht="15" customHeight="1"/>
    <row r="51063" ht="15" customHeight="1"/>
    <row r="51064" ht="15" customHeight="1"/>
    <row r="51065" ht="15" customHeight="1"/>
    <row r="51066" ht="15" customHeight="1"/>
    <row r="51067" ht="15" customHeight="1"/>
    <row r="51068" ht="15" customHeight="1"/>
    <row r="51069" ht="15" customHeight="1"/>
    <row r="51070" ht="15" customHeight="1"/>
    <row r="51071" ht="15" customHeight="1"/>
    <row r="51072" ht="15" customHeight="1"/>
    <row r="51073" ht="15" customHeight="1"/>
    <row r="51074" ht="15" customHeight="1"/>
    <row r="51075" ht="15" customHeight="1"/>
    <row r="51076" ht="15" customHeight="1"/>
    <row r="51077" ht="15" customHeight="1"/>
    <row r="51078" ht="15" customHeight="1"/>
    <row r="51079" ht="15" customHeight="1"/>
    <row r="51080" ht="15" customHeight="1"/>
    <row r="51081" ht="15" customHeight="1"/>
    <row r="51082" ht="15" customHeight="1"/>
    <row r="51083" ht="15" customHeight="1"/>
    <row r="51084" ht="15" customHeight="1"/>
    <row r="51085" ht="15" customHeight="1"/>
    <row r="51086" ht="15" customHeight="1"/>
    <row r="51087" ht="15" customHeight="1"/>
    <row r="51088" ht="15" customHeight="1"/>
    <row r="51089" ht="15" customHeight="1"/>
    <row r="51090" ht="15" customHeight="1"/>
    <row r="51091" ht="15" customHeight="1"/>
    <row r="51092" ht="15" customHeight="1"/>
    <row r="51093" ht="15" customHeight="1"/>
    <row r="51094" ht="15" customHeight="1"/>
    <row r="51095" ht="15" customHeight="1"/>
    <row r="51096" ht="15" customHeight="1"/>
    <row r="51097" ht="15" customHeight="1"/>
    <row r="51098" ht="15" customHeight="1"/>
    <row r="51099" ht="15" customHeight="1"/>
    <row r="51100" ht="15" customHeight="1"/>
    <row r="51101" ht="15" customHeight="1"/>
    <row r="51102" ht="15" customHeight="1"/>
    <row r="51103" ht="15" customHeight="1"/>
    <row r="51104" ht="15" customHeight="1"/>
    <row r="51105" ht="15" customHeight="1"/>
    <row r="51106" ht="15" customHeight="1"/>
    <row r="51107" ht="15" customHeight="1"/>
    <row r="51108" ht="15" customHeight="1"/>
    <row r="51109" ht="15" customHeight="1"/>
    <row r="51110" ht="15" customHeight="1"/>
    <row r="51111" ht="15" customHeight="1"/>
    <row r="51112" ht="15" customHeight="1"/>
    <row r="51113" ht="15" customHeight="1"/>
    <row r="51114" ht="15" customHeight="1"/>
    <row r="51115" ht="15" customHeight="1"/>
    <row r="51116" ht="15" customHeight="1"/>
    <row r="51117" ht="15" customHeight="1"/>
    <row r="51118" ht="15" customHeight="1"/>
    <row r="51119" ht="15" customHeight="1"/>
    <row r="51120" ht="15" customHeight="1"/>
    <row r="51121" ht="15" customHeight="1"/>
    <row r="51122" ht="15" customHeight="1"/>
    <row r="51123" ht="15" customHeight="1"/>
    <row r="51124" ht="15" customHeight="1"/>
    <row r="51125" ht="15" customHeight="1"/>
    <row r="51126" ht="15" customHeight="1"/>
    <row r="51127" ht="15" customHeight="1"/>
    <row r="51128" ht="15" customHeight="1"/>
    <row r="51129" ht="15" customHeight="1"/>
    <row r="51130" ht="15" customHeight="1"/>
    <row r="51131" ht="15" customHeight="1"/>
    <row r="51132" ht="15" customHeight="1"/>
    <row r="51133" ht="15" customHeight="1"/>
    <row r="51134" ht="15" customHeight="1"/>
    <row r="51135" ht="15" customHeight="1"/>
    <row r="51136" ht="15" customHeight="1"/>
    <row r="51137" ht="15" customHeight="1"/>
    <row r="51138" ht="15" customHeight="1"/>
    <row r="51139" ht="15" customHeight="1"/>
    <row r="51140" ht="15" customHeight="1"/>
    <row r="51141" ht="15" customHeight="1"/>
    <row r="51142" ht="15" customHeight="1"/>
    <row r="51143" ht="15" customHeight="1"/>
    <row r="51144" ht="15" customHeight="1"/>
    <row r="51145" ht="15" customHeight="1"/>
    <row r="51146" ht="15" customHeight="1"/>
    <row r="51147" ht="15" customHeight="1"/>
    <row r="51148" ht="15" customHeight="1"/>
    <row r="51149" ht="15" customHeight="1"/>
    <row r="51150" ht="15" customHeight="1"/>
    <row r="51151" ht="15" customHeight="1"/>
    <row r="51152" ht="15" customHeight="1"/>
    <row r="51153" ht="15" customHeight="1"/>
    <row r="51154" ht="15" customHeight="1"/>
    <row r="51155" ht="15" customHeight="1"/>
    <row r="51156" ht="15" customHeight="1"/>
    <row r="51157" ht="15" customHeight="1"/>
    <row r="51158" ht="15" customHeight="1"/>
    <row r="51159" ht="15" customHeight="1"/>
    <row r="51160" ht="15" customHeight="1"/>
    <row r="51161" ht="15" customHeight="1"/>
    <row r="51162" ht="15" customHeight="1"/>
    <row r="51163" ht="15" customHeight="1"/>
    <row r="51164" ht="15" customHeight="1"/>
    <row r="51165" ht="15" customHeight="1"/>
    <row r="51166" ht="15" customHeight="1"/>
    <row r="51167" ht="15" customHeight="1"/>
    <row r="51168" ht="15" customHeight="1"/>
    <row r="51169" ht="15" customHeight="1"/>
    <row r="51170" ht="15" customHeight="1"/>
    <row r="51171" ht="15" customHeight="1"/>
    <row r="51172" ht="15" customHeight="1"/>
    <row r="51173" ht="15" customHeight="1"/>
    <row r="51174" ht="15" customHeight="1"/>
    <row r="51175" ht="15" customHeight="1"/>
    <row r="51176" ht="15" customHeight="1"/>
    <row r="51177" ht="15" customHeight="1"/>
    <row r="51178" ht="15" customHeight="1"/>
    <row r="51179" ht="15" customHeight="1"/>
    <row r="51180" ht="15" customHeight="1"/>
    <row r="51181" ht="15" customHeight="1"/>
    <row r="51182" ht="15" customHeight="1"/>
    <row r="51183" ht="15" customHeight="1"/>
    <row r="51184" ht="15" customHeight="1"/>
    <row r="51185" ht="15" customHeight="1"/>
    <row r="51186" ht="15" customHeight="1"/>
    <row r="51187" ht="15" customHeight="1"/>
    <row r="51188" ht="15" customHeight="1"/>
    <row r="51189" ht="15" customHeight="1"/>
    <row r="51190" ht="15" customHeight="1"/>
    <row r="51191" ht="15" customHeight="1"/>
    <row r="51192" ht="15" customHeight="1"/>
    <row r="51193" ht="15" customHeight="1"/>
    <row r="51194" ht="15" customHeight="1"/>
    <row r="51195" ht="15" customHeight="1"/>
    <row r="51196" ht="15" customHeight="1"/>
    <row r="51197" ht="15" customHeight="1"/>
    <row r="51198" ht="15" customHeight="1"/>
    <row r="51199" ht="15" customHeight="1"/>
    <row r="51200" ht="15" customHeight="1"/>
    <row r="51201" ht="15" customHeight="1"/>
    <row r="51202" ht="15" customHeight="1"/>
    <row r="51203" ht="15" customHeight="1"/>
    <row r="51204" ht="15" customHeight="1"/>
    <row r="51205" ht="15" customHeight="1"/>
    <row r="51206" ht="15" customHeight="1"/>
    <row r="51207" ht="15" customHeight="1"/>
    <row r="51208" ht="15" customHeight="1"/>
    <row r="51209" ht="15" customHeight="1"/>
    <row r="51210" ht="15" customHeight="1"/>
    <row r="51211" ht="15" customHeight="1"/>
    <row r="51212" ht="15" customHeight="1"/>
    <row r="51213" ht="15" customHeight="1"/>
    <row r="51214" ht="15" customHeight="1"/>
    <row r="51215" ht="15" customHeight="1"/>
    <row r="51216" ht="15" customHeight="1"/>
    <row r="51217" ht="15" customHeight="1"/>
    <row r="51218" ht="15" customHeight="1"/>
    <row r="51219" ht="15" customHeight="1"/>
    <row r="51220" ht="15" customHeight="1"/>
    <row r="51221" ht="15" customHeight="1"/>
    <row r="51222" ht="15" customHeight="1"/>
    <row r="51223" ht="15" customHeight="1"/>
    <row r="51224" ht="15" customHeight="1"/>
    <row r="51225" ht="15" customHeight="1"/>
    <row r="51226" ht="15" customHeight="1"/>
    <row r="51227" ht="15" customHeight="1"/>
    <row r="51228" ht="15" customHeight="1"/>
    <row r="51229" ht="15" customHeight="1"/>
    <row r="51230" ht="15" customHeight="1"/>
    <row r="51231" ht="15" customHeight="1"/>
    <row r="51232" ht="15" customHeight="1"/>
    <row r="51233" ht="15" customHeight="1"/>
    <row r="51234" ht="15" customHeight="1"/>
    <row r="51235" ht="15" customHeight="1"/>
    <row r="51236" ht="15" customHeight="1"/>
    <row r="51237" ht="15" customHeight="1"/>
    <row r="51238" ht="15" customHeight="1"/>
    <row r="51239" ht="15" customHeight="1"/>
    <row r="51240" ht="15" customHeight="1"/>
    <row r="51241" ht="15" customHeight="1"/>
    <row r="51242" ht="15" customHeight="1"/>
    <row r="51243" ht="15" customHeight="1"/>
    <row r="51244" ht="15" customHeight="1"/>
    <row r="51245" ht="15" customHeight="1"/>
    <row r="51246" ht="15" customHeight="1"/>
    <row r="51247" ht="15" customHeight="1"/>
    <row r="51248" ht="15" customHeight="1"/>
    <row r="51249" ht="15" customHeight="1"/>
    <row r="51250" ht="15" customHeight="1"/>
    <row r="51251" ht="15" customHeight="1"/>
    <row r="51252" ht="15" customHeight="1"/>
    <row r="51253" ht="15" customHeight="1"/>
    <row r="51254" ht="15" customHeight="1"/>
    <row r="51255" ht="15" customHeight="1"/>
    <row r="51256" ht="15" customHeight="1"/>
    <row r="51257" ht="15" customHeight="1"/>
    <row r="51258" ht="15" customHeight="1"/>
    <row r="51259" ht="15" customHeight="1"/>
    <row r="51260" ht="15" customHeight="1"/>
    <row r="51261" ht="15" customHeight="1"/>
    <row r="51262" ht="15" customHeight="1"/>
    <row r="51263" ht="15" customHeight="1"/>
    <row r="51264" ht="15" customHeight="1"/>
    <row r="51265" ht="15" customHeight="1"/>
    <row r="51266" ht="15" customHeight="1"/>
    <row r="51267" ht="15" customHeight="1"/>
    <row r="51268" ht="15" customHeight="1"/>
    <row r="51269" ht="15" customHeight="1"/>
    <row r="51270" ht="15" customHeight="1"/>
    <row r="51271" ht="15" customHeight="1"/>
    <row r="51272" ht="15" customHeight="1"/>
    <row r="51273" ht="15" customHeight="1"/>
    <row r="51274" ht="15" customHeight="1"/>
    <row r="51275" ht="15" customHeight="1"/>
    <row r="51276" ht="15" customHeight="1"/>
    <row r="51277" ht="15" customHeight="1"/>
    <row r="51278" ht="15" customHeight="1"/>
    <row r="51279" ht="15" customHeight="1"/>
    <row r="51280" ht="15" customHeight="1"/>
    <row r="51281" ht="15" customHeight="1"/>
    <row r="51282" ht="15" customHeight="1"/>
    <row r="51283" ht="15" customHeight="1"/>
    <row r="51284" ht="15" customHeight="1"/>
    <row r="51285" ht="15" customHeight="1"/>
    <row r="51286" ht="15" customHeight="1"/>
    <row r="51287" ht="15" customHeight="1"/>
    <row r="51288" ht="15" customHeight="1"/>
    <row r="51289" ht="15" customHeight="1"/>
    <row r="51290" ht="15" customHeight="1"/>
    <row r="51291" ht="15" customHeight="1"/>
    <row r="51292" ht="15" customHeight="1"/>
    <row r="51293" ht="15" customHeight="1"/>
    <row r="51294" ht="15" customHeight="1"/>
    <row r="51295" ht="15" customHeight="1"/>
    <row r="51296" ht="15" customHeight="1"/>
    <row r="51297" ht="15" customHeight="1"/>
    <row r="51298" ht="15" customHeight="1"/>
    <row r="51299" ht="15" customHeight="1"/>
    <row r="51300" ht="15" customHeight="1"/>
    <row r="51301" ht="15" customHeight="1"/>
    <row r="51302" ht="15" customHeight="1"/>
    <row r="51303" ht="15" customHeight="1"/>
    <row r="51304" ht="15" customHeight="1"/>
    <row r="51305" ht="15" customHeight="1"/>
    <row r="51306" ht="15" customHeight="1"/>
    <row r="51307" ht="15" customHeight="1"/>
    <row r="51308" ht="15" customHeight="1"/>
    <row r="51309" ht="15" customHeight="1"/>
    <row r="51310" ht="15" customHeight="1"/>
    <row r="51311" ht="15" customHeight="1"/>
    <row r="51312" ht="15" customHeight="1"/>
    <row r="51313" ht="15" customHeight="1"/>
    <row r="51314" ht="15" customHeight="1"/>
    <row r="51315" ht="15" customHeight="1"/>
    <row r="51316" ht="15" customHeight="1"/>
    <row r="51317" ht="15" customHeight="1"/>
    <row r="51318" ht="15" customHeight="1"/>
    <row r="51319" ht="15" customHeight="1"/>
    <row r="51320" ht="15" customHeight="1"/>
    <row r="51321" ht="15" customHeight="1"/>
    <row r="51322" ht="15" customHeight="1"/>
    <row r="51323" ht="15" customHeight="1"/>
    <row r="51324" ht="15" customHeight="1"/>
    <row r="51325" ht="15" customHeight="1"/>
    <row r="51326" ht="15" customHeight="1"/>
    <row r="51327" ht="15" customHeight="1"/>
    <row r="51328" ht="15" customHeight="1"/>
    <row r="51329" ht="15" customHeight="1"/>
    <row r="51330" ht="15" customHeight="1"/>
    <row r="51331" ht="15" customHeight="1"/>
    <row r="51332" ht="15" customHeight="1"/>
    <row r="51333" ht="15" customHeight="1"/>
    <row r="51334" ht="15" customHeight="1"/>
    <row r="51335" ht="15" customHeight="1"/>
    <row r="51336" ht="15" customHeight="1"/>
    <row r="51337" ht="15" customHeight="1"/>
    <row r="51338" ht="15" customHeight="1"/>
    <row r="51339" ht="15" customHeight="1"/>
    <row r="51340" ht="15" customHeight="1"/>
    <row r="51341" ht="15" customHeight="1"/>
    <row r="51342" ht="15" customHeight="1"/>
    <row r="51343" ht="15" customHeight="1"/>
    <row r="51344" ht="15" customHeight="1"/>
    <row r="51345" ht="15" customHeight="1"/>
    <row r="51346" ht="15" customHeight="1"/>
    <row r="51347" ht="15" customHeight="1"/>
    <row r="51348" ht="15" customHeight="1"/>
    <row r="51349" ht="15" customHeight="1"/>
    <row r="51350" ht="15" customHeight="1"/>
    <row r="51351" ht="15" customHeight="1"/>
    <row r="51352" ht="15" customHeight="1"/>
    <row r="51353" ht="15" customHeight="1"/>
    <row r="51354" ht="15" customHeight="1"/>
    <row r="51355" ht="15" customHeight="1"/>
    <row r="51356" ht="15" customHeight="1"/>
    <row r="51357" ht="15" customHeight="1"/>
    <row r="51358" ht="15" customHeight="1"/>
    <row r="51359" ht="15" customHeight="1"/>
    <row r="51360" ht="15" customHeight="1"/>
    <row r="51361" ht="15" customHeight="1"/>
    <row r="51362" ht="15" customHeight="1"/>
    <row r="51363" ht="15" customHeight="1"/>
    <row r="51364" ht="15" customHeight="1"/>
    <row r="51365" ht="15" customHeight="1"/>
    <row r="51366" ht="15" customHeight="1"/>
    <row r="51367" ht="15" customHeight="1"/>
    <row r="51368" ht="15" customHeight="1"/>
    <row r="51369" ht="15" customHeight="1"/>
    <row r="51370" ht="15" customHeight="1"/>
    <row r="51371" ht="15" customHeight="1"/>
    <row r="51372" ht="15" customHeight="1"/>
    <row r="51373" ht="15" customHeight="1"/>
    <row r="51374" ht="15" customHeight="1"/>
    <row r="51375" ht="15" customHeight="1"/>
    <row r="51376" ht="15" customHeight="1"/>
    <row r="51377" ht="15" customHeight="1"/>
    <row r="51378" ht="15" customHeight="1"/>
    <row r="51379" ht="15" customHeight="1"/>
    <row r="51380" ht="15" customHeight="1"/>
    <row r="51381" ht="15" customHeight="1"/>
    <row r="51382" ht="15" customHeight="1"/>
    <row r="51383" ht="15" customHeight="1"/>
    <row r="51384" ht="15" customHeight="1"/>
    <row r="51385" ht="15" customHeight="1"/>
    <row r="51386" ht="15" customHeight="1"/>
    <row r="51387" ht="15" customHeight="1"/>
    <row r="51388" ht="15" customHeight="1"/>
    <row r="51389" ht="15" customHeight="1"/>
    <row r="51390" ht="15" customHeight="1"/>
    <row r="51391" ht="15" customHeight="1"/>
    <row r="51392" ht="15" customHeight="1"/>
    <row r="51393" ht="15" customHeight="1"/>
    <row r="51394" ht="15" customHeight="1"/>
    <row r="51395" ht="15" customHeight="1"/>
    <row r="51396" ht="15" customHeight="1"/>
    <row r="51397" ht="15" customHeight="1"/>
    <row r="51398" ht="15" customHeight="1"/>
    <row r="51399" ht="15" customHeight="1"/>
    <row r="51400" ht="15" customHeight="1"/>
    <row r="51401" ht="15" customHeight="1"/>
    <row r="51402" ht="15" customHeight="1"/>
    <row r="51403" ht="15" customHeight="1"/>
    <row r="51404" ht="15" customHeight="1"/>
    <row r="51405" ht="15" customHeight="1"/>
    <row r="51406" ht="15" customHeight="1"/>
    <row r="51407" ht="15" customHeight="1"/>
    <row r="51408" ht="15" customHeight="1"/>
    <row r="51409" ht="15" customHeight="1"/>
    <row r="51410" ht="15" customHeight="1"/>
    <row r="51411" ht="15" customHeight="1"/>
    <row r="51412" ht="15" customHeight="1"/>
    <row r="51413" ht="15" customHeight="1"/>
    <row r="51414" ht="15" customHeight="1"/>
    <row r="51415" ht="15" customHeight="1"/>
    <row r="51416" ht="15" customHeight="1"/>
    <row r="51417" ht="15" customHeight="1"/>
    <row r="51418" ht="15" customHeight="1"/>
    <row r="51419" ht="15" customHeight="1"/>
    <row r="51420" ht="15" customHeight="1"/>
    <row r="51421" ht="15" customHeight="1"/>
    <row r="51422" ht="15" customHeight="1"/>
    <row r="51423" ht="15" customHeight="1"/>
    <row r="51424" ht="15" customHeight="1"/>
    <row r="51425" ht="15" customHeight="1"/>
    <row r="51426" ht="15" customHeight="1"/>
    <row r="51427" ht="15" customHeight="1"/>
    <row r="51428" ht="15" customHeight="1"/>
    <row r="51429" ht="15" customHeight="1"/>
    <row r="51430" ht="15" customHeight="1"/>
    <row r="51431" ht="15" customHeight="1"/>
    <row r="51432" ht="15" customHeight="1"/>
    <row r="51433" ht="15" customHeight="1"/>
    <row r="51434" ht="15" customHeight="1"/>
    <row r="51435" ht="15" customHeight="1"/>
    <row r="51436" ht="15" customHeight="1"/>
    <row r="51437" ht="15" customHeight="1"/>
    <row r="51438" ht="15" customHeight="1"/>
    <row r="51439" ht="15" customHeight="1"/>
    <row r="51440" ht="15" customHeight="1"/>
    <row r="51441" ht="15" customHeight="1"/>
    <row r="51442" ht="15" customHeight="1"/>
    <row r="51443" ht="15" customHeight="1"/>
    <row r="51444" ht="15" customHeight="1"/>
    <row r="51445" ht="15" customHeight="1"/>
    <row r="51446" ht="15" customHeight="1"/>
    <row r="51447" ht="15" customHeight="1"/>
    <row r="51448" ht="15" customHeight="1"/>
    <row r="51449" ht="15" customHeight="1"/>
    <row r="51450" ht="15" customHeight="1"/>
    <row r="51451" ht="15" customHeight="1"/>
    <row r="51452" ht="15" customHeight="1"/>
    <row r="51453" ht="15" customHeight="1"/>
    <row r="51454" ht="15" customHeight="1"/>
    <row r="51455" ht="15" customHeight="1"/>
    <row r="51456" ht="15" customHeight="1"/>
    <row r="51457" ht="15" customHeight="1"/>
    <row r="51458" ht="15" customHeight="1"/>
    <row r="51459" ht="15" customHeight="1"/>
    <row r="51460" ht="15" customHeight="1"/>
    <row r="51461" ht="15" customHeight="1"/>
    <row r="51462" ht="15" customHeight="1"/>
    <row r="51463" ht="15" customHeight="1"/>
    <row r="51464" ht="15" customHeight="1"/>
    <row r="51465" ht="15" customHeight="1"/>
    <row r="51466" ht="15" customHeight="1"/>
    <row r="51467" ht="15" customHeight="1"/>
    <row r="51468" ht="15" customHeight="1"/>
    <row r="51469" ht="15" customHeight="1"/>
    <row r="51470" ht="15" customHeight="1"/>
    <row r="51471" ht="15" customHeight="1"/>
    <row r="51472" ht="15" customHeight="1"/>
    <row r="51473" ht="15" customHeight="1"/>
    <row r="51474" ht="15" customHeight="1"/>
    <row r="51475" ht="15" customHeight="1"/>
    <row r="51476" ht="15" customHeight="1"/>
    <row r="51477" ht="15" customHeight="1"/>
    <row r="51478" ht="15" customHeight="1"/>
    <row r="51479" ht="15" customHeight="1"/>
    <row r="51480" ht="15" customHeight="1"/>
    <row r="51481" ht="15" customHeight="1"/>
    <row r="51482" ht="15" customHeight="1"/>
    <row r="51483" ht="15" customHeight="1"/>
    <row r="51484" ht="15" customHeight="1"/>
    <row r="51485" ht="15" customHeight="1"/>
    <row r="51486" ht="15" customHeight="1"/>
    <row r="51487" ht="15" customHeight="1"/>
    <row r="51488" ht="15" customHeight="1"/>
    <row r="51489" ht="15" customHeight="1"/>
    <row r="51490" ht="15" customHeight="1"/>
    <row r="51491" ht="15" customHeight="1"/>
    <row r="51492" ht="15" customHeight="1"/>
    <row r="51493" ht="15" customHeight="1"/>
    <row r="51494" ht="15" customHeight="1"/>
    <row r="51495" ht="15" customHeight="1"/>
    <row r="51496" ht="15" customHeight="1"/>
    <row r="51497" ht="15" customHeight="1"/>
    <row r="51498" ht="15" customHeight="1"/>
    <row r="51499" ht="15" customHeight="1"/>
    <row r="51500" ht="15" customHeight="1"/>
    <row r="51501" ht="15" customHeight="1"/>
    <row r="51502" ht="15" customHeight="1"/>
    <row r="51503" ht="15" customHeight="1"/>
    <row r="51504" ht="15" customHeight="1"/>
    <row r="51505" ht="15" customHeight="1"/>
    <row r="51506" ht="15" customHeight="1"/>
    <row r="51507" ht="15" customHeight="1"/>
    <row r="51508" ht="15" customHeight="1"/>
    <row r="51509" ht="15" customHeight="1"/>
    <row r="51510" ht="15" customHeight="1"/>
    <row r="51511" ht="15" customHeight="1"/>
    <row r="51512" ht="15" customHeight="1"/>
    <row r="51513" ht="15" customHeight="1"/>
    <row r="51514" ht="15" customHeight="1"/>
    <row r="51515" ht="15" customHeight="1"/>
    <row r="51516" ht="15" customHeight="1"/>
    <row r="51517" ht="15" customHeight="1"/>
    <row r="51518" ht="15" customHeight="1"/>
    <row r="51519" ht="15" customHeight="1"/>
    <row r="51520" ht="15" customHeight="1"/>
    <row r="51521" ht="15" customHeight="1"/>
    <row r="51522" ht="15" customHeight="1"/>
    <row r="51523" ht="15" customHeight="1"/>
    <row r="51524" ht="15" customHeight="1"/>
    <row r="51525" ht="15" customHeight="1"/>
    <row r="51526" ht="15" customHeight="1"/>
    <row r="51527" ht="15" customHeight="1"/>
    <row r="51528" ht="15" customHeight="1"/>
    <row r="51529" ht="15" customHeight="1"/>
    <row r="51530" ht="15" customHeight="1"/>
    <row r="51531" ht="15" customHeight="1"/>
    <row r="51532" ht="15" customHeight="1"/>
    <row r="51533" ht="15" customHeight="1"/>
    <row r="51534" ht="15" customHeight="1"/>
    <row r="51535" ht="15" customHeight="1"/>
    <row r="51536" ht="15" customHeight="1"/>
    <row r="51537" ht="15" customHeight="1"/>
    <row r="51538" ht="15" customHeight="1"/>
    <row r="51539" ht="15" customHeight="1"/>
    <row r="51540" ht="15" customHeight="1"/>
    <row r="51541" ht="15" customHeight="1"/>
    <row r="51542" ht="15" customHeight="1"/>
    <row r="51543" ht="15" customHeight="1"/>
    <row r="51544" ht="15" customHeight="1"/>
    <row r="51545" ht="15" customHeight="1"/>
    <row r="51546" ht="15" customHeight="1"/>
    <row r="51547" ht="15" customHeight="1"/>
    <row r="51548" ht="15" customHeight="1"/>
    <row r="51549" ht="15" customHeight="1"/>
    <row r="51550" ht="15" customHeight="1"/>
    <row r="51551" ht="15" customHeight="1"/>
    <row r="51552" ht="15" customHeight="1"/>
    <row r="51553" ht="15" customHeight="1"/>
    <row r="51554" ht="15" customHeight="1"/>
    <row r="51555" ht="15" customHeight="1"/>
    <row r="51556" ht="15" customHeight="1"/>
    <row r="51557" ht="15" customHeight="1"/>
    <row r="51558" ht="15" customHeight="1"/>
    <row r="51559" ht="15" customHeight="1"/>
    <row r="51560" ht="15" customHeight="1"/>
    <row r="51561" ht="15" customHeight="1"/>
    <row r="51562" ht="15" customHeight="1"/>
    <row r="51563" ht="15" customHeight="1"/>
    <row r="51564" ht="15" customHeight="1"/>
    <row r="51565" ht="15" customHeight="1"/>
    <row r="51566" ht="15" customHeight="1"/>
    <row r="51567" ht="15" customHeight="1"/>
    <row r="51568" ht="15" customHeight="1"/>
    <row r="51569" ht="15" customHeight="1"/>
    <row r="51570" ht="15" customHeight="1"/>
    <row r="51571" ht="15" customHeight="1"/>
    <row r="51572" ht="15" customHeight="1"/>
    <row r="51573" ht="15" customHeight="1"/>
    <row r="51574" ht="15" customHeight="1"/>
    <row r="51575" ht="15" customHeight="1"/>
    <row r="51576" ht="15" customHeight="1"/>
    <row r="51577" ht="15" customHeight="1"/>
    <row r="51578" ht="15" customHeight="1"/>
    <row r="51579" ht="15" customHeight="1"/>
    <row r="51580" ht="15" customHeight="1"/>
    <row r="51581" ht="15" customHeight="1"/>
    <row r="51582" ht="15" customHeight="1"/>
    <row r="51583" ht="15" customHeight="1"/>
    <row r="51584" ht="15" customHeight="1"/>
    <row r="51585" ht="15" customHeight="1"/>
    <row r="51586" ht="15" customHeight="1"/>
    <row r="51587" ht="15" customHeight="1"/>
    <row r="51588" ht="15" customHeight="1"/>
    <row r="51589" ht="15" customHeight="1"/>
    <row r="51590" ht="15" customHeight="1"/>
    <row r="51591" ht="15" customHeight="1"/>
    <row r="51592" ht="15" customHeight="1"/>
    <row r="51593" ht="15" customHeight="1"/>
    <row r="51594" ht="15" customHeight="1"/>
    <row r="51595" ht="15" customHeight="1"/>
    <row r="51596" ht="15" customHeight="1"/>
    <row r="51597" ht="15" customHeight="1"/>
    <row r="51598" ht="15" customHeight="1"/>
    <row r="51599" ht="15" customHeight="1"/>
    <row r="51600" ht="15" customHeight="1"/>
    <row r="51601" ht="15" customHeight="1"/>
    <row r="51602" ht="15" customHeight="1"/>
    <row r="51603" ht="15" customHeight="1"/>
    <row r="51604" ht="15" customHeight="1"/>
    <row r="51605" ht="15" customHeight="1"/>
    <row r="51606" ht="15" customHeight="1"/>
    <row r="51607" ht="15" customHeight="1"/>
    <row r="51608" ht="15" customHeight="1"/>
    <row r="51609" ht="15" customHeight="1"/>
    <row r="51610" ht="15" customHeight="1"/>
    <row r="51611" ht="15" customHeight="1"/>
    <row r="51612" ht="15" customHeight="1"/>
    <row r="51613" ht="15" customHeight="1"/>
    <row r="51614" ht="15" customHeight="1"/>
    <row r="51615" ht="15" customHeight="1"/>
    <row r="51616" ht="15" customHeight="1"/>
    <row r="51617" ht="15" customHeight="1"/>
    <row r="51618" ht="15" customHeight="1"/>
    <row r="51619" ht="15" customHeight="1"/>
    <row r="51620" ht="15" customHeight="1"/>
    <row r="51621" ht="15" customHeight="1"/>
    <row r="51622" ht="15" customHeight="1"/>
    <row r="51623" ht="15" customHeight="1"/>
    <row r="51624" ht="15" customHeight="1"/>
    <row r="51625" ht="15" customHeight="1"/>
    <row r="51626" ht="15" customHeight="1"/>
    <row r="51627" ht="15" customHeight="1"/>
    <row r="51628" ht="15" customHeight="1"/>
    <row r="51629" ht="15" customHeight="1"/>
    <row r="51630" ht="15" customHeight="1"/>
    <row r="51631" ht="15" customHeight="1"/>
    <row r="51632" ht="15" customHeight="1"/>
    <row r="51633" ht="15" customHeight="1"/>
    <row r="51634" ht="15" customHeight="1"/>
    <row r="51635" ht="15" customHeight="1"/>
    <row r="51636" ht="15" customHeight="1"/>
    <row r="51637" ht="15" customHeight="1"/>
    <row r="51638" ht="15" customHeight="1"/>
    <row r="51639" ht="15" customHeight="1"/>
    <row r="51640" ht="15" customHeight="1"/>
    <row r="51641" ht="15" customHeight="1"/>
    <row r="51642" ht="15" customHeight="1"/>
    <row r="51643" ht="15" customHeight="1"/>
    <row r="51644" ht="15" customHeight="1"/>
    <row r="51645" ht="15" customHeight="1"/>
    <row r="51646" ht="15" customHeight="1"/>
    <row r="51647" ht="15" customHeight="1"/>
    <row r="51648" ht="15" customHeight="1"/>
    <row r="51649" ht="15" customHeight="1"/>
    <row r="51650" ht="15" customHeight="1"/>
    <row r="51651" ht="15" customHeight="1"/>
    <row r="51652" ht="15" customHeight="1"/>
    <row r="51653" ht="15" customHeight="1"/>
    <row r="51654" ht="15" customHeight="1"/>
    <row r="51655" ht="15" customHeight="1"/>
    <row r="51656" ht="15" customHeight="1"/>
    <row r="51657" ht="15" customHeight="1"/>
    <row r="51658" ht="15" customHeight="1"/>
    <row r="51659" ht="15" customHeight="1"/>
    <row r="51660" ht="15" customHeight="1"/>
    <row r="51661" ht="15" customHeight="1"/>
    <row r="51662" ht="15" customHeight="1"/>
    <row r="51663" ht="15" customHeight="1"/>
    <row r="51664" ht="15" customHeight="1"/>
    <row r="51665" ht="15" customHeight="1"/>
    <row r="51666" ht="15" customHeight="1"/>
    <row r="51667" ht="15" customHeight="1"/>
    <row r="51668" ht="15" customHeight="1"/>
    <row r="51669" ht="15" customHeight="1"/>
    <row r="51670" ht="15" customHeight="1"/>
    <row r="51671" ht="15" customHeight="1"/>
    <row r="51672" ht="15" customHeight="1"/>
    <row r="51673" ht="15" customHeight="1"/>
    <row r="51674" ht="15" customHeight="1"/>
    <row r="51675" ht="15" customHeight="1"/>
    <row r="51676" ht="15" customHeight="1"/>
    <row r="51677" ht="15" customHeight="1"/>
    <row r="51678" ht="15" customHeight="1"/>
    <row r="51679" ht="15" customHeight="1"/>
    <row r="51680" ht="15" customHeight="1"/>
    <row r="51681" ht="15" customHeight="1"/>
    <row r="51682" ht="15" customHeight="1"/>
    <row r="51683" ht="15" customHeight="1"/>
    <row r="51684" ht="15" customHeight="1"/>
    <row r="51685" ht="15" customHeight="1"/>
    <row r="51686" ht="15" customHeight="1"/>
    <row r="51687" ht="15" customHeight="1"/>
    <row r="51688" ht="15" customHeight="1"/>
    <row r="51689" ht="15" customHeight="1"/>
    <row r="51690" ht="15" customHeight="1"/>
    <row r="51691" ht="15" customHeight="1"/>
    <row r="51692" ht="15" customHeight="1"/>
    <row r="51693" ht="15" customHeight="1"/>
    <row r="51694" ht="15" customHeight="1"/>
    <row r="51695" ht="15" customHeight="1"/>
    <row r="51696" ht="15" customHeight="1"/>
    <row r="51697" ht="15" customHeight="1"/>
    <row r="51698" ht="15" customHeight="1"/>
    <row r="51699" ht="15" customHeight="1"/>
    <row r="51700" ht="15" customHeight="1"/>
    <row r="51701" ht="15" customHeight="1"/>
    <row r="51702" ht="15" customHeight="1"/>
    <row r="51703" ht="15" customHeight="1"/>
    <row r="51704" ht="15" customHeight="1"/>
    <row r="51705" ht="15" customHeight="1"/>
    <row r="51706" ht="15" customHeight="1"/>
    <row r="51707" ht="15" customHeight="1"/>
    <row r="51708" ht="15" customHeight="1"/>
    <row r="51709" ht="15" customHeight="1"/>
    <row r="51710" ht="15" customHeight="1"/>
    <row r="51711" ht="15" customHeight="1"/>
    <row r="51712" ht="15" customHeight="1"/>
    <row r="51713" ht="15" customHeight="1"/>
    <row r="51714" ht="15" customHeight="1"/>
    <row r="51715" ht="15" customHeight="1"/>
    <row r="51716" ht="15" customHeight="1"/>
    <row r="51717" ht="15" customHeight="1"/>
    <row r="51718" ht="15" customHeight="1"/>
    <row r="51719" ht="15" customHeight="1"/>
    <row r="51720" ht="15" customHeight="1"/>
    <row r="51721" ht="15" customHeight="1"/>
    <row r="51722" ht="15" customHeight="1"/>
    <row r="51723" ht="15" customHeight="1"/>
    <row r="51724" ht="15" customHeight="1"/>
    <row r="51725" ht="15" customHeight="1"/>
    <row r="51726" ht="15" customHeight="1"/>
    <row r="51727" ht="15" customHeight="1"/>
    <row r="51728" ht="15" customHeight="1"/>
    <row r="51729" ht="15" customHeight="1"/>
    <row r="51730" ht="15" customHeight="1"/>
    <row r="51731" ht="15" customHeight="1"/>
    <row r="51732" ht="15" customHeight="1"/>
    <row r="51733" ht="15" customHeight="1"/>
    <row r="51734" ht="15" customHeight="1"/>
    <row r="51735" ht="15" customHeight="1"/>
    <row r="51736" ht="15" customHeight="1"/>
    <row r="51737" ht="15" customHeight="1"/>
    <row r="51738" ht="15" customHeight="1"/>
    <row r="51739" ht="15" customHeight="1"/>
    <row r="51740" ht="15" customHeight="1"/>
    <row r="51741" ht="15" customHeight="1"/>
    <row r="51742" ht="15" customHeight="1"/>
    <row r="51743" ht="15" customHeight="1"/>
    <row r="51744" ht="15" customHeight="1"/>
    <row r="51745" ht="15" customHeight="1"/>
    <row r="51746" ht="15" customHeight="1"/>
    <row r="51747" ht="15" customHeight="1"/>
    <row r="51748" ht="15" customHeight="1"/>
    <row r="51749" ht="15" customHeight="1"/>
    <row r="51750" ht="15" customHeight="1"/>
    <row r="51751" ht="15" customHeight="1"/>
    <row r="51752" ht="15" customHeight="1"/>
    <row r="51753" ht="15" customHeight="1"/>
    <row r="51754" ht="15" customHeight="1"/>
    <row r="51755" ht="15" customHeight="1"/>
    <row r="51756" ht="15" customHeight="1"/>
    <row r="51757" ht="15" customHeight="1"/>
    <row r="51758" ht="15" customHeight="1"/>
    <row r="51759" ht="15" customHeight="1"/>
    <row r="51760" ht="15" customHeight="1"/>
    <row r="51761" ht="15" customHeight="1"/>
    <row r="51762" ht="15" customHeight="1"/>
    <row r="51763" ht="15" customHeight="1"/>
    <row r="51764" ht="15" customHeight="1"/>
    <row r="51765" ht="15" customHeight="1"/>
    <row r="51766" ht="15" customHeight="1"/>
    <row r="51767" ht="15" customHeight="1"/>
    <row r="51768" ht="15" customHeight="1"/>
    <row r="51769" ht="15" customHeight="1"/>
    <row r="51770" ht="15" customHeight="1"/>
    <row r="51771" ht="15" customHeight="1"/>
    <row r="51772" ht="15" customHeight="1"/>
    <row r="51773" ht="15" customHeight="1"/>
    <row r="51774" ht="15" customHeight="1"/>
    <row r="51775" ht="15" customHeight="1"/>
    <row r="51776" ht="15" customHeight="1"/>
    <row r="51777" ht="15" customHeight="1"/>
    <row r="51778" ht="15" customHeight="1"/>
    <row r="51779" ht="15" customHeight="1"/>
    <row r="51780" ht="15" customHeight="1"/>
    <row r="51781" ht="15" customHeight="1"/>
    <row r="51782" ht="15" customHeight="1"/>
    <row r="51783" ht="15" customHeight="1"/>
    <row r="51784" ht="15" customHeight="1"/>
    <row r="51785" ht="15" customHeight="1"/>
    <row r="51786" ht="15" customHeight="1"/>
    <row r="51787" ht="15" customHeight="1"/>
    <row r="51788" ht="15" customHeight="1"/>
    <row r="51789" ht="15" customHeight="1"/>
    <row r="51790" ht="15" customHeight="1"/>
    <row r="51791" ht="15" customHeight="1"/>
    <row r="51792" ht="15" customHeight="1"/>
    <row r="51793" ht="15" customHeight="1"/>
    <row r="51794" ht="15" customHeight="1"/>
    <row r="51795" ht="15" customHeight="1"/>
    <row r="51796" ht="15" customHeight="1"/>
    <row r="51797" ht="15" customHeight="1"/>
    <row r="51798" ht="15" customHeight="1"/>
    <row r="51799" ht="15" customHeight="1"/>
    <row r="51800" ht="15" customHeight="1"/>
    <row r="51801" ht="15" customHeight="1"/>
    <row r="51802" ht="15" customHeight="1"/>
    <row r="51803" ht="15" customHeight="1"/>
    <row r="51804" ht="15" customHeight="1"/>
    <row r="51805" ht="15" customHeight="1"/>
    <row r="51806" ht="15" customHeight="1"/>
    <row r="51807" ht="15" customHeight="1"/>
    <row r="51808" ht="15" customHeight="1"/>
    <row r="51809" ht="15" customHeight="1"/>
    <row r="51810" ht="15" customHeight="1"/>
    <row r="51811" ht="15" customHeight="1"/>
    <row r="51812" ht="15" customHeight="1"/>
    <row r="51813" ht="15" customHeight="1"/>
    <row r="51814" ht="15" customHeight="1"/>
    <row r="51815" ht="15" customHeight="1"/>
    <row r="51816" ht="15" customHeight="1"/>
    <row r="51817" ht="15" customHeight="1"/>
    <row r="51818" ht="15" customHeight="1"/>
    <row r="51819" ht="15" customHeight="1"/>
    <row r="51820" ht="15" customHeight="1"/>
    <row r="51821" ht="15" customHeight="1"/>
    <row r="51822" ht="15" customHeight="1"/>
    <row r="51823" ht="15" customHeight="1"/>
    <row r="51824" ht="15" customHeight="1"/>
    <row r="51825" ht="15" customHeight="1"/>
    <row r="51826" ht="15" customHeight="1"/>
    <row r="51827" ht="15" customHeight="1"/>
    <row r="51828" ht="15" customHeight="1"/>
    <row r="51829" ht="15" customHeight="1"/>
    <row r="51830" ht="15" customHeight="1"/>
    <row r="51831" ht="15" customHeight="1"/>
    <row r="51832" ht="15" customHeight="1"/>
    <row r="51833" ht="15" customHeight="1"/>
    <row r="51834" ht="15" customHeight="1"/>
    <row r="51835" ht="15" customHeight="1"/>
    <row r="51836" ht="15" customHeight="1"/>
    <row r="51837" ht="15" customHeight="1"/>
    <row r="51838" ht="15" customHeight="1"/>
    <row r="51839" ht="15" customHeight="1"/>
    <row r="51840" ht="15" customHeight="1"/>
    <row r="51841" ht="15" customHeight="1"/>
    <row r="51842" ht="15" customHeight="1"/>
    <row r="51843" ht="15" customHeight="1"/>
    <row r="51844" ht="15" customHeight="1"/>
    <row r="51845" ht="15" customHeight="1"/>
    <row r="51846" ht="15" customHeight="1"/>
    <row r="51847" ht="15" customHeight="1"/>
    <row r="51848" ht="15" customHeight="1"/>
    <row r="51849" ht="15" customHeight="1"/>
    <row r="51850" ht="15" customHeight="1"/>
    <row r="51851" ht="15" customHeight="1"/>
    <row r="51852" ht="15" customHeight="1"/>
    <row r="51853" ht="15" customHeight="1"/>
    <row r="51854" ht="15" customHeight="1"/>
    <row r="51855" ht="15" customHeight="1"/>
    <row r="51856" ht="15" customHeight="1"/>
    <row r="51857" ht="15" customHeight="1"/>
    <row r="51858" ht="15" customHeight="1"/>
    <row r="51859" ht="15" customHeight="1"/>
    <row r="51860" ht="15" customHeight="1"/>
    <row r="51861" ht="15" customHeight="1"/>
    <row r="51862" ht="15" customHeight="1"/>
    <row r="51863" ht="15" customHeight="1"/>
    <row r="51864" ht="15" customHeight="1"/>
    <row r="51865" ht="15" customHeight="1"/>
    <row r="51866" ht="15" customHeight="1"/>
    <row r="51867" ht="15" customHeight="1"/>
    <row r="51868" ht="15" customHeight="1"/>
    <row r="51869" ht="15" customHeight="1"/>
    <row r="51870" ht="15" customHeight="1"/>
    <row r="51871" ht="15" customHeight="1"/>
    <row r="51872" ht="15" customHeight="1"/>
    <row r="51873" ht="15" customHeight="1"/>
    <row r="51874" ht="15" customHeight="1"/>
    <row r="51875" ht="15" customHeight="1"/>
    <row r="51876" ht="15" customHeight="1"/>
    <row r="51877" ht="15" customHeight="1"/>
    <row r="51878" ht="15" customHeight="1"/>
    <row r="51879" ht="15" customHeight="1"/>
    <row r="51880" ht="15" customHeight="1"/>
    <row r="51881" ht="15" customHeight="1"/>
    <row r="51882" ht="15" customHeight="1"/>
    <row r="51883" ht="15" customHeight="1"/>
    <row r="51884" ht="15" customHeight="1"/>
    <row r="51885" ht="15" customHeight="1"/>
    <row r="51886" ht="15" customHeight="1"/>
    <row r="51887" ht="15" customHeight="1"/>
    <row r="51888" ht="15" customHeight="1"/>
    <row r="51889" ht="15" customHeight="1"/>
    <row r="51890" ht="15" customHeight="1"/>
    <row r="51891" ht="15" customHeight="1"/>
    <row r="51892" ht="15" customHeight="1"/>
    <row r="51893" ht="15" customHeight="1"/>
    <row r="51894" ht="15" customHeight="1"/>
    <row r="51895" ht="15" customHeight="1"/>
    <row r="51896" ht="15" customHeight="1"/>
    <row r="51897" ht="15" customHeight="1"/>
    <row r="51898" ht="15" customHeight="1"/>
    <row r="51899" ht="15" customHeight="1"/>
    <row r="51900" ht="15" customHeight="1"/>
    <row r="51901" ht="15" customHeight="1"/>
    <row r="51902" ht="15" customHeight="1"/>
    <row r="51903" ht="15" customHeight="1"/>
    <row r="51904" ht="15" customHeight="1"/>
    <row r="51905" ht="15" customHeight="1"/>
    <row r="51906" ht="15" customHeight="1"/>
    <row r="51907" ht="15" customHeight="1"/>
    <row r="51908" ht="15" customHeight="1"/>
    <row r="51909" ht="15" customHeight="1"/>
    <row r="51910" ht="15" customHeight="1"/>
    <row r="51911" ht="15" customHeight="1"/>
    <row r="51912" ht="15" customHeight="1"/>
    <row r="51913" ht="15" customHeight="1"/>
    <row r="51914" ht="15" customHeight="1"/>
    <row r="51915" ht="15" customHeight="1"/>
    <row r="51916" ht="15" customHeight="1"/>
    <row r="51917" ht="15" customHeight="1"/>
    <row r="51918" ht="15" customHeight="1"/>
    <row r="51919" ht="15" customHeight="1"/>
    <row r="51920" ht="15" customHeight="1"/>
    <row r="51921" ht="15" customHeight="1"/>
    <row r="51922" ht="15" customHeight="1"/>
    <row r="51923" ht="15" customHeight="1"/>
    <row r="51924" ht="15" customHeight="1"/>
    <row r="51925" ht="15" customHeight="1"/>
    <row r="51926" ht="15" customHeight="1"/>
    <row r="51927" ht="15" customHeight="1"/>
    <row r="51928" ht="15" customHeight="1"/>
    <row r="51929" ht="15" customHeight="1"/>
    <row r="51930" ht="15" customHeight="1"/>
    <row r="51931" ht="15" customHeight="1"/>
    <row r="51932" ht="15" customHeight="1"/>
    <row r="51933" ht="15" customHeight="1"/>
    <row r="51934" ht="15" customHeight="1"/>
    <row r="51935" ht="15" customHeight="1"/>
    <row r="51936" ht="15" customHeight="1"/>
    <row r="51937" ht="15" customHeight="1"/>
    <row r="51938" ht="15" customHeight="1"/>
    <row r="51939" ht="15" customHeight="1"/>
    <row r="51940" ht="15" customHeight="1"/>
    <row r="51941" ht="15" customHeight="1"/>
    <row r="51942" ht="15" customHeight="1"/>
    <row r="51943" ht="15" customHeight="1"/>
    <row r="51944" ht="15" customHeight="1"/>
    <row r="51945" ht="15" customHeight="1"/>
    <row r="51946" ht="15" customHeight="1"/>
    <row r="51947" ht="15" customHeight="1"/>
    <row r="51948" ht="15" customHeight="1"/>
    <row r="51949" ht="15" customHeight="1"/>
    <row r="51950" ht="15" customHeight="1"/>
    <row r="51951" ht="15" customHeight="1"/>
    <row r="51952" ht="15" customHeight="1"/>
    <row r="51953" ht="15" customHeight="1"/>
    <row r="51954" ht="15" customHeight="1"/>
    <row r="51955" ht="15" customHeight="1"/>
    <row r="51956" ht="15" customHeight="1"/>
    <row r="51957" ht="15" customHeight="1"/>
    <row r="51958" ht="15" customHeight="1"/>
    <row r="51959" ht="15" customHeight="1"/>
    <row r="51960" ht="15" customHeight="1"/>
    <row r="51961" ht="15" customHeight="1"/>
    <row r="51962" ht="15" customHeight="1"/>
    <row r="51963" ht="15" customHeight="1"/>
    <row r="51964" ht="15" customHeight="1"/>
    <row r="51965" ht="15" customHeight="1"/>
    <row r="51966" ht="15" customHeight="1"/>
    <row r="51967" ht="15" customHeight="1"/>
    <row r="51968" ht="15" customHeight="1"/>
    <row r="51969" ht="15" customHeight="1"/>
    <row r="51970" ht="15" customHeight="1"/>
    <row r="51971" ht="15" customHeight="1"/>
    <row r="51972" ht="15" customHeight="1"/>
    <row r="51973" ht="15" customHeight="1"/>
    <row r="51974" ht="15" customHeight="1"/>
    <row r="51975" ht="15" customHeight="1"/>
    <row r="51976" ht="15" customHeight="1"/>
    <row r="51977" ht="15" customHeight="1"/>
    <row r="51978" ht="15" customHeight="1"/>
    <row r="51979" ht="15" customHeight="1"/>
    <row r="51980" ht="15" customHeight="1"/>
    <row r="51981" ht="15" customHeight="1"/>
    <row r="51982" ht="15" customHeight="1"/>
    <row r="51983" ht="15" customHeight="1"/>
    <row r="51984" ht="15" customHeight="1"/>
    <row r="51985" ht="15" customHeight="1"/>
    <row r="51986" ht="15" customHeight="1"/>
    <row r="51987" ht="15" customHeight="1"/>
    <row r="51988" ht="15" customHeight="1"/>
    <row r="51989" ht="15" customHeight="1"/>
    <row r="51990" ht="15" customHeight="1"/>
    <row r="51991" ht="15" customHeight="1"/>
    <row r="51992" ht="15" customHeight="1"/>
    <row r="51993" ht="15" customHeight="1"/>
    <row r="51994" ht="15" customHeight="1"/>
    <row r="51995" ht="15" customHeight="1"/>
    <row r="51996" ht="15" customHeight="1"/>
    <row r="51997" ht="15" customHeight="1"/>
    <row r="51998" ht="15" customHeight="1"/>
    <row r="51999" ht="15" customHeight="1"/>
    <row r="52000" ht="15" customHeight="1"/>
    <row r="52001" ht="15" customHeight="1"/>
    <row r="52002" ht="15" customHeight="1"/>
    <row r="52003" ht="15" customHeight="1"/>
    <row r="52004" ht="15" customHeight="1"/>
    <row r="52005" ht="15" customHeight="1"/>
    <row r="52006" ht="15" customHeight="1"/>
    <row r="52007" ht="15" customHeight="1"/>
    <row r="52008" ht="15" customHeight="1"/>
    <row r="52009" ht="15" customHeight="1"/>
    <row r="52010" ht="15" customHeight="1"/>
    <row r="52011" ht="15" customHeight="1"/>
    <row r="52012" ht="15" customHeight="1"/>
    <row r="52013" ht="15" customHeight="1"/>
    <row r="52014" ht="15" customHeight="1"/>
    <row r="52015" ht="15" customHeight="1"/>
    <row r="52016" ht="15" customHeight="1"/>
    <row r="52017" ht="15" customHeight="1"/>
    <row r="52018" ht="15" customHeight="1"/>
    <row r="52019" ht="15" customHeight="1"/>
    <row r="52020" ht="15" customHeight="1"/>
    <row r="52021" ht="15" customHeight="1"/>
    <row r="52022" ht="15" customHeight="1"/>
    <row r="52023" ht="15" customHeight="1"/>
    <row r="52024" ht="15" customHeight="1"/>
    <row r="52025" ht="15" customHeight="1"/>
    <row r="52026" ht="15" customHeight="1"/>
    <row r="52027" ht="15" customHeight="1"/>
    <row r="52028" ht="15" customHeight="1"/>
    <row r="52029" ht="15" customHeight="1"/>
    <row r="52030" ht="15" customHeight="1"/>
    <row r="52031" ht="15" customHeight="1"/>
    <row r="52032" ht="15" customHeight="1"/>
    <row r="52033" ht="15" customHeight="1"/>
    <row r="52034" ht="15" customHeight="1"/>
    <row r="52035" ht="15" customHeight="1"/>
    <row r="52036" ht="15" customHeight="1"/>
    <row r="52037" ht="15" customHeight="1"/>
    <row r="52038" ht="15" customHeight="1"/>
    <row r="52039" ht="15" customHeight="1"/>
    <row r="52040" ht="15" customHeight="1"/>
    <row r="52041" ht="15" customHeight="1"/>
    <row r="52042" ht="15" customHeight="1"/>
    <row r="52043" ht="15" customHeight="1"/>
    <row r="52044" ht="15" customHeight="1"/>
    <row r="52045" ht="15" customHeight="1"/>
    <row r="52046" ht="15" customHeight="1"/>
    <row r="52047" ht="15" customHeight="1"/>
    <row r="52048" ht="15" customHeight="1"/>
    <row r="52049" ht="15" customHeight="1"/>
    <row r="52050" ht="15" customHeight="1"/>
    <row r="52051" ht="15" customHeight="1"/>
    <row r="52052" ht="15" customHeight="1"/>
    <row r="52053" ht="15" customHeight="1"/>
    <row r="52054" ht="15" customHeight="1"/>
    <row r="52055" ht="15" customHeight="1"/>
    <row r="52056" ht="15" customHeight="1"/>
    <row r="52057" ht="15" customHeight="1"/>
    <row r="52058" ht="15" customHeight="1"/>
    <row r="52059" ht="15" customHeight="1"/>
    <row r="52060" ht="15" customHeight="1"/>
    <row r="52061" ht="15" customHeight="1"/>
    <row r="52062" ht="15" customHeight="1"/>
    <row r="52063" ht="15" customHeight="1"/>
    <row r="52064" ht="15" customHeight="1"/>
    <row r="52065" ht="15" customHeight="1"/>
    <row r="52066" ht="15" customHeight="1"/>
    <row r="52067" ht="15" customHeight="1"/>
    <row r="52068" ht="15" customHeight="1"/>
    <row r="52069" ht="15" customHeight="1"/>
    <row r="52070" ht="15" customHeight="1"/>
    <row r="52071" ht="15" customHeight="1"/>
    <row r="52072" ht="15" customHeight="1"/>
    <row r="52073" ht="15" customHeight="1"/>
    <row r="52074" ht="15" customHeight="1"/>
    <row r="52075" ht="15" customHeight="1"/>
    <row r="52076" ht="15" customHeight="1"/>
    <row r="52077" ht="15" customHeight="1"/>
    <row r="52078" ht="15" customHeight="1"/>
    <row r="52079" ht="15" customHeight="1"/>
    <row r="52080" ht="15" customHeight="1"/>
    <row r="52081" ht="15" customHeight="1"/>
    <row r="52082" ht="15" customHeight="1"/>
    <row r="52083" ht="15" customHeight="1"/>
    <row r="52084" ht="15" customHeight="1"/>
    <row r="52085" ht="15" customHeight="1"/>
    <row r="52086" ht="15" customHeight="1"/>
    <row r="52087" ht="15" customHeight="1"/>
    <row r="52088" ht="15" customHeight="1"/>
    <row r="52089" ht="15" customHeight="1"/>
    <row r="52090" ht="15" customHeight="1"/>
    <row r="52091" ht="15" customHeight="1"/>
    <row r="52092" ht="15" customHeight="1"/>
    <row r="52093" ht="15" customHeight="1"/>
    <row r="52094" ht="15" customHeight="1"/>
    <row r="52095" ht="15" customHeight="1"/>
    <row r="52096" ht="15" customHeight="1"/>
    <row r="52097" ht="15" customHeight="1"/>
    <row r="52098" ht="15" customHeight="1"/>
    <row r="52099" ht="15" customHeight="1"/>
    <row r="52100" ht="15" customHeight="1"/>
    <row r="52101" ht="15" customHeight="1"/>
    <row r="52102" ht="15" customHeight="1"/>
    <row r="52103" ht="15" customHeight="1"/>
    <row r="52104" ht="15" customHeight="1"/>
    <row r="52105" ht="15" customHeight="1"/>
    <row r="52106" ht="15" customHeight="1"/>
    <row r="52107" ht="15" customHeight="1"/>
    <row r="52108" ht="15" customHeight="1"/>
    <row r="52109" ht="15" customHeight="1"/>
    <row r="52110" ht="15" customHeight="1"/>
    <row r="52111" ht="15" customHeight="1"/>
    <row r="52112" ht="15" customHeight="1"/>
    <row r="52113" ht="15" customHeight="1"/>
    <row r="52114" ht="15" customHeight="1"/>
    <row r="52115" ht="15" customHeight="1"/>
    <row r="52116" ht="15" customHeight="1"/>
    <row r="52117" ht="15" customHeight="1"/>
    <row r="52118" ht="15" customHeight="1"/>
    <row r="52119" ht="15" customHeight="1"/>
    <row r="52120" ht="15" customHeight="1"/>
    <row r="52121" ht="15" customHeight="1"/>
    <row r="52122" ht="15" customHeight="1"/>
    <row r="52123" ht="15" customHeight="1"/>
    <row r="52124" ht="15" customHeight="1"/>
    <row r="52125" ht="15" customHeight="1"/>
    <row r="52126" ht="15" customHeight="1"/>
    <row r="52127" ht="15" customHeight="1"/>
    <row r="52128" ht="15" customHeight="1"/>
    <row r="52129" ht="15" customHeight="1"/>
    <row r="52130" ht="15" customHeight="1"/>
    <row r="52131" ht="15" customHeight="1"/>
    <row r="52132" ht="15" customHeight="1"/>
    <row r="52133" ht="15" customHeight="1"/>
    <row r="52134" ht="15" customHeight="1"/>
    <row r="52135" ht="15" customHeight="1"/>
    <row r="52136" ht="15" customHeight="1"/>
    <row r="52137" ht="15" customHeight="1"/>
    <row r="52138" ht="15" customHeight="1"/>
    <row r="52139" ht="15" customHeight="1"/>
    <row r="52140" ht="15" customHeight="1"/>
    <row r="52141" ht="15" customHeight="1"/>
    <row r="52142" ht="15" customHeight="1"/>
    <row r="52143" ht="15" customHeight="1"/>
    <row r="52144" ht="15" customHeight="1"/>
    <row r="52145" ht="15" customHeight="1"/>
    <row r="52146" ht="15" customHeight="1"/>
    <row r="52147" ht="15" customHeight="1"/>
    <row r="52148" ht="15" customHeight="1"/>
    <row r="52149" ht="15" customHeight="1"/>
    <row r="52150" ht="15" customHeight="1"/>
    <row r="52151" ht="15" customHeight="1"/>
    <row r="52152" ht="15" customHeight="1"/>
    <row r="52153" ht="15" customHeight="1"/>
    <row r="52154" ht="15" customHeight="1"/>
    <row r="52155" ht="15" customHeight="1"/>
    <row r="52156" ht="15" customHeight="1"/>
    <row r="52157" ht="15" customHeight="1"/>
    <row r="52158" ht="15" customHeight="1"/>
    <row r="52159" ht="15" customHeight="1"/>
    <row r="52160" ht="15" customHeight="1"/>
    <row r="52161" ht="15" customHeight="1"/>
    <row r="52162" ht="15" customHeight="1"/>
    <row r="52163" ht="15" customHeight="1"/>
    <row r="52164" ht="15" customHeight="1"/>
    <row r="52165" ht="15" customHeight="1"/>
    <row r="52166" ht="15" customHeight="1"/>
    <row r="52167" ht="15" customHeight="1"/>
    <row r="52168" ht="15" customHeight="1"/>
    <row r="52169" ht="15" customHeight="1"/>
    <row r="52170" ht="15" customHeight="1"/>
    <row r="52171" ht="15" customHeight="1"/>
    <row r="52172" ht="15" customHeight="1"/>
    <row r="52173" ht="15" customHeight="1"/>
    <row r="52174" ht="15" customHeight="1"/>
    <row r="52175" ht="15" customHeight="1"/>
    <row r="52176" ht="15" customHeight="1"/>
    <row r="52177" ht="15" customHeight="1"/>
    <row r="52178" ht="15" customHeight="1"/>
    <row r="52179" ht="15" customHeight="1"/>
    <row r="52180" ht="15" customHeight="1"/>
    <row r="52181" ht="15" customHeight="1"/>
    <row r="52182" ht="15" customHeight="1"/>
    <row r="52183" ht="15" customHeight="1"/>
    <row r="52184" ht="15" customHeight="1"/>
    <row r="52185" ht="15" customHeight="1"/>
    <row r="52186" ht="15" customHeight="1"/>
    <row r="52187" ht="15" customHeight="1"/>
    <row r="52188" ht="15" customHeight="1"/>
    <row r="52189" ht="15" customHeight="1"/>
    <row r="52190" ht="15" customHeight="1"/>
    <row r="52191" ht="15" customHeight="1"/>
    <row r="52192" ht="15" customHeight="1"/>
    <row r="52193" ht="15" customHeight="1"/>
    <row r="52194" ht="15" customHeight="1"/>
    <row r="52195" ht="15" customHeight="1"/>
    <row r="52196" ht="15" customHeight="1"/>
    <row r="52197" ht="15" customHeight="1"/>
    <row r="52198" ht="15" customHeight="1"/>
    <row r="52199" ht="15" customHeight="1"/>
    <row r="52200" ht="15" customHeight="1"/>
    <row r="52201" ht="15" customHeight="1"/>
    <row r="52202" ht="15" customHeight="1"/>
    <row r="52203" ht="15" customHeight="1"/>
    <row r="52204" ht="15" customHeight="1"/>
    <row r="52205" ht="15" customHeight="1"/>
    <row r="52206" ht="15" customHeight="1"/>
    <row r="52207" ht="15" customHeight="1"/>
    <row r="52208" ht="15" customHeight="1"/>
    <row r="52209" ht="15" customHeight="1"/>
    <row r="52210" ht="15" customHeight="1"/>
    <row r="52211" ht="15" customHeight="1"/>
    <row r="52212" ht="15" customHeight="1"/>
    <row r="52213" ht="15" customHeight="1"/>
    <row r="52214" ht="15" customHeight="1"/>
    <row r="52215" ht="15" customHeight="1"/>
    <row r="52216" ht="15" customHeight="1"/>
    <row r="52217" ht="15" customHeight="1"/>
    <row r="52218" ht="15" customHeight="1"/>
    <row r="52219" ht="15" customHeight="1"/>
    <row r="52220" ht="15" customHeight="1"/>
    <row r="52221" ht="15" customHeight="1"/>
    <row r="52222" ht="15" customHeight="1"/>
    <row r="52223" ht="15" customHeight="1"/>
    <row r="52224" ht="15" customHeight="1"/>
    <row r="52225" ht="15" customHeight="1"/>
    <row r="52226" ht="15" customHeight="1"/>
    <row r="52227" ht="15" customHeight="1"/>
    <row r="52228" ht="15" customHeight="1"/>
    <row r="52229" ht="15" customHeight="1"/>
    <row r="52230" ht="15" customHeight="1"/>
    <row r="52231" ht="15" customHeight="1"/>
    <row r="52232" ht="15" customHeight="1"/>
    <row r="52233" ht="15" customHeight="1"/>
    <row r="52234" ht="15" customHeight="1"/>
    <row r="52235" ht="15" customHeight="1"/>
    <row r="52236" ht="15" customHeight="1"/>
    <row r="52237" ht="15" customHeight="1"/>
    <row r="52238" ht="15" customHeight="1"/>
    <row r="52239" ht="15" customHeight="1"/>
    <row r="52240" ht="15" customHeight="1"/>
    <row r="52241" ht="15" customHeight="1"/>
    <row r="52242" ht="15" customHeight="1"/>
    <row r="52243" ht="15" customHeight="1"/>
    <row r="52244" ht="15" customHeight="1"/>
    <row r="52245" ht="15" customHeight="1"/>
    <row r="52246" ht="15" customHeight="1"/>
    <row r="52247" ht="15" customHeight="1"/>
    <row r="52248" ht="15" customHeight="1"/>
    <row r="52249" ht="15" customHeight="1"/>
    <row r="52250" ht="15" customHeight="1"/>
    <row r="52251" ht="15" customHeight="1"/>
    <row r="52252" ht="15" customHeight="1"/>
    <row r="52253" ht="15" customHeight="1"/>
    <row r="52254" ht="15" customHeight="1"/>
    <row r="52255" ht="15" customHeight="1"/>
    <row r="52256" ht="15" customHeight="1"/>
    <row r="52257" ht="15" customHeight="1"/>
    <row r="52258" ht="15" customHeight="1"/>
    <row r="52259" ht="15" customHeight="1"/>
    <row r="52260" ht="15" customHeight="1"/>
    <row r="52261" ht="15" customHeight="1"/>
    <row r="52262" ht="15" customHeight="1"/>
    <row r="52263" ht="15" customHeight="1"/>
    <row r="52264" ht="15" customHeight="1"/>
    <row r="52265" ht="15" customHeight="1"/>
    <row r="52266" ht="15" customHeight="1"/>
    <row r="52267" ht="15" customHeight="1"/>
    <row r="52268" ht="15" customHeight="1"/>
    <row r="52269" ht="15" customHeight="1"/>
    <row r="52270" ht="15" customHeight="1"/>
    <row r="52271" ht="15" customHeight="1"/>
    <row r="52272" ht="15" customHeight="1"/>
    <row r="52273" ht="15" customHeight="1"/>
    <row r="52274" ht="15" customHeight="1"/>
    <row r="52275" ht="15" customHeight="1"/>
    <row r="52276" ht="15" customHeight="1"/>
    <row r="52277" ht="15" customHeight="1"/>
    <row r="52278" ht="15" customHeight="1"/>
    <row r="52279" ht="15" customHeight="1"/>
    <row r="52280" ht="15" customHeight="1"/>
    <row r="52281" ht="15" customHeight="1"/>
    <row r="52282" ht="15" customHeight="1"/>
    <row r="52283" ht="15" customHeight="1"/>
    <row r="52284" ht="15" customHeight="1"/>
    <row r="52285" ht="15" customHeight="1"/>
    <row r="52286" ht="15" customHeight="1"/>
    <row r="52287" ht="15" customHeight="1"/>
    <row r="52288" ht="15" customHeight="1"/>
    <row r="52289" ht="15" customHeight="1"/>
    <row r="52290" ht="15" customHeight="1"/>
    <row r="52291" ht="15" customHeight="1"/>
    <row r="52292" ht="15" customHeight="1"/>
    <row r="52293" ht="15" customHeight="1"/>
    <row r="52294" ht="15" customHeight="1"/>
    <row r="52295" ht="15" customHeight="1"/>
    <row r="52296" ht="15" customHeight="1"/>
    <row r="52297" ht="15" customHeight="1"/>
    <row r="52298" ht="15" customHeight="1"/>
    <row r="52299" ht="15" customHeight="1"/>
    <row r="52300" ht="15" customHeight="1"/>
    <row r="52301" ht="15" customHeight="1"/>
    <row r="52302" ht="15" customHeight="1"/>
    <row r="52303" ht="15" customHeight="1"/>
    <row r="52304" ht="15" customHeight="1"/>
    <row r="52305" ht="15" customHeight="1"/>
    <row r="52306" ht="15" customHeight="1"/>
    <row r="52307" ht="15" customHeight="1"/>
    <row r="52308" ht="15" customHeight="1"/>
    <row r="52309" ht="15" customHeight="1"/>
    <row r="52310" ht="15" customHeight="1"/>
    <row r="52311" ht="15" customHeight="1"/>
    <row r="52312" ht="15" customHeight="1"/>
    <row r="52313" ht="15" customHeight="1"/>
    <row r="52314" ht="15" customHeight="1"/>
    <row r="52315" ht="15" customHeight="1"/>
    <row r="52316" ht="15" customHeight="1"/>
    <row r="52317" ht="15" customHeight="1"/>
    <row r="52318" ht="15" customHeight="1"/>
    <row r="52319" ht="15" customHeight="1"/>
    <row r="52320" ht="15" customHeight="1"/>
    <row r="52321" ht="15" customHeight="1"/>
    <row r="52322" ht="15" customHeight="1"/>
    <row r="52323" ht="15" customHeight="1"/>
    <row r="52324" ht="15" customHeight="1"/>
    <row r="52325" ht="15" customHeight="1"/>
    <row r="52326" ht="15" customHeight="1"/>
    <row r="52327" ht="15" customHeight="1"/>
    <row r="52328" ht="15" customHeight="1"/>
    <row r="52329" ht="15" customHeight="1"/>
    <row r="52330" ht="15" customHeight="1"/>
    <row r="52331" ht="15" customHeight="1"/>
    <row r="52332" ht="15" customHeight="1"/>
    <row r="52333" ht="15" customHeight="1"/>
    <row r="52334" ht="15" customHeight="1"/>
    <row r="52335" ht="15" customHeight="1"/>
    <row r="52336" ht="15" customHeight="1"/>
    <row r="52337" ht="15" customHeight="1"/>
    <row r="52338" ht="15" customHeight="1"/>
    <row r="52339" ht="15" customHeight="1"/>
    <row r="52340" ht="15" customHeight="1"/>
    <row r="52341" ht="15" customHeight="1"/>
    <row r="52342" ht="15" customHeight="1"/>
    <row r="52343" ht="15" customHeight="1"/>
    <row r="52344" ht="15" customHeight="1"/>
    <row r="52345" ht="15" customHeight="1"/>
    <row r="52346" ht="15" customHeight="1"/>
    <row r="52347" ht="15" customHeight="1"/>
    <row r="52348" ht="15" customHeight="1"/>
    <row r="52349" ht="15" customHeight="1"/>
    <row r="52350" ht="15" customHeight="1"/>
    <row r="52351" ht="15" customHeight="1"/>
    <row r="52352" ht="15" customHeight="1"/>
    <row r="52353" ht="15" customHeight="1"/>
    <row r="52354" ht="15" customHeight="1"/>
    <row r="52355" ht="15" customHeight="1"/>
    <row r="52356" ht="15" customHeight="1"/>
    <row r="52357" ht="15" customHeight="1"/>
    <row r="52358" ht="15" customHeight="1"/>
    <row r="52359" ht="15" customHeight="1"/>
    <row r="52360" ht="15" customHeight="1"/>
    <row r="52361" ht="15" customHeight="1"/>
    <row r="52362" ht="15" customHeight="1"/>
    <row r="52363" ht="15" customHeight="1"/>
    <row r="52364" ht="15" customHeight="1"/>
    <row r="52365" ht="15" customHeight="1"/>
    <row r="52366" ht="15" customHeight="1"/>
    <row r="52367" ht="15" customHeight="1"/>
    <row r="52368" ht="15" customHeight="1"/>
    <row r="52369" ht="15" customHeight="1"/>
    <row r="52370" ht="15" customHeight="1"/>
    <row r="52371" ht="15" customHeight="1"/>
    <row r="52372" ht="15" customHeight="1"/>
    <row r="52373" ht="15" customHeight="1"/>
    <row r="52374" ht="15" customHeight="1"/>
    <row r="52375" ht="15" customHeight="1"/>
    <row r="52376" ht="15" customHeight="1"/>
    <row r="52377" ht="15" customHeight="1"/>
    <row r="52378" ht="15" customHeight="1"/>
    <row r="52379" ht="15" customHeight="1"/>
    <row r="52380" ht="15" customHeight="1"/>
    <row r="52381" ht="15" customHeight="1"/>
    <row r="52382" ht="15" customHeight="1"/>
    <row r="52383" ht="15" customHeight="1"/>
    <row r="52384" ht="15" customHeight="1"/>
    <row r="52385" ht="15" customHeight="1"/>
    <row r="52386" ht="15" customHeight="1"/>
    <row r="52387" ht="15" customHeight="1"/>
    <row r="52388" ht="15" customHeight="1"/>
    <row r="52389" ht="15" customHeight="1"/>
    <row r="52390" ht="15" customHeight="1"/>
    <row r="52391" ht="15" customHeight="1"/>
    <row r="52392" ht="15" customHeight="1"/>
    <row r="52393" ht="15" customHeight="1"/>
    <row r="52394" ht="15" customHeight="1"/>
    <row r="52395" ht="15" customHeight="1"/>
    <row r="52396" ht="15" customHeight="1"/>
    <row r="52397" ht="15" customHeight="1"/>
    <row r="52398" ht="15" customHeight="1"/>
    <row r="52399" ht="15" customHeight="1"/>
    <row r="52400" ht="15" customHeight="1"/>
    <row r="52401" ht="15" customHeight="1"/>
    <row r="52402" ht="15" customHeight="1"/>
    <row r="52403" ht="15" customHeight="1"/>
    <row r="52404" ht="15" customHeight="1"/>
    <row r="52405" ht="15" customHeight="1"/>
    <row r="52406" ht="15" customHeight="1"/>
    <row r="52407" ht="15" customHeight="1"/>
    <row r="52408" ht="15" customHeight="1"/>
    <row r="52409" ht="15" customHeight="1"/>
    <row r="52410" ht="15" customHeight="1"/>
    <row r="52411" ht="15" customHeight="1"/>
    <row r="52412" ht="15" customHeight="1"/>
    <row r="52413" ht="15" customHeight="1"/>
    <row r="52414" ht="15" customHeight="1"/>
    <row r="52415" ht="15" customHeight="1"/>
    <row r="52416" ht="15" customHeight="1"/>
    <row r="52417" ht="15" customHeight="1"/>
    <row r="52418" ht="15" customHeight="1"/>
    <row r="52419" ht="15" customHeight="1"/>
    <row r="52420" ht="15" customHeight="1"/>
    <row r="52421" ht="15" customHeight="1"/>
    <row r="52422" ht="15" customHeight="1"/>
    <row r="52423" ht="15" customHeight="1"/>
    <row r="52424" ht="15" customHeight="1"/>
    <row r="52425" ht="15" customHeight="1"/>
    <row r="52426" ht="15" customHeight="1"/>
    <row r="52427" ht="15" customHeight="1"/>
    <row r="52428" ht="15" customHeight="1"/>
    <row r="52429" ht="15" customHeight="1"/>
    <row r="52430" ht="15" customHeight="1"/>
    <row r="52431" ht="15" customHeight="1"/>
    <row r="52432" ht="15" customHeight="1"/>
    <row r="52433" ht="15" customHeight="1"/>
    <row r="52434" ht="15" customHeight="1"/>
    <row r="52435" ht="15" customHeight="1"/>
    <row r="52436" ht="15" customHeight="1"/>
    <row r="52437" ht="15" customHeight="1"/>
    <row r="52438" ht="15" customHeight="1"/>
    <row r="52439" ht="15" customHeight="1"/>
    <row r="52440" ht="15" customHeight="1"/>
    <row r="52441" ht="15" customHeight="1"/>
    <row r="52442" ht="15" customHeight="1"/>
    <row r="52443" ht="15" customHeight="1"/>
    <row r="52444" ht="15" customHeight="1"/>
    <row r="52445" ht="15" customHeight="1"/>
    <row r="52446" ht="15" customHeight="1"/>
    <row r="52447" ht="15" customHeight="1"/>
    <row r="52448" ht="15" customHeight="1"/>
    <row r="52449" ht="15" customHeight="1"/>
    <row r="52450" ht="15" customHeight="1"/>
    <row r="52451" ht="15" customHeight="1"/>
    <row r="52452" ht="15" customHeight="1"/>
    <row r="52453" ht="15" customHeight="1"/>
    <row r="52454" ht="15" customHeight="1"/>
    <row r="52455" ht="15" customHeight="1"/>
    <row r="52456" ht="15" customHeight="1"/>
    <row r="52457" ht="15" customHeight="1"/>
    <row r="52458" ht="15" customHeight="1"/>
    <row r="52459" ht="15" customHeight="1"/>
    <row r="52460" ht="15" customHeight="1"/>
    <row r="52461" ht="15" customHeight="1"/>
    <row r="52462" ht="15" customHeight="1"/>
    <row r="52463" ht="15" customHeight="1"/>
    <row r="52464" ht="15" customHeight="1"/>
    <row r="52465" ht="15" customHeight="1"/>
    <row r="52466" ht="15" customHeight="1"/>
    <row r="52467" ht="15" customHeight="1"/>
    <row r="52468" ht="15" customHeight="1"/>
    <row r="52469" ht="15" customHeight="1"/>
    <row r="52470" ht="15" customHeight="1"/>
    <row r="52471" ht="15" customHeight="1"/>
    <row r="52472" ht="15" customHeight="1"/>
    <row r="52473" ht="15" customHeight="1"/>
    <row r="52474" ht="15" customHeight="1"/>
    <row r="52475" ht="15" customHeight="1"/>
    <row r="52476" ht="15" customHeight="1"/>
    <row r="52477" ht="15" customHeight="1"/>
    <row r="52478" ht="15" customHeight="1"/>
    <row r="52479" ht="15" customHeight="1"/>
    <row r="52480" ht="15" customHeight="1"/>
    <row r="52481" ht="15" customHeight="1"/>
    <row r="52482" ht="15" customHeight="1"/>
    <row r="52483" ht="15" customHeight="1"/>
    <row r="52484" ht="15" customHeight="1"/>
    <row r="52485" ht="15" customHeight="1"/>
    <row r="52486" ht="15" customHeight="1"/>
    <row r="52487" ht="15" customHeight="1"/>
    <row r="52488" ht="15" customHeight="1"/>
    <row r="52489" ht="15" customHeight="1"/>
    <row r="52490" ht="15" customHeight="1"/>
    <row r="52491" ht="15" customHeight="1"/>
    <row r="52492" ht="15" customHeight="1"/>
    <row r="52493" ht="15" customHeight="1"/>
    <row r="52494" ht="15" customHeight="1"/>
    <row r="52495" ht="15" customHeight="1"/>
    <row r="52496" ht="15" customHeight="1"/>
    <row r="52497" ht="15" customHeight="1"/>
    <row r="52498" ht="15" customHeight="1"/>
    <row r="52499" ht="15" customHeight="1"/>
    <row r="52500" ht="15" customHeight="1"/>
    <row r="52501" ht="15" customHeight="1"/>
    <row r="52502" ht="15" customHeight="1"/>
    <row r="52503" ht="15" customHeight="1"/>
    <row r="52504" ht="15" customHeight="1"/>
    <row r="52505" ht="15" customHeight="1"/>
    <row r="52506" ht="15" customHeight="1"/>
    <row r="52507" ht="15" customHeight="1"/>
    <row r="52508" ht="15" customHeight="1"/>
    <row r="52509" ht="15" customHeight="1"/>
    <row r="52510" ht="15" customHeight="1"/>
    <row r="52511" ht="15" customHeight="1"/>
    <row r="52512" ht="15" customHeight="1"/>
    <row r="52513" ht="15" customHeight="1"/>
    <row r="52514" ht="15" customHeight="1"/>
    <row r="52515" ht="15" customHeight="1"/>
    <row r="52516" ht="15" customHeight="1"/>
    <row r="52517" ht="15" customHeight="1"/>
    <row r="52518" ht="15" customHeight="1"/>
    <row r="52519" ht="15" customHeight="1"/>
    <row r="52520" ht="15" customHeight="1"/>
    <row r="52521" ht="15" customHeight="1"/>
    <row r="52522" ht="15" customHeight="1"/>
    <row r="52523" ht="15" customHeight="1"/>
    <row r="52524" ht="15" customHeight="1"/>
    <row r="52525" ht="15" customHeight="1"/>
    <row r="52526" ht="15" customHeight="1"/>
    <row r="52527" ht="15" customHeight="1"/>
    <row r="52528" ht="15" customHeight="1"/>
    <row r="52529" ht="15" customHeight="1"/>
    <row r="52530" ht="15" customHeight="1"/>
    <row r="52531" ht="15" customHeight="1"/>
    <row r="52532" ht="15" customHeight="1"/>
    <row r="52533" ht="15" customHeight="1"/>
    <row r="52534" ht="15" customHeight="1"/>
    <row r="52535" ht="15" customHeight="1"/>
    <row r="52536" ht="15" customHeight="1"/>
    <row r="52537" ht="15" customHeight="1"/>
    <row r="52538" ht="15" customHeight="1"/>
    <row r="52539" ht="15" customHeight="1"/>
    <row r="52540" ht="15" customHeight="1"/>
    <row r="52541" ht="15" customHeight="1"/>
    <row r="52542" ht="15" customHeight="1"/>
    <row r="52543" ht="15" customHeight="1"/>
    <row r="52544" ht="15" customHeight="1"/>
    <row r="52545" ht="15" customHeight="1"/>
    <row r="52546" ht="15" customHeight="1"/>
    <row r="52547" ht="15" customHeight="1"/>
    <row r="52548" ht="15" customHeight="1"/>
    <row r="52549" ht="15" customHeight="1"/>
    <row r="52550" ht="15" customHeight="1"/>
    <row r="52551" ht="15" customHeight="1"/>
    <row r="52552" ht="15" customHeight="1"/>
    <row r="52553" ht="15" customHeight="1"/>
    <row r="52554" ht="15" customHeight="1"/>
    <row r="52555" ht="15" customHeight="1"/>
    <row r="52556" ht="15" customHeight="1"/>
    <row r="52557" ht="15" customHeight="1"/>
    <row r="52558" ht="15" customHeight="1"/>
    <row r="52559" ht="15" customHeight="1"/>
    <row r="52560" ht="15" customHeight="1"/>
    <row r="52561" ht="15" customHeight="1"/>
    <row r="52562" ht="15" customHeight="1"/>
    <row r="52563" ht="15" customHeight="1"/>
    <row r="52564" ht="15" customHeight="1"/>
    <row r="52565" ht="15" customHeight="1"/>
    <row r="52566" ht="15" customHeight="1"/>
    <row r="52567" ht="15" customHeight="1"/>
    <row r="52568" ht="15" customHeight="1"/>
    <row r="52569" ht="15" customHeight="1"/>
    <row r="52570" ht="15" customHeight="1"/>
    <row r="52571" ht="15" customHeight="1"/>
    <row r="52572" ht="15" customHeight="1"/>
    <row r="52573" ht="15" customHeight="1"/>
    <row r="52574" ht="15" customHeight="1"/>
    <row r="52575" ht="15" customHeight="1"/>
    <row r="52576" ht="15" customHeight="1"/>
    <row r="52577" ht="15" customHeight="1"/>
    <row r="52578" ht="15" customHeight="1"/>
    <row r="52579" ht="15" customHeight="1"/>
    <row r="52580" ht="15" customHeight="1"/>
    <row r="52581" ht="15" customHeight="1"/>
    <row r="52582" ht="15" customHeight="1"/>
    <row r="52583" ht="15" customHeight="1"/>
    <row r="52584" ht="15" customHeight="1"/>
    <row r="52585" ht="15" customHeight="1"/>
    <row r="52586" ht="15" customHeight="1"/>
    <row r="52587" ht="15" customHeight="1"/>
    <row r="52588" ht="15" customHeight="1"/>
    <row r="52589" ht="15" customHeight="1"/>
    <row r="52590" ht="15" customHeight="1"/>
    <row r="52591" ht="15" customHeight="1"/>
    <row r="52592" ht="15" customHeight="1"/>
    <row r="52593" ht="15" customHeight="1"/>
    <row r="52594" ht="15" customHeight="1"/>
    <row r="52595" ht="15" customHeight="1"/>
    <row r="52596" ht="15" customHeight="1"/>
    <row r="52597" ht="15" customHeight="1"/>
    <row r="52598" ht="15" customHeight="1"/>
    <row r="52599" ht="15" customHeight="1"/>
    <row r="52600" ht="15" customHeight="1"/>
    <row r="52601" ht="15" customHeight="1"/>
    <row r="52602" ht="15" customHeight="1"/>
    <row r="52603" ht="15" customHeight="1"/>
    <row r="52604" ht="15" customHeight="1"/>
    <row r="52605" ht="15" customHeight="1"/>
    <row r="52606" ht="15" customHeight="1"/>
    <row r="52607" ht="15" customHeight="1"/>
    <row r="52608" ht="15" customHeight="1"/>
    <row r="52609" ht="15" customHeight="1"/>
    <row r="52610" ht="15" customHeight="1"/>
    <row r="52611" ht="15" customHeight="1"/>
    <row r="52612" ht="15" customHeight="1"/>
    <row r="52613" ht="15" customHeight="1"/>
    <row r="52614" ht="15" customHeight="1"/>
    <row r="52615" ht="15" customHeight="1"/>
    <row r="52616" ht="15" customHeight="1"/>
    <row r="52617" ht="15" customHeight="1"/>
    <row r="52618" ht="15" customHeight="1"/>
    <row r="52619" ht="15" customHeight="1"/>
    <row r="52620" ht="15" customHeight="1"/>
    <row r="52621" ht="15" customHeight="1"/>
    <row r="52622" ht="15" customHeight="1"/>
    <row r="52623" ht="15" customHeight="1"/>
    <row r="52624" ht="15" customHeight="1"/>
    <row r="52625" ht="15" customHeight="1"/>
    <row r="52626" ht="15" customHeight="1"/>
    <row r="52627" ht="15" customHeight="1"/>
    <row r="52628" ht="15" customHeight="1"/>
    <row r="52629" ht="15" customHeight="1"/>
    <row r="52630" ht="15" customHeight="1"/>
    <row r="52631" ht="15" customHeight="1"/>
    <row r="52632" ht="15" customHeight="1"/>
    <row r="52633" ht="15" customHeight="1"/>
    <row r="52634" ht="15" customHeight="1"/>
    <row r="52635" ht="15" customHeight="1"/>
    <row r="52636" ht="15" customHeight="1"/>
    <row r="52637" ht="15" customHeight="1"/>
    <row r="52638" ht="15" customHeight="1"/>
    <row r="52639" ht="15" customHeight="1"/>
    <row r="52640" ht="15" customHeight="1"/>
    <row r="52641" ht="15" customHeight="1"/>
    <row r="52642" ht="15" customHeight="1"/>
    <row r="52643" ht="15" customHeight="1"/>
    <row r="52644" ht="15" customHeight="1"/>
    <row r="52645" ht="15" customHeight="1"/>
    <row r="52646" ht="15" customHeight="1"/>
    <row r="52647" ht="15" customHeight="1"/>
    <row r="52648" ht="15" customHeight="1"/>
    <row r="52649" ht="15" customHeight="1"/>
    <row r="52650" ht="15" customHeight="1"/>
    <row r="52651" ht="15" customHeight="1"/>
    <row r="52652" ht="15" customHeight="1"/>
    <row r="52653" ht="15" customHeight="1"/>
    <row r="52654" ht="15" customHeight="1"/>
    <row r="52655" ht="15" customHeight="1"/>
    <row r="52656" ht="15" customHeight="1"/>
    <row r="52657" ht="15" customHeight="1"/>
    <row r="52658" ht="15" customHeight="1"/>
    <row r="52659" ht="15" customHeight="1"/>
    <row r="52660" ht="15" customHeight="1"/>
    <row r="52661" ht="15" customHeight="1"/>
    <row r="52662" ht="15" customHeight="1"/>
    <row r="52663" ht="15" customHeight="1"/>
    <row r="52664" ht="15" customHeight="1"/>
    <row r="52665" ht="15" customHeight="1"/>
    <row r="52666" ht="15" customHeight="1"/>
    <row r="52667" ht="15" customHeight="1"/>
    <row r="52668" ht="15" customHeight="1"/>
    <row r="52669" ht="15" customHeight="1"/>
    <row r="52670" ht="15" customHeight="1"/>
    <row r="52671" ht="15" customHeight="1"/>
    <row r="52672" ht="15" customHeight="1"/>
    <row r="52673" ht="15" customHeight="1"/>
    <row r="52674" ht="15" customHeight="1"/>
    <row r="52675" ht="15" customHeight="1"/>
    <row r="52676" ht="15" customHeight="1"/>
    <row r="52677" ht="15" customHeight="1"/>
    <row r="52678" ht="15" customHeight="1"/>
    <row r="52679" ht="15" customHeight="1"/>
    <row r="52680" ht="15" customHeight="1"/>
    <row r="52681" ht="15" customHeight="1"/>
    <row r="52682" ht="15" customHeight="1"/>
    <row r="52683" ht="15" customHeight="1"/>
    <row r="52684" ht="15" customHeight="1"/>
    <row r="52685" ht="15" customHeight="1"/>
    <row r="52686" ht="15" customHeight="1"/>
    <row r="52687" ht="15" customHeight="1"/>
    <row r="52688" ht="15" customHeight="1"/>
    <row r="52689" ht="15" customHeight="1"/>
    <row r="52690" ht="15" customHeight="1"/>
    <row r="52691" ht="15" customHeight="1"/>
    <row r="52692" ht="15" customHeight="1"/>
    <row r="52693" ht="15" customHeight="1"/>
    <row r="52694" ht="15" customHeight="1"/>
    <row r="52695" ht="15" customHeight="1"/>
    <row r="52696" ht="15" customHeight="1"/>
    <row r="52697" ht="15" customHeight="1"/>
    <row r="52698" ht="15" customHeight="1"/>
    <row r="52699" ht="15" customHeight="1"/>
    <row r="52700" ht="15" customHeight="1"/>
    <row r="52701" ht="15" customHeight="1"/>
    <row r="52702" ht="15" customHeight="1"/>
    <row r="52703" ht="15" customHeight="1"/>
    <row r="52704" ht="15" customHeight="1"/>
    <row r="52705" ht="15" customHeight="1"/>
    <row r="52706" ht="15" customHeight="1"/>
    <row r="52707" ht="15" customHeight="1"/>
    <row r="52708" ht="15" customHeight="1"/>
    <row r="52709" ht="15" customHeight="1"/>
    <row r="52710" ht="15" customHeight="1"/>
    <row r="52711" ht="15" customHeight="1"/>
    <row r="52712" ht="15" customHeight="1"/>
    <row r="52713" ht="15" customHeight="1"/>
    <row r="52714" ht="15" customHeight="1"/>
    <row r="52715" ht="15" customHeight="1"/>
    <row r="52716" ht="15" customHeight="1"/>
    <row r="52717" ht="15" customHeight="1"/>
    <row r="52718" ht="15" customHeight="1"/>
    <row r="52719" ht="15" customHeight="1"/>
    <row r="52720" ht="15" customHeight="1"/>
    <row r="52721" ht="15" customHeight="1"/>
    <row r="52722" ht="15" customHeight="1"/>
    <row r="52723" ht="15" customHeight="1"/>
    <row r="52724" ht="15" customHeight="1"/>
    <row r="52725" ht="15" customHeight="1"/>
    <row r="52726" ht="15" customHeight="1"/>
    <row r="52727" ht="15" customHeight="1"/>
    <row r="52728" ht="15" customHeight="1"/>
    <row r="52729" ht="15" customHeight="1"/>
    <row r="52730" ht="15" customHeight="1"/>
    <row r="52731" ht="15" customHeight="1"/>
    <row r="52732" ht="15" customHeight="1"/>
    <row r="52733" ht="15" customHeight="1"/>
    <row r="52734" ht="15" customHeight="1"/>
    <row r="52735" ht="15" customHeight="1"/>
    <row r="52736" ht="15" customHeight="1"/>
    <row r="52737" ht="15" customHeight="1"/>
    <row r="52738" ht="15" customHeight="1"/>
    <row r="52739" ht="15" customHeight="1"/>
    <row r="52740" ht="15" customHeight="1"/>
    <row r="52741" ht="15" customHeight="1"/>
    <row r="52742" ht="15" customHeight="1"/>
    <row r="52743" ht="15" customHeight="1"/>
    <row r="52744" ht="15" customHeight="1"/>
    <row r="52745" ht="15" customHeight="1"/>
    <row r="52746" ht="15" customHeight="1"/>
    <row r="52747" ht="15" customHeight="1"/>
    <row r="52748" ht="15" customHeight="1"/>
    <row r="52749" ht="15" customHeight="1"/>
    <row r="52750" ht="15" customHeight="1"/>
    <row r="52751" ht="15" customHeight="1"/>
    <row r="52752" ht="15" customHeight="1"/>
    <row r="52753" ht="15" customHeight="1"/>
    <row r="52754" ht="15" customHeight="1"/>
    <row r="52755" ht="15" customHeight="1"/>
    <row r="52756" ht="15" customHeight="1"/>
    <row r="52757" ht="15" customHeight="1"/>
    <row r="52758" ht="15" customHeight="1"/>
    <row r="52759" ht="15" customHeight="1"/>
    <row r="52760" ht="15" customHeight="1"/>
    <row r="52761" ht="15" customHeight="1"/>
    <row r="52762" ht="15" customHeight="1"/>
    <row r="52763" ht="15" customHeight="1"/>
    <row r="52764" ht="15" customHeight="1"/>
    <row r="52765" ht="15" customHeight="1"/>
    <row r="52766" ht="15" customHeight="1"/>
    <row r="52767" ht="15" customHeight="1"/>
    <row r="52768" ht="15" customHeight="1"/>
    <row r="52769" ht="15" customHeight="1"/>
    <row r="52770" ht="15" customHeight="1"/>
    <row r="52771" ht="15" customHeight="1"/>
    <row r="52772" ht="15" customHeight="1"/>
    <row r="52773" ht="15" customHeight="1"/>
    <row r="52774" ht="15" customHeight="1"/>
    <row r="52775" ht="15" customHeight="1"/>
    <row r="52776" ht="15" customHeight="1"/>
    <row r="52777" ht="15" customHeight="1"/>
    <row r="52778" ht="15" customHeight="1"/>
    <row r="52779" ht="15" customHeight="1"/>
    <row r="52780" ht="15" customHeight="1"/>
    <row r="52781" ht="15" customHeight="1"/>
    <row r="52782" ht="15" customHeight="1"/>
    <row r="52783" ht="15" customHeight="1"/>
    <row r="52784" ht="15" customHeight="1"/>
    <row r="52785" ht="15" customHeight="1"/>
    <row r="52786" ht="15" customHeight="1"/>
    <row r="52787" ht="15" customHeight="1"/>
    <row r="52788" ht="15" customHeight="1"/>
    <row r="52789" ht="15" customHeight="1"/>
    <row r="52790" ht="15" customHeight="1"/>
    <row r="52791" ht="15" customHeight="1"/>
    <row r="52792" ht="15" customHeight="1"/>
    <row r="52793" ht="15" customHeight="1"/>
    <row r="52794" ht="15" customHeight="1"/>
    <row r="52795" ht="15" customHeight="1"/>
    <row r="52796" ht="15" customHeight="1"/>
    <row r="52797" ht="15" customHeight="1"/>
    <row r="52798" ht="15" customHeight="1"/>
    <row r="52799" ht="15" customHeight="1"/>
    <row r="52800" ht="15" customHeight="1"/>
    <row r="52801" ht="15" customHeight="1"/>
    <row r="52802" ht="15" customHeight="1"/>
    <row r="52803" ht="15" customHeight="1"/>
    <row r="52804" ht="15" customHeight="1"/>
    <row r="52805" ht="15" customHeight="1"/>
    <row r="52806" ht="15" customHeight="1"/>
    <row r="52807" ht="15" customHeight="1"/>
    <row r="52808" ht="15" customHeight="1"/>
    <row r="52809" ht="15" customHeight="1"/>
    <row r="52810" ht="15" customHeight="1"/>
    <row r="52811" ht="15" customHeight="1"/>
    <row r="52812" ht="15" customHeight="1"/>
    <row r="52813" ht="15" customHeight="1"/>
    <row r="52814" ht="15" customHeight="1"/>
    <row r="52815" ht="15" customHeight="1"/>
    <row r="52816" ht="15" customHeight="1"/>
    <row r="52817" ht="15" customHeight="1"/>
    <row r="52818" ht="15" customHeight="1"/>
    <row r="52819" ht="15" customHeight="1"/>
    <row r="52820" ht="15" customHeight="1"/>
    <row r="52821" ht="15" customHeight="1"/>
    <row r="52822" ht="15" customHeight="1"/>
    <row r="52823" ht="15" customHeight="1"/>
    <row r="52824" ht="15" customHeight="1"/>
    <row r="52825" ht="15" customHeight="1"/>
    <row r="52826" ht="15" customHeight="1"/>
    <row r="52827" ht="15" customHeight="1"/>
    <row r="52828" ht="15" customHeight="1"/>
    <row r="52829" ht="15" customHeight="1"/>
    <row r="52830" ht="15" customHeight="1"/>
    <row r="52831" ht="15" customHeight="1"/>
    <row r="52832" ht="15" customHeight="1"/>
    <row r="52833" ht="15" customHeight="1"/>
    <row r="52834" ht="15" customHeight="1"/>
    <row r="52835" ht="15" customHeight="1"/>
    <row r="52836" ht="15" customHeight="1"/>
    <row r="52837" ht="15" customHeight="1"/>
    <row r="52838" ht="15" customHeight="1"/>
    <row r="52839" ht="15" customHeight="1"/>
    <row r="52840" ht="15" customHeight="1"/>
    <row r="52841" ht="15" customHeight="1"/>
    <row r="52842" ht="15" customHeight="1"/>
    <row r="52843" ht="15" customHeight="1"/>
    <row r="52844" ht="15" customHeight="1"/>
    <row r="52845" ht="15" customHeight="1"/>
    <row r="52846" ht="15" customHeight="1"/>
    <row r="52847" ht="15" customHeight="1"/>
    <row r="52848" ht="15" customHeight="1"/>
    <row r="52849" ht="15" customHeight="1"/>
    <row r="52850" ht="15" customHeight="1"/>
    <row r="52851" ht="15" customHeight="1"/>
    <row r="52852" ht="15" customHeight="1"/>
    <row r="52853" ht="15" customHeight="1"/>
    <row r="52854" ht="15" customHeight="1"/>
    <row r="52855" ht="15" customHeight="1"/>
    <row r="52856" ht="15" customHeight="1"/>
    <row r="52857" ht="15" customHeight="1"/>
    <row r="52858" ht="15" customHeight="1"/>
    <row r="52859" ht="15" customHeight="1"/>
    <row r="52860" ht="15" customHeight="1"/>
    <row r="52861" ht="15" customHeight="1"/>
    <row r="52862" ht="15" customHeight="1"/>
    <row r="52863" ht="15" customHeight="1"/>
    <row r="52864" ht="15" customHeight="1"/>
    <row r="52865" ht="15" customHeight="1"/>
    <row r="52866" ht="15" customHeight="1"/>
    <row r="52867" ht="15" customHeight="1"/>
    <row r="52868" ht="15" customHeight="1"/>
    <row r="52869" ht="15" customHeight="1"/>
    <row r="52870" ht="15" customHeight="1"/>
    <row r="52871" ht="15" customHeight="1"/>
    <row r="52872" ht="15" customHeight="1"/>
    <row r="52873" ht="15" customHeight="1"/>
    <row r="52874" ht="15" customHeight="1"/>
    <row r="52875" ht="15" customHeight="1"/>
    <row r="52876" ht="15" customHeight="1"/>
    <row r="52877" ht="15" customHeight="1"/>
    <row r="52878" ht="15" customHeight="1"/>
    <row r="52879" ht="15" customHeight="1"/>
    <row r="52880" ht="15" customHeight="1"/>
    <row r="52881" ht="15" customHeight="1"/>
    <row r="52882" ht="15" customHeight="1"/>
    <row r="52883" ht="15" customHeight="1"/>
    <row r="52884" ht="15" customHeight="1"/>
    <row r="52885" ht="15" customHeight="1"/>
    <row r="52886" ht="15" customHeight="1"/>
    <row r="52887" ht="15" customHeight="1"/>
    <row r="52888" ht="15" customHeight="1"/>
    <row r="52889" ht="15" customHeight="1"/>
    <row r="52890" ht="15" customHeight="1"/>
    <row r="52891" ht="15" customHeight="1"/>
    <row r="52892" ht="15" customHeight="1"/>
    <row r="52893" ht="15" customHeight="1"/>
    <row r="52894" ht="15" customHeight="1"/>
    <row r="52895" ht="15" customHeight="1"/>
    <row r="52896" ht="15" customHeight="1"/>
    <row r="52897" ht="15" customHeight="1"/>
    <row r="52898" ht="15" customHeight="1"/>
    <row r="52899" ht="15" customHeight="1"/>
    <row r="52900" ht="15" customHeight="1"/>
    <row r="52901" ht="15" customHeight="1"/>
    <row r="52902" ht="15" customHeight="1"/>
    <row r="52903" ht="15" customHeight="1"/>
    <row r="52904" ht="15" customHeight="1"/>
    <row r="52905" ht="15" customHeight="1"/>
    <row r="52906" ht="15" customHeight="1"/>
    <row r="52907" ht="15" customHeight="1"/>
    <row r="52908" ht="15" customHeight="1"/>
    <row r="52909" ht="15" customHeight="1"/>
    <row r="52910" ht="15" customHeight="1"/>
    <row r="52911" ht="15" customHeight="1"/>
    <row r="52912" ht="15" customHeight="1"/>
    <row r="52913" ht="15" customHeight="1"/>
    <row r="52914" ht="15" customHeight="1"/>
    <row r="52915" ht="15" customHeight="1"/>
    <row r="52916" ht="15" customHeight="1"/>
    <row r="52917" ht="15" customHeight="1"/>
    <row r="52918" ht="15" customHeight="1"/>
    <row r="52919" ht="15" customHeight="1"/>
    <row r="52920" ht="15" customHeight="1"/>
    <row r="52921" ht="15" customHeight="1"/>
    <row r="52922" ht="15" customHeight="1"/>
    <row r="52923" ht="15" customHeight="1"/>
    <row r="52924" ht="15" customHeight="1"/>
    <row r="52925" ht="15" customHeight="1"/>
    <row r="52926" ht="15" customHeight="1"/>
    <row r="52927" ht="15" customHeight="1"/>
    <row r="52928" ht="15" customHeight="1"/>
    <row r="52929" ht="15" customHeight="1"/>
    <row r="52930" ht="15" customHeight="1"/>
    <row r="52931" ht="15" customHeight="1"/>
    <row r="52932" ht="15" customHeight="1"/>
    <row r="52933" ht="15" customHeight="1"/>
    <row r="52934" ht="15" customHeight="1"/>
    <row r="52935" ht="15" customHeight="1"/>
    <row r="52936" ht="15" customHeight="1"/>
    <row r="52937" ht="15" customHeight="1"/>
    <row r="52938" ht="15" customHeight="1"/>
    <row r="52939" ht="15" customHeight="1"/>
    <row r="52940" ht="15" customHeight="1"/>
    <row r="52941" ht="15" customHeight="1"/>
    <row r="52942" ht="15" customHeight="1"/>
    <row r="52943" ht="15" customHeight="1"/>
    <row r="52944" ht="15" customHeight="1"/>
    <row r="52945" ht="15" customHeight="1"/>
    <row r="52946" ht="15" customHeight="1"/>
    <row r="52947" ht="15" customHeight="1"/>
    <row r="52948" ht="15" customHeight="1"/>
    <row r="52949" ht="15" customHeight="1"/>
    <row r="52950" ht="15" customHeight="1"/>
    <row r="52951" ht="15" customHeight="1"/>
    <row r="52952" ht="15" customHeight="1"/>
    <row r="52953" ht="15" customHeight="1"/>
    <row r="52954" ht="15" customHeight="1"/>
    <row r="52955" ht="15" customHeight="1"/>
    <row r="52956" ht="15" customHeight="1"/>
    <row r="52957" ht="15" customHeight="1"/>
    <row r="52958" ht="15" customHeight="1"/>
    <row r="52959" ht="15" customHeight="1"/>
    <row r="52960" ht="15" customHeight="1"/>
    <row r="52961" ht="15" customHeight="1"/>
    <row r="52962" ht="15" customHeight="1"/>
    <row r="52963" ht="15" customHeight="1"/>
    <row r="52964" ht="15" customHeight="1"/>
    <row r="52965" ht="15" customHeight="1"/>
    <row r="52966" ht="15" customHeight="1"/>
    <row r="52967" ht="15" customHeight="1"/>
    <row r="52968" ht="15" customHeight="1"/>
    <row r="52969" ht="15" customHeight="1"/>
    <row r="52970" ht="15" customHeight="1"/>
    <row r="52971" ht="15" customHeight="1"/>
    <row r="52972" ht="15" customHeight="1"/>
    <row r="52973" ht="15" customHeight="1"/>
    <row r="52974" ht="15" customHeight="1"/>
    <row r="52975" ht="15" customHeight="1"/>
    <row r="52976" ht="15" customHeight="1"/>
    <row r="52977" ht="15" customHeight="1"/>
    <row r="52978" ht="15" customHeight="1"/>
    <row r="52979" ht="15" customHeight="1"/>
    <row r="52980" ht="15" customHeight="1"/>
    <row r="52981" ht="15" customHeight="1"/>
    <row r="52982" ht="15" customHeight="1"/>
    <row r="52983" ht="15" customHeight="1"/>
    <row r="52984" ht="15" customHeight="1"/>
    <row r="52985" ht="15" customHeight="1"/>
    <row r="52986" ht="15" customHeight="1"/>
    <row r="52987" ht="15" customHeight="1"/>
    <row r="52988" ht="15" customHeight="1"/>
    <row r="52989" ht="15" customHeight="1"/>
    <row r="52990" ht="15" customHeight="1"/>
    <row r="52991" ht="15" customHeight="1"/>
    <row r="52992" ht="15" customHeight="1"/>
    <row r="52993" ht="15" customHeight="1"/>
    <row r="52994" ht="15" customHeight="1"/>
    <row r="52995" ht="15" customHeight="1"/>
    <row r="52996" ht="15" customHeight="1"/>
    <row r="52997" ht="15" customHeight="1"/>
    <row r="52998" ht="15" customHeight="1"/>
    <row r="52999" ht="15" customHeight="1"/>
    <row r="53000" ht="15" customHeight="1"/>
    <row r="53001" ht="15" customHeight="1"/>
    <row r="53002" ht="15" customHeight="1"/>
    <row r="53003" ht="15" customHeight="1"/>
    <row r="53004" ht="15" customHeight="1"/>
    <row r="53005" ht="15" customHeight="1"/>
    <row r="53006" ht="15" customHeight="1"/>
    <row r="53007" ht="15" customHeight="1"/>
    <row r="53008" ht="15" customHeight="1"/>
    <row r="53009" ht="15" customHeight="1"/>
    <row r="53010" ht="15" customHeight="1"/>
    <row r="53011" ht="15" customHeight="1"/>
    <row r="53012" ht="15" customHeight="1"/>
    <row r="53013" ht="15" customHeight="1"/>
    <row r="53014" ht="15" customHeight="1"/>
    <row r="53015" ht="15" customHeight="1"/>
    <row r="53016" ht="15" customHeight="1"/>
    <row r="53017" ht="15" customHeight="1"/>
    <row r="53018" ht="15" customHeight="1"/>
    <row r="53019" ht="15" customHeight="1"/>
    <row r="53020" ht="15" customHeight="1"/>
    <row r="53021" ht="15" customHeight="1"/>
    <row r="53022" ht="15" customHeight="1"/>
    <row r="53023" ht="15" customHeight="1"/>
    <row r="53024" ht="15" customHeight="1"/>
    <row r="53025" ht="15" customHeight="1"/>
    <row r="53026" ht="15" customHeight="1"/>
    <row r="53027" ht="15" customHeight="1"/>
    <row r="53028" ht="15" customHeight="1"/>
    <row r="53029" ht="15" customHeight="1"/>
    <row r="53030" ht="15" customHeight="1"/>
    <row r="53031" ht="15" customHeight="1"/>
    <row r="53032" ht="15" customHeight="1"/>
    <row r="53033" ht="15" customHeight="1"/>
    <row r="53034" ht="15" customHeight="1"/>
    <row r="53035" ht="15" customHeight="1"/>
    <row r="53036" ht="15" customHeight="1"/>
    <row r="53037" ht="15" customHeight="1"/>
    <row r="53038" ht="15" customHeight="1"/>
    <row r="53039" ht="15" customHeight="1"/>
    <row r="53040" ht="15" customHeight="1"/>
    <row r="53041" ht="15" customHeight="1"/>
    <row r="53042" ht="15" customHeight="1"/>
    <row r="53043" ht="15" customHeight="1"/>
    <row r="53044" ht="15" customHeight="1"/>
    <row r="53045" ht="15" customHeight="1"/>
    <row r="53046" ht="15" customHeight="1"/>
    <row r="53047" ht="15" customHeight="1"/>
    <row r="53048" ht="15" customHeight="1"/>
    <row r="53049" ht="15" customHeight="1"/>
    <row r="53050" ht="15" customHeight="1"/>
    <row r="53051" ht="15" customHeight="1"/>
    <row r="53052" ht="15" customHeight="1"/>
    <row r="53053" ht="15" customHeight="1"/>
    <row r="53054" ht="15" customHeight="1"/>
    <row r="53055" ht="15" customHeight="1"/>
    <row r="53056" ht="15" customHeight="1"/>
    <row r="53057" ht="15" customHeight="1"/>
    <row r="53058" ht="15" customHeight="1"/>
    <row r="53059" ht="15" customHeight="1"/>
    <row r="53060" ht="15" customHeight="1"/>
    <row r="53061" ht="15" customHeight="1"/>
    <row r="53062" ht="15" customHeight="1"/>
    <row r="53063" ht="15" customHeight="1"/>
    <row r="53064" ht="15" customHeight="1"/>
    <row r="53065" ht="15" customHeight="1"/>
    <row r="53066" ht="15" customHeight="1"/>
    <row r="53067" ht="15" customHeight="1"/>
    <row r="53068" ht="15" customHeight="1"/>
    <row r="53069" ht="15" customHeight="1"/>
    <row r="53070" ht="15" customHeight="1"/>
    <row r="53071" ht="15" customHeight="1"/>
    <row r="53072" ht="15" customHeight="1"/>
    <row r="53073" ht="15" customHeight="1"/>
    <row r="53074" ht="15" customHeight="1"/>
    <row r="53075" ht="15" customHeight="1"/>
    <row r="53076" ht="15" customHeight="1"/>
    <row r="53077" ht="15" customHeight="1"/>
    <row r="53078" ht="15" customHeight="1"/>
    <row r="53079" ht="15" customHeight="1"/>
    <row r="53080" ht="15" customHeight="1"/>
    <row r="53081" ht="15" customHeight="1"/>
    <row r="53082" ht="15" customHeight="1"/>
    <row r="53083" ht="15" customHeight="1"/>
    <row r="53084" ht="15" customHeight="1"/>
    <row r="53085" ht="15" customHeight="1"/>
    <row r="53086" ht="15" customHeight="1"/>
    <row r="53087" ht="15" customHeight="1"/>
    <row r="53088" ht="15" customHeight="1"/>
    <row r="53089" ht="15" customHeight="1"/>
    <row r="53090" ht="15" customHeight="1"/>
    <row r="53091" ht="15" customHeight="1"/>
    <row r="53092" ht="15" customHeight="1"/>
    <row r="53093" ht="15" customHeight="1"/>
    <row r="53094" ht="15" customHeight="1"/>
    <row r="53095" ht="15" customHeight="1"/>
    <row r="53096" ht="15" customHeight="1"/>
    <row r="53097" ht="15" customHeight="1"/>
    <row r="53098" ht="15" customHeight="1"/>
    <row r="53099" ht="15" customHeight="1"/>
    <row r="53100" ht="15" customHeight="1"/>
    <row r="53101" ht="15" customHeight="1"/>
    <row r="53102" ht="15" customHeight="1"/>
    <row r="53103" ht="15" customHeight="1"/>
    <row r="53104" ht="15" customHeight="1"/>
    <row r="53105" ht="15" customHeight="1"/>
    <row r="53106" ht="15" customHeight="1"/>
    <row r="53107" ht="15" customHeight="1"/>
    <row r="53108" ht="15" customHeight="1"/>
    <row r="53109" ht="15" customHeight="1"/>
    <row r="53110" ht="15" customHeight="1"/>
    <row r="53111" ht="15" customHeight="1"/>
    <row r="53112" ht="15" customHeight="1"/>
    <row r="53113" ht="15" customHeight="1"/>
    <row r="53114" ht="15" customHeight="1"/>
    <row r="53115" ht="15" customHeight="1"/>
    <row r="53116" ht="15" customHeight="1"/>
    <row r="53117" ht="15" customHeight="1"/>
    <row r="53118" ht="15" customHeight="1"/>
    <row r="53119" ht="15" customHeight="1"/>
    <row r="53120" ht="15" customHeight="1"/>
    <row r="53121" ht="15" customHeight="1"/>
    <row r="53122" ht="15" customHeight="1"/>
    <row r="53123" ht="15" customHeight="1"/>
    <row r="53124" ht="15" customHeight="1"/>
    <row r="53125" ht="15" customHeight="1"/>
    <row r="53126" ht="15" customHeight="1"/>
    <row r="53127" ht="15" customHeight="1"/>
    <row r="53128" ht="15" customHeight="1"/>
    <row r="53129" ht="15" customHeight="1"/>
    <row r="53130" ht="15" customHeight="1"/>
    <row r="53131" ht="15" customHeight="1"/>
    <row r="53132" ht="15" customHeight="1"/>
    <row r="53133" ht="15" customHeight="1"/>
    <row r="53134" ht="15" customHeight="1"/>
    <row r="53135" ht="15" customHeight="1"/>
    <row r="53136" ht="15" customHeight="1"/>
    <row r="53137" ht="15" customHeight="1"/>
    <row r="53138" ht="15" customHeight="1"/>
    <row r="53139" ht="15" customHeight="1"/>
    <row r="53140" ht="15" customHeight="1"/>
    <row r="53141" ht="15" customHeight="1"/>
    <row r="53142" ht="15" customHeight="1"/>
    <row r="53143" ht="15" customHeight="1"/>
    <row r="53144" ht="15" customHeight="1"/>
    <row r="53145" ht="15" customHeight="1"/>
    <row r="53146" ht="15" customHeight="1"/>
    <row r="53147" ht="15" customHeight="1"/>
    <row r="53148" ht="15" customHeight="1"/>
    <row r="53149" ht="15" customHeight="1"/>
    <row r="53150" ht="15" customHeight="1"/>
    <row r="53151" ht="15" customHeight="1"/>
    <row r="53152" ht="15" customHeight="1"/>
    <row r="53153" ht="15" customHeight="1"/>
    <row r="53154" ht="15" customHeight="1"/>
    <row r="53155" ht="15" customHeight="1"/>
    <row r="53156" ht="15" customHeight="1"/>
    <row r="53157" ht="15" customHeight="1"/>
    <row r="53158" ht="15" customHeight="1"/>
    <row r="53159" ht="15" customHeight="1"/>
    <row r="53160" ht="15" customHeight="1"/>
    <row r="53161" ht="15" customHeight="1"/>
    <row r="53162" ht="15" customHeight="1"/>
    <row r="53163" ht="15" customHeight="1"/>
    <row r="53164" ht="15" customHeight="1"/>
    <row r="53165" ht="15" customHeight="1"/>
    <row r="53166" ht="15" customHeight="1"/>
    <row r="53167" ht="15" customHeight="1"/>
    <row r="53168" ht="15" customHeight="1"/>
    <row r="53169" ht="15" customHeight="1"/>
    <row r="53170" ht="15" customHeight="1"/>
    <row r="53171" ht="15" customHeight="1"/>
    <row r="53172" ht="15" customHeight="1"/>
    <row r="53173" ht="15" customHeight="1"/>
    <row r="53174" ht="15" customHeight="1"/>
    <row r="53175" ht="15" customHeight="1"/>
    <row r="53176" ht="15" customHeight="1"/>
    <row r="53177" ht="15" customHeight="1"/>
    <row r="53178" ht="15" customHeight="1"/>
    <row r="53179" ht="15" customHeight="1"/>
    <row r="53180" ht="15" customHeight="1"/>
    <row r="53181" ht="15" customHeight="1"/>
    <row r="53182" ht="15" customHeight="1"/>
    <row r="53183" ht="15" customHeight="1"/>
    <row r="53184" ht="15" customHeight="1"/>
    <row r="53185" ht="15" customHeight="1"/>
    <row r="53186" ht="15" customHeight="1"/>
    <row r="53187" ht="15" customHeight="1"/>
    <row r="53188" ht="15" customHeight="1"/>
    <row r="53189" ht="15" customHeight="1"/>
    <row r="53190" ht="15" customHeight="1"/>
    <row r="53191" ht="15" customHeight="1"/>
    <row r="53192" ht="15" customHeight="1"/>
    <row r="53193" ht="15" customHeight="1"/>
    <row r="53194" ht="15" customHeight="1"/>
    <row r="53195" ht="15" customHeight="1"/>
    <row r="53196" ht="15" customHeight="1"/>
    <row r="53197" ht="15" customHeight="1"/>
    <row r="53198" ht="15" customHeight="1"/>
    <row r="53199" ht="15" customHeight="1"/>
    <row r="53200" ht="15" customHeight="1"/>
    <row r="53201" ht="15" customHeight="1"/>
    <row r="53202" ht="15" customHeight="1"/>
    <row r="53203" ht="15" customHeight="1"/>
    <row r="53204" ht="15" customHeight="1"/>
    <row r="53205" ht="15" customHeight="1"/>
    <row r="53206" ht="15" customHeight="1"/>
    <row r="53207" ht="15" customHeight="1"/>
    <row r="53208" ht="15" customHeight="1"/>
    <row r="53209" ht="15" customHeight="1"/>
    <row r="53210" ht="15" customHeight="1"/>
    <row r="53211" ht="15" customHeight="1"/>
    <row r="53212" ht="15" customHeight="1"/>
    <row r="53213" ht="15" customHeight="1"/>
    <row r="53214" ht="15" customHeight="1"/>
    <row r="53215" ht="15" customHeight="1"/>
    <row r="53216" ht="15" customHeight="1"/>
    <row r="53217" ht="15" customHeight="1"/>
    <row r="53218" ht="15" customHeight="1"/>
    <row r="53219" ht="15" customHeight="1"/>
    <row r="53220" ht="15" customHeight="1"/>
    <row r="53221" ht="15" customHeight="1"/>
    <row r="53222" ht="15" customHeight="1"/>
    <row r="53223" ht="15" customHeight="1"/>
    <row r="53224" ht="15" customHeight="1"/>
    <row r="53225" ht="15" customHeight="1"/>
    <row r="53226" ht="15" customHeight="1"/>
    <row r="53227" ht="15" customHeight="1"/>
    <row r="53228" ht="15" customHeight="1"/>
    <row r="53229" ht="15" customHeight="1"/>
    <row r="53230" ht="15" customHeight="1"/>
    <row r="53231" ht="15" customHeight="1"/>
    <row r="53232" ht="15" customHeight="1"/>
    <row r="53233" ht="15" customHeight="1"/>
    <row r="53234" ht="15" customHeight="1"/>
    <row r="53235" ht="15" customHeight="1"/>
    <row r="53236" ht="15" customHeight="1"/>
    <row r="53237" ht="15" customHeight="1"/>
    <row r="53238" ht="15" customHeight="1"/>
    <row r="53239" ht="15" customHeight="1"/>
    <row r="53240" ht="15" customHeight="1"/>
    <row r="53241" ht="15" customHeight="1"/>
    <row r="53242" ht="15" customHeight="1"/>
    <row r="53243" ht="15" customHeight="1"/>
    <row r="53244" ht="15" customHeight="1"/>
    <row r="53245" ht="15" customHeight="1"/>
    <row r="53246" ht="15" customHeight="1"/>
    <row r="53247" ht="15" customHeight="1"/>
    <row r="53248" ht="15" customHeight="1"/>
    <row r="53249" ht="15" customHeight="1"/>
    <row r="53250" ht="15" customHeight="1"/>
    <row r="53251" ht="15" customHeight="1"/>
    <row r="53252" ht="15" customHeight="1"/>
    <row r="53253" ht="15" customHeight="1"/>
    <row r="53254" ht="15" customHeight="1"/>
    <row r="53255" ht="15" customHeight="1"/>
    <row r="53256" ht="15" customHeight="1"/>
    <row r="53257" ht="15" customHeight="1"/>
    <row r="53258" ht="15" customHeight="1"/>
    <row r="53259" ht="15" customHeight="1"/>
    <row r="53260" ht="15" customHeight="1"/>
    <row r="53261" ht="15" customHeight="1"/>
    <row r="53262" ht="15" customHeight="1"/>
    <row r="53263" ht="15" customHeight="1"/>
    <row r="53264" ht="15" customHeight="1"/>
    <row r="53265" ht="15" customHeight="1"/>
    <row r="53266" ht="15" customHeight="1"/>
    <row r="53267" ht="15" customHeight="1"/>
    <row r="53268" ht="15" customHeight="1"/>
    <row r="53269" ht="15" customHeight="1"/>
    <row r="53270" ht="15" customHeight="1"/>
    <row r="53271" ht="15" customHeight="1"/>
    <row r="53272" ht="15" customHeight="1"/>
    <row r="53273" ht="15" customHeight="1"/>
    <row r="53274" ht="15" customHeight="1"/>
    <row r="53275" ht="15" customHeight="1"/>
    <row r="53276" ht="15" customHeight="1"/>
    <row r="53277" ht="15" customHeight="1"/>
    <row r="53278" ht="15" customHeight="1"/>
    <row r="53279" ht="15" customHeight="1"/>
    <row r="53280" ht="15" customHeight="1"/>
    <row r="53281" ht="15" customHeight="1"/>
    <row r="53282" ht="15" customHeight="1"/>
    <row r="53283" ht="15" customHeight="1"/>
    <row r="53284" ht="15" customHeight="1"/>
    <row r="53285" ht="15" customHeight="1"/>
    <row r="53286" ht="15" customHeight="1"/>
    <row r="53287" ht="15" customHeight="1"/>
    <row r="53288" ht="15" customHeight="1"/>
    <row r="53289" ht="15" customHeight="1"/>
    <row r="53290" ht="15" customHeight="1"/>
    <row r="53291" ht="15" customHeight="1"/>
    <row r="53292" ht="15" customHeight="1"/>
    <row r="53293" ht="15" customHeight="1"/>
    <row r="53294" ht="15" customHeight="1"/>
    <row r="53295" ht="15" customHeight="1"/>
    <row r="53296" ht="15" customHeight="1"/>
    <row r="53297" ht="15" customHeight="1"/>
    <row r="53298" ht="15" customHeight="1"/>
    <row r="53299" ht="15" customHeight="1"/>
    <row r="53300" ht="15" customHeight="1"/>
    <row r="53301" ht="15" customHeight="1"/>
    <row r="53302" ht="15" customHeight="1"/>
    <row r="53303" ht="15" customHeight="1"/>
    <row r="53304" ht="15" customHeight="1"/>
    <row r="53305" ht="15" customHeight="1"/>
    <row r="53306" ht="15" customHeight="1"/>
    <row r="53307" ht="15" customHeight="1"/>
    <row r="53308" ht="15" customHeight="1"/>
    <row r="53309" ht="15" customHeight="1"/>
    <row r="53310" ht="15" customHeight="1"/>
    <row r="53311" ht="15" customHeight="1"/>
    <row r="53312" ht="15" customHeight="1"/>
    <row r="53313" ht="15" customHeight="1"/>
    <row r="53314" ht="15" customHeight="1"/>
    <row r="53315" ht="15" customHeight="1"/>
    <row r="53316" ht="15" customHeight="1"/>
    <row r="53317" ht="15" customHeight="1"/>
    <row r="53318" ht="15" customHeight="1"/>
    <row r="53319" ht="15" customHeight="1"/>
    <row r="53320" ht="15" customHeight="1"/>
    <row r="53321" ht="15" customHeight="1"/>
    <row r="53322" ht="15" customHeight="1"/>
    <row r="53323" ht="15" customHeight="1"/>
    <row r="53324" ht="15" customHeight="1"/>
    <row r="53325" ht="15" customHeight="1"/>
    <row r="53326" ht="15" customHeight="1"/>
    <row r="53327" ht="15" customHeight="1"/>
    <row r="53328" ht="15" customHeight="1"/>
    <row r="53329" ht="15" customHeight="1"/>
    <row r="53330" ht="15" customHeight="1"/>
    <row r="53331" ht="15" customHeight="1"/>
    <row r="53332" ht="15" customHeight="1"/>
    <row r="53333" ht="15" customHeight="1"/>
    <row r="53334" ht="15" customHeight="1"/>
    <row r="53335" ht="15" customHeight="1"/>
    <row r="53336" ht="15" customHeight="1"/>
    <row r="53337" ht="15" customHeight="1"/>
    <row r="53338" ht="15" customHeight="1"/>
    <row r="53339" ht="15" customHeight="1"/>
    <row r="53340" ht="15" customHeight="1"/>
    <row r="53341" ht="15" customHeight="1"/>
    <row r="53342" ht="15" customHeight="1"/>
    <row r="53343" ht="15" customHeight="1"/>
    <row r="53344" ht="15" customHeight="1"/>
    <row r="53345" ht="15" customHeight="1"/>
    <row r="53346" ht="15" customHeight="1"/>
    <row r="53347" ht="15" customHeight="1"/>
    <row r="53348" ht="15" customHeight="1"/>
    <row r="53349" ht="15" customHeight="1"/>
    <row r="53350" ht="15" customHeight="1"/>
    <row r="53351" ht="15" customHeight="1"/>
    <row r="53352" ht="15" customHeight="1"/>
    <row r="53353" ht="15" customHeight="1"/>
    <row r="53354" ht="15" customHeight="1"/>
    <row r="53355" ht="15" customHeight="1"/>
    <row r="53356" ht="15" customHeight="1"/>
    <row r="53357" ht="15" customHeight="1"/>
    <row r="53358" ht="15" customHeight="1"/>
    <row r="53359" ht="15" customHeight="1"/>
    <row r="53360" ht="15" customHeight="1"/>
    <row r="53361" ht="15" customHeight="1"/>
    <row r="53362" ht="15" customHeight="1"/>
    <row r="53363" ht="15" customHeight="1"/>
    <row r="53364" ht="15" customHeight="1"/>
    <row r="53365" ht="15" customHeight="1"/>
    <row r="53366" ht="15" customHeight="1"/>
    <row r="53367" ht="15" customHeight="1"/>
    <row r="53368" ht="15" customHeight="1"/>
    <row r="53369" ht="15" customHeight="1"/>
    <row r="53370" ht="15" customHeight="1"/>
    <row r="53371" ht="15" customHeight="1"/>
    <row r="53372" ht="15" customHeight="1"/>
    <row r="53373" ht="15" customHeight="1"/>
    <row r="53374" ht="15" customHeight="1"/>
    <row r="53375" ht="15" customHeight="1"/>
    <row r="53376" ht="15" customHeight="1"/>
    <row r="53377" ht="15" customHeight="1"/>
    <row r="53378" ht="15" customHeight="1"/>
    <row r="53379" ht="15" customHeight="1"/>
    <row r="53380" ht="15" customHeight="1"/>
    <row r="53381" ht="15" customHeight="1"/>
    <row r="53382" ht="15" customHeight="1"/>
    <row r="53383" ht="15" customHeight="1"/>
    <row r="53384" ht="15" customHeight="1"/>
    <row r="53385" ht="15" customHeight="1"/>
    <row r="53386" ht="15" customHeight="1"/>
    <row r="53387" ht="15" customHeight="1"/>
    <row r="53388" ht="15" customHeight="1"/>
    <row r="53389" ht="15" customHeight="1"/>
    <row r="53390" ht="15" customHeight="1"/>
    <row r="53391" ht="15" customHeight="1"/>
    <row r="53392" ht="15" customHeight="1"/>
    <row r="53393" ht="15" customHeight="1"/>
    <row r="53394" ht="15" customHeight="1"/>
    <row r="53395" ht="15" customHeight="1"/>
    <row r="53396" ht="15" customHeight="1"/>
    <row r="53397" ht="15" customHeight="1"/>
    <row r="53398" ht="15" customHeight="1"/>
    <row r="53399" ht="15" customHeight="1"/>
    <row r="53400" ht="15" customHeight="1"/>
    <row r="53401" ht="15" customHeight="1"/>
    <row r="53402" ht="15" customHeight="1"/>
    <row r="53403" ht="15" customHeight="1"/>
    <row r="53404" ht="15" customHeight="1"/>
    <row r="53405" ht="15" customHeight="1"/>
    <row r="53406" ht="15" customHeight="1"/>
    <row r="53407" ht="15" customHeight="1"/>
    <row r="53408" ht="15" customHeight="1"/>
    <row r="53409" ht="15" customHeight="1"/>
    <row r="53410" ht="15" customHeight="1"/>
    <row r="53411" ht="15" customHeight="1"/>
    <row r="53412" ht="15" customHeight="1"/>
    <row r="53413" ht="15" customHeight="1"/>
    <row r="53414" ht="15" customHeight="1"/>
    <row r="53415" ht="15" customHeight="1"/>
    <row r="53416" ht="15" customHeight="1"/>
    <row r="53417" ht="15" customHeight="1"/>
    <row r="53418" ht="15" customHeight="1"/>
    <row r="53419" ht="15" customHeight="1"/>
    <row r="53420" ht="15" customHeight="1"/>
    <row r="53421" ht="15" customHeight="1"/>
    <row r="53422" ht="15" customHeight="1"/>
    <row r="53423" ht="15" customHeight="1"/>
    <row r="53424" ht="15" customHeight="1"/>
    <row r="53425" ht="15" customHeight="1"/>
    <row r="53426" ht="15" customHeight="1"/>
    <row r="53427" ht="15" customHeight="1"/>
    <row r="53428" ht="15" customHeight="1"/>
    <row r="53429" ht="15" customHeight="1"/>
    <row r="53430" ht="15" customHeight="1"/>
    <row r="53431" ht="15" customHeight="1"/>
    <row r="53432" ht="15" customHeight="1"/>
    <row r="53433" ht="15" customHeight="1"/>
    <row r="53434" ht="15" customHeight="1"/>
    <row r="53435" ht="15" customHeight="1"/>
    <row r="53436" ht="15" customHeight="1"/>
    <row r="53437" ht="15" customHeight="1"/>
    <row r="53438" ht="15" customHeight="1"/>
    <row r="53439" ht="15" customHeight="1"/>
    <row r="53440" ht="15" customHeight="1"/>
    <row r="53441" ht="15" customHeight="1"/>
    <row r="53442" ht="15" customHeight="1"/>
    <row r="53443" ht="15" customHeight="1"/>
    <row r="53444" ht="15" customHeight="1"/>
    <row r="53445" ht="15" customHeight="1"/>
    <row r="53446" ht="15" customHeight="1"/>
    <row r="53447" ht="15" customHeight="1"/>
    <row r="53448" ht="15" customHeight="1"/>
    <row r="53449" ht="15" customHeight="1"/>
    <row r="53450" ht="15" customHeight="1"/>
    <row r="53451" ht="15" customHeight="1"/>
    <row r="53452" ht="15" customHeight="1"/>
    <row r="53453" ht="15" customHeight="1"/>
    <row r="53454" ht="15" customHeight="1"/>
    <row r="53455" ht="15" customHeight="1"/>
    <row r="53456" ht="15" customHeight="1"/>
    <row r="53457" ht="15" customHeight="1"/>
    <row r="53458" ht="15" customHeight="1"/>
    <row r="53459" ht="15" customHeight="1"/>
    <row r="53460" ht="15" customHeight="1"/>
    <row r="53461" ht="15" customHeight="1"/>
    <row r="53462" ht="15" customHeight="1"/>
    <row r="53463" ht="15" customHeight="1"/>
    <row r="53464" ht="15" customHeight="1"/>
    <row r="53465" ht="15" customHeight="1"/>
    <row r="53466" ht="15" customHeight="1"/>
    <row r="53467" ht="15" customHeight="1"/>
    <row r="53468" ht="15" customHeight="1"/>
    <row r="53469" ht="15" customHeight="1"/>
    <row r="53470" ht="15" customHeight="1"/>
    <row r="53471" ht="15" customHeight="1"/>
    <row r="53472" ht="15" customHeight="1"/>
    <row r="53473" ht="15" customHeight="1"/>
    <row r="53474" ht="15" customHeight="1"/>
    <row r="53475" ht="15" customHeight="1"/>
    <row r="53476" ht="15" customHeight="1"/>
    <row r="53477" ht="15" customHeight="1"/>
    <row r="53478" ht="15" customHeight="1"/>
    <row r="53479" ht="15" customHeight="1"/>
    <row r="53480" ht="15" customHeight="1"/>
    <row r="53481" ht="15" customHeight="1"/>
    <row r="53482" ht="15" customHeight="1"/>
    <row r="53483" ht="15" customHeight="1"/>
    <row r="53484" ht="15" customHeight="1"/>
    <row r="53485" ht="15" customHeight="1"/>
    <row r="53486" ht="15" customHeight="1"/>
    <row r="53487" ht="15" customHeight="1"/>
    <row r="53488" ht="15" customHeight="1"/>
    <row r="53489" ht="15" customHeight="1"/>
    <row r="53490" ht="15" customHeight="1"/>
    <row r="53491" ht="15" customHeight="1"/>
    <row r="53492" ht="15" customHeight="1"/>
    <row r="53493" ht="15" customHeight="1"/>
    <row r="53494" ht="15" customHeight="1"/>
    <row r="53495" ht="15" customHeight="1"/>
    <row r="53496" ht="15" customHeight="1"/>
    <row r="53497" ht="15" customHeight="1"/>
    <row r="53498" ht="15" customHeight="1"/>
    <row r="53499" ht="15" customHeight="1"/>
    <row r="53500" ht="15" customHeight="1"/>
    <row r="53501" ht="15" customHeight="1"/>
    <row r="53502" ht="15" customHeight="1"/>
    <row r="53503" ht="15" customHeight="1"/>
    <row r="53504" ht="15" customHeight="1"/>
    <row r="53505" ht="15" customHeight="1"/>
    <row r="53506" ht="15" customHeight="1"/>
    <row r="53507" ht="15" customHeight="1"/>
    <row r="53508" ht="15" customHeight="1"/>
    <row r="53509" ht="15" customHeight="1"/>
    <row r="53510" ht="15" customHeight="1"/>
    <row r="53511" ht="15" customHeight="1"/>
    <row r="53512" ht="15" customHeight="1"/>
    <row r="53513" ht="15" customHeight="1"/>
    <row r="53514" ht="15" customHeight="1"/>
    <row r="53515" ht="15" customHeight="1"/>
    <row r="53516" ht="15" customHeight="1"/>
    <row r="53517" ht="15" customHeight="1"/>
    <row r="53518" ht="15" customHeight="1"/>
    <row r="53519" ht="15" customHeight="1"/>
    <row r="53520" ht="15" customHeight="1"/>
    <row r="53521" ht="15" customHeight="1"/>
    <row r="53522" ht="15" customHeight="1"/>
    <row r="53523" ht="15" customHeight="1"/>
    <row r="53524" ht="15" customHeight="1"/>
    <row r="53525" ht="15" customHeight="1"/>
    <row r="53526" ht="15" customHeight="1"/>
    <row r="53527" ht="15" customHeight="1"/>
    <row r="53528" ht="15" customHeight="1"/>
    <row r="53529" ht="15" customHeight="1"/>
    <row r="53530" ht="15" customHeight="1"/>
    <row r="53531" ht="15" customHeight="1"/>
    <row r="53532" ht="15" customHeight="1"/>
    <row r="53533" ht="15" customHeight="1"/>
    <row r="53534" ht="15" customHeight="1"/>
    <row r="53535" ht="15" customHeight="1"/>
    <row r="53536" ht="15" customHeight="1"/>
    <row r="53537" ht="15" customHeight="1"/>
    <row r="53538" ht="15" customHeight="1"/>
    <row r="53539" ht="15" customHeight="1"/>
    <row r="53540" ht="15" customHeight="1"/>
    <row r="53541" ht="15" customHeight="1"/>
    <row r="53542" ht="15" customHeight="1"/>
    <row r="53543" ht="15" customHeight="1"/>
    <row r="53544" ht="15" customHeight="1"/>
    <row r="53545" ht="15" customHeight="1"/>
    <row r="53546" ht="15" customHeight="1"/>
    <row r="53547" ht="15" customHeight="1"/>
    <row r="53548" ht="15" customHeight="1"/>
    <row r="53549" ht="15" customHeight="1"/>
    <row r="53550" ht="15" customHeight="1"/>
    <row r="53551" ht="15" customHeight="1"/>
    <row r="53552" ht="15" customHeight="1"/>
    <row r="53553" ht="15" customHeight="1"/>
    <row r="53554" ht="15" customHeight="1"/>
    <row r="53555" ht="15" customHeight="1"/>
    <row r="53556" ht="15" customHeight="1"/>
    <row r="53557" ht="15" customHeight="1"/>
    <row r="53558" ht="15" customHeight="1"/>
    <row r="53559" ht="15" customHeight="1"/>
    <row r="53560" ht="15" customHeight="1"/>
    <row r="53561" ht="15" customHeight="1"/>
    <row r="53562" ht="15" customHeight="1"/>
    <row r="53563" ht="15" customHeight="1"/>
    <row r="53564" ht="15" customHeight="1"/>
    <row r="53565" ht="15" customHeight="1"/>
    <row r="53566" ht="15" customHeight="1"/>
    <row r="53567" ht="15" customHeight="1"/>
    <row r="53568" ht="15" customHeight="1"/>
    <row r="53569" ht="15" customHeight="1"/>
    <row r="53570" ht="15" customHeight="1"/>
    <row r="53571" ht="15" customHeight="1"/>
    <row r="53572" ht="15" customHeight="1"/>
    <row r="53573" ht="15" customHeight="1"/>
    <row r="53574" ht="15" customHeight="1"/>
    <row r="53575" ht="15" customHeight="1"/>
    <row r="53576" ht="15" customHeight="1"/>
    <row r="53577" ht="15" customHeight="1"/>
    <row r="53578" ht="15" customHeight="1"/>
    <row r="53579" ht="15" customHeight="1"/>
    <row r="53580" ht="15" customHeight="1"/>
    <row r="53581" ht="15" customHeight="1"/>
    <row r="53582" ht="15" customHeight="1"/>
    <row r="53583" ht="15" customHeight="1"/>
    <row r="53584" ht="15" customHeight="1"/>
    <row r="53585" ht="15" customHeight="1"/>
    <row r="53586" ht="15" customHeight="1"/>
    <row r="53587" ht="15" customHeight="1"/>
    <row r="53588" ht="15" customHeight="1"/>
    <row r="53589" ht="15" customHeight="1"/>
    <row r="53590" ht="15" customHeight="1"/>
    <row r="53591" ht="15" customHeight="1"/>
    <row r="53592" ht="15" customHeight="1"/>
    <row r="53593" ht="15" customHeight="1"/>
    <row r="53594" ht="15" customHeight="1"/>
    <row r="53595" ht="15" customHeight="1"/>
    <row r="53596" ht="15" customHeight="1"/>
    <row r="53597" ht="15" customHeight="1"/>
    <row r="53598" ht="15" customHeight="1"/>
    <row r="53599" ht="15" customHeight="1"/>
    <row r="53600" ht="15" customHeight="1"/>
    <row r="53601" ht="15" customHeight="1"/>
    <row r="53602" ht="15" customHeight="1"/>
    <row r="53603" ht="15" customHeight="1"/>
    <row r="53604" ht="15" customHeight="1"/>
    <row r="53605" ht="15" customHeight="1"/>
    <row r="53606" ht="15" customHeight="1"/>
    <row r="53607" ht="15" customHeight="1"/>
    <row r="53608" ht="15" customHeight="1"/>
    <row r="53609" ht="15" customHeight="1"/>
    <row r="53610" ht="15" customHeight="1"/>
    <row r="53611" ht="15" customHeight="1"/>
    <row r="53612" ht="15" customHeight="1"/>
    <row r="53613" ht="15" customHeight="1"/>
    <row r="53614" ht="15" customHeight="1"/>
    <row r="53615" ht="15" customHeight="1"/>
    <row r="53616" ht="15" customHeight="1"/>
    <row r="53617" ht="15" customHeight="1"/>
    <row r="53618" ht="15" customHeight="1"/>
    <row r="53619" ht="15" customHeight="1"/>
    <row r="53620" ht="15" customHeight="1"/>
    <row r="53621" ht="15" customHeight="1"/>
    <row r="53622" ht="15" customHeight="1"/>
    <row r="53623" ht="15" customHeight="1"/>
    <row r="53624" ht="15" customHeight="1"/>
    <row r="53625" ht="15" customHeight="1"/>
    <row r="53626" ht="15" customHeight="1"/>
    <row r="53627" ht="15" customHeight="1"/>
    <row r="53628" ht="15" customHeight="1"/>
    <row r="53629" ht="15" customHeight="1"/>
    <row r="53630" ht="15" customHeight="1"/>
    <row r="53631" ht="15" customHeight="1"/>
    <row r="53632" ht="15" customHeight="1"/>
    <row r="53633" ht="15" customHeight="1"/>
    <row r="53634" ht="15" customHeight="1"/>
    <row r="53635" ht="15" customHeight="1"/>
    <row r="53636" ht="15" customHeight="1"/>
    <row r="53637" ht="15" customHeight="1"/>
    <row r="53638" ht="15" customHeight="1"/>
    <row r="53639" ht="15" customHeight="1"/>
    <row r="53640" ht="15" customHeight="1"/>
    <row r="53641" ht="15" customHeight="1"/>
    <row r="53642" ht="15" customHeight="1"/>
    <row r="53643" ht="15" customHeight="1"/>
    <row r="53644" ht="15" customHeight="1"/>
    <row r="53645" ht="15" customHeight="1"/>
    <row r="53646" ht="15" customHeight="1"/>
    <row r="53647" ht="15" customHeight="1"/>
    <row r="53648" ht="15" customHeight="1"/>
    <row r="53649" ht="15" customHeight="1"/>
    <row r="53650" ht="15" customHeight="1"/>
    <row r="53651" ht="15" customHeight="1"/>
    <row r="53652" ht="15" customHeight="1"/>
    <row r="53653" ht="15" customHeight="1"/>
    <row r="53654" ht="15" customHeight="1"/>
    <row r="53655" ht="15" customHeight="1"/>
    <row r="53656" ht="15" customHeight="1"/>
    <row r="53657" ht="15" customHeight="1"/>
    <row r="53658" ht="15" customHeight="1"/>
    <row r="53659" ht="15" customHeight="1"/>
    <row r="53660" ht="15" customHeight="1"/>
    <row r="53661" ht="15" customHeight="1"/>
    <row r="53662" ht="15" customHeight="1"/>
    <row r="53663" ht="15" customHeight="1"/>
    <row r="53664" ht="15" customHeight="1"/>
    <row r="53665" ht="15" customHeight="1"/>
    <row r="53666" ht="15" customHeight="1"/>
    <row r="53667" ht="15" customHeight="1"/>
    <row r="53668" ht="15" customHeight="1"/>
    <row r="53669" ht="15" customHeight="1"/>
    <row r="53670" ht="15" customHeight="1"/>
    <row r="53671" ht="15" customHeight="1"/>
    <row r="53672" ht="15" customHeight="1"/>
    <row r="53673" ht="15" customHeight="1"/>
    <row r="53674" ht="15" customHeight="1"/>
    <row r="53675" ht="15" customHeight="1"/>
    <row r="53676" ht="15" customHeight="1"/>
    <row r="53677" ht="15" customHeight="1"/>
    <row r="53678" ht="15" customHeight="1"/>
    <row r="53679" ht="15" customHeight="1"/>
    <row r="53680" ht="15" customHeight="1"/>
    <row r="53681" ht="15" customHeight="1"/>
    <row r="53682" ht="15" customHeight="1"/>
    <row r="53683" ht="15" customHeight="1"/>
    <row r="53684" ht="15" customHeight="1"/>
    <row r="53685" ht="15" customHeight="1"/>
    <row r="53686" ht="15" customHeight="1"/>
    <row r="53687" ht="15" customHeight="1"/>
    <row r="53688" ht="15" customHeight="1"/>
    <row r="53689" ht="15" customHeight="1"/>
    <row r="53690" ht="15" customHeight="1"/>
    <row r="53691" ht="15" customHeight="1"/>
    <row r="53692" ht="15" customHeight="1"/>
    <row r="53693" ht="15" customHeight="1"/>
    <row r="53694" ht="15" customHeight="1"/>
    <row r="53695" ht="15" customHeight="1"/>
    <row r="53696" ht="15" customHeight="1"/>
    <row r="53697" ht="15" customHeight="1"/>
    <row r="53698" ht="15" customHeight="1"/>
    <row r="53699" ht="15" customHeight="1"/>
    <row r="53700" ht="15" customHeight="1"/>
    <row r="53701" ht="15" customHeight="1"/>
    <row r="53702" ht="15" customHeight="1"/>
    <row r="53703" ht="15" customHeight="1"/>
    <row r="53704" ht="15" customHeight="1"/>
    <row r="53705" ht="15" customHeight="1"/>
    <row r="53706" ht="15" customHeight="1"/>
    <row r="53707" ht="15" customHeight="1"/>
    <row r="53708" ht="15" customHeight="1"/>
    <row r="53709" ht="15" customHeight="1"/>
    <row r="53710" ht="15" customHeight="1"/>
    <row r="53711" ht="15" customHeight="1"/>
    <row r="53712" ht="15" customHeight="1"/>
    <row r="53713" ht="15" customHeight="1"/>
    <row r="53714" ht="15" customHeight="1"/>
    <row r="53715" ht="15" customHeight="1"/>
    <row r="53716" ht="15" customHeight="1"/>
    <row r="53717" ht="15" customHeight="1"/>
    <row r="53718" ht="15" customHeight="1"/>
    <row r="53719" ht="15" customHeight="1"/>
    <row r="53720" ht="15" customHeight="1"/>
    <row r="53721" ht="15" customHeight="1"/>
    <row r="53722" ht="15" customHeight="1"/>
    <row r="53723" ht="15" customHeight="1"/>
    <row r="53724" ht="15" customHeight="1"/>
    <row r="53725" ht="15" customHeight="1"/>
    <row r="53726" ht="15" customHeight="1"/>
    <row r="53727" ht="15" customHeight="1"/>
    <row r="53728" ht="15" customHeight="1"/>
    <row r="53729" ht="15" customHeight="1"/>
    <row r="53730" ht="15" customHeight="1"/>
    <row r="53731" ht="15" customHeight="1"/>
    <row r="53732" ht="15" customHeight="1"/>
    <row r="53733" ht="15" customHeight="1"/>
    <row r="53734" ht="15" customHeight="1"/>
    <row r="53735" ht="15" customHeight="1"/>
    <row r="53736" ht="15" customHeight="1"/>
    <row r="53737" ht="15" customHeight="1"/>
    <row r="53738" ht="15" customHeight="1"/>
    <row r="53739" ht="15" customHeight="1"/>
    <row r="53740" ht="15" customHeight="1"/>
    <row r="53741" ht="15" customHeight="1"/>
    <row r="53742" ht="15" customHeight="1"/>
    <row r="53743" ht="15" customHeight="1"/>
    <row r="53744" ht="15" customHeight="1"/>
    <row r="53745" ht="15" customHeight="1"/>
    <row r="53746" ht="15" customHeight="1"/>
    <row r="53747" ht="15" customHeight="1"/>
    <row r="53748" ht="15" customHeight="1"/>
    <row r="53749" ht="15" customHeight="1"/>
    <row r="53750" ht="15" customHeight="1"/>
    <row r="53751" ht="15" customHeight="1"/>
    <row r="53752" ht="15" customHeight="1"/>
    <row r="53753" ht="15" customHeight="1"/>
    <row r="53754" ht="15" customHeight="1"/>
    <row r="53755" ht="15" customHeight="1"/>
    <row r="53756" ht="15" customHeight="1"/>
    <row r="53757" ht="15" customHeight="1"/>
    <row r="53758" ht="15" customHeight="1"/>
    <row r="53759" ht="15" customHeight="1"/>
    <row r="53760" ht="15" customHeight="1"/>
    <row r="53761" ht="15" customHeight="1"/>
    <row r="53762" ht="15" customHeight="1"/>
    <row r="53763" ht="15" customHeight="1"/>
    <row r="53764" ht="15" customHeight="1"/>
    <row r="53765" ht="15" customHeight="1"/>
    <row r="53766" ht="15" customHeight="1"/>
    <row r="53767" ht="15" customHeight="1"/>
    <row r="53768" ht="15" customHeight="1"/>
    <row r="53769" ht="15" customHeight="1"/>
    <row r="53770" ht="15" customHeight="1"/>
    <row r="53771" ht="15" customHeight="1"/>
    <row r="53772" ht="15" customHeight="1"/>
    <row r="53773" ht="15" customHeight="1"/>
    <row r="53774" ht="15" customHeight="1"/>
    <row r="53775" ht="15" customHeight="1"/>
    <row r="53776" ht="15" customHeight="1"/>
    <row r="53777" ht="15" customHeight="1"/>
    <row r="53778" ht="15" customHeight="1"/>
    <row r="53779" ht="15" customHeight="1"/>
    <row r="53780" ht="15" customHeight="1"/>
    <row r="53781" ht="15" customHeight="1"/>
    <row r="53782" ht="15" customHeight="1"/>
    <row r="53783" ht="15" customHeight="1"/>
    <row r="53784" ht="15" customHeight="1"/>
    <row r="53785" ht="15" customHeight="1"/>
    <row r="53786" ht="15" customHeight="1"/>
    <row r="53787" ht="15" customHeight="1"/>
    <row r="53788" ht="15" customHeight="1"/>
    <row r="53789" ht="15" customHeight="1"/>
    <row r="53790" ht="15" customHeight="1"/>
    <row r="53791" ht="15" customHeight="1"/>
    <row r="53792" ht="15" customHeight="1"/>
    <row r="53793" ht="15" customHeight="1"/>
    <row r="53794" ht="15" customHeight="1"/>
    <row r="53795" ht="15" customHeight="1"/>
    <row r="53796" ht="15" customHeight="1"/>
    <row r="53797" ht="15" customHeight="1"/>
    <row r="53798" ht="15" customHeight="1"/>
    <row r="53799" ht="15" customHeight="1"/>
    <row r="53800" ht="15" customHeight="1"/>
    <row r="53801" ht="15" customHeight="1"/>
    <row r="53802" ht="15" customHeight="1"/>
    <row r="53803" ht="15" customHeight="1"/>
    <row r="53804" ht="15" customHeight="1"/>
    <row r="53805" ht="15" customHeight="1"/>
    <row r="53806" ht="15" customHeight="1"/>
    <row r="53807" ht="15" customHeight="1"/>
    <row r="53808" ht="15" customHeight="1"/>
    <row r="53809" ht="15" customHeight="1"/>
    <row r="53810" ht="15" customHeight="1"/>
    <row r="53811" ht="15" customHeight="1"/>
    <row r="53812" ht="15" customHeight="1"/>
    <row r="53813" ht="15" customHeight="1"/>
    <row r="53814" ht="15" customHeight="1"/>
    <row r="53815" ht="15" customHeight="1"/>
    <row r="53816" ht="15" customHeight="1"/>
    <row r="53817" ht="15" customHeight="1"/>
    <row r="53818" ht="15" customHeight="1"/>
    <row r="53819" ht="15" customHeight="1"/>
    <row r="53820" ht="15" customHeight="1"/>
    <row r="53821" ht="15" customHeight="1"/>
    <row r="53822" ht="15" customHeight="1"/>
    <row r="53823" ht="15" customHeight="1"/>
    <row r="53824" ht="15" customHeight="1"/>
    <row r="53825" ht="15" customHeight="1"/>
    <row r="53826" ht="15" customHeight="1"/>
    <row r="53827" ht="15" customHeight="1"/>
    <row r="53828" ht="15" customHeight="1"/>
    <row r="53829" ht="15" customHeight="1"/>
    <row r="53830" ht="15" customHeight="1"/>
    <row r="53831" ht="15" customHeight="1"/>
    <row r="53832" ht="15" customHeight="1"/>
    <row r="53833" ht="15" customHeight="1"/>
    <row r="53834" ht="15" customHeight="1"/>
    <row r="53835" ht="15" customHeight="1"/>
    <row r="53836" ht="15" customHeight="1"/>
    <row r="53837" ht="15" customHeight="1"/>
    <row r="53838" ht="15" customHeight="1"/>
    <row r="53839" ht="15" customHeight="1"/>
    <row r="53840" ht="15" customHeight="1"/>
    <row r="53841" ht="15" customHeight="1"/>
    <row r="53842" ht="15" customHeight="1"/>
    <row r="53843" ht="15" customHeight="1"/>
    <row r="53844" ht="15" customHeight="1"/>
    <row r="53845" ht="15" customHeight="1"/>
    <row r="53846" ht="15" customHeight="1"/>
    <row r="53847" ht="15" customHeight="1"/>
    <row r="53848" ht="15" customHeight="1"/>
    <row r="53849" ht="15" customHeight="1"/>
    <row r="53850" ht="15" customHeight="1"/>
    <row r="53851" ht="15" customHeight="1"/>
    <row r="53852" ht="15" customHeight="1"/>
    <row r="53853" ht="15" customHeight="1"/>
    <row r="53854" ht="15" customHeight="1"/>
    <row r="53855" ht="15" customHeight="1"/>
    <row r="53856" ht="15" customHeight="1"/>
    <row r="53857" ht="15" customHeight="1"/>
    <row r="53858" ht="15" customHeight="1"/>
    <row r="53859" ht="15" customHeight="1"/>
    <row r="53860" ht="15" customHeight="1"/>
    <row r="53861" ht="15" customHeight="1"/>
    <row r="53862" ht="15" customHeight="1"/>
    <row r="53863" ht="15" customHeight="1"/>
    <row r="53864" ht="15" customHeight="1"/>
    <row r="53865" ht="15" customHeight="1"/>
    <row r="53866" ht="15" customHeight="1"/>
    <row r="53867" ht="15" customHeight="1"/>
    <row r="53868" ht="15" customHeight="1"/>
    <row r="53869" ht="15" customHeight="1"/>
    <row r="53870" ht="15" customHeight="1"/>
    <row r="53871" ht="15" customHeight="1"/>
    <row r="53872" ht="15" customHeight="1"/>
    <row r="53873" ht="15" customHeight="1"/>
    <row r="53874" ht="15" customHeight="1"/>
    <row r="53875" ht="15" customHeight="1"/>
    <row r="53876" ht="15" customHeight="1"/>
    <row r="53877" ht="15" customHeight="1"/>
    <row r="53878" ht="15" customHeight="1"/>
    <row r="53879" ht="15" customHeight="1"/>
    <row r="53880" ht="15" customHeight="1"/>
    <row r="53881" ht="15" customHeight="1"/>
    <row r="53882" ht="15" customHeight="1"/>
    <row r="53883" ht="15" customHeight="1"/>
    <row r="53884" ht="15" customHeight="1"/>
    <row r="53885" ht="15" customHeight="1"/>
    <row r="53886" ht="15" customHeight="1"/>
    <row r="53887" ht="15" customHeight="1"/>
    <row r="53888" ht="15" customHeight="1"/>
    <row r="53889" ht="15" customHeight="1"/>
    <row r="53890" ht="15" customHeight="1"/>
    <row r="53891" ht="15" customHeight="1"/>
    <row r="53892" ht="15" customHeight="1"/>
    <row r="53893" ht="15" customHeight="1"/>
    <row r="53894" ht="15" customHeight="1"/>
    <row r="53895" ht="15" customHeight="1"/>
    <row r="53896" ht="15" customHeight="1"/>
    <row r="53897" ht="15" customHeight="1"/>
    <row r="53898" ht="15" customHeight="1"/>
    <row r="53899" ht="15" customHeight="1"/>
    <row r="53900" ht="15" customHeight="1"/>
    <row r="53901" ht="15" customHeight="1"/>
    <row r="53902" ht="15" customHeight="1"/>
    <row r="53903" ht="15" customHeight="1"/>
    <row r="53904" ht="15" customHeight="1"/>
    <row r="53905" ht="15" customHeight="1"/>
    <row r="53906" ht="15" customHeight="1"/>
    <row r="53907" ht="15" customHeight="1"/>
    <row r="53908" ht="15" customHeight="1"/>
    <row r="53909" ht="15" customHeight="1"/>
    <row r="53910" ht="15" customHeight="1"/>
    <row r="53911" ht="15" customHeight="1"/>
    <row r="53912" ht="15" customHeight="1"/>
    <row r="53913" ht="15" customHeight="1"/>
    <row r="53914" ht="15" customHeight="1"/>
    <row r="53915" ht="15" customHeight="1"/>
    <row r="53916" ht="15" customHeight="1"/>
    <row r="53917" ht="15" customHeight="1"/>
    <row r="53918" ht="15" customHeight="1"/>
    <row r="53919" ht="15" customHeight="1"/>
    <row r="53920" ht="15" customHeight="1"/>
    <row r="53921" ht="15" customHeight="1"/>
    <row r="53922" ht="15" customHeight="1"/>
    <row r="53923" ht="15" customHeight="1"/>
    <row r="53924" ht="15" customHeight="1"/>
    <row r="53925" ht="15" customHeight="1"/>
    <row r="53926" ht="15" customHeight="1"/>
    <row r="53927" ht="15" customHeight="1"/>
    <row r="53928" ht="15" customHeight="1"/>
    <row r="53929" ht="15" customHeight="1"/>
    <row r="53930" ht="15" customHeight="1"/>
    <row r="53931" ht="15" customHeight="1"/>
    <row r="53932" ht="15" customHeight="1"/>
    <row r="53933" ht="15" customHeight="1"/>
    <row r="53934" ht="15" customHeight="1"/>
    <row r="53935" ht="15" customHeight="1"/>
    <row r="53936" ht="15" customHeight="1"/>
    <row r="53937" ht="15" customHeight="1"/>
    <row r="53938" ht="15" customHeight="1"/>
    <row r="53939" ht="15" customHeight="1"/>
    <row r="53940" ht="15" customHeight="1"/>
    <row r="53941" ht="15" customHeight="1"/>
    <row r="53942" ht="15" customHeight="1"/>
    <row r="53943" ht="15" customHeight="1"/>
    <row r="53944" ht="15" customHeight="1"/>
    <row r="53945" ht="15" customHeight="1"/>
    <row r="53946" ht="15" customHeight="1"/>
    <row r="53947" ht="15" customHeight="1"/>
    <row r="53948" ht="15" customHeight="1"/>
    <row r="53949" ht="15" customHeight="1"/>
    <row r="53950" ht="15" customHeight="1"/>
    <row r="53951" ht="15" customHeight="1"/>
    <row r="53952" ht="15" customHeight="1"/>
    <row r="53953" ht="15" customHeight="1"/>
    <row r="53954" ht="15" customHeight="1"/>
    <row r="53955" ht="15" customHeight="1"/>
    <row r="53956" ht="15" customHeight="1"/>
    <row r="53957" ht="15" customHeight="1"/>
    <row r="53958" ht="15" customHeight="1"/>
    <row r="53959" ht="15" customHeight="1"/>
    <row r="53960" ht="15" customHeight="1"/>
    <row r="53961" ht="15" customHeight="1"/>
    <row r="53962" ht="15" customHeight="1"/>
    <row r="53963" ht="15" customHeight="1"/>
    <row r="53964" ht="15" customHeight="1"/>
    <row r="53965" ht="15" customHeight="1"/>
    <row r="53966" ht="15" customHeight="1"/>
    <row r="53967" ht="15" customHeight="1"/>
    <row r="53968" ht="15" customHeight="1"/>
    <row r="53969" ht="15" customHeight="1"/>
    <row r="53970" ht="15" customHeight="1"/>
    <row r="53971" ht="15" customHeight="1"/>
    <row r="53972" ht="15" customHeight="1"/>
    <row r="53973" ht="15" customHeight="1"/>
    <row r="53974" ht="15" customHeight="1"/>
    <row r="53975" ht="15" customHeight="1"/>
    <row r="53976" ht="15" customHeight="1"/>
    <row r="53977" ht="15" customHeight="1"/>
    <row r="53978" ht="15" customHeight="1"/>
    <row r="53979" ht="15" customHeight="1"/>
    <row r="53980" ht="15" customHeight="1"/>
    <row r="53981" ht="15" customHeight="1"/>
    <row r="53982" ht="15" customHeight="1"/>
    <row r="53983" ht="15" customHeight="1"/>
    <row r="53984" ht="15" customHeight="1"/>
    <row r="53985" ht="15" customHeight="1"/>
    <row r="53986" ht="15" customHeight="1"/>
    <row r="53987" ht="15" customHeight="1"/>
    <row r="53988" ht="15" customHeight="1"/>
    <row r="53989" ht="15" customHeight="1"/>
    <row r="53990" ht="15" customHeight="1"/>
    <row r="53991" ht="15" customHeight="1"/>
    <row r="53992" ht="15" customHeight="1"/>
    <row r="53993" ht="15" customHeight="1"/>
    <row r="53994" ht="15" customHeight="1"/>
    <row r="53995" ht="15" customHeight="1"/>
    <row r="53996" ht="15" customHeight="1"/>
    <row r="53997" ht="15" customHeight="1"/>
    <row r="53998" ht="15" customHeight="1"/>
    <row r="53999" ht="15" customHeight="1"/>
    <row r="54000" ht="15" customHeight="1"/>
    <row r="54001" ht="15" customHeight="1"/>
    <row r="54002" ht="15" customHeight="1"/>
    <row r="54003" ht="15" customHeight="1"/>
    <row r="54004" ht="15" customHeight="1"/>
    <row r="54005" ht="15" customHeight="1"/>
    <row r="54006" ht="15" customHeight="1"/>
    <row r="54007" ht="15" customHeight="1"/>
    <row r="54008" ht="15" customHeight="1"/>
    <row r="54009" ht="15" customHeight="1"/>
    <row r="54010" ht="15" customHeight="1"/>
    <row r="54011" ht="15" customHeight="1"/>
    <row r="54012" ht="15" customHeight="1"/>
    <row r="54013" ht="15" customHeight="1"/>
    <row r="54014" ht="15" customHeight="1"/>
    <row r="54015" ht="15" customHeight="1"/>
    <row r="54016" ht="15" customHeight="1"/>
    <row r="54017" ht="15" customHeight="1"/>
    <row r="54018" ht="15" customHeight="1"/>
    <row r="54019" ht="15" customHeight="1"/>
    <row r="54020" ht="15" customHeight="1"/>
    <row r="54021" ht="15" customHeight="1"/>
    <row r="54022" ht="15" customHeight="1"/>
    <row r="54023" ht="15" customHeight="1"/>
    <row r="54024" ht="15" customHeight="1"/>
    <row r="54025" ht="15" customHeight="1"/>
    <row r="54026" ht="15" customHeight="1"/>
    <row r="54027" ht="15" customHeight="1"/>
    <row r="54028" ht="15" customHeight="1"/>
    <row r="54029" ht="15" customHeight="1"/>
    <row r="54030" ht="15" customHeight="1"/>
    <row r="54031" ht="15" customHeight="1"/>
    <row r="54032" ht="15" customHeight="1"/>
    <row r="54033" ht="15" customHeight="1"/>
    <row r="54034" ht="15" customHeight="1"/>
    <row r="54035" ht="15" customHeight="1"/>
    <row r="54036" ht="15" customHeight="1"/>
    <row r="54037" ht="15" customHeight="1"/>
    <row r="54038" ht="15" customHeight="1"/>
    <row r="54039" ht="15" customHeight="1"/>
    <row r="54040" ht="15" customHeight="1"/>
    <row r="54041" ht="15" customHeight="1"/>
    <row r="54042" ht="15" customHeight="1"/>
    <row r="54043" ht="15" customHeight="1"/>
    <row r="54044" ht="15" customHeight="1"/>
    <row r="54045" ht="15" customHeight="1"/>
    <row r="54046" ht="15" customHeight="1"/>
    <row r="54047" ht="15" customHeight="1"/>
    <row r="54048" ht="15" customHeight="1"/>
    <row r="54049" ht="15" customHeight="1"/>
    <row r="54050" ht="15" customHeight="1"/>
    <row r="54051" ht="15" customHeight="1"/>
    <row r="54052" ht="15" customHeight="1"/>
    <row r="54053" ht="15" customHeight="1"/>
    <row r="54054" ht="15" customHeight="1"/>
    <row r="54055" ht="15" customHeight="1"/>
    <row r="54056" ht="15" customHeight="1"/>
    <row r="54057" ht="15" customHeight="1"/>
    <row r="54058" ht="15" customHeight="1"/>
    <row r="54059" ht="15" customHeight="1"/>
    <row r="54060" ht="15" customHeight="1"/>
    <row r="54061" ht="15" customHeight="1"/>
    <row r="54062" ht="15" customHeight="1"/>
    <row r="54063" ht="15" customHeight="1"/>
    <row r="54064" ht="15" customHeight="1"/>
    <row r="54065" ht="15" customHeight="1"/>
    <row r="54066" ht="15" customHeight="1"/>
    <row r="54067" ht="15" customHeight="1"/>
    <row r="54068" ht="15" customHeight="1"/>
    <row r="54069" ht="15" customHeight="1"/>
    <row r="54070" ht="15" customHeight="1"/>
    <row r="54071" ht="15" customHeight="1"/>
    <row r="54072" ht="15" customHeight="1"/>
    <row r="54073" ht="15" customHeight="1"/>
    <row r="54074" ht="15" customHeight="1"/>
    <row r="54075" ht="15" customHeight="1"/>
    <row r="54076" ht="15" customHeight="1"/>
    <row r="54077" ht="15" customHeight="1"/>
    <row r="54078" ht="15" customHeight="1"/>
    <row r="54079" ht="15" customHeight="1"/>
    <row r="54080" ht="15" customHeight="1"/>
    <row r="54081" ht="15" customHeight="1"/>
    <row r="54082" ht="15" customHeight="1"/>
    <row r="54083" ht="15" customHeight="1"/>
    <row r="54084" ht="15" customHeight="1"/>
    <row r="54085" ht="15" customHeight="1"/>
    <row r="54086" ht="15" customHeight="1"/>
    <row r="54087" ht="15" customHeight="1"/>
    <row r="54088" ht="15" customHeight="1"/>
    <row r="54089" ht="15" customHeight="1"/>
    <row r="54090" ht="15" customHeight="1"/>
    <row r="54091" ht="15" customHeight="1"/>
    <row r="54092" ht="15" customHeight="1"/>
    <row r="54093" ht="15" customHeight="1"/>
    <row r="54094" ht="15" customHeight="1"/>
    <row r="54095" ht="15" customHeight="1"/>
    <row r="54096" ht="15" customHeight="1"/>
    <row r="54097" ht="15" customHeight="1"/>
    <row r="54098" ht="15" customHeight="1"/>
    <row r="54099" ht="15" customHeight="1"/>
    <row r="54100" ht="15" customHeight="1"/>
    <row r="54101" ht="15" customHeight="1"/>
    <row r="54102" ht="15" customHeight="1"/>
    <row r="54103" ht="15" customHeight="1"/>
    <row r="54104" ht="15" customHeight="1"/>
    <row r="54105" ht="15" customHeight="1"/>
    <row r="54106" ht="15" customHeight="1"/>
    <row r="54107" ht="15" customHeight="1"/>
    <row r="54108" ht="15" customHeight="1"/>
    <row r="54109" ht="15" customHeight="1"/>
    <row r="54110" ht="15" customHeight="1"/>
    <row r="54111" ht="15" customHeight="1"/>
    <row r="54112" ht="15" customHeight="1"/>
    <row r="54113" ht="15" customHeight="1"/>
    <row r="54114" ht="15" customHeight="1"/>
    <row r="54115" ht="15" customHeight="1"/>
    <row r="54116" ht="15" customHeight="1"/>
    <row r="54117" ht="15" customHeight="1"/>
    <row r="54118" ht="15" customHeight="1"/>
    <row r="54119" ht="15" customHeight="1"/>
    <row r="54120" ht="15" customHeight="1"/>
    <row r="54121" ht="15" customHeight="1"/>
    <row r="54122" ht="15" customHeight="1"/>
    <row r="54123" ht="15" customHeight="1"/>
    <row r="54124" ht="15" customHeight="1"/>
    <row r="54125" ht="15" customHeight="1"/>
    <row r="54126" ht="15" customHeight="1"/>
    <row r="54127" ht="15" customHeight="1"/>
    <row r="54128" ht="15" customHeight="1"/>
    <row r="54129" ht="15" customHeight="1"/>
    <row r="54130" ht="15" customHeight="1"/>
    <row r="54131" ht="15" customHeight="1"/>
    <row r="54132" ht="15" customHeight="1"/>
    <row r="54133" ht="15" customHeight="1"/>
    <row r="54134" ht="15" customHeight="1"/>
    <row r="54135" ht="15" customHeight="1"/>
    <row r="54136" ht="15" customHeight="1"/>
    <row r="54137" ht="15" customHeight="1"/>
    <row r="54138" ht="15" customHeight="1"/>
    <row r="54139" ht="15" customHeight="1"/>
    <row r="54140" ht="15" customHeight="1"/>
    <row r="54141" ht="15" customHeight="1"/>
    <row r="54142" ht="15" customHeight="1"/>
    <row r="54143" ht="15" customHeight="1"/>
    <row r="54144" ht="15" customHeight="1"/>
    <row r="54145" ht="15" customHeight="1"/>
    <row r="54146" ht="15" customHeight="1"/>
    <row r="54147" ht="15" customHeight="1"/>
    <row r="54148" ht="15" customHeight="1"/>
    <row r="54149" ht="15" customHeight="1"/>
    <row r="54150" ht="15" customHeight="1"/>
    <row r="54151" ht="15" customHeight="1"/>
    <row r="54152" ht="15" customHeight="1"/>
    <row r="54153" ht="15" customHeight="1"/>
    <row r="54154" ht="15" customHeight="1"/>
    <row r="54155" ht="15" customHeight="1"/>
    <row r="54156" ht="15" customHeight="1"/>
    <row r="54157" ht="15" customHeight="1"/>
    <row r="54158" ht="15" customHeight="1"/>
    <row r="54159" ht="15" customHeight="1"/>
    <row r="54160" ht="15" customHeight="1"/>
    <row r="54161" ht="15" customHeight="1"/>
    <row r="54162" ht="15" customHeight="1"/>
    <row r="54163" ht="15" customHeight="1"/>
    <row r="54164" ht="15" customHeight="1"/>
    <row r="54165" ht="15" customHeight="1"/>
    <row r="54166" ht="15" customHeight="1"/>
    <row r="54167" ht="15" customHeight="1"/>
    <row r="54168" ht="15" customHeight="1"/>
    <row r="54169" ht="15" customHeight="1"/>
    <row r="54170" ht="15" customHeight="1"/>
    <row r="54171" ht="15" customHeight="1"/>
    <row r="54172" ht="15" customHeight="1"/>
    <row r="54173" ht="15" customHeight="1"/>
    <row r="54174" ht="15" customHeight="1"/>
    <row r="54175" ht="15" customHeight="1"/>
    <row r="54176" ht="15" customHeight="1"/>
    <row r="54177" ht="15" customHeight="1"/>
    <row r="54178" ht="15" customHeight="1"/>
    <row r="54179" ht="15" customHeight="1"/>
    <row r="54180" ht="15" customHeight="1"/>
    <row r="54181" ht="15" customHeight="1"/>
    <row r="54182" ht="15" customHeight="1"/>
    <row r="54183" ht="15" customHeight="1"/>
    <row r="54184" ht="15" customHeight="1"/>
    <row r="54185" ht="15" customHeight="1"/>
    <row r="54186" ht="15" customHeight="1"/>
    <row r="54187" ht="15" customHeight="1"/>
    <row r="54188" ht="15" customHeight="1"/>
    <row r="54189" ht="15" customHeight="1"/>
    <row r="54190" ht="15" customHeight="1"/>
    <row r="54191" ht="15" customHeight="1"/>
    <row r="54192" ht="15" customHeight="1"/>
    <row r="54193" ht="15" customHeight="1"/>
    <row r="54194" ht="15" customHeight="1"/>
    <row r="54195" ht="15" customHeight="1"/>
    <row r="54196" ht="15" customHeight="1"/>
    <row r="54197" ht="15" customHeight="1"/>
    <row r="54198" ht="15" customHeight="1"/>
    <row r="54199" ht="15" customHeight="1"/>
    <row r="54200" ht="15" customHeight="1"/>
    <row r="54201" ht="15" customHeight="1"/>
    <row r="54202" ht="15" customHeight="1"/>
    <row r="54203" ht="15" customHeight="1"/>
    <row r="54204" ht="15" customHeight="1"/>
    <row r="54205" ht="15" customHeight="1"/>
    <row r="54206" ht="15" customHeight="1"/>
    <row r="54207" ht="15" customHeight="1"/>
    <row r="54208" ht="15" customHeight="1"/>
    <row r="54209" ht="15" customHeight="1"/>
    <row r="54210" ht="15" customHeight="1"/>
    <row r="54211" ht="15" customHeight="1"/>
    <row r="54212" ht="15" customHeight="1"/>
    <row r="54213" ht="15" customHeight="1"/>
    <row r="54214" ht="15" customHeight="1"/>
    <row r="54215" ht="15" customHeight="1"/>
    <row r="54216" ht="15" customHeight="1"/>
    <row r="54217" ht="15" customHeight="1"/>
    <row r="54218" ht="15" customHeight="1"/>
    <row r="54219" ht="15" customHeight="1"/>
    <row r="54220" ht="15" customHeight="1"/>
    <row r="54221" ht="15" customHeight="1"/>
    <row r="54222" ht="15" customHeight="1"/>
    <row r="54223" ht="15" customHeight="1"/>
    <row r="54224" ht="15" customHeight="1"/>
    <row r="54225" ht="15" customHeight="1"/>
    <row r="54226" ht="15" customHeight="1"/>
    <row r="54227" ht="15" customHeight="1"/>
    <row r="54228" ht="15" customHeight="1"/>
    <row r="54229" ht="15" customHeight="1"/>
    <row r="54230" ht="15" customHeight="1"/>
    <row r="54231" ht="15" customHeight="1"/>
    <row r="54232" ht="15" customHeight="1"/>
    <row r="54233" ht="15" customHeight="1"/>
    <row r="54234" ht="15" customHeight="1"/>
    <row r="54235" ht="15" customHeight="1"/>
    <row r="54236" ht="15" customHeight="1"/>
    <row r="54237" ht="15" customHeight="1"/>
    <row r="54238" ht="15" customHeight="1"/>
    <row r="54239" ht="15" customHeight="1"/>
    <row r="54240" ht="15" customHeight="1"/>
    <row r="54241" ht="15" customHeight="1"/>
    <row r="54242" ht="15" customHeight="1"/>
    <row r="54243" ht="15" customHeight="1"/>
    <row r="54244" ht="15" customHeight="1"/>
    <row r="54245" ht="15" customHeight="1"/>
    <row r="54246" ht="15" customHeight="1"/>
    <row r="54247" ht="15" customHeight="1"/>
    <row r="54248" ht="15" customHeight="1"/>
    <row r="54249" ht="15" customHeight="1"/>
    <row r="54250" ht="15" customHeight="1"/>
    <row r="54251" ht="15" customHeight="1"/>
    <row r="54252" ht="15" customHeight="1"/>
    <row r="54253" ht="15" customHeight="1"/>
    <row r="54254" ht="15" customHeight="1"/>
    <row r="54255" ht="15" customHeight="1"/>
    <row r="54256" ht="15" customHeight="1"/>
    <row r="54257" ht="15" customHeight="1"/>
    <row r="54258" ht="15" customHeight="1"/>
    <row r="54259" ht="15" customHeight="1"/>
    <row r="54260" ht="15" customHeight="1"/>
    <row r="54261" ht="15" customHeight="1"/>
    <row r="54262" ht="15" customHeight="1"/>
    <row r="54263" ht="15" customHeight="1"/>
    <row r="54264" ht="15" customHeight="1"/>
    <row r="54265" ht="15" customHeight="1"/>
    <row r="54266" ht="15" customHeight="1"/>
    <row r="54267" ht="15" customHeight="1"/>
    <row r="54268" ht="15" customHeight="1"/>
    <row r="54269" ht="15" customHeight="1"/>
    <row r="54270" ht="15" customHeight="1"/>
    <row r="54271" ht="15" customHeight="1"/>
    <row r="54272" ht="15" customHeight="1"/>
    <row r="54273" ht="15" customHeight="1"/>
    <row r="54274" ht="15" customHeight="1"/>
    <row r="54275" ht="15" customHeight="1"/>
    <row r="54276" ht="15" customHeight="1"/>
    <row r="54277" ht="15" customHeight="1"/>
    <row r="54278" ht="15" customHeight="1"/>
    <row r="54279" ht="15" customHeight="1"/>
    <row r="54280" ht="15" customHeight="1"/>
    <row r="54281" ht="15" customHeight="1"/>
    <row r="54282" ht="15" customHeight="1"/>
    <row r="54283" ht="15" customHeight="1"/>
    <row r="54284" ht="15" customHeight="1"/>
    <row r="54285" ht="15" customHeight="1"/>
    <row r="54286" ht="15" customHeight="1"/>
    <row r="54287" ht="15" customHeight="1"/>
    <row r="54288" ht="15" customHeight="1"/>
    <row r="54289" ht="15" customHeight="1"/>
    <row r="54290" ht="15" customHeight="1"/>
    <row r="54291" ht="15" customHeight="1"/>
    <row r="54292" ht="15" customHeight="1"/>
    <row r="54293" ht="15" customHeight="1"/>
    <row r="54294" ht="15" customHeight="1"/>
    <row r="54295" ht="15" customHeight="1"/>
    <row r="54296" ht="15" customHeight="1"/>
    <row r="54297" ht="15" customHeight="1"/>
    <row r="54298" ht="15" customHeight="1"/>
    <row r="54299" ht="15" customHeight="1"/>
    <row r="54300" ht="15" customHeight="1"/>
    <row r="54301" ht="15" customHeight="1"/>
    <row r="54302" ht="15" customHeight="1"/>
    <row r="54303" ht="15" customHeight="1"/>
    <row r="54304" ht="15" customHeight="1"/>
    <row r="54305" ht="15" customHeight="1"/>
    <row r="54306" ht="15" customHeight="1"/>
    <row r="54307" ht="15" customHeight="1"/>
    <row r="54308" ht="15" customHeight="1"/>
    <row r="54309" ht="15" customHeight="1"/>
    <row r="54310" ht="15" customHeight="1"/>
    <row r="54311" ht="15" customHeight="1"/>
    <row r="54312" ht="15" customHeight="1"/>
    <row r="54313" ht="15" customHeight="1"/>
    <row r="54314" ht="15" customHeight="1"/>
    <row r="54315" ht="15" customHeight="1"/>
    <row r="54316" ht="15" customHeight="1"/>
    <row r="54317" ht="15" customHeight="1"/>
    <row r="54318" ht="15" customHeight="1"/>
    <row r="54319" ht="15" customHeight="1"/>
    <row r="54320" ht="15" customHeight="1"/>
    <row r="54321" ht="15" customHeight="1"/>
    <row r="54322" ht="15" customHeight="1"/>
    <row r="54323" ht="15" customHeight="1"/>
    <row r="54324" ht="15" customHeight="1"/>
    <row r="54325" ht="15" customHeight="1"/>
    <row r="54326" ht="15" customHeight="1"/>
    <row r="54327" ht="15" customHeight="1"/>
    <row r="54328" ht="15" customHeight="1"/>
    <row r="54329" ht="15" customHeight="1"/>
    <row r="54330" ht="15" customHeight="1"/>
    <row r="54331" ht="15" customHeight="1"/>
    <row r="54332" ht="15" customHeight="1"/>
    <row r="54333" ht="15" customHeight="1"/>
    <row r="54334" ht="15" customHeight="1"/>
    <row r="54335" ht="15" customHeight="1"/>
    <row r="54336" ht="15" customHeight="1"/>
    <row r="54337" ht="15" customHeight="1"/>
    <row r="54338" ht="15" customHeight="1"/>
    <row r="54339" ht="15" customHeight="1"/>
    <row r="54340" ht="15" customHeight="1"/>
    <row r="54341" ht="15" customHeight="1"/>
    <row r="54342" ht="15" customHeight="1"/>
    <row r="54343" ht="15" customHeight="1"/>
    <row r="54344" ht="15" customHeight="1"/>
    <row r="54345" ht="15" customHeight="1"/>
    <row r="54346" ht="15" customHeight="1"/>
    <row r="54347" ht="15" customHeight="1"/>
    <row r="54348" ht="15" customHeight="1"/>
    <row r="54349" ht="15" customHeight="1"/>
    <row r="54350" ht="15" customHeight="1"/>
    <row r="54351" ht="15" customHeight="1"/>
    <row r="54352" ht="15" customHeight="1"/>
    <row r="54353" ht="15" customHeight="1"/>
    <row r="54354" ht="15" customHeight="1"/>
    <row r="54355" ht="15" customHeight="1"/>
    <row r="54356" ht="15" customHeight="1"/>
    <row r="54357" ht="15" customHeight="1"/>
    <row r="54358" ht="15" customHeight="1"/>
    <row r="54359" ht="15" customHeight="1"/>
    <row r="54360" ht="15" customHeight="1"/>
    <row r="54361" ht="15" customHeight="1"/>
    <row r="54362" ht="15" customHeight="1"/>
    <row r="54363" ht="15" customHeight="1"/>
    <row r="54364" ht="15" customHeight="1"/>
    <row r="54365" ht="15" customHeight="1"/>
    <row r="54366" ht="15" customHeight="1"/>
    <row r="54367" ht="15" customHeight="1"/>
    <row r="54368" ht="15" customHeight="1"/>
    <row r="54369" ht="15" customHeight="1"/>
    <row r="54370" ht="15" customHeight="1"/>
    <row r="54371" ht="15" customHeight="1"/>
    <row r="54372" ht="15" customHeight="1"/>
    <row r="54373" ht="15" customHeight="1"/>
    <row r="54374" ht="15" customHeight="1"/>
    <row r="54375" ht="15" customHeight="1"/>
    <row r="54376" ht="15" customHeight="1"/>
    <row r="54377" ht="15" customHeight="1"/>
    <row r="54378" ht="15" customHeight="1"/>
    <row r="54379" ht="15" customHeight="1"/>
    <row r="54380" ht="15" customHeight="1"/>
    <row r="54381" ht="15" customHeight="1"/>
    <row r="54382" ht="15" customHeight="1"/>
    <row r="54383" ht="15" customHeight="1"/>
    <row r="54384" ht="15" customHeight="1"/>
    <row r="54385" ht="15" customHeight="1"/>
    <row r="54386" ht="15" customHeight="1"/>
    <row r="54387" ht="15" customHeight="1"/>
    <row r="54388" ht="15" customHeight="1"/>
    <row r="54389" ht="15" customHeight="1"/>
    <row r="54390" ht="15" customHeight="1"/>
    <row r="54391" ht="15" customHeight="1"/>
    <row r="54392" ht="15" customHeight="1"/>
    <row r="54393" ht="15" customHeight="1"/>
    <row r="54394" ht="15" customHeight="1"/>
    <row r="54395" ht="15" customHeight="1"/>
    <row r="54396" ht="15" customHeight="1"/>
    <row r="54397" ht="15" customHeight="1"/>
    <row r="54398" ht="15" customHeight="1"/>
    <row r="54399" ht="15" customHeight="1"/>
    <row r="54400" ht="15" customHeight="1"/>
    <row r="54401" ht="15" customHeight="1"/>
    <row r="54402" ht="15" customHeight="1"/>
    <row r="54403" ht="15" customHeight="1"/>
    <row r="54404" ht="15" customHeight="1"/>
    <row r="54405" ht="15" customHeight="1"/>
    <row r="54406" ht="15" customHeight="1"/>
    <row r="54407" ht="15" customHeight="1"/>
    <row r="54408" ht="15" customHeight="1"/>
    <row r="54409" ht="15" customHeight="1"/>
    <row r="54410" ht="15" customHeight="1"/>
    <row r="54411" ht="15" customHeight="1"/>
    <row r="54412" ht="15" customHeight="1"/>
    <row r="54413" ht="15" customHeight="1"/>
    <row r="54414" ht="15" customHeight="1"/>
    <row r="54415" ht="15" customHeight="1"/>
    <row r="54416" ht="15" customHeight="1"/>
    <row r="54417" ht="15" customHeight="1"/>
    <row r="54418" ht="15" customHeight="1"/>
    <row r="54419" ht="15" customHeight="1"/>
    <row r="54420" ht="15" customHeight="1"/>
    <row r="54421" ht="15" customHeight="1"/>
    <row r="54422" ht="15" customHeight="1"/>
    <row r="54423" ht="15" customHeight="1"/>
    <row r="54424" ht="15" customHeight="1"/>
    <row r="54425" ht="15" customHeight="1"/>
    <row r="54426" ht="15" customHeight="1"/>
    <row r="54427" ht="15" customHeight="1"/>
    <row r="54428" ht="15" customHeight="1"/>
    <row r="54429" ht="15" customHeight="1"/>
    <row r="54430" ht="15" customHeight="1"/>
    <row r="54431" ht="15" customHeight="1"/>
    <row r="54432" ht="15" customHeight="1"/>
    <row r="54433" ht="15" customHeight="1"/>
    <row r="54434" ht="15" customHeight="1"/>
    <row r="54435" ht="15" customHeight="1"/>
    <row r="54436" ht="15" customHeight="1"/>
    <row r="54437" ht="15" customHeight="1"/>
    <row r="54438" ht="15" customHeight="1"/>
    <row r="54439" ht="15" customHeight="1"/>
    <row r="54440" ht="15" customHeight="1"/>
    <row r="54441" ht="15" customHeight="1"/>
    <row r="54442" ht="15" customHeight="1"/>
    <row r="54443" ht="15" customHeight="1"/>
    <row r="54444" ht="15" customHeight="1"/>
    <row r="54445" ht="15" customHeight="1"/>
    <row r="54446" ht="15" customHeight="1"/>
    <row r="54447" ht="15" customHeight="1"/>
    <row r="54448" ht="15" customHeight="1"/>
    <row r="54449" ht="15" customHeight="1"/>
    <row r="54450" ht="15" customHeight="1"/>
    <row r="54451" ht="15" customHeight="1"/>
    <row r="54452" ht="15" customHeight="1"/>
    <row r="54453" ht="15" customHeight="1"/>
    <row r="54454" ht="15" customHeight="1"/>
    <row r="54455" ht="15" customHeight="1"/>
    <row r="54456" ht="15" customHeight="1"/>
    <row r="54457" ht="15" customHeight="1"/>
    <row r="54458" ht="15" customHeight="1"/>
    <row r="54459" ht="15" customHeight="1"/>
    <row r="54460" ht="15" customHeight="1"/>
    <row r="54461" ht="15" customHeight="1"/>
    <row r="54462" ht="15" customHeight="1"/>
    <row r="54463" ht="15" customHeight="1"/>
    <row r="54464" ht="15" customHeight="1"/>
    <row r="54465" ht="15" customHeight="1"/>
    <row r="54466" ht="15" customHeight="1"/>
    <row r="54467" ht="15" customHeight="1"/>
    <row r="54468" ht="15" customHeight="1"/>
    <row r="54469" ht="15" customHeight="1"/>
    <row r="54470" ht="15" customHeight="1"/>
    <row r="54471" ht="15" customHeight="1"/>
    <row r="54472" ht="15" customHeight="1"/>
    <row r="54473" ht="15" customHeight="1"/>
    <row r="54474" ht="15" customHeight="1"/>
    <row r="54475" ht="15" customHeight="1"/>
    <row r="54476" ht="15" customHeight="1"/>
    <row r="54477" ht="15" customHeight="1"/>
    <row r="54478" ht="15" customHeight="1"/>
    <row r="54479" ht="15" customHeight="1"/>
    <row r="54480" ht="15" customHeight="1"/>
    <row r="54481" ht="15" customHeight="1"/>
    <row r="54482" ht="15" customHeight="1"/>
    <row r="54483" ht="15" customHeight="1"/>
    <row r="54484" ht="15" customHeight="1"/>
    <row r="54485" ht="15" customHeight="1"/>
    <row r="54486" ht="15" customHeight="1"/>
    <row r="54487" ht="15" customHeight="1"/>
    <row r="54488" ht="15" customHeight="1"/>
    <row r="54489" ht="15" customHeight="1"/>
    <row r="54490" ht="15" customHeight="1"/>
    <row r="54491" ht="15" customHeight="1"/>
    <row r="54492" ht="15" customHeight="1"/>
    <row r="54493" ht="15" customHeight="1"/>
    <row r="54494" ht="15" customHeight="1"/>
    <row r="54495" ht="15" customHeight="1"/>
    <row r="54496" ht="15" customHeight="1"/>
    <row r="54497" ht="15" customHeight="1"/>
    <row r="54498" ht="15" customHeight="1"/>
    <row r="54499" ht="15" customHeight="1"/>
    <row r="54500" ht="15" customHeight="1"/>
    <row r="54501" ht="15" customHeight="1"/>
    <row r="54502" ht="15" customHeight="1"/>
    <row r="54503" ht="15" customHeight="1"/>
    <row r="54504" ht="15" customHeight="1"/>
    <row r="54505" ht="15" customHeight="1"/>
    <row r="54506" ht="15" customHeight="1"/>
    <row r="54507" ht="15" customHeight="1"/>
    <row r="54508" ht="15" customHeight="1"/>
    <row r="54509" ht="15" customHeight="1"/>
    <row r="54510" ht="15" customHeight="1"/>
    <row r="54511" ht="15" customHeight="1"/>
    <row r="54512" ht="15" customHeight="1"/>
    <row r="54513" ht="15" customHeight="1"/>
    <row r="54514" ht="15" customHeight="1"/>
    <row r="54515" ht="15" customHeight="1"/>
    <row r="54516" ht="15" customHeight="1"/>
    <row r="54517" ht="15" customHeight="1"/>
    <row r="54518" ht="15" customHeight="1"/>
    <row r="54519" ht="15" customHeight="1"/>
    <row r="54520" ht="15" customHeight="1"/>
    <row r="54521" ht="15" customHeight="1"/>
    <row r="54522" ht="15" customHeight="1"/>
    <row r="54523" ht="15" customHeight="1"/>
    <row r="54524" ht="15" customHeight="1"/>
    <row r="54525" ht="15" customHeight="1"/>
    <row r="54526" ht="15" customHeight="1"/>
    <row r="54527" ht="15" customHeight="1"/>
    <row r="54528" ht="15" customHeight="1"/>
    <row r="54529" ht="15" customHeight="1"/>
    <row r="54530" ht="15" customHeight="1"/>
    <row r="54531" ht="15" customHeight="1"/>
    <row r="54532" ht="15" customHeight="1"/>
    <row r="54533" ht="15" customHeight="1"/>
    <row r="54534" ht="15" customHeight="1"/>
    <row r="54535" ht="15" customHeight="1"/>
    <row r="54536" ht="15" customHeight="1"/>
    <row r="54537" ht="15" customHeight="1"/>
    <row r="54538" ht="15" customHeight="1"/>
    <row r="54539" ht="15" customHeight="1"/>
    <row r="54540" ht="15" customHeight="1"/>
    <row r="54541" ht="15" customHeight="1"/>
    <row r="54542" ht="15" customHeight="1"/>
    <row r="54543" ht="15" customHeight="1"/>
    <row r="54544" ht="15" customHeight="1"/>
    <row r="54545" ht="15" customHeight="1"/>
    <row r="54546" ht="15" customHeight="1"/>
    <row r="54547" ht="15" customHeight="1"/>
    <row r="54548" ht="15" customHeight="1"/>
    <row r="54549" ht="15" customHeight="1"/>
    <row r="54550" ht="15" customHeight="1"/>
    <row r="54551" ht="15" customHeight="1"/>
    <row r="54552" ht="15" customHeight="1"/>
    <row r="54553" ht="15" customHeight="1"/>
    <row r="54554" ht="15" customHeight="1"/>
    <row r="54555" ht="15" customHeight="1"/>
    <row r="54556" ht="15" customHeight="1"/>
    <row r="54557" ht="15" customHeight="1"/>
    <row r="54558" ht="15" customHeight="1"/>
    <row r="54559" ht="15" customHeight="1"/>
    <row r="54560" ht="15" customHeight="1"/>
    <row r="54561" ht="15" customHeight="1"/>
    <row r="54562" ht="15" customHeight="1"/>
    <row r="54563" ht="15" customHeight="1"/>
    <row r="54564" ht="15" customHeight="1"/>
    <row r="54565" ht="15" customHeight="1"/>
    <row r="54566" ht="15" customHeight="1"/>
    <row r="54567" ht="15" customHeight="1"/>
    <row r="54568" ht="15" customHeight="1"/>
    <row r="54569" ht="15" customHeight="1"/>
    <row r="54570" ht="15" customHeight="1"/>
    <row r="54571" ht="15" customHeight="1"/>
    <row r="54572" ht="15" customHeight="1"/>
    <row r="54573" ht="15" customHeight="1"/>
    <row r="54574" ht="15" customHeight="1"/>
    <row r="54575" ht="15" customHeight="1"/>
    <row r="54576" ht="15" customHeight="1"/>
    <row r="54577" ht="15" customHeight="1"/>
    <row r="54578" ht="15" customHeight="1"/>
    <row r="54579" ht="15" customHeight="1"/>
    <row r="54580" ht="15" customHeight="1"/>
    <row r="54581" ht="15" customHeight="1"/>
    <row r="54582" ht="15" customHeight="1"/>
    <row r="54583" ht="15" customHeight="1"/>
    <row r="54584" ht="15" customHeight="1"/>
    <row r="54585" ht="15" customHeight="1"/>
    <row r="54586" ht="15" customHeight="1"/>
    <row r="54587" ht="15" customHeight="1"/>
    <row r="54588" ht="15" customHeight="1"/>
    <row r="54589" ht="15" customHeight="1"/>
    <row r="54590" ht="15" customHeight="1"/>
    <row r="54591" ht="15" customHeight="1"/>
    <row r="54592" ht="15" customHeight="1"/>
    <row r="54593" ht="15" customHeight="1"/>
    <row r="54594" ht="15" customHeight="1"/>
    <row r="54595" ht="15" customHeight="1"/>
    <row r="54596" ht="15" customHeight="1"/>
    <row r="54597" ht="15" customHeight="1"/>
    <row r="54598" ht="15" customHeight="1"/>
    <row r="54599" ht="15" customHeight="1"/>
    <row r="54600" ht="15" customHeight="1"/>
    <row r="54601" ht="15" customHeight="1"/>
    <row r="54602" ht="15" customHeight="1"/>
    <row r="54603" ht="15" customHeight="1"/>
    <row r="54604" ht="15" customHeight="1"/>
    <row r="54605" ht="15" customHeight="1"/>
    <row r="54606" ht="15" customHeight="1"/>
    <row r="54607" ht="15" customHeight="1"/>
    <row r="54608" ht="15" customHeight="1"/>
    <row r="54609" ht="15" customHeight="1"/>
    <row r="54610" ht="15" customHeight="1"/>
    <row r="54611" ht="15" customHeight="1"/>
    <row r="54612" ht="15" customHeight="1"/>
    <row r="54613" ht="15" customHeight="1"/>
    <row r="54614" ht="15" customHeight="1"/>
    <row r="54615" ht="15" customHeight="1"/>
    <row r="54616" ht="15" customHeight="1"/>
    <row r="54617" ht="15" customHeight="1"/>
    <row r="54618" ht="15" customHeight="1"/>
    <row r="54619" ht="15" customHeight="1"/>
    <row r="54620" ht="15" customHeight="1"/>
    <row r="54621" ht="15" customHeight="1"/>
    <row r="54622" ht="15" customHeight="1"/>
    <row r="54623" ht="15" customHeight="1"/>
    <row r="54624" ht="15" customHeight="1"/>
    <row r="54625" ht="15" customHeight="1"/>
    <row r="54626" ht="15" customHeight="1"/>
    <row r="54627" ht="15" customHeight="1"/>
    <row r="54628" ht="15" customHeight="1"/>
    <row r="54629" ht="15" customHeight="1"/>
    <row r="54630" ht="15" customHeight="1"/>
    <row r="54631" ht="15" customHeight="1"/>
    <row r="54632" ht="15" customHeight="1"/>
    <row r="54633" ht="15" customHeight="1"/>
    <row r="54634" ht="15" customHeight="1"/>
    <row r="54635" ht="15" customHeight="1"/>
    <row r="54636" ht="15" customHeight="1"/>
    <row r="54637" ht="15" customHeight="1"/>
    <row r="54638" ht="15" customHeight="1"/>
    <row r="54639" ht="15" customHeight="1"/>
    <row r="54640" ht="15" customHeight="1"/>
    <row r="54641" ht="15" customHeight="1"/>
    <row r="54642" ht="15" customHeight="1"/>
    <row r="54643" ht="15" customHeight="1"/>
    <row r="54644" ht="15" customHeight="1"/>
    <row r="54645" ht="15" customHeight="1"/>
    <row r="54646" ht="15" customHeight="1"/>
    <row r="54647" ht="15" customHeight="1"/>
    <row r="54648" ht="15" customHeight="1"/>
    <row r="54649" ht="15" customHeight="1"/>
    <row r="54650" ht="15" customHeight="1"/>
    <row r="54651" ht="15" customHeight="1"/>
    <row r="54652" ht="15" customHeight="1"/>
    <row r="54653" ht="15" customHeight="1"/>
    <row r="54654" ht="15" customHeight="1"/>
    <row r="54655" ht="15" customHeight="1"/>
    <row r="54656" ht="15" customHeight="1"/>
    <row r="54657" ht="15" customHeight="1"/>
    <row r="54658" ht="15" customHeight="1"/>
    <row r="54659" ht="15" customHeight="1"/>
    <row r="54660" ht="15" customHeight="1"/>
    <row r="54661" ht="15" customHeight="1"/>
    <row r="54662" ht="15" customHeight="1"/>
    <row r="54663" ht="15" customHeight="1"/>
    <row r="54664" ht="15" customHeight="1"/>
    <row r="54665" ht="15" customHeight="1"/>
    <row r="54666" ht="15" customHeight="1"/>
    <row r="54667" ht="15" customHeight="1"/>
    <row r="54668" ht="15" customHeight="1"/>
    <row r="54669" ht="15" customHeight="1"/>
    <row r="54670" ht="15" customHeight="1"/>
    <row r="54671" ht="15" customHeight="1"/>
    <row r="54672" ht="15" customHeight="1"/>
    <row r="54673" ht="15" customHeight="1"/>
    <row r="54674" ht="15" customHeight="1"/>
    <row r="54675" ht="15" customHeight="1"/>
    <row r="54676" ht="15" customHeight="1"/>
    <row r="54677" ht="15" customHeight="1"/>
    <row r="54678" ht="15" customHeight="1"/>
    <row r="54679" ht="15" customHeight="1"/>
    <row r="54680" ht="15" customHeight="1"/>
    <row r="54681" ht="15" customHeight="1"/>
    <row r="54682" ht="15" customHeight="1"/>
    <row r="54683" ht="15" customHeight="1"/>
    <row r="54684" ht="15" customHeight="1"/>
    <row r="54685" ht="15" customHeight="1"/>
    <row r="54686" ht="15" customHeight="1"/>
    <row r="54687" ht="15" customHeight="1"/>
    <row r="54688" ht="15" customHeight="1"/>
    <row r="54689" ht="15" customHeight="1"/>
    <row r="54690" ht="15" customHeight="1"/>
    <row r="54691" ht="15" customHeight="1"/>
    <row r="54692" ht="15" customHeight="1"/>
    <row r="54693" ht="15" customHeight="1"/>
    <row r="54694" ht="15" customHeight="1"/>
    <row r="54695" ht="15" customHeight="1"/>
    <row r="54696" ht="15" customHeight="1"/>
    <row r="54697" ht="15" customHeight="1"/>
    <row r="54698" ht="15" customHeight="1"/>
    <row r="54699" ht="15" customHeight="1"/>
    <row r="54700" ht="15" customHeight="1"/>
    <row r="54701" ht="15" customHeight="1"/>
    <row r="54702" ht="15" customHeight="1"/>
    <row r="54703" ht="15" customHeight="1"/>
    <row r="54704" ht="15" customHeight="1"/>
    <row r="54705" ht="15" customHeight="1"/>
    <row r="54706" ht="15" customHeight="1"/>
    <row r="54707" ht="15" customHeight="1"/>
    <row r="54708" ht="15" customHeight="1"/>
    <row r="54709" ht="15" customHeight="1"/>
    <row r="54710" ht="15" customHeight="1"/>
    <row r="54711" ht="15" customHeight="1"/>
    <row r="54712" ht="15" customHeight="1"/>
    <row r="54713" ht="15" customHeight="1"/>
    <row r="54714" ht="15" customHeight="1"/>
    <row r="54715" ht="15" customHeight="1"/>
    <row r="54716" ht="15" customHeight="1"/>
    <row r="54717" ht="15" customHeight="1"/>
    <row r="54718" ht="15" customHeight="1"/>
    <row r="54719" ht="15" customHeight="1"/>
    <row r="54720" ht="15" customHeight="1"/>
    <row r="54721" ht="15" customHeight="1"/>
    <row r="54722" ht="15" customHeight="1"/>
    <row r="54723" ht="15" customHeight="1"/>
    <row r="54724" ht="15" customHeight="1"/>
    <row r="54725" ht="15" customHeight="1"/>
    <row r="54726" ht="15" customHeight="1"/>
    <row r="54727" ht="15" customHeight="1"/>
    <row r="54728" ht="15" customHeight="1"/>
    <row r="54729" ht="15" customHeight="1"/>
    <row r="54730" ht="15" customHeight="1"/>
    <row r="54731" ht="15" customHeight="1"/>
    <row r="54732" ht="15" customHeight="1"/>
    <row r="54733" ht="15" customHeight="1"/>
    <row r="54734" ht="15" customHeight="1"/>
    <row r="54735" ht="15" customHeight="1"/>
    <row r="54736" ht="15" customHeight="1"/>
    <row r="54737" ht="15" customHeight="1"/>
    <row r="54738" ht="15" customHeight="1"/>
    <row r="54739" ht="15" customHeight="1"/>
    <row r="54740" ht="15" customHeight="1"/>
    <row r="54741" ht="15" customHeight="1"/>
    <row r="54742" ht="15" customHeight="1"/>
    <row r="54743" ht="15" customHeight="1"/>
    <row r="54744" ht="15" customHeight="1"/>
    <row r="54745" ht="15" customHeight="1"/>
    <row r="54746" ht="15" customHeight="1"/>
    <row r="54747" ht="15" customHeight="1"/>
    <row r="54748" ht="15" customHeight="1"/>
    <row r="54749" ht="15" customHeight="1"/>
    <row r="54750" ht="15" customHeight="1"/>
    <row r="54751" ht="15" customHeight="1"/>
    <row r="54752" ht="15" customHeight="1"/>
    <row r="54753" ht="15" customHeight="1"/>
    <row r="54754" ht="15" customHeight="1"/>
    <row r="54755" ht="15" customHeight="1"/>
    <row r="54756" ht="15" customHeight="1"/>
    <row r="54757" ht="15" customHeight="1"/>
    <row r="54758" ht="15" customHeight="1"/>
    <row r="54759" ht="15" customHeight="1"/>
    <row r="54760" ht="15" customHeight="1"/>
    <row r="54761" ht="15" customHeight="1"/>
    <row r="54762" ht="15" customHeight="1"/>
    <row r="54763" ht="15" customHeight="1"/>
    <row r="54764" ht="15" customHeight="1"/>
    <row r="54765" ht="15" customHeight="1"/>
    <row r="54766" ht="15" customHeight="1"/>
    <row r="54767" ht="15" customHeight="1"/>
    <row r="54768" ht="15" customHeight="1"/>
    <row r="54769" ht="15" customHeight="1"/>
    <row r="54770" ht="15" customHeight="1"/>
    <row r="54771" ht="15" customHeight="1"/>
    <row r="54772" ht="15" customHeight="1"/>
    <row r="54773" ht="15" customHeight="1"/>
    <row r="54774" ht="15" customHeight="1"/>
    <row r="54775" ht="15" customHeight="1"/>
    <row r="54776" ht="15" customHeight="1"/>
    <row r="54777" ht="15" customHeight="1"/>
    <row r="54778" ht="15" customHeight="1"/>
    <row r="54779" ht="15" customHeight="1"/>
    <row r="54780" ht="15" customHeight="1"/>
    <row r="54781" ht="15" customHeight="1"/>
    <row r="54782" ht="15" customHeight="1"/>
    <row r="54783" ht="15" customHeight="1"/>
    <row r="54784" ht="15" customHeight="1"/>
    <row r="54785" ht="15" customHeight="1"/>
    <row r="54786" ht="15" customHeight="1"/>
    <row r="54787" ht="15" customHeight="1"/>
    <row r="54788" ht="15" customHeight="1"/>
    <row r="54789" ht="15" customHeight="1"/>
    <row r="54790" ht="15" customHeight="1"/>
    <row r="54791" ht="15" customHeight="1"/>
    <row r="54792" ht="15" customHeight="1"/>
    <row r="54793" ht="15" customHeight="1"/>
    <row r="54794" ht="15" customHeight="1"/>
    <row r="54795" ht="15" customHeight="1"/>
    <row r="54796" ht="15" customHeight="1"/>
    <row r="54797" ht="15" customHeight="1"/>
    <row r="54798" ht="15" customHeight="1"/>
    <row r="54799" ht="15" customHeight="1"/>
    <row r="54800" ht="15" customHeight="1"/>
    <row r="54801" ht="15" customHeight="1"/>
    <row r="54802" ht="15" customHeight="1"/>
    <row r="54803" ht="15" customHeight="1"/>
    <row r="54804" ht="15" customHeight="1"/>
    <row r="54805" ht="15" customHeight="1"/>
    <row r="54806" ht="15" customHeight="1"/>
    <row r="54807" ht="15" customHeight="1"/>
    <row r="54808" ht="15" customHeight="1"/>
    <row r="54809" ht="15" customHeight="1"/>
    <row r="54810" ht="15" customHeight="1"/>
    <row r="54811" ht="15" customHeight="1"/>
    <row r="54812" ht="15" customHeight="1"/>
    <row r="54813" ht="15" customHeight="1"/>
    <row r="54814" ht="15" customHeight="1"/>
    <row r="54815" ht="15" customHeight="1"/>
    <row r="54816" ht="15" customHeight="1"/>
    <row r="54817" ht="15" customHeight="1"/>
    <row r="54818" ht="15" customHeight="1"/>
    <row r="54819" ht="15" customHeight="1"/>
    <row r="54820" ht="15" customHeight="1"/>
    <row r="54821" ht="15" customHeight="1"/>
    <row r="54822" ht="15" customHeight="1"/>
    <row r="54823" ht="15" customHeight="1"/>
    <row r="54824" ht="15" customHeight="1"/>
    <row r="54825" ht="15" customHeight="1"/>
    <row r="54826" ht="15" customHeight="1"/>
    <row r="54827" ht="15" customHeight="1"/>
    <row r="54828" ht="15" customHeight="1"/>
    <row r="54829" ht="15" customHeight="1"/>
    <row r="54830" ht="15" customHeight="1"/>
    <row r="54831" ht="15" customHeight="1"/>
    <row r="54832" ht="15" customHeight="1"/>
    <row r="54833" ht="15" customHeight="1"/>
    <row r="54834" ht="15" customHeight="1"/>
    <row r="54835" ht="15" customHeight="1"/>
    <row r="54836" ht="15" customHeight="1"/>
    <row r="54837" ht="15" customHeight="1"/>
    <row r="54838" ht="15" customHeight="1"/>
    <row r="54839" ht="15" customHeight="1"/>
    <row r="54840" ht="15" customHeight="1"/>
    <row r="54841" ht="15" customHeight="1"/>
    <row r="54842" ht="15" customHeight="1"/>
    <row r="54843" ht="15" customHeight="1"/>
    <row r="54844" ht="15" customHeight="1"/>
    <row r="54845" ht="15" customHeight="1"/>
    <row r="54846" ht="15" customHeight="1"/>
    <row r="54847" ht="15" customHeight="1"/>
    <row r="54848" ht="15" customHeight="1"/>
    <row r="54849" ht="15" customHeight="1"/>
    <row r="54850" ht="15" customHeight="1"/>
    <row r="54851" ht="15" customHeight="1"/>
    <row r="54852" ht="15" customHeight="1"/>
    <row r="54853" ht="15" customHeight="1"/>
    <row r="54854" ht="15" customHeight="1"/>
    <row r="54855" ht="15" customHeight="1"/>
    <row r="54856" ht="15" customHeight="1"/>
    <row r="54857" ht="15" customHeight="1"/>
    <row r="54858" ht="15" customHeight="1"/>
    <row r="54859" ht="15" customHeight="1"/>
    <row r="54860" ht="15" customHeight="1"/>
    <row r="54861" ht="15" customHeight="1"/>
    <row r="54862" ht="15" customHeight="1"/>
    <row r="54863" ht="15" customHeight="1"/>
    <row r="54864" ht="15" customHeight="1"/>
    <row r="54865" ht="15" customHeight="1"/>
    <row r="54866" ht="15" customHeight="1"/>
    <row r="54867" ht="15" customHeight="1"/>
    <row r="54868" ht="15" customHeight="1"/>
    <row r="54869" ht="15" customHeight="1"/>
    <row r="54870" ht="15" customHeight="1"/>
    <row r="54871" ht="15" customHeight="1"/>
    <row r="54872" ht="15" customHeight="1"/>
    <row r="54873" ht="15" customHeight="1"/>
    <row r="54874" ht="15" customHeight="1"/>
    <row r="54875" ht="15" customHeight="1"/>
    <row r="54876" ht="15" customHeight="1"/>
    <row r="54877" ht="15" customHeight="1"/>
    <row r="54878" ht="15" customHeight="1"/>
    <row r="54879" ht="15" customHeight="1"/>
    <row r="54880" ht="15" customHeight="1"/>
    <row r="54881" ht="15" customHeight="1"/>
    <row r="54882" ht="15" customHeight="1"/>
    <row r="54883" ht="15" customHeight="1"/>
    <row r="54884" ht="15" customHeight="1"/>
    <row r="54885" ht="15" customHeight="1"/>
    <row r="54886" ht="15" customHeight="1"/>
    <row r="54887" ht="15" customHeight="1"/>
    <row r="54888" ht="15" customHeight="1"/>
    <row r="54889" ht="15" customHeight="1"/>
    <row r="54890" ht="15" customHeight="1"/>
    <row r="54891" ht="15" customHeight="1"/>
    <row r="54892" ht="15" customHeight="1"/>
    <row r="54893" ht="15" customHeight="1"/>
    <row r="54894" ht="15" customHeight="1"/>
    <row r="54895" ht="15" customHeight="1"/>
    <row r="54896" ht="15" customHeight="1"/>
    <row r="54897" ht="15" customHeight="1"/>
    <row r="54898" ht="15" customHeight="1"/>
    <row r="54899" ht="15" customHeight="1"/>
    <row r="54900" ht="15" customHeight="1"/>
    <row r="54901" ht="15" customHeight="1"/>
    <row r="54902" ht="15" customHeight="1"/>
    <row r="54903" ht="15" customHeight="1"/>
    <row r="54904" ht="15" customHeight="1"/>
    <row r="54905" ht="15" customHeight="1"/>
    <row r="54906" ht="15" customHeight="1"/>
    <row r="54907" ht="15" customHeight="1"/>
    <row r="54908" ht="15" customHeight="1"/>
    <row r="54909" ht="15" customHeight="1"/>
    <row r="54910" ht="15" customHeight="1"/>
    <row r="54911" ht="15" customHeight="1"/>
    <row r="54912" ht="15" customHeight="1"/>
    <row r="54913" ht="15" customHeight="1"/>
    <row r="54914" ht="15" customHeight="1"/>
    <row r="54915" ht="15" customHeight="1"/>
    <row r="54916" ht="15" customHeight="1"/>
    <row r="54917" ht="15" customHeight="1"/>
    <row r="54918" ht="15" customHeight="1"/>
    <row r="54919" ht="15" customHeight="1"/>
    <row r="54920" ht="15" customHeight="1"/>
    <row r="54921" ht="15" customHeight="1"/>
    <row r="54922" ht="15" customHeight="1"/>
    <row r="54923" ht="15" customHeight="1"/>
    <row r="54924" ht="15" customHeight="1"/>
    <row r="54925" ht="15" customHeight="1"/>
    <row r="54926" ht="15" customHeight="1"/>
    <row r="54927" ht="15" customHeight="1"/>
    <row r="54928" ht="15" customHeight="1"/>
    <row r="54929" ht="15" customHeight="1"/>
    <row r="54930" ht="15" customHeight="1"/>
    <row r="54931" ht="15" customHeight="1"/>
    <row r="54932" ht="15" customHeight="1"/>
    <row r="54933" ht="15" customHeight="1"/>
    <row r="54934" ht="15" customHeight="1"/>
    <row r="54935" ht="15" customHeight="1"/>
    <row r="54936" ht="15" customHeight="1"/>
    <row r="54937" ht="15" customHeight="1"/>
    <row r="54938" ht="15" customHeight="1"/>
    <row r="54939" ht="15" customHeight="1"/>
    <row r="54940" ht="15" customHeight="1"/>
    <row r="54941" ht="15" customHeight="1"/>
    <row r="54942" ht="15" customHeight="1"/>
    <row r="54943" ht="15" customHeight="1"/>
    <row r="54944" ht="15" customHeight="1"/>
    <row r="54945" ht="15" customHeight="1"/>
    <row r="54946" ht="15" customHeight="1"/>
    <row r="54947" ht="15" customHeight="1"/>
    <row r="54948" ht="15" customHeight="1"/>
    <row r="54949" ht="15" customHeight="1"/>
    <row r="54950" ht="15" customHeight="1"/>
    <row r="54951" ht="15" customHeight="1"/>
    <row r="54952" ht="15" customHeight="1"/>
    <row r="54953" ht="15" customHeight="1"/>
    <row r="54954" ht="15" customHeight="1"/>
    <row r="54955" ht="15" customHeight="1"/>
    <row r="54956" ht="15" customHeight="1"/>
    <row r="54957" ht="15" customHeight="1"/>
    <row r="54958" ht="15" customHeight="1"/>
    <row r="54959" ht="15" customHeight="1"/>
    <row r="54960" ht="15" customHeight="1"/>
    <row r="54961" ht="15" customHeight="1"/>
    <row r="54962" ht="15" customHeight="1"/>
    <row r="54963" ht="15" customHeight="1"/>
    <row r="54964" ht="15" customHeight="1"/>
    <row r="54965" ht="15" customHeight="1"/>
    <row r="54966" ht="15" customHeight="1"/>
    <row r="54967" ht="15" customHeight="1"/>
    <row r="54968" ht="15" customHeight="1"/>
    <row r="54969" ht="15" customHeight="1"/>
    <row r="54970" ht="15" customHeight="1"/>
    <row r="54971" ht="15" customHeight="1"/>
    <row r="54972" ht="15" customHeight="1"/>
    <row r="54973" ht="15" customHeight="1"/>
    <row r="54974" ht="15" customHeight="1"/>
    <row r="54975" ht="15" customHeight="1"/>
    <row r="54976" ht="15" customHeight="1"/>
    <row r="54977" ht="15" customHeight="1"/>
    <row r="54978" ht="15" customHeight="1"/>
    <row r="54979" ht="15" customHeight="1"/>
    <row r="54980" ht="15" customHeight="1"/>
    <row r="54981" ht="15" customHeight="1"/>
    <row r="54982" ht="15" customHeight="1"/>
    <row r="54983" ht="15" customHeight="1"/>
    <row r="54984" ht="15" customHeight="1"/>
    <row r="54985" ht="15" customHeight="1"/>
    <row r="54986" ht="15" customHeight="1"/>
    <row r="54987" ht="15" customHeight="1"/>
    <row r="54988" ht="15" customHeight="1"/>
    <row r="54989" ht="15" customHeight="1"/>
    <row r="54990" ht="15" customHeight="1"/>
    <row r="54991" ht="15" customHeight="1"/>
    <row r="54992" ht="15" customHeight="1"/>
    <row r="54993" ht="15" customHeight="1"/>
    <row r="54994" ht="15" customHeight="1"/>
    <row r="54995" ht="15" customHeight="1"/>
    <row r="54996" ht="15" customHeight="1"/>
    <row r="54997" ht="15" customHeight="1"/>
    <row r="54998" ht="15" customHeight="1"/>
    <row r="54999" ht="15" customHeight="1"/>
    <row r="55000" ht="15" customHeight="1"/>
    <row r="55001" ht="15" customHeight="1"/>
    <row r="55002" ht="15" customHeight="1"/>
    <row r="55003" ht="15" customHeight="1"/>
    <row r="55004" ht="15" customHeight="1"/>
    <row r="55005" ht="15" customHeight="1"/>
    <row r="55006" ht="15" customHeight="1"/>
    <row r="55007" ht="15" customHeight="1"/>
    <row r="55008" ht="15" customHeight="1"/>
    <row r="55009" ht="15" customHeight="1"/>
    <row r="55010" ht="15" customHeight="1"/>
    <row r="55011" ht="15" customHeight="1"/>
    <row r="55012" ht="15" customHeight="1"/>
    <row r="55013" ht="15" customHeight="1"/>
    <row r="55014" ht="15" customHeight="1"/>
    <row r="55015" ht="15" customHeight="1"/>
    <row r="55016" ht="15" customHeight="1"/>
    <row r="55017" ht="15" customHeight="1"/>
    <row r="55018" ht="15" customHeight="1"/>
    <row r="55019" ht="15" customHeight="1"/>
    <row r="55020" ht="15" customHeight="1"/>
    <row r="55021" ht="15" customHeight="1"/>
    <row r="55022" ht="15" customHeight="1"/>
    <row r="55023" ht="15" customHeight="1"/>
    <row r="55024" ht="15" customHeight="1"/>
    <row r="55025" ht="15" customHeight="1"/>
    <row r="55026" ht="15" customHeight="1"/>
    <row r="55027" ht="15" customHeight="1"/>
    <row r="55028" ht="15" customHeight="1"/>
    <row r="55029" ht="15" customHeight="1"/>
    <row r="55030" ht="15" customHeight="1"/>
    <row r="55031" ht="15" customHeight="1"/>
    <row r="55032" ht="15" customHeight="1"/>
    <row r="55033" ht="15" customHeight="1"/>
    <row r="55034" ht="15" customHeight="1"/>
    <row r="55035" ht="15" customHeight="1"/>
    <row r="55036" ht="15" customHeight="1"/>
    <row r="55037" ht="15" customHeight="1"/>
    <row r="55038" ht="15" customHeight="1"/>
    <row r="55039" ht="15" customHeight="1"/>
    <row r="55040" ht="15" customHeight="1"/>
    <row r="55041" ht="15" customHeight="1"/>
    <row r="55042" ht="15" customHeight="1"/>
    <row r="55043" ht="15" customHeight="1"/>
    <row r="55044" ht="15" customHeight="1"/>
    <row r="55045" ht="15" customHeight="1"/>
    <row r="55046" ht="15" customHeight="1"/>
    <row r="55047" ht="15" customHeight="1"/>
    <row r="55048" ht="15" customHeight="1"/>
    <row r="55049" ht="15" customHeight="1"/>
    <row r="55050" ht="15" customHeight="1"/>
    <row r="55051" ht="15" customHeight="1"/>
    <row r="55052" ht="15" customHeight="1"/>
    <row r="55053" ht="15" customHeight="1"/>
    <row r="55054" ht="15" customHeight="1"/>
    <row r="55055" ht="15" customHeight="1"/>
    <row r="55056" ht="15" customHeight="1"/>
    <row r="55057" ht="15" customHeight="1"/>
    <row r="55058" ht="15" customHeight="1"/>
    <row r="55059" ht="15" customHeight="1"/>
    <row r="55060" ht="15" customHeight="1"/>
    <row r="55061" ht="15" customHeight="1"/>
    <row r="55062" ht="15" customHeight="1"/>
    <row r="55063" ht="15" customHeight="1"/>
    <row r="55064" ht="15" customHeight="1"/>
    <row r="55065" ht="15" customHeight="1"/>
    <row r="55066" ht="15" customHeight="1"/>
    <row r="55067" ht="15" customHeight="1"/>
    <row r="55068" ht="15" customHeight="1"/>
    <row r="55069" ht="15" customHeight="1"/>
    <row r="55070" ht="15" customHeight="1"/>
    <row r="55071" ht="15" customHeight="1"/>
    <row r="55072" ht="15" customHeight="1"/>
    <row r="55073" ht="15" customHeight="1"/>
    <row r="55074" ht="15" customHeight="1"/>
    <row r="55075" ht="15" customHeight="1"/>
    <row r="55076" ht="15" customHeight="1"/>
    <row r="55077" ht="15" customHeight="1"/>
    <row r="55078" ht="15" customHeight="1"/>
    <row r="55079" ht="15" customHeight="1"/>
    <row r="55080" ht="15" customHeight="1"/>
    <row r="55081" ht="15" customHeight="1"/>
    <row r="55082" ht="15" customHeight="1"/>
    <row r="55083" ht="15" customHeight="1"/>
    <row r="55084" ht="15" customHeight="1"/>
    <row r="55085" ht="15" customHeight="1"/>
    <row r="55086" ht="15" customHeight="1"/>
    <row r="55087" ht="15" customHeight="1"/>
    <row r="55088" ht="15" customHeight="1"/>
    <row r="55089" ht="15" customHeight="1"/>
    <row r="55090" ht="15" customHeight="1"/>
    <row r="55091" ht="15" customHeight="1"/>
    <row r="55092" ht="15" customHeight="1"/>
    <row r="55093" ht="15" customHeight="1"/>
    <row r="55094" ht="15" customHeight="1"/>
    <row r="55095" ht="15" customHeight="1"/>
    <row r="55096" ht="15" customHeight="1"/>
    <row r="55097" ht="15" customHeight="1"/>
    <row r="55098" ht="15" customHeight="1"/>
    <row r="55099" ht="15" customHeight="1"/>
    <row r="55100" ht="15" customHeight="1"/>
    <row r="55101" ht="15" customHeight="1"/>
    <row r="55102" ht="15" customHeight="1"/>
    <row r="55103" ht="15" customHeight="1"/>
    <row r="55104" ht="15" customHeight="1"/>
    <row r="55105" ht="15" customHeight="1"/>
    <row r="55106" ht="15" customHeight="1"/>
    <row r="55107" ht="15" customHeight="1"/>
    <row r="55108" ht="15" customHeight="1"/>
    <row r="55109" ht="15" customHeight="1"/>
    <row r="55110" ht="15" customHeight="1"/>
    <row r="55111" ht="15" customHeight="1"/>
    <row r="55112" ht="15" customHeight="1"/>
    <row r="55113" ht="15" customHeight="1"/>
    <row r="55114" ht="15" customHeight="1"/>
    <row r="55115" ht="15" customHeight="1"/>
    <row r="55116" ht="15" customHeight="1"/>
    <row r="55117" ht="15" customHeight="1"/>
    <row r="55118" ht="15" customHeight="1"/>
    <row r="55119" ht="15" customHeight="1"/>
    <row r="55120" ht="15" customHeight="1"/>
    <row r="55121" ht="15" customHeight="1"/>
    <row r="55122" ht="15" customHeight="1"/>
    <row r="55123" ht="15" customHeight="1"/>
    <row r="55124" ht="15" customHeight="1"/>
    <row r="55125" ht="15" customHeight="1"/>
    <row r="55126" ht="15" customHeight="1"/>
    <row r="55127" ht="15" customHeight="1"/>
    <row r="55128" ht="15" customHeight="1"/>
    <row r="55129" ht="15" customHeight="1"/>
    <row r="55130" ht="15" customHeight="1"/>
    <row r="55131" ht="15" customHeight="1"/>
    <row r="55132" ht="15" customHeight="1"/>
    <row r="55133" ht="15" customHeight="1"/>
    <row r="55134" ht="15" customHeight="1"/>
    <row r="55135" ht="15" customHeight="1"/>
    <row r="55136" ht="15" customHeight="1"/>
    <row r="55137" ht="15" customHeight="1"/>
    <row r="55138" ht="15" customHeight="1"/>
    <row r="55139" ht="15" customHeight="1"/>
    <row r="55140" ht="15" customHeight="1"/>
    <row r="55141" ht="15" customHeight="1"/>
    <row r="55142" ht="15" customHeight="1"/>
    <row r="55143" ht="15" customHeight="1"/>
    <row r="55144" ht="15" customHeight="1"/>
    <row r="55145" ht="15" customHeight="1"/>
    <row r="55146" ht="15" customHeight="1"/>
    <row r="55147" ht="15" customHeight="1"/>
    <row r="55148" ht="15" customHeight="1"/>
    <row r="55149" ht="15" customHeight="1"/>
    <row r="55150" ht="15" customHeight="1"/>
    <row r="55151" ht="15" customHeight="1"/>
    <row r="55152" ht="15" customHeight="1"/>
    <row r="55153" ht="15" customHeight="1"/>
    <row r="55154" ht="15" customHeight="1"/>
    <row r="55155" ht="15" customHeight="1"/>
    <row r="55156" ht="15" customHeight="1"/>
    <row r="55157" ht="15" customHeight="1"/>
    <row r="55158" ht="15" customHeight="1"/>
    <row r="55159" ht="15" customHeight="1"/>
    <row r="55160" ht="15" customHeight="1"/>
    <row r="55161" ht="15" customHeight="1"/>
    <row r="55162" ht="15" customHeight="1"/>
    <row r="55163" ht="15" customHeight="1"/>
    <row r="55164" ht="15" customHeight="1"/>
    <row r="55165" ht="15" customHeight="1"/>
    <row r="55166" ht="15" customHeight="1"/>
    <row r="55167" ht="15" customHeight="1"/>
    <row r="55168" ht="15" customHeight="1"/>
    <row r="55169" ht="15" customHeight="1"/>
    <row r="55170" ht="15" customHeight="1"/>
    <row r="55171" ht="15" customHeight="1"/>
    <row r="55172" ht="15" customHeight="1"/>
    <row r="55173" ht="15" customHeight="1"/>
    <row r="55174" ht="15" customHeight="1"/>
    <row r="55175" ht="15" customHeight="1"/>
    <row r="55176" ht="15" customHeight="1"/>
    <row r="55177" ht="15" customHeight="1"/>
    <row r="55178" ht="15" customHeight="1"/>
    <row r="55179" ht="15" customHeight="1"/>
    <row r="55180" ht="15" customHeight="1"/>
    <row r="55181" ht="15" customHeight="1"/>
    <row r="55182" ht="15" customHeight="1"/>
    <row r="55183" ht="15" customHeight="1"/>
    <row r="55184" ht="15" customHeight="1"/>
    <row r="55185" ht="15" customHeight="1"/>
    <row r="55186" ht="15" customHeight="1"/>
    <row r="55187" ht="15" customHeight="1"/>
    <row r="55188" ht="15" customHeight="1"/>
    <row r="55189" ht="15" customHeight="1"/>
    <row r="55190" ht="15" customHeight="1"/>
    <row r="55191" ht="15" customHeight="1"/>
    <row r="55192" ht="15" customHeight="1"/>
    <row r="55193" ht="15" customHeight="1"/>
    <row r="55194" ht="15" customHeight="1"/>
    <row r="55195" ht="15" customHeight="1"/>
    <row r="55196" ht="15" customHeight="1"/>
    <row r="55197" ht="15" customHeight="1"/>
    <row r="55198" ht="15" customHeight="1"/>
    <row r="55199" ht="15" customHeight="1"/>
    <row r="55200" ht="15" customHeight="1"/>
    <row r="55201" ht="15" customHeight="1"/>
    <row r="55202" ht="15" customHeight="1"/>
    <row r="55203" ht="15" customHeight="1"/>
    <row r="55204" ht="15" customHeight="1"/>
    <row r="55205" ht="15" customHeight="1"/>
    <row r="55206" ht="15" customHeight="1"/>
    <row r="55207" ht="15" customHeight="1"/>
    <row r="55208" ht="15" customHeight="1"/>
    <row r="55209" ht="15" customHeight="1"/>
    <row r="55210" ht="15" customHeight="1"/>
    <row r="55211" ht="15" customHeight="1"/>
    <row r="55212" ht="15" customHeight="1"/>
    <row r="55213" ht="15" customHeight="1"/>
    <row r="55214" ht="15" customHeight="1"/>
    <row r="55215" ht="15" customHeight="1"/>
    <row r="55216" ht="15" customHeight="1"/>
    <row r="55217" ht="15" customHeight="1"/>
    <row r="55218" ht="15" customHeight="1"/>
    <row r="55219" ht="15" customHeight="1"/>
    <row r="55220" ht="15" customHeight="1"/>
    <row r="55221" ht="15" customHeight="1"/>
    <row r="55222" ht="15" customHeight="1"/>
    <row r="55223" ht="15" customHeight="1"/>
    <row r="55224" ht="15" customHeight="1"/>
    <row r="55225" ht="15" customHeight="1"/>
    <row r="55226" ht="15" customHeight="1"/>
    <row r="55227" ht="15" customHeight="1"/>
    <row r="55228" ht="15" customHeight="1"/>
    <row r="55229" ht="15" customHeight="1"/>
    <row r="55230" ht="15" customHeight="1"/>
    <row r="55231" ht="15" customHeight="1"/>
    <row r="55232" ht="15" customHeight="1"/>
    <row r="55233" ht="15" customHeight="1"/>
    <row r="55234" ht="15" customHeight="1"/>
    <row r="55235" ht="15" customHeight="1"/>
    <row r="55236" ht="15" customHeight="1"/>
    <row r="55237" ht="15" customHeight="1"/>
    <row r="55238" ht="15" customHeight="1"/>
    <row r="55239" ht="15" customHeight="1"/>
    <row r="55240" ht="15" customHeight="1"/>
    <row r="55241" ht="15" customHeight="1"/>
    <row r="55242" ht="15" customHeight="1"/>
    <row r="55243" ht="15" customHeight="1"/>
    <row r="55244" ht="15" customHeight="1"/>
    <row r="55245" ht="15" customHeight="1"/>
    <row r="55246" ht="15" customHeight="1"/>
    <row r="55247" ht="15" customHeight="1"/>
    <row r="55248" ht="15" customHeight="1"/>
    <row r="55249" ht="15" customHeight="1"/>
    <row r="55250" ht="15" customHeight="1"/>
    <row r="55251" ht="15" customHeight="1"/>
    <row r="55252" ht="15" customHeight="1"/>
    <row r="55253" ht="15" customHeight="1"/>
    <row r="55254" ht="15" customHeight="1"/>
    <row r="55255" ht="15" customHeight="1"/>
    <row r="55256" ht="15" customHeight="1"/>
    <row r="55257" ht="15" customHeight="1"/>
    <row r="55258" ht="15" customHeight="1"/>
    <row r="55259" ht="15" customHeight="1"/>
    <row r="55260" ht="15" customHeight="1"/>
    <row r="55261" ht="15" customHeight="1"/>
    <row r="55262" ht="15" customHeight="1"/>
    <row r="55263" ht="15" customHeight="1"/>
    <row r="55264" ht="15" customHeight="1"/>
    <row r="55265" ht="15" customHeight="1"/>
    <row r="55266" ht="15" customHeight="1"/>
    <row r="55267" ht="15" customHeight="1"/>
    <row r="55268" ht="15" customHeight="1"/>
    <row r="55269" ht="15" customHeight="1"/>
    <row r="55270" ht="15" customHeight="1"/>
    <row r="55271" ht="15" customHeight="1"/>
    <row r="55272" ht="15" customHeight="1"/>
    <row r="55273" ht="15" customHeight="1"/>
    <row r="55274" ht="15" customHeight="1"/>
    <row r="55275" ht="15" customHeight="1"/>
    <row r="55276" ht="15" customHeight="1"/>
    <row r="55277" ht="15" customHeight="1"/>
    <row r="55278" ht="15" customHeight="1"/>
    <row r="55279" ht="15" customHeight="1"/>
    <row r="55280" ht="15" customHeight="1"/>
    <row r="55281" ht="15" customHeight="1"/>
    <row r="55282" ht="15" customHeight="1"/>
    <row r="55283" ht="15" customHeight="1"/>
    <row r="55284" ht="15" customHeight="1"/>
    <row r="55285" ht="15" customHeight="1"/>
    <row r="55286" ht="15" customHeight="1"/>
    <row r="55287" ht="15" customHeight="1"/>
    <row r="55288" ht="15" customHeight="1"/>
    <row r="55289" ht="15" customHeight="1"/>
    <row r="55290" ht="15" customHeight="1"/>
    <row r="55291" ht="15" customHeight="1"/>
    <row r="55292" ht="15" customHeight="1"/>
    <row r="55293" ht="15" customHeight="1"/>
    <row r="55294" ht="15" customHeight="1"/>
    <row r="55295" ht="15" customHeight="1"/>
    <row r="55296" ht="15" customHeight="1"/>
    <row r="55297" ht="15" customHeight="1"/>
    <row r="55298" ht="15" customHeight="1"/>
    <row r="55299" ht="15" customHeight="1"/>
    <row r="55300" ht="15" customHeight="1"/>
    <row r="55301" ht="15" customHeight="1"/>
    <row r="55302" ht="15" customHeight="1"/>
    <row r="55303" ht="15" customHeight="1"/>
    <row r="55304" ht="15" customHeight="1"/>
    <row r="55305" ht="15" customHeight="1"/>
    <row r="55306" ht="15" customHeight="1"/>
    <row r="55307" ht="15" customHeight="1"/>
    <row r="55308" ht="15" customHeight="1"/>
    <row r="55309" ht="15" customHeight="1"/>
    <row r="55310" ht="15" customHeight="1"/>
    <row r="55311" ht="15" customHeight="1"/>
    <row r="55312" ht="15" customHeight="1"/>
    <row r="55313" ht="15" customHeight="1"/>
    <row r="55314" ht="15" customHeight="1"/>
    <row r="55315" ht="15" customHeight="1"/>
    <row r="55316" ht="15" customHeight="1"/>
    <row r="55317" ht="15" customHeight="1"/>
    <row r="55318" ht="15" customHeight="1"/>
    <row r="55319" ht="15" customHeight="1"/>
    <row r="55320" ht="15" customHeight="1"/>
    <row r="55321" ht="15" customHeight="1"/>
    <row r="55322" ht="15" customHeight="1"/>
    <row r="55323" ht="15" customHeight="1"/>
    <row r="55324" ht="15" customHeight="1"/>
    <row r="55325" ht="15" customHeight="1"/>
    <row r="55326" ht="15" customHeight="1"/>
    <row r="55327" ht="15" customHeight="1"/>
    <row r="55328" ht="15" customHeight="1"/>
    <row r="55329" ht="15" customHeight="1"/>
    <row r="55330" ht="15" customHeight="1"/>
    <row r="55331" ht="15" customHeight="1"/>
    <row r="55332" ht="15" customHeight="1"/>
    <row r="55333" ht="15" customHeight="1"/>
    <row r="55334" ht="15" customHeight="1"/>
    <row r="55335" ht="15" customHeight="1"/>
    <row r="55336" ht="15" customHeight="1"/>
    <row r="55337" ht="15" customHeight="1"/>
    <row r="55338" ht="15" customHeight="1"/>
    <row r="55339" ht="15" customHeight="1"/>
    <row r="55340" ht="15" customHeight="1"/>
    <row r="55341" ht="15" customHeight="1"/>
    <row r="55342" ht="15" customHeight="1"/>
    <row r="55343" ht="15" customHeight="1"/>
    <row r="55344" ht="15" customHeight="1"/>
    <row r="55345" ht="15" customHeight="1"/>
    <row r="55346" ht="15" customHeight="1"/>
    <row r="55347" ht="15" customHeight="1"/>
    <row r="55348" ht="15" customHeight="1"/>
    <row r="55349" ht="15" customHeight="1"/>
    <row r="55350" ht="15" customHeight="1"/>
    <row r="55351" ht="15" customHeight="1"/>
    <row r="55352" ht="15" customHeight="1"/>
    <row r="55353" ht="15" customHeight="1"/>
    <row r="55354" ht="15" customHeight="1"/>
    <row r="55355" ht="15" customHeight="1"/>
    <row r="55356" ht="15" customHeight="1"/>
    <row r="55357" ht="15" customHeight="1"/>
    <row r="55358" ht="15" customHeight="1"/>
    <row r="55359" ht="15" customHeight="1"/>
    <row r="55360" ht="15" customHeight="1"/>
    <row r="55361" ht="15" customHeight="1"/>
    <row r="55362" ht="15" customHeight="1"/>
    <row r="55363" ht="15" customHeight="1"/>
    <row r="55364" ht="15" customHeight="1"/>
    <row r="55365" ht="15" customHeight="1"/>
    <row r="55366" ht="15" customHeight="1"/>
    <row r="55367" ht="15" customHeight="1"/>
    <row r="55368" ht="15" customHeight="1"/>
    <row r="55369" ht="15" customHeight="1"/>
    <row r="55370" ht="15" customHeight="1"/>
    <row r="55371" ht="15" customHeight="1"/>
    <row r="55372" ht="15" customHeight="1"/>
    <row r="55373" ht="15" customHeight="1"/>
    <row r="55374" ht="15" customHeight="1"/>
    <row r="55375" ht="15" customHeight="1"/>
    <row r="55376" ht="15" customHeight="1"/>
    <row r="55377" ht="15" customHeight="1"/>
    <row r="55378" ht="15" customHeight="1"/>
    <row r="55379" ht="15" customHeight="1"/>
    <row r="55380" ht="15" customHeight="1"/>
    <row r="55381" ht="15" customHeight="1"/>
    <row r="55382" ht="15" customHeight="1"/>
    <row r="55383" ht="15" customHeight="1"/>
    <row r="55384" ht="15" customHeight="1"/>
    <row r="55385" ht="15" customHeight="1"/>
    <row r="55386" ht="15" customHeight="1"/>
    <row r="55387" ht="15" customHeight="1"/>
    <row r="55388" ht="15" customHeight="1"/>
    <row r="55389" ht="15" customHeight="1"/>
    <row r="55390" ht="15" customHeight="1"/>
    <row r="55391" ht="15" customHeight="1"/>
    <row r="55392" ht="15" customHeight="1"/>
    <row r="55393" ht="15" customHeight="1"/>
    <row r="55394" ht="15" customHeight="1"/>
    <row r="55395" ht="15" customHeight="1"/>
    <row r="55396" ht="15" customHeight="1"/>
    <row r="55397" ht="15" customHeight="1"/>
    <row r="55398" ht="15" customHeight="1"/>
    <row r="55399" ht="15" customHeight="1"/>
    <row r="55400" ht="15" customHeight="1"/>
    <row r="55401" ht="15" customHeight="1"/>
    <row r="55402" ht="15" customHeight="1"/>
    <row r="55403" ht="15" customHeight="1"/>
    <row r="55404" ht="15" customHeight="1"/>
    <row r="55405" ht="15" customHeight="1"/>
    <row r="55406" ht="15" customHeight="1"/>
    <row r="55407" ht="15" customHeight="1"/>
    <row r="55408" ht="15" customHeight="1"/>
    <row r="55409" ht="15" customHeight="1"/>
    <row r="55410" ht="15" customHeight="1"/>
    <row r="55411" ht="15" customHeight="1"/>
    <row r="55412" ht="15" customHeight="1"/>
    <row r="55413" ht="15" customHeight="1"/>
    <row r="55414" ht="15" customHeight="1"/>
    <row r="55415" ht="15" customHeight="1"/>
    <row r="55416" ht="15" customHeight="1"/>
    <row r="55417" ht="15" customHeight="1"/>
    <row r="55418" ht="15" customHeight="1"/>
    <row r="55419" ht="15" customHeight="1"/>
    <row r="55420" ht="15" customHeight="1"/>
    <row r="55421" ht="15" customHeight="1"/>
    <row r="55422" ht="15" customHeight="1"/>
    <row r="55423" ht="15" customHeight="1"/>
    <row r="55424" ht="15" customHeight="1"/>
    <row r="55425" ht="15" customHeight="1"/>
    <row r="55426" ht="15" customHeight="1"/>
    <row r="55427" ht="15" customHeight="1"/>
    <row r="55428" ht="15" customHeight="1"/>
    <row r="55429" ht="15" customHeight="1"/>
    <row r="55430" ht="15" customHeight="1"/>
    <row r="55431" ht="15" customHeight="1"/>
    <row r="55432" ht="15" customHeight="1"/>
    <row r="55433" ht="15" customHeight="1"/>
    <row r="55434" ht="15" customHeight="1"/>
    <row r="55435" ht="15" customHeight="1"/>
    <row r="55436" ht="15" customHeight="1"/>
    <row r="55437" ht="15" customHeight="1"/>
    <row r="55438" ht="15" customHeight="1"/>
    <row r="55439" ht="15" customHeight="1"/>
    <row r="55440" ht="15" customHeight="1"/>
    <row r="55441" ht="15" customHeight="1"/>
    <row r="55442" ht="15" customHeight="1"/>
    <row r="55443" ht="15" customHeight="1"/>
    <row r="55444" ht="15" customHeight="1"/>
    <row r="55445" ht="15" customHeight="1"/>
    <row r="55446" ht="15" customHeight="1"/>
    <row r="55447" ht="15" customHeight="1"/>
    <row r="55448" ht="15" customHeight="1"/>
    <row r="55449" ht="15" customHeight="1"/>
    <row r="55450" ht="15" customHeight="1"/>
    <row r="55451" ht="15" customHeight="1"/>
    <row r="55452" ht="15" customHeight="1"/>
    <row r="55453" ht="15" customHeight="1"/>
    <row r="55454" ht="15" customHeight="1"/>
    <row r="55455" ht="15" customHeight="1"/>
    <row r="55456" ht="15" customHeight="1"/>
    <row r="55457" ht="15" customHeight="1"/>
    <row r="55458" ht="15" customHeight="1"/>
    <row r="55459" ht="15" customHeight="1"/>
    <row r="55460" ht="15" customHeight="1"/>
    <row r="55461" ht="15" customHeight="1"/>
    <row r="55462" ht="15" customHeight="1"/>
    <row r="55463" ht="15" customHeight="1"/>
    <row r="55464" ht="15" customHeight="1"/>
    <row r="55465" ht="15" customHeight="1"/>
    <row r="55466" ht="15" customHeight="1"/>
    <row r="55467" ht="15" customHeight="1"/>
    <row r="55468" ht="15" customHeight="1"/>
    <row r="55469" ht="15" customHeight="1"/>
    <row r="55470" ht="15" customHeight="1"/>
    <row r="55471" ht="15" customHeight="1"/>
    <row r="55472" ht="15" customHeight="1"/>
    <row r="55473" ht="15" customHeight="1"/>
    <row r="55474" ht="15" customHeight="1"/>
    <row r="55475" ht="15" customHeight="1"/>
    <row r="55476" ht="15" customHeight="1"/>
    <row r="55477" ht="15" customHeight="1"/>
    <row r="55478" ht="15" customHeight="1"/>
    <row r="55479" ht="15" customHeight="1"/>
    <row r="55480" ht="15" customHeight="1"/>
    <row r="55481" ht="15" customHeight="1"/>
    <row r="55482" ht="15" customHeight="1"/>
    <row r="55483" ht="15" customHeight="1"/>
    <row r="55484" ht="15" customHeight="1"/>
    <row r="55485" ht="15" customHeight="1"/>
    <row r="55486" ht="15" customHeight="1"/>
    <row r="55487" ht="15" customHeight="1"/>
    <row r="55488" ht="15" customHeight="1"/>
    <row r="55489" ht="15" customHeight="1"/>
    <row r="55490" ht="15" customHeight="1"/>
    <row r="55491" ht="15" customHeight="1"/>
    <row r="55492" ht="15" customHeight="1"/>
    <row r="55493" ht="15" customHeight="1"/>
    <row r="55494" ht="15" customHeight="1"/>
    <row r="55495" ht="15" customHeight="1"/>
    <row r="55496" ht="15" customHeight="1"/>
    <row r="55497" ht="15" customHeight="1"/>
    <row r="55498" ht="15" customHeight="1"/>
    <row r="55499" ht="15" customHeight="1"/>
    <row r="55500" ht="15" customHeight="1"/>
    <row r="55501" ht="15" customHeight="1"/>
    <row r="55502" ht="15" customHeight="1"/>
    <row r="55503" ht="15" customHeight="1"/>
    <row r="55504" ht="15" customHeight="1"/>
    <row r="55505" ht="15" customHeight="1"/>
    <row r="55506" ht="15" customHeight="1"/>
    <row r="55507" ht="15" customHeight="1"/>
    <row r="55508" ht="15" customHeight="1"/>
    <row r="55509" ht="15" customHeight="1"/>
    <row r="55510" ht="15" customHeight="1"/>
    <row r="55511" ht="15" customHeight="1"/>
    <row r="55512" ht="15" customHeight="1"/>
    <row r="55513" ht="15" customHeight="1"/>
    <row r="55514" ht="15" customHeight="1"/>
    <row r="55515" ht="15" customHeight="1"/>
    <row r="55516" ht="15" customHeight="1"/>
    <row r="55517" ht="15" customHeight="1"/>
    <row r="55518" ht="15" customHeight="1"/>
    <row r="55519" ht="15" customHeight="1"/>
    <row r="55520" ht="15" customHeight="1"/>
    <row r="55521" ht="15" customHeight="1"/>
    <row r="55522" ht="15" customHeight="1"/>
    <row r="55523" ht="15" customHeight="1"/>
    <row r="55524" ht="15" customHeight="1"/>
    <row r="55525" ht="15" customHeight="1"/>
    <row r="55526" ht="15" customHeight="1"/>
    <row r="55527" ht="15" customHeight="1"/>
    <row r="55528" ht="15" customHeight="1"/>
    <row r="55529" ht="15" customHeight="1"/>
    <row r="55530" ht="15" customHeight="1"/>
    <row r="55531" ht="15" customHeight="1"/>
    <row r="55532" ht="15" customHeight="1"/>
    <row r="55533" ht="15" customHeight="1"/>
    <row r="55534" ht="15" customHeight="1"/>
    <row r="55535" ht="15" customHeight="1"/>
    <row r="55536" ht="15" customHeight="1"/>
    <row r="55537" ht="15" customHeight="1"/>
    <row r="55538" ht="15" customHeight="1"/>
    <row r="55539" ht="15" customHeight="1"/>
    <row r="55540" ht="15" customHeight="1"/>
    <row r="55541" ht="15" customHeight="1"/>
    <row r="55542" ht="15" customHeight="1"/>
    <row r="55543" ht="15" customHeight="1"/>
    <row r="55544" ht="15" customHeight="1"/>
    <row r="55545" ht="15" customHeight="1"/>
    <row r="55546" ht="15" customHeight="1"/>
    <row r="55547" ht="15" customHeight="1"/>
    <row r="55548" ht="15" customHeight="1"/>
    <row r="55549" ht="15" customHeight="1"/>
    <row r="55550" ht="15" customHeight="1"/>
    <row r="55551" ht="15" customHeight="1"/>
    <row r="55552" ht="15" customHeight="1"/>
    <row r="55553" ht="15" customHeight="1"/>
    <row r="55554" ht="15" customHeight="1"/>
    <row r="55555" ht="15" customHeight="1"/>
    <row r="55556" ht="15" customHeight="1"/>
    <row r="55557" ht="15" customHeight="1"/>
    <row r="55558" ht="15" customHeight="1"/>
    <row r="55559" ht="15" customHeight="1"/>
    <row r="55560" ht="15" customHeight="1"/>
    <row r="55561" ht="15" customHeight="1"/>
    <row r="55562" ht="15" customHeight="1"/>
    <row r="55563" ht="15" customHeight="1"/>
    <row r="55564" ht="15" customHeight="1"/>
    <row r="55565" ht="15" customHeight="1"/>
    <row r="55566" ht="15" customHeight="1"/>
    <row r="55567" ht="15" customHeight="1"/>
    <row r="55568" ht="15" customHeight="1"/>
    <row r="55569" ht="15" customHeight="1"/>
    <row r="55570" ht="15" customHeight="1"/>
    <row r="55571" ht="15" customHeight="1"/>
    <row r="55572" ht="15" customHeight="1"/>
    <row r="55573" ht="15" customHeight="1"/>
    <row r="55574" ht="15" customHeight="1"/>
    <row r="55575" ht="15" customHeight="1"/>
    <row r="55576" ht="15" customHeight="1"/>
    <row r="55577" ht="15" customHeight="1"/>
    <row r="55578" ht="15" customHeight="1"/>
    <row r="55579" ht="15" customHeight="1"/>
    <row r="55580" ht="15" customHeight="1"/>
    <row r="55581" ht="15" customHeight="1"/>
    <row r="55582" ht="15" customHeight="1"/>
    <row r="55583" ht="15" customHeight="1"/>
    <row r="55584" ht="15" customHeight="1"/>
    <row r="55585" ht="15" customHeight="1"/>
    <row r="55586" ht="15" customHeight="1"/>
    <row r="55587" ht="15" customHeight="1"/>
    <row r="55588" ht="15" customHeight="1"/>
    <row r="55589" ht="15" customHeight="1"/>
    <row r="55590" ht="15" customHeight="1"/>
    <row r="55591" ht="15" customHeight="1"/>
    <row r="55592" ht="15" customHeight="1"/>
    <row r="55593" ht="15" customHeight="1"/>
    <row r="55594" ht="15" customHeight="1"/>
    <row r="55595" ht="15" customHeight="1"/>
    <row r="55596" ht="15" customHeight="1"/>
    <row r="55597" ht="15" customHeight="1"/>
    <row r="55598" ht="15" customHeight="1"/>
    <row r="55599" ht="15" customHeight="1"/>
    <row r="55600" ht="15" customHeight="1"/>
    <row r="55601" ht="15" customHeight="1"/>
    <row r="55602" ht="15" customHeight="1"/>
    <row r="55603" ht="15" customHeight="1"/>
    <row r="55604" ht="15" customHeight="1"/>
    <row r="55605" ht="15" customHeight="1"/>
    <row r="55606" ht="15" customHeight="1"/>
    <row r="55607" ht="15" customHeight="1"/>
    <row r="55608" ht="15" customHeight="1"/>
    <row r="55609" ht="15" customHeight="1"/>
    <row r="55610" ht="15" customHeight="1"/>
    <row r="55611" ht="15" customHeight="1"/>
    <row r="55612" ht="15" customHeight="1"/>
    <row r="55613" ht="15" customHeight="1"/>
    <row r="55614" ht="15" customHeight="1"/>
    <row r="55615" ht="15" customHeight="1"/>
    <row r="55616" ht="15" customHeight="1"/>
    <row r="55617" ht="15" customHeight="1"/>
    <row r="55618" ht="15" customHeight="1"/>
    <row r="55619" ht="15" customHeight="1"/>
    <row r="55620" ht="15" customHeight="1"/>
    <row r="55621" ht="15" customHeight="1"/>
    <row r="55622" ht="15" customHeight="1"/>
    <row r="55623" ht="15" customHeight="1"/>
    <row r="55624" ht="15" customHeight="1"/>
    <row r="55625" ht="15" customHeight="1"/>
    <row r="55626" ht="15" customHeight="1"/>
    <row r="55627" ht="15" customHeight="1"/>
    <row r="55628" ht="15" customHeight="1"/>
    <row r="55629" ht="15" customHeight="1"/>
    <row r="55630" ht="15" customHeight="1"/>
    <row r="55631" ht="15" customHeight="1"/>
    <row r="55632" ht="15" customHeight="1"/>
    <row r="55633" ht="15" customHeight="1"/>
    <row r="55634" ht="15" customHeight="1"/>
    <row r="55635" ht="15" customHeight="1"/>
    <row r="55636" ht="15" customHeight="1"/>
    <row r="55637" ht="15" customHeight="1"/>
    <row r="55638" ht="15" customHeight="1"/>
    <row r="55639" ht="15" customHeight="1"/>
    <row r="55640" ht="15" customHeight="1"/>
    <row r="55641" ht="15" customHeight="1"/>
    <row r="55642" ht="15" customHeight="1"/>
    <row r="55643" ht="15" customHeight="1"/>
    <row r="55644" ht="15" customHeight="1"/>
    <row r="55645" ht="15" customHeight="1"/>
    <row r="55646" ht="15" customHeight="1"/>
    <row r="55647" ht="15" customHeight="1"/>
    <row r="55648" ht="15" customHeight="1"/>
    <row r="55649" ht="15" customHeight="1"/>
    <row r="55650" ht="15" customHeight="1"/>
    <row r="55651" ht="15" customHeight="1"/>
    <row r="55652" ht="15" customHeight="1"/>
    <row r="55653" ht="15" customHeight="1"/>
    <row r="55654" ht="15" customHeight="1"/>
    <row r="55655" ht="15" customHeight="1"/>
    <row r="55656" ht="15" customHeight="1"/>
    <row r="55657" ht="15" customHeight="1"/>
    <row r="55658" ht="15" customHeight="1"/>
    <row r="55659" ht="15" customHeight="1"/>
    <row r="55660" ht="15" customHeight="1"/>
    <row r="55661" ht="15" customHeight="1"/>
    <row r="55662" ht="15" customHeight="1"/>
    <row r="55663" ht="15" customHeight="1"/>
    <row r="55664" ht="15" customHeight="1"/>
    <row r="55665" ht="15" customHeight="1"/>
    <row r="55666" ht="15" customHeight="1"/>
    <row r="55667" ht="15" customHeight="1"/>
    <row r="55668" ht="15" customHeight="1"/>
    <row r="55669" ht="15" customHeight="1"/>
    <row r="55670" ht="15" customHeight="1"/>
    <row r="55671" ht="15" customHeight="1"/>
    <row r="55672" ht="15" customHeight="1"/>
    <row r="55673" ht="15" customHeight="1"/>
    <row r="55674" ht="15" customHeight="1"/>
    <row r="55675" ht="15" customHeight="1"/>
    <row r="55676" ht="15" customHeight="1"/>
    <row r="55677" ht="15" customHeight="1"/>
    <row r="55678" ht="15" customHeight="1"/>
    <row r="55679" ht="15" customHeight="1"/>
    <row r="55680" ht="15" customHeight="1"/>
    <row r="55681" ht="15" customHeight="1"/>
    <row r="55682" ht="15" customHeight="1"/>
    <row r="55683" ht="15" customHeight="1"/>
    <row r="55684" ht="15" customHeight="1"/>
    <row r="55685" ht="15" customHeight="1"/>
    <row r="55686" ht="15" customHeight="1"/>
    <row r="55687" ht="15" customHeight="1"/>
    <row r="55688" ht="15" customHeight="1"/>
    <row r="55689" ht="15" customHeight="1"/>
    <row r="55690" ht="15" customHeight="1"/>
    <row r="55691" ht="15" customHeight="1"/>
    <row r="55692" ht="15" customHeight="1"/>
    <row r="55693" ht="15" customHeight="1"/>
    <row r="55694" ht="15" customHeight="1"/>
    <row r="55695" ht="15" customHeight="1"/>
    <row r="55696" ht="15" customHeight="1"/>
    <row r="55697" ht="15" customHeight="1"/>
    <row r="55698" ht="15" customHeight="1"/>
    <row r="55699" ht="15" customHeight="1"/>
    <row r="55700" ht="15" customHeight="1"/>
    <row r="55701" ht="15" customHeight="1"/>
    <row r="55702" ht="15" customHeight="1"/>
    <row r="55703" ht="15" customHeight="1"/>
    <row r="55704" ht="15" customHeight="1"/>
    <row r="55705" ht="15" customHeight="1"/>
    <row r="55706" ht="15" customHeight="1"/>
    <row r="55707" ht="15" customHeight="1"/>
    <row r="55708" ht="15" customHeight="1"/>
    <row r="55709" ht="15" customHeight="1"/>
    <row r="55710" ht="15" customHeight="1"/>
    <row r="55711" ht="15" customHeight="1"/>
    <row r="55712" ht="15" customHeight="1"/>
    <row r="55713" ht="15" customHeight="1"/>
    <row r="55714" ht="15" customHeight="1"/>
    <row r="55715" ht="15" customHeight="1"/>
    <row r="55716" ht="15" customHeight="1"/>
    <row r="55717" ht="15" customHeight="1"/>
    <row r="55718" ht="15" customHeight="1"/>
    <row r="55719" ht="15" customHeight="1"/>
    <row r="55720" ht="15" customHeight="1"/>
    <row r="55721" ht="15" customHeight="1"/>
    <row r="55722" ht="15" customHeight="1"/>
    <row r="55723" ht="15" customHeight="1"/>
    <row r="55724" ht="15" customHeight="1"/>
    <row r="55725" ht="15" customHeight="1"/>
    <row r="55726" ht="15" customHeight="1"/>
    <row r="55727" ht="15" customHeight="1"/>
    <row r="55728" ht="15" customHeight="1"/>
    <row r="55729" ht="15" customHeight="1"/>
    <row r="55730" ht="15" customHeight="1"/>
    <row r="55731" ht="15" customHeight="1"/>
    <row r="55732" ht="15" customHeight="1"/>
    <row r="55733" ht="15" customHeight="1"/>
    <row r="55734" ht="15" customHeight="1"/>
    <row r="55735" ht="15" customHeight="1"/>
    <row r="55736" ht="15" customHeight="1"/>
    <row r="55737" ht="15" customHeight="1"/>
    <row r="55738" ht="15" customHeight="1"/>
    <row r="55739" ht="15" customHeight="1"/>
    <row r="55740" ht="15" customHeight="1"/>
    <row r="55741" ht="15" customHeight="1"/>
    <row r="55742" ht="15" customHeight="1"/>
    <row r="55743" ht="15" customHeight="1"/>
    <row r="55744" ht="15" customHeight="1"/>
    <row r="55745" ht="15" customHeight="1"/>
    <row r="55746" ht="15" customHeight="1"/>
    <row r="55747" ht="15" customHeight="1"/>
    <row r="55748" ht="15" customHeight="1"/>
    <row r="55749" ht="15" customHeight="1"/>
    <row r="55750" ht="15" customHeight="1"/>
    <row r="55751" ht="15" customHeight="1"/>
    <row r="55752" ht="15" customHeight="1"/>
    <row r="55753" ht="15" customHeight="1"/>
    <row r="55754" ht="15" customHeight="1"/>
    <row r="55755" ht="15" customHeight="1"/>
    <row r="55756" ht="15" customHeight="1"/>
    <row r="55757" ht="15" customHeight="1"/>
    <row r="55758" ht="15" customHeight="1"/>
    <row r="55759" ht="15" customHeight="1"/>
    <row r="55760" ht="15" customHeight="1"/>
    <row r="55761" ht="15" customHeight="1"/>
    <row r="55762" ht="15" customHeight="1"/>
    <row r="55763" ht="15" customHeight="1"/>
    <row r="55764" ht="15" customHeight="1"/>
    <row r="55765" ht="15" customHeight="1"/>
    <row r="55766" ht="15" customHeight="1"/>
    <row r="55767" ht="15" customHeight="1"/>
    <row r="55768" ht="15" customHeight="1"/>
    <row r="55769" ht="15" customHeight="1"/>
    <row r="55770" ht="15" customHeight="1"/>
    <row r="55771" ht="15" customHeight="1"/>
    <row r="55772" ht="15" customHeight="1"/>
    <row r="55773" ht="15" customHeight="1"/>
    <row r="55774" ht="15" customHeight="1"/>
    <row r="55775" ht="15" customHeight="1"/>
    <row r="55776" ht="15" customHeight="1"/>
    <row r="55777" ht="15" customHeight="1"/>
    <row r="55778" ht="15" customHeight="1"/>
    <row r="55779" ht="15" customHeight="1"/>
    <row r="55780" ht="15" customHeight="1"/>
    <row r="55781" ht="15" customHeight="1"/>
    <row r="55782" ht="15" customHeight="1"/>
    <row r="55783" ht="15" customHeight="1"/>
    <row r="55784" ht="15" customHeight="1"/>
    <row r="55785" ht="15" customHeight="1"/>
    <row r="55786" ht="15" customHeight="1"/>
    <row r="55787" ht="15" customHeight="1"/>
    <row r="55788" ht="15" customHeight="1"/>
    <row r="55789" ht="15" customHeight="1"/>
    <row r="55790" ht="15" customHeight="1"/>
    <row r="55791" ht="15" customHeight="1"/>
    <row r="55792" ht="15" customHeight="1"/>
    <row r="55793" ht="15" customHeight="1"/>
    <row r="55794" ht="15" customHeight="1"/>
    <row r="55795" ht="15" customHeight="1"/>
    <row r="55796" ht="15" customHeight="1"/>
    <row r="55797" ht="15" customHeight="1"/>
    <row r="55798" ht="15" customHeight="1"/>
    <row r="55799" ht="15" customHeight="1"/>
    <row r="55800" ht="15" customHeight="1"/>
    <row r="55801" ht="15" customHeight="1"/>
    <row r="55802" ht="15" customHeight="1"/>
    <row r="55803" ht="15" customHeight="1"/>
    <row r="55804" ht="15" customHeight="1"/>
    <row r="55805" ht="15" customHeight="1"/>
    <row r="55806" ht="15" customHeight="1"/>
    <row r="55807" ht="15" customHeight="1"/>
    <row r="55808" ht="15" customHeight="1"/>
    <row r="55809" ht="15" customHeight="1"/>
    <row r="55810" ht="15" customHeight="1"/>
    <row r="55811" ht="15" customHeight="1"/>
    <row r="55812" ht="15" customHeight="1"/>
    <row r="55813" ht="15" customHeight="1"/>
    <row r="55814" ht="15" customHeight="1"/>
    <row r="55815" ht="15" customHeight="1"/>
    <row r="55816" ht="15" customHeight="1"/>
    <row r="55817" ht="15" customHeight="1"/>
    <row r="55818" ht="15" customHeight="1"/>
    <row r="55819" ht="15" customHeight="1"/>
    <row r="55820" ht="15" customHeight="1"/>
    <row r="55821" ht="15" customHeight="1"/>
    <row r="55822" ht="15" customHeight="1"/>
    <row r="55823" ht="15" customHeight="1"/>
    <row r="55824" ht="15" customHeight="1"/>
    <row r="55825" ht="15" customHeight="1"/>
    <row r="55826" ht="15" customHeight="1"/>
    <row r="55827" ht="15" customHeight="1"/>
    <row r="55828" ht="15" customHeight="1"/>
    <row r="55829" ht="15" customHeight="1"/>
    <row r="55830" ht="15" customHeight="1"/>
    <row r="55831" ht="15" customHeight="1"/>
    <row r="55832" ht="15" customHeight="1"/>
    <row r="55833" ht="15" customHeight="1"/>
    <row r="55834" ht="15" customHeight="1"/>
    <row r="55835" ht="15" customHeight="1"/>
    <row r="55836" ht="15" customHeight="1"/>
    <row r="55837" ht="15" customHeight="1"/>
    <row r="55838" ht="15" customHeight="1"/>
    <row r="55839" ht="15" customHeight="1"/>
    <row r="55840" ht="15" customHeight="1"/>
    <row r="55841" ht="15" customHeight="1"/>
    <row r="55842" ht="15" customHeight="1"/>
    <row r="55843" ht="15" customHeight="1"/>
    <row r="55844" ht="15" customHeight="1"/>
    <row r="55845" ht="15" customHeight="1"/>
    <row r="55846" ht="15" customHeight="1"/>
    <row r="55847" ht="15" customHeight="1"/>
    <row r="55848" ht="15" customHeight="1"/>
    <row r="55849" ht="15" customHeight="1"/>
    <row r="55850" ht="15" customHeight="1"/>
    <row r="55851" ht="15" customHeight="1"/>
    <row r="55852" ht="15" customHeight="1"/>
    <row r="55853" ht="15" customHeight="1"/>
    <row r="55854" ht="15" customHeight="1"/>
    <row r="55855" ht="15" customHeight="1"/>
    <row r="55856" ht="15" customHeight="1"/>
    <row r="55857" ht="15" customHeight="1"/>
    <row r="55858" ht="15" customHeight="1"/>
    <row r="55859" ht="15" customHeight="1"/>
    <row r="55860" ht="15" customHeight="1"/>
    <row r="55861" ht="15" customHeight="1"/>
    <row r="55862" ht="15" customHeight="1"/>
    <row r="55863" ht="15" customHeight="1"/>
    <row r="55864" ht="15" customHeight="1"/>
    <row r="55865" ht="15" customHeight="1"/>
    <row r="55866" ht="15" customHeight="1"/>
    <row r="55867" ht="15" customHeight="1"/>
    <row r="55868" ht="15" customHeight="1"/>
    <row r="55869" ht="15" customHeight="1"/>
    <row r="55870" ht="15" customHeight="1"/>
    <row r="55871" ht="15" customHeight="1"/>
    <row r="55872" ht="15" customHeight="1"/>
    <row r="55873" ht="15" customHeight="1"/>
    <row r="55874" ht="15" customHeight="1"/>
    <row r="55875" ht="15" customHeight="1"/>
    <row r="55876" ht="15" customHeight="1"/>
    <row r="55877" ht="15" customHeight="1"/>
    <row r="55878" ht="15" customHeight="1"/>
    <row r="55879" ht="15" customHeight="1"/>
    <row r="55880" ht="15" customHeight="1"/>
    <row r="55881" ht="15" customHeight="1"/>
    <row r="55882" ht="15" customHeight="1"/>
    <row r="55883" ht="15" customHeight="1"/>
    <row r="55884" ht="15" customHeight="1"/>
    <row r="55885" ht="15" customHeight="1"/>
    <row r="55886" ht="15" customHeight="1"/>
    <row r="55887" ht="15" customHeight="1"/>
    <row r="55888" ht="15" customHeight="1"/>
    <row r="55889" ht="15" customHeight="1"/>
    <row r="55890" ht="15" customHeight="1"/>
    <row r="55891" ht="15" customHeight="1"/>
    <row r="55892" ht="15" customHeight="1"/>
    <row r="55893" ht="15" customHeight="1"/>
    <row r="55894" ht="15" customHeight="1"/>
    <row r="55895" ht="15" customHeight="1"/>
    <row r="55896" ht="15" customHeight="1"/>
    <row r="55897" ht="15" customHeight="1"/>
    <row r="55898" ht="15" customHeight="1"/>
    <row r="55899" ht="15" customHeight="1"/>
    <row r="55900" ht="15" customHeight="1"/>
    <row r="55901" ht="15" customHeight="1"/>
    <row r="55902" ht="15" customHeight="1"/>
    <row r="55903" ht="15" customHeight="1"/>
    <row r="55904" ht="15" customHeight="1"/>
    <row r="55905" ht="15" customHeight="1"/>
    <row r="55906" ht="15" customHeight="1"/>
    <row r="55907" ht="15" customHeight="1"/>
    <row r="55908" ht="15" customHeight="1"/>
    <row r="55909" ht="15" customHeight="1"/>
    <row r="55910" ht="15" customHeight="1"/>
    <row r="55911" ht="15" customHeight="1"/>
    <row r="55912" ht="15" customHeight="1"/>
    <row r="55913" ht="15" customHeight="1"/>
    <row r="55914" ht="15" customHeight="1"/>
    <row r="55915" ht="15" customHeight="1"/>
    <row r="55916" ht="15" customHeight="1"/>
    <row r="55917" ht="15" customHeight="1"/>
    <row r="55918" ht="15" customHeight="1"/>
    <row r="55919" ht="15" customHeight="1"/>
    <row r="55920" ht="15" customHeight="1"/>
    <row r="55921" ht="15" customHeight="1"/>
    <row r="55922" ht="15" customHeight="1"/>
    <row r="55923" ht="15" customHeight="1"/>
    <row r="55924" ht="15" customHeight="1"/>
    <row r="55925" ht="15" customHeight="1"/>
    <row r="55926" ht="15" customHeight="1"/>
    <row r="55927" ht="15" customHeight="1"/>
    <row r="55928" ht="15" customHeight="1"/>
    <row r="55929" ht="15" customHeight="1"/>
    <row r="55930" ht="15" customHeight="1"/>
    <row r="55931" ht="15" customHeight="1"/>
    <row r="55932" ht="15" customHeight="1"/>
    <row r="55933" ht="15" customHeight="1"/>
    <row r="55934" ht="15" customHeight="1"/>
    <row r="55935" ht="15" customHeight="1"/>
    <row r="55936" ht="15" customHeight="1"/>
    <row r="55937" ht="15" customHeight="1"/>
    <row r="55938" ht="15" customHeight="1"/>
    <row r="55939" ht="15" customHeight="1"/>
    <row r="55940" ht="15" customHeight="1"/>
    <row r="55941" ht="15" customHeight="1"/>
    <row r="55942" ht="15" customHeight="1"/>
    <row r="55943" ht="15" customHeight="1"/>
    <row r="55944" ht="15" customHeight="1"/>
    <row r="55945" ht="15" customHeight="1"/>
    <row r="55946" ht="15" customHeight="1"/>
    <row r="55947" ht="15" customHeight="1"/>
    <row r="55948" ht="15" customHeight="1"/>
    <row r="55949" ht="15" customHeight="1"/>
    <row r="55950" ht="15" customHeight="1"/>
    <row r="55951" ht="15" customHeight="1"/>
    <row r="55952" ht="15" customHeight="1"/>
    <row r="55953" ht="15" customHeight="1"/>
    <row r="55954" ht="15" customHeight="1"/>
    <row r="55955" ht="15" customHeight="1"/>
    <row r="55956" ht="15" customHeight="1"/>
    <row r="55957" ht="15" customHeight="1"/>
    <row r="55958" ht="15" customHeight="1"/>
    <row r="55959" ht="15" customHeight="1"/>
    <row r="55960" ht="15" customHeight="1"/>
    <row r="55961" ht="15" customHeight="1"/>
    <row r="55962" ht="15" customHeight="1"/>
    <row r="55963" ht="15" customHeight="1"/>
    <row r="55964" ht="15" customHeight="1"/>
    <row r="55965" ht="15" customHeight="1"/>
    <row r="55966" ht="15" customHeight="1"/>
    <row r="55967" ht="15" customHeight="1"/>
    <row r="55968" ht="15" customHeight="1"/>
    <row r="55969" ht="15" customHeight="1"/>
    <row r="55970" ht="15" customHeight="1"/>
    <row r="55971" ht="15" customHeight="1"/>
    <row r="55972" ht="15" customHeight="1"/>
    <row r="55973" ht="15" customHeight="1"/>
    <row r="55974" ht="15" customHeight="1"/>
    <row r="55975" ht="15" customHeight="1"/>
    <row r="55976" ht="15" customHeight="1"/>
    <row r="55977" ht="15" customHeight="1"/>
    <row r="55978" ht="15" customHeight="1"/>
    <row r="55979" ht="15" customHeight="1"/>
    <row r="55980" ht="15" customHeight="1"/>
    <row r="55981" ht="15" customHeight="1"/>
    <row r="55982" ht="15" customHeight="1"/>
    <row r="55983" ht="15" customHeight="1"/>
    <row r="55984" ht="15" customHeight="1"/>
    <row r="55985" ht="15" customHeight="1"/>
    <row r="55986" ht="15" customHeight="1"/>
    <row r="55987" ht="15" customHeight="1"/>
    <row r="55988" ht="15" customHeight="1"/>
    <row r="55989" ht="15" customHeight="1"/>
    <row r="55990" ht="15" customHeight="1"/>
    <row r="55991" ht="15" customHeight="1"/>
    <row r="55992" ht="15" customHeight="1"/>
    <row r="55993" ht="15" customHeight="1"/>
    <row r="55994" ht="15" customHeight="1"/>
    <row r="55995" ht="15" customHeight="1"/>
    <row r="55996" ht="15" customHeight="1"/>
    <row r="55997" ht="15" customHeight="1"/>
    <row r="55998" ht="15" customHeight="1"/>
    <row r="55999" ht="15" customHeight="1"/>
    <row r="56000" ht="15" customHeight="1"/>
    <row r="56001" ht="15" customHeight="1"/>
    <row r="56002" ht="15" customHeight="1"/>
    <row r="56003" ht="15" customHeight="1"/>
    <row r="56004" ht="15" customHeight="1"/>
    <row r="56005" ht="15" customHeight="1"/>
    <row r="56006" ht="15" customHeight="1"/>
    <row r="56007" ht="15" customHeight="1"/>
    <row r="56008" ht="15" customHeight="1"/>
    <row r="56009" ht="15" customHeight="1"/>
    <row r="56010" ht="15" customHeight="1"/>
    <row r="56011" ht="15" customHeight="1"/>
    <row r="56012" ht="15" customHeight="1"/>
    <row r="56013" ht="15" customHeight="1"/>
    <row r="56014" ht="15" customHeight="1"/>
    <row r="56015" ht="15" customHeight="1"/>
    <row r="56016" ht="15" customHeight="1"/>
    <row r="56017" ht="15" customHeight="1"/>
    <row r="56018" ht="15" customHeight="1"/>
    <row r="56019" ht="15" customHeight="1"/>
    <row r="56020" ht="15" customHeight="1"/>
    <row r="56021" ht="15" customHeight="1"/>
    <row r="56022" ht="15" customHeight="1"/>
    <row r="56023" ht="15" customHeight="1"/>
    <row r="56024" ht="15" customHeight="1"/>
    <row r="56025" ht="15" customHeight="1"/>
    <row r="56026" ht="15" customHeight="1"/>
    <row r="56027" ht="15" customHeight="1"/>
    <row r="56028" ht="15" customHeight="1"/>
    <row r="56029" ht="15" customHeight="1"/>
    <row r="56030" ht="15" customHeight="1"/>
    <row r="56031" ht="15" customHeight="1"/>
    <row r="56032" ht="15" customHeight="1"/>
    <row r="56033" ht="15" customHeight="1"/>
    <row r="56034" ht="15" customHeight="1"/>
    <row r="56035" ht="15" customHeight="1"/>
    <row r="56036" ht="15" customHeight="1"/>
    <row r="56037" ht="15" customHeight="1"/>
    <row r="56038" ht="15" customHeight="1"/>
    <row r="56039" ht="15" customHeight="1"/>
    <row r="56040" ht="15" customHeight="1"/>
    <row r="56041" ht="15" customHeight="1"/>
    <row r="56042" ht="15" customHeight="1"/>
    <row r="56043" ht="15" customHeight="1"/>
    <row r="56044" ht="15" customHeight="1"/>
    <row r="56045" ht="15" customHeight="1"/>
    <row r="56046" ht="15" customHeight="1"/>
    <row r="56047" ht="15" customHeight="1"/>
    <row r="56048" ht="15" customHeight="1"/>
    <row r="56049" ht="15" customHeight="1"/>
    <row r="56050" ht="15" customHeight="1"/>
    <row r="56051" ht="15" customHeight="1"/>
    <row r="56052" ht="15" customHeight="1"/>
    <row r="56053" ht="15" customHeight="1"/>
    <row r="56054" ht="15" customHeight="1"/>
    <row r="56055" ht="15" customHeight="1"/>
    <row r="56056" ht="15" customHeight="1"/>
    <row r="56057" ht="15" customHeight="1"/>
    <row r="56058" ht="15" customHeight="1"/>
    <row r="56059" ht="15" customHeight="1"/>
    <row r="56060" ht="15" customHeight="1"/>
    <row r="56061" ht="15" customHeight="1"/>
    <row r="56062" ht="15" customHeight="1"/>
    <row r="56063" ht="15" customHeight="1"/>
    <row r="56064" ht="15" customHeight="1"/>
    <row r="56065" ht="15" customHeight="1"/>
    <row r="56066" ht="15" customHeight="1"/>
    <row r="56067" ht="15" customHeight="1"/>
    <row r="56068" ht="15" customHeight="1"/>
    <row r="56069" ht="15" customHeight="1"/>
    <row r="56070" ht="15" customHeight="1"/>
    <row r="56071" ht="15" customHeight="1"/>
    <row r="56072" ht="15" customHeight="1"/>
    <row r="56073" ht="15" customHeight="1"/>
    <row r="56074" ht="15" customHeight="1"/>
    <row r="56075" ht="15" customHeight="1"/>
    <row r="56076" ht="15" customHeight="1"/>
    <row r="56077" ht="15" customHeight="1"/>
    <row r="56078" ht="15" customHeight="1"/>
    <row r="56079" ht="15" customHeight="1"/>
    <row r="56080" ht="15" customHeight="1"/>
    <row r="56081" ht="15" customHeight="1"/>
    <row r="56082" ht="15" customHeight="1"/>
    <row r="56083" ht="15" customHeight="1"/>
    <row r="56084" ht="15" customHeight="1"/>
    <row r="56085" ht="15" customHeight="1"/>
    <row r="56086" ht="15" customHeight="1"/>
    <row r="56087" ht="15" customHeight="1"/>
    <row r="56088" ht="15" customHeight="1"/>
    <row r="56089" ht="15" customHeight="1"/>
    <row r="56090" ht="15" customHeight="1"/>
    <row r="56091" ht="15" customHeight="1"/>
    <row r="56092" ht="15" customHeight="1"/>
    <row r="56093" ht="15" customHeight="1"/>
    <row r="56094" ht="15" customHeight="1"/>
    <row r="56095" ht="15" customHeight="1"/>
    <row r="56096" ht="15" customHeight="1"/>
    <row r="56097" ht="15" customHeight="1"/>
    <row r="56098" ht="15" customHeight="1"/>
    <row r="56099" ht="15" customHeight="1"/>
    <row r="56100" ht="15" customHeight="1"/>
    <row r="56101" ht="15" customHeight="1"/>
    <row r="56102" ht="15" customHeight="1"/>
    <row r="56103" ht="15" customHeight="1"/>
    <row r="56104" ht="15" customHeight="1"/>
    <row r="56105" ht="15" customHeight="1"/>
    <row r="56106" ht="15" customHeight="1"/>
    <row r="56107" ht="15" customHeight="1"/>
    <row r="56108" ht="15" customHeight="1"/>
    <row r="56109" ht="15" customHeight="1"/>
    <row r="56110" ht="15" customHeight="1"/>
    <row r="56111" ht="15" customHeight="1"/>
    <row r="56112" ht="15" customHeight="1"/>
    <row r="56113" ht="15" customHeight="1"/>
    <row r="56114" ht="15" customHeight="1"/>
    <row r="56115" ht="15" customHeight="1"/>
    <row r="56116" ht="15" customHeight="1"/>
    <row r="56117" ht="15" customHeight="1"/>
    <row r="56118" ht="15" customHeight="1"/>
    <row r="56119" ht="15" customHeight="1"/>
    <row r="56120" ht="15" customHeight="1"/>
    <row r="56121" ht="15" customHeight="1"/>
    <row r="56122" ht="15" customHeight="1"/>
    <row r="56123" ht="15" customHeight="1"/>
    <row r="56124" ht="15" customHeight="1"/>
    <row r="56125" ht="15" customHeight="1"/>
    <row r="56126" ht="15" customHeight="1"/>
    <row r="56127" ht="15" customHeight="1"/>
    <row r="56128" ht="15" customHeight="1"/>
    <row r="56129" ht="15" customHeight="1"/>
    <row r="56130" ht="15" customHeight="1"/>
    <row r="56131" ht="15" customHeight="1"/>
    <row r="56132" ht="15" customHeight="1"/>
    <row r="56133" ht="15" customHeight="1"/>
    <row r="56134" ht="15" customHeight="1"/>
    <row r="56135" ht="15" customHeight="1"/>
    <row r="56136" ht="15" customHeight="1"/>
    <row r="56137" ht="15" customHeight="1"/>
    <row r="56138" ht="15" customHeight="1"/>
    <row r="56139" ht="15" customHeight="1"/>
    <row r="56140" ht="15" customHeight="1"/>
    <row r="56141" ht="15" customHeight="1"/>
    <row r="56142" ht="15" customHeight="1"/>
    <row r="56143" ht="15" customHeight="1"/>
    <row r="56144" ht="15" customHeight="1"/>
    <row r="56145" ht="15" customHeight="1"/>
    <row r="56146" ht="15" customHeight="1"/>
    <row r="56147" ht="15" customHeight="1"/>
    <row r="56148" ht="15" customHeight="1"/>
    <row r="56149" ht="15" customHeight="1"/>
    <row r="56150" ht="15" customHeight="1"/>
    <row r="56151" ht="15" customHeight="1"/>
    <row r="56152" ht="15" customHeight="1"/>
    <row r="56153" ht="15" customHeight="1"/>
    <row r="56154" ht="15" customHeight="1"/>
    <row r="56155" ht="15" customHeight="1"/>
    <row r="56156" ht="15" customHeight="1"/>
    <row r="56157" ht="15" customHeight="1"/>
    <row r="56158" ht="15" customHeight="1"/>
    <row r="56159" ht="15" customHeight="1"/>
    <row r="56160" ht="15" customHeight="1"/>
    <row r="56161" ht="15" customHeight="1"/>
    <row r="56162" ht="15" customHeight="1"/>
    <row r="56163" ht="15" customHeight="1"/>
    <row r="56164" ht="15" customHeight="1"/>
    <row r="56165" ht="15" customHeight="1"/>
    <row r="56166" ht="15" customHeight="1"/>
    <row r="56167" ht="15" customHeight="1"/>
    <row r="56168" ht="15" customHeight="1"/>
    <row r="56169" ht="15" customHeight="1"/>
    <row r="56170" ht="15" customHeight="1"/>
    <row r="56171" ht="15" customHeight="1"/>
    <row r="56172" ht="15" customHeight="1"/>
    <row r="56173" ht="15" customHeight="1"/>
    <row r="56174" ht="15" customHeight="1"/>
    <row r="56175" ht="15" customHeight="1"/>
    <row r="56176" ht="15" customHeight="1"/>
    <row r="56177" ht="15" customHeight="1"/>
    <row r="56178" ht="15" customHeight="1"/>
    <row r="56179" ht="15" customHeight="1"/>
    <row r="56180" ht="15" customHeight="1"/>
    <row r="56181" ht="15" customHeight="1"/>
    <row r="56182" ht="15" customHeight="1"/>
    <row r="56183" ht="15" customHeight="1"/>
    <row r="56184" ht="15" customHeight="1"/>
    <row r="56185" ht="15" customHeight="1"/>
    <row r="56186" ht="15" customHeight="1"/>
    <row r="56187" ht="15" customHeight="1"/>
    <row r="56188" ht="15" customHeight="1"/>
    <row r="56189" ht="15" customHeight="1"/>
    <row r="56190" ht="15" customHeight="1"/>
    <row r="56191" ht="15" customHeight="1"/>
    <row r="56192" ht="15" customHeight="1"/>
    <row r="56193" ht="15" customHeight="1"/>
    <row r="56194" ht="15" customHeight="1"/>
    <row r="56195" ht="15" customHeight="1"/>
    <row r="56196" ht="15" customHeight="1"/>
    <row r="56197" ht="15" customHeight="1"/>
    <row r="56198" ht="15" customHeight="1"/>
    <row r="56199" ht="15" customHeight="1"/>
    <row r="56200" ht="15" customHeight="1"/>
    <row r="56201" ht="15" customHeight="1"/>
    <row r="56202" ht="15" customHeight="1"/>
    <row r="56203" ht="15" customHeight="1"/>
    <row r="56204" ht="15" customHeight="1"/>
    <row r="56205" ht="15" customHeight="1"/>
    <row r="56206" ht="15" customHeight="1"/>
    <row r="56207" ht="15" customHeight="1"/>
    <row r="56208" ht="15" customHeight="1"/>
    <row r="56209" ht="15" customHeight="1"/>
    <row r="56210" ht="15" customHeight="1"/>
    <row r="56211" ht="15" customHeight="1"/>
    <row r="56212" ht="15" customHeight="1"/>
    <row r="56213" ht="15" customHeight="1"/>
    <row r="56214" ht="15" customHeight="1"/>
    <row r="56215" ht="15" customHeight="1"/>
    <row r="56216" ht="15" customHeight="1"/>
    <row r="56217" ht="15" customHeight="1"/>
    <row r="56218" ht="15" customHeight="1"/>
    <row r="56219" ht="15" customHeight="1"/>
    <row r="56220" ht="15" customHeight="1"/>
    <row r="56221" ht="15" customHeight="1"/>
    <row r="56222" ht="15" customHeight="1"/>
    <row r="56223" ht="15" customHeight="1"/>
    <row r="56224" ht="15" customHeight="1"/>
    <row r="56225" ht="15" customHeight="1"/>
    <row r="56226" ht="15" customHeight="1"/>
    <row r="56227" ht="15" customHeight="1"/>
    <row r="56228" ht="15" customHeight="1"/>
    <row r="56229" ht="15" customHeight="1"/>
    <row r="56230" ht="15" customHeight="1"/>
    <row r="56231" ht="15" customHeight="1"/>
    <row r="56232" ht="15" customHeight="1"/>
    <row r="56233" ht="15" customHeight="1"/>
    <row r="56234" ht="15" customHeight="1"/>
    <row r="56235" ht="15" customHeight="1"/>
    <row r="56236" ht="15" customHeight="1"/>
    <row r="56237" ht="15" customHeight="1"/>
    <row r="56238" ht="15" customHeight="1"/>
    <row r="56239" ht="15" customHeight="1"/>
    <row r="56240" ht="15" customHeight="1"/>
    <row r="56241" ht="15" customHeight="1"/>
    <row r="56242" ht="15" customHeight="1"/>
    <row r="56243" ht="15" customHeight="1"/>
    <row r="56244" ht="15" customHeight="1"/>
    <row r="56245" ht="15" customHeight="1"/>
    <row r="56246" ht="15" customHeight="1"/>
    <row r="56247" ht="15" customHeight="1"/>
    <row r="56248" ht="15" customHeight="1"/>
    <row r="56249" ht="15" customHeight="1"/>
    <row r="56250" ht="15" customHeight="1"/>
    <row r="56251" ht="15" customHeight="1"/>
    <row r="56252" ht="15" customHeight="1"/>
    <row r="56253" ht="15" customHeight="1"/>
    <row r="56254" ht="15" customHeight="1"/>
    <row r="56255" ht="15" customHeight="1"/>
    <row r="56256" ht="15" customHeight="1"/>
    <row r="56257" ht="15" customHeight="1"/>
    <row r="56258" ht="15" customHeight="1"/>
    <row r="56259" ht="15" customHeight="1"/>
    <row r="56260" ht="15" customHeight="1"/>
    <row r="56261" ht="15" customHeight="1"/>
    <row r="56262" ht="15" customHeight="1"/>
    <row r="56263" ht="15" customHeight="1"/>
    <row r="56264" ht="15" customHeight="1"/>
    <row r="56265" ht="15" customHeight="1"/>
    <row r="56266" ht="15" customHeight="1"/>
    <row r="56267" ht="15" customHeight="1"/>
    <row r="56268" ht="15" customHeight="1"/>
    <row r="56269" ht="15" customHeight="1"/>
    <row r="56270" ht="15" customHeight="1"/>
    <row r="56271" ht="15" customHeight="1"/>
    <row r="56272" ht="15" customHeight="1"/>
    <row r="56273" ht="15" customHeight="1"/>
    <row r="56274" ht="15" customHeight="1"/>
    <row r="56275" ht="15" customHeight="1"/>
    <row r="56276" ht="15" customHeight="1"/>
    <row r="56277" ht="15" customHeight="1"/>
    <row r="56278" ht="15" customHeight="1"/>
    <row r="56279" ht="15" customHeight="1"/>
    <row r="56280" ht="15" customHeight="1"/>
    <row r="56281" ht="15" customHeight="1"/>
    <row r="56282" ht="15" customHeight="1"/>
    <row r="56283" ht="15" customHeight="1"/>
    <row r="56284" ht="15" customHeight="1"/>
    <row r="56285" ht="15" customHeight="1"/>
    <row r="56286" ht="15" customHeight="1"/>
    <row r="56287" ht="15" customHeight="1"/>
    <row r="56288" ht="15" customHeight="1"/>
    <row r="56289" ht="15" customHeight="1"/>
    <row r="56290" ht="15" customHeight="1"/>
    <row r="56291" ht="15" customHeight="1"/>
    <row r="56292" ht="15" customHeight="1"/>
    <row r="56293" ht="15" customHeight="1"/>
    <row r="56294" ht="15" customHeight="1"/>
    <row r="56295" ht="15" customHeight="1"/>
    <row r="56296" ht="15" customHeight="1"/>
    <row r="56297" ht="15" customHeight="1"/>
    <row r="56298" ht="15" customHeight="1"/>
    <row r="56299" ht="15" customHeight="1"/>
    <row r="56300" ht="15" customHeight="1"/>
    <row r="56301" ht="15" customHeight="1"/>
    <row r="56302" ht="15" customHeight="1"/>
    <row r="56303" ht="15" customHeight="1"/>
    <row r="56304" ht="15" customHeight="1"/>
    <row r="56305" ht="15" customHeight="1"/>
    <row r="56306" ht="15" customHeight="1"/>
    <row r="56307" ht="15" customHeight="1"/>
    <row r="56308" ht="15" customHeight="1"/>
    <row r="56309" ht="15" customHeight="1"/>
    <row r="56310" ht="15" customHeight="1"/>
    <row r="56311" ht="15" customHeight="1"/>
    <row r="56312" ht="15" customHeight="1"/>
    <row r="56313" ht="15" customHeight="1"/>
    <row r="56314" ht="15" customHeight="1"/>
    <row r="56315" ht="15" customHeight="1"/>
    <row r="56316" ht="15" customHeight="1"/>
    <row r="56317" ht="15" customHeight="1"/>
    <row r="56318" ht="15" customHeight="1"/>
    <row r="56319" ht="15" customHeight="1"/>
    <row r="56320" ht="15" customHeight="1"/>
    <row r="56321" ht="15" customHeight="1"/>
    <row r="56322" ht="15" customHeight="1"/>
    <row r="56323" ht="15" customHeight="1"/>
    <row r="56324" ht="15" customHeight="1"/>
    <row r="56325" ht="15" customHeight="1"/>
    <row r="56326" ht="15" customHeight="1"/>
    <row r="56327" ht="15" customHeight="1"/>
    <row r="56328" ht="15" customHeight="1"/>
    <row r="56329" ht="15" customHeight="1"/>
    <row r="56330" ht="15" customHeight="1"/>
    <row r="56331" ht="15" customHeight="1"/>
    <row r="56332" ht="15" customHeight="1"/>
    <row r="56333" ht="15" customHeight="1"/>
    <row r="56334" ht="15" customHeight="1"/>
    <row r="56335" ht="15" customHeight="1"/>
    <row r="56336" ht="15" customHeight="1"/>
    <row r="56337" ht="15" customHeight="1"/>
    <row r="56338" ht="15" customHeight="1"/>
    <row r="56339" ht="15" customHeight="1"/>
    <row r="56340" ht="15" customHeight="1"/>
    <row r="56341" ht="15" customHeight="1"/>
    <row r="56342" ht="15" customHeight="1"/>
    <row r="56343" ht="15" customHeight="1"/>
    <row r="56344" ht="15" customHeight="1"/>
    <row r="56345" ht="15" customHeight="1"/>
    <row r="56346" ht="15" customHeight="1"/>
    <row r="56347" ht="15" customHeight="1"/>
    <row r="56348" ht="15" customHeight="1"/>
    <row r="56349" ht="15" customHeight="1"/>
    <row r="56350" ht="15" customHeight="1"/>
    <row r="56351" ht="15" customHeight="1"/>
    <row r="56352" ht="15" customHeight="1"/>
    <row r="56353" ht="15" customHeight="1"/>
    <row r="56354" ht="15" customHeight="1"/>
    <row r="56355" ht="15" customHeight="1"/>
    <row r="56356" ht="15" customHeight="1"/>
    <row r="56357" ht="15" customHeight="1"/>
    <row r="56358" ht="15" customHeight="1"/>
    <row r="56359" ht="15" customHeight="1"/>
    <row r="56360" ht="15" customHeight="1"/>
    <row r="56361" ht="15" customHeight="1"/>
    <row r="56362" ht="15" customHeight="1"/>
    <row r="56363" ht="15" customHeight="1"/>
    <row r="56364" ht="15" customHeight="1"/>
    <row r="56365" ht="15" customHeight="1"/>
    <row r="56366" ht="15" customHeight="1"/>
    <row r="56367" ht="15" customHeight="1"/>
    <row r="56368" ht="15" customHeight="1"/>
    <row r="56369" ht="15" customHeight="1"/>
    <row r="56370" ht="15" customHeight="1"/>
    <row r="56371" ht="15" customHeight="1"/>
    <row r="56372" ht="15" customHeight="1"/>
    <row r="56373" ht="15" customHeight="1"/>
    <row r="56374" ht="15" customHeight="1"/>
    <row r="56375" ht="15" customHeight="1"/>
    <row r="56376" ht="15" customHeight="1"/>
    <row r="56377" ht="15" customHeight="1"/>
    <row r="56378" ht="15" customHeight="1"/>
    <row r="56379" ht="15" customHeight="1"/>
    <row r="56380" ht="15" customHeight="1"/>
    <row r="56381" ht="15" customHeight="1"/>
    <row r="56382" ht="15" customHeight="1"/>
    <row r="56383" ht="15" customHeight="1"/>
    <row r="56384" ht="15" customHeight="1"/>
    <row r="56385" ht="15" customHeight="1"/>
    <row r="56386" ht="15" customHeight="1"/>
    <row r="56387" ht="15" customHeight="1"/>
    <row r="56388" ht="15" customHeight="1"/>
    <row r="56389" ht="15" customHeight="1"/>
    <row r="56390" ht="15" customHeight="1"/>
    <row r="56391" ht="15" customHeight="1"/>
    <row r="56392" ht="15" customHeight="1"/>
    <row r="56393" ht="15" customHeight="1"/>
    <row r="56394" ht="15" customHeight="1"/>
    <row r="56395" ht="15" customHeight="1"/>
    <row r="56396" ht="15" customHeight="1"/>
    <row r="56397" ht="15" customHeight="1"/>
    <row r="56398" ht="15" customHeight="1"/>
    <row r="56399" ht="15" customHeight="1"/>
    <row r="56400" ht="15" customHeight="1"/>
    <row r="56401" ht="15" customHeight="1"/>
    <row r="56402" ht="15" customHeight="1"/>
    <row r="56403" ht="15" customHeight="1"/>
    <row r="56404" ht="15" customHeight="1"/>
    <row r="56405" ht="15" customHeight="1"/>
    <row r="56406" ht="15" customHeight="1"/>
    <row r="56407" ht="15" customHeight="1"/>
    <row r="56408" ht="15" customHeight="1"/>
    <row r="56409" ht="15" customHeight="1"/>
    <row r="56410" ht="15" customHeight="1"/>
    <row r="56411" ht="15" customHeight="1"/>
    <row r="56412" ht="15" customHeight="1"/>
    <row r="56413" ht="15" customHeight="1"/>
    <row r="56414" ht="15" customHeight="1"/>
    <row r="56415" ht="15" customHeight="1"/>
    <row r="56416" ht="15" customHeight="1"/>
    <row r="56417" ht="15" customHeight="1"/>
    <row r="56418" ht="15" customHeight="1"/>
    <row r="56419" ht="15" customHeight="1"/>
    <row r="56420" ht="15" customHeight="1"/>
    <row r="56421" ht="15" customHeight="1"/>
    <row r="56422" ht="15" customHeight="1"/>
    <row r="56423" ht="15" customHeight="1"/>
    <row r="56424" ht="15" customHeight="1"/>
    <row r="56425" ht="15" customHeight="1"/>
    <row r="56426" ht="15" customHeight="1"/>
    <row r="56427" ht="15" customHeight="1"/>
    <row r="56428" ht="15" customHeight="1"/>
    <row r="56429" ht="15" customHeight="1"/>
    <row r="56430" ht="15" customHeight="1"/>
    <row r="56431" ht="15" customHeight="1"/>
    <row r="56432" ht="15" customHeight="1"/>
    <row r="56433" ht="15" customHeight="1"/>
    <row r="56434" ht="15" customHeight="1"/>
    <row r="56435" ht="15" customHeight="1"/>
    <row r="56436" ht="15" customHeight="1"/>
    <row r="56437" ht="15" customHeight="1"/>
    <row r="56438" ht="15" customHeight="1"/>
    <row r="56439" ht="15" customHeight="1"/>
    <row r="56440" ht="15" customHeight="1"/>
    <row r="56441" ht="15" customHeight="1"/>
    <row r="56442" ht="15" customHeight="1"/>
    <row r="56443" ht="15" customHeight="1"/>
    <row r="56444" ht="15" customHeight="1"/>
    <row r="56445" ht="15" customHeight="1"/>
    <row r="56446" ht="15" customHeight="1"/>
    <row r="56447" ht="15" customHeight="1"/>
    <row r="56448" ht="15" customHeight="1"/>
    <row r="56449" ht="15" customHeight="1"/>
    <row r="56450" ht="15" customHeight="1"/>
    <row r="56451" ht="15" customHeight="1"/>
    <row r="56452" ht="15" customHeight="1"/>
    <row r="56453" ht="15" customHeight="1"/>
    <row r="56454" ht="15" customHeight="1"/>
    <row r="56455" ht="15" customHeight="1"/>
    <row r="56456" ht="15" customHeight="1"/>
    <row r="56457" ht="15" customHeight="1"/>
    <row r="56458" ht="15" customHeight="1"/>
    <row r="56459" ht="15" customHeight="1"/>
    <row r="56460" ht="15" customHeight="1"/>
    <row r="56461" ht="15" customHeight="1"/>
    <row r="56462" ht="15" customHeight="1"/>
    <row r="56463" ht="15" customHeight="1"/>
    <row r="56464" ht="15" customHeight="1"/>
    <row r="56465" ht="15" customHeight="1"/>
    <row r="56466" ht="15" customHeight="1"/>
    <row r="56467" ht="15" customHeight="1"/>
    <row r="56468" ht="15" customHeight="1"/>
    <row r="56469" ht="15" customHeight="1"/>
    <row r="56470" ht="15" customHeight="1"/>
    <row r="56471" ht="15" customHeight="1"/>
    <row r="56472" ht="15" customHeight="1"/>
    <row r="56473" ht="15" customHeight="1"/>
    <row r="56474" ht="15" customHeight="1"/>
    <row r="56475" ht="15" customHeight="1"/>
    <row r="56476" ht="15" customHeight="1"/>
    <row r="56477" ht="15" customHeight="1"/>
    <row r="56478" ht="15" customHeight="1"/>
    <row r="56479" ht="15" customHeight="1"/>
    <row r="56480" ht="15" customHeight="1"/>
    <row r="56481" ht="15" customHeight="1"/>
    <row r="56482" ht="15" customHeight="1"/>
    <row r="56483" ht="15" customHeight="1"/>
    <row r="56484" ht="15" customHeight="1"/>
    <row r="56485" ht="15" customHeight="1"/>
    <row r="56486" ht="15" customHeight="1"/>
    <row r="56487" ht="15" customHeight="1"/>
    <row r="56488" ht="15" customHeight="1"/>
    <row r="56489" ht="15" customHeight="1"/>
    <row r="56490" ht="15" customHeight="1"/>
    <row r="56491" ht="15" customHeight="1"/>
    <row r="56492" ht="15" customHeight="1"/>
    <row r="56493" ht="15" customHeight="1"/>
    <row r="56494" ht="15" customHeight="1"/>
    <row r="56495" ht="15" customHeight="1"/>
    <row r="56496" ht="15" customHeight="1"/>
    <row r="56497" ht="15" customHeight="1"/>
    <row r="56498" ht="15" customHeight="1"/>
    <row r="56499" ht="15" customHeight="1"/>
    <row r="56500" ht="15" customHeight="1"/>
    <row r="56501" ht="15" customHeight="1"/>
    <row r="56502" ht="15" customHeight="1"/>
    <row r="56503" ht="15" customHeight="1"/>
    <row r="56504" ht="15" customHeight="1"/>
    <row r="56505" ht="15" customHeight="1"/>
    <row r="56506" ht="15" customHeight="1"/>
    <row r="56507" ht="15" customHeight="1"/>
    <row r="56508" ht="15" customHeight="1"/>
    <row r="56509" ht="15" customHeight="1"/>
    <row r="56510" ht="15" customHeight="1"/>
    <row r="56511" ht="15" customHeight="1"/>
    <row r="56512" ht="15" customHeight="1"/>
    <row r="56513" ht="15" customHeight="1"/>
    <row r="56514" ht="15" customHeight="1"/>
    <row r="56515" ht="15" customHeight="1"/>
    <row r="56516" ht="15" customHeight="1"/>
    <row r="56517" ht="15" customHeight="1"/>
    <row r="56518" ht="15" customHeight="1"/>
    <row r="56519" ht="15" customHeight="1"/>
    <row r="56520" ht="15" customHeight="1"/>
    <row r="56521" ht="15" customHeight="1"/>
    <row r="56522" ht="15" customHeight="1"/>
    <row r="56523" ht="15" customHeight="1"/>
    <row r="56524" ht="15" customHeight="1"/>
    <row r="56525" ht="15" customHeight="1"/>
    <row r="56526" ht="15" customHeight="1"/>
    <row r="56527" ht="15" customHeight="1"/>
    <row r="56528" ht="15" customHeight="1"/>
    <row r="56529" ht="15" customHeight="1"/>
    <row r="56530" ht="15" customHeight="1"/>
    <row r="56531" ht="15" customHeight="1"/>
    <row r="56532" ht="15" customHeight="1"/>
    <row r="56533" ht="15" customHeight="1"/>
    <row r="56534" ht="15" customHeight="1"/>
    <row r="56535" ht="15" customHeight="1"/>
    <row r="56536" ht="15" customHeight="1"/>
    <row r="56537" ht="15" customHeight="1"/>
    <row r="56538" ht="15" customHeight="1"/>
    <row r="56539" ht="15" customHeight="1"/>
    <row r="56540" ht="15" customHeight="1"/>
    <row r="56541" ht="15" customHeight="1"/>
    <row r="56542" ht="15" customHeight="1"/>
    <row r="56543" ht="15" customHeight="1"/>
    <row r="56544" ht="15" customHeight="1"/>
    <row r="56545" ht="15" customHeight="1"/>
    <row r="56546" ht="15" customHeight="1"/>
    <row r="56547" ht="15" customHeight="1"/>
    <row r="56548" ht="15" customHeight="1"/>
    <row r="56549" ht="15" customHeight="1"/>
    <row r="56550" ht="15" customHeight="1"/>
    <row r="56551" ht="15" customHeight="1"/>
    <row r="56552" ht="15" customHeight="1"/>
    <row r="56553" ht="15" customHeight="1"/>
    <row r="56554" ht="15" customHeight="1"/>
    <row r="56555" ht="15" customHeight="1"/>
    <row r="56556" ht="15" customHeight="1"/>
    <row r="56557" ht="15" customHeight="1"/>
    <row r="56558" ht="15" customHeight="1"/>
    <row r="56559" ht="15" customHeight="1"/>
    <row r="56560" ht="15" customHeight="1"/>
    <row r="56561" ht="15" customHeight="1"/>
    <row r="56562" ht="15" customHeight="1"/>
    <row r="56563" ht="15" customHeight="1"/>
    <row r="56564" ht="15" customHeight="1"/>
    <row r="56565" ht="15" customHeight="1"/>
    <row r="56566" ht="15" customHeight="1"/>
    <row r="56567" ht="15" customHeight="1"/>
    <row r="56568" ht="15" customHeight="1"/>
    <row r="56569" ht="15" customHeight="1"/>
    <row r="56570" ht="15" customHeight="1"/>
    <row r="56571" ht="15" customHeight="1"/>
    <row r="56572" ht="15" customHeight="1"/>
    <row r="56573" ht="15" customHeight="1"/>
    <row r="56574" ht="15" customHeight="1"/>
    <row r="56575" ht="15" customHeight="1"/>
    <row r="56576" ht="15" customHeight="1"/>
    <row r="56577" ht="15" customHeight="1"/>
    <row r="56578" ht="15" customHeight="1"/>
    <row r="56579" ht="15" customHeight="1"/>
    <row r="56580" ht="15" customHeight="1"/>
    <row r="56581" ht="15" customHeight="1"/>
    <row r="56582" ht="15" customHeight="1"/>
    <row r="56583" ht="15" customHeight="1"/>
    <row r="56584" ht="15" customHeight="1"/>
    <row r="56585" ht="15" customHeight="1"/>
    <row r="56586" ht="15" customHeight="1"/>
    <row r="56587" ht="15" customHeight="1"/>
    <row r="56588" ht="15" customHeight="1"/>
    <row r="56589" ht="15" customHeight="1"/>
    <row r="56590" ht="15" customHeight="1"/>
    <row r="56591" ht="15" customHeight="1"/>
    <row r="56592" ht="15" customHeight="1"/>
    <row r="56593" ht="15" customHeight="1"/>
    <row r="56594" ht="15" customHeight="1"/>
    <row r="56595" ht="15" customHeight="1"/>
    <row r="56596" ht="15" customHeight="1"/>
    <row r="56597" ht="15" customHeight="1"/>
    <row r="56598" ht="15" customHeight="1"/>
    <row r="56599" ht="15" customHeight="1"/>
    <row r="56600" ht="15" customHeight="1"/>
    <row r="56601" ht="15" customHeight="1"/>
    <row r="56602" ht="15" customHeight="1"/>
    <row r="56603" ht="15" customHeight="1"/>
    <row r="56604" ht="15" customHeight="1"/>
    <row r="56605" ht="15" customHeight="1"/>
    <row r="56606" ht="15" customHeight="1"/>
    <row r="56607" ht="15" customHeight="1"/>
    <row r="56608" ht="15" customHeight="1"/>
    <row r="56609" ht="15" customHeight="1"/>
    <row r="56610" ht="15" customHeight="1"/>
    <row r="56611" ht="15" customHeight="1"/>
    <row r="56612" ht="15" customHeight="1"/>
    <row r="56613" ht="15" customHeight="1"/>
    <row r="56614" ht="15" customHeight="1"/>
    <row r="56615" ht="15" customHeight="1"/>
    <row r="56616" ht="15" customHeight="1"/>
    <row r="56617" ht="15" customHeight="1"/>
    <row r="56618" ht="15" customHeight="1"/>
    <row r="56619" ht="15" customHeight="1"/>
    <row r="56620" ht="15" customHeight="1"/>
    <row r="56621" ht="15" customHeight="1"/>
    <row r="56622" ht="15" customHeight="1"/>
    <row r="56623" ht="15" customHeight="1"/>
    <row r="56624" ht="15" customHeight="1"/>
    <row r="56625" ht="15" customHeight="1"/>
    <row r="56626" ht="15" customHeight="1"/>
    <row r="56627" ht="15" customHeight="1"/>
    <row r="56628" ht="15" customHeight="1"/>
    <row r="56629" ht="15" customHeight="1"/>
    <row r="56630" ht="15" customHeight="1"/>
    <row r="56631" ht="15" customHeight="1"/>
    <row r="56632" ht="15" customHeight="1"/>
    <row r="56633" ht="15" customHeight="1"/>
    <row r="56634" ht="15" customHeight="1"/>
    <row r="56635" ht="15" customHeight="1"/>
    <row r="56636" ht="15" customHeight="1"/>
    <row r="56637" ht="15" customHeight="1"/>
    <row r="56638" ht="15" customHeight="1"/>
    <row r="56639" ht="15" customHeight="1"/>
    <row r="56640" ht="15" customHeight="1"/>
    <row r="56641" ht="15" customHeight="1"/>
    <row r="56642" ht="15" customHeight="1"/>
    <row r="56643" ht="15" customHeight="1"/>
    <row r="56644" ht="15" customHeight="1"/>
    <row r="56645" ht="15" customHeight="1"/>
    <row r="56646" ht="15" customHeight="1"/>
    <row r="56647" ht="15" customHeight="1"/>
    <row r="56648" ht="15" customHeight="1"/>
    <row r="56649" ht="15" customHeight="1"/>
    <row r="56650" ht="15" customHeight="1"/>
    <row r="56651" ht="15" customHeight="1"/>
    <row r="56652" ht="15" customHeight="1"/>
    <row r="56653" ht="15" customHeight="1"/>
    <row r="56654" ht="15" customHeight="1"/>
    <row r="56655" ht="15" customHeight="1"/>
    <row r="56656" ht="15" customHeight="1"/>
    <row r="56657" ht="15" customHeight="1"/>
    <row r="56658" ht="15" customHeight="1"/>
    <row r="56659" ht="15" customHeight="1"/>
    <row r="56660" ht="15" customHeight="1"/>
    <row r="56661" ht="15" customHeight="1"/>
    <row r="56662" ht="15" customHeight="1"/>
    <row r="56663" ht="15" customHeight="1"/>
    <row r="56664" ht="15" customHeight="1"/>
    <row r="56665" ht="15" customHeight="1"/>
    <row r="56666" ht="15" customHeight="1"/>
    <row r="56667" ht="15" customHeight="1"/>
    <row r="56668" ht="15" customHeight="1"/>
    <row r="56669" ht="15" customHeight="1"/>
    <row r="56670" ht="15" customHeight="1"/>
    <row r="56671" ht="15" customHeight="1"/>
    <row r="56672" ht="15" customHeight="1"/>
    <row r="56673" ht="15" customHeight="1"/>
    <row r="56674" ht="15" customHeight="1"/>
    <row r="56675" ht="15" customHeight="1"/>
    <row r="56676" ht="15" customHeight="1"/>
    <row r="56677" ht="15" customHeight="1"/>
    <row r="56678" ht="15" customHeight="1"/>
    <row r="56679" ht="15" customHeight="1"/>
    <row r="56680" ht="15" customHeight="1"/>
    <row r="56681" ht="15" customHeight="1"/>
    <row r="56682" ht="15" customHeight="1"/>
    <row r="56683" ht="15" customHeight="1"/>
    <row r="56684" ht="15" customHeight="1"/>
    <row r="56685" ht="15" customHeight="1"/>
    <row r="56686" ht="15" customHeight="1"/>
    <row r="56687" ht="15" customHeight="1"/>
    <row r="56688" ht="15" customHeight="1"/>
    <row r="56689" ht="15" customHeight="1"/>
    <row r="56690" ht="15" customHeight="1"/>
    <row r="56691" ht="15" customHeight="1"/>
    <row r="56692" ht="15" customHeight="1"/>
    <row r="56693" ht="15" customHeight="1"/>
    <row r="56694" ht="15" customHeight="1"/>
    <row r="56695" ht="15" customHeight="1"/>
    <row r="56696" ht="15" customHeight="1"/>
    <row r="56697" ht="15" customHeight="1"/>
    <row r="56698" ht="15" customHeight="1"/>
    <row r="56699" ht="15" customHeight="1"/>
    <row r="56700" ht="15" customHeight="1"/>
    <row r="56701" ht="15" customHeight="1"/>
    <row r="56702" ht="15" customHeight="1"/>
    <row r="56703" ht="15" customHeight="1"/>
    <row r="56704" ht="15" customHeight="1"/>
    <row r="56705" ht="15" customHeight="1"/>
    <row r="56706" ht="15" customHeight="1"/>
    <row r="56707" ht="15" customHeight="1"/>
    <row r="56708" ht="15" customHeight="1"/>
    <row r="56709" ht="15" customHeight="1"/>
    <row r="56710" ht="15" customHeight="1"/>
    <row r="56711" ht="15" customHeight="1"/>
    <row r="56712" ht="15" customHeight="1"/>
    <row r="56713" ht="15" customHeight="1"/>
    <row r="56714" ht="15" customHeight="1"/>
    <row r="56715" ht="15" customHeight="1"/>
    <row r="56716" ht="15" customHeight="1"/>
    <row r="56717" ht="15" customHeight="1"/>
    <row r="56718" ht="15" customHeight="1"/>
    <row r="56719" ht="15" customHeight="1"/>
    <row r="56720" ht="15" customHeight="1"/>
    <row r="56721" ht="15" customHeight="1"/>
    <row r="56722" ht="15" customHeight="1"/>
    <row r="56723" ht="15" customHeight="1"/>
    <row r="56724" ht="15" customHeight="1"/>
    <row r="56725" ht="15" customHeight="1"/>
    <row r="56726" ht="15" customHeight="1"/>
    <row r="56727" ht="15" customHeight="1"/>
    <row r="56728" ht="15" customHeight="1"/>
    <row r="56729" ht="15" customHeight="1"/>
    <row r="56730" ht="15" customHeight="1"/>
    <row r="56731" ht="15" customHeight="1"/>
    <row r="56732" ht="15" customHeight="1"/>
    <row r="56733" ht="15" customHeight="1"/>
    <row r="56734" ht="15" customHeight="1"/>
    <row r="56735" ht="15" customHeight="1"/>
    <row r="56736" ht="15" customHeight="1"/>
    <row r="56737" ht="15" customHeight="1"/>
    <row r="56738" ht="15" customHeight="1"/>
    <row r="56739" ht="15" customHeight="1"/>
    <row r="56740" ht="15" customHeight="1"/>
    <row r="56741" ht="15" customHeight="1"/>
    <row r="56742" ht="15" customHeight="1"/>
    <row r="56743" ht="15" customHeight="1"/>
    <row r="56744" ht="15" customHeight="1"/>
    <row r="56745" ht="15" customHeight="1"/>
    <row r="56746" ht="15" customHeight="1"/>
    <row r="56747" ht="15" customHeight="1"/>
    <row r="56748" ht="15" customHeight="1"/>
    <row r="56749" ht="15" customHeight="1"/>
    <row r="56750" ht="15" customHeight="1"/>
    <row r="56751" ht="15" customHeight="1"/>
    <row r="56752" ht="15" customHeight="1"/>
    <row r="56753" ht="15" customHeight="1"/>
    <row r="56754" ht="15" customHeight="1"/>
    <row r="56755" ht="15" customHeight="1"/>
    <row r="56756" ht="15" customHeight="1"/>
    <row r="56757" ht="15" customHeight="1"/>
    <row r="56758" ht="15" customHeight="1"/>
    <row r="56759" ht="15" customHeight="1"/>
    <row r="56760" ht="15" customHeight="1"/>
    <row r="56761" ht="15" customHeight="1"/>
    <row r="56762" ht="15" customHeight="1"/>
    <row r="56763" ht="15" customHeight="1"/>
    <row r="56764" ht="15" customHeight="1"/>
    <row r="56765" ht="15" customHeight="1"/>
    <row r="56766" ht="15" customHeight="1"/>
    <row r="56767" ht="15" customHeight="1"/>
    <row r="56768" ht="15" customHeight="1"/>
    <row r="56769" ht="15" customHeight="1"/>
    <row r="56770" ht="15" customHeight="1"/>
    <row r="56771" ht="15" customHeight="1"/>
    <row r="56772" ht="15" customHeight="1"/>
    <row r="56773" ht="15" customHeight="1"/>
    <row r="56774" ht="15" customHeight="1"/>
    <row r="56775" ht="15" customHeight="1"/>
    <row r="56776" ht="15" customHeight="1"/>
    <row r="56777" ht="15" customHeight="1"/>
    <row r="56778" ht="15" customHeight="1"/>
    <row r="56779" ht="15" customHeight="1"/>
    <row r="56780" ht="15" customHeight="1"/>
    <row r="56781" ht="15" customHeight="1"/>
    <row r="56782" ht="15" customHeight="1"/>
    <row r="56783" ht="15" customHeight="1"/>
    <row r="56784" ht="15" customHeight="1"/>
    <row r="56785" ht="15" customHeight="1"/>
    <row r="56786" ht="15" customHeight="1"/>
    <row r="56787" ht="15" customHeight="1"/>
    <row r="56788" ht="15" customHeight="1"/>
    <row r="56789" ht="15" customHeight="1"/>
    <row r="56790" ht="15" customHeight="1"/>
    <row r="56791" ht="15" customHeight="1"/>
    <row r="56792" ht="15" customHeight="1"/>
    <row r="56793" ht="15" customHeight="1"/>
    <row r="56794" ht="15" customHeight="1"/>
    <row r="56795" ht="15" customHeight="1"/>
    <row r="56796" ht="15" customHeight="1"/>
    <row r="56797" ht="15" customHeight="1"/>
    <row r="56798" ht="15" customHeight="1"/>
    <row r="56799" ht="15" customHeight="1"/>
    <row r="56800" ht="15" customHeight="1"/>
    <row r="56801" ht="15" customHeight="1"/>
    <row r="56802" ht="15" customHeight="1"/>
    <row r="56803" ht="15" customHeight="1"/>
    <row r="56804" ht="15" customHeight="1"/>
    <row r="56805" ht="15" customHeight="1"/>
    <row r="56806" ht="15" customHeight="1"/>
    <row r="56807" ht="15" customHeight="1"/>
    <row r="56808" ht="15" customHeight="1"/>
    <row r="56809" ht="15" customHeight="1"/>
    <row r="56810" ht="15" customHeight="1"/>
    <row r="56811" ht="15" customHeight="1"/>
    <row r="56812" ht="15" customHeight="1"/>
    <row r="56813" ht="15" customHeight="1"/>
    <row r="56814" ht="15" customHeight="1"/>
    <row r="56815" ht="15" customHeight="1"/>
    <row r="56816" ht="15" customHeight="1"/>
    <row r="56817" ht="15" customHeight="1"/>
    <row r="56818" ht="15" customHeight="1"/>
    <row r="56819" ht="15" customHeight="1"/>
    <row r="56820" ht="15" customHeight="1"/>
    <row r="56821" ht="15" customHeight="1"/>
    <row r="56822" ht="15" customHeight="1"/>
    <row r="56823" ht="15" customHeight="1"/>
    <row r="56824" ht="15" customHeight="1"/>
    <row r="56825" ht="15" customHeight="1"/>
    <row r="56826" ht="15" customHeight="1"/>
    <row r="56827" ht="15" customHeight="1"/>
    <row r="56828" ht="15" customHeight="1"/>
    <row r="56829" ht="15" customHeight="1"/>
    <row r="56830" ht="15" customHeight="1"/>
    <row r="56831" ht="15" customHeight="1"/>
    <row r="56832" ht="15" customHeight="1"/>
    <row r="56833" ht="15" customHeight="1"/>
    <row r="56834" ht="15" customHeight="1"/>
    <row r="56835" ht="15" customHeight="1"/>
    <row r="56836" ht="15" customHeight="1"/>
    <row r="56837" ht="15" customHeight="1"/>
    <row r="56838" ht="15" customHeight="1"/>
    <row r="56839" ht="15" customHeight="1"/>
    <row r="56840" ht="15" customHeight="1"/>
    <row r="56841" ht="15" customHeight="1"/>
    <row r="56842" ht="15" customHeight="1"/>
    <row r="56843" ht="15" customHeight="1"/>
    <row r="56844" ht="15" customHeight="1"/>
    <row r="56845" ht="15" customHeight="1"/>
    <row r="56846" ht="15" customHeight="1"/>
    <row r="56847" ht="15" customHeight="1"/>
    <row r="56848" ht="15" customHeight="1"/>
    <row r="56849" ht="15" customHeight="1"/>
    <row r="56850" ht="15" customHeight="1"/>
    <row r="56851" ht="15" customHeight="1"/>
    <row r="56852" ht="15" customHeight="1"/>
    <row r="56853" ht="15" customHeight="1"/>
    <row r="56854" ht="15" customHeight="1"/>
    <row r="56855" ht="15" customHeight="1"/>
    <row r="56856" ht="15" customHeight="1"/>
    <row r="56857" ht="15" customHeight="1"/>
    <row r="56858" ht="15" customHeight="1"/>
    <row r="56859" ht="15" customHeight="1"/>
    <row r="56860" ht="15" customHeight="1"/>
    <row r="56861" ht="15" customHeight="1"/>
    <row r="56862" ht="15" customHeight="1"/>
    <row r="56863" ht="15" customHeight="1"/>
    <row r="56864" ht="15" customHeight="1"/>
    <row r="56865" ht="15" customHeight="1"/>
    <row r="56866" ht="15" customHeight="1"/>
    <row r="56867" ht="15" customHeight="1"/>
    <row r="56868" ht="15" customHeight="1"/>
    <row r="56869" ht="15" customHeight="1"/>
    <row r="56870" ht="15" customHeight="1"/>
    <row r="56871" ht="15" customHeight="1"/>
    <row r="56872" ht="15" customHeight="1"/>
    <row r="56873" ht="15" customHeight="1"/>
    <row r="56874" ht="15" customHeight="1"/>
    <row r="56875" ht="15" customHeight="1"/>
    <row r="56876" ht="15" customHeight="1"/>
    <row r="56877" ht="15" customHeight="1"/>
    <row r="56878" ht="15" customHeight="1"/>
    <row r="56879" ht="15" customHeight="1"/>
    <row r="56880" ht="15" customHeight="1"/>
    <row r="56881" ht="15" customHeight="1"/>
    <row r="56882" ht="15" customHeight="1"/>
    <row r="56883" ht="15" customHeight="1"/>
    <row r="56884" ht="15" customHeight="1"/>
    <row r="56885" ht="15" customHeight="1"/>
    <row r="56886" ht="15" customHeight="1"/>
    <row r="56887" ht="15" customHeight="1"/>
    <row r="56888" ht="15" customHeight="1"/>
    <row r="56889" ht="15" customHeight="1"/>
    <row r="56890" ht="15" customHeight="1"/>
    <row r="56891" ht="15" customHeight="1"/>
    <row r="56892" ht="15" customHeight="1"/>
    <row r="56893" ht="15" customHeight="1"/>
    <row r="56894" ht="15" customHeight="1"/>
    <row r="56895" ht="15" customHeight="1"/>
    <row r="56896" ht="15" customHeight="1"/>
    <row r="56897" ht="15" customHeight="1"/>
    <row r="56898" ht="15" customHeight="1"/>
    <row r="56899" ht="15" customHeight="1"/>
    <row r="56900" ht="15" customHeight="1"/>
    <row r="56901" ht="15" customHeight="1"/>
    <row r="56902" ht="15" customHeight="1"/>
    <row r="56903" ht="15" customHeight="1"/>
    <row r="56904" ht="15" customHeight="1"/>
    <row r="56905" ht="15" customHeight="1"/>
    <row r="56906" ht="15" customHeight="1"/>
    <row r="56907" ht="15" customHeight="1"/>
    <row r="56908" ht="15" customHeight="1"/>
    <row r="56909" ht="15" customHeight="1"/>
    <row r="56910" ht="15" customHeight="1"/>
    <row r="56911" ht="15" customHeight="1"/>
    <row r="56912" ht="15" customHeight="1"/>
    <row r="56913" ht="15" customHeight="1"/>
    <row r="56914" ht="15" customHeight="1"/>
    <row r="56915" ht="15" customHeight="1"/>
    <row r="56916" ht="15" customHeight="1"/>
    <row r="56917" ht="15" customHeight="1"/>
    <row r="56918" ht="15" customHeight="1"/>
    <row r="56919" ht="15" customHeight="1"/>
    <row r="56920" ht="15" customHeight="1"/>
    <row r="56921" ht="15" customHeight="1"/>
    <row r="56922" ht="15" customHeight="1"/>
    <row r="56923" ht="15" customHeight="1"/>
    <row r="56924" ht="15" customHeight="1"/>
    <row r="56925" ht="15" customHeight="1"/>
    <row r="56926" ht="15" customHeight="1"/>
    <row r="56927" ht="15" customHeight="1"/>
    <row r="56928" ht="15" customHeight="1"/>
    <row r="56929" ht="15" customHeight="1"/>
    <row r="56930" ht="15" customHeight="1"/>
    <row r="56931" ht="15" customHeight="1"/>
    <row r="56932" ht="15" customHeight="1"/>
    <row r="56933" ht="15" customHeight="1"/>
    <row r="56934" ht="15" customHeight="1"/>
    <row r="56935" ht="15" customHeight="1"/>
    <row r="56936" ht="15" customHeight="1"/>
    <row r="56937" ht="15" customHeight="1"/>
    <row r="56938" ht="15" customHeight="1"/>
    <row r="56939" ht="15" customHeight="1"/>
    <row r="56940" ht="15" customHeight="1"/>
    <row r="56941" ht="15" customHeight="1"/>
    <row r="56942" ht="15" customHeight="1"/>
    <row r="56943" ht="15" customHeight="1"/>
    <row r="56944" ht="15" customHeight="1"/>
    <row r="56945" ht="15" customHeight="1"/>
    <row r="56946" ht="15" customHeight="1"/>
    <row r="56947" ht="15" customHeight="1"/>
    <row r="56948" ht="15" customHeight="1"/>
    <row r="56949" ht="15" customHeight="1"/>
    <row r="56950" ht="15" customHeight="1"/>
    <row r="56951" ht="15" customHeight="1"/>
    <row r="56952" ht="15" customHeight="1"/>
    <row r="56953" ht="15" customHeight="1"/>
    <row r="56954" ht="15" customHeight="1"/>
    <row r="56955" ht="15" customHeight="1"/>
    <row r="56956" ht="15" customHeight="1"/>
    <row r="56957" ht="15" customHeight="1"/>
    <row r="56958" ht="15" customHeight="1"/>
    <row r="56959" ht="15" customHeight="1"/>
    <row r="56960" ht="15" customHeight="1"/>
    <row r="56961" ht="15" customHeight="1"/>
    <row r="56962" ht="15" customHeight="1"/>
    <row r="56963" ht="15" customHeight="1"/>
    <row r="56964" ht="15" customHeight="1"/>
    <row r="56965" ht="15" customHeight="1"/>
    <row r="56966" ht="15" customHeight="1"/>
    <row r="56967" ht="15" customHeight="1"/>
    <row r="56968" ht="15" customHeight="1"/>
    <row r="56969" ht="15" customHeight="1"/>
    <row r="56970" ht="15" customHeight="1"/>
    <row r="56971" ht="15" customHeight="1"/>
    <row r="56972" ht="15" customHeight="1"/>
    <row r="56973" ht="15" customHeight="1"/>
    <row r="56974" ht="15" customHeight="1"/>
    <row r="56975" ht="15" customHeight="1"/>
    <row r="56976" ht="15" customHeight="1"/>
    <row r="56977" ht="15" customHeight="1"/>
    <row r="56978" ht="15" customHeight="1"/>
    <row r="56979" ht="15" customHeight="1"/>
    <row r="56980" ht="15" customHeight="1"/>
    <row r="56981" ht="15" customHeight="1"/>
    <row r="56982" ht="15" customHeight="1"/>
    <row r="56983" ht="15" customHeight="1"/>
    <row r="56984" ht="15" customHeight="1"/>
    <row r="56985" ht="15" customHeight="1"/>
    <row r="56986" ht="15" customHeight="1"/>
    <row r="56987" ht="15" customHeight="1"/>
    <row r="56988" ht="15" customHeight="1"/>
    <row r="56989" ht="15" customHeight="1"/>
    <row r="56990" ht="15" customHeight="1"/>
    <row r="56991" ht="15" customHeight="1"/>
    <row r="56992" ht="15" customHeight="1"/>
    <row r="56993" ht="15" customHeight="1"/>
    <row r="56994" ht="15" customHeight="1"/>
    <row r="56995" ht="15" customHeight="1"/>
    <row r="56996" ht="15" customHeight="1"/>
    <row r="56997" ht="15" customHeight="1"/>
    <row r="56998" ht="15" customHeight="1"/>
    <row r="56999" ht="15" customHeight="1"/>
    <row r="57000" ht="15" customHeight="1"/>
    <row r="57001" ht="15" customHeight="1"/>
    <row r="57002" ht="15" customHeight="1"/>
    <row r="57003" ht="15" customHeight="1"/>
    <row r="57004" ht="15" customHeight="1"/>
    <row r="57005" ht="15" customHeight="1"/>
    <row r="57006" ht="15" customHeight="1"/>
    <row r="57007" ht="15" customHeight="1"/>
    <row r="57008" ht="15" customHeight="1"/>
    <row r="57009" ht="15" customHeight="1"/>
    <row r="57010" ht="15" customHeight="1"/>
    <row r="57011" ht="15" customHeight="1"/>
    <row r="57012" ht="15" customHeight="1"/>
    <row r="57013" ht="15" customHeight="1"/>
    <row r="57014" ht="15" customHeight="1"/>
    <row r="57015" ht="15" customHeight="1"/>
    <row r="57016" ht="15" customHeight="1"/>
    <row r="57017" ht="15" customHeight="1"/>
    <row r="57018" ht="15" customHeight="1"/>
    <row r="57019" ht="15" customHeight="1"/>
    <row r="57020" ht="15" customHeight="1"/>
    <row r="57021" ht="15" customHeight="1"/>
    <row r="57022" ht="15" customHeight="1"/>
    <row r="57023" ht="15" customHeight="1"/>
    <row r="57024" ht="15" customHeight="1"/>
    <row r="57025" ht="15" customHeight="1"/>
    <row r="57026" ht="15" customHeight="1"/>
    <row r="57027" ht="15" customHeight="1"/>
    <row r="57028" ht="15" customHeight="1"/>
    <row r="57029" ht="15" customHeight="1"/>
    <row r="57030" ht="15" customHeight="1"/>
    <row r="57031" ht="15" customHeight="1"/>
    <row r="57032" ht="15" customHeight="1"/>
    <row r="57033" ht="15" customHeight="1"/>
    <row r="57034" ht="15" customHeight="1"/>
    <row r="57035" ht="15" customHeight="1"/>
    <row r="57036" ht="15" customHeight="1"/>
    <row r="57037" ht="15" customHeight="1"/>
    <row r="57038" ht="15" customHeight="1"/>
    <row r="57039" ht="15" customHeight="1"/>
    <row r="57040" ht="15" customHeight="1"/>
    <row r="57041" ht="15" customHeight="1"/>
    <row r="57042" ht="15" customHeight="1"/>
    <row r="57043" ht="15" customHeight="1"/>
    <row r="57044" ht="15" customHeight="1"/>
    <row r="57045" ht="15" customHeight="1"/>
    <row r="57046" ht="15" customHeight="1"/>
    <row r="57047" ht="15" customHeight="1"/>
    <row r="57048" ht="15" customHeight="1"/>
    <row r="57049" ht="15" customHeight="1"/>
    <row r="57050" ht="15" customHeight="1"/>
    <row r="57051" ht="15" customHeight="1"/>
    <row r="57052" ht="15" customHeight="1"/>
    <row r="57053" ht="15" customHeight="1"/>
    <row r="57054" ht="15" customHeight="1"/>
    <row r="57055" ht="15" customHeight="1"/>
    <row r="57056" ht="15" customHeight="1"/>
    <row r="57057" ht="15" customHeight="1"/>
    <row r="57058" ht="15" customHeight="1"/>
    <row r="57059" ht="15" customHeight="1"/>
    <row r="57060" ht="15" customHeight="1"/>
    <row r="57061" ht="15" customHeight="1"/>
    <row r="57062" ht="15" customHeight="1"/>
    <row r="57063" ht="15" customHeight="1"/>
    <row r="57064" ht="15" customHeight="1"/>
    <row r="57065" ht="15" customHeight="1"/>
    <row r="57066" ht="15" customHeight="1"/>
    <row r="57067" ht="15" customHeight="1"/>
    <row r="57068" ht="15" customHeight="1"/>
    <row r="57069" ht="15" customHeight="1"/>
    <row r="57070" ht="15" customHeight="1"/>
    <row r="57071" ht="15" customHeight="1"/>
    <row r="57072" ht="15" customHeight="1"/>
    <row r="57073" ht="15" customHeight="1"/>
    <row r="57074" ht="15" customHeight="1"/>
    <row r="57075" ht="15" customHeight="1"/>
    <row r="57076" ht="15" customHeight="1"/>
    <row r="57077" ht="15" customHeight="1"/>
    <row r="57078" ht="15" customHeight="1"/>
    <row r="57079" ht="15" customHeight="1"/>
    <row r="57080" ht="15" customHeight="1"/>
    <row r="57081" ht="15" customHeight="1"/>
    <row r="57082" ht="15" customHeight="1"/>
    <row r="57083" ht="15" customHeight="1"/>
    <row r="57084" ht="15" customHeight="1"/>
    <row r="57085" ht="15" customHeight="1"/>
    <row r="57086" ht="15" customHeight="1"/>
    <row r="57087" ht="15" customHeight="1"/>
    <row r="57088" ht="15" customHeight="1"/>
    <row r="57089" ht="15" customHeight="1"/>
    <row r="57090" ht="15" customHeight="1"/>
    <row r="57091" ht="15" customHeight="1"/>
    <row r="57092" ht="15" customHeight="1"/>
    <row r="57093" ht="15" customHeight="1"/>
    <row r="57094" ht="15" customHeight="1"/>
    <row r="57095" ht="15" customHeight="1"/>
    <row r="57096" ht="15" customHeight="1"/>
    <row r="57097" ht="15" customHeight="1"/>
    <row r="57098" ht="15" customHeight="1"/>
    <row r="57099" ht="15" customHeight="1"/>
    <row r="57100" ht="15" customHeight="1"/>
    <row r="57101" ht="15" customHeight="1"/>
    <row r="57102" ht="15" customHeight="1"/>
    <row r="57103" ht="15" customHeight="1"/>
    <row r="57104" ht="15" customHeight="1"/>
    <row r="57105" ht="15" customHeight="1"/>
    <row r="57106" ht="15" customHeight="1"/>
    <row r="57107" ht="15" customHeight="1"/>
    <row r="57108" ht="15" customHeight="1"/>
    <row r="57109" ht="15" customHeight="1"/>
    <row r="57110" ht="15" customHeight="1"/>
    <row r="57111" ht="15" customHeight="1"/>
    <row r="57112" ht="15" customHeight="1"/>
    <row r="57113" ht="15" customHeight="1"/>
    <row r="57114" ht="15" customHeight="1"/>
    <row r="57115" ht="15" customHeight="1"/>
    <row r="57116" ht="15" customHeight="1"/>
    <row r="57117" ht="15" customHeight="1"/>
    <row r="57118" ht="15" customHeight="1"/>
    <row r="57119" ht="15" customHeight="1"/>
    <row r="57120" ht="15" customHeight="1"/>
    <row r="57121" ht="15" customHeight="1"/>
    <row r="57122" ht="15" customHeight="1"/>
    <row r="57123" ht="15" customHeight="1"/>
    <row r="57124" ht="15" customHeight="1"/>
    <row r="57125" ht="15" customHeight="1"/>
    <row r="57126" ht="15" customHeight="1"/>
    <row r="57127" ht="15" customHeight="1"/>
    <row r="57128" ht="15" customHeight="1"/>
    <row r="57129" ht="15" customHeight="1"/>
    <row r="57130" ht="15" customHeight="1"/>
    <row r="57131" ht="15" customHeight="1"/>
    <row r="57132" ht="15" customHeight="1"/>
    <row r="57133" ht="15" customHeight="1"/>
    <row r="57134" ht="15" customHeight="1"/>
    <row r="57135" ht="15" customHeight="1"/>
    <row r="57136" ht="15" customHeight="1"/>
    <row r="57137" ht="15" customHeight="1"/>
    <row r="57138" ht="15" customHeight="1"/>
    <row r="57139" ht="15" customHeight="1"/>
    <row r="57140" ht="15" customHeight="1"/>
    <row r="57141" ht="15" customHeight="1"/>
    <row r="57142" ht="15" customHeight="1"/>
    <row r="57143" ht="15" customHeight="1"/>
    <row r="57144" ht="15" customHeight="1"/>
    <row r="57145" ht="15" customHeight="1"/>
    <row r="57146" ht="15" customHeight="1"/>
    <row r="57147" ht="15" customHeight="1"/>
    <row r="57148" ht="15" customHeight="1"/>
    <row r="57149" ht="15" customHeight="1"/>
    <row r="57150" ht="15" customHeight="1"/>
    <row r="57151" ht="15" customHeight="1"/>
    <row r="57152" ht="15" customHeight="1"/>
    <row r="57153" ht="15" customHeight="1"/>
    <row r="57154" ht="15" customHeight="1"/>
    <row r="57155" ht="15" customHeight="1"/>
    <row r="57156" ht="15" customHeight="1"/>
    <row r="57157" ht="15" customHeight="1"/>
    <row r="57158" ht="15" customHeight="1"/>
    <row r="57159" ht="15" customHeight="1"/>
    <row r="57160" ht="15" customHeight="1"/>
    <row r="57161" ht="15" customHeight="1"/>
    <row r="57162" ht="15" customHeight="1"/>
    <row r="57163" ht="15" customHeight="1"/>
    <row r="57164" ht="15" customHeight="1"/>
    <row r="57165" ht="15" customHeight="1"/>
    <row r="57166" ht="15" customHeight="1"/>
    <row r="57167" ht="15" customHeight="1"/>
    <row r="57168" ht="15" customHeight="1"/>
    <row r="57169" ht="15" customHeight="1"/>
    <row r="57170" ht="15" customHeight="1"/>
    <row r="57171" ht="15" customHeight="1"/>
    <row r="57172" ht="15" customHeight="1"/>
    <row r="57173" ht="15" customHeight="1"/>
    <row r="57174" ht="15" customHeight="1"/>
    <row r="57175" ht="15" customHeight="1"/>
    <row r="57176" ht="15" customHeight="1"/>
    <row r="57177" ht="15" customHeight="1"/>
    <row r="57178" ht="15" customHeight="1"/>
    <row r="57179" ht="15" customHeight="1"/>
    <row r="57180" ht="15" customHeight="1"/>
    <row r="57181" ht="15" customHeight="1"/>
    <row r="57182" ht="15" customHeight="1"/>
    <row r="57183" ht="15" customHeight="1"/>
    <row r="57184" ht="15" customHeight="1"/>
    <row r="57185" ht="15" customHeight="1"/>
    <row r="57186" ht="15" customHeight="1"/>
    <row r="57187" ht="15" customHeight="1"/>
    <row r="57188" ht="15" customHeight="1"/>
    <row r="57189" ht="15" customHeight="1"/>
    <row r="57190" ht="15" customHeight="1"/>
    <row r="57191" ht="15" customHeight="1"/>
    <row r="57192" ht="15" customHeight="1"/>
    <row r="57193" ht="15" customHeight="1"/>
    <row r="57194" ht="15" customHeight="1"/>
    <row r="57195" ht="15" customHeight="1"/>
    <row r="57196" ht="15" customHeight="1"/>
    <row r="57197" ht="15" customHeight="1"/>
    <row r="57198" ht="15" customHeight="1"/>
    <row r="57199" ht="15" customHeight="1"/>
    <row r="57200" ht="15" customHeight="1"/>
    <row r="57201" ht="15" customHeight="1"/>
    <row r="57202" ht="15" customHeight="1"/>
    <row r="57203" ht="15" customHeight="1"/>
    <row r="57204" ht="15" customHeight="1"/>
    <row r="57205" ht="15" customHeight="1"/>
    <row r="57206" ht="15" customHeight="1"/>
    <row r="57207" ht="15" customHeight="1"/>
    <row r="57208" ht="15" customHeight="1"/>
    <row r="57209" ht="15" customHeight="1"/>
    <row r="57210" ht="15" customHeight="1"/>
    <row r="57211" ht="15" customHeight="1"/>
    <row r="57212" ht="15" customHeight="1"/>
    <row r="57213" ht="15" customHeight="1"/>
    <row r="57214" ht="15" customHeight="1"/>
    <row r="57215" ht="15" customHeight="1"/>
    <row r="57216" ht="15" customHeight="1"/>
    <row r="57217" ht="15" customHeight="1"/>
    <row r="57218" ht="15" customHeight="1"/>
    <row r="57219" ht="15" customHeight="1"/>
    <row r="57220" ht="15" customHeight="1"/>
    <row r="57221" ht="15" customHeight="1"/>
    <row r="57222" ht="15" customHeight="1"/>
    <row r="57223" ht="15" customHeight="1"/>
    <row r="57224" ht="15" customHeight="1"/>
    <row r="57225" ht="15" customHeight="1"/>
    <row r="57226" ht="15" customHeight="1"/>
    <row r="57227" ht="15" customHeight="1"/>
    <row r="57228" ht="15" customHeight="1"/>
    <row r="57229" ht="15" customHeight="1"/>
    <row r="57230" ht="15" customHeight="1"/>
    <row r="57231" ht="15" customHeight="1"/>
    <row r="57232" ht="15" customHeight="1"/>
    <row r="57233" ht="15" customHeight="1"/>
    <row r="57234" ht="15" customHeight="1"/>
    <row r="57235" ht="15" customHeight="1"/>
    <row r="57236" ht="15" customHeight="1"/>
    <row r="57237" ht="15" customHeight="1"/>
    <row r="57238" ht="15" customHeight="1"/>
    <row r="57239" ht="15" customHeight="1"/>
    <row r="57240" ht="15" customHeight="1"/>
    <row r="57241" ht="15" customHeight="1"/>
    <row r="57242" ht="15" customHeight="1"/>
    <row r="57243" ht="15" customHeight="1"/>
    <row r="57244" ht="15" customHeight="1"/>
    <row r="57245" ht="15" customHeight="1"/>
    <row r="57246" ht="15" customHeight="1"/>
    <row r="57247" ht="15" customHeight="1"/>
    <row r="57248" ht="15" customHeight="1"/>
    <row r="57249" ht="15" customHeight="1"/>
    <row r="57250" ht="15" customHeight="1"/>
    <row r="57251" ht="15" customHeight="1"/>
    <row r="57252" ht="15" customHeight="1"/>
    <row r="57253" ht="15" customHeight="1"/>
    <row r="57254" ht="15" customHeight="1"/>
    <row r="57255" ht="15" customHeight="1"/>
    <row r="57256" ht="15" customHeight="1"/>
    <row r="57257" ht="15" customHeight="1"/>
    <row r="57258" ht="15" customHeight="1"/>
    <row r="57259" ht="15" customHeight="1"/>
    <row r="57260" ht="15" customHeight="1"/>
    <row r="57261" ht="15" customHeight="1"/>
    <row r="57262" ht="15" customHeight="1"/>
    <row r="57263" ht="15" customHeight="1"/>
    <row r="57264" ht="15" customHeight="1"/>
    <row r="57265" ht="15" customHeight="1"/>
    <row r="57266" ht="15" customHeight="1"/>
    <row r="57267" ht="15" customHeight="1"/>
    <row r="57268" ht="15" customHeight="1"/>
    <row r="57269" ht="15" customHeight="1"/>
    <row r="57270" ht="15" customHeight="1"/>
    <row r="57271" ht="15" customHeight="1"/>
    <row r="57272" ht="15" customHeight="1"/>
    <row r="57273" ht="15" customHeight="1"/>
    <row r="57274" ht="15" customHeight="1"/>
    <row r="57275" ht="15" customHeight="1"/>
    <row r="57276" ht="15" customHeight="1"/>
    <row r="57277" ht="15" customHeight="1"/>
    <row r="57278" ht="15" customHeight="1"/>
    <row r="57279" ht="15" customHeight="1"/>
    <row r="57280" ht="15" customHeight="1"/>
    <row r="57281" ht="15" customHeight="1"/>
    <row r="57282" ht="15" customHeight="1"/>
    <row r="57283" ht="15" customHeight="1"/>
    <row r="57284" ht="15" customHeight="1"/>
    <row r="57285" ht="15" customHeight="1"/>
    <row r="57286" ht="15" customHeight="1"/>
    <row r="57287" ht="15" customHeight="1"/>
    <row r="57288" ht="15" customHeight="1"/>
    <row r="57289" ht="15" customHeight="1"/>
    <row r="57290" ht="15" customHeight="1"/>
    <row r="57291" ht="15" customHeight="1"/>
    <row r="57292" ht="15" customHeight="1"/>
    <row r="57293" ht="15" customHeight="1"/>
    <row r="57294" ht="15" customHeight="1"/>
    <row r="57295" ht="15" customHeight="1"/>
    <row r="57296" ht="15" customHeight="1"/>
    <row r="57297" ht="15" customHeight="1"/>
    <row r="57298" ht="15" customHeight="1"/>
    <row r="57299" ht="15" customHeight="1"/>
    <row r="57300" ht="15" customHeight="1"/>
    <row r="57301" ht="15" customHeight="1"/>
    <row r="57302" ht="15" customHeight="1"/>
    <row r="57303" ht="15" customHeight="1"/>
    <row r="57304" ht="15" customHeight="1"/>
    <row r="57305" ht="15" customHeight="1"/>
    <row r="57306" ht="15" customHeight="1"/>
    <row r="57307" ht="15" customHeight="1"/>
    <row r="57308" ht="15" customHeight="1"/>
    <row r="57309" ht="15" customHeight="1"/>
    <row r="57310" ht="15" customHeight="1"/>
    <row r="57311" ht="15" customHeight="1"/>
    <row r="57312" ht="15" customHeight="1"/>
    <row r="57313" ht="15" customHeight="1"/>
    <row r="57314" ht="15" customHeight="1"/>
    <row r="57315" ht="15" customHeight="1"/>
    <row r="57316" ht="15" customHeight="1"/>
    <row r="57317" ht="15" customHeight="1"/>
    <row r="57318" ht="15" customHeight="1"/>
    <row r="57319" ht="15" customHeight="1"/>
    <row r="57320" ht="15" customHeight="1"/>
    <row r="57321" ht="15" customHeight="1"/>
    <row r="57322" ht="15" customHeight="1"/>
    <row r="57323" ht="15" customHeight="1"/>
    <row r="57324" ht="15" customHeight="1"/>
    <row r="57325" ht="15" customHeight="1"/>
    <row r="57326" ht="15" customHeight="1"/>
    <row r="57327" ht="15" customHeight="1"/>
    <row r="57328" ht="15" customHeight="1"/>
    <row r="57329" ht="15" customHeight="1"/>
    <row r="57330" ht="15" customHeight="1"/>
    <row r="57331" ht="15" customHeight="1"/>
    <row r="57332" ht="15" customHeight="1"/>
    <row r="57333" ht="15" customHeight="1"/>
    <row r="57334" ht="15" customHeight="1"/>
    <row r="57335" ht="15" customHeight="1"/>
    <row r="57336" ht="15" customHeight="1"/>
    <row r="57337" ht="15" customHeight="1"/>
    <row r="57338" ht="15" customHeight="1"/>
    <row r="57339" ht="15" customHeight="1"/>
    <row r="57340" ht="15" customHeight="1"/>
    <row r="57341" ht="15" customHeight="1"/>
    <row r="57342" ht="15" customHeight="1"/>
    <row r="57343" ht="15" customHeight="1"/>
    <row r="57344" ht="15" customHeight="1"/>
    <row r="57345" ht="15" customHeight="1"/>
    <row r="57346" ht="15" customHeight="1"/>
    <row r="57347" ht="15" customHeight="1"/>
    <row r="57348" ht="15" customHeight="1"/>
    <row r="57349" ht="15" customHeight="1"/>
    <row r="57350" ht="15" customHeight="1"/>
    <row r="57351" ht="15" customHeight="1"/>
    <row r="57352" ht="15" customHeight="1"/>
    <row r="57353" ht="15" customHeight="1"/>
    <row r="57354" ht="15" customHeight="1"/>
    <row r="57355" ht="15" customHeight="1"/>
    <row r="57356" ht="15" customHeight="1"/>
    <row r="57357" ht="15" customHeight="1"/>
    <row r="57358" ht="15" customHeight="1"/>
    <row r="57359" ht="15" customHeight="1"/>
    <row r="57360" ht="15" customHeight="1"/>
    <row r="57361" ht="15" customHeight="1"/>
    <row r="57362" ht="15" customHeight="1"/>
    <row r="57363" ht="15" customHeight="1"/>
    <row r="57364" ht="15" customHeight="1"/>
    <row r="57365" ht="15" customHeight="1"/>
    <row r="57366" ht="15" customHeight="1"/>
    <row r="57367" ht="15" customHeight="1"/>
    <row r="57368" ht="15" customHeight="1"/>
    <row r="57369" ht="15" customHeight="1"/>
    <row r="57370" ht="15" customHeight="1"/>
    <row r="57371" ht="15" customHeight="1"/>
    <row r="57372" ht="15" customHeight="1"/>
    <row r="57373" ht="15" customHeight="1"/>
    <row r="57374" ht="15" customHeight="1"/>
    <row r="57375" ht="15" customHeight="1"/>
    <row r="57376" ht="15" customHeight="1"/>
    <row r="57377" ht="15" customHeight="1"/>
    <row r="57378" ht="15" customHeight="1"/>
    <row r="57379" ht="15" customHeight="1"/>
    <row r="57380" ht="15" customHeight="1"/>
    <row r="57381" ht="15" customHeight="1"/>
    <row r="57382" ht="15" customHeight="1"/>
    <row r="57383" ht="15" customHeight="1"/>
    <row r="57384" ht="15" customHeight="1"/>
    <row r="57385" ht="15" customHeight="1"/>
    <row r="57386" ht="15" customHeight="1"/>
    <row r="57387" ht="15" customHeight="1"/>
    <row r="57388" ht="15" customHeight="1"/>
    <row r="57389" ht="15" customHeight="1"/>
    <row r="57390" ht="15" customHeight="1"/>
    <row r="57391" ht="15" customHeight="1"/>
    <row r="57392" ht="15" customHeight="1"/>
    <row r="57393" ht="15" customHeight="1"/>
    <row r="57394" ht="15" customHeight="1"/>
    <row r="57395" ht="15" customHeight="1"/>
    <row r="57396" ht="15" customHeight="1"/>
    <row r="57397" ht="15" customHeight="1"/>
    <row r="57398" ht="15" customHeight="1"/>
    <row r="57399" ht="15" customHeight="1"/>
    <row r="57400" ht="15" customHeight="1"/>
    <row r="57401" ht="15" customHeight="1"/>
    <row r="57402" ht="15" customHeight="1"/>
    <row r="57403" ht="15" customHeight="1"/>
    <row r="57404" ht="15" customHeight="1"/>
    <row r="57405" ht="15" customHeight="1"/>
    <row r="57406" ht="15" customHeight="1"/>
    <row r="57407" ht="15" customHeight="1"/>
    <row r="57408" ht="15" customHeight="1"/>
    <row r="57409" ht="15" customHeight="1"/>
    <row r="57410" ht="15" customHeight="1"/>
    <row r="57411" ht="15" customHeight="1"/>
    <row r="57412" ht="15" customHeight="1"/>
    <row r="57413" ht="15" customHeight="1"/>
    <row r="57414" ht="15" customHeight="1"/>
    <row r="57415" ht="15" customHeight="1"/>
    <row r="57416" ht="15" customHeight="1"/>
    <row r="57417" ht="15" customHeight="1"/>
    <row r="57418" ht="15" customHeight="1"/>
    <row r="57419" ht="15" customHeight="1"/>
    <row r="57420" ht="15" customHeight="1"/>
    <row r="57421" ht="15" customHeight="1"/>
    <row r="57422" ht="15" customHeight="1"/>
    <row r="57423" ht="15" customHeight="1"/>
    <row r="57424" ht="15" customHeight="1"/>
    <row r="57425" ht="15" customHeight="1"/>
    <row r="57426" ht="15" customHeight="1"/>
    <row r="57427" ht="15" customHeight="1"/>
    <row r="57428" ht="15" customHeight="1"/>
    <row r="57429" ht="15" customHeight="1"/>
    <row r="57430" ht="15" customHeight="1"/>
    <row r="57431" ht="15" customHeight="1"/>
    <row r="57432" ht="15" customHeight="1"/>
    <row r="57433" ht="15" customHeight="1"/>
    <row r="57434" ht="15" customHeight="1"/>
    <row r="57435" ht="15" customHeight="1"/>
    <row r="57436" ht="15" customHeight="1"/>
    <row r="57437" ht="15" customHeight="1"/>
    <row r="57438" ht="15" customHeight="1"/>
    <row r="57439" ht="15" customHeight="1"/>
    <row r="57440" ht="15" customHeight="1"/>
    <row r="57441" ht="15" customHeight="1"/>
    <row r="57442" ht="15" customHeight="1"/>
    <row r="57443" ht="15" customHeight="1"/>
    <row r="57444" ht="15" customHeight="1"/>
    <row r="57445" ht="15" customHeight="1"/>
    <row r="57446" ht="15" customHeight="1"/>
    <row r="57447" ht="15" customHeight="1"/>
    <row r="57448" ht="15" customHeight="1"/>
    <row r="57449" ht="15" customHeight="1"/>
    <row r="57450" ht="15" customHeight="1"/>
    <row r="57451" ht="15" customHeight="1"/>
    <row r="57452" ht="15" customHeight="1"/>
    <row r="57453" ht="15" customHeight="1"/>
    <row r="57454" ht="15" customHeight="1"/>
    <row r="57455" ht="15" customHeight="1"/>
    <row r="57456" ht="15" customHeight="1"/>
    <row r="57457" ht="15" customHeight="1"/>
    <row r="57458" ht="15" customHeight="1"/>
    <row r="57459" ht="15" customHeight="1"/>
    <row r="57460" ht="15" customHeight="1"/>
    <row r="57461" ht="15" customHeight="1"/>
    <row r="57462" ht="15" customHeight="1"/>
    <row r="57463" ht="15" customHeight="1"/>
    <row r="57464" ht="15" customHeight="1"/>
    <row r="57465" ht="15" customHeight="1"/>
    <row r="57466" ht="15" customHeight="1"/>
    <row r="57467" ht="15" customHeight="1"/>
    <row r="57468" ht="15" customHeight="1"/>
    <row r="57469" ht="15" customHeight="1"/>
    <row r="57470" ht="15" customHeight="1"/>
    <row r="57471" ht="15" customHeight="1"/>
    <row r="57472" ht="15" customHeight="1"/>
    <row r="57473" ht="15" customHeight="1"/>
    <row r="57474" ht="15" customHeight="1"/>
    <row r="57475" ht="15" customHeight="1"/>
    <row r="57476" ht="15" customHeight="1"/>
    <row r="57477" ht="15" customHeight="1"/>
    <row r="57478" ht="15" customHeight="1"/>
    <row r="57479" ht="15" customHeight="1"/>
    <row r="57480" ht="15" customHeight="1"/>
    <row r="57481" ht="15" customHeight="1"/>
    <row r="57482" ht="15" customHeight="1"/>
    <row r="57483" ht="15" customHeight="1"/>
    <row r="57484" ht="15" customHeight="1"/>
    <row r="57485" ht="15" customHeight="1"/>
    <row r="57486" ht="15" customHeight="1"/>
    <row r="57487" ht="15" customHeight="1"/>
    <row r="57488" ht="15" customHeight="1"/>
    <row r="57489" ht="15" customHeight="1"/>
    <row r="57490" ht="15" customHeight="1"/>
    <row r="57491" ht="15" customHeight="1"/>
    <row r="57492" ht="15" customHeight="1"/>
    <row r="57493" ht="15" customHeight="1"/>
    <row r="57494" ht="15" customHeight="1"/>
    <row r="57495" ht="15" customHeight="1"/>
    <row r="57496" ht="15" customHeight="1"/>
    <row r="57497" ht="15" customHeight="1"/>
    <row r="57498" ht="15" customHeight="1"/>
    <row r="57499" ht="15" customHeight="1"/>
    <row r="57500" ht="15" customHeight="1"/>
    <row r="57501" ht="15" customHeight="1"/>
    <row r="57502" ht="15" customHeight="1"/>
    <row r="57503" ht="15" customHeight="1"/>
    <row r="57504" ht="15" customHeight="1"/>
    <row r="57505" ht="15" customHeight="1"/>
    <row r="57506" ht="15" customHeight="1"/>
    <row r="57507" ht="15" customHeight="1"/>
    <row r="57508" ht="15" customHeight="1"/>
    <row r="57509" ht="15" customHeight="1"/>
    <row r="57510" ht="15" customHeight="1"/>
    <row r="57511" ht="15" customHeight="1"/>
    <row r="57512" ht="15" customHeight="1"/>
    <row r="57513" ht="15" customHeight="1"/>
    <row r="57514" ht="15" customHeight="1"/>
    <row r="57515" ht="15" customHeight="1"/>
    <row r="57516" ht="15" customHeight="1"/>
    <row r="57517" ht="15" customHeight="1"/>
    <row r="57518" ht="15" customHeight="1"/>
    <row r="57519" ht="15" customHeight="1"/>
    <row r="57520" ht="15" customHeight="1"/>
    <row r="57521" ht="15" customHeight="1"/>
    <row r="57522" ht="15" customHeight="1"/>
    <row r="57523" ht="15" customHeight="1"/>
    <row r="57524" ht="15" customHeight="1"/>
    <row r="57525" ht="15" customHeight="1"/>
    <row r="57526" ht="15" customHeight="1"/>
    <row r="57527" ht="15" customHeight="1"/>
    <row r="57528" ht="15" customHeight="1"/>
    <row r="57529" ht="15" customHeight="1"/>
    <row r="57530" ht="15" customHeight="1"/>
    <row r="57531" ht="15" customHeight="1"/>
    <row r="57532" ht="15" customHeight="1"/>
    <row r="57533" ht="15" customHeight="1"/>
    <row r="57534" ht="15" customHeight="1"/>
    <row r="57535" ht="15" customHeight="1"/>
    <row r="57536" ht="15" customHeight="1"/>
    <row r="57537" ht="15" customHeight="1"/>
    <row r="57538" ht="15" customHeight="1"/>
    <row r="57539" ht="15" customHeight="1"/>
    <row r="57540" ht="15" customHeight="1"/>
    <row r="57541" ht="15" customHeight="1"/>
    <row r="57542" ht="15" customHeight="1"/>
    <row r="57543" ht="15" customHeight="1"/>
    <row r="57544" ht="15" customHeight="1"/>
    <row r="57545" ht="15" customHeight="1"/>
    <row r="57546" ht="15" customHeight="1"/>
    <row r="57547" ht="15" customHeight="1"/>
    <row r="57548" ht="15" customHeight="1"/>
    <row r="57549" ht="15" customHeight="1"/>
    <row r="57550" ht="15" customHeight="1"/>
    <row r="57551" ht="15" customHeight="1"/>
    <row r="57552" ht="15" customHeight="1"/>
    <row r="57553" ht="15" customHeight="1"/>
    <row r="57554" ht="15" customHeight="1"/>
    <row r="57555" ht="15" customHeight="1"/>
    <row r="57556" ht="15" customHeight="1"/>
    <row r="57557" ht="15" customHeight="1"/>
    <row r="57558" ht="15" customHeight="1"/>
    <row r="57559" ht="15" customHeight="1"/>
    <row r="57560" ht="15" customHeight="1"/>
    <row r="57561" ht="15" customHeight="1"/>
    <row r="57562" ht="15" customHeight="1"/>
    <row r="57563" ht="15" customHeight="1"/>
    <row r="57564" ht="15" customHeight="1"/>
    <row r="57565" ht="15" customHeight="1"/>
    <row r="57566" ht="15" customHeight="1"/>
    <row r="57567" ht="15" customHeight="1"/>
    <row r="57568" ht="15" customHeight="1"/>
    <row r="57569" ht="15" customHeight="1"/>
    <row r="57570" ht="15" customHeight="1"/>
    <row r="57571" ht="15" customHeight="1"/>
    <row r="57572" ht="15" customHeight="1"/>
    <row r="57573" ht="15" customHeight="1"/>
    <row r="57574" ht="15" customHeight="1"/>
    <row r="57575" ht="15" customHeight="1"/>
    <row r="57576" ht="15" customHeight="1"/>
    <row r="57577" ht="15" customHeight="1"/>
    <row r="57578" ht="15" customHeight="1"/>
    <row r="57579" ht="15" customHeight="1"/>
    <row r="57580" ht="15" customHeight="1"/>
    <row r="57581" ht="15" customHeight="1"/>
    <row r="57582" ht="15" customHeight="1"/>
    <row r="57583" ht="15" customHeight="1"/>
    <row r="57584" ht="15" customHeight="1"/>
    <row r="57585" ht="15" customHeight="1"/>
    <row r="57586" ht="15" customHeight="1"/>
    <row r="57587" ht="15" customHeight="1"/>
    <row r="57588" ht="15" customHeight="1"/>
    <row r="57589" ht="15" customHeight="1"/>
    <row r="57590" ht="15" customHeight="1"/>
    <row r="57591" ht="15" customHeight="1"/>
    <row r="57592" ht="15" customHeight="1"/>
    <row r="57593" ht="15" customHeight="1"/>
    <row r="57594" ht="15" customHeight="1"/>
    <row r="57595" ht="15" customHeight="1"/>
    <row r="57596" ht="15" customHeight="1"/>
    <row r="57597" ht="15" customHeight="1"/>
    <row r="57598" ht="15" customHeight="1"/>
    <row r="57599" ht="15" customHeight="1"/>
    <row r="57600" ht="15" customHeight="1"/>
    <row r="57601" ht="15" customHeight="1"/>
    <row r="57602" ht="15" customHeight="1"/>
    <row r="57603" ht="15" customHeight="1"/>
    <row r="57604" ht="15" customHeight="1"/>
    <row r="57605" ht="15" customHeight="1"/>
    <row r="57606" ht="15" customHeight="1"/>
    <row r="57607" ht="15" customHeight="1"/>
    <row r="57608" ht="15" customHeight="1"/>
    <row r="57609" ht="15" customHeight="1"/>
    <row r="57610" ht="15" customHeight="1"/>
    <row r="57611" ht="15" customHeight="1"/>
    <row r="57612" ht="15" customHeight="1"/>
    <row r="57613" ht="15" customHeight="1"/>
    <row r="57614" ht="15" customHeight="1"/>
    <row r="57615" ht="15" customHeight="1"/>
    <row r="57616" ht="15" customHeight="1"/>
    <row r="57617" ht="15" customHeight="1"/>
    <row r="57618" ht="15" customHeight="1"/>
    <row r="57619" ht="15" customHeight="1"/>
    <row r="57620" ht="15" customHeight="1"/>
    <row r="57621" ht="15" customHeight="1"/>
    <row r="57622" ht="15" customHeight="1"/>
    <row r="57623" ht="15" customHeight="1"/>
    <row r="57624" ht="15" customHeight="1"/>
    <row r="57625" ht="15" customHeight="1"/>
    <row r="57626" ht="15" customHeight="1"/>
    <row r="57627" ht="15" customHeight="1"/>
    <row r="57628" ht="15" customHeight="1"/>
    <row r="57629" ht="15" customHeight="1"/>
    <row r="57630" ht="15" customHeight="1"/>
    <row r="57631" ht="15" customHeight="1"/>
    <row r="57632" ht="15" customHeight="1"/>
    <row r="57633" ht="15" customHeight="1"/>
    <row r="57634" ht="15" customHeight="1"/>
    <row r="57635" ht="15" customHeight="1"/>
    <row r="57636" ht="15" customHeight="1"/>
    <row r="57637" ht="15" customHeight="1"/>
    <row r="57638" ht="15" customHeight="1"/>
    <row r="57639" ht="15" customHeight="1"/>
    <row r="57640" ht="15" customHeight="1"/>
    <row r="57641" ht="15" customHeight="1"/>
    <row r="57642" ht="15" customHeight="1"/>
    <row r="57643" ht="15" customHeight="1"/>
    <row r="57644" ht="15" customHeight="1"/>
    <row r="57645" ht="15" customHeight="1"/>
    <row r="57646" ht="15" customHeight="1"/>
    <row r="57647" ht="15" customHeight="1"/>
    <row r="57648" ht="15" customHeight="1"/>
    <row r="57649" ht="15" customHeight="1"/>
    <row r="57650" ht="15" customHeight="1"/>
    <row r="57651" ht="15" customHeight="1"/>
    <row r="57652" ht="15" customHeight="1"/>
    <row r="57653" ht="15" customHeight="1"/>
    <row r="57654" ht="15" customHeight="1"/>
    <row r="57655" ht="15" customHeight="1"/>
    <row r="57656" ht="15" customHeight="1"/>
    <row r="57657" ht="15" customHeight="1"/>
    <row r="57658" ht="15" customHeight="1"/>
    <row r="57659" ht="15" customHeight="1"/>
    <row r="57660" ht="15" customHeight="1"/>
    <row r="57661" ht="15" customHeight="1"/>
    <row r="57662" ht="15" customHeight="1"/>
    <row r="57663" ht="15" customHeight="1"/>
    <row r="57664" ht="15" customHeight="1"/>
    <row r="57665" ht="15" customHeight="1"/>
    <row r="57666" ht="15" customHeight="1"/>
    <row r="57667" ht="15" customHeight="1"/>
    <row r="57668" ht="15" customHeight="1"/>
    <row r="57669" ht="15" customHeight="1"/>
    <row r="57670" ht="15" customHeight="1"/>
    <row r="57671" ht="15" customHeight="1"/>
    <row r="57672" ht="15" customHeight="1"/>
    <row r="57673" ht="15" customHeight="1"/>
    <row r="57674" ht="15" customHeight="1"/>
    <row r="57675" ht="15" customHeight="1"/>
    <row r="57676" ht="15" customHeight="1"/>
    <row r="57677" ht="15" customHeight="1"/>
    <row r="57678" ht="15" customHeight="1"/>
    <row r="57679" ht="15" customHeight="1"/>
    <row r="57680" ht="15" customHeight="1"/>
    <row r="57681" ht="15" customHeight="1"/>
    <row r="57682" ht="15" customHeight="1"/>
    <row r="57683" ht="15" customHeight="1"/>
    <row r="57684" ht="15" customHeight="1"/>
    <row r="57685" ht="15" customHeight="1"/>
    <row r="57686" ht="15" customHeight="1"/>
    <row r="57687" ht="15" customHeight="1"/>
    <row r="57688" ht="15" customHeight="1"/>
    <row r="57689" ht="15" customHeight="1"/>
    <row r="57690" ht="15" customHeight="1"/>
    <row r="57691" ht="15" customHeight="1"/>
    <row r="57692" ht="15" customHeight="1"/>
    <row r="57693" ht="15" customHeight="1"/>
    <row r="57694" ht="15" customHeight="1"/>
    <row r="57695" ht="15" customHeight="1"/>
    <row r="57696" ht="15" customHeight="1"/>
    <row r="57697" ht="15" customHeight="1"/>
    <row r="57698" ht="15" customHeight="1"/>
    <row r="57699" ht="15" customHeight="1"/>
    <row r="57700" ht="15" customHeight="1"/>
    <row r="57701" ht="15" customHeight="1"/>
    <row r="57702" ht="15" customHeight="1"/>
    <row r="57703" ht="15" customHeight="1"/>
    <row r="57704" ht="15" customHeight="1"/>
    <row r="57705" ht="15" customHeight="1"/>
    <row r="57706" ht="15" customHeight="1"/>
    <row r="57707" ht="15" customHeight="1"/>
    <row r="57708" ht="15" customHeight="1"/>
    <row r="57709" ht="15" customHeight="1"/>
    <row r="57710" ht="15" customHeight="1"/>
    <row r="57711" ht="15" customHeight="1"/>
    <row r="57712" ht="15" customHeight="1"/>
    <row r="57713" ht="15" customHeight="1"/>
    <row r="57714" ht="15" customHeight="1"/>
    <row r="57715" ht="15" customHeight="1"/>
    <row r="57716" ht="15" customHeight="1"/>
    <row r="57717" ht="15" customHeight="1"/>
    <row r="57718" ht="15" customHeight="1"/>
    <row r="57719" ht="15" customHeight="1"/>
    <row r="57720" ht="15" customHeight="1"/>
    <row r="57721" ht="15" customHeight="1"/>
    <row r="57722" ht="15" customHeight="1"/>
    <row r="57723" ht="15" customHeight="1"/>
    <row r="57724" ht="15" customHeight="1"/>
    <row r="57725" ht="15" customHeight="1"/>
    <row r="57726" ht="15" customHeight="1"/>
    <row r="57727" ht="15" customHeight="1"/>
    <row r="57728" ht="15" customHeight="1"/>
    <row r="57729" ht="15" customHeight="1"/>
    <row r="57730" ht="15" customHeight="1"/>
    <row r="57731" ht="15" customHeight="1"/>
    <row r="57732" ht="15" customHeight="1"/>
    <row r="57733" ht="15" customHeight="1"/>
    <row r="57734" ht="15" customHeight="1"/>
    <row r="57735" ht="15" customHeight="1"/>
    <row r="57736" ht="15" customHeight="1"/>
    <row r="57737" ht="15" customHeight="1"/>
    <row r="57738" ht="15" customHeight="1"/>
    <row r="57739" ht="15" customHeight="1"/>
    <row r="57740" ht="15" customHeight="1"/>
    <row r="57741" ht="15" customHeight="1"/>
    <row r="57742" ht="15" customHeight="1"/>
    <row r="57743" ht="15" customHeight="1"/>
    <row r="57744" ht="15" customHeight="1"/>
    <row r="57745" ht="15" customHeight="1"/>
    <row r="57746" ht="15" customHeight="1"/>
    <row r="57747" ht="15" customHeight="1"/>
    <row r="57748" ht="15" customHeight="1"/>
    <row r="57749" ht="15" customHeight="1"/>
    <row r="57750" ht="15" customHeight="1"/>
    <row r="57751" ht="15" customHeight="1"/>
    <row r="57752" ht="15" customHeight="1"/>
    <row r="57753" ht="15" customHeight="1"/>
    <row r="57754" ht="15" customHeight="1"/>
    <row r="57755" ht="15" customHeight="1"/>
    <row r="57756" ht="15" customHeight="1"/>
    <row r="57757" ht="15" customHeight="1"/>
    <row r="57758" ht="15" customHeight="1"/>
    <row r="57759" ht="15" customHeight="1"/>
    <row r="57760" ht="15" customHeight="1"/>
    <row r="57761" ht="15" customHeight="1"/>
    <row r="57762" ht="15" customHeight="1"/>
    <row r="57763" ht="15" customHeight="1"/>
    <row r="57764" ht="15" customHeight="1"/>
    <row r="57765" ht="15" customHeight="1"/>
    <row r="57766" ht="15" customHeight="1"/>
    <row r="57767" ht="15" customHeight="1"/>
    <row r="57768" ht="15" customHeight="1"/>
    <row r="57769" ht="15" customHeight="1"/>
    <row r="57770" ht="15" customHeight="1"/>
    <row r="57771" ht="15" customHeight="1"/>
    <row r="57772" ht="15" customHeight="1"/>
    <row r="57773" ht="15" customHeight="1"/>
    <row r="57774" ht="15" customHeight="1"/>
    <row r="57775" ht="15" customHeight="1"/>
    <row r="57776" ht="15" customHeight="1"/>
    <row r="57777" ht="15" customHeight="1"/>
    <row r="57778" ht="15" customHeight="1"/>
    <row r="57779" ht="15" customHeight="1"/>
    <row r="57780" ht="15" customHeight="1"/>
    <row r="57781" ht="15" customHeight="1"/>
    <row r="57782" ht="15" customHeight="1"/>
    <row r="57783" ht="15" customHeight="1"/>
    <row r="57784" ht="15" customHeight="1"/>
    <row r="57785" ht="15" customHeight="1"/>
    <row r="57786" ht="15" customHeight="1"/>
    <row r="57787" ht="15" customHeight="1"/>
    <row r="57788" ht="15" customHeight="1"/>
    <row r="57789" ht="15" customHeight="1"/>
    <row r="57790" ht="15" customHeight="1"/>
    <row r="57791" ht="15" customHeight="1"/>
    <row r="57792" ht="15" customHeight="1"/>
    <row r="57793" ht="15" customHeight="1"/>
    <row r="57794" ht="15" customHeight="1"/>
    <row r="57795" ht="15" customHeight="1"/>
    <row r="57796" ht="15" customHeight="1"/>
    <row r="57797" ht="15" customHeight="1"/>
    <row r="57798" ht="15" customHeight="1"/>
    <row r="57799" ht="15" customHeight="1"/>
    <row r="57800" ht="15" customHeight="1"/>
    <row r="57801" ht="15" customHeight="1"/>
    <row r="57802" ht="15" customHeight="1"/>
    <row r="57803" ht="15" customHeight="1"/>
    <row r="57804" ht="15" customHeight="1"/>
    <row r="57805" ht="15" customHeight="1"/>
    <row r="57806" ht="15" customHeight="1"/>
    <row r="57807" ht="15" customHeight="1"/>
    <row r="57808" ht="15" customHeight="1"/>
    <row r="57809" ht="15" customHeight="1"/>
    <row r="57810" ht="15" customHeight="1"/>
    <row r="57811" ht="15" customHeight="1"/>
    <row r="57812" ht="15" customHeight="1"/>
    <row r="57813" ht="15" customHeight="1"/>
    <row r="57814" ht="15" customHeight="1"/>
    <row r="57815" ht="15" customHeight="1"/>
    <row r="57816" ht="15" customHeight="1"/>
    <row r="57817" ht="15" customHeight="1"/>
    <row r="57818" ht="15" customHeight="1"/>
    <row r="57819" ht="15" customHeight="1"/>
    <row r="57820" ht="15" customHeight="1"/>
    <row r="57821" ht="15" customHeight="1"/>
    <row r="57822" ht="15" customHeight="1"/>
    <row r="57823" ht="15" customHeight="1"/>
    <row r="57824" ht="15" customHeight="1"/>
    <row r="57825" ht="15" customHeight="1"/>
    <row r="57826" ht="15" customHeight="1"/>
    <row r="57827" ht="15" customHeight="1"/>
    <row r="57828" ht="15" customHeight="1"/>
    <row r="57829" ht="15" customHeight="1"/>
    <row r="57830" ht="15" customHeight="1"/>
    <row r="57831" ht="15" customHeight="1"/>
    <row r="57832" ht="15" customHeight="1"/>
    <row r="57833" ht="15" customHeight="1"/>
    <row r="57834" ht="15" customHeight="1"/>
    <row r="57835" ht="15" customHeight="1"/>
    <row r="57836" ht="15" customHeight="1"/>
    <row r="57837" ht="15" customHeight="1"/>
    <row r="57838" ht="15" customHeight="1"/>
    <row r="57839" ht="15" customHeight="1"/>
    <row r="57840" ht="15" customHeight="1"/>
    <row r="57841" ht="15" customHeight="1"/>
    <row r="57842" ht="15" customHeight="1"/>
    <row r="57843" ht="15" customHeight="1"/>
    <row r="57844" ht="15" customHeight="1"/>
    <row r="57845" ht="15" customHeight="1"/>
    <row r="57846" ht="15" customHeight="1"/>
    <row r="57847" ht="15" customHeight="1"/>
    <row r="57848" ht="15" customHeight="1"/>
    <row r="57849" ht="15" customHeight="1"/>
    <row r="57850" ht="15" customHeight="1"/>
    <row r="57851" ht="15" customHeight="1"/>
    <row r="57852" ht="15" customHeight="1"/>
    <row r="57853" ht="15" customHeight="1"/>
    <row r="57854" ht="15" customHeight="1"/>
    <row r="57855" ht="15" customHeight="1"/>
    <row r="57856" ht="15" customHeight="1"/>
    <row r="57857" ht="15" customHeight="1"/>
    <row r="57858" ht="15" customHeight="1"/>
    <row r="57859" ht="15" customHeight="1"/>
    <row r="57860" ht="15" customHeight="1"/>
    <row r="57861" ht="15" customHeight="1"/>
    <row r="57862" ht="15" customHeight="1"/>
    <row r="57863" ht="15" customHeight="1"/>
    <row r="57864" ht="15" customHeight="1"/>
    <row r="57865" ht="15" customHeight="1"/>
    <row r="57866" ht="15" customHeight="1"/>
    <row r="57867" ht="15" customHeight="1"/>
    <row r="57868" ht="15" customHeight="1"/>
    <row r="57869" ht="15" customHeight="1"/>
    <row r="57870" ht="15" customHeight="1"/>
    <row r="57871" ht="15" customHeight="1"/>
    <row r="57872" ht="15" customHeight="1"/>
    <row r="57873" ht="15" customHeight="1"/>
    <row r="57874" ht="15" customHeight="1"/>
    <row r="57875" ht="15" customHeight="1"/>
    <row r="57876" ht="15" customHeight="1"/>
    <row r="57877" ht="15" customHeight="1"/>
    <row r="57878" ht="15" customHeight="1"/>
    <row r="57879" ht="15" customHeight="1"/>
    <row r="57880" ht="15" customHeight="1"/>
    <row r="57881" ht="15" customHeight="1"/>
    <row r="57882" ht="15" customHeight="1"/>
    <row r="57883" ht="15" customHeight="1"/>
    <row r="57884" ht="15" customHeight="1"/>
    <row r="57885" ht="15" customHeight="1"/>
    <row r="57886" ht="15" customHeight="1"/>
    <row r="57887" ht="15" customHeight="1"/>
    <row r="57888" ht="15" customHeight="1"/>
    <row r="57889" ht="15" customHeight="1"/>
    <row r="57890" ht="15" customHeight="1"/>
    <row r="57891" ht="15" customHeight="1"/>
    <row r="57892" ht="15" customHeight="1"/>
    <row r="57893" ht="15" customHeight="1"/>
    <row r="57894" ht="15" customHeight="1"/>
    <row r="57895" ht="15" customHeight="1"/>
    <row r="57896" ht="15" customHeight="1"/>
    <row r="57897" ht="15" customHeight="1"/>
    <row r="57898" ht="15" customHeight="1"/>
    <row r="57899" ht="15" customHeight="1"/>
    <row r="57900" ht="15" customHeight="1"/>
    <row r="57901" ht="15" customHeight="1"/>
    <row r="57902" ht="15" customHeight="1"/>
    <row r="57903" ht="15" customHeight="1"/>
    <row r="57904" ht="15" customHeight="1"/>
    <row r="57905" ht="15" customHeight="1"/>
    <row r="57906" ht="15" customHeight="1"/>
    <row r="57907" ht="15" customHeight="1"/>
    <row r="57908" ht="15" customHeight="1"/>
    <row r="57909" ht="15" customHeight="1"/>
    <row r="57910" ht="15" customHeight="1"/>
    <row r="57911" ht="15" customHeight="1"/>
    <row r="57912" ht="15" customHeight="1"/>
    <row r="57913" ht="15" customHeight="1"/>
    <row r="57914" ht="15" customHeight="1"/>
    <row r="57915" ht="15" customHeight="1"/>
    <row r="57916" ht="15" customHeight="1"/>
    <row r="57917" ht="15" customHeight="1"/>
    <row r="57918" ht="15" customHeight="1"/>
    <row r="57919" ht="15" customHeight="1"/>
    <row r="57920" ht="15" customHeight="1"/>
    <row r="57921" ht="15" customHeight="1"/>
    <row r="57922" ht="15" customHeight="1"/>
    <row r="57923" ht="15" customHeight="1"/>
    <row r="57924" ht="15" customHeight="1"/>
    <row r="57925" ht="15" customHeight="1"/>
    <row r="57926" ht="15" customHeight="1"/>
    <row r="57927" ht="15" customHeight="1"/>
    <row r="57928" ht="15" customHeight="1"/>
    <row r="57929" ht="15" customHeight="1"/>
    <row r="57930" ht="15" customHeight="1"/>
    <row r="57931" ht="15" customHeight="1"/>
    <row r="57932" ht="15" customHeight="1"/>
    <row r="57933" ht="15" customHeight="1"/>
    <row r="57934" ht="15" customHeight="1"/>
    <row r="57935" ht="15" customHeight="1"/>
    <row r="57936" ht="15" customHeight="1"/>
    <row r="57937" ht="15" customHeight="1"/>
    <row r="57938" ht="15" customHeight="1"/>
    <row r="57939" ht="15" customHeight="1"/>
    <row r="57940" ht="15" customHeight="1"/>
    <row r="57941" ht="15" customHeight="1"/>
    <row r="57942" ht="15" customHeight="1"/>
    <row r="57943" ht="15" customHeight="1"/>
    <row r="57944" ht="15" customHeight="1"/>
    <row r="57945" ht="15" customHeight="1"/>
    <row r="57946" ht="15" customHeight="1"/>
    <row r="57947" ht="15" customHeight="1"/>
    <row r="57948" ht="15" customHeight="1"/>
    <row r="57949" ht="15" customHeight="1"/>
    <row r="57950" ht="15" customHeight="1"/>
    <row r="57951" ht="15" customHeight="1"/>
    <row r="57952" ht="15" customHeight="1"/>
    <row r="57953" ht="15" customHeight="1"/>
    <row r="57954" ht="15" customHeight="1"/>
    <row r="57955" ht="15" customHeight="1"/>
    <row r="57956" ht="15" customHeight="1"/>
    <row r="57957" ht="15" customHeight="1"/>
    <row r="57958" ht="15" customHeight="1"/>
    <row r="57959" ht="15" customHeight="1"/>
    <row r="57960" ht="15" customHeight="1"/>
    <row r="57961" ht="15" customHeight="1"/>
    <row r="57962" ht="15" customHeight="1"/>
    <row r="57963" ht="15" customHeight="1"/>
    <row r="57964" ht="15" customHeight="1"/>
    <row r="57965" ht="15" customHeight="1"/>
    <row r="57966" ht="15" customHeight="1"/>
    <row r="57967" ht="15" customHeight="1"/>
    <row r="57968" ht="15" customHeight="1"/>
    <row r="57969" ht="15" customHeight="1"/>
    <row r="57970" ht="15" customHeight="1"/>
    <row r="57971" ht="15" customHeight="1"/>
    <row r="57972" ht="15" customHeight="1"/>
    <row r="57973" ht="15" customHeight="1"/>
    <row r="57974" ht="15" customHeight="1"/>
    <row r="57975" ht="15" customHeight="1"/>
    <row r="57976" ht="15" customHeight="1"/>
    <row r="57977" ht="15" customHeight="1"/>
    <row r="57978" ht="15" customHeight="1"/>
    <row r="57979" ht="15" customHeight="1"/>
    <row r="57980" ht="15" customHeight="1"/>
    <row r="57981" ht="15" customHeight="1"/>
    <row r="57982" ht="15" customHeight="1"/>
    <row r="57983" ht="15" customHeight="1"/>
    <row r="57984" ht="15" customHeight="1"/>
    <row r="57985" ht="15" customHeight="1"/>
    <row r="57986" ht="15" customHeight="1"/>
    <row r="57987" ht="15" customHeight="1"/>
    <row r="57988" ht="15" customHeight="1"/>
    <row r="57989" ht="15" customHeight="1"/>
    <row r="57990" ht="15" customHeight="1"/>
    <row r="57991" ht="15" customHeight="1"/>
    <row r="57992" ht="15" customHeight="1"/>
    <row r="57993" ht="15" customHeight="1"/>
    <row r="57994" ht="15" customHeight="1"/>
    <row r="57995" ht="15" customHeight="1"/>
    <row r="57996" ht="15" customHeight="1"/>
    <row r="57997" ht="15" customHeight="1"/>
    <row r="57998" ht="15" customHeight="1"/>
    <row r="57999" ht="15" customHeight="1"/>
    <row r="58000" ht="15" customHeight="1"/>
    <row r="58001" ht="15" customHeight="1"/>
    <row r="58002" ht="15" customHeight="1"/>
    <row r="58003" ht="15" customHeight="1"/>
    <row r="58004" ht="15" customHeight="1"/>
    <row r="58005" ht="15" customHeight="1"/>
    <row r="58006" ht="15" customHeight="1"/>
    <row r="58007" ht="15" customHeight="1"/>
    <row r="58008" ht="15" customHeight="1"/>
    <row r="58009" ht="15" customHeight="1"/>
    <row r="58010" ht="15" customHeight="1"/>
    <row r="58011" ht="15" customHeight="1"/>
    <row r="58012" ht="15" customHeight="1"/>
    <row r="58013" ht="15" customHeight="1"/>
    <row r="58014" ht="15" customHeight="1"/>
    <row r="58015" ht="15" customHeight="1"/>
    <row r="58016" ht="15" customHeight="1"/>
    <row r="58017" ht="15" customHeight="1"/>
    <row r="58018" ht="15" customHeight="1"/>
    <row r="58019" ht="15" customHeight="1"/>
    <row r="58020" ht="15" customHeight="1"/>
    <row r="58021" ht="15" customHeight="1"/>
    <row r="58022" ht="15" customHeight="1"/>
    <row r="58023" ht="15" customHeight="1"/>
    <row r="58024" ht="15" customHeight="1"/>
    <row r="58025" ht="15" customHeight="1"/>
    <row r="58026" ht="15" customHeight="1"/>
    <row r="58027" ht="15" customHeight="1"/>
    <row r="58028" ht="15" customHeight="1"/>
    <row r="58029" ht="15" customHeight="1"/>
    <row r="58030" ht="15" customHeight="1"/>
    <row r="58031" ht="15" customHeight="1"/>
    <row r="58032" ht="15" customHeight="1"/>
    <row r="58033" ht="15" customHeight="1"/>
    <row r="58034" ht="15" customHeight="1"/>
    <row r="58035" ht="15" customHeight="1"/>
    <row r="58036" ht="15" customHeight="1"/>
    <row r="58037" ht="15" customHeight="1"/>
    <row r="58038" ht="15" customHeight="1"/>
    <row r="58039" ht="15" customHeight="1"/>
    <row r="58040" ht="15" customHeight="1"/>
    <row r="58041" ht="15" customHeight="1"/>
    <row r="58042" ht="15" customHeight="1"/>
    <row r="58043" ht="15" customHeight="1"/>
    <row r="58044" ht="15" customHeight="1"/>
    <row r="58045" ht="15" customHeight="1"/>
    <row r="58046" ht="15" customHeight="1"/>
    <row r="58047" ht="15" customHeight="1"/>
    <row r="58048" ht="15" customHeight="1"/>
    <row r="58049" ht="15" customHeight="1"/>
    <row r="58050" ht="15" customHeight="1"/>
    <row r="58051" ht="15" customHeight="1"/>
    <row r="58052" ht="15" customHeight="1"/>
    <row r="58053" ht="15" customHeight="1"/>
    <row r="58054" ht="15" customHeight="1"/>
    <row r="58055" ht="15" customHeight="1"/>
    <row r="58056" ht="15" customHeight="1"/>
    <row r="58057" ht="15" customHeight="1"/>
    <row r="58058" ht="15" customHeight="1"/>
    <row r="58059" ht="15" customHeight="1"/>
    <row r="58060" ht="15" customHeight="1"/>
    <row r="58061" ht="15" customHeight="1"/>
    <row r="58062" ht="15" customHeight="1"/>
    <row r="58063" ht="15" customHeight="1"/>
    <row r="58064" ht="15" customHeight="1"/>
    <row r="58065" ht="15" customHeight="1"/>
    <row r="58066" ht="15" customHeight="1"/>
    <row r="58067" ht="15" customHeight="1"/>
    <row r="58068" ht="15" customHeight="1"/>
    <row r="58069" ht="15" customHeight="1"/>
    <row r="58070" ht="15" customHeight="1"/>
    <row r="58071" ht="15" customHeight="1"/>
    <row r="58072" ht="15" customHeight="1"/>
    <row r="58073" ht="15" customHeight="1"/>
    <row r="58074" ht="15" customHeight="1"/>
    <row r="58075" ht="15" customHeight="1"/>
    <row r="58076" ht="15" customHeight="1"/>
    <row r="58077" ht="15" customHeight="1"/>
    <row r="58078" ht="15" customHeight="1"/>
    <row r="58079" ht="15" customHeight="1"/>
    <row r="58080" ht="15" customHeight="1"/>
    <row r="58081" ht="15" customHeight="1"/>
    <row r="58082" ht="15" customHeight="1"/>
    <row r="58083" ht="15" customHeight="1"/>
    <row r="58084" ht="15" customHeight="1"/>
    <row r="58085" ht="15" customHeight="1"/>
    <row r="58086" ht="15" customHeight="1"/>
    <row r="58087" ht="15" customHeight="1"/>
    <row r="58088" ht="15" customHeight="1"/>
    <row r="58089" ht="15" customHeight="1"/>
    <row r="58090" ht="15" customHeight="1"/>
    <row r="58091" ht="15" customHeight="1"/>
    <row r="58092" ht="15" customHeight="1"/>
    <row r="58093" ht="15" customHeight="1"/>
    <row r="58094" ht="15" customHeight="1"/>
    <row r="58095" ht="15" customHeight="1"/>
    <row r="58096" ht="15" customHeight="1"/>
    <row r="58097" ht="15" customHeight="1"/>
    <row r="58098" ht="15" customHeight="1"/>
    <row r="58099" ht="15" customHeight="1"/>
    <row r="58100" ht="15" customHeight="1"/>
    <row r="58101" ht="15" customHeight="1"/>
    <row r="58102" ht="15" customHeight="1"/>
    <row r="58103" ht="15" customHeight="1"/>
    <row r="58104" ht="15" customHeight="1"/>
    <row r="58105" ht="15" customHeight="1"/>
    <row r="58106" ht="15" customHeight="1"/>
    <row r="58107" ht="15" customHeight="1"/>
    <row r="58108" ht="15" customHeight="1"/>
    <row r="58109" ht="15" customHeight="1"/>
    <row r="58110" ht="15" customHeight="1"/>
    <row r="58111" ht="15" customHeight="1"/>
    <row r="58112" ht="15" customHeight="1"/>
    <row r="58113" ht="15" customHeight="1"/>
    <row r="58114" ht="15" customHeight="1"/>
    <row r="58115" ht="15" customHeight="1"/>
    <row r="58116" ht="15" customHeight="1"/>
    <row r="58117" ht="15" customHeight="1"/>
    <row r="58118" ht="15" customHeight="1"/>
    <row r="58119" ht="15" customHeight="1"/>
    <row r="58120" ht="15" customHeight="1"/>
    <row r="58121" ht="15" customHeight="1"/>
    <row r="58122" ht="15" customHeight="1"/>
    <row r="58123" ht="15" customHeight="1"/>
    <row r="58124" ht="15" customHeight="1"/>
    <row r="58125" ht="15" customHeight="1"/>
    <row r="58126" ht="15" customHeight="1"/>
    <row r="58127" ht="15" customHeight="1"/>
    <row r="58128" ht="15" customHeight="1"/>
    <row r="58129" ht="15" customHeight="1"/>
    <row r="58130" ht="15" customHeight="1"/>
    <row r="58131" ht="15" customHeight="1"/>
    <row r="58132" ht="15" customHeight="1"/>
    <row r="58133" ht="15" customHeight="1"/>
    <row r="58134" ht="15" customHeight="1"/>
    <row r="58135" ht="15" customHeight="1"/>
    <row r="58136" ht="15" customHeight="1"/>
    <row r="58137" ht="15" customHeight="1"/>
    <row r="58138" ht="15" customHeight="1"/>
    <row r="58139" ht="15" customHeight="1"/>
    <row r="58140" ht="15" customHeight="1"/>
    <row r="58141" ht="15" customHeight="1"/>
    <row r="58142" ht="15" customHeight="1"/>
    <row r="58143" ht="15" customHeight="1"/>
    <row r="58144" ht="15" customHeight="1"/>
    <row r="58145" ht="15" customHeight="1"/>
    <row r="58146" ht="15" customHeight="1"/>
    <row r="58147" ht="15" customHeight="1"/>
    <row r="58148" ht="15" customHeight="1"/>
    <row r="58149" ht="15" customHeight="1"/>
    <row r="58150" ht="15" customHeight="1"/>
    <row r="58151" ht="15" customHeight="1"/>
    <row r="58152" ht="15" customHeight="1"/>
    <row r="58153" ht="15" customHeight="1"/>
    <row r="58154" ht="15" customHeight="1"/>
    <row r="58155" ht="15" customHeight="1"/>
    <row r="58156" ht="15" customHeight="1"/>
    <row r="58157" ht="15" customHeight="1"/>
    <row r="58158" ht="15" customHeight="1"/>
    <row r="58159" ht="15" customHeight="1"/>
    <row r="58160" ht="15" customHeight="1"/>
    <row r="58161" ht="15" customHeight="1"/>
    <row r="58162" ht="15" customHeight="1"/>
    <row r="58163" ht="15" customHeight="1"/>
    <row r="58164" ht="15" customHeight="1"/>
    <row r="58165" ht="15" customHeight="1"/>
    <row r="58166" ht="15" customHeight="1"/>
    <row r="58167" ht="15" customHeight="1"/>
    <row r="58168" ht="15" customHeight="1"/>
    <row r="58169" ht="15" customHeight="1"/>
    <row r="58170" ht="15" customHeight="1"/>
    <row r="58171" ht="15" customHeight="1"/>
    <row r="58172" ht="15" customHeight="1"/>
    <row r="58173" ht="15" customHeight="1"/>
    <row r="58174" ht="15" customHeight="1"/>
    <row r="58175" ht="15" customHeight="1"/>
    <row r="58176" ht="15" customHeight="1"/>
    <row r="58177" ht="15" customHeight="1"/>
    <row r="58178" ht="15" customHeight="1"/>
    <row r="58179" ht="15" customHeight="1"/>
    <row r="58180" ht="15" customHeight="1"/>
    <row r="58181" ht="15" customHeight="1"/>
    <row r="58182" ht="15" customHeight="1"/>
    <row r="58183" ht="15" customHeight="1"/>
    <row r="58184" ht="15" customHeight="1"/>
    <row r="58185" ht="15" customHeight="1"/>
    <row r="58186" ht="15" customHeight="1"/>
    <row r="58187" ht="15" customHeight="1"/>
    <row r="58188" ht="15" customHeight="1"/>
    <row r="58189" ht="15" customHeight="1"/>
    <row r="58190" ht="15" customHeight="1"/>
    <row r="58191" ht="15" customHeight="1"/>
    <row r="58192" ht="15" customHeight="1"/>
    <row r="58193" ht="15" customHeight="1"/>
    <row r="58194" ht="15" customHeight="1"/>
    <row r="58195" ht="15" customHeight="1"/>
    <row r="58196" ht="15" customHeight="1"/>
    <row r="58197" ht="15" customHeight="1"/>
    <row r="58198" ht="15" customHeight="1"/>
    <row r="58199" ht="15" customHeight="1"/>
    <row r="58200" ht="15" customHeight="1"/>
    <row r="58201" ht="15" customHeight="1"/>
    <row r="58202" ht="15" customHeight="1"/>
    <row r="58203" ht="15" customHeight="1"/>
    <row r="58204" ht="15" customHeight="1"/>
    <row r="58205" ht="15" customHeight="1"/>
    <row r="58206" ht="15" customHeight="1"/>
    <row r="58207" ht="15" customHeight="1"/>
    <row r="58208" ht="15" customHeight="1"/>
    <row r="58209" ht="15" customHeight="1"/>
    <row r="58210" ht="15" customHeight="1"/>
    <row r="58211" ht="15" customHeight="1"/>
    <row r="58212" ht="15" customHeight="1"/>
    <row r="58213" ht="15" customHeight="1"/>
    <row r="58214" ht="15" customHeight="1"/>
    <row r="58215" ht="15" customHeight="1"/>
    <row r="58216" ht="15" customHeight="1"/>
    <row r="58217" ht="15" customHeight="1"/>
    <row r="58218" ht="15" customHeight="1"/>
    <row r="58219" ht="15" customHeight="1"/>
    <row r="58220" ht="15" customHeight="1"/>
    <row r="58221" ht="15" customHeight="1"/>
    <row r="58222" ht="15" customHeight="1"/>
    <row r="58223" ht="15" customHeight="1"/>
    <row r="58224" ht="15" customHeight="1"/>
    <row r="58225" ht="15" customHeight="1"/>
    <row r="58226" ht="15" customHeight="1"/>
    <row r="58227" ht="15" customHeight="1"/>
    <row r="58228" ht="15" customHeight="1"/>
    <row r="58229" ht="15" customHeight="1"/>
    <row r="58230" ht="15" customHeight="1"/>
    <row r="58231" ht="15" customHeight="1"/>
    <row r="58232" ht="15" customHeight="1"/>
    <row r="58233" ht="15" customHeight="1"/>
    <row r="58234" ht="15" customHeight="1"/>
    <row r="58235" ht="15" customHeight="1"/>
    <row r="58236" ht="15" customHeight="1"/>
    <row r="58237" ht="15" customHeight="1"/>
    <row r="58238" ht="15" customHeight="1"/>
    <row r="58239" ht="15" customHeight="1"/>
    <row r="58240" ht="15" customHeight="1"/>
    <row r="58241" ht="15" customHeight="1"/>
    <row r="58242" ht="15" customHeight="1"/>
    <row r="58243" ht="15" customHeight="1"/>
    <row r="58244" ht="15" customHeight="1"/>
    <row r="58245" ht="15" customHeight="1"/>
    <row r="58246" ht="15" customHeight="1"/>
    <row r="58247" ht="15" customHeight="1"/>
    <row r="58248" ht="15" customHeight="1"/>
    <row r="58249" ht="15" customHeight="1"/>
    <row r="58250" ht="15" customHeight="1"/>
    <row r="58251" ht="15" customHeight="1"/>
    <row r="58252" ht="15" customHeight="1"/>
    <row r="58253" ht="15" customHeight="1"/>
    <row r="58254" ht="15" customHeight="1"/>
    <row r="58255" ht="15" customHeight="1"/>
    <row r="58256" ht="15" customHeight="1"/>
    <row r="58257" ht="15" customHeight="1"/>
    <row r="58258" ht="15" customHeight="1"/>
    <row r="58259" ht="15" customHeight="1"/>
    <row r="58260" ht="15" customHeight="1"/>
    <row r="58261" ht="15" customHeight="1"/>
    <row r="58262" ht="15" customHeight="1"/>
    <row r="58263" ht="15" customHeight="1"/>
    <row r="58264" ht="15" customHeight="1"/>
    <row r="58265" ht="15" customHeight="1"/>
    <row r="58266" ht="15" customHeight="1"/>
    <row r="58267" ht="15" customHeight="1"/>
    <row r="58268" ht="15" customHeight="1"/>
    <row r="58269" ht="15" customHeight="1"/>
    <row r="58270" ht="15" customHeight="1"/>
    <row r="58271" ht="15" customHeight="1"/>
    <row r="58272" ht="15" customHeight="1"/>
    <row r="58273" ht="15" customHeight="1"/>
    <row r="58274" ht="15" customHeight="1"/>
    <row r="58275" ht="15" customHeight="1"/>
    <row r="58276" ht="15" customHeight="1"/>
    <row r="58277" ht="15" customHeight="1"/>
    <row r="58278" ht="15" customHeight="1"/>
    <row r="58279" ht="15" customHeight="1"/>
    <row r="58280" ht="15" customHeight="1"/>
    <row r="58281" ht="15" customHeight="1"/>
    <row r="58282" ht="15" customHeight="1"/>
    <row r="58283" ht="15" customHeight="1"/>
    <row r="58284" ht="15" customHeight="1"/>
    <row r="58285" ht="15" customHeight="1"/>
    <row r="58286" ht="15" customHeight="1"/>
    <row r="58287" ht="15" customHeight="1"/>
    <row r="58288" ht="15" customHeight="1"/>
    <row r="58289" ht="15" customHeight="1"/>
    <row r="58290" ht="15" customHeight="1"/>
    <row r="58291" ht="15" customHeight="1"/>
    <row r="58292" ht="15" customHeight="1"/>
    <row r="58293" ht="15" customHeight="1"/>
    <row r="58294" ht="15" customHeight="1"/>
    <row r="58295" ht="15" customHeight="1"/>
    <row r="58296" ht="15" customHeight="1"/>
    <row r="58297" ht="15" customHeight="1"/>
    <row r="58298" ht="15" customHeight="1"/>
    <row r="58299" ht="15" customHeight="1"/>
    <row r="58300" ht="15" customHeight="1"/>
    <row r="58301" ht="15" customHeight="1"/>
    <row r="58302" ht="15" customHeight="1"/>
    <row r="58303" ht="15" customHeight="1"/>
    <row r="58304" ht="15" customHeight="1"/>
    <row r="58305" ht="15" customHeight="1"/>
    <row r="58306" ht="15" customHeight="1"/>
    <row r="58307" ht="15" customHeight="1"/>
    <row r="58308" ht="15" customHeight="1"/>
    <row r="58309" ht="15" customHeight="1"/>
    <row r="58310" ht="15" customHeight="1"/>
    <row r="58311" ht="15" customHeight="1"/>
    <row r="58312" ht="15" customHeight="1"/>
    <row r="58313" ht="15" customHeight="1"/>
    <row r="58314" ht="15" customHeight="1"/>
    <row r="58315" ht="15" customHeight="1"/>
    <row r="58316" ht="15" customHeight="1"/>
    <row r="58317" ht="15" customHeight="1"/>
    <row r="58318" ht="15" customHeight="1"/>
    <row r="58319" ht="15" customHeight="1"/>
    <row r="58320" ht="15" customHeight="1"/>
    <row r="58321" ht="15" customHeight="1"/>
    <row r="58322" ht="15" customHeight="1"/>
    <row r="58323" ht="15" customHeight="1"/>
    <row r="58324" ht="15" customHeight="1"/>
    <row r="58325" ht="15" customHeight="1"/>
    <row r="58326" ht="15" customHeight="1"/>
    <row r="58327" ht="15" customHeight="1"/>
    <row r="58328" ht="15" customHeight="1"/>
    <row r="58329" ht="15" customHeight="1"/>
    <row r="58330" ht="15" customHeight="1"/>
    <row r="58331" ht="15" customHeight="1"/>
    <row r="58332" ht="15" customHeight="1"/>
    <row r="58333" ht="15" customHeight="1"/>
    <row r="58334" ht="15" customHeight="1"/>
    <row r="58335" ht="15" customHeight="1"/>
    <row r="58336" ht="15" customHeight="1"/>
    <row r="58337" ht="15" customHeight="1"/>
    <row r="58338" ht="15" customHeight="1"/>
    <row r="58339" ht="15" customHeight="1"/>
    <row r="58340" ht="15" customHeight="1"/>
    <row r="58341" ht="15" customHeight="1"/>
    <row r="58342" ht="15" customHeight="1"/>
    <row r="58343" ht="15" customHeight="1"/>
    <row r="58344" ht="15" customHeight="1"/>
    <row r="58345" ht="15" customHeight="1"/>
    <row r="58346" ht="15" customHeight="1"/>
    <row r="58347" ht="15" customHeight="1"/>
    <row r="58348" ht="15" customHeight="1"/>
    <row r="58349" ht="15" customHeight="1"/>
    <row r="58350" ht="15" customHeight="1"/>
    <row r="58351" ht="15" customHeight="1"/>
    <row r="58352" ht="15" customHeight="1"/>
    <row r="58353" ht="15" customHeight="1"/>
    <row r="58354" ht="15" customHeight="1"/>
    <row r="58355" ht="15" customHeight="1"/>
    <row r="58356" ht="15" customHeight="1"/>
    <row r="58357" ht="15" customHeight="1"/>
    <row r="58358" ht="15" customHeight="1"/>
    <row r="58359" ht="15" customHeight="1"/>
    <row r="58360" ht="15" customHeight="1"/>
    <row r="58361" ht="15" customHeight="1"/>
    <row r="58362" ht="15" customHeight="1"/>
    <row r="58363" ht="15" customHeight="1"/>
    <row r="58364" ht="15" customHeight="1"/>
    <row r="58365" ht="15" customHeight="1"/>
    <row r="58366" ht="15" customHeight="1"/>
    <row r="58367" ht="15" customHeight="1"/>
    <row r="58368" ht="15" customHeight="1"/>
    <row r="58369" ht="15" customHeight="1"/>
    <row r="58370" ht="15" customHeight="1"/>
    <row r="58371" ht="15" customHeight="1"/>
    <row r="58372" ht="15" customHeight="1"/>
    <row r="58373" ht="15" customHeight="1"/>
    <row r="58374" ht="15" customHeight="1"/>
    <row r="58375" ht="15" customHeight="1"/>
    <row r="58376" ht="15" customHeight="1"/>
    <row r="58377" ht="15" customHeight="1"/>
    <row r="58378" ht="15" customHeight="1"/>
    <row r="58379" ht="15" customHeight="1"/>
    <row r="58380" ht="15" customHeight="1"/>
    <row r="58381" ht="15" customHeight="1"/>
    <row r="58382" ht="15" customHeight="1"/>
    <row r="58383" ht="15" customHeight="1"/>
    <row r="58384" ht="15" customHeight="1"/>
    <row r="58385" ht="15" customHeight="1"/>
    <row r="58386" ht="15" customHeight="1"/>
    <row r="58387" ht="15" customHeight="1"/>
    <row r="58388" ht="15" customHeight="1"/>
    <row r="58389" ht="15" customHeight="1"/>
    <row r="58390" ht="15" customHeight="1"/>
    <row r="58391" ht="15" customHeight="1"/>
    <row r="58392" ht="15" customHeight="1"/>
    <row r="58393" ht="15" customHeight="1"/>
    <row r="58394" ht="15" customHeight="1"/>
    <row r="58395" ht="15" customHeight="1"/>
    <row r="58396" ht="15" customHeight="1"/>
    <row r="58397" ht="15" customHeight="1"/>
    <row r="58398" ht="15" customHeight="1"/>
    <row r="58399" ht="15" customHeight="1"/>
    <row r="58400" ht="15" customHeight="1"/>
    <row r="58401" ht="15" customHeight="1"/>
    <row r="58402" ht="15" customHeight="1"/>
    <row r="58403" ht="15" customHeight="1"/>
    <row r="58404" ht="15" customHeight="1"/>
    <row r="58405" ht="15" customHeight="1"/>
    <row r="58406" ht="15" customHeight="1"/>
    <row r="58407" ht="15" customHeight="1"/>
    <row r="58408" ht="15" customHeight="1"/>
    <row r="58409" ht="15" customHeight="1"/>
    <row r="58410" ht="15" customHeight="1"/>
    <row r="58411" ht="15" customHeight="1"/>
    <row r="58412" ht="15" customHeight="1"/>
    <row r="58413" ht="15" customHeight="1"/>
    <row r="58414" ht="15" customHeight="1"/>
    <row r="58415" ht="15" customHeight="1"/>
    <row r="58416" ht="15" customHeight="1"/>
    <row r="58417" ht="15" customHeight="1"/>
    <row r="58418" ht="15" customHeight="1"/>
    <row r="58419" ht="15" customHeight="1"/>
    <row r="58420" ht="15" customHeight="1"/>
    <row r="58421" ht="15" customHeight="1"/>
    <row r="58422" ht="15" customHeight="1"/>
    <row r="58423" ht="15" customHeight="1"/>
    <row r="58424" ht="15" customHeight="1"/>
    <row r="58425" ht="15" customHeight="1"/>
    <row r="58426" ht="15" customHeight="1"/>
    <row r="58427" ht="15" customHeight="1"/>
    <row r="58428" ht="15" customHeight="1"/>
    <row r="58429" ht="15" customHeight="1"/>
    <row r="58430" ht="15" customHeight="1"/>
    <row r="58431" ht="15" customHeight="1"/>
    <row r="58432" ht="15" customHeight="1"/>
    <row r="58433" ht="15" customHeight="1"/>
    <row r="58434" ht="15" customHeight="1"/>
    <row r="58435" ht="15" customHeight="1"/>
    <row r="58436" ht="15" customHeight="1"/>
    <row r="58437" ht="15" customHeight="1"/>
    <row r="58438" ht="15" customHeight="1"/>
    <row r="58439" ht="15" customHeight="1"/>
    <row r="58440" ht="15" customHeight="1"/>
    <row r="58441" ht="15" customHeight="1"/>
    <row r="58442" ht="15" customHeight="1"/>
    <row r="58443" ht="15" customHeight="1"/>
    <row r="58444" ht="15" customHeight="1"/>
    <row r="58445" ht="15" customHeight="1"/>
    <row r="58446" ht="15" customHeight="1"/>
    <row r="58447" ht="15" customHeight="1"/>
    <row r="58448" ht="15" customHeight="1"/>
    <row r="58449" ht="15" customHeight="1"/>
    <row r="58450" ht="15" customHeight="1"/>
    <row r="58451" ht="15" customHeight="1"/>
    <row r="58452" ht="15" customHeight="1"/>
    <row r="58453" ht="15" customHeight="1"/>
    <row r="58454" ht="15" customHeight="1"/>
    <row r="58455" ht="15" customHeight="1"/>
    <row r="58456" ht="15" customHeight="1"/>
    <row r="58457" ht="15" customHeight="1"/>
    <row r="58458" ht="15" customHeight="1"/>
    <row r="58459" ht="15" customHeight="1"/>
    <row r="58460" ht="15" customHeight="1"/>
    <row r="58461" ht="15" customHeight="1"/>
    <row r="58462" ht="15" customHeight="1"/>
    <row r="58463" ht="15" customHeight="1"/>
    <row r="58464" ht="15" customHeight="1"/>
    <row r="58465" ht="15" customHeight="1"/>
    <row r="58466" ht="15" customHeight="1"/>
    <row r="58467" ht="15" customHeight="1"/>
    <row r="58468" ht="15" customHeight="1"/>
    <row r="58469" ht="15" customHeight="1"/>
    <row r="58470" ht="15" customHeight="1"/>
    <row r="58471" ht="15" customHeight="1"/>
    <row r="58472" ht="15" customHeight="1"/>
    <row r="58473" ht="15" customHeight="1"/>
    <row r="58474" ht="15" customHeight="1"/>
    <row r="58475" ht="15" customHeight="1"/>
    <row r="58476" ht="15" customHeight="1"/>
    <row r="58477" ht="15" customHeight="1"/>
    <row r="58478" ht="15" customHeight="1"/>
    <row r="58479" ht="15" customHeight="1"/>
    <row r="58480" ht="15" customHeight="1"/>
    <row r="58481" ht="15" customHeight="1"/>
    <row r="58482" ht="15" customHeight="1"/>
    <row r="58483" ht="15" customHeight="1"/>
    <row r="58484" ht="15" customHeight="1"/>
    <row r="58485" ht="15" customHeight="1"/>
    <row r="58486" ht="15" customHeight="1"/>
    <row r="58487" ht="15" customHeight="1"/>
    <row r="58488" ht="15" customHeight="1"/>
    <row r="58489" ht="15" customHeight="1"/>
    <row r="58490" ht="15" customHeight="1"/>
    <row r="58491" ht="15" customHeight="1"/>
    <row r="58492" ht="15" customHeight="1"/>
    <row r="58493" ht="15" customHeight="1"/>
    <row r="58494" ht="15" customHeight="1"/>
    <row r="58495" ht="15" customHeight="1"/>
    <row r="58496" ht="15" customHeight="1"/>
    <row r="58497" ht="15" customHeight="1"/>
    <row r="58498" ht="15" customHeight="1"/>
    <row r="58499" ht="15" customHeight="1"/>
    <row r="58500" ht="15" customHeight="1"/>
    <row r="58501" ht="15" customHeight="1"/>
    <row r="58502" ht="15" customHeight="1"/>
    <row r="58503" ht="15" customHeight="1"/>
    <row r="58504" ht="15" customHeight="1"/>
    <row r="58505" ht="15" customHeight="1"/>
    <row r="58506" ht="15" customHeight="1"/>
    <row r="58507" ht="15" customHeight="1"/>
    <row r="58508" ht="15" customHeight="1"/>
    <row r="58509" ht="15" customHeight="1"/>
    <row r="58510" ht="15" customHeight="1"/>
    <row r="58511" ht="15" customHeight="1"/>
    <row r="58512" ht="15" customHeight="1"/>
    <row r="58513" ht="15" customHeight="1"/>
    <row r="58514" ht="15" customHeight="1"/>
    <row r="58515" ht="15" customHeight="1"/>
    <row r="58516" ht="15" customHeight="1"/>
    <row r="58517" ht="15" customHeight="1"/>
    <row r="58518" ht="15" customHeight="1"/>
    <row r="58519" ht="15" customHeight="1"/>
    <row r="58520" ht="15" customHeight="1"/>
    <row r="58521" ht="15" customHeight="1"/>
    <row r="58522" ht="15" customHeight="1"/>
    <row r="58523" ht="15" customHeight="1"/>
    <row r="58524" ht="15" customHeight="1"/>
    <row r="58525" ht="15" customHeight="1"/>
    <row r="58526" ht="15" customHeight="1"/>
    <row r="58527" ht="15" customHeight="1"/>
    <row r="58528" ht="15" customHeight="1"/>
    <row r="58529" ht="15" customHeight="1"/>
    <row r="58530" ht="15" customHeight="1"/>
    <row r="58531" ht="15" customHeight="1"/>
    <row r="58532" ht="15" customHeight="1"/>
    <row r="58533" ht="15" customHeight="1"/>
    <row r="58534" ht="15" customHeight="1"/>
    <row r="58535" ht="15" customHeight="1"/>
    <row r="58536" ht="15" customHeight="1"/>
    <row r="58537" ht="15" customHeight="1"/>
    <row r="58538" ht="15" customHeight="1"/>
    <row r="58539" ht="15" customHeight="1"/>
    <row r="58540" ht="15" customHeight="1"/>
    <row r="58541" ht="15" customHeight="1"/>
    <row r="58542" ht="15" customHeight="1"/>
    <row r="58543" ht="15" customHeight="1"/>
    <row r="58544" ht="15" customHeight="1"/>
    <row r="58545" ht="15" customHeight="1"/>
    <row r="58546" ht="15" customHeight="1"/>
    <row r="58547" ht="15" customHeight="1"/>
    <row r="58548" ht="15" customHeight="1"/>
    <row r="58549" ht="15" customHeight="1"/>
    <row r="58550" ht="15" customHeight="1"/>
    <row r="58551" ht="15" customHeight="1"/>
    <row r="58552" ht="15" customHeight="1"/>
    <row r="58553" ht="15" customHeight="1"/>
    <row r="58554" ht="15" customHeight="1"/>
    <row r="58555" ht="15" customHeight="1"/>
    <row r="58556" ht="15" customHeight="1"/>
    <row r="58557" ht="15" customHeight="1"/>
    <row r="58558" ht="15" customHeight="1"/>
    <row r="58559" ht="15" customHeight="1"/>
    <row r="58560" ht="15" customHeight="1"/>
    <row r="58561" ht="15" customHeight="1"/>
    <row r="58562" ht="15" customHeight="1"/>
    <row r="58563" ht="15" customHeight="1"/>
    <row r="58564" ht="15" customHeight="1"/>
    <row r="58565" ht="15" customHeight="1"/>
    <row r="58566" ht="15" customHeight="1"/>
    <row r="58567" ht="15" customHeight="1"/>
    <row r="58568" ht="15" customHeight="1"/>
    <row r="58569" ht="15" customHeight="1"/>
    <row r="58570" ht="15" customHeight="1"/>
    <row r="58571" ht="15" customHeight="1"/>
    <row r="58572" ht="15" customHeight="1"/>
    <row r="58573" ht="15" customHeight="1"/>
    <row r="58574" ht="15" customHeight="1"/>
    <row r="58575" ht="15" customHeight="1"/>
    <row r="58576" ht="15" customHeight="1"/>
    <row r="58577" ht="15" customHeight="1"/>
    <row r="58578" ht="15" customHeight="1"/>
    <row r="58579" ht="15" customHeight="1"/>
    <row r="58580" ht="15" customHeight="1"/>
    <row r="58581" ht="15" customHeight="1"/>
    <row r="58582" ht="15" customHeight="1"/>
    <row r="58583" ht="15" customHeight="1"/>
    <row r="58584" ht="15" customHeight="1"/>
    <row r="58585" ht="15" customHeight="1"/>
    <row r="58586" ht="15" customHeight="1"/>
    <row r="58587" ht="15" customHeight="1"/>
    <row r="58588" ht="15" customHeight="1"/>
    <row r="58589" ht="15" customHeight="1"/>
    <row r="58590" ht="15" customHeight="1"/>
    <row r="58591" ht="15" customHeight="1"/>
    <row r="58592" ht="15" customHeight="1"/>
    <row r="58593" ht="15" customHeight="1"/>
    <row r="58594" ht="15" customHeight="1"/>
    <row r="58595" ht="15" customHeight="1"/>
    <row r="58596" ht="15" customHeight="1"/>
    <row r="58597" ht="15" customHeight="1"/>
    <row r="58598" ht="15" customHeight="1"/>
    <row r="58599" ht="15" customHeight="1"/>
    <row r="58600" ht="15" customHeight="1"/>
    <row r="58601" ht="15" customHeight="1"/>
    <row r="58602" ht="15" customHeight="1"/>
    <row r="58603" ht="15" customHeight="1"/>
    <row r="58604" ht="15" customHeight="1"/>
    <row r="58605" ht="15" customHeight="1"/>
    <row r="58606" ht="15" customHeight="1"/>
    <row r="58607" ht="15" customHeight="1"/>
    <row r="58608" ht="15" customHeight="1"/>
    <row r="58609" ht="15" customHeight="1"/>
    <row r="58610" ht="15" customHeight="1"/>
    <row r="58611" ht="15" customHeight="1"/>
    <row r="58612" ht="15" customHeight="1"/>
    <row r="58613" ht="15" customHeight="1"/>
    <row r="58614" ht="15" customHeight="1"/>
    <row r="58615" ht="15" customHeight="1"/>
    <row r="58616" ht="15" customHeight="1"/>
    <row r="58617" ht="15" customHeight="1"/>
    <row r="58618" ht="15" customHeight="1"/>
    <row r="58619" ht="15" customHeight="1"/>
    <row r="58620" ht="15" customHeight="1"/>
    <row r="58621" ht="15" customHeight="1"/>
    <row r="58622" ht="15" customHeight="1"/>
    <row r="58623" ht="15" customHeight="1"/>
    <row r="58624" ht="15" customHeight="1"/>
    <row r="58625" ht="15" customHeight="1"/>
    <row r="58626" ht="15" customHeight="1"/>
    <row r="58627" ht="15" customHeight="1"/>
    <row r="58628" ht="15" customHeight="1"/>
    <row r="58629" ht="15" customHeight="1"/>
    <row r="58630" ht="15" customHeight="1"/>
    <row r="58631" ht="15" customHeight="1"/>
    <row r="58632" ht="15" customHeight="1"/>
    <row r="58633" ht="15" customHeight="1"/>
    <row r="58634" ht="15" customHeight="1"/>
    <row r="58635" ht="15" customHeight="1"/>
    <row r="58636" ht="15" customHeight="1"/>
    <row r="58637" ht="15" customHeight="1"/>
    <row r="58638" ht="15" customHeight="1"/>
    <row r="58639" ht="15" customHeight="1"/>
    <row r="58640" ht="15" customHeight="1"/>
    <row r="58641" ht="15" customHeight="1"/>
    <row r="58642" ht="15" customHeight="1"/>
    <row r="58643" ht="15" customHeight="1"/>
    <row r="58644" ht="15" customHeight="1"/>
    <row r="58645" ht="15" customHeight="1"/>
    <row r="58646" ht="15" customHeight="1"/>
    <row r="58647" ht="15" customHeight="1"/>
    <row r="58648" ht="15" customHeight="1"/>
    <row r="58649" ht="15" customHeight="1"/>
    <row r="58650" ht="15" customHeight="1"/>
    <row r="58651" ht="15" customHeight="1"/>
    <row r="58652" ht="15" customHeight="1"/>
    <row r="58653" ht="15" customHeight="1"/>
    <row r="58654" ht="15" customHeight="1"/>
    <row r="58655" ht="15" customHeight="1"/>
    <row r="58656" ht="15" customHeight="1"/>
    <row r="58657" ht="15" customHeight="1"/>
    <row r="58658" ht="15" customHeight="1"/>
    <row r="58659" ht="15" customHeight="1"/>
    <row r="58660" ht="15" customHeight="1"/>
    <row r="58661" ht="15" customHeight="1"/>
    <row r="58662" ht="15" customHeight="1"/>
    <row r="58663" ht="15" customHeight="1"/>
    <row r="58664" ht="15" customHeight="1"/>
    <row r="58665" ht="15" customHeight="1"/>
    <row r="58666" ht="15" customHeight="1"/>
    <row r="58667" ht="15" customHeight="1"/>
    <row r="58668" ht="15" customHeight="1"/>
    <row r="58669" ht="15" customHeight="1"/>
    <row r="58670" ht="15" customHeight="1"/>
    <row r="58671" ht="15" customHeight="1"/>
    <row r="58672" ht="15" customHeight="1"/>
    <row r="58673" ht="15" customHeight="1"/>
    <row r="58674" ht="15" customHeight="1"/>
    <row r="58675" ht="15" customHeight="1"/>
    <row r="58676" ht="15" customHeight="1"/>
    <row r="58677" ht="15" customHeight="1"/>
    <row r="58678" ht="15" customHeight="1"/>
    <row r="58679" ht="15" customHeight="1"/>
    <row r="58680" ht="15" customHeight="1"/>
    <row r="58681" ht="15" customHeight="1"/>
    <row r="58682" ht="15" customHeight="1"/>
    <row r="58683" ht="15" customHeight="1"/>
    <row r="58684" ht="15" customHeight="1"/>
    <row r="58685" ht="15" customHeight="1"/>
    <row r="58686" ht="15" customHeight="1"/>
    <row r="58687" ht="15" customHeight="1"/>
    <row r="58688" ht="15" customHeight="1"/>
    <row r="58689" ht="15" customHeight="1"/>
    <row r="58690" ht="15" customHeight="1"/>
    <row r="58691" ht="15" customHeight="1"/>
    <row r="58692" ht="15" customHeight="1"/>
    <row r="58693" ht="15" customHeight="1"/>
    <row r="58694" ht="15" customHeight="1"/>
    <row r="58695" ht="15" customHeight="1"/>
    <row r="58696" ht="15" customHeight="1"/>
    <row r="58697" ht="15" customHeight="1"/>
    <row r="58698" ht="15" customHeight="1"/>
    <row r="58699" ht="15" customHeight="1"/>
    <row r="58700" ht="15" customHeight="1"/>
    <row r="58701" ht="15" customHeight="1"/>
    <row r="58702" ht="15" customHeight="1"/>
    <row r="58703" ht="15" customHeight="1"/>
    <row r="58704" ht="15" customHeight="1"/>
    <row r="58705" ht="15" customHeight="1"/>
    <row r="58706" ht="15" customHeight="1"/>
    <row r="58707" ht="15" customHeight="1"/>
    <row r="58708" ht="15" customHeight="1"/>
    <row r="58709" ht="15" customHeight="1"/>
    <row r="58710" ht="15" customHeight="1"/>
    <row r="58711" ht="15" customHeight="1"/>
    <row r="58712" ht="15" customHeight="1"/>
    <row r="58713" ht="15" customHeight="1"/>
    <row r="58714" ht="15" customHeight="1"/>
    <row r="58715" ht="15" customHeight="1"/>
    <row r="58716" ht="15" customHeight="1"/>
    <row r="58717" ht="15" customHeight="1"/>
    <row r="58718" ht="15" customHeight="1"/>
    <row r="58719" ht="15" customHeight="1"/>
    <row r="58720" ht="15" customHeight="1"/>
    <row r="58721" ht="15" customHeight="1"/>
    <row r="58722" ht="15" customHeight="1"/>
    <row r="58723" ht="15" customHeight="1"/>
    <row r="58724" ht="15" customHeight="1"/>
    <row r="58725" ht="15" customHeight="1"/>
    <row r="58726" ht="15" customHeight="1"/>
    <row r="58727" ht="15" customHeight="1"/>
    <row r="58728" ht="15" customHeight="1"/>
    <row r="58729" ht="15" customHeight="1"/>
    <row r="58730" ht="15" customHeight="1"/>
    <row r="58731" ht="15" customHeight="1"/>
    <row r="58732" ht="15" customHeight="1"/>
    <row r="58733" ht="15" customHeight="1"/>
    <row r="58734" ht="15" customHeight="1"/>
    <row r="58735" ht="15" customHeight="1"/>
    <row r="58736" ht="15" customHeight="1"/>
    <row r="58737" ht="15" customHeight="1"/>
    <row r="58738" ht="15" customHeight="1"/>
    <row r="58739" ht="15" customHeight="1"/>
    <row r="58740" ht="15" customHeight="1"/>
    <row r="58741" ht="15" customHeight="1"/>
    <row r="58742" ht="15" customHeight="1"/>
    <row r="58743" ht="15" customHeight="1"/>
    <row r="58744" ht="15" customHeight="1"/>
    <row r="58745" ht="15" customHeight="1"/>
    <row r="58746" ht="15" customHeight="1"/>
    <row r="58747" ht="15" customHeight="1"/>
    <row r="58748" ht="15" customHeight="1"/>
    <row r="58749" ht="15" customHeight="1"/>
    <row r="58750" ht="15" customHeight="1"/>
    <row r="58751" ht="15" customHeight="1"/>
    <row r="58752" ht="15" customHeight="1"/>
    <row r="58753" ht="15" customHeight="1"/>
    <row r="58754" ht="15" customHeight="1"/>
    <row r="58755" ht="15" customHeight="1"/>
    <row r="58756" ht="15" customHeight="1"/>
    <row r="58757" ht="15" customHeight="1"/>
    <row r="58758" ht="15" customHeight="1"/>
    <row r="58759" ht="15" customHeight="1"/>
    <row r="58760" ht="15" customHeight="1"/>
    <row r="58761" ht="15" customHeight="1"/>
    <row r="58762" ht="15" customHeight="1"/>
    <row r="58763" ht="15" customHeight="1"/>
    <row r="58764" ht="15" customHeight="1"/>
    <row r="58765" ht="15" customHeight="1"/>
    <row r="58766" ht="15" customHeight="1"/>
    <row r="58767" ht="15" customHeight="1"/>
    <row r="58768" ht="15" customHeight="1"/>
    <row r="58769" ht="15" customHeight="1"/>
    <row r="58770" ht="15" customHeight="1"/>
    <row r="58771" ht="15" customHeight="1"/>
    <row r="58772" ht="15" customHeight="1"/>
    <row r="58773" ht="15" customHeight="1"/>
    <row r="58774" ht="15" customHeight="1"/>
    <row r="58775" ht="15" customHeight="1"/>
    <row r="58776" ht="15" customHeight="1"/>
    <row r="58777" ht="15" customHeight="1"/>
    <row r="58778" ht="15" customHeight="1"/>
    <row r="58779" ht="15" customHeight="1"/>
    <row r="58780" ht="15" customHeight="1"/>
    <row r="58781" ht="15" customHeight="1"/>
    <row r="58782" ht="15" customHeight="1"/>
    <row r="58783" ht="15" customHeight="1"/>
    <row r="58784" ht="15" customHeight="1"/>
    <row r="58785" ht="15" customHeight="1"/>
    <row r="58786" ht="15" customHeight="1"/>
    <row r="58787" ht="15" customHeight="1"/>
    <row r="58788" ht="15" customHeight="1"/>
    <row r="58789" ht="15" customHeight="1"/>
    <row r="58790" ht="15" customHeight="1"/>
    <row r="58791" ht="15" customHeight="1"/>
    <row r="58792" ht="15" customHeight="1"/>
    <row r="58793" ht="15" customHeight="1"/>
    <row r="58794" ht="15" customHeight="1"/>
    <row r="58795" ht="15" customHeight="1"/>
    <row r="58796" ht="15" customHeight="1"/>
    <row r="58797" ht="15" customHeight="1"/>
    <row r="58798" ht="15" customHeight="1"/>
    <row r="58799" ht="15" customHeight="1"/>
    <row r="58800" ht="15" customHeight="1"/>
    <row r="58801" ht="15" customHeight="1"/>
    <row r="58802" ht="15" customHeight="1"/>
    <row r="58803" ht="15" customHeight="1"/>
    <row r="58804" ht="15" customHeight="1"/>
    <row r="58805" ht="15" customHeight="1"/>
    <row r="58806" ht="15" customHeight="1"/>
    <row r="58807" ht="15" customHeight="1"/>
    <row r="58808" ht="15" customHeight="1"/>
    <row r="58809" ht="15" customHeight="1"/>
    <row r="58810" ht="15" customHeight="1"/>
    <row r="58811" ht="15" customHeight="1"/>
    <row r="58812" ht="15" customHeight="1"/>
    <row r="58813" ht="15" customHeight="1"/>
    <row r="58814" ht="15" customHeight="1"/>
    <row r="58815" ht="15" customHeight="1"/>
    <row r="58816" ht="15" customHeight="1"/>
    <row r="58817" ht="15" customHeight="1"/>
    <row r="58818" ht="15" customHeight="1"/>
    <row r="58819" ht="15" customHeight="1"/>
    <row r="58820" ht="15" customHeight="1"/>
    <row r="58821" ht="15" customHeight="1"/>
    <row r="58822" ht="15" customHeight="1"/>
    <row r="58823" ht="15" customHeight="1"/>
    <row r="58824" ht="15" customHeight="1"/>
    <row r="58825" ht="15" customHeight="1"/>
    <row r="58826" ht="15" customHeight="1"/>
    <row r="58827" ht="15" customHeight="1"/>
    <row r="58828" ht="15" customHeight="1"/>
    <row r="58829" ht="15" customHeight="1"/>
    <row r="58830" ht="15" customHeight="1"/>
    <row r="58831" ht="15" customHeight="1"/>
    <row r="58832" ht="15" customHeight="1"/>
    <row r="58833" ht="15" customHeight="1"/>
    <row r="58834" ht="15" customHeight="1"/>
    <row r="58835" ht="15" customHeight="1"/>
    <row r="58836" ht="15" customHeight="1"/>
    <row r="58837" ht="15" customHeight="1"/>
    <row r="58838" ht="15" customHeight="1"/>
    <row r="58839" ht="15" customHeight="1"/>
    <row r="58840" ht="15" customHeight="1"/>
    <row r="58841" ht="15" customHeight="1"/>
    <row r="58842" ht="15" customHeight="1"/>
    <row r="58843" ht="15" customHeight="1"/>
    <row r="58844" ht="15" customHeight="1"/>
    <row r="58845" ht="15" customHeight="1"/>
    <row r="58846" ht="15" customHeight="1"/>
    <row r="58847" ht="15" customHeight="1"/>
    <row r="58848" ht="15" customHeight="1"/>
    <row r="58849" ht="15" customHeight="1"/>
    <row r="58850" ht="15" customHeight="1"/>
    <row r="58851" ht="15" customHeight="1"/>
    <row r="58852" ht="15" customHeight="1"/>
    <row r="58853" ht="15" customHeight="1"/>
    <row r="58854" ht="15" customHeight="1"/>
    <row r="58855" ht="15" customHeight="1"/>
    <row r="58856" ht="15" customHeight="1"/>
    <row r="58857" ht="15" customHeight="1"/>
    <row r="58858" ht="15" customHeight="1"/>
    <row r="58859" ht="15" customHeight="1"/>
    <row r="58860" ht="15" customHeight="1"/>
    <row r="58861" ht="15" customHeight="1"/>
    <row r="58862" ht="15" customHeight="1"/>
    <row r="58863" ht="15" customHeight="1"/>
    <row r="58864" ht="15" customHeight="1"/>
    <row r="58865" ht="15" customHeight="1"/>
    <row r="58866" ht="15" customHeight="1"/>
    <row r="58867" ht="15" customHeight="1"/>
    <row r="58868" ht="15" customHeight="1"/>
    <row r="58869" ht="15" customHeight="1"/>
    <row r="58870" ht="15" customHeight="1"/>
    <row r="58871" ht="15" customHeight="1"/>
    <row r="58872" ht="15" customHeight="1"/>
    <row r="58873" ht="15" customHeight="1"/>
    <row r="58874" ht="15" customHeight="1"/>
    <row r="58875" ht="15" customHeight="1"/>
    <row r="58876" ht="15" customHeight="1"/>
    <row r="58877" ht="15" customHeight="1"/>
    <row r="58878" ht="15" customHeight="1"/>
    <row r="58879" ht="15" customHeight="1"/>
    <row r="58880" ht="15" customHeight="1"/>
    <row r="58881" ht="15" customHeight="1"/>
    <row r="58882" ht="15" customHeight="1"/>
    <row r="58883" ht="15" customHeight="1"/>
    <row r="58884" ht="15" customHeight="1"/>
    <row r="58885" ht="15" customHeight="1"/>
    <row r="58886" ht="15" customHeight="1"/>
    <row r="58887" ht="15" customHeight="1"/>
    <row r="58888" ht="15" customHeight="1"/>
    <row r="58889" ht="15" customHeight="1"/>
    <row r="58890" ht="15" customHeight="1"/>
    <row r="58891" ht="15" customHeight="1"/>
    <row r="58892" ht="15" customHeight="1"/>
    <row r="58893" ht="15" customHeight="1"/>
    <row r="58894" ht="15" customHeight="1"/>
    <row r="58895" ht="15" customHeight="1"/>
    <row r="58896" ht="15" customHeight="1"/>
    <row r="58897" ht="15" customHeight="1"/>
    <row r="58898" ht="15" customHeight="1"/>
    <row r="58899" ht="15" customHeight="1"/>
    <row r="58900" ht="15" customHeight="1"/>
    <row r="58901" ht="15" customHeight="1"/>
    <row r="58902" ht="15" customHeight="1"/>
    <row r="58903" ht="15" customHeight="1"/>
    <row r="58904" ht="15" customHeight="1"/>
    <row r="58905" ht="15" customHeight="1"/>
    <row r="58906" ht="15" customHeight="1"/>
    <row r="58907" ht="15" customHeight="1"/>
    <row r="58908" ht="15" customHeight="1"/>
    <row r="58909" ht="15" customHeight="1"/>
    <row r="58910" ht="15" customHeight="1"/>
    <row r="58911" ht="15" customHeight="1"/>
    <row r="58912" ht="15" customHeight="1"/>
    <row r="58913" ht="15" customHeight="1"/>
    <row r="58914" ht="15" customHeight="1"/>
    <row r="58915" ht="15" customHeight="1"/>
    <row r="58916" ht="15" customHeight="1"/>
    <row r="58917" ht="15" customHeight="1"/>
    <row r="58918" ht="15" customHeight="1"/>
    <row r="58919" ht="15" customHeight="1"/>
    <row r="58920" ht="15" customHeight="1"/>
    <row r="58921" ht="15" customHeight="1"/>
    <row r="58922" ht="15" customHeight="1"/>
    <row r="58923" ht="15" customHeight="1"/>
    <row r="58924" ht="15" customHeight="1"/>
    <row r="58925" ht="15" customHeight="1"/>
    <row r="58926" ht="15" customHeight="1"/>
    <row r="58927" ht="15" customHeight="1"/>
    <row r="58928" ht="15" customHeight="1"/>
    <row r="58929" ht="15" customHeight="1"/>
    <row r="58930" ht="15" customHeight="1"/>
    <row r="58931" ht="15" customHeight="1"/>
    <row r="58932" ht="15" customHeight="1"/>
    <row r="58933" ht="15" customHeight="1"/>
    <row r="58934" ht="15" customHeight="1"/>
    <row r="58935" ht="15" customHeight="1"/>
    <row r="58936" ht="15" customHeight="1"/>
    <row r="58937" ht="15" customHeight="1"/>
    <row r="58938" ht="15" customHeight="1"/>
    <row r="58939" ht="15" customHeight="1"/>
    <row r="58940" ht="15" customHeight="1"/>
    <row r="58941" ht="15" customHeight="1"/>
    <row r="58942" ht="15" customHeight="1"/>
    <row r="58943" ht="15" customHeight="1"/>
    <row r="58944" ht="15" customHeight="1"/>
    <row r="58945" ht="15" customHeight="1"/>
    <row r="58946" ht="15" customHeight="1"/>
    <row r="58947" ht="15" customHeight="1"/>
    <row r="58948" ht="15" customHeight="1"/>
    <row r="58949" ht="15" customHeight="1"/>
    <row r="58950" ht="15" customHeight="1"/>
    <row r="58951" ht="15" customHeight="1"/>
    <row r="58952" ht="15" customHeight="1"/>
    <row r="58953" ht="15" customHeight="1"/>
    <row r="58954" ht="15" customHeight="1"/>
    <row r="58955" ht="15" customHeight="1"/>
    <row r="58956" ht="15" customHeight="1"/>
    <row r="58957" ht="15" customHeight="1"/>
    <row r="58958" ht="15" customHeight="1"/>
    <row r="58959" ht="15" customHeight="1"/>
    <row r="58960" ht="15" customHeight="1"/>
    <row r="58961" ht="15" customHeight="1"/>
    <row r="58962" ht="15" customHeight="1"/>
    <row r="58963" ht="15" customHeight="1"/>
    <row r="58964" ht="15" customHeight="1"/>
    <row r="58965" ht="15" customHeight="1"/>
    <row r="58966" ht="15" customHeight="1"/>
    <row r="58967" ht="15" customHeight="1"/>
    <row r="58968" ht="15" customHeight="1"/>
    <row r="58969" ht="15" customHeight="1"/>
    <row r="58970" ht="15" customHeight="1"/>
    <row r="58971" ht="15" customHeight="1"/>
    <row r="58972" ht="15" customHeight="1"/>
    <row r="58973" ht="15" customHeight="1"/>
    <row r="58974" ht="15" customHeight="1"/>
    <row r="58975" ht="15" customHeight="1"/>
    <row r="58976" ht="15" customHeight="1"/>
    <row r="58977" ht="15" customHeight="1"/>
    <row r="58978" ht="15" customHeight="1"/>
    <row r="58979" ht="15" customHeight="1"/>
    <row r="58980" ht="15" customHeight="1"/>
    <row r="58981" ht="15" customHeight="1"/>
    <row r="58982" ht="15" customHeight="1"/>
    <row r="58983" ht="15" customHeight="1"/>
    <row r="58984" ht="15" customHeight="1"/>
    <row r="58985" ht="15" customHeight="1"/>
    <row r="58986" ht="15" customHeight="1"/>
    <row r="58987" ht="15" customHeight="1"/>
    <row r="58988" ht="15" customHeight="1"/>
    <row r="58989" ht="15" customHeight="1"/>
    <row r="58990" ht="15" customHeight="1"/>
    <row r="58991" ht="15" customHeight="1"/>
    <row r="58992" ht="15" customHeight="1"/>
    <row r="58993" ht="15" customHeight="1"/>
    <row r="58994" ht="15" customHeight="1"/>
    <row r="58995" ht="15" customHeight="1"/>
    <row r="58996" ht="15" customHeight="1"/>
    <row r="58997" ht="15" customHeight="1"/>
    <row r="58998" ht="15" customHeight="1"/>
    <row r="58999" ht="15" customHeight="1"/>
    <row r="59000" ht="15" customHeight="1"/>
    <row r="59001" ht="15" customHeight="1"/>
    <row r="59002" ht="15" customHeight="1"/>
    <row r="59003" ht="15" customHeight="1"/>
    <row r="59004" ht="15" customHeight="1"/>
    <row r="59005" ht="15" customHeight="1"/>
    <row r="59006" ht="15" customHeight="1"/>
    <row r="59007" ht="15" customHeight="1"/>
    <row r="59008" ht="15" customHeight="1"/>
    <row r="59009" ht="15" customHeight="1"/>
    <row r="59010" ht="15" customHeight="1"/>
    <row r="59011" ht="15" customHeight="1"/>
    <row r="59012" ht="15" customHeight="1"/>
    <row r="59013" ht="15" customHeight="1"/>
    <row r="59014" ht="15" customHeight="1"/>
    <row r="59015" ht="15" customHeight="1"/>
    <row r="59016" ht="15" customHeight="1"/>
    <row r="59017" ht="15" customHeight="1"/>
    <row r="59018" ht="15" customHeight="1"/>
    <row r="59019" ht="15" customHeight="1"/>
    <row r="59020" ht="15" customHeight="1"/>
    <row r="59021" ht="15" customHeight="1"/>
    <row r="59022" ht="15" customHeight="1"/>
    <row r="59023" ht="15" customHeight="1"/>
    <row r="59024" ht="15" customHeight="1"/>
    <row r="59025" ht="15" customHeight="1"/>
    <row r="59026" ht="15" customHeight="1"/>
    <row r="59027" ht="15" customHeight="1"/>
    <row r="59028" ht="15" customHeight="1"/>
    <row r="59029" ht="15" customHeight="1"/>
    <row r="59030" ht="15" customHeight="1"/>
    <row r="59031" ht="15" customHeight="1"/>
    <row r="59032" ht="15" customHeight="1"/>
    <row r="59033" ht="15" customHeight="1"/>
    <row r="59034" ht="15" customHeight="1"/>
    <row r="59035" ht="15" customHeight="1"/>
    <row r="59036" ht="15" customHeight="1"/>
    <row r="59037" ht="15" customHeight="1"/>
    <row r="59038" ht="15" customHeight="1"/>
    <row r="59039" ht="15" customHeight="1"/>
    <row r="59040" ht="15" customHeight="1"/>
    <row r="59041" ht="15" customHeight="1"/>
    <row r="59042" ht="15" customHeight="1"/>
    <row r="59043" ht="15" customHeight="1"/>
    <row r="59044" ht="15" customHeight="1"/>
    <row r="59045" ht="15" customHeight="1"/>
    <row r="59046" ht="15" customHeight="1"/>
    <row r="59047" ht="15" customHeight="1"/>
    <row r="59048" ht="15" customHeight="1"/>
    <row r="59049" ht="15" customHeight="1"/>
    <row r="59050" ht="15" customHeight="1"/>
    <row r="59051" ht="15" customHeight="1"/>
    <row r="59052" ht="15" customHeight="1"/>
    <row r="59053" ht="15" customHeight="1"/>
    <row r="59054" ht="15" customHeight="1"/>
    <row r="59055" ht="15" customHeight="1"/>
    <row r="59056" ht="15" customHeight="1"/>
    <row r="59057" ht="15" customHeight="1"/>
    <row r="59058" ht="15" customHeight="1"/>
    <row r="59059" ht="15" customHeight="1"/>
    <row r="59060" ht="15" customHeight="1"/>
    <row r="59061" ht="15" customHeight="1"/>
    <row r="59062" ht="15" customHeight="1"/>
    <row r="59063" ht="15" customHeight="1"/>
    <row r="59064" ht="15" customHeight="1"/>
    <row r="59065" ht="15" customHeight="1"/>
    <row r="59066" ht="15" customHeight="1"/>
    <row r="59067" ht="15" customHeight="1"/>
    <row r="59068" ht="15" customHeight="1"/>
    <row r="59069" ht="15" customHeight="1"/>
    <row r="59070" ht="15" customHeight="1"/>
    <row r="59071" ht="15" customHeight="1"/>
    <row r="59072" ht="15" customHeight="1"/>
    <row r="59073" ht="15" customHeight="1"/>
    <row r="59074" ht="15" customHeight="1"/>
    <row r="59075" ht="15" customHeight="1"/>
    <row r="59076" ht="15" customHeight="1"/>
    <row r="59077" ht="15" customHeight="1"/>
    <row r="59078" ht="15" customHeight="1"/>
    <row r="59079" ht="15" customHeight="1"/>
    <row r="59080" ht="15" customHeight="1"/>
    <row r="59081" ht="15" customHeight="1"/>
    <row r="59082" ht="15" customHeight="1"/>
    <row r="59083" ht="15" customHeight="1"/>
    <row r="59084" ht="15" customHeight="1"/>
    <row r="59085" ht="15" customHeight="1"/>
    <row r="59086" ht="15" customHeight="1"/>
    <row r="59087" ht="15" customHeight="1"/>
    <row r="59088" ht="15" customHeight="1"/>
    <row r="59089" ht="15" customHeight="1"/>
    <row r="59090" ht="15" customHeight="1"/>
    <row r="59091" ht="15" customHeight="1"/>
    <row r="59092" ht="15" customHeight="1"/>
    <row r="59093" ht="15" customHeight="1"/>
    <row r="59094" ht="15" customHeight="1"/>
    <row r="59095" ht="15" customHeight="1"/>
    <row r="59096" ht="15" customHeight="1"/>
    <row r="59097" ht="15" customHeight="1"/>
    <row r="59098" ht="15" customHeight="1"/>
    <row r="59099" ht="15" customHeight="1"/>
    <row r="59100" ht="15" customHeight="1"/>
    <row r="59101" ht="15" customHeight="1"/>
    <row r="59102" ht="15" customHeight="1"/>
    <row r="59103" ht="15" customHeight="1"/>
    <row r="59104" ht="15" customHeight="1"/>
    <row r="59105" ht="15" customHeight="1"/>
    <row r="59106" ht="15" customHeight="1"/>
    <row r="59107" ht="15" customHeight="1"/>
    <row r="59108" ht="15" customHeight="1"/>
    <row r="59109" ht="15" customHeight="1"/>
    <row r="59110" ht="15" customHeight="1"/>
    <row r="59111" ht="15" customHeight="1"/>
    <row r="59112" ht="15" customHeight="1"/>
    <row r="59113" ht="15" customHeight="1"/>
    <row r="59114" ht="15" customHeight="1"/>
    <row r="59115" ht="15" customHeight="1"/>
    <row r="59116" ht="15" customHeight="1"/>
    <row r="59117" ht="15" customHeight="1"/>
    <row r="59118" ht="15" customHeight="1"/>
    <row r="59119" ht="15" customHeight="1"/>
    <row r="59120" ht="15" customHeight="1"/>
    <row r="59121" ht="15" customHeight="1"/>
    <row r="59122" ht="15" customHeight="1"/>
    <row r="59123" ht="15" customHeight="1"/>
    <row r="59124" ht="15" customHeight="1"/>
    <row r="59125" ht="15" customHeight="1"/>
    <row r="59126" ht="15" customHeight="1"/>
    <row r="59127" ht="15" customHeight="1"/>
    <row r="59128" ht="15" customHeight="1"/>
    <row r="59129" ht="15" customHeight="1"/>
    <row r="59130" ht="15" customHeight="1"/>
    <row r="59131" ht="15" customHeight="1"/>
    <row r="59132" ht="15" customHeight="1"/>
    <row r="59133" ht="15" customHeight="1"/>
    <row r="59134" ht="15" customHeight="1"/>
    <row r="59135" ht="15" customHeight="1"/>
    <row r="59136" ht="15" customHeight="1"/>
    <row r="59137" ht="15" customHeight="1"/>
    <row r="59138" ht="15" customHeight="1"/>
    <row r="59139" ht="15" customHeight="1"/>
    <row r="59140" ht="15" customHeight="1"/>
    <row r="59141" ht="15" customHeight="1"/>
    <row r="59142" ht="15" customHeight="1"/>
    <row r="59143" ht="15" customHeight="1"/>
    <row r="59144" ht="15" customHeight="1"/>
    <row r="59145" ht="15" customHeight="1"/>
    <row r="59146" ht="15" customHeight="1"/>
    <row r="59147" ht="15" customHeight="1"/>
    <row r="59148" ht="15" customHeight="1"/>
    <row r="59149" ht="15" customHeight="1"/>
    <row r="59150" ht="15" customHeight="1"/>
    <row r="59151" ht="15" customHeight="1"/>
    <row r="59152" ht="15" customHeight="1"/>
    <row r="59153" ht="15" customHeight="1"/>
    <row r="59154" ht="15" customHeight="1"/>
    <row r="59155" ht="15" customHeight="1"/>
    <row r="59156" ht="15" customHeight="1"/>
    <row r="59157" ht="15" customHeight="1"/>
    <row r="59158" ht="15" customHeight="1"/>
    <row r="59159" ht="15" customHeight="1"/>
    <row r="59160" ht="15" customHeight="1"/>
    <row r="59161" ht="15" customHeight="1"/>
    <row r="59162" ht="15" customHeight="1"/>
    <row r="59163" ht="15" customHeight="1"/>
    <row r="59164" ht="15" customHeight="1"/>
    <row r="59165" ht="15" customHeight="1"/>
    <row r="59166" ht="15" customHeight="1"/>
    <row r="59167" ht="15" customHeight="1"/>
    <row r="59168" ht="15" customHeight="1"/>
    <row r="59169" ht="15" customHeight="1"/>
    <row r="59170" ht="15" customHeight="1"/>
    <row r="59171" ht="15" customHeight="1"/>
    <row r="59172" ht="15" customHeight="1"/>
    <row r="59173" ht="15" customHeight="1"/>
    <row r="59174" ht="15" customHeight="1"/>
    <row r="59175" ht="15" customHeight="1"/>
    <row r="59176" ht="15" customHeight="1"/>
    <row r="59177" ht="15" customHeight="1"/>
    <row r="59178" ht="15" customHeight="1"/>
    <row r="59179" ht="15" customHeight="1"/>
    <row r="59180" ht="15" customHeight="1"/>
    <row r="59181" ht="15" customHeight="1"/>
    <row r="59182" ht="15" customHeight="1"/>
    <row r="59183" ht="15" customHeight="1"/>
    <row r="59184" ht="15" customHeight="1"/>
    <row r="59185" ht="15" customHeight="1"/>
    <row r="59186" ht="15" customHeight="1"/>
    <row r="59187" ht="15" customHeight="1"/>
    <row r="59188" ht="15" customHeight="1"/>
    <row r="59189" ht="15" customHeight="1"/>
    <row r="59190" ht="15" customHeight="1"/>
    <row r="59191" ht="15" customHeight="1"/>
    <row r="59192" ht="15" customHeight="1"/>
    <row r="59193" ht="15" customHeight="1"/>
    <row r="59194" ht="15" customHeight="1"/>
    <row r="59195" ht="15" customHeight="1"/>
    <row r="59196" ht="15" customHeight="1"/>
    <row r="59197" ht="15" customHeight="1"/>
    <row r="59198" ht="15" customHeight="1"/>
    <row r="59199" ht="15" customHeight="1"/>
    <row r="59200" ht="15" customHeight="1"/>
    <row r="59201" ht="15" customHeight="1"/>
    <row r="59202" ht="15" customHeight="1"/>
    <row r="59203" ht="15" customHeight="1"/>
    <row r="59204" ht="15" customHeight="1"/>
    <row r="59205" ht="15" customHeight="1"/>
    <row r="59206" ht="15" customHeight="1"/>
    <row r="59207" ht="15" customHeight="1"/>
    <row r="59208" ht="15" customHeight="1"/>
    <row r="59209" ht="15" customHeight="1"/>
    <row r="59210" ht="15" customHeight="1"/>
    <row r="59211" ht="15" customHeight="1"/>
    <row r="59212" ht="15" customHeight="1"/>
    <row r="59213" ht="15" customHeight="1"/>
    <row r="59214" ht="15" customHeight="1"/>
    <row r="59215" ht="15" customHeight="1"/>
    <row r="59216" ht="15" customHeight="1"/>
    <row r="59217" ht="15" customHeight="1"/>
    <row r="59218" ht="15" customHeight="1"/>
    <row r="59219" ht="15" customHeight="1"/>
    <row r="59220" ht="15" customHeight="1"/>
    <row r="59221" ht="15" customHeight="1"/>
    <row r="59222" ht="15" customHeight="1"/>
    <row r="59223" ht="15" customHeight="1"/>
    <row r="59224" ht="15" customHeight="1"/>
    <row r="59225" ht="15" customHeight="1"/>
    <row r="59226" ht="15" customHeight="1"/>
    <row r="59227" ht="15" customHeight="1"/>
    <row r="59228" ht="15" customHeight="1"/>
    <row r="59229" ht="15" customHeight="1"/>
    <row r="59230" ht="15" customHeight="1"/>
    <row r="59231" ht="15" customHeight="1"/>
    <row r="59232" ht="15" customHeight="1"/>
    <row r="59233" ht="15" customHeight="1"/>
    <row r="59234" ht="15" customHeight="1"/>
    <row r="59235" ht="15" customHeight="1"/>
    <row r="59236" ht="15" customHeight="1"/>
    <row r="59237" ht="15" customHeight="1"/>
    <row r="59238" ht="15" customHeight="1"/>
    <row r="59239" ht="15" customHeight="1"/>
    <row r="59240" ht="15" customHeight="1"/>
    <row r="59241" ht="15" customHeight="1"/>
    <row r="59242" ht="15" customHeight="1"/>
    <row r="59243" ht="15" customHeight="1"/>
    <row r="59244" ht="15" customHeight="1"/>
    <row r="59245" ht="15" customHeight="1"/>
    <row r="59246" ht="15" customHeight="1"/>
    <row r="59247" ht="15" customHeight="1"/>
    <row r="59248" ht="15" customHeight="1"/>
    <row r="59249" ht="15" customHeight="1"/>
    <row r="59250" ht="15" customHeight="1"/>
    <row r="59251" ht="15" customHeight="1"/>
    <row r="59252" ht="15" customHeight="1"/>
    <row r="59253" ht="15" customHeight="1"/>
    <row r="59254" ht="15" customHeight="1"/>
    <row r="59255" ht="15" customHeight="1"/>
    <row r="59256" ht="15" customHeight="1"/>
    <row r="59257" ht="15" customHeight="1"/>
    <row r="59258" ht="15" customHeight="1"/>
    <row r="59259" ht="15" customHeight="1"/>
    <row r="59260" ht="15" customHeight="1"/>
    <row r="59261" ht="15" customHeight="1"/>
    <row r="59262" ht="15" customHeight="1"/>
    <row r="59263" ht="15" customHeight="1"/>
    <row r="59264" ht="15" customHeight="1"/>
    <row r="59265" ht="15" customHeight="1"/>
    <row r="59266" ht="15" customHeight="1"/>
    <row r="59267" ht="15" customHeight="1"/>
    <row r="59268" ht="15" customHeight="1"/>
    <row r="59269" ht="15" customHeight="1"/>
    <row r="59270" ht="15" customHeight="1"/>
    <row r="59271" ht="15" customHeight="1"/>
    <row r="59272" ht="15" customHeight="1"/>
    <row r="59273" ht="15" customHeight="1"/>
    <row r="59274" ht="15" customHeight="1"/>
    <row r="59275" ht="15" customHeight="1"/>
    <row r="59276" ht="15" customHeight="1"/>
    <row r="59277" ht="15" customHeight="1"/>
    <row r="59278" ht="15" customHeight="1"/>
    <row r="59279" ht="15" customHeight="1"/>
    <row r="59280" ht="15" customHeight="1"/>
    <row r="59281" ht="15" customHeight="1"/>
    <row r="59282" ht="15" customHeight="1"/>
    <row r="59283" ht="15" customHeight="1"/>
    <row r="59284" ht="15" customHeight="1"/>
    <row r="59285" ht="15" customHeight="1"/>
    <row r="59286" ht="15" customHeight="1"/>
    <row r="59287" ht="15" customHeight="1"/>
    <row r="59288" ht="15" customHeight="1"/>
    <row r="59289" ht="15" customHeight="1"/>
    <row r="59290" ht="15" customHeight="1"/>
    <row r="59291" ht="15" customHeight="1"/>
    <row r="59292" ht="15" customHeight="1"/>
    <row r="59293" ht="15" customHeight="1"/>
    <row r="59294" ht="15" customHeight="1"/>
    <row r="59295" ht="15" customHeight="1"/>
    <row r="59296" ht="15" customHeight="1"/>
    <row r="59297" ht="15" customHeight="1"/>
    <row r="59298" ht="15" customHeight="1"/>
    <row r="59299" ht="15" customHeight="1"/>
    <row r="59300" ht="15" customHeight="1"/>
    <row r="59301" ht="15" customHeight="1"/>
    <row r="59302" ht="15" customHeight="1"/>
    <row r="59303" ht="15" customHeight="1"/>
    <row r="59304" ht="15" customHeight="1"/>
    <row r="59305" ht="15" customHeight="1"/>
    <row r="59306" ht="15" customHeight="1"/>
    <row r="59307" ht="15" customHeight="1"/>
    <row r="59308" ht="15" customHeight="1"/>
    <row r="59309" ht="15" customHeight="1"/>
    <row r="59310" ht="15" customHeight="1"/>
    <row r="59311" ht="15" customHeight="1"/>
    <row r="59312" ht="15" customHeight="1"/>
    <row r="59313" ht="15" customHeight="1"/>
    <row r="59314" ht="15" customHeight="1"/>
    <row r="59315" ht="15" customHeight="1"/>
    <row r="59316" ht="15" customHeight="1"/>
    <row r="59317" ht="15" customHeight="1"/>
    <row r="59318" ht="15" customHeight="1"/>
    <row r="59319" ht="15" customHeight="1"/>
    <row r="59320" ht="15" customHeight="1"/>
    <row r="59321" ht="15" customHeight="1"/>
    <row r="59322" ht="15" customHeight="1"/>
    <row r="59323" ht="15" customHeight="1"/>
    <row r="59324" ht="15" customHeight="1"/>
    <row r="59325" ht="15" customHeight="1"/>
    <row r="59326" ht="15" customHeight="1"/>
    <row r="59327" ht="15" customHeight="1"/>
    <row r="59328" ht="15" customHeight="1"/>
    <row r="59329" ht="15" customHeight="1"/>
    <row r="59330" ht="15" customHeight="1"/>
    <row r="59331" ht="15" customHeight="1"/>
    <row r="59332" ht="15" customHeight="1"/>
    <row r="59333" ht="15" customHeight="1"/>
    <row r="59334" ht="15" customHeight="1"/>
    <row r="59335" ht="15" customHeight="1"/>
    <row r="59336" ht="15" customHeight="1"/>
    <row r="59337" ht="15" customHeight="1"/>
    <row r="59338" ht="15" customHeight="1"/>
    <row r="59339" ht="15" customHeight="1"/>
    <row r="59340" ht="15" customHeight="1"/>
    <row r="59341" ht="15" customHeight="1"/>
    <row r="59342" ht="15" customHeight="1"/>
    <row r="59343" ht="15" customHeight="1"/>
    <row r="59344" ht="15" customHeight="1"/>
    <row r="59345" ht="15" customHeight="1"/>
    <row r="59346" ht="15" customHeight="1"/>
    <row r="59347" ht="15" customHeight="1"/>
    <row r="59348" ht="15" customHeight="1"/>
    <row r="59349" ht="15" customHeight="1"/>
    <row r="59350" ht="15" customHeight="1"/>
    <row r="59351" ht="15" customHeight="1"/>
    <row r="59352" ht="15" customHeight="1"/>
    <row r="59353" ht="15" customHeight="1"/>
    <row r="59354" ht="15" customHeight="1"/>
    <row r="59355" ht="15" customHeight="1"/>
    <row r="59356" ht="15" customHeight="1"/>
    <row r="59357" ht="15" customHeight="1"/>
    <row r="59358" ht="15" customHeight="1"/>
    <row r="59359" ht="15" customHeight="1"/>
    <row r="59360" ht="15" customHeight="1"/>
    <row r="59361" ht="15" customHeight="1"/>
    <row r="59362" ht="15" customHeight="1"/>
    <row r="59363" ht="15" customHeight="1"/>
    <row r="59364" ht="15" customHeight="1"/>
    <row r="59365" ht="15" customHeight="1"/>
    <row r="59366" ht="15" customHeight="1"/>
    <row r="59367" ht="15" customHeight="1"/>
    <row r="59368" ht="15" customHeight="1"/>
    <row r="59369" ht="15" customHeight="1"/>
    <row r="59370" ht="15" customHeight="1"/>
    <row r="59371" ht="15" customHeight="1"/>
    <row r="59372" ht="15" customHeight="1"/>
    <row r="59373" ht="15" customHeight="1"/>
    <row r="59374" ht="15" customHeight="1"/>
    <row r="59375" ht="15" customHeight="1"/>
    <row r="59376" ht="15" customHeight="1"/>
    <row r="59377" ht="15" customHeight="1"/>
    <row r="59378" ht="15" customHeight="1"/>
    <row r="59379" ht="15" customHeight="1"/>
    <row r="59380" ht="15" customHeight="1"/>
    <row r="59381" ht="15" customHeight="1"/>
    <row r="59382" ht="15" customHeight="1"/>
    <row r="59383" ht="15" customHeight="1"/>
    <row r="59384" ht="15" customHeight="1"/>
    <row r="59385" ht="15" customHeight="1"/>
    <row r="59386" ht="15" customHeight="1"/>
    <row r="59387" ht="15" customHeight="1"/>
    <row r="59388" ht="15" customHeight="1"/>
    <row r="59389" ht="15" customHeight="1"/>
    <row r="59390" ht="15" customHeight="1"/>
    <row r="59391" ht="15" customHeight="1"/>
    <row r="59392" ht="15" customHeight="1"/>
    <row r="59393" ht="15" customHeight="1"/>
    <row r="59394" ht="15" customHeight="1"/>
    <row r="59395" ht="15" customHeight="1"/>
    <row r="59396" ht="15" customHeight="1"/>
    <row r="59397" ht="15" customHeight="1"/>
    <row r="59398" ht="15" customHeight="1"/>
    <row r="59399" ht="15" customHeight="1"/>
    <row r="59400" ht="15" customHeight="1"/>
    <row r="59401" ht="15" customHeight="1"/>
    <row r="59402" ht="15" customHeight="1"/>
    <row r="59403" ht="15" customHeight="1"/>
    <row r="59404" ht="15" customHeight="1"/>
    <row r="59405" ht="15" customHeight="1"/>
    <row r="59406" ht="15" customHeight="1"/>
    <row r="59407" ht="15" customHeight="1"/>
    <row r="59408" ht="15" customHeight="1"/>
    <row r="59409" ht="15" customHeight="1"/>
    <row r="59410" ht="15" customHeight="1"/>
    <row r="59411" ht="15" customHeight="1"/>
    <row r="59412" ht="15" customHeight="1"/>
    <row r="59413" ht="15" customHeight="1"/>
    <row r="59414" ht="15" customHeight="1"/>
    <row r="59415" ht="15" customHeight="1"/>
    <row r="59416" ht="15" customHeight="1"/>
    <row r="59417" ht="15" customHeight="1"/>
    <row r="59418" ht="15" customHeight="1"/>
    <row r="59419" ht="15" customHeight="1"/>
    <row r="59420" ht="15" customHeight="1"/>
    <row r="59421" ht="15" customHeight="1"/>
    <row r="59422" ht="15" customHeight="1"/>
    <row r="59423" ht="15" customHeight="1"/>
    <row r="59424" ht="15" customHeight="1"/>
    <row r="59425" ht="15" customHeight="1"/>
    <row r="59426" ht="15" customHeight="1"/>
    <row r="59427" ht="15" customHeight="1"/>
    <row r="59428" ht="15" customHeight="1"/>
    <row r="59429" ht="15" customHeight="1"/>
    <row r="59430" ht="15" customHeight="1"/>
    <row r="59431" ht="15" customHeight="1"/>
    <row r="59432" ht="15" customHeight="1"/>
    <row r="59433" ht="15" customHeight="1"/>
    <row r="59434" ht="15" customHeight="1"/>
    <row r="59435" ht="15" customHeight="1"/>
    <row r="59436" ht="15" customHeight="1"/>
    <row r="59437" ht="15" customHeight="1"/>
    <row r="59438" ht="15" customHeight="1"/>
    <row r="59439" ht="15" customHeight="1"/>
    <row r="59440" ht="15" customHeight="1"/>
    <row r="59441" ht="15" customHeight="1"/>
    <row r="59442" ht="15" customHeight="1"/>
    <row r="59443" ht="15" customHeight="1"/>
    <row r="59444" ht="15" customHeight="1"/>
    <row r="59445" ht="15" customHeight="1"/>
    <row r="59446" ht="15" customHeight="1"/>
    <row r="59447" ht="15" customHeight="1"/>
    <row r="59448" ht="15" customHeight="1"/>
    <row r="59449" ht="15" customHeight="1"/>
    <row r="59450" ht="15" customHeight="1"/>
    <row r="59451" ht="15" customHeight="1"/>
    <row r="59452" ht="15" customHeight="1"/>
    <row r="59453" ht="15" customHeight="1"/>
    <row r="59454" ht="15" customHeight="1"/>
    <row r="59455" ht="15" customHeight="1"/>
    <row r="59456" ht="15" customHeight="1"/>
    <row r="59457" ht="15" customHeight="1"/>
    <row r="59458" ht="15" customHeight="1"/>
    <row r="59459" ht="15" customHeight="1"/>
    <row r="59460" ht="15" customHeight="1"/>
    <row r="59461" ht="15" customHeight="1"/>
    <row r="59462" ht="15" customHeight="1"/>
    <row r="59463" ht="15" customHeight="1"/>
    <row r="59464" ht="15" customHeight="1"/>
    <row r="59465" ht="15" customHeight="1"/>
    <row r="59466" ht="15" customHeight="1"/>
    <row r="59467" ht="15" customHeight="1"/>
    <row r="59468" ht="15" customHeight="1"/>
    <row r="59469" ht="15" customHeight="1"/>
    <row r="59470" ht="15" customHeight="1"/>
    <row r="59471" ht="15" customHeight="1"/>
    <row r="59472" ht="15" customHeight="1"/>
    <row r="59473" ht="15" customHeight="1"/>
    <row r="59474" ht="15" customHeight="1"/>
    <row r="59475" ht="15" customHeight="1"/>
    <row r="59476" ht="15" customHeight="1"/>
    <row r="59477" ht="15" customHeight="1"/>
    <row r="59478" ht="15" customHeight="1"/>
    <row r="59479" ht="15" customHeight="1"/>
    <row r="59480" ht="15" customHeight="1"/>
    <row r="59481" ht="15" customHeight="1"/>
    <row r="59482" ht="15" customHeight="1"/>
    <row r="59483" ht="15" customHeight="1"/>
    <row r="59484" ht="15" customHeight="1"/>
    <row r="59485" ht="15" customHeight="1"/>
    <row r="59486" ht="15" customHeight="1"/>
    <row r="59487" ht="15" customHeight="1"/>
    <row r="59488" ht="15" customHeight="1"/>
    <row r="59489" ht="15" customHeight="1"/>
    <row r="59490" ht="15" customHeight="1"/>
    <row r="59491" ht="15" customHeight="1"/>
    <row r="59492" ht="15" customHeight="1"/>
    <row r="59493" ht="15" customHeight="1"/>
    <row r="59494" ht="15" customHeight="1"/>
    <row r="59495" ht="15" customHeight="1"/>
    <row r="59496" ht="15" customHeight="1"/>
    <row r="59497" ht="15" customHeight="1"/>
    <row r="59498" ht="15" customHeight="1"/>
    <row r="59499" ht="15" customHeight="1"/>
    <row r="59500" ht="15" customHeight="1"/>
    <row r="59501" ht="15" customHeight="1"/>
    <row r="59502" ht="15" customHeight="1"/>
    <row r="59503" ht="15" customHeight="1"/>
    <row r="59504" ht="15" customHeight="1"/>
    <row r="59505" ht="15" customHeight="1"/>
    <row r="59506" ht="15" customHeight="1"/>
    <row r="59507" ht="15" customHeight="1"/>
    <row r="59508" ht="15" customHeight="1"/>
    <row r="59509" ht="15" customHeight="1"/>
    <row r="59510" ht="15" customHeight="1"/>
    <row r="59511" ht="15" customHeight="1"/>
    <row r="59512" ht="15" customHeight="1"/>
    <row r="59513" ht="15" customHeight="1"/>
    <row r="59514" ht="15" customHeight="1"/>
    <row r="59515" ht="15" customHeight="1"/>
    <row r="59516" ht="15" customHeight="1"/>
    <row r="59517" ht="15" customHeight="1"/>
    <row r="59518" ht="15" customHeight="1"/>
    <row r="59519" ht="15" customHeight="1"/>
    <row r="59520" ht="15" customHeight="1"/>
    <row r="59521" ht="15" customHeight="1"/>
    <row r="59522" ht="15" customHeight="1"/>
    <row r="59523" ht="15" customHeight="1"/>
    <row r="59524" ht="15" customHeight="1"/>
    <row r="59525" ht="15" customHeight="1"/>
    <row r="59526" ht="15" customHeight="1"/>
    <row r="59527" ht="15" customHeight="1"/>
    <row r="59528" ht="15" customHeight="1"/>
    <row r="59529" ht="15" customHeight="1"/>
    <row r="59530" ht="15" customHeight="1"/>
    <row r="59531" ht="15" customHeight="1"/>
    <row r="59532" ht="15" customHeight="1"/>
    <row r="59533" ht="15" customHeight="1"/>
    <row r="59534" ht="15" customHeight="1"/>
    <row r="59535" ht="15" customHeight="1"/>
    <row r="59536" ht="15" customHeight="1"/>
    <row r="59537" ht="15" customHeight="1"/>
    <row r="59538" ht="15" customHeight="1"/>
    <row r="59539" ht="15" customHeight="1"/>
    <row r="59540" ht="15" customHeight="1"/>
    <row r="59541" ht="15" customHeight="1"/>
    <row r="59542" ht="15" customHeight="1"/>
    <row r="59543" ht="15" customHeight="1"/>
    <row r="59544" ht="15" customHeight="1"/>
    <row r="59545" ht="15" customHeight="1"/>
    <row r="59546" ht="15" customHeight="1"/>
    <row r="59547" ht="15" customHeight="1"/>
    <row r="59548" ht="15" customHeight="1"/>
    <row r="59549" ht="15" customHeight="1"/>
    <row r="59550" ht="15" customHeight="1"/>
    <row r="59551" ht="15" customHeight="1"/>
    <row r="59552" ht="15" customHeight="1"/>
    <row r="59553" ht="15" customHeight="1"/>
    <row r="59554" ht="15" customHeight="1"/>
    <row r="59555" ht="15" customHeight="1"/>
    <row r="59556" ht="15" customHeight="1"/>
    <row r="59557" ht="15" customHeight="1"/>
    <row r="59558" ht="15" customHeight="1"/>
    <row r="59559" ht="15" customHeight="1"/>
    <row r="59560" ht="15" customHeight="1"/>
    <row r="59561" ht="15" customHeight="1"/>
    <row r="59562" ht="15" customHeight="1"/>
    <row r="59563" ht="15" customHeight="1"/>
    <row r="59564" ht="15" customHeight="1"/>
    <row r="59565" ht="15" customHeight="1"/>
    <row r="59566" ht="15" customHeight="1"/>
    <row r="59567" ht="15" customHeight="1"/>
    <row r="59568" ht="15" customHeight="1"/>
    <row r="59569" ht="15" customHeight="1"/>
    <row r="59570" ht="15" customHeight="1"/>
    <row r="59571" ht="15" customHeight="1"/>
    <row r="59572" ht="15" customHeight="1"/>
    <row r="59573" ht="15" customHeight="1"/>
    <row r="59574" ht="15" customHeight="1"/>
    <row r="59575" ht="15" customHeight="1"/>
    <row r="59576" ht="15" customHeight="1"/>
    <row r="59577" ht="15" customHeight="1"/>
    <row r="59578" ht="15" customHeight="1"/>
    <row r="59579" ht="15" customHeight="1"/>
    <row r="59580" ht="15" customHeight="1"/>
    <row r="59581" ht="15" customHeight="1"/>
    <row r="59582" ht="15" customHeight="1"/>
    <row r="59583" ht="15" customHeight="1"/>
    <row r="59584" ht="15" customHeight="1"/>
    <row r="59585" ht="15" customHeight="1"/>
    <row r="59586" ht="15" customHeight="1"/>
    <row r="59587" ht="15" customHeight="1"/>
    <row r="59588" ht="15" customHeight="1"/>
    <row r="59589" ht="15" customHeight="1"/>
    <row r="59590" ht="15" customHeight="1"/>
    <row r="59591" ht="15" customHeight="1"/>
    <row r="59592" ht="15" customHeight="1"/>
    <row r="59593" ht="15" customHeight="1"/>
    <row r="59594" ht="15" customHeight="1"/>
    <row r="59595" ht="15" customHeight="1"/>
    <row r="59596" ht="15" customHeight="1"/>
    <row r="59597" ht="15" customHeight="1"/>
    <row r="59598" ht="15" customHeight="1"/>
    <row r="59599" ht="15" customHeight="1"/>
    <row r="59600" ht="15" customHeight="1"/>
    <row r="59601" ht="15" customHeight="1"/>
    <row r="59602" ht="15" customHeight="1"/>
    <row r="59603" ht="15" customHeight="1"/>
    <row r="59604" ht="15" customHeight="1"/>
    <row r="59605" ht="15" customHeight="1"/>
    <row r="59606" ht="15" customHeight="1"/>
    <row r="59607" ht="15" customHeight="1"/>
    <row r="59608" ht="15" customHeight="1"/>
    <row r="59609" ht="15" customHeight="1"/>
    <row r="59610" ht="15" customHeight="1"/>
    <row r="59611" ht="15" customHeight="1"/>
    <row r="59612" ht="15" customHeight="1"/>
    <row r="59613" ht="15" customHeight="1"/>
    <row r="59614" ht="15" customHeight="1"/>
    <row r="59615" ht="15" customHeight="1"/>
    <row r="59616" ht="15" customHeight="1"/>
    <row r="59617" ht="15" customHeight="1"/>
    <row r="59618" ht="15" customHeight="1"/>
    <row r="59619" ht="15" customHeight="1"/>
    <row r="59620" ht="15" customHeight="1"/>
    <row r="59621" ht="15" customHeight="1"/>
    <row r="59622" ht="15" customHeight="1"/>
    <row r="59623" ht="15" customHeight="1"/>
    <row r="59624" ht="15" customHeight="1"/>
    <row r="59625" ht="15" customHeight="1"/>
    <row r="59626" ht="15" customHeight="1"/>
    <row r="59627" ht="15" customHeight="1"/>
    <row r="59628" ht="15" customHeight="1"/>
    <row r="59629" ht="15" customHeight="1"/>
    <row r="59630" ht="15" customHeight="1"/>
    <row r="59631" ht="15" customHeight="1"/>
    <row r="59632" ht="15" customHeight="1"/>
    <row r="59633" ht="15" customHeight="1"/>
    <row r="59634" ht="15" customHeight="1"/>
    <row r="59635" ht="15" customHeight="1"/>
    <row r="59636" ht="15" customHeight="1"/>
    <row r="59637" ht="15" customHeight="1"/>
    <row r="59638" ht="15" customHeight="1"/>
    <row r="59639" ht="15" customHeight="1"/>
    <row r="59640" ht="15" customHeight="1"/>
    <row r="59641" ht="15" customHeight="1"/>
    <row r="59642" ht="15" customHeight="1"/>
    <row r="59643" ht="15" customHeight="1"/>
    <row r="59644" ht="15" customHeight="1"/>
    <row r="59645" ht="15" customHeight="1"/>
    <row r="59646" ht="15" customHeight="1"/>
    <row r="59647" ht="15" customHeight="1"/>
    <row r="59648" ht="15" customHeight="1"/>
    <row r="59649" ht="15" customHeight="1"/>
    <row r="59650" ht="15" customHeight="1"/>
    <row r="59651" ht="15" customHeight="1"/>
    <row r="59652" ht="15" customHeight="1"/>
    <row r="59653" ht="15" customHeight="1"/>
    <row r="59654" ht="15" customHeight="1"/>
    <row r="59655" ht="15" customHeight="1"/>
    <row r="59656" ht="15" customHeight="1"/>
    <row r="59657" ht="15" customHeight="1"/>
    <row r="59658" ht="15" customHeight="1"/>
    <row r="59659" ht="15" customHeight="1"/>
    <row r="59660" ht="15" customHeight="1"/>
    <row r="59661" ht="15" customHeight="1"/>
    <row r="59662" ht="15" customHeight="1"/>
    <row r="59663" ht="15" customHeight="1"/>
    <row r="59664" ht="15" customHeight="1"/>
    <row r="59665" ht="15" customHeight="1"/>
    <row r="59666" ht="15" customHeight="1"/>
    <row r="59667" ht="15" customHeight="1"/>
    <row r="59668" ht="15" customHeight="1"/>
    <row r="59669" ht="15" customHeight="1"/>
    <row r="59670" ht="15" customHeight="1"/>
    <row r="59671" ht="15" customHeight="1"/>
    <row r="59672" ht="15" customHeight="1"/>
    <row r="59673" ht="15" customHeight="1"/>
    <row r="59674" ht="15" customHeight="1"/>
    <row r="59675" ht="15" customHeight="1"/>
    <row r="59676" ht="15" customHeight="1"/>
    <row r="59677" ht="15" customHeight="1"/>
    <row r="59678" ht="15" customHeight="1"/>
    <row r="59679" ht="15" customHeight="1"/>
    <row r="59680" ht="15" customHeight="1"/>
    <row r="59681" ht="15" customHeight="1"/>
    <row r="59682" ht="15" customHeight="1"/>
    <row r="59683" ht="15" customHeight="1"/>
    <row r="59684" ht="15" customHeight="1"/>
    <row r="59685" ht="15" customHeight="1"/>
    <row r="59686" ht="15" customHeight="1"/>
    <row r="59687" ht="15" customHeight="1"/>
    <row r="59688" ht="15" customHeight="1"/>
    <row r="59689" ht="15" customHeight="1"/>
    <row r="59690" ht="15" customHeight="1"/>
    <row r="59691" ht="15" customHeight="1"/>
    <row r="59692" ht="15" customHeight="1"/>
    <row r="59693" ht="15" customHeight="1"/>
    <row r="59694" ht="15" customHeight="1"/>
    <row r="59695" ht="15" customHeight="1"/>
    <row r="59696" ht="15" customHeight="1"/>
    <row r="59697" ht="15" customHeight="1"/>
    <row r="59698" ht="15" customHeight="1"/>
    <row r="59699" ht="15" customHeight="1"/>
    <row r="59700" ht="15" customHeight="1"/>
    <row r="59701" ht="15" customHeight="1"/>
    <row r="59702" ht="15" customHeight="1"/>
    <row r="59703" ht="15" customHeight="1"/>
    <row r="59704" ht="15" customHeight="1"/>
    <row r="59705" ht="15" customHeight="1"/>
    <row r="59706" ht="15" customHeight="1"/>
    <row r="59707" ht="15" customHeight="1"/>
    <row r="59708" ht="15" customHeight="1"/>
    <row r="59709" ht="15" customHeight="1"/>
    <row r="59710" ht="15" customHeight="1"/>
    <row r="59711" ht="15" customHeight="1"/>
    <row r="59712" ht="15" customHeight="1"/>
    <row r="59713" ht="15" customHeight="1"/>
    <row r="59714" ht="15" customHeight="1"/>
    <row r="59715" ht="15" customHeight="1"/>
    <row r="59716" ht="15" customHeight="1"/>
    <row r="59717" ht="15" customHeight="1"/>
    <row r="59718" ht="15" customHeight="1"/>
    <row r="59719" ht="15" customHeight="1"/>
    <row r="59720" ht="15" customHeight="1"/>
    <row r="59721" ht="15" customHeight="1"/>
    <row r="59722" ht="15" customHeight="1"/>
    <row r="59723" ht="15" customHeight="1"/>
    <row r="59724" ht="15" customHeight="1"/>
    <row r="59725" ht="15" customHeight="1"/>
    <row r="59726" ht="15" customHeight="1"/>
    <row r="59727" ht="15" customHeight="1"/>
    <row r="59728" ht="15" customHeight="1"/>
    <row r="59729" ht="15" customHeight="1"/>
    <row r="59730" ht="15" customHeight="1"/>
    <row r="59731" ht="15" customHeight="1"/>
    <row r="59732" ht="15" customHeight="1"/>
    <row r="59733" ht="15" customHeight="1"/>
    <row r="59734" ht="15" customHeight="1"/>
    <row r="59735" ht="15" customHeight="1"/>
    <row r="59736" ht="15" customHeight="1"/>
    <row r="59737" ht="15" customHeight="1"/>
    <row r="59738" ht="15" customHeight="1"/>
    <row r="59739" ht="15" customHeight="1"/>
    <row r="59740" ht="15" customHeight="1"/>
    <row r="59741" ht="15" customHeight="1"/>
    <row r="59742" ht="15" customHeight="1"/>
    <row r="59743" ht="15" customHeight="1"/>
    <row r="59744" ht="15" customHeight="1"/>
    <row r="59745" ht="15" customHeight="1"/>
    <row r="59746" ht="15" customHeight="1"/>
    <row r="59747" ht="15" customHeight="1"/>
    <row r="59748" ht="15" customHeight="1"/>
    <row r="59749" ht="15" customHeight="1"/>
    <row r="59750" ht="15" customHeight="1"/>
    <row r="59751" ht="15" customHeight="1"/>
    <row r="59752" ht="15" customHeight="1"/>
    <row r="59753" ht="15" customHeight="1"/>
    <row r="59754" ht="15" customHeight="1"/>
    <row r="59755" ht="15" customHeight="1"/>
    <row r="59756" ht="15" customHeight="1"/>
    <row r="59757" ht="15" customHeight="1"/>
    <row r="59758" ht="15" customHeight="1"/>
    <row r="59759" ht="15" customHeight="1"/>
    <row r="59760" ht="15" customHeight="1"/>
    <row r="59761" ht="15" customHeight="1"/>
    <row r="59762" ht="15" customHeight="1"/>
    <row r="59763" ht="15" customHeight="1"/>
    <row r="59764" ht="15" customHeight="1"/>
    <row r="59765" ht="15" customHeight="1"/>
    <row r="59766" ht="15" customHeight="1"/>
    <row r="59767" ht="15" customHeight="1"/>
    <row r="59768" ht="15" customHeight="1"/>
    <row r="59769" ht="15" customHeight="1"/>
    <row r="59770" ht="15" customHeight="1"/>
    <row r="59771" ht="15" customHeight="1"/>
    <row r="59772" ht="15" customHeight="1"/>
    <row r="59773" ht="15" customHeight="1"/>
    <row r="59774" ht="15" customHeight="1"/>
    <row r="59775" ht="15" customHeight="1"/>
    <row r="59776" ht="15" customHeight="1"/>
    <row r="59777" ht="15" customHeight="1"/>
    <row r="59778" ht="15" customHeight="1"/>
    <row r="59779" ht="15" customHeight="1"/>
    <row r="59780" ht="15" customHeight="1"/>
    <row r="59781" ht="15" customHeight="1"/>
    <row r="59782" ht="15" customHeight="1"/>
    <row r="59783" ht="15" customHeight="1"/>
    <row r="59784" ht="15" customHeight="1"/>
    <row r="59785" ht="15" customHeight="1"/>
    <row r="59786" ht="15" customHeight="1"/>
    <row r="59787" ht="15" customHeight="1"/>
    <row r="59788" ht="15" customHeight="1"/>
    <row r="59789" ht="15" customHeight="1"/>
    <row r="59790" ht="15" customHeight="1"/>
    <row r="59791" ht="15" customHeight="1"/>
    <row r="59792" ht="15" customHeight="1"/>
    <row r="59793" ht="15" customHeight="1"/>
    <row r="59794" ht="15" customHeight="1"/>
    <row r="59795" ht="15" customHeight="1"/>
    <row r="59796" ht="15" customHeight="1"/>
    <row r="59797" ht="15" customHeight="1"/>
    <row r="59798" ht="15" customHeight="1"/>
    <row r="59799" ht="15" customHeight="1"/>
    <row r="59800" ht="15" customHeight="1"/>
    <row r="59801" ht="15" customHeight="1"/>
    <row r="59802" ht="15" customHeight="1"/>
    <row r="59803" ht="15" customHeight="1"/>
    <row r="59804" ht="15" customHeight="1"/>
    <row r="59805" ht="15" customHeight="1"/>
    <row r="59806" ht="15" customHeight="1"/>
    <row r="59807" ht="15" customHeight="1"/>
    <row r="59808" ht="15" customHeight="1"/>
    <row r="59809" ht="15" customHeight="1"/>
    <row r="59810" ht="15" customHeight="1"/>
    <row r="59811" ht="15" customHeight="1"/>
    <row r="59812" ht="15" customHeight="1"/>
    <row r="59813" ht="15" customHeight="1"/>
    <row r="59814" ht="15" customHeight="1"/>
    <row r="59815" ht="15" customHeight="1"/>
    <row r="59816" ht="15" customHeight="1"/>
    <row r="59817" ht="15" customHeight="1"/>
    <row r="59818" ht="15" customHeight="1"/>
    <row r="59819" ht="15" customHeight="1"/>
    <row r="59820" ht="15" customHeight="1"/>
    <row r="59821" ht="15" customHeight="1"/>
    <row r="59822" ht="15" customHeight="1"/>
    <row r="59823" ht="15" customHeight="1"/>
    <row r="59824" ht="15" customHeight="1"/>
    <row r="59825" ht="15" customHeight="1"/>
    <row r="59826" ht="15" customHeight="1"/>
    <row r="59827" ht="15" customHeight="1"/>
    <row r="59828" ht="15" customHeight="1"/>
    <row r="59829" ht="15" customHeight="1"/>
    <row r="59830" ht="15" customHeight="1"/>
    <row r="59831" ht="15" customHeight="1"/>
    <row r="59832" ht="15" customHeight="1"/>
    <row r="59833" ht="15" customHeight="1"/>
    <row r="59834" ht="15" customHeight="1"/>
    <row r="59835" ht="15" customHeight="1"/>
    <row r="59836" ht="15" customHeight="1"/>
    <row r="59837" ht="15" customHeight="1"/>
    <row r="59838" ht="15" customHeight="1"/>
    <row r="59839" ht="15" customHeight="1"/>
    <row r="59840" ht="15" customHeight="1"/>
    <row r="59841" ht="15" customHeight="1"/>
    <row r="59842" ht="15" customHeight="1"/>
    <row r="59843" ht="15" customHeight="1"/>
    <row r="59844" ht="15" customHeight="1"/>
    <row r="59845" ht="15" customHeight="1"/>
    <row r="59846" ht="15" customHeight="1"/>
    <row r="59847" ht="15" customHeight="1"/>
    <row r="59848" ht="15" customHeight="1"/>
    <row r="59849" ht="15" customHeight="1"/>
    <row r="59850" ht="15" customHeight="1"/>
    <row r="59851" ht="15" customHeight="1"/>
    <row r="59852" ht="15" customHeight="1"/>
    <row r="59853" ht="15" customHeight="1"/>
    <row r="59854" ht="15" customHeight="1"/>
    <row r="59855" ht="15" customHeight="1"/>
    <row r="59856" ht="15" customHeight="1"/>
    <row r="59857" ht="15" customHeight="1"/>
    <row r="59858" ht="15" customHeight="1"/>
    <row r="59859" ht="15" customHeight="1"/>
    <row r="59860" ht="15" customHeight="1"/>
    <row r="59861" ht="15" customHeight="1"/>
    <row r="59862" ht="15" customHeight="1"/>
    <row r="59863" ht="15" customHeight="1"/>
    <row r="59864" ht="15" customHeight="1"/>
    <row r="59865" ht="15" customHeight="1"/>
    <row r="59866" ht="15" customHeight="1"/>
    <row r="59867" ht="15" customHeight="1"/>
    <row r="59868" ht="15" customHeight="1"/>
    <row r="59869" ht="15" customHeight="1"/>
    <row r="59870" ht="15" customHeight="1"/>
    <row r="59871" ht="15" customHeight="1"/>
    <row r="59872" ht="15" customHeight="1"/>
    <row r="59873" ht="15" customHeight="1"/>
    <row r="59874" ht="15" customHeight="1"/>
    <row r="59875" ht="15" customHeight="1"/>
    <row r="59876" ht="15" customHeight="1"/>
    <row r="59877" ht="15" customHeight="1"/>
    <row r="59878" ht="15" customHeight="1"/>
    <row r="59879" ht="15" customHeight="1"/>
    <row r="59880" ht="15" customHeight="1"/>
    <row r="59881" ht="15" customHeight="1"/>
    <row r="59882" ht="15" customHeight="1"/>
    <row r="59883" ht="15" customHeight="1"/>
    <row r="59884" ht="15" customHeight="1"/>
    <row r="59885" ht="15" customHeight="1"/>
    <row r="59886" ht="15" customHeight="1"/>
    <row r="59887" ht="15" customHeight="1"/>
    <row r="59888" ht="15" customHeight="1"/>
    <row r="59889" ht="15" customHeight="1"/>
    <row r="59890" ht="15" customHeight="1"/>
    <row r="59891" ht="15" customHeight="1"/>
    <row r="59892" ht="15" customHeight="1"/>
    <row r="59893" ht="15" customHeight="1"/>
    <row r="59894" ht="15" customHeight="1"/>
    <row r="59895" ht="15" customHeight="1"/>
    <row r="59896" ht="15" customHeight="1"/>
    <row r="59897" ht="15" customHeight="1"/>
    <row r="59898" ht="15" customHeight="1"/>
    <row r="59899" ht="15" customHeight="1"/>
    <row r="59900" ht="15" customHeight="1"/>
    <row r="59901" ht="15" customHeight="1"/>
    <row r="59902" ht="15" customHeight="1"/>
    <row r="59903" ht="15" customHeight="1"/>
    <row r="59904" ht="15" customHeight="1"/>
    <row r="59905" ht="15" customHeight="1"/>
    <row r="59906" ht="15" customHeight="1"/>
    <row r="59907" ht="15" customHeight="1"/>
    <row r="59908" ht="15" customHeight="1"/>
    <row r="59909" ht="15" customHeight="1"/>
    <row r="59910" ht="15" customHeight="1"/>
    <row r="59911" ht="15" customHeight="1"/>
    <row r="59912" ht="15" customHeight="1"/>
    <row r="59913" ht="15" customHeight="1"/>
    <row r="59914" ht="15" customHeight="1"/>
    <row r="59915" ht="15" customHeight="1"/>
    <row r="59916" ht="15" customHeight="1"/>
    <row r="59917" ht="15" customHeight="1"/>
    <row r="59918" ht="15" customHeight="1"/>
    <row r="59919" ht="15" customHeight="1"/>
    <row r="59920" ht="15" customHeight="1"/>
    <row r="59921" ht="15" customHeight="1"/>
    <row r="59922" ht="15" customHeight="1"/>
    <row r="59923" ht="15" customHeight="1"/>
    <row r="59924" ht="15" customHeight="1"/>
    <row r="59925" ht="15" customHeight="1"/>
    <row r="59926" ht="15" customHeight="1"/>
    <row r="59927" ht="15" customHeight="1"/>
    <row r="59928" ht="15" customHeight="1"/>
    <row r="59929" ht="15" customHeight="1"/>
    <row r="59930" ht="15" customHeight="1"/>
    <row r="59931" ht="15" customHeight="1"/>
    <row r="59932" ht="15" customHeight="1"/>
    <row r="59933" ht="15" customHeight="1"/>
    <row r="59934" ht="15" customHeight="1"/>
    <row r="59935" ht="15" customHeight="1"/>
    <row r="59936" ht="15" customHeight="1"/>
    <row r="59937" ht="15" customHeight="1"/>
    <row r="59938" ht="15" customHeight="1"/>
    <row r="59939" ht="15" customHeight="1"/>
    <row r="59940" ht="15" customHeight="1"/>
    <row r="59941" ht="15" customHeight="1"/>
    <row r="59942" ht="15" customHeight="1"/>
    <row r="59943" ht="15" customHeight="1"/>
    <row r="59944" ht="15" customHeight="1"/>
    <row r="59945" ht="15" customHeight="1"/>
    <row r="59946" ht="15" customHeight="1"/>
    <row r="59947" ht="15" customHeight="1"/>
    <row r="59948" ht="15" customHeight="1"/>
    <row r="59949" ht="15" customHeight="1"/>
    <row r="59950" ht="15" customHeight="1"/>
    <row r="59951" ht="15" customHeight="1"/>
    <row r="59952" ht="15" customHeight="1"/>
    <row r="59953" ht="15" customHeight="1"/>
    <row r="59954" ht="15" customHeight="1"/>
    <row r="59955" ht="15" customHeight="1"/>
    <row r="59956" ht="15" customHeight="1"/>
    <row r="59957" ht="15" customHeight="1"/>
    <row r="59958" ht="15" customHeight="1"/>
    <row r="59959" ht="15" customHeight="1"/>
    <row r="59960" ht="15" customHeight="1"/>
    <row r="59961" ht="15" customHeight="1"/>
    <row r="59962" ht="15" customHeight="1"/>
    <row r="59963" ht="15" customHeight="1"/>
    <row r="59964" ht="15" customHeight="1"/>
    <row r="59965" ht="15" customHeight="1"/>
    <row r="59966" ht="15" customHeight="1"/>
    <row r="59967" ht="15" customHeight="1"/>
    <row r="59968" ht="15" customHeight="1"/>
    <row r="59969" ht="15" customHeight="1"/>
    <row r="59970" ht="15" customHeight="1"/>
    <row r="59971" ht="15" customHeight="1"/>
    <row r="59972" ht="15" customHeight="1"/>
    <row r="59973" ht="15" customHeight="1"/>
    <row r="59974" ht="15" customHeight="1"/>
    <row r="59975" ht="15" customHeight="1"/>
    <row r="59976" ht="15" customHeight="1"/>
    <row r="59977" ht="15" customHeight="1"/>
    <row r="59978" ht="15" customHeight="1"/>
    <row r="59979" ht="15" customHeight="1"/>
    <row r="59980" ht="15" customHeight="1"/>
    <row r="59981" ht="15" customHeight="1"/>
    <row r="59982" ht="15" customHeight="1"/>
    <row r="59983" ht="15" customHeight="1"/>
    <row r="59984" ht="15" customHeight="1"/>
    <row r="59985" ht="15" customHeight="1"/>
    <row r="59986" ht="15" customHeight="1"/>
    <row r="59987" ht="15" customHeight="1"/>
    <row r="59988" ht="15" customHeight="1"/>
    <row r="59989" ht="15" customHeight="1"/>
    <row r="59990" ht="15" customHeight="1"/>
    <row r="59991" ht="15" customHeight="1"/>
    <row r="59992" ht="15" customHeight="1"/>
    <row r="59993" ht="15" customHeight="1"/>
    <row r="59994" ht="15" customHeight="1"/>
    <row r="59995" ht="15" customHeight="1"/>
    <row r="59996" ht="15" customHeight="1"/>
    <row r="59997" ht="15" customHeight="1"/>
    <row r="59998" ht="15" customHeight="1"/>
    <row r="59999" ht="15" customHeight="1"/>
    <row r="60000" ht="15" customHeight="1"/>
    <row r="60001" ht="15" customHeight="1"/>
    <row r="60002" ht="15" customHeight="1"/>
    <row r="60003" ht="15" customHeight="1"/>
    <row r="60004" ht="15" customHeight="1"/>
    <row r="60005" ht="15" customHeight="1"/>
    <row r="60006" ht="15" customHeight="1"/>
    <row r="60007" ht="15" customHeight="1"/>
    <row r="60008" ht="15" customHeight="1"/>
    <row r="60009" ht="15" customHeight="1"/>
    <row r="60010" ht="15" customHeight="1"/>
    <row r="60011" ht="15" customHeight="1"/>
    <row r="60012" ht="15" customHeight="1"/>
    <row r="60013" ht="15" customHeight="1"/>
    <row r="60014" ht="15" customHeight="1"/>
    <row r="60015" ht="15" customHeight="1"/>
    <row r="60016" ht="15" customHeight="1"/>
    <row r="60017" ht="15" customHeight="1"/>
    <row r="60018" ht="15" customHeight="1"/>
    <row r="60019" ht="15" customHeight="1"/>
    <row r="60020" ht="15" customHeight="1"/>
    <row r="60021" ht="15" customHeight="1"/>
    <row r="60022" ht="15" customHeight="1"/>
    <row r="60023" ht="15" customHeight="1"/>
    <row r="60024" ht="15" customHeight="1"/>
    <row r="60025" ht="15" customHeight="1"/>
    <row r="60026" ht="15" customHeight="1"/>
    <row r="60027" ht="15" customHeight="1"/>
    <row r="60028" ht="15" customHeight="1"/>
    <row r="60029" ht="15" customHeight="1"/>
    <row r="60030" ht="15" customHeight="1"/>
    <row r="60031" ht="15" customHeight="1"/>
    <row r="60032" ht="15" customHeight="1"/>
    <row r="60033" ht="15" customHeight="1"/>
    <row r="60034" ht="15" customHeight="1"/>
    <row r="60035" ht="15" customHeight="1"/>
    <row r="60036" ht="15" customHeight="1"/>
    <row r="60037" ht="15" customHeight="1"/>
    <row r="60038" ht="15" customHeight="1"/>
    <row r="60039" ht="15" customHeight="1"/>
    <row r="60040" ht="15" customHeight="1"/>
    <row r="60041" ht="15" customHeight="1"/>
    <row r="60042" ht="15" customHeight="1"/>
    <row r="60043" ht="15" customHeight="1"/>
    <row r="60044" ht="15" customHeight="1"/>
    <row r="60045" ht="15" customHeight="1"/>
    <row r="60046" ht="15" customHeight="1"/>
    <row r="60047" ht="15" customHeight="1"/>
    <row r="60048" ht="15" customHeight="1"/>
    <row r="60049" ht="15" customHeight="1"/>
    <row r="60050" ht="15" customHeight="1"/>
    <row r="60051" ht="15" customHeight="1"/>
    <row r="60052" ht="15" customHeight="1"/>
    <row r="60053" ht="15" customHeight="1"/>
    <row r="60054" ht="15" customHeight="1"/>
    <row r="60055" ht="15" customHeight="1"/>
    <row r="60056" ht="15" customHeight="1"/>
    <row r="60057" ht="15" customHeight="1"/>
    <row r="60058" ht="15" customHeight="1"/>
    <row r="60059" ht="15" customHeight="1"/>
    <row r="60060" ht="15" customHeight="1"/>
    <row r="60061" ht="15" customHeight="1"/>
    <row r="60062" ht="15" customHeight="1"/>
    <row r="60063" ht="15" customHeight="1"/>
    <row r="60064" ht="15" customHeight="1"/>
    <row r="60065" ht="15" customHeight="1"/>
    <row r="60066" ht="15" customHeight="1"/>
    <row r="60067" ht="15" customHeight="1"/>
    <row r="60068" ht="15" customHeight="1"/>
    <row r="60069" ht="15" customHeight="1"/>
    <row r="60070" ht="15" customHeight="1"/>
    <row r="60071" ht="15" customHeight="1"/>
    <row r="60072" ht="15" customHeight="1"/>
    <row r="60073" ht="15" customHeight="1"/>
    <row r="60074" ht="15" customHeight="1"/>
    <row r="60075" ht="15" customHeight="1"/>
    <row r="60076" ht="15" customHeight="1"/>
    <row r="60077" ht="15" customHeight="1"/>
    <row r="60078" ht="15" customHeight="1"/>
    <row r="60079" ht="15" customHeight="1"/>
    <row r="60080" ht="15" customHeight="1"/>
    <row r="60081" ht="15" customHeight="1"/>
    <row r="60082" ht="15" customHeight="1"/>
    <row r="60083" ht="15" customHeight="1"/>
    <row r="60084" ht="15" customHeight="1"/>
    <row r="60085" ht="15" customHeight="1"/>
    <row r="60086" ht="15" customHeight="1"/>
    <row r="60087" ht="15" customHeight="1"/>
    <row r="60088" ht="15" customHeight="1"/>
    <row r="60089" ht="15" customHeight="1"/>
    <row r="60090" ht="15" customHeight="1"/>
    <row r="60091" ht="15" customHeight="1"/>
    <row r="60092" ht="15" customHeight="1"/>
    <row r="60093" ht="15" customHeight="1"/>
    <row r="60094" ht="15" customHeight="1"/>
    <row r="60095" ht="15" customHeight="1"/>
    <row r="60096" ht="15" customHeight="1"/>
    <row r="60097" ht="15" customHeight="1"/>
    <row r="60098" ht="15" customHeight="1"/>
    <row r="60099" ht="15" customHeight="1"/>
    <row r="60100" ht="15" customHeight="1"/>
    <row r="60101" ht="15" customHeight="1"/>
    <row r="60102" ht="15" customHeight="1"/>
    <row r="60103" ht="15" customHeight="1"/>
    <row r="60104" ht="15" customHeight="1"/>
    <row r="60105" ht="15" customHeight="1"/>
    <row r="60106" ht="15" customHeight="1"/>
    <row r="60107" ht="15" customHeight="1"/>
    <row r="60108" ht="15" customHeight="1"/>
    <row r="60109" ht="15" customHeight="1"/>
    <row r="60110" ht="15" customHeight="1"/>
    <row r="60111" ht="15" customHeight="1"/>
    <row r="60112" ht="15" customHeight="1"/>
    <row r="60113" ht="15" customHeight="1"/>
    <row r="60114" ht="15" customHeight="1"/>
    <row r="60115" ht="15" customHeight="1"/>
    <row r="60116" ht="15" customHeight="1"/>
    <row r="60117" ht="15" customHeight="1"/>
    <row r="60118" ht="15" customHeight="1"/>
    <row r="60119" ht="15" customHeight="1"/>
    <row r="60120" ht="15" customHeight="1"/>
    <row r="60121" ht="15" customHeight="1"/>
    <row r="60122" ht="15" customHeight="1"/>
    <row r="60123" ht="15" customHeight="1"/>
    <row r="60124" ht="15" customHeight="1"/>
    <row r="60125" ht="15" customHeight="1"/>
    <row r="60126" ht="15" customHeight="1"/>
    <row r="60127" ht="15" customHeight="1"/>
    <row r="60128" ht="15" customHeight="1"/>
    <row r="60129" ht="15" customHeight="1"/>
    <row r="60130" ht="15" customHeight="1"/>
    <row r="60131" ht="15" customHeight="1"/>
    <row r="60132" ht="15" customHeight="1"/>
    <row r="60133" ht="15" customHeight="1"/>
    <row r="60134" ht="15" customHeight="1"/>
    <row r="60135" ht="15" customHeight="1"/>
    <row r="60136" ht="15" customHeight="1"/>
    <row r="60137" ht="15" customHeight="1"/>
    <row r="60138" ht="15" customHeight="1"/>
    <row r="60139" ht="15" customHeight="1"/>
    <row r="60140" ht="15" customHeight="1"/>
    <row r="60141" ht="15" customHeight="1"/>
    <row r="60142" ht="15" customHeight="1"/>
    <row r="60143" ht="15" customHeight="1"/>
    <row r="60144" ht="15" customHeight="1"/>
    <row r="60145" ht="15" customHeight="1"/>
    <row r="60146" ht="15" customHeight="1"/>
    <row r="60147" ht="15" customHeight="1"/>
    <row r="60148" ht="15" customHeight="1"/>
    <row r="60149" ht="15" customHeight="1"/>
    <row r="60150" ht="15" customHeight="1"/>
    <row r="60151" ht="15" customHeight="1"/>
    <row r="60152" ht="15" customHeight="1"/>
    <row r="60153" ht="15" customHeight="1"/>
    <row r="60154" ht="15" customHeight="1"/>
    <row r="60155" ht="15" customHeight="1"/>
    <row r="60156" ht="15" customHeight="1"/>
    <row r="60157" ht="15" customHeight="1"/>
    <row r="60158" ht="15" customHeight="1"/>
    <row r="60159" ht="15" customHeight="1"/>
    <row r="60160" ht="15" customHeight="1"/>
    <row r="60161" ht="15" customHeight="1"/>
    <row r="60162" ht="15" customHeight="1"/>
    <row r="60163" ht="15" customHeight="1"/>
    <row r="60164" ht="15" customHeight="1"/>
    <row r="60165" ht="15" customHeight="1"/>
    <row r="60166" ht="15" customHeight="1"/>
    <row r="60167" ht="15" customHeight="1"/>
    <row r="60168" ht="15" customHeight="1"/>
    <row r="60169" ht="15" customHeight="1"/>
    <row r="60170" ht="15" customHeight="1"/>
    <row r="60171" ht="15" customHeight="1"/>
    <row r="60172" ht="15" customHeight="1"/>
    <row r="60173" ht="15" customHeight="1"/>
    <row r="60174" ht="15" customHeight="1"/>
    <row r="60175" ht="15" customHeight="1"/>
    <row r="60176" ht="15" customHeight="1"/>
    <row r="60177" ht="15" customHeight="1"/>
    <row r="60178" ht="15" customHeight="1"/>
    <row r="60179" ht="15" customHeight="1"/>
    <row r="60180" ht="15" customHeight="1"/>
    <row r="60181" ht="15" customHeight="1"/>
    <row r="60182" ht="15" customHeight="1"/>
    <row r="60183" ht="15" customHeight="1"/>
    <row r="60184" ht="15" customHeight="1"/>
    <row r="60185" ht="15" customHeight="1"/>
    <row r="60186" ht="15" customHeight="1"/>
    <row r="60187" ht="15" customHeight="1"/>
    <row r="60188" ht="15" customHeight="1"/>
    <row r="60189" ht="15" customHeight="1"/>
    <row r="60190" ht="15" customHeight="1"/>
    <row r="60191" ht="15" customHeight="1"/>
    <row r="60192" ht="15" customHeight="1"/>
    <row r="60193" ht="15" customHeight="1"/>
    <row r="60194" ht="15" customHeight="1"/>
    <row r="60195" ht="15" customHeight="1"/>
    <row r="60196" ht="15" customHeight="1"/>
    <row r="60197" ht="15" customHeight="1"/>
    <row r="60198" ht="15" customHeight="1"/>
    <row r="60199" ht="15" customHeight="1"/>
    <row r="60200" ht="15" customHeight="1"/>
    <row r="60201" ht="15" customHeight="1"/>
    <row r="60202" ht="15" customHeight="1"/>
    <row r="60203" ht="15" customHeight="1"/>
    <row r="60204" ht="15" customHeight="1"/>
    <row r="60205" ht="15" customHeight="1"/>
    <row r="60206" ht="15" customHeight="1"/>
    <row r="60207" ht="15" customHeight="1"/>
    <row r="60208" ht="15" customHeight="1"/>
    <row r="60209" ht="15" customHeight="1"/>
    <row r="60210" ht="15" customHeight="1"/>
    <row r="60211" ht="15" customHeight="1"/>
    <row r="60212" ht="15" customHeight="1"/>
    <row r="60213" ht="15" customHeight="1"/>
    <row r="60214" ht="15" customHeight="1"/>
    <row r="60215" ht="15" customHeight="1"/>
    <row r="60216" ht="15" customHeight="1"/>
    <row r="60217" ht="15" customHeight="1"/>
    <row r="60218" ht="15" customHeight="1"/>
    <row r="60219" ht="15" customHeight="1"/>
    <row r="60220" ht="15" customHeight="1"/>
    <row r="60221" ht="15" customHeight="1"/>
    <row r="60222" ht="15" customHeight="1"/>
    <row r="60223" ht="15" customHeight="1"/>
    <row r="60224" ht="15" customHeight="1"/>
    <row r="60225" ht="15" customHeight="1"/>
    <row r="60226" ht="15" customHeight="1"/>
    <row r="60227" ht="15" customHeight="1"/>
    <row r="60228" ht="15" customHeight="1"/>
    <row r="60229" ht="15" customHeight="1"/>
    <row r="60230" ht="15" customHeight="1"/>
    <row r="60231" ht="15" customHeight="1"/>
    <row r="60232" ht="15" customHeight="1"/>
    <row r="60233" ht="15" customHeight="1"/>
    <row r="60234" ht="15" customHeight="1"/>
    <row r="60235" ht="15" customHeight="1"/>
    <row r="60236" ht="15" customHeight="1"/>
    <row r="60237" ht="15" customHeight="1"/>
    <row r="60238" ht="15" customHeight="1"/>
    <row r="60239" ht="15" customHeight="1"/>
    <row r="60240" ht="15" customHeight="1"/>
    <row r="60241" ht="15" customHeight="1"/>
    <row r="60242" ht="15" customHeight="1"/>
    <row r="60243" ht="15" customHeight="1"/>
    <row r="60244" ht="15" customHeight="1"/>
    <row r="60245" ht="15" customHeight="1"/>
    <row r="60246" ht="15" customHeight="1"/>
    <row r="60247" ht="15" customHeight="1"/>
    <row r="60248" ht="15" customHeight="1"/>
    <row r="60249" ht="15" customHeight="1"/>
    <row r="60250" ht="15" customHeight="1"/>
    <row r="60251" ht="15" customHeight="1"/>
    <row r="60252" ht="15" customHeight="1"/>
    <row r="60253" ht="15" customHeight="1"/>
    <row r="60254" ht="15" customHeight="1"/>
    <row r="60255" ht="15" customHeight="1"/>
    <row r="60256" ht="15" customHeight="1"/>
    <row r="60257" ht="15" customHeight="1"/>
    <row r="60258" ht="15" customHeight="1"/>
    <row r="60259" ht="15" customHeight="1"/>
    <row r="60260" ht="15" customHeight="1"/>
    <row r="60261" ht="15" customHeight="1"/>
    <row r="60262" ht="15" customHeight="1"/>
    <row r="60263" ht="15" customHeight="1"/>
    <row r="60264" ht="15" customHeight="1"/>
    <row r="60265" ht="15" customHeight="1"/>
    <row r="60266" ht="15" customHeight="1"/>
    <row r="60267" ht="15" customHeight="1"/>
    <row r="60268" ht="15" customHeight="1"/>
    <row r="60269" ht="15" customHeight="1"/>
    <row r="60270" ht="15" customHeight="1"/>
    <row r="60271" ht="15" customHeight="1"/>
    <row r="60272" ht="15" customHeight="1"/>
    <row r="60273" ht="15" customHeight="1"/>
    <row r="60274" ht="15" customHeight="1"/>
    <row r="60275" ht="15" customHeight="1"/>
    <row r="60276" ht="15" customHeight="1"/>
    <row r="60277" ht="15" customHeight="1"/>
    <row r="60278" ht="15" customHeight="1"/>
    <row r="60279" ht="15" customHeight="1"/>
    <row r="60280" ht="15" customHeight="1"/>
    <row r="60281" ht="15" customHeight="1"/>
    <row r="60282" ht="15" customHeight="1"/>
    <row r="60283" ht="15" customHeight="1"/>
    <row r="60284" ht="15" customHeight="1"/>
    <row r="60285" ht="15" customHeight="1"/>
    <row r="60286" ht="15" customHeight="1"/>
    <row r="60287" ht="15" customHeight="1"/>
    <row r="60288" ht="15" customHeight="1"/>
    <row r="60289" ht="15" customHeight="1"/>
    <row r="60290" ht="15" customHeight="1"/>
    <row r="60291" ht="15" customHeight="1"/>
    <row r="60292" ht="15" customHeight="1"/>
    <row r="60293" ht="15" customHeight="1"/>
    <row r="60294" ht="15" customHeight="1"/>
    <row r="60295" ht="15" customHeight="1"/>
    <row r="60296" ht="15" customHeight="1"/>
    <row r="60297" ht="15" customHeight="1"/>
    <row r="60298" ht="15" customHeight="1"/>
    <row r="60299" ht="15" customHeight="1"/>
    <row r="60300" ht="15" customHeight="1"/>
    <row r="60301" ht="15" customHeight="1"/>
    <row r="60302" ht="15" customHeight="1"/>
    <row r="60303" ht="15" customHeight="1"/>
    <row r="60304" ht="15" customHeight="1"/>
    <row r="60305" ht="15" customHeight="1"/>
    <row r="60306" ht="15" customHeight="1"/>
    <row r="60307" ht="15" customHeight="1"/>
    <row r="60308" ht="15" customHeight="1"/>
    <row r="60309" ht="15" customHeight="1"/>
    <row r="60310" ht="15" customHeight="1"/>
    <row r="60311" ht="15" customHeight="1"/>
    <row r="60312" ht="15" customHeight="1"/>
    <row r="60313" ht="15" customHeight="1"/>
    <row r="60314" ht="15" customHeight="1"/>
    <row r="60315" ht="15" customHeight="1"/>
    <row r="60316" ht="15" customHeight="1"/>
    <row r="60317" ht="15" customHeight="1"/>
    <row r="60318" ht="15" customHeight="1"/>
    <row r="60319" ht="15" customHeight="1"/>
    <row r="60320" ht="15" customHeight="1"/>
    <row r="60321" ht="15" customHeight="1"/>
    <row r="60322" ht="15" customHeight="1"/>
    <row r="60323" ht="15" customHeight="1"/>
    <row r="60324" ht="15" customHeight="1"/>
    <row r="60325" ht="15" customHeight="1"/>
    <row r="60326" ht="15" customHeight="1"/>
    <row r="60327" ht="15" customHeight="1"/>
    <row r="60328" ht="15" customHeight="1"/>
    <row r="60329" ht="15" customHeight="1"/>
    <row r="60330" ht="15" customHeight="1"/>
    <row r="60331" ht="15" customHeight="1"/>
    <row r="60332" ht="15" customHeight="1"/>
    <row r="60333" ht="15" customHeight="1"/>
    <row r="60334" ht="15" customHeight="1"/>
    <row r="60335" ht="15" customHeight="1"/>
    <row r="60336" ht="15" customHeight="1"/>
    <row r="60337" ht="15" customHeight="1"/>
    <row r="60338" ht="15" customHeight="1"/>
    <row r="60339" ht="15" customHeight="1"/>
    <row r="60340" ht="15" customHeight="1"/>
    <row r="60341" ht="15" customHeight="1"/>
    <row r="60342" ht="15" customHeight="1"/>
    <row r="60343" ht="15" customHeight="1"/>
    <row r="60344" ht="15" customHeight="1"/>
    <row r="60345" ht="15" customHeight="1"/>
    <row r="60346" ht="15" customHeight="1"/>
    <row r="60347" ht="15" customHeight="1"/>
    <row r="60348" ht="15" customHeight="1"/>
    <row r="60349" ht="15" customHeight="1"/>
    <row r="60350" ht="15" customHeight="1"/>
    <row r="60351" ht="15" customHeight="1"/>
    <row r="60352" ht="15" customHeight="1"/>
    <row r="60353" ht="15" customHeight="1"/>
    <row r="60354" ht="15" customHeight="1"/>
    <row r="60355" ht="15" customHeight="1"/>
    <row r="60356" ht="15" customHeight="1"/>
    <row r="60357" ht="15" customHeight="1"/>
    <row r="60358" ht="15" customHeight="1"/>
    <row r="60359" ht="15" customHeight="1"/>
    <row r="60360" ht="15" customHeight="1"/>
    <row r="60361" ht="15" customHeight="1"/>
    <row r="60362" ht="15" customHeight="1"/>
    <row r="60363" ht="15" customHeight="1"/>
    <row r="60364" ht="15" customHeight="1"/>
    <row r="60365" ht="15" customHeight="1"/>
    <row r="60366" ht="15" customHeight="1"/>
    <row r="60367" ht="15" customHeight="1"/>
    <row r="60368" ht="15" customHeight="1"/>
    <row r="60369" ht="15" customHeight="1"/>
    <row r="60370" ht="15" customHeight="1"/>
    <row r="60371" ht="15" customHeight="1"/>
    <row r="60372" ht="15" customHeight="1"/>
    <row r="60373" ht="15" customHeight="1"/>
    <row r="60374" ht="15" customHeight="1"/>
    <row r="60375" ht="15" customHeight="1"/>
    <row r="60376" ht="15" customHeight="1"/>
    <row r="60377" ht="15" customHeight="1"/>
    <row r="60378" ht="15" customHeight="1"/>
    <row r="60379" ht="15" customHeight="1"/>
    <row r="60380" ht="15" customHeight="1"/>
    <row r="60381" ht="15" customHeight="1"/>
    <row r="60382" ht="15" customHeight="1"/>
    <row r="60383" ht="15" customHeight="1"/>
    <row r="60384" ht="15" customHeight="1"/>
    <row r="60385" ht="15" customHeight="1"/>
    <row r="60386" ht="15" customHeight="1"/>
    <row r="60387" ht="15" customHeight="1"/>
    <row r="60388" ht="15" customHeight="1"/>
    <row r="60389" ht="15" customHeight="1"/>
    <row r="60390" ht="15" customHeight="1"/>
    <row r="60391" ht="15" customHeight="1"/>
    <row r="60392" ht="15" customHeight="1"/>
    <row r="60393" ht="15" customHeight="1"/>
    <row r="60394" ht="15" customHeight="1"/>
    <row r="60395" ht="15" customHeight="1"/>
    <row r="60396" ht="15" customHeight="1"/>
    <row r="60397" ht="15" customHeight="1"/>
    <row r="60398" ht="15" customHeight="1"/>
    <row r="60399" ht="15" customHeight="1"/>
    <row r="60400" ht="15" customHeight="1"/>
    <row r="60401" ht="15" customHeight="1"/>
    <row r="60402" ht="15" customHeight="1"/>
    <row r="60403" ht="15" customHeight="1"/>
    <row r="60404" ht="15" customHeight="1"/>
    <row r="60405" ht="15" customHeight="1"/>
    <row r="60406" ht="15" customHeight="1"/>
    <row r="60407" ht="15" customHeight="1"/>
    <row r="60408" ht="15" customHeight="1"/>
    <row r="60409" ht="15" customHeight="1"/>
    <row r="60410" ht="15" customHeight="1"/>
    <row r="60411" ht="15" customHeight="1"/>
    <row r="60412" ht="15" customHeight="1"/>
    <row r="60413" ht="15" customHeight="1"/>
    <row r="60414" ht="15" customHeight="1"/>
    <row r="60415" ht="15" customHeight="1"/>
    <row r="60416" ht="15" customHeight="1"/>
    <row r="60417" ht="15" customHeight="1"/>
    <row r="60418" ht="15" customHeight="1"/>
    <row r="60419" ht="15" customHeight="1"/>
    <row r="60420" ht="15" customHeight="1"/>
    <row r="60421" ht="15" customHeight="1"/>
    <row r="60422" ht="15" customHeight="1"/>
    <row r="60423" ht="15" customHeight="1"/>
    <row r="60424" ht="15" customHeight="1"/>
    <row r="60425" ht="15" customHeight="1"/>
    <row r="60426" ht="15" customHeight="1"/>
    <row r="60427" ht="15" customHeight="1"/>
    <row r="60428" ht="15" customHeight="1"/>
    <row r="60429" ht="15" customHeight="1"/>
    <row r="60430" ht="15" customHeight="1"/>
    <row r="60431" ht="15" customHeight="1"/>
    <row r="60432" ht="15" customHeight="1"/>
    <row r="60433" ht="15" customHeight="1"/>
    <row r="60434" ht="15" customHeight="1"/>
    <row r="60435" ht="15" customHeight="1"/>
    <row r="60436" ht="15" customHeight="1"/>
    <row r="60437" ht="15" customHeight="1"/>
    <row r="60438" ht="15" customHeight="1"/>
    <row r="60439" ht="15" customHeight="1"/>
    <row r="60440" ht="15" customHeight="1"/>
    <row r="60441" ht="15" customHeight="1"/>
    <row r="60442" ht="15" customHeight="1"/>
    <row r="60443" ht="15" customHeight="1"/>
    <row r="60444" ht="15" customHeight="1"/>
    <row r="60445" ht="15" customHeight="1"/>
    <row r="60446" ht="15" customHeight="1"/>
    <row r="60447" ht="15" customHeight="1"/>
    <row r="60448" ht="15" customHeight="1"/>
    <row r="60449" ht="15" customHeight="1"/>
    <row r="60450" ht="15" customHeight="1"/>
    <row r="60451" ht="15" customHeight="1"/>
    <row r="60452" ht="15" customHeight="1"/>
    <row r="60453" ht="15" customHeight="1"/>
    <row r="60454" ht="15" customHeight="1"/>
    <row r="60455" ht="15" customHeight="1"/>
    <row r="60456" ht="15" customHeight="1"/>
    <row r="60457" ht="15" customHeight="1"/>
    <row r="60458" ht="15" customHeight="1"/>
    <row r="60459" ht="15" customHeight="1"/>
    <row r="60460" ht="15" customHeight="1"/>
    <row r="60461" ht="15" customHeight="1"/>
    <row r="60462" ht="15" customHeight="1"/>
    <row r="60463" ht="15" customHeight="1"/>
    <row r="60464" ht="15" customHeight="1"/>
    <row r="60465" ht="15" customHeight="1"/>
    <row r="60466" ht="15" customHeight="1"/>
    <row r="60467" ht="15" customHeight="1"/>
    <row r="60468" ht="15" customHeight="1"/>
    <row r="60469" ht="15" customHeight="1"/>
    <row r="60470" ht="15" customHeight="1"/>
    <row r="60471" ht="15" customHeight="1"/>
    <row r="60472" ht="15" customHeight="1"/>
    <row r="60473" ht="15" customHeight="1"/>
    <row r="60474" ht="15" customHeight="1"/>
    <row r="60475" ht="15" customHeight="1"/>
    <row r="60476" ht="15" customHeight="1"/>
    <row r="60477" ht="15" customHeight="1"/>
    <row r="60478" ht="15" customHeight="1"/>
    <row r="60479" ht="15" customHeight="1"/>
    <row r="60480" ht="15" customHeight="1"/>
    <row r="60481" ht="15" customHeight="1"/>
    <row r="60482" ht="15" customHeight="1"/>
    <row r="60483" ht="15" customHeight="1"/>
    <row r="60484" ht="15" customHeight="1"/>
    <row r="60485" ht="15" customHeight="1"/>
    <row r="60486" ht="15" customHeight="1"/>
    <row r="60487" ht="15" customHeight="1"/>
    <row r="60488" ht="15" customHeight="1"/>
    <row r="60489" ht="15" customHeight="1"/>
    <row r="60490" ht="15" customHeight="1"/>
    <row r="60491" ht="15" customHeight="1"/>
    <row r="60492" ht="15" customHeight="1"/>
    <row r="60493" ht="15" customHeight="1"/>
    <row r="60494" ht="15" customHeight="1"/>
    <row r="60495" ht="15" customHeight="1"/>
    <row r="60496" ht="15" customHeight="1"/>
    <row r="60497" ht="15" customHeight="1"/>
    <row r="60498" ht="15" customHeight="1"/>
    <row r="60499" ht="15" customHeight="1"/>
    <row r="60500" ht="15" customHeight="1"/>
    <row r="60501" ht="15" customHeight="1"/>
    <row r="60502" ht="15" customHeight="1"/>
    <row r="60503" ht="15" customHeight="1"/>
    <row r="60504" ht="15" customHeight="1"/>
    <row r="60505" ht="15" customHeight="1"/>
    <row r="60506" ht="15" customHeight="1"/>
    <row r="60507" ht="15" customHeight="1"/>
    <row r="60508" ht="15" customHeight="1"/>
    <row r="60509" ht="15" customHeight="1"/>
    <row r="60510" ht="15" customHeight="1"/>
    <row r="60511" ht="15" customHeight="1"/>
    <row r="60512" ht="15" customHeight="1"/>
    <row r="60513" ht="15" customHeight="1"/>
    <row r="60514" ht="15" customHeight="1"/>
    <row r="60515" ht="15" customHeight="1"/>
    <row r="60516" ht="15" customHeight="1"/>
    <row r="60517" ht="15" customHeight="1"/>
    <row r="60518" ht="15" customHeight="1"/>
    <row r="60519" ht="15" customHeight="1"/>
    <row r="60520" ht="15" customHeight="1"/>
    <row r="60521" ht="15" customHeight="1"/>
    <row r="60522" ht="15" customHeight="1"/>
    <row r="60523" ht="15" customHeight="1"/>
    <row r="60524" ht="15" customHeight="1"/>
    <row r="60525" ht="15" customHeight="1"/>
    <row r="60526" ht="15" customHeight="1"/>
    <row r="60527" ht="15" customHeight="1"/>
    <row r="60528" ht="15" customHeight="1"/>
    <row r="60529" ht="15" customHeight="1"/>
    <row r="60530" ht="15" customHeight="1"/>
    <row r="60531" ht="15" customHeight="1"/>
    <row r="60532" ht="15" customHeight="1"/>
    <row r="60533" ht="15" customHeight="1"/>
    <row r="60534" ht="15" customHeight="1"/>
    <row r="60535" ht="15" customHeight="1"/>
    <row r="60536" ht="15" customHeight="1"/>
    <row r="60537" ht="15" customHeight="1"/>
    <row r="60538" ht="15" customHeight="1"/>
    <row r="60539" ht="15" customHeight="1"/>
    <row r="60540" ht="15" customHeight="1"/>
    <row r="60541" ht="15" customHeight="1"/>
    <row r="60542" ht="15" customHeight="1"/>
    <row r="60543" ht="15" customHeight="1"/>
    <row r="60544" ht="15" customHeight="1"/>
    <row r="60545" ht="15" customHeight="1"/>
    <row r="60546" ht="15" customHeight="1"/>
    <row r="60547" ht="15" customHeight="1"/>
    <row r="60548" ht="15" customHeight="1"/>
    <row r="60549" ht="15" customHeight="1"/>
    <row r="60550" ht="15" customHeight="1"/>
    <row r="60551" ht="15" customHeight="1"/>
    <row r="60552" ht="15" customHeight="1"/>
    <row r="60553" ht="15" customHeight="1"/>
    <row r="60554" ht="15" customHeight="1"/>
    <row r="60555" ht="15" customHeight="1"/>
    <row r="60556" ht="15" customHeight="1"/>
    <row r="60557" ht="15" customHeight="1"/>
    <row r="60558" ht="15" customHeight="1"/>
    <row r="60559" ht="15" customHeight="1"/>
    <row r="60560" ht="15" customHeight="1"/>
    <row r="60561" ht="15" customHeight="1"/>
    <row r="60562" ht="15" customHeight="1"/>
    <row r="60563" ht="15" customHeight="1"/>
    <row r="60564" ht="15" customHeight="1"/>
    <row r="60565" ht="15" customHeight="1"/>
    <row r="60566" ht="15" customHeight="1"/>
    <row r="60567" ht="15" customHeight="1"/>
    <row r="60568" ht="15" customHeight="1"/>
    <row r="60569" ht="15" customHeight="1"/>
    <row r="60570" ht="15" customHeight="1"/>
    <row r="60571" ht="15" customHeight="1"/>
    <row r="60572" ht="15" customHeight="1"/>
    <row r="60573" ht="15" customHeight="1"/>
    <row r="60574" ht="15" customHeight="1"/>
    <row r="60575" ht="15" customHeight="1"/>
    <row r="60576" ht="15" customHeight="1"/>
    <row r="60577" ht="15" customHeight="1"/>
    <row r="60578" ht="15" customHeight="1"/>
    <row r="60579" ht="15" customHeight="1"/>
    <row r="60580" ht="15" customHeight="1"/>
    <row r="60581" ht="15" customHeight="1"/>
    <row r="60582" ht="15" customHeight="1"/>
    <row r="60583" ht="15" customHeight="1"/>
    <row r="60584" ht="15" customHeight="1"/>
    <row r="60585" ht="15" customHeight="1"/>
    <row r="60586" ht="15" customHeight="1"/>
    <row r="60587" ht="15" customHeight="1"/>
    <row r="60588" ht="15" customHeight="1"/>
    <row r="60589" ht="15" customHeight="1"/>
    <row r="60590" ht="15" customHeight="1"/>
    <row r="60591" ht="15" customHeight="1"/>
    <row r="60592" ht="15" customHeight="1"/>
    <row r="60593" ht="15" customHeight="1"/>
    <row r="60594" ht="15" customHeight="1"/>
    <row r="60595" ht="15" customHeight="1"/>
    <row r="60596" ht="15" customHeight="1"/>
    <row r="60597" ht="15" customHeight="1"/>
    <row r="60598" ht="15" customHeight="1"/>
    <row r="60599" ht="15" customHeight="1"/>
    <row r="60600" ht="15" customHeight="1"/>
    <row r="60601" ht="15" customHeight="1"/>
    <row r="60602" ht="15" customHeight="1"/>
    <row r="60603" ht="15" customHeight="1"/>
    <row r="60604" ht="15" customHeight="1"/>
    <row r="60605" ht="15" customHeight="1"/>
    <row r="60606" ht="15" customHeight="1"/>
    <row r="60607" ht="15" customHeight="1"/>
    <row r="60608" ht="15" customHeight="1"/>
    <row r="60609" ht="15" customHeight="1"/>
    <row r="60610" ht="15" customHeight="1"/>
    <row r="60611" ht="15" customHeight="1"/>
    <row r="60612" ht="15" customHeight="1"/>
    <row r="60613" ht="15" customHeight="1"/>
    <row r="60614" ht="15" customHeight="1"/>
    <row r="60615" ht="15" customHeight="1"/>
    <row r="60616" ht="15" customHeight="1"/>
    <row r="60617" ht="15" customHeight="1"/>
    <row r="60618" ht="15" customHeight="1"/>
    <row r="60619" ht="15" customHeight="1"/>
    <row r="60620" ht="15" customHeight="1"/>
    <row r="60621" ht="15" customHeight="1"/>
    <row r="60622" ht="15" customHeight="1"/>
    <row r="60623" ht="15" customHeight="1"/>
    <row r="60624" ht="15" customHeight="1"/>
    <row r="60625" ht="15" customHeight="1"/>
    <row r="60626" ht="15" customHeight="1"/>
    <row r="60627" ht="15" customHeight="1"/>
    <row r="60628" ht="15" customHeight="1"/>
    <row r="60629" ht="15" customHeight="1"/>
    <row r="60630" ht="15" customHeight="1"/>
    <row r="60631" ht="15" customHeight="1"/>
    <row r="60632" ht="15" customHeight="1"/>
    <row r="60633" ht="15" customHeight="1"/>
    <row r="60634" ht="15" customHeight="1"/>
    <row r="60635" ht="15" customHeight="1"/>
    <row r="60636" ht="15" customHeight="1"/>
    <row r="60637" ht="15" customHeight="1"/>
    <row r="60638" ht="15" customHeight="1"/>
    <row r="60639" ht="15" customHeight="1"/>
    <row r="60640" ht="15" customHeight="1"/>
    <row r="60641" ht="15" customHeight="1"/>
    <row r="60642" ht="15" customHeight="1"/>
    <row r="60643" ht="15" customHeight="1"/>
    <row r="60644" ht="15" customHeight="1"/>
    <row r="60645" ht="15" customHeight="1"/>
    <row r="60646" ht="15" customHeight="1"/>
    <row r="60647" ht="15" customHeight="1"/>
    <row r="60648" ht="15" customHeight="1"/>
    <row r="60649" ht="15" customHeight="1"/>
    <row r="60650" ht="15" customHeight="1"/>
    <row r="60651" ht="15" customHeight="1"/>
    <row r="60652" ht="15" customHeight="1"/>
    <row r="60653" ht="15" customHeight="1"/>
    <row r="60654" ht="15" customHeight="1"/>
    <row r="60655" ht="15" customHeight="1"/>
    <row r="60656" ht="15" customHeight="1"/>
    <row r="60657" ht="15" customHeight="1"/>
    <row r="60658" ht="15" customHeight="1"/>
    <row r="60659" ht="15" customHeight="1"/>
    <row r="60660" ht="15" customHeight="1"/>
    <row r="60661" ht="15" customHeight="1"/>
    <row r="60662" ht="15" customHeight="1"/>
    <row r="60663" ht="15" customHeight="1"/>
    <row r="60664" ht="15" customHeight="1"/>
    <row r="60665" ht="15" customHeight="1"/>
    <row r="60666" ht="15" customHeight="1"/>
    <row r="60667" ht="15" customHeight="1"/>
    <row r="60668" ht="15" customHeight="1"/>
    <row r="60669" ht="15" customHeight="1"/>
    <row r="60670" ht="15" customHeight="1"/>
    <row r="60671" ht="15" customHeight="1"/>
    <row r="60672" ht="15" customHeight="1"/>
    <row r="60673" ht="15" customHeight="1"/>
    <row r="60674" ht="15" customHeight="1"/>
    <row r="60675" ht="15" customHeight="1"/>
    <row r="60676" ht="15" customHeight="1"/>
    <row r="60677" ht="15" customHeight="1"/>
    <row r="60678" ht="15" customHeight="1"/>
    <row r="60679" ht="15" customHeight="1"/>
    <row r="60680" ht="15" customHeight="1"/>
    <row r="60681" ht="15" customHeight="1"/>
    <row r="60682" ht="15" customHeight="1"/>
    <row r="60683" ht="15" customHeight="1"/>
    <row r="60684" ht="15" customHeight="1"/>
    <row r="60685" ht="15" customHeight="1"/>
    <row r="60686" ht="15" customHeight="1"/>
    <row r="60687" ht="15" customHeight="1"/>
    <row r="60688" ht="15" customHeight="1"/>
    <row r="60689" ht="15" customHeight="1"/>
    <row r="60690" ht="15" customHeight="1"/>
    <row r="60691" ht="15" customHeight="1"/>
    <row r="60692" ht="15" customHeight="1"/>
    <row r="60693" ht="15" customHeight="1"/>
    <row r="60694" ht="15" customHeight="1"/>
    <row r="60695" ht="15" customHeight="1"/>
    <row r="60696" ht="15" customHeight="1"/>
    <row r="60697" ht="15" customHeight="1"/>
    <row r="60698" ht="15" customHeight="1"/>
    <row r="60699" ht="15" customHeight="1"/>
    <row r="60700" ht="15" customHeight="1"/>
    <row r="60701" ht="15" customHeight="1"/>
    <row r="60702" ht="15" customHeight="1"/>
    <row r="60703" ht="15" customHeight="1"/>
    <row r="60704" ht="15" customHeight="1"/>
    <row r="60705" ht="15" customHeight="1"/>
    <row r="60706" ht="15" customHeight="1"/>
    <row r="60707" ht="15" customHeight="1"/>
    <row r="60708" ht="15" customHeight="1"/>
    <row r="60709" ht="15" customHeight="1"/>
    <row r="60710" ht="15" customHeight="1"/>
    <row r="60711" ht="15" customHeight="1"/>
    <row r="60712" ht="15" customHeight="1"/>
    <row r="60713" ht="15" customHeight="1"/>
    <row r="60714" ht="15" customHeight="1"/>
    <row r="60715" ht="15" customHeight="1"/>
    <row r="60716" ht="15" customHeight="1"/>
    <row r="60717" ht="15" customHeight="1"/>
    <row r="60718" ht="15" customHeight="1"/>
    <row r="60719" ht="15" customHeight="1"/>
    <row r="60720" ht="15" customHeight="1"/>
    <row r="60721" ht="15" customHeight="1"/>
    <row r="60722" ht="15" customHeight="1"/>
    <row r="60723" ht="15" customHeight="1"/>
    <row r="60724" ht="15" customHeight="1"/>
    <row r="60725" ht="15" customHeight="1"/>
    <row r="60726" ht="15" customHeight="1"/>
    <row r="60727" ht="15" customHeight="1"/>
    <row r="60728" ht="15" customHeight="1"/>
    <row r="60729" ht="15" customHeight="1"/>
    <row r="60730" ht="15" customHeight="1"/>
    <row r="60731" ht="15" customHeight="1"/>
    <row r="60732" ht="15" customHeight="1"/>
    <row r="60733" ht="15" customHeight="1"/>
    <row r="60734" ht="15" customHeight="1"/>
    <row r="60735" ht="15" customHeight="1"/>
    <row r="60736" ht="15" customHeight="1"/>
    <row r="60737" ht="15" customHeight="1"/>
    <row r="60738" ht="15" customHeight="1"/>
    <row r="60739" ht="15" customHeight="1"/>
    <row r="60740" ht="15" customHeight="1"/>
    <row r="60741" ht="15" customHeight="1"/>
    <row r="60742" ht="15" customHeight="1"/>
    <row r="60743" ht="15" customHeight="1"/>
    <row r="60744" ht="15" customHeight="1"/>
    <row r="60745" ht="15" customHeight="1"/>
    <row r="60746" ht="15" customHeight="1"/>
    <row r="60747" ht="15" customHeight="1"/>
    <row r="60748" ht="15" customHeight="1"/>
    <row r="60749" ht="15" customHeight="1"/>
    <row r="60750" ht="15" customHeight="1"/>
    <row r="60751" ht="15" customHeight="1"/>
    <row r="60752" ht="15" customHeight="1"/>
    <row r="60753" ht="15" customHeight="1"/>
    <row r="60754" ht="15" customHeight="1"/>
    <row r="60755" ht="15" customHeight="1"/>
    <row r="60756" ht="15" customHeight="1"/>
    <row r="60757" ht="15" customHeight="1"/>
    <row r="60758" ht="15" customHeight="1"/>
    <row r="60759" ht="15" customHeight="1"/>
    <row r="60760" ht="15" customHeight="1"/>
    <row r="60761" ht="15" customHeight="1"/>
    <row r="60762" ht="15" customHeight="1"/>
    <row r="60763" ht="15" customHeight="1"/>
    <row r="60764" ht="15" customHeight="1"/>
    <row r="60765" ht="15" customHeight="1"/>
    <row r="60766" ht="15" customHeight="1"/>
    <row r="60767" ht="15" customHeight="1"/>
    <row r="60768" ht="15" customHeight="1"/>
    <row r="60769" ht="15" customHeight="1"/>
    <row r="60770" ht="15" customHeight="1"/>
    <row r="60771" ht="15" customHeight="1"/>
    <row r="60772" ht="15" customHeight="1"/>
    <row r="60773" ht="15" customHeight="1"/>
    <row r="60774" ht="15" customHeight="1"/>
    <row r="60775" ht="15" customHeight="1"/>
    <row r="60776" ht="15" customHeight="1"/>
    <row r="60777" ht="15" customHeight="1"/>
    <row r="60778" ht="15" customHeight="1"/>
    <row r="60779" ht="15" customHeight="1"/>
    <row r="60780" ht="15" customHeight="1"/>
    <row r="60781" ht="15" customHeight="1"/>
    <row r="60782" ht="15" customHeight="1"/>
    <row r="60783" ht="15" customHeight="1"/>
    <row r="60784" ht="15" customHeight="1"/>
    <row r="60785" ht="15" customHeight="1"/>
    <row r="60786" ht="15" customHeight="1"/>
    <row r="60787" ht="15" customHeight="1"/>
    <row r="60788" ht="15" customHeight="1"/>
    <row r="60789" ht="15" customHeight="1"/>
    <row r="60790" ht="15" customHeight="1"/>
    <row r="60791" ht="15" customHeight="1"/>
    <row r="60792" ht="15" customHeight="1"/>
    <row r="60793" ht="15" customHeight="1"/>
    <row r="60794" ht="15" customHeight="1"/>
    <row r="60795" ht="15" customHeight="1"/>
    <row r="60796" ht="15" customHeight="1"/>
    <row r="60797" ht="15" customHeight="1"/>
    <row r="60798" ht="15" customHeight="1"/>
    <row r="60799" ht="15" customHeight="1"/>
    <row r="60800" ht="15" customHeight="1"/>
    <row r="60801" ht="15" customHeight="1"/>
    <row r="60802" ht="15" customHeight="1"/>
    <row r="60803" ht="15" customHeight="1"/>
    <row r="60804" ht="15" customHeight="1"/>
    <row r="60805" ht="15" customHeight="1"/>
    <row r="60806" ht="15" customHeight="1"/>
    <row r="60807" ht="15" customHeight="1"/>
    <row r="60808" ht="15" customHeight="1"/>
    <row r="60809" ht="15" customHeight="1"/>
    <row r="60810" ht="15" customHeight="1"/>
    <row r="60811" ht="15" customHeight="1"/>
    <row r="60812" ht="15" customHeight="1"/>
    <row r="60813" ht="15" customHeight="1"/>
    <row r="60814" ht="15" customHeight="1"/>
    <row r="60815" ht="15" customHeight="1"/>
    <row r="60816" ht="15" customHeight="1"/>
    <row r="60817" ht="15" customHeight="1"/>
    <row r="60818" ht="15" customHeight="1"/>
    <row r="60819" ht="15" customHeight="1"/>
    <row r="60820" ht="15" customHeight="1"/>
    <row r="60821" ht="15" customHeight="1"/>
    <row r="60822" ht="15" customHeight="1"/>
    <row r="60823" ht="15" customHeight="1"/>
    <row r="60824" ht="15" customHeight="1"/>
    <row r="60825" ht="15" customHeight="1"/>
    <row r="60826" ht="15" customHeight="1"/>
    <row r="60827" ht="15" customHeight="1"/>
    <row r="60828" ht="15" customHeight="1"/>
    <row r="60829" ht="15" customHeight="1"/>
    <row r="60830" ht="15" customHeight="1"/>
    <row r="60831" ht="15" customHeight="1"/>
    <row r="60832" ht="15" customHeight="1"/>
    <row r="60833" ht="15" customHeight="1"/>
    <row r="60834" ht="15" customHeight="1"/>
    <row r="60835" ht="15" customHeight="1"/>
    <row r="60836" ht="15" customHeight="1"/>
    <row r="60837" ht="15" customHeight="1"/>
    <row r="60838" ht="15" customHeight="1"/>
    <row r="60839" ht="15" customHeight="1"/>
    <row r="60840" ht="15" customHeight="1"/>
    <row r="60841" ht="15" customHeight="1"/>
    <row r="60842" ht="15" customHeight="1"/>
    <row r="60843" ht="15" customHeight="1"/>
    <row r="60844" ht="15" customHeight="1"/>
    <row r="60845" ht="15" customHeight="1"/>
    <row r="60846" ht="15" customHeight="1"/>
    <row r="60847" ht="15" customHeight="1"/>
    <row r="60848" ht="15" customHeight="1"/>
    <row r="60849" ht="15" customHeight="1"/>
    <row r="60850" ht="15" customHeight="1"/>
    <row r="60851" ht="15" customHeight="1"/>
    <row r="60852" ht="15" customHeight="1"/>
    <row r="60853" ht="15" customHeight="1"/>
    <row r="60854" ht="15" customHeight="1"/>
    <row r="60855" ht="15" customHeight="1"/>
    <row r="60856" ht="15" customHeight="1"/>
    <row r="60857" ht="15" customHeight="1"/>
    <row r="60858" ht="15" customHeight="1"/>
    <row r="60859" ht="15" customHeight="1"/>
    <row r="60860" ht="15" customHeight="1"/>
    <row r="60861" ht="15" customHeight="1"/>
    <row r="60862" ht="15" customHeight="1"/>
    <row r="60863" ht="15" customHeight="1"/>
    <row r="60864" ht="15" customHeight="1"/>
    <row r="60865" ht="15" customHeight="1"/>
    <row r="60866" ht="15" customHeight="1"/>
    <row r="60867" ht="15" customHeight="1"/>
    <row r="60868" ht="15" customHeight="1"/>
    <row r="60869" ht="15" customHeight="1"/>
    <row r="60870" ht="15" customHeight="1"/>
    <row r="60871" ht="15" customHeight="1"/>
    <row r="60872" ht="15" customHeight="1"/>
    <row r="60873" ht="15" customHeight="1"/>
    <row r="60874" ht="15" customHeight="1"/>
    <row r="60875" ht="15" customHeight="1"/>
    <row r="60876" ht="15" customHeight="1"/>
    <row r="60877" ht="15" customHeight="1"/>
    <row r="60878" ht="15" customHeight="1"/>
    <row r="60879" ht="15" customHeight="1"/>
    <row r="60880" ht="15" customHeight="1"/>
    <row r="60881" ht="15" customHeight="1"/>
    <row r="60882" ht="15" customHeight="1"/>
    <row r="60883" ht="15" customHeight="1"/>
    <row r="60884" ht="15" customHeight="1"/>
    <row r="60885" ht="15" customHeight="1"/>
    <row r="60886" ht="15" customHeight="1"/>
    <row r="60887" ht="15" customHeight="1"/>
    <row r="60888" ht="15" customHeight="1"/>
    <row r="60889" ht="15" customHeight="1"/>
    <row r="60890" ht="15" customHeight="1"/>
    <row r="60891" ht="15" customHeight="1"/>
    <row r="60892" ht="15" customHeight="1"/>
    <row r="60893" ht="15" customHeight="1"/>
    <row r="60894" ht="15" customHeight="1"/>
    <row r="60895" ht="15" customHeight="1"/>
    <row r="60896" ht="15" customHeight="1"/>
    <row r="60897" ht="15" customHeight="1"/>
    <row r="60898" ht="15" customHeight="1"/>
    <row r="60899" ht="15" customHeight="1"/>
    <row r="60900" ht="15" customHeight="1"/>
    <row r="60901" ht="15" customHeight="1"/>
    <row r="60902" ht="15" customHeight="1"/>
    <row r="60903" ht="15" customHeight="1"/>
    <row r="60904" ht="15" customHeight="1"/>
    <row r="60905" ht="15" customHeight="1"/>
    <row r="60906" ht="15" customHeight="1"/>
    <row r="60907" ht="15" customHeight="1"/>
    <row r="60908" ht="15" customHeight="1"/>
    <row r="60909" ht="15" customHeight="1"/>
    <row r="60910" ht="15" customHeight="1"/>
    <row r="60911" ht="15" customHeight="1"/>
    <row r="60912" ht="15" customHeight="1"/>
    <row r="60913" ht="15" customHeight="1"/>
    <row r="60914" ht="15" customHeight="1"/>
    <row r="60915" ht="15" customHeight="1"/>
    <row r="60916" ht="15" customHeight="1"/>
    <row r="60917" ht="15" customHeight="1"/>
    <row r="60918" ht="15" customHeight="1"/>
    <row r="60919" ht="15" customHeight="1"/>
    <row r="60920" ht="15" customHeight="1"/>
    <row r="60921" ht="15" customHeight="1"/>
    <row r="60922" ht="15" customHeight="1"/>
    <row r="60923" ht="15" customHeight="1"/>
    <row r="60924" ht="15" customHeight="1"/>
    <row r="60925" ht="15" customHeight="1"/>
    <row r="60926" ht="15" customHeight="1"/>
    <row r="60927" ht="15" customHeight="1"/>
    <row r="60928" ht="15" customHeight="1"/>
    <row r="60929" ht="15" customHeight="1"/>
    <row r="60930" ht="15" customHeight="1"/>
    <row r="60931" ht="15" customHeight="1"/>
    <row r="60932" ht="15" customHeight="1"/>
    <row r="60933" ht="15" customHeight="1"/>
    <row r="60934" ht="15" customHeight="1"/>
    <row r="60935" ht="15" customHeight="1"/>
    <row r="60936" ht="15" customHeight="1"/>
    <row r="60937" ht="15" customHeight="1"/>
    <row r="60938" ht="15" customHeight="1"/>
    <row r="60939" ht="15" customHeight="1"/>
    <row r="60940" ht="15" customHeight="1"/>
    <row r="60941" ht="15" customHeight="1"/>
    <row r="60942" ht="15" customHeight="1"/>
    <row r="60943" ht="15" customHeight="1"/>
    <row r="60944" ht="15" customHeight="1"/>
    <row r="60945" ht="15" customHeight="1"/>
    <row r="60946" ht="15" customHeight="1"/>
    <row r="60947" ht="15" customHeight="1"/>
    <row r="60948" ht="15" customHeight="1"/>
    <row r="60949" ht="15" customHeight="1"/>
    <row r="60950" ht="15" customHeight="1"/>
    <row r="60951" ht="15" customHeight="1"/>
    <row r="60952" ht="15" customHeight="1"/>
    <row r="60953" ht="15" customHeight="1"/>
    <row r="60954" ht="15" customHeight="1"/>
    <row r="60955" ht="15" customHeight="1"/>
    <row r="60956" ht="15" customHeight="1"/>
    <row r="60957" ht="15" customHeight="1"/>
    <row r="60958" ht="15" customHeight="1"/>
    <row r="60959" ht="15" customHeight="1"/>
    <row r="60960" ht="15" customHeight="1"/>
    <row r="60961" ht="15" customHeight="1"/>
    <row r="60962" ht="15" customHeight="1"/>
    <row r="60963" ht="15" customHeight="1"/>
    <row r="60964" ht="15" customHeight="1"/>
    <row r="60965" ht="15" customHeight="1"/>
    <row r="60966" ht="15" customHeight="1"/>
    <row r="60967" ht="15" customHeight="1"/>
    <row r="60968" ht="15" customHeight="1"/>
    <row r="60969" ht="15" customHeight="1"/>
    <row r="60970" ht="15" customHeight="1"/>
    <row r="60971" ht="15" customHeight="1"/>
    <row r="60972" ht="15" customHeight="1"/>
    <row r="60973" ht="15" customHeight="1"/>
    <row r="60974" ht="15" customHeight="1"/>
    <row r="60975" ht="15" customHeight="1"/>
    <row r="60976" ht="15" customHeight="1"/>
    <row r="60977" ht="15" customHeight="1"/>
    <row r="60978" ht="15" customHeight="1"/>
    <row r="60979" ht="15" customHeight="1"/>
    <row r="60980" ht="15" customHeight="1"/>
    <row r="60981" ht="15" customHeight="1"/>
    <row r="60982" ht="15" customHeight="1"/>
    <row r="60983" ht="15" customHeight="1"/>
    <row r="60984" ht="15" customHeight="1"/>
    <row r="60985" ht="15" customHeight="1"/>
    <row r="60986" ht="15" customHeight="1"/>
    <row r="60987" ht="15" customHeight="1"/>
    <row r="60988" ht="15" customHeight="1"/>
    <row r="60989" ht="15" customHeight="1"/>
    <row r="60990" ht="15" customHeight="1"/>
    <row r="60991" ht="15" customHeight="1"/>
    <row r="60992" ht="15" customHeight="1"/>
    <row r="60993" ht="15" customHeight="1"/>
    <row r="60994" ht="15" customHeight="1"/>
    <row r="60995" ht="15" customHeight="1"/>
    <row r="60996" ht="15" customHeight="1"/>
    <row r="60997" ht="15" customHeight="1"/>
    <row r="60998" ht="15" customHeight="1"/>
    <row r="60999" ht="15" customHeight="1"/>
    <row r="61000" ht="15" customHeight="1"/>
    <row r="61001" ht="15" customHeight="1"/>
    <row r="61002" ht="15" customHeight="1"/>
    <row r="61003" ht="15" customHeight="1"/>
    <row r="61004" ht="15" customHeight="1"/>
    <row r="61005" ht="15" customHeight="1"/>
    <row r="61006" ht="15" customHeight="1"/>
    <row r="61007" ht="15" customHeight="1"/>
    <row r="61008" ht="15" customHeight="1"/>
    <row r="61009" ht="15" customHeight="1"/>
    <row r="61010" ht="15" customHeight="1"/>
    <row r="61011" ht="15" customHeight="1"/>
    <row r="61012" ht="15" customHeight="1"/>
    <row r="61013" ht="15" customHeight="1"/>
    <row r="61014" ht="15" customHeight="1"/>
    <row r="61015" ht="15" customHeight="1"/>
    <row r="61016" ht="15" customHeight="1"/>
    <row r="61017" ht="15" customHeight="1"/>
    <row r="61018" ht="15" customHeight="1"/>
    <row r="61019" ht="15" customHeight="1"/>
    <row r="61020" ht="15" customHeight="1"/>
    <row r="61021" ht="15" customHeight="1"/>
    <row r="61022" ht="15" customHeight="1"/>
    <row r="61023" ht="15" customHeight="1"/>
    <row r="61024" ht="15" customHeight="1"/>
    <row r="61025" ht="15" customHeight="1"/>
    <row r="61026" ht="15" customHeight="1"/>
    <row r="61027" ht="15" customHeight="1"/>
    <row r="61028" ht="15" customHeight="1"/>
    <row r="61029" ht="15" customHeight="1"/>
    <row r="61030" ht="15" customHeight="1"/>
    <row r="61031" ht="15" customHeight="1"/>
    <row r="61032" ht="15" customHeight="1"/>
    <row r="61033" ht="15" customHeight="1"/>
    <row r="61034" ht="15" customHeight="1"/>
    <row r="61035" ht="15" customHeight="1"/>
    <row r="61036" ht="15" customHeight="1"/>
    <row r="61037" ht="15" customHeight="1"/>
    <row r="61038" ht="15" customHeight="1"/>
    <row r="61039" ht="15" customHeight="1"/>
    <row r="61040" ht="15" customHeight="1"/>
    <row r="61041" ht="15" customHeight="1"/>
    <row r="61042" ht="15" customHeight="1"/>
    <row r="61043" ht="15" customHeight="1"/>
    <row r="61044" ht="15" customHeight="1"/>
    <row r="61045" ht="15" customHeight="1"/>
    <row r="61046" ht="15" customHeight="1"/>
    <row r="61047" ht="15" customHeight="1"/>
    <row r="61048" ht="15" customHeight="1"/>
    <row r="61049" ht="15" customHeight="1"/>
    <row r="61050" ht="15" customHeight="1"/>
    <row r="61051" ht="15" customHeight="1"/>
    <row r="61052" ht="15" customHeight="1"/>
    <row r="61053" ht="15" customHeight="1"/>
    <row r="61054" ht="15" customHeight="1"/>
    <row r="61055" ht="15" customHeight="1"/>
    <row r="61056" ht="15" customHeight="1"/>
    <row r="61057" ht="15" customHeight="1"/>
    <row r="61058" ht="15" customHeight="1"/>
    <row r="61059" ht="15" customHeight="1"/>
    <row r="61060" ht="15" customHeight="1"/>
    <row r="61061" ht="15" customHeight="1"/>
    <row r="61062" ht="15" customHeight="1"/>
    <row r="61063" ht="15" customHeight="1"/>
    <row r="61064" ht="15" customHeight="1"/>
    <row r="61065" ht="15" customHeight="1"/>
    <row r="61066" ht="15" customHeight="1"/>
    <row r="61067" ht="15" customHeight="1"/>
    <row r="61068" ht="15" customHeight="1"/>
    <row r="61069" ht="15" customHeight="1"/>
    <row r="61070" ht="15" customHeight="1"/>
    <row r="61071" ht="15" customHeight="1"/>
    <row r="61072" ht="15" customHeight="1"/>
    <row r="61073" ht="15" customHeight="1"/>
    <row r="61074" ht="15" customHeight="1"/>
    <row r="61075" ht="15" customHeight="1"/>
    <row r="61076" ht="15" customHeight="1"/>
    <row r="61077" ht="15" customHeight="1"/>
    <row r="61078" ht="15" customHeight="1"/>
    <row r="61079" ht="15" customHeight="1"/>
    <row r="61080" ht="15" customHeight="1"/>
    <row r="61081" ht="15" customHeight="1"/>
    <row r="61082" ht="15" customHeight="1"/>
    <row r="61083" ht="15" customHeight="1"/>
    <row r="61084" ht="15" customHeight="1"/>
    <row r="61085" ht="15" customHeight="1"/>
    <row r="61086" ht="15" customHeight="1"/>
    <row r="61087" ht="15" customHeight="1"/>
    <row r="61088" ht="15" customHeight="1"/>
    <row r="61089" ht="15" customHeight="1"/>
    <row r="61090" ht="15" customHeight="1"/>
    <row r="61091" ht="15" customHeight="1"/>
    <row r="61092" ht="15" customHeight="1"/>
    <row r="61093" ht="15" customHeight="1"/>
    <row r="61094" ht="15" customHeight="1"/>
    <row r="61095" ht="15" customHeight="1"/>
    <row r="61096" ht="15" customHeight="1"/>
    <row r="61097" ht="15" customHeight="1"/>
    <row r="61098" ht="15" customHeight="1"/>
    <row r="61099" ht="15" customHeight="1"/>
    <row r="61100" ht="15" customHeight="1"/>
    <row r="61101" ht="15" customHeight="1"/>
    <row r="61102" ht="15" customHeight="1"/>
    <row r="61103" ht="15" customHeight="1"/>
    <row r="61104" ht="15" customHeight="1"/>
    <row r="61105" ht="15" customHeight="1"/>
    <row r="61106" ht="15" customHeight="1"/>
    <row r="61107" ht="15" customHeight="1"/>
    <row r="61108" ht="15" customHeight="1"/>
    <row r="61109" ht="15" customHeight="1"/>
    <row r="61110" ht="15" customHeight="1"/>
    <row r="61111" ht="15" customHeight="1"/>
    <row r="61112" ht="15" customHeight="1"/>
    <row r="61113" ht="15" customHeight="1"/>
    <row r="61114" ht="15" customHeight="1"/>
    <row r="61115" ht="15" customHeight="1"/>
    <row r="61116" ht="15" customHeight="1"/>
    <row r="61117" ht="15" customHeight="1"/>
    <row r="61118" ht="15" customHeight="1"/>
    <row r="61119" ht="15" customHeight="1"/>
    <row r="61120" ht="15" customHeight="1"/>
    <row r="61121" ht="15" customHeight="1"/>
    <row r="61122" ht="15" customHeight="1"/>
    <row r="61123" ht="15" customHeight="1"/>
    <row r="61124" ht="15" customHeight="1"/>
    <row r="61125" ht="15" customHeight="1"/>
    <row r="61126" ht="15" customHeight="1"/>
    <row r="61127" ht="15" customHeight="1"/>
    <row r="61128" ht="15" customHeight="1"/>
    <row r="61129" ht="15" customHeight="1"/>
    <row r="61130" ht="15" customHeight="1"/>
    <row r="61131" ht="15" customHeight="1"/>
    <row r="61132" ht="15" customHeight="1"/>
    <row r="61133" ht="15" customHeight="1"/>
    <row r="61134" ht="15" customHeight="1"/>
    <row r="61135" ht="15" customHeight="1"/>
    <row r="61136" ht="15" customHeight="1"/>
    <row r="61137" ht="15" customHeight="1"/>
    <row r="61138" ht="15" customHeight="1"/>
    <row r="61139" ht="15" customHeight="1"/>
    <row r="61140" ht="15" customHeight="1"/>
    <row r="61141" ht="15" customHeight="1"/>
    <row r="61142" ht="15" customHeight="1"/>
    <row r="61143" ht="15" customHeight="1"/>
    <row r="61144" ht="15" customHeight="1"/>
    <row r="61145" ht="15" customHeight="1"/>
    <row r="61146" ht="15" customHeight="1"/>
    <row r="61147" ht="15" customHeight="1"/>
    <row r="61148" ht="15" customHeight="1"/>
    <row r="61149" ht="15" customHeight="1"/>
    <row r="61150" ht="15" customHeight="1"/>
    <row r="61151" ht="15" customHeight="1"/>
    <row r="61152" ht="15" customHeight="1"/>
    <row r="61153" ht="15" customHeight="1"/>
    <row r="61154" ht="15" customHeight="1"/>
    <row r="61155" ht="15" customHeight="1"/>
    <row r="61156" ht="15" customHeight="1"/>
    <row r="61157" ht="15" customHeight="1"/>
    <row r="61158" ht="15" customHeight="1"/>
    <row r="61159" ht="15" customHeight="1"/>
    <row r="61160" ht="15" customHeight="1"/>
    <row r="61161" ht="15" customHeight="1"/>
    <row r="61162" ht="15" customHeight="1"/>
    <row r="61163" ht="15" customHeight="1"/>
    <row r="61164" ht="15" customHeight="1"/>
    <row r="61165" ht="15" customHeight="1"/>
    <row r="61166" ht="15" customHeight="1"/>
    <row r="61167" ht="15" customHeight="1"/>
    <row r="61168" ht="15" customHeight="1"/>
    <row r="61169" ht="15" customHeight="1"/>
    <row r="61170" ht="15" customHeight="1"/>
    <row r="61171" ht="15" customHeight="1"/>
    <row r="61172" ht="15" customHeight="1"/>
    <row r="61173" ht="15" customHeight="1"/>
    <row r="61174" ht="15" customHeight="1"/>
    <row r="61175" ht="15" customHeight="1"/>
    <row r="61176" ht="15" customHeight="1"/>
    <row r="61177" ht="15" customHeight="1"/>
    <row r="61178" ht="15" customHeight="1"/>
    <row r="61179" ht="15" customHeight="1"/>
    <row r="61180" ht="15" customHeight="1"/>
    <row r="61181" ht="15" customHeight="1"/>
    <row r="61182" ht="15" customHeight="1"/>
    <row r="61183" ht="15" customHeight="1"/>
    <row r="61184" ht="15" customHeight="1"/>
    <row r="61185" ht="15" customHeight="1"/>
    <row r="61186" ht="15" customHeight="1"/>
    <row r="61187" ht="15" customHeight="1"/>
    <row r="61188" ht="15" customHeight="1"/>
    <row r="61189" ht="15" customHeight="1"/>
    <row r="61190" ht="15" customHeight="1"/>
    <row r="61191" ht="15" customHeight="1"/>
    <row r="61192" ht="15" customHeight="1"/>
    <row r="61193" ht="15" customHeight="1"/>
    <row r="61194" ht="15" customHeight="1"/>
    <row r="61195" ht="15" customHeight="1"/>
    <row r="61196" ht="15" customHeight="1"/>
    <row r="61197" ht="15" customHeight="1"/>
    <row r="61198" ht="15" customHeight="1"/>
    <row r="61199" ht="15" customHeight="1"/>
    <row r="61200" ht="15" customHeight="1"/>
    <row r="61201" ht="15" customHeight="1"/>
    <row r="61202" ht="15" customHeight="1"/>
    <row r="61203" ht="15" customHeight="1"/>
    <row r="61204" ht="15" customHeight="1"/>
    <row r="61205" ht="15" customHeight="1"/>
    <row r="61206" ht="15" customHeight="1"/>
    <row r="61207" ht="15" customHeight="1"/>
    <row r="61208" ht="15" customHeight="1"/>
    <row r="61209" ht="15" customHeight="1"/>
    <row r="61210" ht="15" customHeight="1"/>
    <row r="61211" ht="15" customHeight="1"/>
    <row r="61212" ht="15" customHeight="1"/>
    <row r="61213" ht="15" customHeight="1"/>
    <row r="61214" ht="15" customHeight="1"/>
    <row r="61215" ht="15" customHeight="1"/>
    <row r="61216" ht="15" customHeight="1"/>
    <row r="61217" ht="15" customHeight="1"/>
    <row r="61218" ht="15" customHeight="1"/>
    <row r="61219" ht="15" customHeight="1"/>
    <row r="61220" ht="15" customHeight="1"/>
    <row r="61221" ht="15" customHeight="1"/>
    <row r="61222" ht="15" customHeight="1"/>
    <row r="61223" ht="15" customHeight="1"/>
    <row r="61224" ht="15" customHeight="1"/>
    <row r="61225" ht="15" customHeight="1"/>
    <row r="61226" ht="15" customHeight="1"/>
    <row r="61227" ht="15" customHeight="1"/>
    <row r="61228" ht="15" customHeight="1"/>
    <row r="61229" ht="15" customHeight="1"/>
    <row r="61230" ht="15" customHeight="1"/>
    <row r="61231" ht="15" customHeight="1"/>
    <row r="61232" ht="15" customHeight="1"/>
    <row r="61233" ht="15" customHeight="1"/>
    <row r="61234" ht="15" customHeight="1"/>
    <row r="61235" ht="15" customHeight="1"/>
    <row r="61236" ht="15" customHeight="1"/>
    <row r="61237" ht="15" customHeight="1"/>
    <row r="61238" ht="15" customHeight="1"/>
    <row r="61239" ht="15" customHeight="1"/>
    <row r="61240" ht="15" customHeight="1"/>
    <row r="61241" ht="15" customHeight="1"/>
    <row r="61242" ht="15" customHeight="1"/>
    <row r="61243" ht="15" customHeight="1"/>
    <row r="61244" ht="15" customHeight="1"/>
    <row r="61245" ht="15" customHeight="1"/>
    <row r="61246" ht="15" customHeight="1"/>
    <row r="61247" ht="15" customHeight="1"/>
    <row r="61248" ht="15" customHeight="1"/>
    <row r="61249" ht="15" customHeight="1"/>
    <row r="61250" ht="15" customHeight="1"/>
    <row r="61251" ht="15" customHeight="1"/>
    <row r="61252" ht="15" customHeight="1"/>
    <row r="61253" ht="15" customHeight="1"/>
    <row r="61254" ht="15" customHeight="1"/>
    <row r="61255" ht="15" customHeight="1"/>
    <row r="61256" ht="15" customHeight="1"/>
    <row r="61257" ht="15" customHeight="1"/>
    <row r="61258" ht="15" customHeight="1"/>
    <row r="61259" ht="15" customHeight="1"/>
    <row r="61260" ht="15" customHeight="1"/>
    <row r="61261" ht="15" customHeight="1"/>
    <row r="61262" ht="15" customHeight="1"/>
    <row r="61263" ht="15" customHeight="1"/>
    <row r="61264" ht="15" customHeight="1"/>
    <row r="61265" ht="15" customHeight="1"/>
    <row r="61266" ht="15" customHeight="1"/>
    <row r="61267" ht="15" customHeight="1"/>
    <row r="61268" ht="15" customHeight="1"/>
    <row r="61269" ht="15" customHeight="1"/>
    <row r="61270" ht="15" customHeight="1"/>
    <row r="61271" ht="15" customHeight="1"/>
    <row r="61272" ht="15" customHeight="1"/>
    <row r="61273" ht="15" customHeight="1"/>
    <row r="61274" ht="15" customHeight="1"/>
    <row r="61275" ht="15" customHeight="1"/>
    <row r="61276" ht="15" customHeight="1"/>
    <row r="61277" ht="15" customHeight="1"/>
    <row r="61278" ht="15" customHeight="1"/>
    <row r="61279" ht="15" customHeight="1"/>
    <row r="61280" ht="15" customHeight="1"/>
    <row r="61281" ht="15" customHeight="1"/>
    <row r="61282" ht="15" customHeight="1"/>
    <row r="61283" ht="15" customHeight="1"/>
    <row r="61284" ht="15" customHeight="1"/>
    <row r="61285" ht="15" customHeight="1"/>
    <row r="61286" ht="15" customHeight="1"/>
    <row r="61287" ht="15" customHeight="1"/>
    <row r="61288" ht="15" customHeight="1"/>
    <row r="61289" ht="15" customHeight="1"/>
    <row r="61290" ht="15" customHeight="1"/>
    <row r="61291" ht="15" customHeight="1"/>
    <row r="61292" ht="15" customHeight="1"/>
    <row r="61293" ht="15" customHeight="1"/>
    <row r="61294" ht="15" customHeight="1"/>
    <row r="61295" ht="15" customHeight="1"/>
    <row r="61296" ht="15" customHeight="1"/>
    <row r="61297" ht="15" customHeight="1"/>
    <row r="61298" ht="15" customHeight="1"/>
    <row r="61299" ht="15" customHeight="1"/>
    <row r="61300" ht="15" customHeight="1"/>
    <row r="61301" ht="15" customHeight="1"/>
    <row r="61302" ht="15" customHeight="1"/>
    <row r="61303" ht="15" customHeight="1"/>
    <row r="61304" ht="15" customHeight="1"/>
    <row r="61305" ht="15" customHeight="1"/>
    <row r="61306" ht="15" customHeight="1"/>
    <row r="61307" ht="15" customHeight="1"/>
    <row r="61308" ht="15" customHeight="1"/>
    <row r="61309" ht="15" customHeight="1"/>
    <row r="61310" ht="15" customHeight="1"/>
    <row r="61311" ht="15" customHeight="1"/>
    <row r="61312" ht="15" customHeight="1"/>
    <row r="61313" ht="15" customHeight="1"/>
    <row r="61314" ht="15" customHeight="1"/>
    <row r="61315" ht="15" customHeight="1"/>
    <row r="61316" ht="15" customHeight="1"/>
    <row r="61317" ht="15" customHeight="1"/>
    <row r="61318" ht="15" customHeight="1"/>
    <row r="61319" ht="15" customHeight="1"/>
    <row r="61320" ht="15" customHeight="1"/>
    <row r="61321" ht="15" customHeight="1"/>
    <row r="61322" ht="15" customHeight="1"/>
    <row r="61323" ht="15" customHeight="1"/>
    <row r="61324" ht="15" customHeight="1"/>
    <row r="61325" ht="15" customHeight="1"/>
    <row r="61326" ht="15" customHeight="1"/>
    <row r="61327" ht="15" customHeight="1"/>
    <row r="61328" ht="15" customHeight="1"/>
    <row r="61329" ht="15" customHeight="1"/>
    <row r="61330" ht="15" customHeight="1"/>
    <row r="61331" ht="15" customHeight="1"/>
    <row r="61332" ht="15" customHeight="1"/>
    <row r="61333" ht="15" customHeight="1"/>
    <row r="61334" ht="15" customHeight="1"/>
    <row r="61335" ht="15" customHeight="1"/>
    <row r="61336" ht="15" customHeight="1"/>
    <row r="61337" ht="15" customHeight="1"/>
    <row r="61338" ht="15" customHeight="1"/>
    <row r="61339" ht="15" customHeight="1"/>
    <row r="61340" ht="15" customHeight="1"/>
    <row r="61341" ht="15" customHeight="1"/>
    <row r="61342" ht="15" customHeight="1"/>
    <row r="61343" ht="15" customHeight="1"/>
    <row r="61344" ht="15" customHeight="1"/>
    <row r="61345" ht="15" customHeight="1"/>
    <row r="61346" ht="15" customHeight="1"/>
    <row r="61347" ht="15" customHeight="1"/>
    <row r="61348" ht="15" customHeight="1"/>
    <row r="61349" ht="15" customHeight="1"/>
    <row r="61350" ht="15" customHeight="1"/>
    <row r="61351" ht="15" customHeight="1"/>
    <row r="61352" ht="15" customHeight="1"/>
    <row r="61353" ht="15" customHeight="1"/>
    <row r="61354" ht="15" customHeight="1"/>
    <row r="61355" ht="15" customHeight="1"/>
    <row r="61356" ht="15" customHeight="1"/>
    <row r="61357" ht="15" customHeight="1"/>
    <row r="61358" ht="15" customHeight="1"/>
    <row r="61359" ht="15" customHeight="1"/>
    <row r="61360" ht="15" customHeight="1"/>
    <row r="61361" ht="15" customHeight="1"/>
    <row r="61362" ht="15" customHeight="1"/>
    <row r="61363" ht="15" customHeight="1"/>
    <row r="61364" ht="15" customHeight="1"/>
    <row r="61365" ht="15" customHeight="1"/>
    <row r="61366" ht="15" customHeight="1"/>
    <row r="61367" ht="15" customHeight="1"/>
    <row r="61368" ht="15" customHeight="1"/>
    <row r="61369" ht="15" customHeight="1"/>
    <row r="61370" ht="15" customHeight="1"/>
    <row r="61371" ht="15" customHeight="1"/>
    <row r="61372" ht="15" customHeight="1"/>
    <row r="61373" ht="15" customHeight="1"/>
    <row r="61374" ht="15" customHeight="1"/>
    <row r="61375" ht="15" customHeight="1"/>
    <row r="61376" ht="15" customHeight="1"/>
    <row r="61377" ht="15" customHeight="1"/>
    <row r="61378" ht="15" customHeight="1"/>
    <row r="61379" ht="15" customHeight="1"/>
    <row r="61380" ht="15" customHeight="1"/>
    <row r="61381" ht="15" customHeight="1"/>
    <row r="61382" ht="15" customHeight="1"/>
    <row r="61383" ht="15" customHeight="1"/>
    <row r="61384" ht="15" customHeight="1"/>
    <row r="61385" ht="15" customHeight="1"/>
    <row r="61386" ht="15" customHeight="1"/>
    <row r="61387" ht="15" customHeight="1"/>
    <row r="61388" ht="15" customHeight="1"/>
    <row r="61389" ht="15" customHeight="1"/>
    <row r="61390" ht="15" customHeight="1"/>
    <row r="61391" ht="15" customHeight="1"/>
    <row r="61392" ht="15" customHeight="1"/>
    <row r="61393" ht="15" customHeight="1"/>
    <row r="61394" ht="15" customHeight="1"/>
    <row r="61395" ht="15" customHeight="1"/>
    <row r="61396" ht="15" customHeight="1"/>
    <row r="61397" ht="15" customHeight="1"/>
    <row r="61398" ht="15" customHeight="1"/>
    <row r="61399" ht="15" customHeight="1"/>
    <row r="61400" ht="15" customHeight="1"/>
    <row r="61401" ht="15" customHeight="1"/>
    <row r="61402" ht="15" customHeight="1"/>
    <row r="61403" ht="15" customHeight="1"/>
    <row r="61404" ht="15" customHeight="1"/>
    <row r="61405" ht="15" customHeight="1"/>
    <row r="61406" ht="15" customHeight="1"/>
    <row r="61407" ht="15" customHeight="1"/>
    <row r="61408" ht="15" customHeight="1"/>
    <row r="61409" ht="15" customHeight="1"/>
    <row r="61410" ht="15" customHeight="1"/>
    <row r="61411" ht="15" customHeight="1"/>
    <row r="61412" ht="15" customHeight="1"/>
    <row r="61413" ht="15" customHeight="1"/>
    <row r="61414" ht="15" customHeight="1"/>
    <row r="61415" ht="15" customHeight="1"/>
    <row r="61416" ht="15" customHeight="1"/>
    <row r="61417" ht="15" customHeight="1"/>
    <row r="61418" ht="15" customHeight="1"/>
    <row r="61419" ht="15" customHeight="1"/>
    <row r="61420" ht="15" customHeight="1"/>
    <row r="61421" ht="15" customHeight="1"/>
    <row r="61422" ht="15" customHeight="1"/>
    <row r="61423" ht="15" customHeight="1"/>
    <row r="61424" ht="15" customHeight="1"/>
    <row r="61425" ht="15" customHeight="1"/>
    <row r="61426" ht="15" customHeight="1"/>
    <row r="61427" ht="15" customHeight="1"/>
    <row r="61428" ht="15" customHeight="1"/>
    <row r="61429" ht="15" customHeight="1"/>
    <row r="61430" ht="15" customHeight="1"/>
    <row r="61431" ht="15" customHeight="1"/>
    <row r="61432" ht="15" customHeight="1"/>
    <row r="61433" ht="15" customHeight="1"/>
    <row r="61434" ht="15" customHeight="1"/>
    <row r="61435" ht="15" customHeight="1"/>
    <row r="61436" ht="15" customHeight="1"/>
    <row r="61437" ht="15" customHeight="1"/>
    <row r="61438" ht="15" customHeight="1"/>
    <row r="61439" ht="15" customHeight="1"/>
    <row r="61440" ht="15" customHeight="1"/>
    <row r="61441" ht="15" customHeight="1"/>
    <row r="61442" ht="15" customHeight="1"/>
    <row r="61443" ht="15" customHeight="1"/>
    <row r="61444" ht="15" customHeight="1"/>
    <row r="61445" ht="15" customHeight="1"/>
    <row r="61446" ht="15" customHeight="1"/>
    <row r="61447" ht="15" customHeight="1"/>
    <row r="61448" ht="15" customHeight="1"/>
    <row r="61449" ht="15" customHeight="1"/>
    <row r="61450" ht="15" customHeight="1"/>
    <row r="61451" ht="15" customHeight="1"/>
    <row r="61452" ht="15" customHeight="1"/>
    <row r="61453" ht="15" customHeight="1"/>
    <row r="61454" ht="15" customHeight="1"/>
    <row r="61455" ht="15" customHeight="1"/>
    <row r="61456" ht="15" customHeight="1"/>
    <row r="61457" ht="15" customHeight="1"/>
    <row r="61458" ht="15" customHeight="1"/>
    <row r="61459" ht="15" customHeight="1"/>
    <row r="61460" ht="15" customHeight="1"/>
    <row r="61461" ht="15" customHeight="1"/>
    <row r="61462" ht="15" customHeight="1"/>
    <row r="61463" ht="15" customHeight="1"/>
    <row r="61464" ht="15" customHeight="1"/>
    <row r="61465" ht="15" customHeight="1"/>
    <row r="61466" ht="15" customHeight="1"/>
    <row r="61467" ht="15" customHeight="1"/>
    <row r="61468" ht="15" customHeight="1"/>
    <row r="61469" ht="15" customHeight="1"/>
    <row r="61470" ht="15" customHeight="1"/>
    <row r="61471" ht="15" customHeight="1"/>
    <row r="61472" ht="15" customHeight="1"/>
    <row r="61473" ht="15" customHeight="1"/>
    <row r="61474" ht="15" customHeight="1"/>
    <row r="61475" ht="15" customHeight="1"/>
    <row r="61476" ht="15" customHeight="1"/>
    <row r="61477" ht="15" customHeight="1"/>
    <row r="61478" ht="15" customHeight="1"/>
    <row r="61479" ht="15" customHeight="1"/>
    <row r="61480" ht="15" customHeight="1"/>
    <row r="61481" ht="15" customHeight="1"/>
    <row r="61482" ht="15" customHeight="1"/>
    <row r="61483" ht="15" customHeight="1"/>
    <row r="61484" ht="15" customHeight="1"/>
    <row r="61485" ht="15" customHeight="1"/>
    <row r="61486" ht="15" customHeight="1"/>
    <row r="61487" ht="15" customHeight="1"/>
    <row r="61488" ht="15" customHeight="1"/>
    <row r="61489" ht="15" customHeight="1"/>
    <row r="61490" ht="15" customHeight="1"/>
    <row r="61491" ht="15" customHeight="1"/>
    <row r="61492" ht="15" customHeight="1"/>
    <row r="61493" ht="15" customHeight="1"/>
    <row r="61494" ht="15" customHeight="1"/>
    <row r="61495" ht="15" customHeight="1"/>
    <row r="61496" ht="15" customHeight="1"/>
    <row r="61497" ht="15" customHeight="1"/>
    <row r="61498" ht="15" customHeight="1"/>
    <row r="61499" ht="15" customHeight="1"/>
    <row r="61500" ht="15" customHeight="1"/>
    <row r="61501" ht="15" customHeight="1"/>
    <row r="61502" ht="15" customHeight="1"/>
    <row r="61503" ht="15" customHeight="1"/>
    <row r="61504" ht="15" customHeight="1"/>
    <row r="61505" ht="15" customHeight="1"/>
    <row r="61506" ht="15" customHeight="1"/>
    <row r="61507" ht="15" customHeight="1"/>
    <row r="61508" ht="15" customHeight="1"/>
    <row r="61509" ht="15" customHeight="1"/>
    <row r="61510" ht="15" customHeight="1"/>
    <row r="61511" ht="15" customHeight="1"/>
    <row r="61512" ht="15" customHeight="1"/>
    <row r="61513" ht="15" customHeight="1"/>
    <row r="61514" ht="15" customHeight="1"/>
    <row r="61515" ht="15" customHeight="1"/>
    <row r="61516" ht="15" customHeight="1"/>
    <row r="61517" ht="15" customHeight="1"/>
    <row r="61518" ht="15" customHeight="1"/>
    <row r="61519" ht="15" customHeight="1"/>
    <row r="61520" ht="15" customHeight="1"/>
    <row r="61521" ht="15" customHeight="1"/>
    <row r="61522" ht="15" customHeight="1"/>
    <row r="61523" ht="15" customHeight="1"/>
    <row r="61524" ht="15" customHeight="1"/>
    <row r="61525" ht="15" customHeight="1"/>
    <row r="61526" ht="15" customHeight="1"/>
    <row r="61527" ht="15" customHeight="1"/>
    <row r="61528" ht="15" customHeight="1"/>
    <row r="61529" ht="15" customHeight="1"/>
    <row r="61530" ht="15" customHeight="1"/>
    <row r="61531" ht="15" customHeight="1"/>
    <row r="61532" ht="15" customHeight="1"/>
    <row r="61533" ht="15" customHeight="1"/>
    <row r="61534" ht="15" customHeight="1"/>
    <row r="61535" ht="15" customHeight="1"/>
    <row r="61536" ht="15" customHeight="1"/>
    <row r="61537" ht="15" customHeight="1"/>
    <row r="61538" ht="15" customHeight="1"/>
    <row r="61539" ht="15" customHeight="1"/>
    <row r="61540" ht="15" customHeight="1"/>
    <row r="61541" ht="15" customHeight="1"/>
    <row r="61542" ht="15" customHeight="1"/>
    <row r="61543" ht="15" customHeight="1"/>
    <row r="61544" ht="15" customHeight="1"/>
    <row r="61545" ht="15" customHeight="1"/>
    <row r="61546" ht="15" customHeight="1"/>
    <row r="61547" ht="15" customHeight="1"/>
    <row r="61548" ht="15" customHeight="1"/>
    <row r="61549" ht="15" customHeight="1"/>
    <row r="61550" ht="15" customHeight="1"/>
    <row r="61551" ht="15" customHeight="1"/>
    <row r="61552" ht="15" customHeight="1"/>
    <row r="61553" ht="15" customHeight="1"/>
    <row r="61554" ht="15" customHeight="1"/>
    <row r="61555" ht="15" customHeight="1"/>
    <row r="61556" ht="15" customHeight="1"/>
    <row r="61557" ht="15" customHeight="1"/>
    <row r="61558" ht="15" customHeight="1"/>
    <row r="61559" ht="15" customHeight="1"/>
    <row r="61560" ht="15" customHeight="1"/>
    <row r="61561" ht="15" customHeight="1"/>
    <row r="61562" ht="15" customHeight="1"/>
    <row r="61563" ht="15" customHeight="1"/>
    <row r="61564" ht="15" customHeight="1"/>
    <row r="61565" ht="15" customHeight="1"/>
    <row r="61566" ht="15" customHeight="1"/>
    <row r="61567" ht="15" customHeight="1"/>
    <row r="61568" ht="15" customHeight="1"/>
    <row r="61569" ht="15" customHeight="1"/>
    <row r="61570" ht="15" customHeight="1"/>
    <row r="61571" ht="15" customHeight="1"/>
    <row r="61572" ht="15" customHeight="1"/>
    <row r="61573" ht="15" customHeight="1"/>
    <row r="61574" ht="15" customHeight="1"/>
    <row r="61575" ht="15" customHeight="1"/>
    <row r="61576" ht="15" customHeight="1"/>
    <row r="61577" ht="15" customHeight="1"/>
    <row r="61578" ht="15" customHeight="1"/>
    <row r="61579" ht="15" customHeight="1"/>
    <row r="61580" ht="15" customHeight="1"/>
    <row r="61581" ht="15" customHeight="1"/>
    <row r="61582" ht="15" customHeight="1"/>
    <row r="61583" ht="15" customHeight="1"/>
    <row r="61584" ht="15" customHeight="1"/>
    <row r="61585" ht="15" customHeight="1"/>
    <row r="61586" ht="15" customHeight="1"/>
    <row r="61587" ht="15" customHeight="1"/>
    <row r="61588" ht="15" customHeight="1"/>
    <row r="61589" ht="15" customHeight="1"/>
    <row r="61590" ht="15" customHeight="1"/>
    <row r="61591" ht="15" customHeight="1"/>
    <row r="61592" ht="15" customHeight="1"/>
    <row r="61593" ht="15" customHeight="1"/>
    <row r="61594" ht="15" customHeight="1"/>
    <row r="61595" ht="15" customHeight="1"/>
    <row r="61596" ht="15" customHeight="1"/>
    <row r="61597" ht="15" customHeight="1"/>
    <row r="61598" ht="15" customHeight="1"/>
    <row r="61599" ht="15" customHeight="1"/>
    <row r="61600" ht="15" customHeight="1"/>
    <row r="61601" ht="15" customHeight="1"/>
    <row r="61602" ht="15" customHeight="1"/>
    <row r="61603" ht="15" customHeight="1"/>
    <row r="61604" ht="15" customHeight="1"/>
    <row r="61605" ht="15" customHeight="1"/>
    <row r="61606" ht="15" customHeight="1"/>
    <row r="61607" ht="15" customHeight="1"/>
    <row r="61608" ht="15" customHeight="1"/>
    <row r="61609" ht="15" customHeight="1"/>
    <row r="61610" ht="15" customHeight="1"/>
    <row r="61611" ht="15" customHeight="1"/>
    <row r="61612" ht="15" customHeight="1"/>
    <row r="61613" ht="15" customHeight="1"/>
    <row r="61614" ht="15" customHeight="1"/>
    <row r="61615" ht="15" customHeight="1"/>
    <row r="61616" ht="15" customHeight="1"/>
    <row r="61617" ht="15" customHeight="1"/>
    <row r="61618" ht="15" customHeight="1"/>
    <row r="61619" ht="15" customHeight="1"/>
    <row r="61620" ht="15" customHeight="1"/>
    <row r="61621" ht="15" customHeight="1"/>
    <row r="61622" ht="15" customHeight="1"/>
    <row r="61623" ht="15" customHeight="1"/>
    <row r="61624" ht="15" customHeight="1"/>
    <row r="61625" ht="15" customHeight="1"/>
    <row r="61626" ht="15" customHeight="1"/>
    <row r="61627" ht="15" customHeight="1"/>
    <row r="61628" ht="15" customHeight="1"/>
    <row r="61629" ht="15" customHeight="1"/>
    <row r="61630" ht="15" customHeight="1"/>
    <row r="61631" ht="15" customHeight="1"/>
    <row r="61632" ht="15" customHeight="1"/>
    <row r="61633" ht="15" customHeight="1"/>
    <row r="61634" ht="15" customHeight="1"/>
    <row r="61635" ht="15" customHeight="1"/>
    <row r="61636" ht="15" customHeight="1"/>
    <row r="61637" ht="15" customHeight="1"/>
    <row r="61638" ht="15" customHeight="1"/>
    <row r="61639" ht="15" customHeight="1"/>
    <row r="61640" ht="15" customHeight="1"/>
    <row r="61641" ht="15" customHeight="1"/>
    <row r="61642" ht="15" customHeight="1"/>
    <row r="61643" ht="15" customHeight="1"/>
    <row r="61644" ht="15" customHeight="1"/>
    <row r="61645" ht="15" customHeight="1"/>
    <row r="61646" ht="15" customHeight="1"/>
    <row r="61647" ht="15" customHeight="1"/>
    <row r="61648" ht="15" customHeight="1"/>
    <row r="61649" ht="15" customHeight="1"/>
    <row r="61650" ht="15" customHeight="1"/>
    <row r="61651" ht="15" customHeight="1"/>
    <row r="61652" ht="15" customHeight="1"/>
    <row r="61653" ht="15" customHeight="1"/>
    <row r="61654" ht="15" customHeight="1"/>
    <row r="61655" ht="15" customHeight="1"/>
    <row r="61656" ht="15" customHeight="1"/>
    <row r="61657" ht="15" customHeight="1"/>
    <row r="61658" ht="15" customHeight="1"/>
    <row r="61659" ht="15" customHeight="1"/>
    <row r="61660" ht="15" customHeight="1"/>
    <row r="61661" ht="15" customHeight="1"/>
    <row r="61662" ht="15" customHeight="1"/>
    <row r="61663" ht="15" customHeight="1"/>
    <row r="61664" ht="15" customHeight="1"/>
    <row r="61665" ht="15" customHeight="1"/>
    <row r="61666" ht="15" customHeight="1"/>
    <row r="61667" ht="15" customHeight="1"/>
    <row r="61668" ht="15" customHeight="1"/>
    <row r="61669" ht="15" customHeight="1"/>
    <row r="61670" ht="15" customHeight="1"/>
    <row r="61671" ht="15" customHeight="1"/>
    <row r="61672" ht="15" customHeight="1"/>
    <row r="61673" ht="15" customHeight="1"/>
    <row r="61674" ht="15" customHeight="1"/>
    <row r="61675" ht="15" customHeight="1"/>
    <row r="61676" ht="15" customHeight="1"/>
    <row r="61677" ht="15" customHeight="1"/>
    <row r="61678" ht="15" customHeight="1"/>
    <row r="61679" ht="15" customHeight="1"/>
    <row r="61680" ht="15" customHeight="1"/>
    <row r="61681" ht="15" customHeight="1"/>
    <row r="61682" ht="15" customHeight="1"/>
    <row r="61683" ht="15" customHeight="1"/>
    <row r="61684" ht="15" customHeight="1"/>
    <row r="61685" ht="15" customHeight="1"/>
    <row r="61686" ht="15" customHeight="1"/>
    <row r="61687" ht="15" customHeight="1"/>
    <row r="61688" ht="15" customHeight="1"/>
    <row r="61689" ht="15" customHeight="1"/>
    <row r="61690" ht="15" customHeight="1"/>
    <row r="61691" ht="15" customHeight="1"/>
    <row r="61692" ht="15" customHeight="1"/>
    <row r="61693" ht="15" customHeight="1"/>
    <row r="61694" ht="15" customHeight="1"/>
    <row r="61695" ht="15" customHeight="1"/>
    <row r="61696" ht="15" customHeight="1"/>
    <row r="61697" ht="15" customHeight="1"/>
    <row r="61698" ht="15" customHeight="1"/>
    <row r="61699" ht="15" customHeight="1"/>
    <row r="61700" ht="15" customHeight="1"/>
    <row r="61701" ht="15" customHeight="1"/>
    <row r="61702" ht="15" customHeight="1"/>
    <row r="61703" ht="15" customHeight="1"/>
    <row r="61704" ht="15" customHeight="1"/>
    <row r="61705" ht="15" customHeight="1"/>
    <row r="61706" ht="15" customHeight="1"/>
    <row r="61707" ht="15" customHeight="1"/>
    <row r="61708" ht="15" customHeight="1"/>
    <row r="61709" ht="15" customHeight="1"/>
    <row r="61710" ht="15" customHeight="1"/>
    <row r="61711" ht="15" customHeight="1"/>
    <row r="61712" ht="15" customHeight="1"/>
    <row r="61713" ht="15" customHeight="1"/>
    <row r="61714" ht="15" customHeight="1"/>
    <row r="61715" ht="15" customHeight="1"/>
    <row r="61716" ht="15" customHeight="1"/>
    <row r="61717" ht="15" customHeight="1"/>
    <row r="61718" ht="15" customHeight="1"/>
    <row r="61719" ht="15" customHeight="1"/>
    <row r="61720" ht="15" customHeight="1"/>
    <row r="61721" ht="15" customHeight="1"/>
    <row r="61722" ht="15" customHeight="1"/>
    <row r="61723" ht="15" customHeight="1"/>
    <row r="61724" ht="15" customHeight="1"/>
    <row r="61725" ht="15" customHeight="1"/>
    <row r="61726" ht="15" customHeight="1"/>
    <row r="61727" ht="15" customHeight="1"/>
    <row r="61728" ht="15" customHeight="1"/>
    <row r="61729" ht="15" customHeight="1"/>
    <row r="61730" ht="15" customHeight="1"/>
    <row r="61731" ht="15" customHeight="1"/>
    <row r="61732" ht="15" customHeight="1"/>
    <row r="61733" ht="15" customHeight="1"/>
    <row r="61734" ht="15" customHeight="1"/>
    <row r="61735" ht="15" customHeight="1"/>
    <row r="61736" ht="15" customHeight="1"/>
    <row r="61737" ht="15" customHeight="1"/>
    <row r="61738" ht="15" customHeight="1"/>
    <row r="61739" ht="15" customHeight="1"/>
    <row r="61740" ht="15" customHeight="1"/>
    <row r="61741" ht="15" customHeight="1"/>
    <row r="61742" ht="15" customHeight="1"/>
    <row r="61743" ht="15" customHeight="1"/>
    <row r="61744" ht="15" customHeight="1"/>
    <row r="61745" ht="15" customHeight="1"/>
    <row r="61746" ht="15" customHeight="1"/>
    <row r="61747" ht="15" customHeight="1"/>
    <row r="61748" ht="15" customHeight="1"/>
    <row r="61749" ht="15" customHeight="1"/>
    <row r="61750" ht="15" customHeight="1"/>
    <row r="61751" ht="15" customHeight="1"/>
    <row r="61752" ht="15" customHeight="1"/>
    <row r="61753" ht="15" customHeight="1"/>
    <row r="61754" ht="15" customHeight="1"/>
    <row r="61755" ht="15" customHeight="1"/>
    <row r="61756" ht="15" customHeight="1"/>
    <row r="61757" ht="15" customHeight="1"/>
    <row r="61758" ht="15" customHeight="1"/>
    <row r="61759" ht="15" customHeight="1"/>
    <row r="61760" ht="15" customHeight="1"/>
    <row r="61761" ht="15" customHeight="1"/>
    <row r="61762" ht="15" customHeight="1"/>
    <row r="61763" ht="15" customHeight="1"/>
    <row r="61764" ht="15" customHeight="1"/>
    <row r="61765" ht="15" customHeight="1"/>
    <row r="61766" ht="15" customHeight="1"/>
    <row r="61767" ht="15" customHeight="1"/>
    <row r="61768" ht="15" customHeight="1"/>
    <row r="61769" ht="15" customHeight="1"/>
    <row r="61770" ht="15" customHeight="1"/>
    <row r="61771" ht="15" customHeight="1"/>
    <row r="61772" ht="15" customHeight="1"/>
    <row r="61773" ht="15" customHeight="1"/>
    <row r="61774" ht="15" customHeight="1"/>
    <row r="61775" ht="15" customHeight="1"/>
    <row r="61776" ht="15" customHeight="1"/>
    <row r="61777" ht="15" customHeight="1"/>
    <row r="61778" ht="15" customHeight="1"/>
    <row r="61779" ht="15" customHeight="1"/>
    <row r="61780" ht="15" customHeight="1"/>
    <row r="61781" ht="15" customHeight="1"/>
    <row r="61782" ht="15" customHeight="1"/>
    <row r="61783" ht="15" customHeight="1"/>
    <row r="61784" ht="15" customHeight="1"/>
    <row r="61785" ht="15" customHeight="1"/>
    <row r="61786" ht="15" customHeight="1"/>
    <row r="61787" ht="15" customHeight="1"/>
    <row r="61788" ht="15" customHeight="1"/>
    <row r="61789" ht="15" customHeight="1"/>
    <row r="61790" ht="15" customHeight="1"/>
    <row r="61791" ht="15" customHeight="1"/>
    <row r="61792" ht="15" customHeight="1"/>
    <row r="61793" ht="15" customHeight="1"/>
    <row r="61794" ht="15" customHeight="1"/>
    <row r="61795" ht="15" customHeight="1"/>
    <row r="61796" ht="15" customHeight="1"/>
    <row r="61797" ht="15" customHeight="1"/>
    <row r="61798" ht="15" customHeight="1"/>
    <row r="61799" ht="15" customHeight="1"/>
    <row r="61800" ht="15" customHeight="1"/>
    <row r="61801" ht="15" customHeight="1"/>
    <row r="61802" ht="15" customHeight="1"/>
    <row r="61803" ht="15" customHeight="1"/>
    <row r="61804" ht="15" customHeight="1"/>
    <row r="61805" ht="15" customHeight="1"/>
    <row r="61806" ht="15" customHeight="1"/>
    <row r="61807" ht="15" customHeight="1"/>
    <row r="61808" ht="15" customHeight="1"/>
    <row r="61809" ht="15" customHeight="1"/>
    <row r="61810" ht="15" customHeight="1"/>
    <row r="61811" ht="15" customHeight="1"/>
    <row r="61812" ht="15" customHeight="1"/>
    <row r="61813" ht="15" customHeight="1"/>
    <row r="61814" ht="15" customHeight="1"/>
    <row r="61815" ht="15" customHeight="1"/>
    <row r="61816" ht="15" customHeight="1"/>
    <row r="61817" ht="15" customHeight="1"/>
    <row r="61818" ht="15" customHeight="1"/>
    <row r="61819" ht="15" customHeight="1"/>
    <row r="61820" ht="15" customHeight="1"/>
    <row r="61821" ht="15" customHeight="1"/>
    <row r="61822" ht="15" customHeight="1"/>
    <row r="61823" ht="15" customHeight="1"/>
    <row r="61824" ht="15" customHeight="1"/>
    <row r="61825" ht="15" customHeight="1"/>
    <row r="61826" ht="15" customHeight="1"/>
    <row r="61827" ht="15" customHeight="1"/>
    <row r="61828" ht="15" customHeight="1"/>
    <row r="61829" ht="15" customHeight="1"/>
    <row r="61830" ht="15" customHeight="1"/>
    <row r="61831" ht="15" customHeight="1"/>
    <row r="61832" ht="15" customHeight="1"/>
    <row r="61833" ht="15" customHeight="1"/>
    <row r="61834" ht="15" customHeight="1"/>
    <row r="61835" ht="15" customHeight="1"/>
    <row r="61836" ht="15" customHeight="1"/>
    <row r="61837" ht="15" customHeight="1"/>
    <row r="61838" ht="15" customHeight="1"/>
    <row r="61839" ht="15" customHeight="1"/>
    <row r="61840" ht="15" customHeight="1"/>
    <row r="61841" ht="15" customHeight="1"/>
    <row r="61842" ht="15" customHeight="1"/>
    <row r="61843" ht="15" customHeight="1"/>
    <row r="61844" ht="15" customHeight="1"/>
    <row r="61845" ht="15" customHeight="1"/>
    <row r="61846" ht="15" customHeight="1"/>
    <row r="61847" ht="15" customHeight="1"/>
    <row r="61848" ht="15" customHeight="1"/>
    <row r="61849" ht="15" customHeight="1"/>
    <row r="61850" ht="15" customHeight="1"/>
    <row r="61851" ht="15" customHeight="1"/>
    <row r="61852" ht="15" customHeight="1"/>
    <row r="61853" ht="15" customHeight="1"/>
    <row r="61854" ht="15" customHeight="1"/>
    <row r="61855" ht="15" customHeight="1"/>
    <row r="61856" ht="15" customHeight="1"/>
    <row r="61857" ht="15" customHeight="1"/>
    <row r="61858" ht="15" customHeight="1"/>
    <row r="61859" ht="15" customHeight="1"/>
    <row r="61860" ht="15" customHeight="1"/>
    <row r="61861" ht="15" customHeight="1"/>
    <row r="61862" ht="15" customHeight="1"/>
    <row r="61863" ht="15" customHeight="1"/>
    <row r="61864" ht="15" customHeight="1"/>
    <row r="61865" ht="15" customHeight="1"/>
    <row r="61866" ht="15" customHeight="1"/>
    <row r="61867" ht="15" customHeight="1"/>
    <row r="61868" ht="15" customHeight="1"/>
    <row r="61869" ht="15" customHeight="1"/>
    <row r="61870" ht="15" customHeight="1"/>
    <row r="61871" ht="15" customHeight="1"/>
    <row r="61872" ht="15" customHeight="1"/>
    <row r="61873" ht="15" customHeight="1"/>
    <row r="61874" ht="15" customHeight="1"/>
    <row r="61875" ht="15" customHeight="1"/>
    <row r="61876" ht="15" customHeight="1"/>
    <row r="61877" ht="15" customHeight="1"/>
    <row r="61878" ht="15" customHeight="1"/>
    <row r="61879" ht="15" customHeight="1"/>
    <row r="61880" ht="15" customHeight="1"/>
    <row r="61881" ht="15" customHeight="1"/>
    <row r="61882" ht="15" customHeight="1"/>
    <row r="61883" ht="15" customHeight="1"/>
    <row r="61884" ht="15" customHeight="1"/>
    <row r="61885" ht="15" customHeight="1"/>
    <row r="61886" ht="15" customHeight="1"/>
    <row r="61887" ht="15" customHeight="1"/>
    <row r="61888" ht="15" customHeight="1"/>
    <row r="61889" ht="15" customHeight="1"/>
    <row r="61890" ht="15" customHeight="1"/>
    <row r="61891" ht="15" customHeight="1"/>
    <row r="61892" ht="15" customHeight="1"/>
    <row r="61893" ht="15" customHeight="1"/>
    <row r="61894" ht="15" customHeight="1"/>
    <row r="61895" ht="15" customHeight="1"/>
    <row r="61896" ht="15" customHeight="1"/>
    <row r="61897" ht="15" customHeight="1"/>
    <row r="61898" ht="15" customHeight="1"/>
    <row r="61899" ht="15" customHeight="1"/>
    <row r="61900" ht="15" customHeight="1"/>
    <row r="61901" ht="15" customHeight="1"/>
    <row r="61902" ht="15" customHeight="1"/>
    <row r="61903" ht="15" customHeight="1"/>
    <row r="61904" ht="15" customHeight="1"/>
    <row r="61905" ht="15" customHeight="1"/>
    <row r="61906" ht="15" customHeight="1"/>
    <row r="61907" ht="15" customHeight="1"/>
    <row r="61908" ht="15" customHeight="1"/>
    <row r="61909" ht="15" customHeight="1"/>
    <row r="61910" ht="15" customHeight="1"/>
    <row r="61911" ht="15" customHeight="1"/>
    <row r="61912" ht="15" customHeight="1"/>
    <row r="61913" ht="15" customHeight="1"/>
    <row r="61914" ht="15" customHeight="1"/>
    <row r="61915" ht="15" customHeight="1"/>
    <row r="61916" ht="15" customHeight="1"/>
    <row r="61917" ht="15" customHeight="1"/>
    <row r="61918" ht="15" customHeight="1"/>
    <row r="61919" ht="15" customHeight="1"/>
    <row r="61920" ht="15" customHeight="1"/>
    <row r="61921" ht="15" customHeight="1"/>
    <row r="61922" ht="15" customHeight="1"/>
    <row r="61923" ht="15" customHeight="1"/>
    <row r="61924" ht="15" customHeight="1"/>
    <row r="61925" ht="15" customHeight="1"/>
    <row r="61926" ht="15" customHeight="1"/>
    <row r="61927" ht="15" customHeight="1"/>
    <row r="61928" ht="15" customHeight="1"/>
    <row r="61929" ht="15" customHeight="1"/>
    <row r="61930" ht="15" customHeight="1"/>
    <row r="61931" ht="15" customHeight="1"/>
    <row r="61932" ht="15" customHeight="1"/>
    <row r="61933" ht="15" customHeight="1"/>
    <row r="61934" ht="15" customHeight="1"/>
    <row r="61935" ht="15" customHeight="1"/>
    <row r="61936" ht="15" customHeight="1"/>
    <row r="61937" ht="15" customHeight="1"/>
    <row r="61938" ht="15" customHeight="1"/>
    <row r="61939" ht="15" customHeight="1"/>
    <row r="61940" ht="15" customHeight="1"/>
    <row r="61941" ht="15" customHeight="1"/>
    <row r="61942" ht="15" customHeight="1"/>
    <row r="61943" ht="15" customHeight="1"/>
    <row r="61944" ht="15" customHeight="1"/>
    <row r="61945" ht="15" customHeight="1"/>
    <row r="61946" ht="15" customHeight="1"/>
    <row r="61947" ht="15" customHeight="1"/>
    <row r="61948" ht="15" customHeight="1"/>
    <row r="61949" ht="15" customHeight="1"/>
    <row r="61950" ht="15" customHeight="1"/>
    <row r="61951" ht="15" customHeight="1"/>
    <row r="61952" ht="15" customHeight="1"/>
    <row r="61953" ht="15" customHeight="1"/>
    <row r="61954" ht="15" customHeight="1"/>
    <row r="61955" ht="15" customHeight="1"/>
    <row r="61956" ht="15" customHeight="1"/>
    <row r="61957" ht="15" customHeight="1"/>
    <row r="61958" ht="15" customHeight="1"/>
    <row r="61959" ht="15" customHeight="1"/>
    <row r="61960" ht="15" customHeight="1"/>
    <row r="61961" ht="15" customHeight="1"/>
    <row r="61962" ht="15" customHeight="1"/>
    <row r="61963" ht="15" customHeight="1"/>
    <row r="61964" ht="15" customHeight="1"/>
    <row r="61965" ht="15" customHeight="1"/>
    <row r="61966" ht="15" customHeight="1"/>
    <row r="61967" ht="15" customHeight="1"/>
    <row r="61968" ht="15" customHeight="1"/>
    <row r="61969" ht="15" customHeight="1"/>
    <row r="61970" ht="15" customHeight="1"/>
    <row r="61971" ht="15" customHeight="1"/>
    <row r="61972" ht="15" customHeight="1"/>
    <row r="61973" ht="15" customHeight="1"/>
    <row r="61974" ht="15" customHeight="1"/>
    <row r="61975" ht="15" customHeight="1"/>
    <row r="61976" ht="15" customHeight="1"/>
    <row r="61977" ht="15" customHeight="1"/>
    <row r="61978" ht="15" customHeight="1"/>
    <row r="61979" ht="15" customHeight="1"/>
    <row r="61980" ht="15" customHeight="1"/>
    <row r="61981" ht="15" customHeight="1"/>
    <row r="61982" ht="15" customHeight="1"/>
    <row r="61983" ht="15" customHeight="1"/>
    <row r="61984" ht="15" customHeight="1"/>
    <row r="61985" ht="15" customHeight="1"/>
    <row r="61986" ht="15" customHeight="1"/>
    <row r="61987" ht="15" customHeight="1"/>
    <row r="61988" ht="15" customHeight="1"/>
    <row r="61989" ht="15" customHeight="1"/>
    <row r="61990" ht="15" customHeight="1"/>
    <row r="61991" ht="15" customHeight="1"/>
    <row r="61992" ht="15" customHeight="1"/>
    <row r="61993" ht="15" customHeight="1"/>
    <row r="61994" ht="15" customHeight="1"/>
    <row r="61995" ht="15" customHeight="1"/>
    <row r="61996" ht="15" customHeight="1"/>
    <row r="61997" ht="15" customHeight="1"/>
    <row r="61998" ht="15" customHeight="1"/>
    <row r="61999" ht="15" customHeight="1"/>
    <row r="62000" ht="15" customHeight="1"/>
    <row r="62001" ht="15" customHeight="1"/>
    <row r="62002" ht="15" customHeight="1"/>
    <row r="62003" ht="15" customHeight="1"/>
    <row r="62004" ht="15" customHeight="1"/>
    <row r="62005" ht="15" customHeight="1"/>
    <row r="62006" ht="15" customHeight="1"/>
    <row r="62007" ht="15" customHeight="1"/>
    <row r="62008" ht="15" customHeight="1"/>
    <row r="62009" ht="15" customHeight="1"/>
    <row r="62010" ht="15" customHeight="1"/>
    <row r="62011" ht="15" customHeight="1"/>
    <row r="62012" ht="15" customHeight="1"/>
    <row r="62013" ht="15" customHeight="1"/>
    <row r="62014" ht="15" customHeight="1"/>
    <row r="62015" ht="15" customHeight="1"/>
    <row r="62016" ht="15" customHeight="1"/>
    <row r="62017" ht="15" customHeight="1"/>
    <row r="62018" ht="15" customHeight="1"/>
    <row r="62019" ht="15" customHeight="1"/>
    <row r="62020" ht="15" customHeight="1"/>
    <row r="62021" ht="15" customHeight="1"/>
    <row r="62022" ht="15" customHeight="1"/>
    <row r="62023" ht="15" customHeight="1"/>
    <row r="62024" ht="15" customHeight="1"/>
    <row r="62025" ht="15" customHeight="1"/>
    <row r="62026" ht="15" customHeight="1"/>
    <row r="62027" ht="15" customHeight="1"/>
    <row r="62028" ht="15" customHeight="1"/>
    <row r="62029" ht="15" customHeight="1"/>
    <row r="62030" ht="15" customHeight="1"/>
    <row r="62031" ht="15" customHeight="1"/>
    <row r="62032" ht="15" customHeight="1"/>
    <row r="62033" ht="15" customHeight="1"/>
    <row r="62034" ht="15" customHeight="1"/>
    <row r="62035" ht="15" customHeight="1"/>
    <row r="62036" ht="15" customHeight="1"/>
    <row r="62037" ht="15" customHeight="1"/>
    <row r="62038" ht="15" customHeight="1"/>
    <row r="62039" ht="15" customHeight="1"/>
    <row r="62040" ht="15" customHeight="1"/>
    <row r="62041" ht="15" customHeight="1"/>
    <row r="62042" ht="15" customHeight="1"/>
    <row r="62043" ht="15" customHeight="1"/>
    <row r="62044" ht="15" customHeight="1"/>
    <row r="62045" ht="15" customHeight="1"/>
    <row r="62046" ht="15" customHeight="1"/>
    <row r="62047" ht="15" customHeight="1"/>
    <row r="62048" ht="15" customHeight="1"/>
    <row r="62049" ht="15" customHeight="1"/>
    <row r="62050" ht="15" customHeight="1"/>
    <row r="62051" ht="15" customHeight="1"/>
    <row r="62052" ht="15" customHeight="1"/>
    <row r="62053" ht="15" customHeight="1"/>
    <row r="62054" ht="15" customHeight="1"/>
    <row r="62055" ht="15" customHeight="1"/>
    <row r="62056" ht="15" customHeight="1"/>
    <row r="62057" ht="15" customHeight="1"/>
    <row r="62058" ht="15" customHeight="1"/>
    <row r="62059" ht="15" customHeight="1"/>
    <row r="62060" ht="15" customHeight="1"/>
    <row r="62061" ht="15" customHeight="1"/>
    <row r="62062" ht="15" customHeight="1"/>
    <row r="62063" ht="15" customHeight="1"/>
    <row r="62064" ht="15" customHeight="1"/>
    <row r="62065" ht="15" customHeight="1"/>
    <row r="62066" ht="15" customHeight="1"/>
    <row r="62067" ht="15" customHeight="1"/>
    <row r="62068" ht="15" customHeight="1"/>
    <row r="62069" ht="15" customHeight="1"/>
    <row r="62070" ht="15" customHeight="1"/>
    <row r="62071" ht="15" customHeight="1"/>
    <row r="62072" ht="15" customHeight="1"/>
    <row r="62073" ht="15" customHeight="1"/>
    <row r="62074" ht="15" customHeight="1"/>
    <row r="62075" ht="15" customHeight="1"/>
    <row r="62076" ht="15" customHeight="1"/>
    <row r="62077" ht="15" customHeight="1"/>
    <row r="62078" ht="15" customHeight="1"/>
    <row r="62079" ht="15" customHeight="1"/>
    <row r="62080" ht="15" customHeight="1"/>
    <row r="62081" ht="15" customHeight="1"/>
    <row r="62082" ht="15" customHeight="1"/>
    <row r="62083" ht="15" customHeight="1"/>
    <row r="62084" ht="15" customHeight="1"/>
    <row r="62085" ht="15" customHeight="1"/>
    <row r="62086" ht="15" customHeight="1"/>
    <row r="62087" ht="15" customHeight="1"/>
    <row r="62088" ht="15" customHeight="1"/>
    <row r="62089" ht="15" customHeight="1"/>
    <row r="62090" ht="15" customHeight="1"/>
    <row r="62091" ht="15" customHeight="1"/>
    <row r="62092" ht="15" customHeight="1"/>
    <row r="62093" ht="15" customHeight="1"/>
    <row r="62094" ht="15" customHeight="1"/>
    <row r="62095" ht="15" customHeight="1"/>
    <row r="62096" ht="15" customHeight="1"/>
    <row r="62097" ht="15" customHeight="1"/>
    <row r="62098" ht="15" customHeight="1"/>
    <row r="62099" ht="15" customHeight="1"/>
    <row r="62100" ht="15" customHeight="1"/>
    <row r="62101" ht="15" customHeight="1"/>
    <row r="62102" ht="15" customHeight="1"/>
    <row r="62103" ht="15" customHeight="1"/>
    <row r="62104" ht="15" customHeight="1"/>
    <row r="62105" ht="15" customHeight="1"/>
    <row r="62106" ht="15" customHeight="1"/>
    <row r="62107" ht="15" customHeight="1"/>
    <row r="62108" ht="15" customHeight="1"/>
    <row r="62109" ht="15" customHeight="1"/>
    <row r="62110" ht="15" customHeight="1"/>
    <row r="62111" ht="15" customHeight="1"/>
    <row r="62112" ht="15" customHeight="1"/>
    <row r="62113" ht="15" customHeight="1"/>
    <row r="62114" ht="15" customHeight="1"/>
    <row r="62115" ht="15" customHeight="1"/>
    <row r="62116" ht="15" customHeight="1"/>
    <row r="62117" ht="15" customHeight="1"/>
    <row r="62118" ht="15" customHeight="1"/>
    <row r="62119" ht="15" customHeight="1"/>
    <row r="62120" ht="15" customHeight="1"/>
    <row r="62121" ht="15" customHeight="1"/>
    <row r="62122" ht="15" customHeight="1"/>
    <row r="62123" ht="15" customHeight="1"/>
    <row r="62124" ht="15" customHeight="1"/>
    <row r="62125" ht="15" customHeight="1"/>
    <row r="62126" ht="15" customHeight="1"/>
    <row r="62127" ht="15" customHeight="1"/>
    <row r="62128" ht="15" customHeight="1"/>
    <row r="62129" ht="15" customHeight="1"/>
    <row r="62130" ht="15" customHeight="1"/>
    <row r="62131" ht="15" customHeight="1"/>
    <row r="62132" ht="15" customHeight="1"/>
    <row r="62133" ht="15" customHeight="1"/>
    <row r="62134" ht="15" customHeight="1"/>
    <row r="62135" ht="15" customHeight="1"/>
    <row r="62136" ht="15" customHeight="1"/>
    <row r="62137" ht="15" customHeight="1"/>
    <row r="62138" ht="15" customHeight="1"/>
    <row r="62139" ht="15" customHeight="1"/>
    <row r="62140" ht="15" customHeight="1"/>
    <row r="62141" ht="15" customHeight="1"/>
    <row r="62142" ht="15" customHeight="1"/>
    <row r="62143" ht="15" customHeight="1"/>
    <row r="62144" ht="15" customHeight="1"/>
    <row r="62145" ht="15" customHeight="1"/>
    <row r="62146" ht="15" customHeight="1"/>
    <row r="62147" ht="15" customHeight="1"/>
    <row r="62148" ht="15" customHeight="1"/>
    <row r="62149" ht="15" customHeight="1"/>
    <row r="62150" ht="15" customHeight="1"/>
    <row r="62151" ht="15" customHeight="1"/>
    <row r="62152" ht="15" customHeight="1"/>
    <row r="62153" ht="15" customHeight="1"/>
    <row r="62154" ht="15" customHeight="1"/>
    <row r="62155" ht="15" customHeight="1"/>
    <row r="62156" ht="15" customHeight="1"/>
    <row r="62157" ht="15" customHeight="1"/>
    <row r="62158" ht="15" customHeight="1"/>
    <row r="62159" ht="15" customHeight="1"/>
    <row r="62160" ht="15" customHeight="1"/>
    <row r="62161" ht="15" customHeight="1"/>
    <row r="62162" ht="15" customHeight="1"/>
    <row r="62163" ht="15" customHeight="1"/>
    <row r="62164" ht="15" customHeight="1"/>
    <row r="62165" ht="15" customHeight="1"/>
    <row r="62166" ht="15" customHeight="1"/>
    <row r="62167" ht="15" customHeight="1"/>
    <row r="62168" ht="15" customHeight="1"/>
    <row r="62169" ht="15" customHeight="1"/>
    <row r="62170" ht="15" customHeight="1"/>
    <row r="62171" ht="15" customHeight="1"/>
    <row r="62172" ht="15" customHeight="1"/>
    <row r="62173" ht="15" customHeight="1"/>
    <row r="62174" ht="15" customHeight="1"/>
    <row r="62175" ht="15" customHeight="1"/>
    <row r="62176" ht="15" customHeight="1"/>
    <row r="62177" ht="15" customHeight="1"/>
    <row r="62178" ht="15" customHeight="1"/>
    <row r="62179" ht="15" customHeight="1"/>
    <row r="62180" ht="15" customHeight="1"/>
    <row r="62181" ht="15" customHeight="1"/>
    <row r="62182" ht="15" customHeight="1"/>
    <row r="62183" ht="15" customHeight="1"/>
    <row r="62184" ht="15" customHeight="1"/>
    <row r="62185" ht="15" customHeight="1"/>
    <row r="62186" ht="15" customHeight="1"/>
    <row r="62187" ht="15" customHeight="1"/>
    <row r="62188" ht="15" customHeight="1"/>
    <row r="62189" ht="15" customHeight="1"/>
    <row r="62190" ht="15" customHeight="1"/>
    <row r="62191" ht="15" customHeight="1"/>
    <row r="62192" ht="15" customHeight="1"/>
    <row r="62193" ht="15" customHeight="1"/>
    <row r="62194" ht="15" customHeight="1"/>
    <row r="62195" ht="15" customHeight="1"/>
    <row r="62196" ht="15" customHeight="1"/>
    <row r="62197" ht="15" customHeight="1"/>
    <row r="62198" ht="15" customHeight="1"/>
    <row r="62199" ht="15" customHeight="1"/>
    <row r="62200" ht="15" customHeight="1"/>
    <row r="62201" ht="15" customHeight="1"/>
    <row r="62202" ht="15" customHeight="1"/>
    <row r="62203" ht="15" customHeight="1"/>
    <row r="62204" ht="15" customHeight="1"/>
    <row r="62205" ht="15" customHeight="1"/>
    <row r="62206" ht="15" customHeight="1"/>
    <row r="62207" ht="15" customHeight="1"/>
    <row r="62208" ht="15" customHeight="1"/>
    <row r="62209" ht="15" customHeight="1"/>
    <row r="62210" ht="15" customHeight="1"/>
    <row r="62211" ht="15" customHeight="1"/>
    <row r="62212" ht="15" customHeight="1"/>
    <row r="62213" ht="15" customHeight="1"/>
    <row r="62214" ht="15" customHeight="1"/>
    <row r="62215" ht="15" customHeight="1"/>
    <row r="62216" ht="15" customHeight="1"/>
    <row r="62217" ht="15" customHeight="1"/>
    <row r="62218" ht="15" customHeight="1"/>
    <row r="62219" ht="15" customHeight="1"/>
    <row r="62220" ht="15" customHeight="1"/>
    <row r="62221" ht="15" customHeight="1"/>
    <row r="62222" ht="15" customHeight="1"/>
    <row r="62223" ht="15" customHeight="1"/>
    <row r="62224" ht="15" customHeight="1"/>
    <row r="62225" ht="15" customHeight="1"/>
    <row r="62226" ht="15" customHeight="1"/>
    <row r="62227" ht="15" customHeight="1"/>
    <row r="62228" ht="15" customHeight="1"/>
    <row r="62229" ht="15" customHeight="1"/>
    <row r="62230" ht="15" customHeight="1"/>
    <row r="62231" ht="15" customHeight="1"/>
    <row r="62232" ht="15" customHeight="1"/>
    <row r="62233" ht="15" customHeight="1"/>
    <row r="62234" ht="15" customHeight="1"/>
    <row r="62235" ht="15" customHeight="1"/>
    <row r="62236" ht="15" customHeight="1"/>
    <row r="62237" ht="15" customHeight="1"/>
    <row r="62238" ht="15" customHeight="1"/>
    <row r="62239" ht="15" customHeight="1"/>
    <row r="62240" ht="15" customHeight="1"/>
    <row r="62241" ht="15" customHeight="1"/>
    <row r="62242" ht="15" customHeight="1"/>
    <row r="62243" ht="15" customHeight="1"/>
    <row r="62244" ht="15" customHeight="1"/>
    <row r="62245" ht="15" customHeight="1"/>
    <row r="62246" ht="15" customHeight="1"/>
    <row r="62247" ht="15" customHeight="1"/>
    <row r="62248" ht="15" customHeight="1"/>
    <row r="62249" ht="15" customHeight="1"/>
    <row r="62250" ht="15" customHeight="1"/>
    <row r="62251" ht="15" customHeight="1"/>
    <row r="62252" ht="15" customHeight="1"/>
    <row r="62253" ht="15" customHeight="1"/>
    <row r="62254" ht="15" customHeight="1"/>
    <row r="62255" ht="15" customHeight="1"/>
    <row r="62256" ht="15" customHeight="1"/>
    <row r="62257" ht="15" customHeight="1"/>
    <row r="62258" ht="15" customHeight="1"/>
    <row r="62259" ht="15" customHeight="1"/>
    <row r="62260" ht="15" customHeight="1"/>
    <row r="62261" ht="15" customHeight="1"/>
    <row r="62262" ht="15" customHeight="1"/>
    <row r="62263" ht="15" customHeight="1"/>
    <row r="62264" ht="15" customHeight="1"/>
    <row r="62265" ht="15" customHeight="1"/>
    <row r="62266" ht="15" customHeight="1"/>
    <row r="62267" ht="15" customHeight="1"/>
    <row r="62268" ht="15" customHeight="1"/>
    <row r="62269" ht="15" customHeight="1"/>
    <row r="62270" ht="15" customHeight="1"/>
    <row r="62271" ht="15" customHeight="1"/>
    <row r="62272" ht="15" customHeight="1"/>
    <row r="62273" ht="15" customHeight="1"/>
    <row r="62274" ht="15" customHeight="1"/>
    <row r="62275" ht="15" customHeight="1"/>
    <row r="62276" ht="15" customHeight="1"/>
    <row r="62277" ht="15" customHeight="1"/>
    <row r="62278" ht="15" customHeight="1"/>
    <row r="62279" ht="15" customHeight="1"/>
    <row r="62280" ht="15" customHeight="1"/>
    <row r="62281" ht="15" customHeight="1"/>
    <row r="62282" ht="15" customHeight="1"/>
    <row r="62283" ht="15" customHeight="1"/>
    <row r="62284" ht="15" customHeight="1"/>
    <row r="62285" ht="15" customHeight="1"/>
    <row r="62286" ht="15" customHeight="1"/>
    <row r="62287" ht="15" customHeight="1"/>
    <row r="62288" ht="15" customHeight="1"/>
    <row r="62289" ht="15" customHeight="1"/>
    <row r="62290" ht="15" customHeight="1"/>
    <row r="62291" ht="15" customHeight="1"/>
    <row r="62292" ht="15" customHeight="1"/>
    <row r="62293" ht="15" customHeight="1"/>
    <row r="62294" ht="15" customHeight="1"/>
    <row r="62295" ht="15" customHeight="1"/>
    <row r="62296" ht="15" customHeight="1"/>
    <row r="62297" ht="15" customHeight="1"/>
    <row r="62298" ht="15" customHeight="1"/>
    <row r="62299" ht="15" customHeight="1"/>
    <row r="62300" ht="15" customHeight="1"/>
    <row r="62301" ht="15" customHeight="1"/>
    <row r="62302" ht="15" customHeight="1"/>
    <row r="62303" ht="15" customHeight="1"/>
    <row r="62304" ht="15" customHeight="1"/>
    <row r="62305" ht="15" customHeight="1"/>
    <row r="62306" ht="15" customHeight="1"/>
    <row r="62307" ht="15" customHeight="1"/>
    <row r="62308" ht="15" customHeight="1"/>
    <row r="62309" ht="15" customHeight="1"/>
    <row r="62310" ht="15" customHeight="1"/>
    <row r="62311" ht="15" customHeight="1"/>
    <row r="62312" ht="15" customHeight="1"/>
    <row r="62313" ht="15" customHeight="1"/>
    <row r="62314" ht="15" customHeight="1"/>
    <row r="62315" ht="15" customHeight="1"/>
    <row r="62316" ht="15" customHeight="1"/>
    <row r="62317" ht="15" customHeight="1"/>
    <row r="62318" ht="15" customHeight="1"/>
    <row r="62319" ht="15" customHeight="1"/>
    <row r="62320" ht="15" customHeight="1"/>
    <row r="62321" ht="15" customHeight="1"/>
    <row r="62322" ht="15" customHeight="1"/>
    <row r="62323" ht="15" customHeight="1"/>
    <row r="62324" ht="15" customHeight="1"/>
    <row r="62325" ht="15" customHeight="1"/>
    <row r="62326" ht="15" customHeight="1"/>
    <row r="62327" ht="15" customHeight="1"/>
    <row r="62328" ht="15" customHeight="1"/>
    <row r="62329" ht="15" customHeight="1"/>
    <row r="62330" ht="15" customHeight="1"/>
    <row r="62331" ht="15" customHeight="1"/>
    <row r="62332" ht="15" customHeight="1"/>
    <row r="62333" ht="15" customHeight="1"/>
    <row r="62334" ht="15" customHeight="1"/>
    <row r="62335" ht="15" customHeight="1"/>
    <row r="62336" ht="15" customHeight="1"/>
    <row r="62337" ht="15" customHeight="1"/>
    <row r="62338" ht="15" customHeight="1"/>
    <row r="62339" ht="15" customHeight="1"/>
    <row r="62340" ht="15" customHeight="1"/>
    <row r="62341" ht="15" customHeight="1"/>
    <row r="62342" ht="15" customHeight="1"/>
    <row r="62343" ht="15" customHeight="1"/>
    <row r="62344" ht="15" customHeight="1"/>
    <row r="62345" ht="15" customHeight="1"/>
    <row r="62346" ht="15" customHeight="1"/>
    <row r="62347" ht="15" customHeight="1"/>
    <row r="62348" ht="15" customHeight="1"/>
    <row r="62349" ht="15" customHeight="1"/>
    <row r="62350" ht="15" customHeight="1"/>
    <row r="62351" ht="15" customHeight="1"/>
    <row r="62352" ht="15" customHeight="1"/>
    <row r="62353" ht="15" customHeight="1"/>
    <row r="62354" ht="15" customHeight="1"/>
    <row r="62355" ht="15" customHeight="1"/>
    <row r="62356" ht="15" customHeight="1"/>
    <row r="62357" ht="15" customHeight="1"/>
    <row r="62358" ht="15" customHeight="1"/>
    <row r="62359" ht="15" customHeight="1"/>
    <row r="62360" ht="15" customHeight="1"/>
    <row r="62361" ht="15" customHeight="1"/>
    <row r="62362" ht="15" customHeight="1"/>
    <row r="62363" ht="15" customHeight="1"/>
    <row r="62364" ht="15" customHeight="1"/>
    <row r="62365" ht="15" customHeight="1"/>
    <row r="62366" ht="15" customHeight="1"/>
    <row r="62367" ht="15" customHeight="1"/>
    <row r="62368" ht="15" customHeight="1"/>
    <row r="62369" ht="15" customHeight="1"/>
    <row r="62370" ht="15" customHeight="1"/>
    <row r="62371" ht="15" customHeight="1"/>
    <row r="62372" ht="15" customHeight="1"/>
    <row r="62373" ht="15" customHeight="1"/>
    <row r="62374" ht="15" customHeight="1"/>
    <row r="62375" ht="15" customHeight="1"/>
    <row r="62376" ht="15" customHeight="1"/>
    <row r="62377" ht="15" customHeight="1"/>
    <row r="62378" ht="15" customHeight="1"/>
    <row r="62379" ht="15" customHeight="1"/>
    <row r="62380" ht="15" customHeight="1"/>
    <row r="62381" ht="15" customHeight="1"/>
    <row r="62382" ht="15" customHeight="1"/>
    <row r="62383" ht="15" customHeight="1"/>
    <row r="62384" ht="15" customHeight="1"/>
    <row r="62385" ht="15" customHeight="1"/>
    <row r="62386" ht="15" customHeight="1"/>
    <row r="62387" ht="15" customHeight="1"/>
    <row r="62388" ht="15" customHeight="1"/>
    <row r="62389" ht="15" customHeight="1"/>
    <row r="62390" ht="15" customHeight="1"/>
    <row r="62391" ht="15" customHeight="1"/>
    <row r="62392" ht="15" customHeight="1"/>
    <row r="62393" ht="15" customHeight="1"/>
    <row r="62394" ht="15" customHeight="1"/>
    <row r="62395" ht="15" customHeight="1"/>
    <row r="62396" ht="15" customHeight="1"/>
    <row r="62397" ht="15" customHeight="1"/>
    <row r="62398" ht="15" customHeight="1"/>
    <row r="62399" ht="15" customHeight="1"/>
    <row r="62400" ht="15" customHeight="1"/>
    <row r="62401" ht="15" customHeight="1"/>
    <row r="62402" ht="15" customHeight="1"/>
    <row r="62403" ht="15" customHeight="1"/>
    <row r="62404" ht="15" customHeight="1"/>
    <row r="62405" ht="15" customHeight="1"/>
    <row r="62406" ht="15" customHeight="1"/>
    <row r="62407" ht="15" customHeight="1"/>
    <row r="62408" ht="15" customHeight="1"/>
    <row r="62409" ht="15" customHeight="1"/>
    <row r="62410" ht="15" customHeight="1"/>
    <row r="62411" ht="15" customHeight="1"/>
    <row r="62412" ht="15" customHeight="1"/>
    <row r="62413" ht="15" customHeight="1"/>
    <row r="62414" ht="15" customHeight="1"/>
    <row r="62415" ht="15" customHeight="1"/>
    <row r="62416" ht="15" customHeight="1"/>
    <row r="62417" ht="15" customHeight="1"/>
    <row r="62418" ht="15" customHeight="1"/>
    <row r="62419" ht="15" customHeight="1"/>
    <row r="62420" ht="15" customHeight="1"/>
    <row r="62421" ht="15" customHeight="1"/>
    <row r="62422" ht="15" customHeight="1"/>
    <row r="62423" ht="15" customHeight="1"/>
    <row r="62424" ht="15" customHeight="1"/>
    <row r="62425" ht="15" customHeight="1"/>
    <row r="62426" ht="15" customHeight="1"/>
    <row r="62427" ht="15" customHeight="1"/>
    <row r="62428" ht="15" customHeight="1"/>
    <row r="62429" ht="15" customHeight="1"/>
    <row r="62430" ht="15" customHeight="1"/>
    <row r="62431" ht="15" customHeight="1"/>
    <row r="62432" ht="15" customHeight="1"/>
    <row r="62433" ht="15" customHeight="1"/>
    <row r="62434" ht="15" customHeight="1"/>
    <row r="62435" ht="15" customHeight="1"/>
    <row r="62436" ht="15" customHeight="1"/>
    <row r="62437" ht="15" customHeight="1"/>
    <row r="62438" ht="15" customHeight="1"/>
    <row r="62439" ht="15" customHeight="1"/>
    <row r="62440" ht="15" customHeight="1"/>
    <row r="62441" ht="15" customHeight="1"/>
    <row r="62442" ht="15" customHeight="1"/>
    <row r="62443" ht="15" customHeight="1"/>
    <row r="62444" ht="15" customHeight="1"/>
    <row r="62445" ht="15" customHeight="1"/>
    <row r="62446" ht="15" customHeight="1"/>
    <row r="62447" ht="15" customHeight="1"/>
    <row r="62448" ht="15" customHeight="1"/>
    <row r="62449" ht="15" customHeight="1"/>
    <row r="62450" ht="15" customHeight="1"/>
    <row r="62451" ht="15" customHeight="1"/>
    <row r="62452" ht="15" customHeight="1"/>
    <row r="62453" ht="15" customHeight="1"/>
    <row r="62454" ht="15" customHeight="1"/>
    <row r="62455" ht="15" customHeight="1"/>
    <row r="62456" ht="15" customHeight="1"/>
    <row r="62457" ht="15" customHeight="1"/>
    <row r="62458" ht="15" customHeight="1"/>
    <row r="62459" ht="15" customHeight="1"/>
    <row r="62460" ht="15" customHeight="1"/>
    <row r="62461" ht="15" customHeight="1"/>
    <row r="62462" ht="15" customHeight="1"/>
    <row r="62463" ht="15" customHeight="1"/>
    <row r="62464" ht="15" customHeight="1"/>
    <row r="62465" ht="15" customHeight="1"/>
    <row r="62466" ht="15" customHeight="1"/>
    <row r="62467" ht="15" customHeight="1"/>
    <row r="62468" ht="15" customHeight="1"/>
    <row r="62469" ht="15" customHeight="1"/>
    <row r="62470" ht="15" customHeight="1"/>
    <row r="62471" ht="15" customHeight="1"/>
    <row r="62472" ht="15" customHeight="1"/>
    <row r="62473" ht="15" customHeight="1"/>
    <row r="62474" ht="15" customHeight="1"/>
    <row r="62475" ht="15" customHeight="1"/>
    <row r="62476" ht="15" customHeight="1"/>
    <row r="62477" ht="15" customHeight="1"/>
    <row r="62478" ht="15" customHeight="1"/>
    <row r="62479" ht="15" customHeight="1"/>
    <row r="62480" ht="15" customHeight="1"/>
    <row r="62481" ht="15" customHeight="1"/>
    <row r="62482" ht="15" customHeight="1"/>
    <row r="62483" ht="15" customHeight="1"/>
    <row r="62484" ht="15" customHeight="1"/>
    <row r="62485" ht="15" customHeight="1"/>
    <row r="62486" ht="15" customHeight="1"/>
    <row r="62487" ht="15" customHeight="1"/>
    <row r="62488" ht="15" customHeight="1"/>
    <row r="62489" ht="15" customHeight="1"/>
    <row r="62490" ht="15" customHeight="1"/>
    <row r="62491" ht="15" customHeight="1"/>
    <row r="62492" ht="15" customHeight="1"/>
    <row r="62493" ht="15" customHeight="1"/>
    <row r="62494" ht="15" customHeight="1"/>
    <row r="62495" ht="15" customHeight="1"/>
    <row r="62496" ht="15" customHeight="1"/>
    <row r="62497" ht="15" customHeight="1"/>
    <row r="62498" ht="15" customHeight="1"/>
    <row r="62499" ht="15" customHeight="1"/>
    <row r="62500" ht="15" customHeight="1"/>
    <row r="62501" ht="15" customHeight="1"/>
    <row r="62502" ht="15" customHeight="1"/>
    <row r="62503" ht="15" customHeight="1"/>
    <row r="62504" ht="15" customHeight="1"/>
    <row r="62505" ht="15" customHeight="1"/>
    <row r="62506" ht="15" customHeight="1"/>
    <row r="62507" ht="15" customHeight="1"/>
    <row r="62508" ht="15" customHeight="1"/>
    <row r="62509" ht="15" customHeight="1"/>
    <row r="62510" ht="15" customHeight="1"/>
    <row r="62511" ht="15" customHeight="1"/>
    <row r="62512" ht="15" customHeight="1"/>
    <row r="62513" ht="15" customHeight="1"/>
    <row r="62514" ht="15" customHeight="1"/>
    <row r="62515" ht="15" customHeight="1"/>
    <row r="62516" ht="15" customHeight="1"/>
    <row r="62517" ht="15" customHeight="1"/>
    <row r="62518" ht="15" customHeight="1"/>
    <row r="62519" ht="15" customHeight="1"/>
    <row r="62520" ht="15" customHeight="1"/>
    <row r="62521" ht="15" customHeight="1"/>
    <row r="62522" ht="15" customHeight="1"/>
    <row r="62523" ht="15" customHeight="1"/>
    <row r="62524" ht="15" customHeight="1"/>
    <row r="62525" ht="15" customHeight="1"/>
    <row r="62526" ht="15" customHeight="1"/>
    <row r="62527" ht="15" customHeight="1"/>
    <row r="62528" ht="15" customHeight="1"/>
    <row r="62529" ht="15" customHeight="1"/>
    <row r="62530" ht="15" customHeight="1"/>
    <row r="62531" ht="15" customHeight="1"/>
    <row r="62532" ht="15" customHeight="1"/>
    <row r="62533" ht="15" customHeight="1"/>
    <row r="62534" ht="15" customHeight="1"/>
    <row r="62535" ht="15" customHeight="1"/>
    <row r="62536" ht="15" customHeight="1"/>
    <row r="62537" ht="15" customHeight="1"/>
    <row r="62538" ht="15" customHeight="1"/>
    <row r="62539" ht="15" customHeight="1"/>
    <row r="62540" ht="15" customHeight="1"/>
    <row r="62541" ht="15" customHeight="1"/>
    <row r="62542" ht="15" customHeight="1"/>
    <row r="62543" ht="15" customHeight="1"/>
    <row r="62544" ht="15" customHeight="1"/>
    <row r="62545" ht="15" customHeight="1"/>
    <row r="62546" ht="15" customHeight="1"/>
    <row r="62547" ht="15" customHeight="1"/>
    <row r="62548" ht="15" customHeight="1"/>
    <row r="62549" ht="15" customHeight="1"/>
    <row r="62550" ht="15" customHeight="1"/>
    <row r="62551" ht="15" customHeight="1"/>
    <row r="62552" ht="15" customHeight="1"/>
    <row r="62553" ht="15" customHeight="1"/>
    <row r="62554" ht="15" customHeight="1"/>
    <row r="62555" ht="15" customHeight="1"/>
    <row r="62556" ht="15" customHeight="1"/>
    <row r="62557" ht="15" customHeight="1"/>
    <row r="62558" ht="15" customHeight="1"/>
    <row r="62559" ht="15" customHeight="1"/>
    <row r="62560" ht="15" customHeight="1"/>
    <row r="62561" ht="15" customHeight="1"/>
    <row r="62562" ht="15" customHeight="1"/>
    <row r="62563" ht="15" customHeight="1"/>
    <row r="62564" ht="15" customHeight="1"/>
    <row r="62565" ht="15" customHeight="1"/>
    <row r="62566" ht="15" customHeight="1"/>
    <row r="62567" ht="15" customHeight="1"/>
    <row r="62568" ht="15" customHeight="1"/>
    <row r="62569" ht="15" customHeight="1"/>
    <row r="62570" ht="15" customHeight="1"/>
    <row r="62571" ht="15" customHeight="1"/>
    <row r="62572" ht="15" customHeight="1"/>
    <row r="62573" ht="15" customHeight="1"/>
    <row r="62574" ht="15" customHeight="1"/>
    <row r="62575" ht="15" customHeight="1"/>
    <row r="62576" ht="15" customHeight="1"/>
    <row r="62577" ht="15" customHeight="1"/>
    <row r="62578" ht="15" customHeight="1"/>
    <row r="62579" ht="15" customHeight="1"/>
    <row r="62580" ht="15" customHeight="1"/>
    <row r="62581" ht="15" customHeight="1"/>
    <row r="62582" ht="15" customHeight="1"/>
    <row r="62583" ht="15" customHeight="1"/>
    <row r="62584" ht="15" customHeight="1"/>
    <row r="62585" ht="15" customHeight="1"/>
    <row r="62586" ht="15" customHeight="1"/>
    <row r="62587" ht="15" customHeight="1"/>
    <row r="62588" ht="15" customHeight="1"/>
    <row r="62589" ht="15" customHeight="1"/>
    <row r="62590" ht="15" customHeight="1"/>
    <row r="62591" ht="15" customHeight="1"/>
    <row r="62592" ht="15" customHeight="1"/>
    <row r="62593" ht="15" customHeight="1"/>
    <row r="62594" ht="15" customHeight="1"/>
    <row r="62595" ht="15" customHeight="1"/>
    <row r="62596" ht="15" customHeight="1"/>
    <row r="62597" ht="15" customHeight="1"/>
    <row r="62598" ht="15" customHeight="1"/>
    <row r="62599" ht="15" customHeight="1"/>
    <row r="62600" ht="15" customHeight="1"/>
    <row r="62601" ht="15" customHeight="1"/>
    <row r="62602" ht="15" customHeight="1"/>
    <row r="62603" ht="15" customHeight="1"/>
    <row r="62604" ht="15" customHeight="1"/>
    <row r="62605" ht="15" customHeight="1"/>
    <row r="62606" ht="15" customHeight="1"/>
    <row r="62607" ht="15" customHeight="1"/>
    <row r="62608" ht="15" customHeight="1"/>
    <row r="62609" ht="15" customHeight="1"/>
    <row r="62610" ht="15" customHeight="1"/>
    <row r="62611" ht="15" customHeight="1"/>
    <row r="62612" ht="15" customHeight="1"/>
    <row r="62613" ht="15" customHeight="1"/>
    <row r="62614" ht="15" customHeight="1"/>
    <row r="62615" ht="15" customHeight="1"/>
    <row r="62616" ht="15" customHeight="1"/>
    <row r="62617" ht="15" customHeight="1"/>
    <row r="62618" ht="15" customHeight="1"/>
    <row r="62619" ht="15" customHeight="1"/>
    <row r="62620" ht="15" customHeight="1"/>
    <row r="62621" ht="15" customHeight="1"/>
    <row r="62622" ht="15" customHeight="1"/>
    <row r="62623" ht="15" customHeight="1"/>
    <row r="62624" ht="15" customHeight="1"/>
    <row r="62625" ht="15" customHeight="1"/>
    <row r="62626" ht="15" customHeight="1"/>
    <row r="62627" ht="15" customHeight="1"/>
    <row r="62628" ht="15" customHeight="1"/>
    <row r="62629" ht="15" customHeight="1"/>
    <row r="62630" ht="15" customHeight="1"/>
    <row r="62631" ht="15" customHeight="1"/>
    <row r="62632" ht="15" customHeight="1"/>
    <row r="62633" ht="15" customHeight="1"/>
    <row r="62634" ht="15" customHeight="1"/>
    <row r="62635" ht="15" customHeight="1"/>
    <row r="62636" ht="15" customHeight="1"/>
    <row r="62637" ht="15" customHeight="1"/>
    <row r="62638" ht="15" customHeight="1"/>
    <row r="62639" ht="15" customHeight="1"/>
    <row r="62640" ht="15" customHeight="1"/>
    <row r="62641" ht="15" customHeight="1"/>
    <row r="62642" ht="15" customHeight="1"/>
    <row r="62643" ht="15" customHeight="1"/>
    <row r="62644" ht="15" customHeight="1"/>
    <row r="62645" ht="15" customHeight="1"/>
    <row r="62646" ht="15" customHeight="1"/>
    <row r="62647" ht="15" customHeight="1"/>
    <row r="62648" ht="15" customHeight="1"/>
    <row r="62649" ht="15" customHeight="1"/>
    <row r="62650" ht="15" customHeight="1"/>
    <row r="62651" ht="15" customHeight="1"/>
    <row r="62652" ht="15" customHeight="1"/>
    <row r="62653" ht="15" customHeight="1"/>
    <row r="62654" ht="15" customHeight="1"/>
    <row r="62655" ht="15" customHeight="1"/>
    <row r="62656" ht="15" customHeight="1"/>
    <row r="62657" ht="15" customHeight="1"/>
    <row r="62658" ht="15" customHeight="1"/>
    <row r="62659" ht="15" customHeight="1"/>
    <row r="62660" ht="15" customHeight="1"/>
    <row r="62661" ht="15" customHeight="1"/>
    <row r="62662" ht="15" customHeight="1"/>
    <row r="62663" ht="15" customHeight="1"/>
    <row r="62664" ht="15" customHeight="1"/>
    <row r="62665" ht="15" customHeight="1"/>
    <row r="62666" ht="15" customHeight="1"/>
    <row r="62667" ht="15" customHeight="1"/>
    <row r="62668" ht="15" customHeight="1"/>
    <row r="62669" ht="15" customHeight="1"/>
    <row r="62670" ht="15" customHeight="1"/>
    <row r="62671" ht="15" customHeight="1"/>
    <row r="62672" ht="15" customHeight="1"/>
    <row r="62673" ht="15" customHeight="1"/>
    <row r="62674" ht="15" customHeight="1"/>
    <row r="62675" ht="15" customHeight="1"/>
    <row r="62676" ht="15" customHeight="1"/>
    <row r="62677" ht="15" customHeight="1"/>
    <row r="62678" ht="15" customHeight="1"/>
    <row r="62679" ht="15" customHeight="1"/>
    <row r="62680" ht="15" customHeight="1"/>
    <row r="62681" ht="15" customHeight="1"/>
    <row r="62682" ht="15" customHeight="1"/>
    <row r="62683" ht="15" customHeight="1"/>
    <row r="62684" ht="15" customHeight="1"/>
    <row r="62685" ht="15" customHeight="1"/>
    <row r="62686" ht="15" customHeight="1"/>
    <row r="62687" ht="15" customHeight="1"/>
    <row r="62688" ht="15" customHeight="1"/>
    <row r="62689" ht="15" customHeight="1"/>
    <row r="62690" ht="15" customHeight="1"/>
    <row r="62691" ht="15" customHeight="1"/>
    <row r="62692" ht="15" customHeight="1"/>
    <row r="62693" ht="15" customHeight="1"/>
    <row r="62694" ht="15" customHeight="1"/>
    <row r="62695" ht="15" customHeight="1"/>
    <row r="62696" ht="15" customHeight="1"/>
    <row r="62697" ht="15" customHeight="1"/>
    <row r="62698" ht="15" customHeight="1"/>
    <row r="62699" ht="15" customHeight="1"/>
    <row r="62700" ht="15" customHeight="1"/>
    <row r="62701" ht="15" customHeight="1"/>
    <row r="62702" ht="15" customHeight="1"/>
    <row r="62703" ht="15" customHeight="1"/>
    <row r="62704" ht="15" customHeight="1"/>
    <row r="62705" ht="15" customHeight="1"/>
    <row r="62706" ht="15" customHeight="1"/>
    <row r="62707" ht="15" customHeight="1"/>
    <row r="62708" ht="15" customHeight="1"/>
    <row r="62709" ht="15" customHeight="1"/>
    <row r="62710" ht="15" customHeight="1"/>
    <row r="62711" ht="15" customHeight="1"/>
    <row r="62712" ht="15" customHeight="1"/>
    <row r="62713" ht="15" customHeight="1"/>
    <row r="62714" ht="15" customHeight="1"/>
    <row r="62715" ht="15" customHeight="1"/>
    <row r="62716" ht="15" customHeight="1"/>
    <row r="62717" ht="15" customHeight="1"/>
    <row r="62718" ht="15" customHeight="1"/>
    <row r="62719" ht="15" customHeight="1"/>
    <row r="62720" ht="15" customHeight="1"/>
    <row r="62721" ht="15" customHeight="1"/>
    <row r="62722" ht="15" customHeight="1"/>
    <row r="62723" ht="15" customHeight="1"/>
    <row r="62724" ht="15" customHeight="1"/>
    <row r="62725" ht="15" customHeight="1"/>
    <row r="62726" ht="15" customHeight="1"/>
    <row r="62727" ht="15" customHeight="1"/>
    <row r="62728" ht="15" customHeight="1"/>
    <row r="62729" ht="15" customHeight="1"/>
    <row r="62730" ht="15" customHeight="1"/>
    <row r="62731" ht="15" customHeight="1"/>
    <row r="62732" ht="15" customHeight="1"/>
    <row r="62733" ht="15" customHeight="1"/>
    <row r="62734" ht="15" customHeight="1"/>
    <row r="62735" ht="15" customHeight="1"/>
    <row r="62736" ht="15" customHeight="1"/>
    <row r="62737" ht="15" customHeight="1"/>
    <row r="62738" ht="15" customHeight="1"/>
    <row r="62739" ht="15" customHeight="1"/>
    <row r="62740" ht="15" customHeight="1"/>
    <row r="62741" ht="15" customHeight="1"/>
    <row r="62742" ht="15" customHeight="1"/>
    <row r="62743" ht="15" customHeight="1"/>
    <row r="62744" ht="15" customHeight="1"/>
    <row r="62745" ht="15" customHeight="1"/>
    <row r="62746" ht="15" customHeight="1"/>
    <row r="62747" ht="15" customHeight="1"/>
    <row r="62748" ht="15" customHeight="1"/>
    <row r="62749" ht="15" customHeight="1"/>
    <row r="62750" ht="15" customHeight="1"/>
    <row r="62751" ht="15" customHeight="1"/>
    <row r="62752" ht="15" customHeight="1"/>
    <row r="62753" ht="15" customHeight="1"/>
    <row r="62754" ht="15" customHeight="1"/>
    <row r="62755" ht="15" customHeight="1"/>
    <row r="62756" ht="15" customHeight="1"/>
    <row r="62757" ht="15" customHeight="1"/>
    <row r="62758" ht="15" customHeight="1"/>
    <row r="62759" ht="15" customHeight="1"/>
    <row r="62760" ht="15" customHeight="1"/>
    <row r="62761" ht="15" customHeight="1"/>
    <row r="62762" ht="15" customHeight="1"/>
    <row r="62763" ht="15" customHeight="1"/>
    <row r="62764" ht="15" customHeight="1"/>
    <row r="62765" ht="15" customHeight="1"/>
    <row r="62766" ht="15" customHeight="1"/>
    <row r="62767" ht="15" customHeight="1"/>
    <row r="62768" ht="15" customHeight="1"/>
    <row r="62769" ht="15" customHeight="1"/>
    <row r="62770" ht="15" customHeight="1"/>
    <row r="62771" ht="15" customHeight="1"/>
    <row r="62772" ht="15" customHeight="1"/>
    <row r="62773" ht="15" customHeight="1"/>
    <row r="62774" ht="15" customHeight="1"/>
    <row r="62775" ht="15" customHeight="1"/>
    <row r="62776" ht="15" customHeight="1"/>
    <row r="62777" ht="15" customHeight="1"/>
    <row r="62778" ht="15" customHeight="1"/>
    <row r="62779" ht="15" customHeight="1"/>
    <row r="62780" ht="15" customHeight="1"/>
    <row r="62781" ht="15" customHeight="1"/>
    <row r="62782" ht="15" customHeight="1"/>
    <row r="62783" ht="15" customHeight="1"/>
    <row r="62784" ht="15" customHeight="1"/>
    <row r="62785" ht="15" customHeight="1"/>
    <row r="62786" ht="15" customHeight="1"/>
    <row r="62787" ht="15" customHeight="1"/>
    <row r="62788" ht="15" customHeight="1"/>
    <row r="62789" ht="15" customHeight="1"/>
    <row r="62790" ht="15" customHeight="1"/>
    <row r="62791" ht="15" customHeight="1"/>
    <row r="62792" ht="15" customHeight="1"/>
    <row r="62793" ht="15" customHeight="1"/>
    <row r="62794" ht="15" customHeight="1"/>
    <row r="62795" ht="15" customHeight="1"/>
    <row r="62796" ht="15" customHeight="1"/>
    <row r="62797" ht="15" customHeight="1"/>
    <row r="62798" ht="15" customHeight="1"/>
    <row r="62799" ht="15" customHeight="1"/>
    <row r="62800" ht="15" customHeight="1"/>
    <row r="62801" ht="15" customHeight="1"/>
    <row r="62802" ht="15" customHeight="1"/>
    <row r="62803" ht="15" customHeight="1"/>
    <row r="62804" ht="15" customHeight="1"/>
    <row r="62805" ht="15" customHeight="1"/>
    <row r="62806" ht="15" customHeight="1"/>
    <row r="62807" ht="15" customHeight="1"/>
    <row r="62808" ht="15" customHeight="1"/>
    <row r="62809" ht="15" customHeight="1"/>
    <row r="62810" ht="15" customHeight="1"/>
    <row r="62811" ht="15" customHeight="1"/>
    <row r="62812" ht="15" customHeight="1"/>
    <row r="62813" ht="15" customHeight="1"/>
    <row r="62814" ht="15" customHeight="1"/>
    <row r="62815" ht="15" customHeight="1"/>
    <row r="62816" ht="15" customHeight="1"/>
    <row r="62817" ht="15" customHeight="1"/>
    <row r="62818" ht="15" customHeight="1"/>
    <row r="62819" ht="15" customHeight="1"/>
    <row r="62820" ht="15" customHeight="1"/>
    <row r="62821" ht="15" customHeight="1"/>
    <row r="62822" ht="15" customHeight="1"/>
    <row r="62823" ht="15" customHeight="1"/>
    <row r="62824" ht="15" customHeight="1"/>
    <row r="62825" ht="15" customHeight="1"/>
    <row r="62826" ht="15" customHeight="1"/>
    <row r="62827" ht="15" customHeight="1"/>
    <row r="62828" ht="15" customHeight="1"/>
    <row r="62829" ht="15" customHeight="1"/>
    <row r="62830" ht="15" customHeight="1"/>
    <row r="62831" ht="15" customHeight="1"/>
    <row r="62832" ht="15" customHeight="1"/>
    <row r="62833" ht="15" customHeight="1"/>
    <row r="62834" ht="15" customHeight="1"/>
    <row r="62835" ht="15" customHeight="1"/>
    <row r="62836" ht="15" customHeight="1"/>
    <row r="62837" ht="15" customHeight="1"/>
    <row r="62838" ht="15" customHeight="1"/>
    <row r="62839" ht="15" customHeight="1"/>
    <row r="62840" ht="15" customHeight="1"/>
    <row r="62841" ht="15" customHeight="1"/>
    <row r="62842" ht="15" customHeight="1"/>
    <row r="62843" ht="15" customHeight="1"/>
    <row r="62844" ht="15" customHeight="1"/>
    <row r="62845" ht="15" customHeight="1"/>
    <row r="62846" ht="15" customHeight="1"/>
    <row r="62847" ht="15" customHeight="1"/>
    <row r="62848" ht="15" customHeight="1"/>
    <row r="62849" ht="15" customHeight="1"/>
    <row r="62850" ht="15" customHeight="1"/>
    <row r="62851" ht="15" customHeight="1"/>
    <row r="62852" ht="15" customHeight="1"/>
    <row r="62853" ht="15" customHeight="1"/>
    <row r="62854" ht="15" customHeight="1"/>
    <row r="62855" ht="15" customHeight="1"/>
    <row r="62856" ht="15" customHeight="1"/>
    <row r="62857" ht="15" customHeight="1"/>
    <row r="62858" ht="15" customHeight="1"/>
    <row r="62859" ht="15" customHeight="1"/>
    <row r="62860" ht="15" customHeight="1"/>
    <row r="62861" ht="15" customHeight="1"/>
    <row r="62862" ht="15" customHeight="1"/>
    <row r="62863" ht="15" customHeight="1"/>
    <row r="62864" ht="15" customHeight="1"/>
    <row r="62865" ht="15" customHeight="1"/>
    <row r="62866" ht="15" customHeight="1"/>
    <row r="62867" ht="15" customHeight="1"/>
    <row r="62868" ht="15" customHeight="1"/>
    <row r="62869" ht="15" customHeight="1"/>
    <row r="62870" ht="15" customHeight="1"/>
    <row r="62871" ht="15" customHeight="1"/>
    <row r="62872" ht="15" customHeight="1"/>
    <row r="62873" ht="15" customHeight="1"/>
    <row r="62874" ht="15" customHeight="1"/>
    <row r="62875" ht="15" customHeight="1"/>
    <row r="62876" ht="15" customHeight="1"/>
    <row r="62877" ht="15" customHeight="1"/>
    <row r="62878" ht="15" customHeight="1"/>
    <row r="62879" ht="15" customHeight="1"/>
    <row r="62880" ht="15" customHeight="1"/>
    <row r="62881" ht="15" customHeight="1"/>
    <row r="62882" ht="15" customHeight="1"/>
    <row r="62883" ht="15" customHeight="1"/>
    <row r="62884" ht="15" customHeight="1"/>
    <row r="62885" ht="15" customHeight="1"/>
    <row r="62886" ht="15" customHeight="1"/>
    <row r="62887" ht="15" customHeight="1"/>
    <row r="62888" ht="15" customHeight="1"/>
    <row r="62889" ht="15" customHeight="1"/>
    <row r="62890" ht="15" customHeight="1"/>
    <row r="62891" ht="15" customHeight="1"/>
    <row r="62892" ht="15" customHeight="1"/>
    <row r="62893" ht="15" customHeight="1"/>
    <row r="62894" ht="15" customHeight="1"/>
    <row r="62895" ht="15" customHeight="1"/>
    <row r="62896" ht="15" customHeight="1"/>
    <row r="62897" ht="15" customHeight="1"/>
    <row r="62898" ht="15" customHeight="1"/>
    <row r="62899" ht="15" customHeight="1"/>
    <row r="62900" ht="15" customHeight="1"/>
    <row r="62901" ht="15" customHeight="1"/>
    <row r="62902" ht="15" customHeight="1"/>
    <row r="62903" ht="15" customHeight="1"/>
    <row r="62904" ht="15" customHeight="1"/>
    <row r="62905" ht="15" customHeight="1"/>
    <row r="62906" ht="15" customHeight="1"/>
    <row r="62907" ht="15" customHeight="1"/>
    <row r="62908" ht="15" customHeight="1"/>
    <row r="62909" ht="15" customHeight="1"/>
    <row r="62910" ht="15" customHeight="1"/>
    <row r="62911" ht="15" customHeight="1"/>
    <row r="62912" ht="15" customHeight="1"/>
    <row r="62913" ht="15" customHeight="1"/>
    <row r="62914" ht="15" customHeight="1"/>
    <row r="62915" ht="15" customHeight="1"/>
    <row r="62916" ht="15" customHeight="1"/>
    <row r="62917" ht="15" customHeight="1"/>
    <row r="62918" ht="15" customHeight="1"/>
    <row r="62919" ht="15" customHeight="1"/>
    <row r="62920" ht="15" customHeight="1"/>
    <row r="62921" ht="15" customHeight="1"/>
    <row r="62922" ht="15" customHeight="1"/>
    <row r="62923" ht="15" customHeight="1"/>
    <row r="62924" ht="15" customHeight="1"/>
    <row r="62925" ht="15" customHeight="1"/>
    <row r="62926" ht="15" customHeight="1"/>
    <row r="62927" ht="15" customHeight="1"/>
    <row r="62928" ht="15" customHeight="1"/>
    <row r="62929" ht="15" customHeight="1"/>
    <row r="62930" ht="15" customHeight="1"/>
    <row r="62931" ht="15" customHeight="1"/>
    <row r="62932" ht="15" customHeight="1"/>
    <row r="62933" ht="15" customHeight="1"/>
    <row r="62934" ht="15" customHeight="1"/>
    <row r="62935" ht="15" customHeight="1"/>
    <row r="62936" ht="15" customHeight="1"/>
    <row r="62937" ht="15" customHeight="1"/>
    <row r="62938" ht="15" customHeight="1"/>
    <row r="62939" ht="15" customHeight="1"/>
    <row r="62940" ht="15" customHeight="1"/>
    <row r="62941" ht="15" customHeight="1"/>
    <row r="62942" ht="15" customHeight="1"/>
    <row r="62943" ht="15" customHeight="1"/>
    <row r="62944" ht="15" customHeight="1"/>
    <row r="62945" ht="15" customHeight="1"/>
    <row r="62946" ht="15" customHeight="1"/>
    <row r="62947" ht="15" customHeight="1"/>
    <row r="62948" ht="15" customHeight="1"/>
    <row r="62949" ht="15" customHeight="1"/>
    <row r="62950" ht="15" customHeight="1"/>
    <row r="62951" ht="15" customHeight="1"/>
    <row r="62952" ht="15" customHeight="1"/>
    <row r="62953" ht="15" customHeight="1"/>
    <row r="62954" ht="15" customHeight="1"/>
    <row r="62955" ht="15" customHeight="1"/>
    <row r="62956" ht="15" customHeight="1"/>
    <row r="62957" ht="15" customHeight="1"/>
    <row r="62958" ht="15" customHeight="1"/>
    <row r="62959" ht="15" customHeight="1"/>
    <row r="62960" ht="15" customHeight="1"/>
    <row r="62961" ht="15" customHeight="1"/>
    <row r="62962" ht="15" customHeight="1"/>
    <row r="62963" ht="15" customHeight="1"/>
    <row r="62964" ht="15" customHeight="1"/>
    <row r="62965" ht="15" customHeight="1"/>
    <row r="62966" ht="15" customHeight="1"/>
    <row r="62967" ht="15" customHeight="1"/>
    <row r="62968" ht="15" customHeight="1"/>
    <row r="62969" ht="15" customHeight="1"/>
    <row r="62970" ht="15" customHeight="1"/>
    <row r="62971" ht="15" customHeight="1"/>
    <row r="62972" ht="15" customHeight="1"/>
    <row r="62973" ht="15" customHeight="1"/>
    <row r="62974" ht="15" customHeight="1"/>
    <row r="62975" ht="15" customHeight="1"/>
    <row r="62976" ht="15" customHeight="1"/>
    <row r="62977" ht="15" customHeight="1"/>
    <row r="62978" ht="15" customHeight="1"/>
    <row r="62979" ht="15" customHeight="1"/>
    <row r="62980" ht="15" customHeight="1"/>
    <row r="62981" ht="15" customHeight="1"/>
    <row r="62982" ht="15" customHeight="1"/>
    <row r="62983" ht="15" customHeight="1"/>
    <row r="62984" ht="15" customHeight="1"/>
    <row r="62985" ht="15" customHeight="1"/>
    <row r="62986" ht="15" customHeight="1"/>
    <row r="62987" ht="15" customHeight="1"/>
    <row r="62988" ht="15" customHeight="1"/>
    <row r="62989" ht="15" customHeight="1"/>
    <row r="62990" ht="15" customHeight="1"/>
    <row r="62991" ht="15" customHeight="1"/>
    <row r="62992" ht="15" customHeight="1"/>
    <row r="62993" ht="15" customHeight="1"/>
    <row r="62994" ht="15" customHeight="1"/>
    <row r="62995" ht="15" customHeight="1"/>
    <row r="62996" ht="15" customHeight="1"/>
    <row r="62997" ht="15" customHeight="1"/>
    <row r="62998" ht="15" customHeight="1"/>
    <row r="62999" ht="15" customHeight="1"/>
    <row r="63000" ht="15" customHeight="1"/>
    <row r="63001" ht="15" customHeight="1"/>
    <row r="63002" ht="15" customHeight="1"/>
    <row r="63003" ht="15" customHeight="1"/>
    <row r="63004" ht="15" customHeight="1"/>
    <row r="63005" ht="15" customHeight="1"/>
    <row r="63006" ht="15" customHeight="1"/>
    <row r="63007" ht="15" customHeight="1"/>
    <row r="63008" ht="15" customHeight="1"/>
    <row r="63009" ht="15" customHeight="1"/>
    <row r="63010" ht="15" customHeight="1"/>
    <row r="63011" ht="15" customHeight="1"/>
    <row r="63012" ht="15" customHeight="1"/>
    <row r="63013" ht="15" customHeight="1"/>
    <row r="63014" ht="15" customHeight="1"/>
    <row r="63015" ht="15" customHeight="1"/>
    <row r="63016" ht="15" customHeight="1"/>
    <row r="63017" ht="15" customHeight="1"/>
    <row r="63018" ht="15" customHeight="1"/>
    <row r="63019" ht="15" customHeight="1"/>
    <row r="63020" ht="15" customHeight="1"/>
    <row r="63021" ht="15" customHeight="1"/>
    <row r="63022" ht="15" customHeight="1"/>
    <row r="63023" ht="15" customHeight="1"/>
    <row r="63024" ht="15" customHeight="1"/>
    <row r="63025" ht="15" customHeight="1"/>
    <row r="63026" ht="15" customHeight="1"/>
    <row r="63027" ht="15" customHeight="1"/>
    <row r="63028" ht="15" customHeight="1"/>
    <row r="63029" ht="15" customHeight="1"/>
    <row r="63030" ht="15" customHeight="1"/>
    <row r="63031" ht="15" customHeight="1"/>
    <row r="63032" ht="15" customHeight="1"/>
    <row r="63033" ht="15" customHeight="1"/>
    <row r="63034" ht="15" customHeight="1"/>
    <row r="63035" ht="15" customHeight="1"/>
    <row r="63036" ht="15" customHeight="1"/>
    <row r="63037" ht="15" customHeight="1"/>
    <row r="63038" ht="15" customHeight="1"/>
    <row r="63039" ht="15" customHeight="1"/>
    <row r="63040" ht="15" customHeight="1"/>
    <row r="63041" ht="15" customHeight="1"/>
    <row r="63042" ht="15" customHeight="1"/>
    <row r="63043" ht="15" customHeight="1"/>
    <row r="63044" ht="15" customHeight="1"/>
    <row r="63045" ht="15" customHeight="1"/>
    <row r="63046" ht="15" customHeight="1"/>
    <row r="63047" ht="15" customHeight="1"/>
    <row r="63048" ht="15" customHeight="1"/>
    <row r="63049" ht="15" customHeight="1"/>
    <row r="63050" ht="15" customHeight="1"/>
    <row r="63051" ht="15" customHeight="1"/>
    <row r="63052" ht="15" customHeight="1"/>
    <row r="63053" ht="15" customHeight="1"/>
    <row r="63054" ht="15" customHeight="1"/>
    <row r="63055" ht="15" customHeight="1"/>
    <row r="63056" ht="15" customHeight="1"/>
    <row r="63057" ht="15" customHeight="1"/>
    <row r="63058" ht="15" customHeight="1"/>
    <row r="63059" ht="15" customHeight="1"/>
    <row r="63060" ht="15" customHeight="1"/>
    <row r="63061" ht="15" customHeight="1"/>
    <row r="63062" ht="15" customHeight="1"/>
    <row r="63063" ht="15" customHeight="1"/>
    <row r="63064" ht="15" customHeight="1"/>
    <row r="63065" ht="15" customHeight="1"/>
    <row r="63066" ht="15" customHeight="1"/>
    <row r="63067" ht="15" customHeight="1"/>
    <row r="63068" ht="15" customHeight="1"/>
    <row r="63069" ht="15" customHeight="1"/>
    <row r="63070" ht="15" customHeight="1"/>
    <row r="63071" ht="15" customHeight="1"/>
    <row r="63072" ht="15" customHeight="1"/>
    <row r="63073" ht="15" customHeight="1"/>
    <row r="63074" ht="15" customHeight="1"/>
    <row r="63075" ht="15" customHeight="1"/>
    <row r="63076" ht="15" customHeight="1"/>
    <row r="63077" ht="15" customHeight="1"/>
    <row r="63078" ht="15" customHeight="1"/>
    <row r="63079" ht="15" customHeight="1"/>
    <row r="63080" ht="15" customHeight="1"/>
    <row r="63081" ht="15" customHeight="1"/>
    <row r="63082" ht="15" customHeight="1"/>
    <row r="63083" ht="15" customHeight="1"/>
    <row r="63084" ht="15" customHeight="1"/>
    <row r="63085" ht="15" customHeight="1"/>
    <row r="63086" ht="15" customHeight="1"/>
    <row r="63087" ht="15" customHeight="1"/>
    <row r="63088" ht="15" customHeight="1"/>
    <row r="63089" ht="15" customHeight="1"/>
    <row r="63090" ht="15" customHeight="1"/>
    <row r="63091" ht="15" customHeight="1"/>
    <row r="63092" ht="15" customHeight="1"/>
    <row r="63093" ht="15" customHeight="1"/>
    <row r="63094" ht="15" customHeight="1"/>
    <row r="63095" ht="15" customHeight="1"/>
    <row r="63096" ht="15" customHeight="1"/>
    <row r="63097" ht="15" customHeight="1"/>
    <row r="63098" ht="15" customHeight="1"/>
    <row r="63099" ht="15" customHeight="1"/>
    <row r="63100" ht="15" customHeight="1"/>
    <row r="63101" ht="15" customHeight="1"/>
    <row r="63102" ht="15" customHeight="1"/>
    <row r="63103" ht="15" customHeight="1"/>
    <row r="63104" ht="15" customHeight="1"/>
    <row r="63105" ht="15" customHeight="1"/>
    <row r="63106" ht="15" customHeight="1"/>
    <row r="63107" ht="15" customHeight="1"/>
    <row r="63108" ht="15" customHeight="1"/>
    <row r="63109" ht="15" customHeight="1"/>
    <row r="63110" ht="15" customHeight="1"/>
    <row r="63111" ht="15" customHeight="1"/>
    <row r="63112" ht="15" customHeight="1"/>
    <row r="63113" ht="15" customHeight="1"/>
    <row r="63114" ht="15" customHeight="1"/>
    <row r="63115" ht="15" customHeight="1"/>
    <row r="63116" ht="15" customHeight="1"/>
    <row r="63117" ht="15" customHeight="1"/>
    <row r="63118" ht="15" customHeight="1"/>
    <row r="63119" ht="15" customHeight="1"/>
    <row r="63120" ht="15" customHeight="1"/>
    <row r="63121" ht="15" customHeight="1"/>
    <row r="63122" ht="15" customHeight="1"/>
    <row r="63123" ht="15" customHeight="1"/>
    <row r="63124" ht="15" customHeight="1"/>
    <row r="63125" ht="15" customHeight="1"/>
    <row r="63126" ht="15" customHeight="1"/>
    <row r="63127" ht="15" customHeight="1"/>
    <row r="63128" ht="15" customHeight="1"/>
    <row r="63129" ht="15" customHeight="1"/>
    <row r="63130" ht="15" customHeight="1"/>
    <row r="63131" ht="15" customHeight="1"/>
    <row r="63132" ht="15" customHeight="1"/>
    <row r="63133" ht="15" customHeight="1"/>
    <row r="63134" ht="15" customHeight="1"/>
    <row r="63135" ht="15" customHeight="1"/>
    <row r="63136" ht="15" customHeight="1"/>
    <row r="63137" ht="15" customHeight="1"/>
    <row r="63138" ht="15" customHeight="1"/>
    <row r="63139" ht="15" customHeight="1"/>
    <row r="63140" ht="15" customHeight="1"/>
    <row r="63141" ht="15" customHeight="1"/>
    <row r="63142" ht="15" customHeight="1"/>
    <row r="63143" ht="15" customHeight="1"/>
    <row r="63144" ht="15" customHeight="1"/>
    <row r="63145" ht="15" customHeight="1"/>
    <row r="63146" ht="15" customHeight="1"/>
    <row r="63147" ht="15" customHeight="1"/>
    <row r="63148" ht="15" customHeight="1"/>
    <row r="63149" ht="15" customHeight="1"/>
    <row r="63150" ht="15" customHeight="1"/>
    <row r="63151" ht="15" customHeight="1"/>
    <row r="63152" ht="15" customHeight="1"/>
    <row r="63153" ht="15" customHeight="1"/>
    <row r="63154" ht="15" customHeight="1"/>
    <row r="63155" ht="15" customHeight="1"/>
    <row r="63156" ht="15" customHeight="1"/>
    <row r="63157" ht="15" customHeight="1"/>
    <row r="63158" ht="15" customHeight="1"/>
    <row r="63159" ht="15" customHeight="1"/>
    <row r="63160" ht="15" customHeight="1"/>
    <row r="63161" ht="15" customHeight="1"/>
    <row r="63162" ht="15" customHeight="1"/>
    <row r="63163" ht="15" customHeight="1"/>
    <row r="63164" ht="15" customHeight="1"/>
    <row r="63165" ht="15" customHeight="1"/>
    <row r="63166" ht="15" customHeight="1"/>
    <row r="63167" ht="15" customHeight="1"/>
    <row r="63168" ht="15" customHeight="1"/>
    <row r="63169" ht="15" customHeight="1"/>
    <row r="63170" ht="15" customHeight="1"/>
    <row r="63171" ht="15" customHeight="1"/>
    <row r="63172" ht="15" customHeight="1"/>
    <row r="63173" ht="15" customHeight="1"/>
    <row r="63174" ht="15" customHeight="1"/>
    <row r="63175" ht="15" customHeight="1"/>
    <row r="63176" ht="15" customHeight="1"/>
    <row r="63177" ht="15" customHeight="1"/>
    <row r="63178" ht="15" customHeight="1"/>
    <row r="63179" ht="15" customHeight="1"/>
    <row r="63180" ht="15" customHeight="1"/>
    <row r="63181" ht="15" customHeight="1"/>
    <row r="63182" ht="15" customHeight="1"/>
    <row r="63183" ht="15" customHeight="1"/>
    <row r="63184" ht="15" customHeight="1"/>
    <row r="63185" ht="15" customHeight="1"/>
    <row r="63186" ht="15" customHeight="1"/>
    <row r="63187" ht="15" customHeight="1"/>
    <row r="63188" ht="15" customHeight="1"/>
    <row r="63189" ht="15" customHeight="1"/>
    <row r="63190" ht="15" customHeight="1"/>
    <row r="63191" ht="15" customHeight="1"/>
    <row r="63192" ht="15" customHeight="1"/>
    <row r="63193" ht="15" customHeight="1"/>
    <row r="63194" ht="15" customHeight="1"/>
    <row r="63195" ht="15" customHeight="1"/>
    <row r="63196" ht="15" customHeight="1"/>
    <row r="63197" ht="15" customHeight="1"/>
    <row r="63198" ht="15" customHeight="1"/>
    <row r="63199" ht="15" customHeight="1"/>
    <row r="63200" ht="15" customHeight="1"/>
    <row r="63201" ht="15" customHeight="1"/>
    <row r="63202" ht="15" customHeight="1"/>
    <row r="63203" ht="15" customHeight="1"/>
    <row r="63204" ht="15" customHeight="1"/>
    <row r="63205" ht="15" customHeight="1"/>
    <row r="63206" ht="15" customHeight="1"/>
    <row r="63207" ht="15" customHeight="1"/>
    <row r="63208" ht="15" customHeight="1"/>
    <row r="63209" ht="15" customHeight="1"/>
    <row r="63210" ht="15" customHeight="1"/>
    <row r="63211" ht="15" customHeight="1"/>
    <row r="63212" ht="15" customHeight="1"/>
    <row r="63213" ht="15" customHeight="1"/>
    <row r="63214" ht="15" customHeight="1"/>
    <row r="63215" ht="15" customHeight="1"/>
    <row r="63216" ht="15" customHeight="1"/>
    <row r="63217" ht="15" customHeight="1"/>
    <row r="63218" ht="15" customHeight="1"/>
    <row r="63219" ht="15" customHeight="1"/>
    <row r="63220" ht="15" customHeight="1"/>
    <row r="63221" ht="15" customHeight="1"/>
    <row r="63222" ht="15" customHeight="1"/>
    <row r="63223" ht="15" customHeight="1"/>
    <row r="63224" ht="15" customHeight="1"/>
    <row r="63225" ht="15" customHeight="1"/>
    <row r="63226" ht="15" customHeight="1"/>
    <row r="63227" ht="15" customHeight="1"/>
    <row r="63228" ht="15" customHeight="1"/>
    <row r="63229" ht="15" customHeight="1"/>
    <row r="63230" ht="15" customHeight="1"/>
    <row r="63231" ht="15" customHeight="1"/>
    <row r="63232" ht="15" customHeight="1"/>
    <row r="63233" ht="15" customHeight="1"/>
    <row r="63234" ht="15" customHeight="1"/>
    <row r="63235" ht="15" customHeight="1"/>
    <row r="63236" ht="15" customHeight="1"/>
    <row r="63237" ht="15" customHeight="1"/>
    <row r="63238" ht="15" customHeight="1"/>
    <row r="63239" ht="15" customHeight="1"/>
    <row r="63240" ht="15" customHeight="1"/>
    <row r="63241" ht="15" customHeight="1"/>
    <row r="63242" ht="15" customHeight="1"/>
    <row r="63243" ht="15" customHeight="1"/>
    <row r="63244" ht="15" customHeight="1"/>
    <row r="63245" ht="15" customHeight="1"/>
    <row r="63246" ht="15" customHeight="1"/>
    <row r="63247" ht="15" customHeight="1"/>
    <row r="63248" ht="15" customHeight="1"/>
    <row r="63249" ht="15" customHeight="1"/>
    <row r="63250" ht="15" customHeight="1"/>
    <row r="63251" ht="15" customHeight="1"/>
    <row r="63252" ht="15" customHeight="1"/>
    <row r="63253" ht="15" customHeight="1"/>
    <row r="63254" ht="15" customHeight="1"/>
    <row r="63255" ht="15" customHeight="1"/>
    <row r="63256" ht="15" customHeight="1"/>
    <row r="63257" ht="15" customHeight="1"/>
    <row r="63258" ht="15" customHeight="1"/>
    <row r="63259" ht="15" customHeight="1"/>
    <row r="63260" ht="15" customHeight="1"/>
    <row r="63261" ht="15" customHeight="1"/>
    <row r="63262" ht="15" customHeight="1"/>
    <row r="63263" ht="15" customHeight="1"/>
    <row r="63264" ht="15" customHeight="1"/>
    <row r="63265" ht="15" customHeight="1"/>
    <row r="63266" ht="15" customHeight="1"/>
    <row r="63267" ht="15" customHeight="1"/>
    <row r="63268" ht="15" customHeight="1"/>
    <row r="63269" ht="15" customHeight="1"/>
    <row r="63270" ht="15" customHeight="1"/>
    <row r="63271" ht="15" customHeight="1"/>
    <row r="63272" ht="15" customHeight="1"/>
    <row r="63273" ht="15" customHeight="1"/>
    <row r="63274" ht="15" customHeight="1"/>
    <row r="63275" ht="15" customHeight="1"/>
    <row r="63276" ht="15" customHeight="1"/>
    <row r="63277" ht="15" customHeight="1"/>
    <row r="63278" ht="15" customHeight="1"/>
    <row r="63279" ht="15" customHeight="1"/>
    <row r="63280" ht="15" customHeight="1"/>
    <row r="63281" ht="15" customHeight="1"/>
    <row r="63282" ht="15" customHeight="1"/>
    <row r="63283" ht="15" customHeight="1"/>
    <row r="63284" ht="15" customHeight="1"/>
    <row r="63285" ht="15" customHeight="1"/>
    <row r="63286" ht="15" customHeight="1"/>
    <row r="63287" ht="15" customHeight="1"/>
    <row r="63288" ht="15" customHeight="1"/>
    <row r="63289" ht="15" customHeight="1"/>
    <row r="63290" ht="15" customHeight="1"/>
    <row r="63291" ht="15" customHeight="1"/>
    <row r="63292" ht="15" customHeight="1"/>
    <row r="63293" ht="15" customHeight="1"/>
    <row r="63294" ht="15" customHeight="1"/>
    <row r="63295" ht="15" customHeight="1"/>
    <row r="63296" ht="15" customHeight="1"/>
    <row r="63297" ht="15" customHeight="1"/>
    <row r="63298" ht="15" customHeight="1"/>
    <row r="63299" ht="15" customHeight="1"/>
    <row r="63300" ht="15" customHeight="1"/>
    <row r="63301" ht="15" customHeight="1"/>
    <row r="63302" ht="15" customHeight="1"/>
    <row r="63303" ht="15" customHeight="1"/>
    <row r="63304" ht="15" customHeight="1"/>
    <row r="63305" ht="15" customHeight="1"/>
    <row r="63306" ht="15" customHeight="1"/>
    <row r="63307" ht="15" customHeight="1"/>
    <row r="63308" ht="15" customHeight="1"/>
    <row r="63309" ht="15" customHeight="1"/>
    <row r="63310" ht="15" customHeight="1"/>
    <row r="63311" ht="15" customHeight="1"/>
    <row r="63312" ht="15" customHeight="1"/>
    <row r="63313" ht="15" customHeight="1"/>
    <row r="63314" ht="15" customHeight="1"/>
    <row r="63315" ht="15" customHeight="1"/>
    <row r="63316" ht="15" customHeight="1"/>
    <row r="63317" ht="15" customHeight="1"/>
    <row r="63318" ht="15" customHeight="1"/>
    <row r="63319" ht="15" customHeight="1"/>
    <row r="63320" ht="15" customHeight="1"/>
    <row r="63321" ht="15" customHeight="1"/>
    <row r="63322" ht="15" customHeight="1"/>
    <row r="63323" ht="15" customHeight="1"/>
    <row r="63324" ht="15" customHeight="1"/>
    <row r="63325" ht="15" customHeight="1"/>
    <row r="63326" ht="15" customHeight="1"/>
    <row r="63327" ht="15" customHeight="1"/>
    <row r="63328" ht="15" customHeight="1"/>
    <row r="63329" ht="15" customHeight="1"/>
    <row r="63330" ht="15" customHeight="1"/>
    <row r="63331" ht="15" customHeight="1"/>
    <row r="63332" ht="15" customHeight="1"/>
    <row r="63333" ht="15" customHeight="1"/>
    <row r="63334" ht="15" customHeight="1"/>
    <row r="63335" ht="15" customHeight="1"/>
    <row r="63336" ht="15" customHeight="1"/>
    <row r="63337" ht="15" customHeight="1"/>
    <row r="63338" ht="15" customHeight="1"/>
    <row r="63339" ht="15" customHeight="1"/>
    <row r="63340" ht="15" customHeight="1"/>
    <row r="63341" ht="15" customHeight="1"/>
    <row r="63342" ht="15" customHeight="1"/>
    <row r="63343" ht="15" customHeight="1"/>
    <row r="63344" ht="15" customHeight="1"/>
    <row r="63345" ht="15" customHeight="1"/>
    <row r="63346" ht="15" customHeight="1"/>
    <row r="63347" ht="15" customHeight="1"/>
    <row r="63348" ht="15" customHeight="1"/>
    <row r="63349" ht="15" customHeight="1"/>
    <row r="63350" ht="15" customHeight="1"/>
    <row r="63351" ht="15" customHeight="1"/>
    <row r="63352" ht="15" customHeight="1"/>
    <row r="63353" ht="15" customHeight="1"/>
    <row r="63354" ht="15" customHeight="1"/>
    <row r="63355" ht="15" customHeight="1"/>
    <row r="63356" ht="15" customHeight="1"/>
    <row r="63357" ht="15" customHeight="1"/>
    <row r="63358" ht="15" customHeight="1"/>
    <row r="63359" ht="15" customHeight="1"/>
    <row r="63360" ht="15" customHeight="1"/>
    <row r="63361" ht="15" customHeight="1"/>
    <row r="63362" ht="15" customHeight="1"/>
    <row r="63363" ht="15" customHeight="1"/>
    <row r="63364" ht="15" customHeight="1"/>
    <row r="63365" ht="15" customHeight="1"/>
    <row r="63366" ht="15" customHeight="1"/>
    <row r="63367" ht="15" customHeight="1"/>
    <row r="63368" ht="15" customHeight="1"/>
    <row r="63369" ht="15" customHeight="1"/>
    <row r="63370" ht="15" customHeight="1"/>
    <row r="63371" ht="15" customHeight="1"/>
    <row r="63372" ht="15" customHeight="1"/>
    <row r="63373" ht="15" customHeight="1"/>
    <row r="63374" ht="15" customHeight="1"/>
    <row r="63375" ht="15" customHeight="1"/>
    <row r="63376" ht="15" customHeight="1"/>
    <row r="63377" ht="15" customHeight="1"/>
    <row r="63378" ht="15" customHeight="1"/>
    <row r="63379" ht="15" customHeight="1"/>
    <row r="63380" ht="15" customHeight="1"/>
    <row r="63381" ht="15" customHeight="1"/>
    <row r="63382" ht="15" customHeight="1"/>
    <row r="63383" ht="15" customHeight="1"/>
    <row r="63384" ht="15" customHeight="1"/>
    <row r="63385" ht="15" customHeight="1"/>
    <row r="63386" ht="15" customHeight="1"/>
    <row r="63387" ht="15" customHeight="1"/>
    <row r="63388" ht="15" customHeight="1"/>
    <row r="63389" ht="15" customHeight="1"/>
    <row r="63390" ht="15" customHeight="1"/>
    <row r="63391" ht="15" customHeight="1"/>
    <row r="63392" ht="15" customHeight="1"/>
    <row r="63393" ht="15" customHeight="1"/>
    <row r="63394" ht="15" customHeight="1"/>
    <row r="63395" ht="15" customHeight="1"/>
    <row r="63396" ht="15" customHeight="1"/>
    <row r="63397" ht="15" customHeight="1"/>
    <row r="63398" ht="15" customHeight="1"/>
    <row r="63399" ht="15" customHeight="1"/>
    <row r="63400" ht="15" customHeight="1"/>
    <row r="63401" ht="15" customHeight="1"/>
    <row r="63402" ht="15" customHeight="1"/>
    <row r="63403" ht="15" customHeight="1"/>
    <row r="63404" ht="15" customHeight="1"/>
    <row r="63405" ht="15" customHeight="1"/>
    <row r="63406" ht="15" customHeight="1"/>
    <row r="63407" ht="15" customHeight="1"/>
    <row r="63408" ht="15" customHeight="1"/>
    <row r="63409" ht="15" customHeight="1"/>
    <row r="63410" ht="15" customHeight="1"/>
    <row r="63411" ht="15" customHeight="1"/>
    <row r="63412" ht="15" customHeight="1"/>
    <row r="63413" ht="15" customHeight="1"/>
    <row r="63414" ht="15" customHeight="1"/>
    <row r="63415" ht="15" customHeight="1"/>
    <row r="63416" ht="15" customHeight="1"/>
    <row r="63417" ht="15" customHeight="1"/>
    <row r="63418" ht="15" customHeight="1"/>
    <row r="63419" ht="15" customHeight="1"/>
    <row r="63420" ht="15" customHeight="1"/>
    <row r="63421" ht="15" customHeight="1"/>
    <row r="63422" ht="15" customHeight="1"/>
    <row r="63423" ht="15" customHeight="1"/>
    <row r="63424" ht="15" customHeight="1"/>
    <row r="63425" ht="15" customHeight="1"/>
    <row r="63426" ht="15" customHeight="1"/>
    <row r="63427" ht="15" customHeight="1"/>
    <row r="63428" ht="15" customHeight="1"/>
    <row r="63429" ht="15" customHeight="1"/>
    <row r="63430" ht="15" customHeight="1"/>
    <row r="63431" ht="15" customHeight="1"/>
    <row r="63432" ht="15" customHeight="1"/>
    <row r="63433" ht="15" customHeight="1"/>
    <row r="63434" ht="15" customHeight="1"/>
    <row r="63435" ht="15" customHeight="1"/>
    <row r="63436" ht="15" customHeight="1"/>
    <row r="63437" ht="15" customHeight="1"/>
    <row r="63438" ht="15" customHeight="1"/>
    <row r="63439" ht="15" customHeight="1"/>
    <row r="63440" ht="15" customHeight="1"/>
    <row r="63441" ht="15" customHeight="1"/>
    <row r="63442" ht="15" customHeight="1"/>
    <row r="63443" ht="15" customHeight="1"/>
    <row r="63444" ht="15" customHeight="1"/>
    <row r="63445" ht="15" customHeight="1"/>
    <row r="63446" ht="15" customHeight="1"/>
    <row r="63447" ht="15" customHeight="1"/>
    <row r="63448" ht="15" customHeight="1"/>
    <row r="63449" ht="15" customHeight="1"/>
    <row r="63450" ht="15" customHeight="1"/>
    <row r="63451" ht="15" customHeight="1"/>
    <row r="63452" ht="15" customHeight="1"/>
    <row r="63453" ht="15" customHeight="1"/>
    <row r="63454" ht="15" customHeight="1"/>
    <row r="63455" ht="15" customHeight="1"/>
    <row r="63456" ht="15" customHeight="1"/>
    <row r="63457" ht="15" customHeight="1"/>
    <row r="63458" ht="15" customHeight="1"/>
    <row r="63459" ht="15" customHeight="1"/>
    <row r="63460" ht="15" customHeight="1"/>
    <row r="63461" ht="15" customHeight="1"/>
    <row r="63462" ht="15" customHeight="1"/>
    <row r="63463" ht="15" customHeight="1"/>
    <row r="63464" ht="15" customHeight="1"/>
    <row r="63465" ht="15" customHeight="1"/>
    <row r="63466" ht="15" customHeight="1"/>
    <row r="63467" ht="15" customHeight="1"/>
    <row r="63468" ht="15" customHeight="1"/>
    <row r="63469" ht="15" customHeight="1"/>
    <row r="63470" ht="15" customHeight="1"/>
    <row r="63471" ht="15" customHeight="1"/>
    <row r="63472" ht="15" customHeight="1"/>
    <row r="63473" ht="15" customHeight="1"/>
    <row r="63474" ht="15" customHeight="1"/>
    <row r="63475" ht="15" customHeight="1"/>
    <row r="63476" ht="15" customHeight="1"/>
    <row r="63477" ht="15" customHeight="1"/>
    <row r="63478" ht="15" customHeight="1"/>
    <row r="63479" ht="15" customHeight="1"/>
    <row r="63480" ht="15" customHeight="1"/>
    <row r="63481" ht="15" customHeight="1"/>
    <row r="63482" ht="15" customHeight="1"/>
    <row r="63483" ht="15" customHeight="1"/>
    <row r="63484" ht="15" customHeight="1"/>
    <row r="63485" ht="15" customHeight="1"/>
    <row r="63486" ht="15" customHeight="1"/>
    <row r="63487" ht="15" customHeight="1"/>
    <row r="63488" ht="15" customHeight="1"/>
    <row r="63489" ht="15" customHeight="1"/>
    <row r="63490" ht="15" customHeight="1"/>
    <row r="63491" ht="15" customHeight="1"/>
    <row r="63492" ht="15" customHeight="1"/>
    <row r="63493" ht="15" customHeight="1"/>
    <row r="63494" ht="15" customHeight="1"/>
    <row r="63495" ht="15" customHeight="1"/>
    <row r="63496" ht="15" customHeight="1"/>
    <row r="63497" ht="15" customHeight="1"/>
    <row r="63498" ht="15" customHeight="1"/>
    <row r="63499" ht="15" customHeight="1"/>
    <row r="63500" ht="15" customHeight="1"/>
    <row r="63501" ht="15" customHeight="1"/>
    <row r="63502" ht="15" customHeight="1"/>
    <row r="63503" ht="15" customHeight="1"/>
    <row r="63504" ht="15" customHeight="1"/>
    <row r="63505" ht="15" customHeight="1"/>
    <row r="63506" ht="15" customHeight="1"/>
    <row r="63507" ht="15" customHeight="1"/>
    <row r="63508" ht="15" customHeight="1"/>
    <row r="63509" ht="15" customHeight="1"/>
    <row r="63510" ht="15" customHeight="1"/>
    <row r="63511" ht="15" customHeight="1"/>
    <row r="63512" ht="15" customHeight="1"/>
    <row r="63513" ht="15" customHeight="1"/>
    <row r="63514" ht="15" customHeight="1"/>
    <row r="63515" ht="15" customHeight="1"/>
    <row r="63516" ht="15" customHeight="1"/>
    <row r="63517" ht="15" customHeight="1"/>
    <row r="63518" ht="15" customHeight="1"/>
    <row r="63519" ht="15" customHeight="1"/>
    <row r="63520" ht="15" customHeight="1"/>
    <row r="63521" ht="15" customHeight="1"/>
    <row r="63522" ht="15" customHeight="1"/>
    <row r="63523" ht="15" customHeight="1"/>
    <row r="63524" ht="15" customHeight="1"/>
    <row r="63525" ht="15" customHeight="1"/>
    <row r="63526" ht="15" customHeight="1"/>
    <row r="63527" ht="15" customHeight="1"/>
    <row r="63528" ht="15" customHeight="1"/>
    <row r="63529" ht="15" customHeight="1"/>
    <row r="63530" ht="15" customHeight="1"/>
    <row r="63531" ht="15" customHeight="1"/>
    <row r="63532" ht="15" customHeight="1"/>
    <row r="63533" ht="15" customHeight="1"/>
    <row r="63534" ht="15" customHeight="1"/>
    <row r="63535" ht="15" customHeight="1"/>
    <row r="63536" ht="15" customHeight="1"/>
    <row r="63537" ht="15" customHeight="1"/>
    <row r="63538" ht="15" customHeight="1"/>
    <row r="63539" ht="15" customHeight="1"/>
    <row r="63540" ht="15" customHeight="1"/>
    <row r="63541" ht="15" customHeight="1"/>
    <row r="63542" ht="15" customHeight="1"/>
    <row r="63543" ht="15" customHeight="1"/>
    <row r="63544" ht="15" customHeight="1"/>
    <row r="63545" ht="15" customHeight="1"/>
    <row r="63546" ht="15" customHeight="1"/>
    <row r="63547" ht="15" customHeight="1"/>
    <row r="63548" ht="15" customHeight="1"/>
    <row r="63549" ht="15" customHeight="1"/>
    <row r="63550" ht="15" customHeight="1"/>
    <row r="63551" ht="15" customHeight="1"/>
    <row r="63552" ht="15" customHeight="1"/>
    <row r="63553" ht="15" customHeight="1"/>
    <row r="63554" ht="15" customHeight="1"/>
    <row r="63555" ht="15" customHeight="1"/>
    <row r="63556" ht="15" customHeight="1"/>
    <row r="63557" ht="15" customHeight="1"/>
    <row r="63558" ht="15" customHeight="1"/>
    <row r="63559" ht="15" customHeight="1"/>
    <row r="63560" ht="15" customHeight="1"/>
    <row r="63561" ht="15" customHeight="1"/>
    <row r="63562" ht="15" customHeight="1"/>
    <row r="63563" ht="15" customHeight="1"/>
    <row r="63564" ht="15" customHeight="1"/>
    <row r="63565" ht="15" customHeight="1"/>
    <row r="63566" ht="15" customHeight="1"/>
    <row r="63567" ht="15" customHeight="1"/>
    <row r="63568" ht="15" customHeight="1"/>
    <row r="63569" ht="15" customHeight="1"/>
    <row r="63570" ht="15" customHeight="1"/>
    <row r="63571" ht="15" customHeight="1"/>
    <row r="63572" ht="15" customHeight="1"/>
    <row r="63573" ht="15" customHeight="1"/>
    <row r="63574" ht="15" customHeight="1"/>
    <row r="63575" ht="15" customHeight="1"/>
    <row r="63576" ht="15" customHeight="1"/>
    <row r="63577" ht="15" customHeight="1"/>
    <row r="63578" ht="15" customHeight="1"/>
    <row r="63579" ht="15" customHeight="1"/>
    <row r="63580" ht="15" customHeight="1"/>
    <row r="63581" ht="15" customHeight="1"/>
    <row r="63582" ht="15" customHeight="1"/>
    <row r="63583" ht="15" customHeight="1"/>
    <row r="63584" ht="15" customHeight="1"/>
    <row r="63585" ht="15" customHeight="1"/>
    <row r="63586" ht="15" customHeight="1"/>
    <row r="63587" ht="15" customHeight="1"/>
    <row r="63588" ht="15" customHeight="1"/>
    <row r="63589" ht="15" customHeight="1"/>
    <row r="63590" ht="15" customHeight="1"/>
    <row r="63591" ht="15" customHeight="1"/>
    <row r="63592" ht="15" customHeight="1"/>
    <row r="63593" ht="15" customHeight="1"/>
    <row r="63594" ht="15" customHeight="1"/>
    <row r="63595" ht="15" customHeight="1"/>
    <row r="63596" ht="15" customHeight="1"/>
    <row r="63597" ht="15" customHeight="1"/>
    <row r="63598" ht="15" customHeight="1"/>
    <row r="63599" ht="15" customHeight="1"/>
    <row r="63600" ht="15" customHeight="1"/>
    <row r="63601" ht="15" customHeight="1"/>
    <row r="63602" ht="15" customHeight="1"/>
    <row r="63603" ht="15" customHeight="1"/>
    <row r="63604" ht="15" customHeight="1"/>
    <row r="63605" ht="15" customHeight="1"/>
    <row r="63606" ht="15" customHeight="1"/>
    <row r="63607" ht="15" customHeight="1"/>
    <row r="63608" ht="15" customHeight="1"/>
    <row r="63609" ht="15" customHeight="1"/>
    <row r="63610" ht="15" customHeight="1"/>
    <row r="63611" ht="15" customHeight="1"/>
    <row r="63612" ht="15" customHeight="1"/>
    <row r="63613" ht="15" customHeight="1"/>
    <row r="63614" ht="15" customHeight="1"/>
    <row r="63615" ht="15" customHeight="1"/>
    <row r="63616" ht="15" customHeight="1"/>
    <row r="63617" ht="15" customHeight="1"/>
    <row r="63618" ht="15" customHeight="1"/>
    <row r="63619" ht="15" customHeight="1"/>
    <row r="63620" ht="15" customHeight="1"/>
    <row r="63621" ht="15" customHeight="1"/>
    <row r="63622" ht="15" customHeight="1"/>
    <row r="63623" ht="15" customHeight="1"/>
    <row r="63624" ht="15" customHeight="1"/>
    <row r="63625" ht="15" customHeight="1"/>
    <row r="63626" ht="15" customHeight="1"/>
    <row r="63627" ht="15" customHeight="1"/>
    <row r="63628" ht="15" customHeight="1"/>
    <row r="63629" ht="15" customHeight="1"/>
    <row r="63630" ht="15" customHeight="1"/>
    <row r="63631" ht="15" customHeight="1"/>
    <row r="63632" ht="15" customHeight="1"/>
    <row r="63633" ht="15" customHeight="1"/>
    <row r="63634" ht="15" customHeight="1"/>
    <row r="63635" ht="15" customHeight="1"/>
    <row r="63636" ht="15" customHeight="1"/>
    <row r="63637" ht="15" customHeight="1"/>
    <row r="63638" ht="15" customHeight="1"/>
    <row r="63639" ht="15" customHeight="1"/>
    <row r="63640" ht="15" customHeight="1"/>
    <row r="63641" ht="15" customHeight="1"/>
    <row r="63642" ht="15" customHeight="1"/>
    <row r="63643" ht="15" customHeight="1"/>
    <row r="63644" ht="15" customHeight="1"/>
    <row r="63645" ht="15" customHeight="1"/>
    <row r="63646" ht="15" customHeight="1"/>
    <row r="63647" ht="15" customHeight="1"/>
    <row r="63648" ht="15" customHeight="1"/>
    <row r="63649" ht="15" customHeight="1"/>
    <row r="63650" ht="15" customHeight="1"/>
    <row r="63651" ht="15" customHeight="1"/>
    <row r="63652" ht="15" customHeight="1"/>
    <row r="63653" ht="15" customHeight="1"/>
    <row r="63654" ht="15" customHeight="1"/>
    <row r="63655" ht="15" customHeight="1"/>
    <row r="63656" ht="15" customHeight="1"/>
    <row r="63657" ht="15" customHeight="1"/>
    <row r="63658" ht="15" customHeight="1"/>
    <row r="63659" ht="15" customHeight="1"/>
    <row r="63660" ht="15" customHeight="1"/>
    <row r="63661" ht="15" customHeight="1"/>
    <row r="63662" ht="15" customHeight="1"/>
    <row r="63663" ht="15" customHeight="1"/>
    <row r="63664" ht="15" customHeight="1"/>
    <row r="63665" ht="15" customHeight="1"/>
    <row r="63666" ht="15" customHeight="1"/>
    <row r="63667" ht="15" customHeight="1"/>
    <row r="63668" ht="15" customHeight="1"/>
    <row r="63669" ht="15" customHeight="1"/>
    <row r="63670" ht="15" customHeight="1"/>
    <row r="63671" ht="15" customHeight="1"/>
    <row r="63672" ht="15" customHeight="1"/>
    <row r="63673" ht="15" customHeight="1"/>
    <row r="63674" ht="15" customHeight="1"/>
    <row r="63675" ht="15" customHeight="1"/>
    <row r="63676" ht="15" customHeight="1"/>
    <row r="63677" ht="15" customHeight="1"/>
    <row r="63678" ht="15" customHeight="1"/>
    <row r="63679" ht="15" customHeight="1"/>
    <row r="63680" ht="15" customHeight="1"/>
    <row r="63681" ht="15" customHeight="1"/>
    <row r="63682" ht="15" customHeight="1"/>
    <row r="63683" ht="15" customHeight="1"/>
    <row r="63684" ht="15" customHeight="1"/>
    <row r="63685" ht="15" customHeight="1"/>
    <row r="63686" ht="15" customHeight="1"/>
    <row r="63687" ht="15" customHeight="1"/>
    <row r="63688" ht="15" customHeight="1"/>
    <row r="63689" ht="15" customHeight="1"/>
    <row r="63690" ht="15" customHeight="1"/>
    <row r="63691" ht="15" customHeight="1"/>
    <row r="63692" ht="15" customHeight="1"/>
    <row r="63693" ht="15" customHeight="1"/>
    <row r="63694" ht="15" customHeight="1"/>
    <row r="63695" ht="15" customHeight="1"/>
    <row r="63696" ht="15" customHeight="1"/>
    <row r="63697" ht="15" customHeight="1"/>
    <row r="63698" ht="15" customHeight="1"/>
    <row r="63699" ht="15" customHeight="1"/>
    <row r="63700" ht="15" customHeight="1"/>
    <row r="63701" ht="15" customHeight="1"/>
    <row r="63702" ht="15" customHeight="1"/>
    <row r="63703" ht="15" customHeight="1"/>
    <row r="63704" ht="15" customHeight="1"/>
    <row r="63705" ht="15" customHeight="1"/>
    <row r="63706" ht="15" customHeight="1"/>
    <row r="63707" ht="15" customHeight="1"/>
    <row r="63708" ht="15" customHeight="1"/>
    <row r="63709" ht="15" customHeight="1"/>
    <row r="63710" ht="15" customHeight="1"/>
    <row r="63711" ht="15" customHeight="1"/>
    <row r="63712" ht="15" customHeight="1"/>
    <row r="63713" ht="15" customHeight="1"/>
    <row r="63714" ht="15" customHeight="1"/>
    <row r="63715" ht="15" customHeight="1"/>
    <row r="63716" ht="15" customHeight="1"/>
    <row r="63717" ht="15" customHeight="1"/>
    <row r="63718" ht="15" customHeight="1"/>
    <row r="63719" ht="15" customHeight="1"/>
    <row r="63720" ht="15" customHeight="1"/>
    <row r="63721" ht="15" customHeight="1"/>
    <row r="63722" ht="15" customHeight="1"/>
    <row r="63723" ht="15" customHeight="1"/>
    <row r="63724" ht="15" customHeight="1"/>
    <row r="63725" ht="15" customHeight="1"/>
    <row r="63726" ht="15" customHeight="1"/>
    <row r="63727" ht="15" customHeight="1"/>
    <row r="63728" ht="15" customHeight="1"/>
    <row r="63729" ht="15" customHeight="1"/>
    <row r="63730" ht="15" customHeight="1"/>
    <row r="63731" ht="15" customHeight="1"/>
    <row r="63732" ht="15" customHeight="1"/>
    <row r="63733" ht="15" customHeight="1"/>
    <row r="63734" ht="15" customHeight="1"/>
    <row r="63735" ht="15" customHeight="1"/>
    <row r="63736" ht="15" customHeight="1"/>
    <row r="63737" ht="15" customHeight="1"/>
    <row r="63738" ht="15" customHeight="1"/>
    <row r="63739" ht="15" customHeight="1"/>
    <row r="63740" ht="15" customHeight="1"/>
    <row r="63741" ht="15" customHeight="1"/>
    <row r="63742" ht="15" customHeight="1"/>
    <row r="63743" ht="15" customHeight="1"/>
    <row r="63744" ht="15" customHeight="1"/>
    <row r="63745" ht="15" customHeight="1"/>
    <row r="63746" ht="15" customHeight="1"/>
    <row r="63747" ht="15" customHeight="1"/>
    <row r="63748" ht="15" customHeight="1"/>
    <row r="63749" ht="15" customHeight="1"/>
    <row r="63750" ht="15" customHeight="1"/>
    <row r="63751" ht="15" customHeight="1"/>
    <row r="63752" ht="15" customHeight="1"/>
    <row r="63753" ht="15" customHeight="1"/>
    <row r="63754" ht="15" customHeight="1"/>
    <row r="63755" ht="15" customHeight="1"/>
    <row r="63756" ht="15" customHeight="1"/>
    <row r="63757" ht="15" customHeight="1"/>
    <row r="63758" ht="15" customHeight="1"/>
    <row r="63759" ht="15" customHeight="1"/>
    <row r="63760" ht="15" customHeight="1"/>
    <row r="63761" ht="15" customHeight="1"/>
    <row r="63762" ht="15" customHeight="1"/>
    <row r="63763" ht="15" customHeight="1"/>
    <row r="63764" ht="15" customHeight="1"/>
    <row r="63765" ht="15" customHeight="1"/>
    <row r="63766" ht="15" customHeight="1"/>
    <row r="63767" ht="15" customHeight="1"/>
    <row r="63768" ht="15" customHeight="1"/>
    <row r="63769" ht="15" customHeight="1"/>
    <row r="63770" ht="15" customHeight="1"/>
    <row r="63771" ht="15" customHeight="1"/>
    <row r="63772" ht="15" customHeight="1"/>
    <row r="63773" ht="15" customHeight="1"/>
    <row r="63774" ht="15" customHeight="1"/>
    <row r="63775" ht="15" customHeight="1"/>
    <row r="63776" ht="15" customHeight="1"/>
    <row r="63777" ht="15" customHeight="1"/>
    <row r="63778" ht="15" customHeight="1"/>
    <row r="63779" ht="15" customHeight="1"/>
    <row r="63780" ht="15" customHeight="1"/>
    <row r="63781" ht="15" customHeight="1"/>
    <row r="63782" ht="15" customHeight="1"/>
    <row r="63783" ht="15" customHeight="1"/>
    <row r="63784" ht="15" customHeight="1"/>
    <row r="63785" ht="15" customHeight="1"/>
    <row r="63786" ht="15" customHeight="1"/>
    <row r="63787" ht="15" customHeight="1"/>
    <row r="63788" ht="15" customHeight="1"/>
    <row r="63789" ht="15" customHeight="1"/>
    <row r="63790" ht="15" customHeight="1"/>
    <row r="63791" ht="15" customHeight="1"/>
    <row r="63792" ht="15" customHeight="1"/>
    <row r="63793" ht="15" customHeight="1"/>
    <row r="63794" ht="15" customHeight="1"/>
    <row r="63795" ht="15" customHeight="1"/>
    <row r="63796" ht="15" customHeight="1"/>
    <row r="63797" ht="15" customHeight="1"/>
    <row r="63798" ht="15" customHeight="1"/>
    <row r="63799" ht="15" customHeight="1"/>
    <row r="63800" ht="15" customHeight="1"/>
    <row r="63801" ht="15" customHeight="1"/>
    <row r="63802" ht="15" customHeight="1"/>
    <row r="63803" ht="15" customHeight="1"/>
    <row r="63804" ht="15" customHeight="1"/>
    <row r="63805" ht="15" customHeight="1"/>
    <row r="63806" ht="15" customHeight="1"/>
    <row r="63807" ht="15" customHeight="1"/>
    <row r="63808" ht="15" customHeight="1"/>
    <row r="63809" ht="15" customHeight="1"/>
    <row r="63810" ht="15" customHeight="1"/>
    <row r="63811" ht="15" customHeight="1"/>
    <row r="63812" ht="15" customHeight="1"/>
    <row r="63813" ht="15" customHeight="1"/>
    <row r="63814" ht="15" customHeight="1"/>
    <row r="63815" ht="15" customHeight="1"/>
    <row r="63816" ht="15" customHeight="1"/>
    <row r="63817" ht="15" customHeight="1"/>
    <row r="63818" ht="15" customHeight="1"/>
    <row r="63819" ht="15" customHeight="1"/>
    <row r="63820" ht="15" customHeight="1"/>
    <row r="63821" ht="15" customHeight="1"/>
    <row r="63822" ht="15" customHeight="1"/>
    <row r="63823" ht="15" customHeight="1"/>
    <row r="63824" ht="15" customHeight="1"/>
    <row r="63825" ht="15" customHeight="1"/>
    <row r="63826" ht="15" customHeight="1"/>
    <row r="63827" ht="15" customHeight="1"/>
    <row r="63828" ht="15" customHeight="1"/>
    <row r="63829" ht="15" customHeight="1"/>
    <row r="63830" ht="15" customHeight="1"/>
    <row r="63831" ht="15" customHeight="1"/>
    <row r="63832" ht="15" customHeight="1"/>
    <row r="63833" ht="15" customHeight="1"/>
    <row r="63834" ht="15" customHeight="1"/>
    <row r="63835" ht="15" customHeight="1"/>
    <row r="63836" ht="15" customHeight="1"/>
    <row r="63837" ht="15" customHeight="1"/>
    <row r="63838" ht="15" customHeight="1"/>
    <row r="63839" ht="15" customHeight="1"/>
    <row r="63840" ht="15" customHeight="1"/>
    <row r="63841" ht="15" customHeight="1"/>
    <row r="63842" ht="15" customHeight="1"/>
    <row r="63843" ht="15" customHeight="1"/>
    <row r="63844" ht="15" customHeight="1"/>
    <row r="63845" ht="15" customHeight="1"/>
    <row r="63846" ht="15" customHeight="1"/>
    <row r="63847" ht="15" customHeight="1"/>
    <row r="63848" ht="15" customHeight="1"/>
    <row r="63849" ht="15" customHeight="1"/>
    <row r="63850" ht="15" customHeight="1"/>
    <row r="63851" ht="15" customHeight="1"/>
    <row r="63852" ht="15" customHeight="1"/>
    <row r="63853" ht="15" customHeight="1"/>
    <row r="63854" ht="15" customHeight="1"/>
    <row r="63855" ht="15" customHeight="1"/>
    <row r="63856" ht="15" customHeight="1"/>
    <row r="63857" ht="15" customHeight="1"/>
    <row r="63858" ht="15" customHeight="1"/>
    <row r="63859" ht="15" customHeight="1"/>
    <row r="63860" ht="15" customHeight="1"/>
    <row r="63861" ht="15" customHeight="1"/>
    <row r="63862" ht="15" customHeight="1"/>
    <row r="63863" ht="15" customHeight="1"/>
    <row r="63864" ht="15" customHeight="1"/>
    <row r="63865" ht="15" customHeight="1"/>
    <row r="63866" ht="15" customHeight="1"/>
    <row r="63867" ht="15" customHeight="1"/>
    <row r="63868" ht="15" customHeight="1"/>
    <row r="63869" ht="15" customHeight="1"/>
    <row r="63870" ht="15" customHeight="1"/>
    <row r="63871" ht="15" customHeight="1"/>
    <row r="63872" ht="15" customHeight="1"/>
    <row r="63873" ht="15" customHeight="1"/>
    <row r="63874" ht="15" customHeight="1"/>
    <row r="63875" ht="15" customHeight="1"/>
    <row r="63876" ht="15" customHeight="1"/>
    <row r="63877" ht="15" customHeight="1"/>
    <row r="63878" ht="15" customHeight="1"/>
    <row r="63879" ht="15" customHeight="1"/>
    <row r="63880" ht="15" customHeight="1"/>
    <row r="63881" ht="15" customHeight="1"/>
    <row r="63882" ht="15" customHeight="1"/>
    <row r="63883" ht="15" customHeight="1"/>
    <row r="63884" ht="15" customHeight="1"/>
    <row r="63885" ht="15" customHeight="1"/>
    <row r="63886" ht="15" customHeight="1"/>
    <row r="63887" ht="15" customHeight="1"/>
    <row r="63888" ht="15" customHeight="1"/>
    <row r="63889" ht="15" customHeight="1"/>
    <row r="63890" ht="15" customHeight="1"/>
    <row r="63891" ht="15" customHeight="1"/>
    <row r="63892" ht="15" customHeight="1"/>
    <row r="63893" ht="15" customHeight="1"/>
    <row r="63894" ht="15" customHeight="1"/>
    <row r="63895" ht="15" customHeight="1"/>
    <row r="63896" ht="15" customHeight="1"/>
    <row r="63897" ht="15" customHeight="1"/>
    <row r="63898" ht="15" customHeight="1"/>
    <row r="63899" ht="15" customHeight="1"/>
    <row r="63900" ht="15" customHeight="1"/>
    <row r="63901" ht="15" customHeight="1"/>
    <row r="63902" ht="15" customHeight="1"/>
    <row r="63903" ht="15" customHeight="1"/>
    <row r="63904" ht="15" customHeight="1"/>
    <row r="63905" ht="15" customHeight="1"/>
    <row r="63906" ht="15" customHeight="1"/>
    <row r="63907" ht="15" customHeight="1"/>
    <row r="63908" ht="15" customHeight="1"/>
    <row r="63909" ht="15" customHeight="1"/>
    <row r="63910" ht="15" customHeight="1"/>
    <row r="63911" ht="15" customHeight="1"/>
    <row r="63912" ht="15" customHeight="1"/>
    <row r="63913" ht="15" customHeight="1"/>
    <row r="63914" ht="15" customHeight="1"/>
    <row r="63915" ht="15" customHeight="1"/>
    <row r="63916" ht="15" customHeight="1"/>
    <row r="63917" ht="15" customHeight="1"/>
    <row r="63918" ht="15" customHeight="1"/>
    <row r="63919" ht="15" customHeight="1"/>
    <row r="63920" ht="15" customHeight="1"/>
    <row r="63921" ht="15" customHeight="1"/>
    <row r="63922" ht="15" customHeight="1"/>
    <row r="63923" ht="15" customHeight="1"/>
    <row r="63924" ht="15" customHeight="1"/>
    <row r="63925" ht="15" customHeight="1"/>
    <row r="63926" ht="15" customHeight="1"/>
    <row r="63927" ht="15" customHeight="1"/>
    <row r="63928" ht="15" customHeight="1"/>
    <row r="63929" ht="15" customHeight="1"/>
    <row r="63930" ht="15" customHeight="1"/>
    <row r="63931" ht="15" customHeight="1"/>
    <row r="63932" ht="15" customHeight="1"/>
    <row r="63933" ht="15" customHeight="1"/>
    <row r="63934" ht="15" customHeight="1"/>
    <row r="63935" ht="15" customHeight="1"/>
    <row r="63936" ht="15" customHeight="1"/>
    <row r="63937" ht="15" customHeight="1"/>
    <row r="63938" ht="15" customHeight="1"/>
    <row r="63939" ht="15" customHeight="1"/>
    <row r="63940" ht="15" customHeight="1"/>
    <row r="63941" ht="15" customHeight="1"/>
    <row r="63942" ht="15" customHeight="1"/>
    <row r="63943" ht="15" customHeight="1"/>
    <row r="63944" ht="15" customHeight="1"/>
    <row r="63945" ht="15" customHeight="1"/>
    <row r="63946" ht="15" customHeight="1"/>
    <row r="63947" ht="15" customHeight="1"/>
    <row r="63948" ht="15" customHeight="1"/>
    <row r="63949" ht="15" customHeight="1"/>
    <row r="63950" ht="15" customHeight="1"/>
    <row r="63951" ht="15" customHeight="1"/>
    <row r="63952" ht="15" customHeight="1"/>
    <row r="63953" ht="15" customHeight="1"/>
    <row r="63954" ht="15" customHeight="1"/>
    <row r="63955" ht="15" customHeight="1"/>
    <row r="63956" ht="15" customHeight="1"/>
    <row r="63957" ht="15" customHeight="1"/>
    <row r="63958" ht="15" customHeight="1"/>
    <row r="63959" ht="15" customHeight="1"/>
    <row r="63960" ht="15" customHeight="1"/>
    <row r="63961" ht="15" customHeight="1"/>
    <row r="63962" ht="15" customHeight="1"/>
    <row r="63963" ht="15" customHeight="1"/>
    <row r="63964" ht="15" customHeight="1"/>
    <row r="63965" ht="15" customHeight="1"/>
    <row r="63966" ht="15" customHeight="1"/>
    <row r="63967" ht="15" customHeight="1"/>
    <row r="63968" ht="15" customHeight="1"/>
    <row r="63969" ht="15" customHeight="1"/>
    <row r="63970" ht="15" customHeight="1"/>
    <row r="63971" ht="15" customHeight="1"/>
    <row r="63972" ht="15" customHeight="1"/>
    <row r="63973" ht="15" customHeight="1"/>
    <row r="63974" ht="15" customHeight="1"/>
    <row r="63975" ht="15" customHeight="1"/>
    <row r="63976" ht="15" customHeight="1"/>
    <row r="63977" ht="15" customHeight="1"/>
    <row r="63978" ht="15" customHeight="1"/>
    <row r="63979" ht="15" customHeight="1"/>
    <row r="63980" ht="15" customHeight="1"/>
    <row r="63981" ht="15" customHeight="1"/>
    <row r="63982" ht="15" customHeight="1"/>
    <row r="63983" ht="15" customHeight="1"/>
    <row r="63984" ht="15" customHeight="1"/>
    <row r="63985" ht="15" customHeight="1"/>
    <row r="63986" ht="15" customHeight="1"/>
    <row r="63987" ht="15" customHeight="1"/>
    <row r="63988" ht="15" customHeight="1"/>
    <row r="63989" ht="15" customHeight="1"/>
    <row r="63990" ht="15" customHeight="1"/>
    <row r="63991" ht="15" customHeight="1"/>
    <row r="63992" ht="15" customHeight="1"/>
    <row r="63993" ht="15" customHeight="1"/>
    <row r="63994" ht="15" customHeight="1"/>
    <row r="63995" ht="15" customHeight="1"/>
    <row r="63996" ht="15" customHeight="1"/>
    <row r="63997" ht="15" customHeight="1"/>
    <row r="63998" ht="15" customHeight="1"/>
    <row r="63999" ht="15" customHeight="1"/>
    <row r="64000" ht="15" customHeight="1"/>
    <row r="64001" ht="15" customHeight="1"/>
    <row r="64002" ht="15" customHeight="1"/>
    <row r="64003" ht="15" customHeight="1"/>
    <row r="64004" ht="15" customHeight="1"/>
    <row r="64005" ht="15" customHeight="1"/>
    <row r="64006" ht="15" customHeight="1"/>
    <row r="64007" ht="15" customHeight="1"/>
    <row r="64008" ht="15" customHeight="1"/>
    <row r="64009" ht="15" customHeight="1"/>
    <row r="64010" ht="15" customHeight="1"/>
    <row r="64011" ht="15" customHeight="1"/>
    <row r="64012" ht="15" customHeight="1"/>
    <row r="64013" ht="15" customHeight="1"/>
    <row r="64014" ht="15" customHeight="1"/>
    <row r="64015" ht="15" customHeight="1"/>
    <row r="64016" ht="15" customHeight="1"/>
    <row r="64017" ht="15" customHeight="1"/>
    <row r="64018" ht="15" customHeight="1"/>
    <row r="64019" ht="15" customHeight="1"/>
    <row r="64020" ht="15" customHeight="1"/>
    <row r="64021" ht="15" customHeight="1"/>
    <row r="64022" ht="15" customHeight="1"/>
    <row r="64023" ht="15" customHeight="1"/>
    <row r="64024" ht="15" customHeight="1"/>
    <row r="64025" ht="15" customHeight="1"/>
    <row r="64026" ht="15" customHeight="1"/>
    <row r="64027" ht="15" customHeight="1"/>
    <row r="64028" ht="15" customHeight="1"/>
    <row r="64029" ht="15" customHeight="1"/>
    <row r="64030" ht="15" customHeight="1"/>
    <row r="64031" ht="15" customHeight="1"/>
    <row r="64032" ht="15" customHeight="1"/>
    <row r="64033" ht="15" customHeight="1"/>
    <row r="64034" ht="15" customHeight="1"/>
    <row r="64035" ht="15" customHeight="1"/>
    <row r="64036" ht="15" customHeight="1"/>
    <row r="64037" ht="15" customHeight="1"/>
    <row r="64038" ht="15" customHeight="1"/>
    <row r="64039" ht="15" customHeight="1"/>
    <row r="64040" ht="15" customHeight="1"/>
    <row r="64041" ht="15" customHeight="1"/>
    <row r="64042" ht="15" customHeight="1"/>
    <row r="64043" ht="15" customHeight="1"/>
    <row r="64044" ht="15" customHeight="1"/>
    <row r="64045" ht="15" customHeight="1"/>
    <row r="64046" ht="15" customHeight="1"/>
    <row r="64047" ht="15" customHeight="1"/>
    <row r="64048" ht="15" customHeight="1"/>
    <row r="64049" ht="15" customHeight="1"/>
    <row r="64050" ht="15" customHeight="1"/>
    <row r="64051" ht="15" customHeight="1"/>
    <row r="64052" ht="15" customHeight="1"/>
    <row r="64053" ht="15" customHeight="1"/>
    <row r="64054" ht="15" customHeight="1"/>
    <row r="64055" ht="15" customHeight="1"/>
    <row r="64056" ht="15" customHeight="1"/>
    <row r="64057" ht="15" customHeight="1"/>
    <row r="64058" ht="15" customHeight="1"/>
    <row r="64059" ht="15" customHeight="1"/>
    <row r="64060" ht="15" customHeight="1"/>
    <row r="64061" ht="15" customHeight="1"/>
    <row r="64062" ht="15" customHeight="1"/>
    <row r="64063" ht="15" customHeight="1"/>
    <row r="64064" ht="15" customHeight="1"/>
    <row r="64065" ht="15" customHeight="1"/>
    <row r="64066" ht="15" customHeight="1"/>
    <row r="64067" ht="15" customHeight="1"/>
    <row r="64068" ht="15" customHeight="1"/>
    <row r="64069" ht="15" customHeight="1"/>
    <row r="64070" ht="15" customHeight="1"/>
    <row r="64071" ht="15" customHeight="1"/>
    <row r="64072" ht="15" customHeight="1"/>
    <row r="64073" ht="15" customHeight="1"/>
    <row r="64074" ht="15" customHeight="1"/>
    <row r="64075" ht="15" customHeight="1"/>
    <row r="64076" ht="15" customHeight="1"/>
    <row r="64077" ht="15" customHeight="1"/>
    <row r="64078" ht="15" customHeight="1"/>
    <row r="64079" ht="15" customHeight="1"/>
    <row r="64080" ht="15" customHeight="1"/>
    <row r="64081" ht="15" customHeight="1"/>
    <row r="64082" ht="15" customHeight="1"/>
    <row r="64083" ht="15" customHeight="1"/>
    <row r="64084" ht="15" customHeight="1"/>
    <row r="64085" ht="15" customHeight="1"/>
    <row r="64086" ht="15" customHeight="1"/>
    <row r="64087" ht="15" customHeight="1"/>
    <row r="64088" ht="15" customHeight="1"/>
    <row r="64089" ht="15" customHeight="1"/>
    <row r="64090" ht="15" customHeight="1"/>
    <row r="64091" ht="15" customHeight="1"/>
    <row r="64092" ht="15" customHeight="1"/>
    <row r="64093" ht="15" customHeight="1"/>
    <row r="64094" ht="15" customHeight="1"/>
    <row r="64095" ht="15" customHeight="1"/>
    <row r="64096" ht="15" customHeight="1"/>
    <row r="64097" ht="15" customHeight="1"/>
    <row r="64098" ht="15" customHeight="1"/>
    <row r="64099" ht="15" customHeight="1"/>
    <row r="64100" ht="15" customHeight="1"/>
    <row r="64101" ht="15" customHeight="1"/>
    <row r="64102" ht="15" customHeight="1"/>
    <row r="64103" ht="15" customHeight="1"/>
    <row r="64104" ht="15" customHeight="1"/>
    <row r="64105" ht="15" customHeight="1"/>
    <row r="64106" ht="15" customHeight="1"/>
    <row r="64107" ht="15" customHeight="1"/>
    <row r="64108" ht="15" customHeight="1"/>
    <row r="64109" ht="15" customHeight="1"/>
    <row r="64110" ht="15" customHeight="1"/>
    <row r="64111" ht="15" customHeight="1"/>
    <row r="64112" ht="15" customHeight="1"/>
    <row r="64113" ht="15" customHeight="1"/>
    <row r="64114" ht="15" customHeight="1"/>
    <row r="64115" ht="15" customHeight="1"/>
    <row r="64116" ht="15" customHeight="1"/>
    <row r="64117" ht="15" customHeight="1"/>
    <row r="64118" ht="15" customHeight="1"/>
    <row r="64119" ht="15" customHeight="1"/>
    <row r="64120" ht="15" customHeight="1"/>
    <row r="64121" ht="15" customHeight="1"/>
    <row r="64122" ht="15" customHeight="1"/>
    <row r="64123" ht="15" customHeight="1"/>
    <row r="64124" ht="15" customHeight="1"/>
    <row r="64125" ht="15" customHeight="1"/>
    <row r="64126" ht="15" customHeight="1"/>
    <row r="64127" ht="15" customHeight="1"/>
    <row r="64128" ht="15" customHeight="1"/>
    <row r="64129" ht="15" customHeight="1"/>
    <row r="64130" ht="15" customHeight="1"/>
    <row r="64131" ht="15" customHeight="1"/>
    <row r="64132" ht="15" customHeight="1"/>
    <row r="64133" ht="15" customHeight="1"/>
    <row r="64134" ht="15" customHeight="1"/>
    <row r="64135" ht="15" customHeight="1"/>
    <row r="64136" ht="15" customHeight="1"/>
    <row r="64137" ht="15" customHeight="1"/>
    <row r="64138" ht="15" customHeight="1"/>
    <row r="64139" ht="15" customHeight="1"/>
    <row r="64140" ht="15" customHeight="1"/>
    <row r="64141" ht="15" customHeight="1"/>
    <row r="64142" ht="15" customHeight="1"/>
    <row r="64143" ht="15" customHeight="1"/>
    <row r="64144" ht="15" customHeight="1"/>
    <row r="64145" ht="15" customHeight="1"/>
    <row r="64146" ht="15" customHeight="1"/>
    <row r="64147" ht="15" customHeight="1"/>
    <row r="64148" ht="15" customHeight="1"/>
    <row r="64149" ht="15" customHeight="1"/>
    <row r="64150" ht="15" customHeight="1"/>
    <row r="64151" ht="15" customHeight="1"/>
    <row r="64152" ht="15" customHeight="1"/>
    <row r="64153" ht="15" customHeight="1"/>
    <row r="64154" ht="15" customHeight="1"/>
    <row r="64155" ht="15" customHeight="1"/>
    <row r="64156" ht="15" customHeight="1"/>
    <row r="64157" ht="15" customHeight="1"/>
    <row r="64158" ht="15" customHeight="1"/>
    <row r="64159" ht="15" customHeight="1"/>
    <row r="64160" ht="15" customHeight="1"/>
    <row r="64161" ht="15" customHeight="1"/>
    <row r="64162" ht="15" customHeight="1"/>
    <row r="64163" ht="15" customHeight="1"/>
    <row r="64164" ht="15" customHeight="1"/>
    <row r="64165" ht="15" customHeight="1"/>
    <row r="64166" ht="15" customHeight="1"/>
    <row r="64167" ht="15" customHeight="1"/>
    <row r="64168" ht="15" customHeight="1"/>
    <row r="64169" ht="15" customHeight="1"/>
    <row r="64170" ht="15" customHeight="1"/>
    <row r="64171" ht="15" customHeight="1"/>
    <row r="64172" ht="15" customHeight="1"/>
    <row r="64173" ht="15" customHeight="1"/>
    <row r="64174" ht="15" customHeight="1"/>
    <row r="64175" ht="15" customHeight="1"/>
    <row r="64176" ht="15" customHeight="1"/>
    <row r="64177" ht="15" customHeight="1"/>
    <row r="64178" ht="15" customHeight="1"/>
    <row r="64179" ht="15" customHeight="1"/>
    <row r="64180" ht="15" customHeight="1"/>
    <row r="64181" ht="15" customHeight="1"/>
    <row r="64182" ht="15" customHeight="1"/>
    <row r="64183" ht="15" customHeight="1"/>
    <row r="64184" ht="15" customHeight="1"/>
    <row r="64185" ht="15" customHeight="1"/>
    <row r="64186" ht="15" customHeight="1"/>
    <row r="64187" ht="15" customHeight="1"/>
    <row r="64188" ht="15" customHeight="1"/>
    <row r="64189" ht="15" customHeight="1"/>
    <row r="64190" ht="15" customHeight="1"/>
    <row r="64191" ht="15" customHeight="1"/>
    <row r="64192" ht="15" customHeight="1"/>
    <row r="64193" ht="15" customHeight="1"/>
    <row r="64194" ht="15" customHeight="1"/>
    <row r="64195" ht="15" customHeight="1"/>
    <row r="64196" ht="15" customHeight="1"/>
    <row r="64197" ht="15" customHeight="1"/>
    <row r="64198" ht="15" customHeight="1"/>
    <row r="64199" ht="15" customHeight="1"/>
    <row r="64200" ht="15" customHeight="1"/>
    <row r="64201" ht="15" customHeight="1"/>
    <row r="64202" ht="15" customHeight="1"/>
    <row r="64203" ht="15" customHeight="1"/>
    <row r="64204" ht="15" customHeight="1"/>
    <row r="64205" ht="15" customHeight="1"/>
    <row r="64206" ht="15" customHeight="1"/>
    <row r="64207" ht="15" customHeight="1"/>
    <row r="64208" ht="15" customHeight="1"/>
    <row r="64209" ht="15" customHeight="1"/>
    <row r="64210" ht="15" customHeight="1"/>
    <row r="64211" ht="15" customHeight="1"/>
    <row r="64212" ht="15" customHeight="1"/>
    <row r="64213" ht="15" customHeight="1"/>
    <row r="64214" ht="15" customHeight="1"/>
    <row r="64215" ht="15" customHeight="1"/>
    <row r="64216" ht="15" customHeight="1"/>
    <row r="64217" ht="15" customHeight="1"/>
    <row r="64218" ht="15" customHeight="1"/>
    <row r="64219" ht="15" customHeight="1"/>
    <row r="64220" ht="15" customHeight="1"/>
    <row r="64221" ht="15" customHeight="1"/>
    <row r="64222" ht="15" customHeight="1"/>
    <row r="64223" ht="15" customHeight="1"/>
    <row r="64224" ht="15" customHeight="1"/>
    <row r="64225" ht="15" customHeight="1"/>
    <row r="64226" ht="15" customHeight="1"/>
    <row r="64227" ht="15" customHeight="1"/>
    <row r="64228" ht="15" customHeight="1"/>
    <row r="64229" ht="15" customHeight="1"/>
    <row r="64230" ht="15" customHeight="1"/>
    <row r="64231" ht="15" customHeight="1"/>
    <row r="64232" ht="15" customHeight="1"/>
    <row r="64233" ht="15" customHeight="1"/>
    <row r="64234" ht="15" customHeight="1"/>
    <row r="64235" ht="15" customHeight="1"/>
    <row r="64236" ht="15" customHeight="1"/>
    <row r="64237" ht="15" customHeight="1"/>
    <row r="64238" ht="15" customHeight="1"/>
    <row r="64239" ht="15" customHeight="1"/>
    <row r="64240" ht="15" customHeight="1"/>
    <row r="64241" ht="15" customHeight="1"/>
    <row r="64242" ht="15" customHeight="1"/>
    <row r="64243" ht="15" customHeight="1"/>
    <row r="64244" ht="15" customHeight="1"/>
    <row r="64245" ht="15" customHeight="1"/>
    <row r="64246" ht="15" customHeight="1"/>
    <row r="64247" ht="15" customHeight="1"/>
    <row r="64248" ht="15" customHeight="1"/>
    <row r="64249" ht="15" customHeight="1"/>
    <row r="64250" ht="15" customHeight="1"/>
    <row r="64251" ht="15" customHeight="1"/>
    <row r="64252" ht="15" customHeight="1"/>
    <row r="64253" ht="15" customHeight="1"/>
    <row r="64254" ht="15" customHeight="1"/>
    <row r="64255" ht="15" customHeight="1"/>
    <row r="64256" ht="15" customHeight="1"/>
    <row r="64257" ht="15" customHeight="1"/>
    <row r="64258" ht="15" customHeight="1"/>
    <row r="64259" ht="15" customHeight="1"/>
    <row r="64260" ht="15" customHeight="1"/>
    <row r="64261" ht="15" customHeight="1"/>
    <row r="64262" ht="15" customHeight="1"/>
    <row r="64263" ht="15" customHeight="1"/>
    <row r="64264" ht="15" customHeight="1"/>
    <row r="64265" ht="15" customHeight="1"/>
    <row r="64266" ht="15" customHeight="1"/>
    <row r="64267" ht="15" customHeight="1"/>
    <row r="64268" ht="15" customHeight="1"/>
    <row r="64269" ht="15" customHeight="1"/>
    <row r="64270" ht="15" customHeight="1"/>
    <row r="64271" ht="15" customHeight="1"/>
    <row r="64272" ht="15" customHeight="1"/>
    <row r="64273" ht="15" customHeight="1"/>
    <row r="64274" ht="15" customHeight="1"/>
    <row r="64275" ht="15" customHeight="1"/>
    <row r="64276" ht="15" customHeight="1"/>
    <row r="64277" ht="15" customHeight="1"/>
    <row r="64278" ht="15" customHeight="1"/>
    <row r="64279" ht="15" customHeight="1"/>
    <row r="64280" ht="15" customHeight="1"/>
    <row r="64281" ht="15" customHeight="1"/>
    <row r="64282" ht="15" customHeight="1"/>
    <row r="64283" ht="15" customHeight="1"/>
    <row r="64284" ht="15" customHeight="1"/>
    <row r="64285" ht="15" customHeight="1"/>
    <row r="64286" ht="15" customHeight="1"/>
    <row r="64287" ht="15" customHeight="1"/>
    <row r="64288" ht="15" customHeight="1"/>
    <row r="64289" ht="15" customHeight="1"/>
    <row r="64290" ht="15" customHeight="1"/>
    <row r="64291" ht="15" customHeight="1"/>
    <row r="64292" ht="15" customHeight="1"/>
    <row r="64293" ht="15" customHeight="1"/>
    <row r="64294" ht="15" customHeight="1"/>
    <row r="64295" ht="15" customHeight="1"/>
    <row r="64296" ht="15" customHeight="1"/>
    <row r="64297" ht="15" customHeight="1"/>
    <row r="64298" ht="15" customHeight="1"/>
    <row r="64299" ht="15" customHeight="1"/>
    <row r="64300" ht="15" customHeight="1"/>
    <row r="64301" ht="15" customHeight="1"/>
    <row r="64302" ht="15" customHeight="1"/>
    <row r="64303" ht="15" customHeight="1"/>
    <row r="64304" ht="15" customHeight="1"/>
    <row r="64305" ht="15" customHeight="1"/>
    <row r="64306" ht="15" customHeight="1"/>
    <row r="64307" ht="15" customHeight="1"/>
    <row r="64308" ht="15" customHeight="1"/>
    <row r="64309" ht="15" customHeight="1"/>
    <row r="64310" ht="15" customHeight="1"/>
    <row r="64311" ht="15" customHeight="1"/>
    <row r="64312" ht="15" customHeight="1"/>
    <row r="64313" ht="15" customHeight="1"/>
    <row r="64314" ht="15" customHeight="1"/>
    <row r="64315" ht="15" customHeight="1"/>
    <row r="64316" ht="15" customHeight="1"/>
    <row r="64317" ht="15" customHeight="1"/>
    <row r="64318" ht="15" customHeight="1"/>
    <row r="64319" ht="15" customHeight="1"/>
    <row r="64320" ht="15" customHeight="1"/>
    <row r="64321" ht="15" customHeight="1"/>
    <row r="64322" ht="15" customHeight="1"/>
    <row r="64323" ht="15" customHeight="1"/>
    <row r="64324" ht="15" customHeight="1"/>
    <row r="64325" ht="15" customHeight="1"/>
    <row r="64326" ht="15" customHeight="1"/>
    <row r="64327" ht="15" customHeight="1"/>
    <row r="64328" ht="15" customHeight="1"/>
    <row r="64329" ht="15" customHeight="1"/>
    <row r="64330" ht="15" customHeight="1"/>
    <row r="64331" ht="15" customHeight="1"/>
    <row r="64332" ht="15" customHeight="1"/>
    <row r="64333" ht="15" customHeight="1"/>
    <row r="64334" ht="15" customHeight="1"/>
    <row r="64335" ht="15" customHeight="1"/>
    <row r="64336" ht="15" customHeight="1"/>
    <row r="64337" ht="15" customHeight="1"/>
    <row r="64338" ht="15" customHeight="1"/>
    <row r="64339" ht="15" customHeight="1"/>
    <row r="64340" ht="15" customHeight="1"/>
    <row r="64341" ht="15" customHeight="1"/>
    <row r="64342" ht="15" customHeight="1"/>
    <row r="64343" ht="15" customHeight="1"/>
    <row r="64344" ht="15" customHeight="1"/>
    <row r="64345" ht="15" customHeight="1"/>
    <row r="64346" ht="15" customHeight="1"/>
    <row r="64347" ht="15" customHeight="1"/>
    <row r="64348" ht="15" customHeight="1"/>
    <row r="64349" ht="15" customHeight="1"/>
    <row r="64350" ht="15" customHeight="1"/>
    <row r="64351" ht="15" customHeight="1"/>
    <row r="64352" ht="15" customHeight="1"/>
    <row r="64353" ht="15" customHeight="1"/>
    <row r="64354" ht="15" customHeight="1"/>
    <row r="64355" ht="15" customHeight="1"/>
    <row r="64356" ht="15" customHeight="1"/>
    <row r="64357" ht="15" customHeight="1"/>
    <row r="64358" ht="15" customHeight="1"/>
    <row r="64359" ht="15" customHeight="1"/>
    <row r="64360" ht="15" customHeight="1"/>
    <row r="64361" ht="15" customHeight="1"/>
    <row r="64362" ht="15" customHeight="1"/>
    <row r="64363" ht="15" customHeight="1"/>
    <row r="64364" ht="15" customHeight="1"/>
    <row r="64365" ht="15" customHeight="1"/>
    <row r="64366" ht="15" customHeight="1"/>
    <row r="64367" ht="15" customHeight="1"/>
    <row r="64368" ht="15" customHeight="1"/>
    <row r="64369" ht="15" customHeight="1"/>
    <row r="64370" ht="15" customHeight="1"/>
    <row r="64371" ht="15" customHeight="1"/>
    <row r="64372" ht="15" customHeight="1"/>
    <row r="64373" ht="15" customHeight="1"/>
    <row r="64374" ht="15" customHeight="1"/>
    <row r="64375" ht="15" customHeight="1"/>
    <row r="64376" ht="15" customHeight="1"/>
    <row r="64377" ht="15" customHeight="1"/>
    <row r="64378" ht="15" customHeight="1"/>
    <row r="64379" ht="15" customHeight="1"/>
    <row r="64380" ht="15" customHeight="1"/>
    <row r="64381" ht="15" customHeight="1"/>
    <row r="64382" ht="15" customHeight="1"/>
    <row r="64383" ht="15" customHeight="1"/>
    <row r="64384" ht="15" customHeight="1"/>
    <row r="64385" ht="15" customHeight="1"/>
    <row r="64386" ht="15" customHeight="1"/>
    <row r="64387" ht="15" customHeight="1"/>
    <row r="64388" ht="15" customHeight="1"/>
    <row r="64389" ht="15" customHeight="1"/>
    <row r="64390" ht="15" customHeight="1"/>
    <row r="64391" ht="15" customHeight="1"/>
    <row r="64392" ht="15" customHeight="1"/>
    <row r="64393" ht="15" customHeight="1"/>
    <row r="64394" ht="15" customHeight="1"/>
    <row r="64395" ht="15" customHeight="1"/>
    <row r="64396" ht="15" customHeight="1"/>
    <row r="64397" ht="15" customHeight="1"/>
    <row r="64398" ht="15" customHeight="1"/>
    <row r="64399" ht="15" customHeight="1"/>
    <row r="64400" ht="15" customHeight="1"/>
    <row r="64401" ht="15" customHeight="1"/>
    <row r="64402" ht="15" customHeight="1"/>
    <row r="64403" ht="15" customHeight="1"/>
    <row r="64404" ht="15" customHeight="1"/>
    <row r="64405" ht="15" customHeight="1"/>
    <row r="64406" ht="15" customHeight="1"/>
    <row r="64407" ht="15" customHeight="1"/>
    <row r="64408" ht="15" customHeight="1"/>
    <row r="64409" ht="15" customHeight="1"/>
    <row r="64410" ht="15" customHeight="1"/>
    <row r="64411" ht="15" customHeight="1"/>
    <row r="64412" ht="15" customHeight="1"/>
    <row r="64413" ht="15" customHeight="1"/>
    <row r="64414" ht="15" customHeight="1"/>
    <row r="64415" ht="15" customHeight="1"/>
    <row r="64416" ht="15" customHeight="1"/>
    <row r="64417" ht="15" customHeight="1"/>
    <row r="64418" ht="15" customHeight="1"/>
    <row r="64419" ht="15" customHeight="1"/>
    <row r="64420" ht="15" customHeight="1"/>
    <row r="64421" ht="15" customHeight="1"/>
    <row r="64422" ht="15" customHeight="1"/>
    <row r="64423" ht="15" customHeight="1"/>
    <row r="64424" ht="15" customHeight="1"/>
    <row r="64425" ht="15" customHeight="1"/>
    <row r="64426" ht="15" customHeight="1"/>
    <row r="64427" ht="15" customHeight="1"/>
    <row r="64428" ht="15" customHeight="1"/>
    <row r="64429" ht="15" customHeight="1"/>
    <row r="64430" ht="15" customHeight="1"/>
    <row r="64431" ht="15" customHeight="1"/>
    <row r="64432" ht="15" customHeight="1"/>
    <row r="64433" ht="15" customHeight="1"/>
    <row r="64434" ht="15" customHeight="1"/>
    <row r="64435" ht="15" customHeight="1"/>
    <row r="64436" ht="15" customHeight="1"/>
    <row r="64437" ht="15" customHeight="1"/>
    <row r="64438" ht="15" customHeight="1"/>
    <row r="64439" ht="15" customHeight="1"/>
    <row r="64440" ht="15" customHeight="1"/>
    <row r="64441" ht="15" customHeight="1"/>
    <row r="64442" ht="15" customHeight="1"/>
    <row r="64443" ht="15" customHeight="1"/>
    <row r="64444" ht="15" customHeight="1"/>
    <row r="64445" ht="15" customHeight="1"/>
    <row r="64446" ht="15" customHeight="1"/>
    <row r="64447" ht="15" customHeight="1"/>
    <row r="64448" ht="15" customHeight="1"/>
    <row r="64449" ht="15" customHeight="1"/>
    <row r="64450" ht="15" customHeight="1"/>
    <row r="64451" ht="15" customHeight="1"/>
    <row r="64452" ht="15" customHeight="1"/>
    <row r="64453" ht="15" customHeight="1"/>
    <row r="64454" ht="15" customHeight="1"/>
    <row r="64455" ht="15" customHeight="1"/>
    <row r="64456" ht="15" customHeight="1"/>
    <row r="64457" ht="15" customHeight="1"/>
    <row r="64458" ht="15" customHeight="1"/>
    <row r="64459" ht="15" customHeight="1"/>
    <row r="64460" ht="15" customHeight="1"/>
    <row r="64461" ht="15" customHeight="1"/>
    <row r="64462" ht="15" customHeight="1"/>
    <row r="64463" ht="15" customHeight="1"/>
    <row r="64464" ht="15" customHeight="1"/>
    <row r="64465" ht="15" customHeight="1"/>
    <row r="64466" ht="15" customHeight="1"/>
    <row r="64467" ht="15" customHeight="1"/>
    <row r="64468" ht="15" customHeight="1"/>
    <row r="64469" ht="15" customHeight="1"/>
    <row r="64470" ht="15" customHeight="1"/>
    <row r="64471" ht="15" customHeight="1"/>
    <row r="64472" ht="15" customHeight="1"/>
    <row r="64473" ht="15" customHeight="1"/>
    <row r="64474" ht="15" customHeight="1"/>
    <row r="64475" ht="15" customHeight="1"/>
    <row r="64476" ht="15" customHeight="1"/>
    <row r="64477" ht="15" customHeight="1"/>
    <row r="64478" ht="15" customHeight="1"/>
    <row r="64479" ht="15" customHeight="1"/>
    <row r="64480" ht="15" customHeight="1"/>
    <row r="64481" ht="15" customHeight="1"/>
    <row r="64482" ht="15" customHeight="1"/>
    <row r="64483" ht="15" customHeight="1"/>
    <row r="64484" ht="15" customHeight="1"/>
    <row r="64485" ht="15" customHeight="1"/>
    <row r="64486" ht="15" customHeight="1"/>
    <row r="64487" ht="15" customHeight="1"/>
    <row r="64488" ht="15" customHeight="1"/>
    <row r="64489" ht="15" customHeight="1"/>
    <row r="64490" ht="15" customHeight="1"/>
    <row r="64491" ht="15" customHeight="1"/>
    <row r="64492" ht="15" customHeight="1"/>
    <row r="64493" ht="15" customHeight="1"/>
    <row r="64494" ht="15" customHeight="1"/>
    <row r="64495" ht="15" customHeight="1"/>
    <row r="64496" ht="15" customHeight="1"/>
    <row r="64497" ht="15" customHeight="1"/>
    <row r="64498" ht="15" customHeight="1"/>
    <row r="64499" ht="15" customHeight="1"/>
    <row r="64500" ht="15" customHeight="1"/>
    <row r="64501" ht="15" customHeight="1"/>
    <row r="64502" ht="15" customHeight="1"/>
    <row r="64503" ht="15" customHeight="1"/>
    <row r="64504" ht="15" customHeight="1"/>
    <row r="64505" ht="15" customHeight="1"/>
    <row r="64506" ht="15" customHeight="1"/>
    <row r="64507" ht="15" customHeight="1"/>
    <row r="64508" ht="15" customHeight="1"/>
    <row r="64509" ht="15" customHeight="1"/>
    <row r="64510" ht="15" customHeight="1"/>
    <row r="64511" ht="15" customHeight="1"/>
    <row r="64512" ht="15" customHeight="1"/>
    <row r="64513" ht="15" customHeight="1"/>
    <row r="64514" ht="15" customHeight="1"/>
    <row r="64515" ht="15" customHeight="1"/>
    <row r="64516" ht="15" customHeight="1"/>
    <row r="64517" ht="15" customHeight="1"/>
    <row r="64518" ht="15" customHeight="1"/>
    <row r="64519" ht="15" customHeight="1"/>
    <row r="64520" ht="15" customHeight="1"/>
    <row r="64521" ht="15" customHeight="1"/>
    <row r="64522" ht="15" customHeight="1"/>
    <row r="64523" ht="15" customHeight="1"/>
    <row r="64524" ht="15" customHeight="1"/>
    <row r="64525" ht="15" customHeight="1"/>
    <row r="64526" ht="15" customHeight="1"/>
    <row r="64527" ht="15" customHeight="1"/>
    <row r="64528" ht="15" customHeight="1"/>
    <row r="64529" ht="15" customHeight="1"/>
    <row r="64530" ht="15" customHeight="1"/>
    <row r="64531" ht="15" customHeight="1"/>
    <row r="64532" ht="15" customHeight="1"/>
    <row r="64533" ht="15" customHeight="1"/>
    <row r="64534" ht="15" customHeight="1"/>
    <row r="64535" ht="15" customHeight="1"/>
    <row r="64536" ht="15" customHeight="1"/>
    <row r="64537" ht="15" customHeight="1"/>
    <row r="64538" ht="15" customHeight="1"/>
    <row r="64539" ht="15" customHeight="1"/>
    <row r="64540" ht="15" customHeight="1"/>
    <row r="64541" ht="15" customHeight="1"/>
    <row r="64542" ht="15" customHeight="1"/>
    <row r="64543" ht="15" customHeight="1"/>
    <row r="64544" ht="15" customHeight="1"/>
    <row r="64545" ht="15" customHeight="1"/>
    <row r="64546" ht="15" customHeight="1"/>
    <row r="64547" ht="15" customHeight="1"/>
    <row r="64548" ht="15" customHeight="1"/>
    <row r="64549" ht="15" customHeight="1"/>
    <row r="64550" ht="15" customHeight="1"/>
    <row r="64551" ht="15" customHeight="1"/>
    <row r="64552" ht="15" customHeight="1"/>
    <row r="64553" ht="15" customHeight="1"/>
    <row r="64554" ht="15" customHeight="1"/>
    <row r="64555" ht="15" customHeight="1"/>
    <row r="64556" ht="15" customHeight="1"/>
    <row r="64557" ht="15" customHeight="1"/>
    <row r="64558" ht="15" customHeight="1"/>
    <row r="64559" ht="15" customHeight="1"/>
    <row r="64560" ht="15" customHeight="1"/>
    <row r="64561" ht="15" customHeight="1"/>
    <row r="64562" ht="15" customHeight="1"/>
    <row r="64563" ht="15" customHeight="1"/>
    <row r="64564" ht="15" customHeight="1"/>
    <row r="64565" ht="15" customHeight="1"/>
    <row r="64566" ht="15" customHeight="1"/>
    <row r="64567" ht="15" customHeight="1"/>
    <row r="64568" ht="15" customHeight="1"/>
    <row r="64569" ht="15" customHeight="1"/>
    <row r="64570" ht="15" customHeight="1"/>
    <row r="64571" ht="15" customHeight="1"/>
    <row r="64572" ht="15" customHeight="1"/>
    <row r="64573" ht="15" customHeight="1"/>
    <row r="64574" ht="15" customHeight="1"/>
    <row r="64575" ht="15" customHeight="1"/>
    <row r="64576" ht="15" customHeight="1"/>
    <row r="64577" ht="15" customHeight="1"/>
    <row r="64578" ht="15" customHeight="1"/>
    <row r="64579" ht="15" customHeight="1"/>
    <row r="64580" ht="15" customHeight="1"/>
    <row r="64581" ht="15" customHeight="1"/>
    <row r="64582" ht="15" customHeight="1"/>
    <row r="64583" ht="15" customHeight="1"/>
    <row r="64584" ht="15" customHeight="1"/>
    <row r="64585" ht="15" customHeight="1"/>
    <row r="64586" ht="15" customHeight="1"/>
    <row r="64587" ht="15" customHeight="1"/>
    <row r="64588" ht="15" customHeight="1"/>
    <row r="64589" ht="15" customHeight="1"/>
    <row r="64590" ht="15" customHeight="1"/>
    <row r="64591" ht="15" customHeight="1"/>
    <row r="64592" ht="15" customHeight="1"/>
    <row r="64593" ht="15" customHeight="1"/>
    <row r="64594" ht="15" customHeight="1"/>
    <row r="64595" ht="15" customHeight="1"/>
    <row r="64596" ht="15" customHeight="1"/>
    <row r="64597" ht="15" customHeight="1"/>
    <row r="64598" ht="15" customHeight="1"/>
    <row r="64599" ht="15" customHeight="1"/>
    <row r="64600" ht="15" customHeight="1"/>
    <row r="64601" ht="15" customHeight="1"/>
    <row r="64602" ht="15" customHeight="1"/>
    <row r="64603" ht="15" customHeight="1"/>
    <row r="64604" ht="15" customHeight="1"/>
    <row r="64605" ht="15" customHeight="1"/>
    <row r="64606" ht="15" customHeight="1"/>
    <row r="64607" ht="15" customHeight="1"/>
    <row r="64608" ht="15" customHeight="1"/>
    <row r="64609" ht="15" customHeight="1"/>
    <row r="64610" ht="15" customHeight="1"/>
    <row r="64611" ht="15" customHeight="1"/>
    <row r="64612" ht="15" customHeight="1"/>
    <row r="64613" ht="15" customHeight="1"/>
    <row r="64614" ht="15" customHeight="1"/>
    <row r="64615" ht="15" customHeight="1"/>
    <row r="64616" ht="15" customHeight="1"/>
    <row r="64617" ht="15" customHeight="1"/>
    <row r="64618" ht="15" customHeight="1"/>
    <row r="64619" ht="15" customHeight="1"/>
    <row r="64620" ht="15" customHeight="1"/>
    <row r="64621" ht="15" customHeight="1"/>
    <row r="64622" ht="15" customHeight="1"/>
    <row r="64623" ht="15" customHeight="1"/>
    <row r="64624" ht="15" customHeight="1"/>
    <row r="64625" ht="15" customHeight="1"/>
    <row r="64626" ht="15" customHeight="1"/>
    <row r="64627" ht="15" customHeight="1"/>
    <row r="64628" ht="15" customHeight="1"/>
    <row r="64629" ht="15" customHeight="1"/>
    <row r="64630" ht="15" customHeight="1"/>
    <row r="64631" ht="15" customHeight="1"/>
    <row r="64632" ht="15" customHeight="1"/>
    <row r="64633" ht="15" customHeight="1"/>
    <row r="64634" ht="15" customHeight="1"/>
    <row r="64635" ht="15" customHeight="1"/>
    <row r="64636" ht="15" customHeight="1"/>
    <row r="64637" ht="15" customHeight="1"/>
    <row r="64638" ht="15" customHeight="1"/>
    <row r="64639" ht="15" customHeight="1"/>
    <row r="64640" ht="15" customHeight="1"/>
    <row r="64641" ht="15" customHeight="1"/>
    <row r="64642" ht="15" customHeight="1"/>
    <row r="64643" ht="15" customHeight="1"/>
    <row r="64644" ht="15" customHeight="1"/>
    <row r="64645" ht="15" customHeight="1"/>
    <row r="64646" ht="15" customHeight="1"/>
    <row r="64647" ht="15" customHeight="1"/>
    <row r="64648" ht="15" customHeight="1"/>
    <row r="64649" ht="15" customHeight="1"/>
    <row r="64650" ht="15" customHeight="1"/>
    <row r="64651" ht="15" customHeight="1"/>
    <row r="64652" ht="15" customHeight="1"/>
    <row r="64653" ht="15" customHeight="1"/>
    <row r="64654" ht="15" customHeight="1"/>
    <row r="64655" ht="15" customHeight="1"/>
    <row r="64656" ht="15" customHeight="1"/>
    <row r="64657" ht="15" customHeight="1"/>
    <row r="64658" ht="15" customHeight="1"/>
    <row r="64659" ht="15" customHeight="1"/>
    <row r="64660" ht="15" customHeight="1"/>
    <row r="64661" ht="15" customHeight="1"/>
    <row r="64662" ht="15" customHeight="1"/>
    <row r="64663" ht="15" customHeight="1"/>
    <row r="64664" ht="15" customHeight="1"/>
    <row r="64665" ht="15" customHeight="1"/>
    <row r="64666" ht="15" customHeight="1"/>
    <row r="64667" ht="15" customHeight="1"/>
    <row r="64668" ht="15" customHeight="1"/>
    <row r="64669" ht="15" customHeight="1"/>
    <row r="64670" ht="15" customHeight="1"/>
    <row r="64671" ht="15" customHeight="1"/>
    <row r="64672" ht="15" customHeight="1"/>
    <row r="64673" ht="15" customHeight="1"/>
    <row r="64674" ht="15" customHeight="1"/>
    <row r="64675" ht="15" customHeight="1"/>
    <row r="64676" ht="15" customHeight="1"/>
    <row r="64677" ht="15" customHeight="1"/>
    <row r="64678" ht="15" customHeight="1"/>
    <row r="64679" ht="15" customHeight="1"/>
    <row r="64680" ht="15" customHeight="1"/>
    <row r="64681" ht="15" customHeight="1"/>
    <row r="64682" ht="15" customHeight="1"/>
    <row r="64683" ht="15" customHeight="1"/>
    <row r="64684" ht="15" customHeight="1"/>
    <row r="64685" ht="15" customHeight="1"/>
    <row r="64686" ht="15" customHeight="1"/>
    <row r="64687" ht="15" customHeight="1"/>
    <row r="64688" ht="15" customHeight="1"/>
    <row r="64689" ht="15" customHeight="1"/>
    <row r="64690" ht="15" customHeight="1"/>
    <row r="64691" ht="15" customHeight="1"/>
    <row r="64692" ht="15" customHeight="1"/>
    <row r="64693" ht="15" customHeight="1"/>
    <row r="64694" ht="15" customHeight="1"/>
    <row r="64695" ht="15" customHeight="1"/>
    <row r="64696" ht="15" customHeight="1"/>
    <row r="64697" ht="15" customHeight="1"/>
    <row r="64698" ht="15" customHeight="1"/>
    <row r="64699" ht="15" customHeight="1"/>
    <row r="64700" ht="15" customHeight="1"/>
    <row r="64701" ht="15" customHeight="1"/>
    <row r="64702" ht="15" customHeight="1"/>
    <row r="64703" ht="15" customHeight="1"/>
    <row r="64704" ht="15" customHeight="1"/>
    <row r="64705" ht="15" customHeight="1"/>
    <row r="64706" ht="15" customHeight="1"/>
    <row r="64707" ht="15" customHeight="1"/>
    <row r="64708" ht="15" customHeight="1"/>
    <row r="64709" ht="15" customHeight="1"/>
    <row r="64710" ht="15" customHeight="1"/>
    <row r="64711" ht="15" customHeight="1"/>
    <row r="64712" ht="15" customHeight="1"/>
    <row r="64713" ht="15" customHeight="1"/>
    <row r="64714" ht="15" customHeight="1"/>
    <row r="64715" ht="15" customHeight="1"/>
    <row r="64716" ht="15" customHeight="1"/>
    <row r="64717" ht="15" customHeight="1"/>
    <row r="64718" ht="15" customHeight="1"/>
    <row r="64719" ht="15" customHeight="1"/>
    <row r="64720" ht="15" customHeight="1"/>
    <row r="64721" ht="15" customHeight="1"/>
    <row r="64722" ht="15" customHeight="1"/>
    <row r="64723" ht="15" customHeight="1"/>
    <row r="64724" ht="15" customHeight="1"/>
    <row r="64725" ht="15" customHeight="1"/>
    <row r="64726" ht="15" customHeight="1"/>
    <row r="64727" ht="15" customHeight="1"/>
    <row r="64728" ht="15" customHeight="1"/>
    <row r="64729" ht="15" customHeight="1"/>
    <row r="64730" ht="15" customHeight="1"/>
    <row r="64731" ht="15" customHeight="1"/>
    <row r="64732" ht="15" customHeight="1"/>
    <row r="64733" ht="15" customHeight="1"/>
    <row r="64734" ht="15" customHeight="1"/>
    <row r="64735" ht="15" customHeight="1"/>
    <row r="64736" ht="15" customHeight="1"/>
    <row r="64737" ht="15" customHeight="1"/>
    <row r="64738" ht="15" customHeight="1"/>
    <row r="64739" ht="15" customHeight="1"/>
    <row r="64740" ht="15" customHeight="1"/>
    <row r="64741" ht="15" customHeight="1"/>
    <row r="64742" ht="15" customHeight="1"/>
    <row r="64743" ht="15" customHeight="1"/>
    <row r="64744" ht="15" customHeight="1"/>
    <row r="64745" ht="15" customHeight="1"/>
    <row r="64746" ht="15" customHeight="1"/>
    <row r="64747" ht="15" customHeight="1"/>
    <row r="64748" ht="15" customHeight="1"/>
    <row r="64749" ht="15" customHeight="1"/>
    <row r="64750" ht="15" customHeight="1"/>
    <row r="64751" ht="15" customHeight="1"/>
    <row r="64752" ht="15" customHeight="1"/>
    <row r="64753" ht="15" customHeight="1"/>
    <row r="64754" ht="15" customHeight="1"/>
    <row r="64755" ht="15" customHeight="1"/>
    <row r="64756" ht="15" customHeight="1"/>
    <row r="64757" ht="15" customHeight="1"/>
    <row r="64758" ht="15" customHeight="1"/>
    <row r="64759" ht="15" customHeight="1"/>
    <row r="64760" ht="15" customHeight="1"/>
    <row r="64761" ht="15" customHeight="1"/>
    <row r="64762" ht="15" customHeight="1"/>
    <row r="64763" ht="15" customHeight="1"/>
    <row r="64764" ht="15" customHeight="1"/>
    <row r="64765" ht="15" customHeight="1"/>
    <row r="64766" ht="15" customHeight="1"/>
    <row r="64767" ht="15" customHeight="1"/>
    <row r="64768" ht="15" customHeight="1"/>
    <row r="64769" ht="15" customHeight="1"/>
    <row r="64770" ht="15" customHeight="1"/>
    <row r="64771" ht="15" customHeight="1"/>
    <row r="64772" ht="15" customHeight="1"/>
    <row r="64773" ht="15" customHeight="1"/>
    <row r="64774" ht="15" customHeight="1"/>
    <row r="64775" ht="15" customHeight="1"/>
    <row r="64776" ht="15" customHeight="1"/>
    <row r="64777" ht="15" customHeight="1"/>
    <row r="64778" ht="15" customHeight="1"/>
    <row r="64779" ht="15" customHeight="1"/>
    <row r="64780" ht="15" customHeight="1"/>
    <row r="64781" ht="15" customHeight="1"/>
    <row r="64782" ht="15" customHeight="1"/>
    <row r="64783" ht="15" customHeight="1"/>
    <row r="64784" ht="15" customHeight="1"/>
    <row r="64785" ht="15" customHeight="1"/>
    <row r="64786" ht="15" customHeight="1"/>
    <row r="64787" ht="15" customHeight="1"/>
    <row r="64788" ht="15" customHeight="1"/>
    <row r="64789" ht="15" customHeight="1"/>
    <row r="64790" ht="15" customHeight="1"/>
    <row r="64791" ht="15" customHeight="1"/>
    <row r="64792" ht="15" customHeight="1"/>
    <row r="64793" ht="15" customHeight="1"/>
    <row r="64794" ht="15" customHeight="1"/>
    <row r="64795" ht="15" customHeight="1"/>
    <row r="64796" ht="15" customHeight="1"/>
    <row r="64797" ht="15" customHeight="1"/>
    <row r="64798" ht="15" customHeight="1"/>
    <row r="64799" ht="15" customHeight="1"/>
    <row r="64800" ht="15" customHeight="1"/>
    <row r="64801" ht="15" customHeight="1"/>
    <row r="64802" ht="15" customHeight="1"/>
    <row r="64803" ht="15" customHeight="1"/>
    <row r="64804" ht="15" customHeight="1"/>
    <row r="64805" ht="15" customHeight="1"/>
    <row r="64806" ht="15" customHeight="1"/>
    <row r="64807" ht="15" customHeight="1"/>
    <row r="64808" ht="15" customHeight="1"/>
    <row r="64809" ht="15" customHeight="1"/>
    <row r="64810" ht="15" customHeight="1"/>
    <row r="64811" ht="15" customHeight="1"/>
    <row r="64812" ht="15" customHeight="1"/>
    <row r="64813" ht="15" customHeight="1"/>
    <row r="64814" ht="15" customHeight="1"/>
    <row r="64815" ht="15" customHeight="1"/>
    <row r="64816" ht="15" customHeight="1"/>
    <row r="64817" ht="15" customHeight="1"/>
    <row r="64818" ht="15" customHeight="1"/>
    <row r="64819" ht="15" customHeight="1"/>
    <row r="64820" ht="15" customHeight="1"/>
    <row r="64821" ht="15" customHeight="1"/>
    <row r="64822" ht="15" customHeight="1"/>
    <row r="64823" ht="15" customHeight="1"/>
    <row r="64824" ht="15" customHeight="1"/>
    <row r="64825" ht="15" customHeight="1"/>
    <row r="64826" ht="15" customHeight="1"/>
    <row r="64827" ht="15" customHeight="1"/>
    <row r="64828" ht="15" customHeight="1"/>
    <row r="64829" ht="15" customHeight="1"/>
    <row r="64830" ht="15" customHeight="1"/>
    <row r="64831" ht="15" customHeight="1"/>
    <row r="64832" ht="15" customHeight="1"/>
    <row r="64833" ht="15" customHeight="1"/>
    <row r="64834" ht="15" customHeight="1"/>
    <row r="64835" ht="15" customHeight="1"/>
    <row r="64836" ht="15" customHeight="1"/>
    <row r="64837" ht="15" customHeight="1"/>
    <row r="64838" ht="15" customHeight="1"/>
    <row r="64839" ht="15" customHeight="1"/>
    <row r="64840" ht="15" customHeight="1"/>
    <row r="64841" ht="15" customHeight="1"/>
    <row r="64842" ht="15" customHeight="1"/>
    <row r="64843" ht="15" customHeight="1"/>
    <row r="64844" ht="15" customHeight="1"/>
    <row r="64845" ht="15" customHeight="1"/>
    <row r="64846" ht="15" customHeight="1"/>
    <row r="64847" ht="15" customHeight="1"/>
    <row r="64848" ht="15" customHeight="1"/>
    <row r="64849" ht="15" customHeight="1"/>
    <row r="64850" ht="15" customHeight="1"/>
    <row r="64851" ht="15" customHeight="1"/>
    <row r="64852" ht="15" customHeight="1"/>
    <row r="64853" ht="15" customHeight="1"/>
    <row r="64854" ht="15" customHeight="1"/>
    <row r="64855" ht="15" customHeight="1"/>
    <row r="64856" ht="15" customHeight="1"/>
    <row r="64857" ht="15" customHeight="1"/>
    <row r="64858" ht="15" customHeight="1"/>
    <row r="64859" ht="15" customHeight="1"/>
    <row r="64860" ht="15" customHeight="1"/>
    <row r="64861" ht="15" customHeight="1"/>
    <row r="64862" ht="15" customHeight="1"/>
    <row r="64863" ht="15" customHeight="1"/>
    <row r="64864" ht="15" customHeight="1"/>
    <row r="64865" ht="15" customHeight="1"/>
    <row r="64866" ht="15" customHeight="1"/>
    <row r="64867" ht="15" customHeight="1"/>
    <row r="64868" ht="15" customHeight="1"/>
    <row r="64869" ht="15" customHeight="1"/>
    <row r="64870" ht="15" customHeight="1"/>
    <row r="64871" ht="15" customHeight="1"/>
    <row r="64872" ht="15" customHeight="1"/>
    <row r="64873" ht="15" customHeight="1"/>
    <row r="64874" ht="15" customHeight="1"/>
    <row r="64875" ht="15" customHeight="1"/>
    <row r="64876" ht="15" customHeight="1"/>
    <row r="64877" ht="15" customHeight="1"/>
    <row r="64878" ht="15" customHeight="1"/>
    <row r="64879" ht="15" customHeight="1"/>
    <row r="64880" ht="15" customHeight="1"/>
    <row r="64881" ht="15" customHeight="1"/>
    <row r="64882" ht="15" customHeight="1"/>
    <row r="64883" ht="15" customHeight="1"/>
    <row r="64884" ht="15" customHeight="1"/>
    <row r="64885" ht="15" customHeight="1"/>
    <row r="64886" ht="15" customHeight="1"/>
    <row r="64887" ht="15" customHeight="1"/>
    <row r="64888" ht="15" customHeight="1"/>
    <row r="64889" ht="15" customHeight="1"/>
    <row r="64890" ht="15" customHeight="1"/>
    <row r="64891" ht="15" customHeight="1"/>
    <row r="64892" ht="15" customHeight="1"/>
    <row r="64893" ht="15" customHeight="1"/>
    <row r="64894" ht="15" customHeight="1"/>
    <row r="64895" ht="15" customHeight="1"/>
    <row r="64896" ht="15" customHeight="1"/>
    <row r="64897" ht="15" customHeight="1"/>
    <row r="64898" ht="15" customHeight="1"/>
    <row r="64899" ht="15" customHeight="1"/>
    <row r="64900" ht="15" customHeight="1"/>
    <row r="64901" ht="15" customHeight="1"/>
    <row r="64902" ht="15" customHeight="1"/>
    <row r="64903" ht="15" customHeight="1"/>
    <row r="64904" ht="15" customHeight="1"/>
    <row r="64905" ht="15" customHeight="1"/>
    <row r="64906" ht="15" customHeight="1"/>
    <row r="64907" ht="15" customHeight="1"/>
    <row r="64908" ht="15" customHeight="1"/>
    <row r="64909" ht="15" customHeight="1"/>
    <row r="64910" ht="15" customHeight="1"/>
    <row r="64911" ht="15" customHeight="1"/>
    <row r="64912" ht="15" customHeight="1"/>
    <row r="64913" ht="15" customHeight="1"/>
    <row r="64914" ht="15" customHeight="1"/>
    <row r="64915" ht="15" customHeight="1"/>
    <row r="64916" ht="15" customHeight="1"/>
    <row r="64917" ht="15" customHeight="1"/>
    <row r="64918" ht="15" customHeight="1"/>
    <row r="64919" ht="15" customHeight="1"/>
    <row r="64920" ht="15" customHeight="1"/>
    <row r="64921" ht="15" customHeight="1"/>
    <row r="64922" ht="15" customHeight="1"/>
    <row r="64923" ht="15" customHeight="1"/>
    <row r="64924" ht="15" customHeight="1"/>
    <row r="64925" ht="15" customHeight="1"/>
    <row r="64926" ht="15" customHeight="1"/>
    <row r="64927" ht="15" customHeight="1"/>
    <row r="64928" ht="15" customHeight="1"/>
    <row r="64929" ht="15" customHeight="1"/>
    <row r="64930" ht="15" customHeight="1"/>
    <row r="64931" ht="15" customHeight="1"/>
    <row r="64932" ht="15" customHeight="1"/>
    <row r="64933" ht="15" customHeight="1"/>
    <row r="64934" ht="15" customHeight="1"/>
    <row r="64935" ht="15" customHeight="1"/>
    <row r="64936" ht="15" customHeight="1"/>
    <row r="64937" ht="15" customHeight="1"/>
    <row r="64938" ht="15" customHeight="1"/>
    <row r="64939" ht="15" customHeight="1"/>
    <row r="64940" ht="15" customHeight="1"/>
    <row r="64941" ht="15" customHeight="1"/>
    <row r="64942" ht="15" customHeight="1"/>
    <row r="64943" ht="15" customHeight="1"/>
    <row r="64944" ht="15" customHeight="1"/>
    <row r="64945" ht="15" customHeight="1"/>
    <row r="64946" ht="15" customHeight="1"/>
    <row r="64947" ht="15" customHeight="1"/>
    <row r="64948" ht="15" customHeight="1"/>
    <row r="64949" ht="15" customHeight="1"/>
    <row r="64950" ht="15" customHeight="1"/>
    <row r="64951" ht="15" customHeight="1"/>
    <row r="64952" ht="15" customHeight="1"/>
    <row r="64953" ht="15" customHeight="1"/>
    <row r="64954" ht="15" customHeight="1"/>
    <row r="64955" ht="15" customHeight="1"/>
    <row r="64956" ht="15" customHeight="1"/>
    <row r="64957" ht="15" customHeight="1"/>
    <row r="64958" ht="15" customHeight="1"/>
    <row r="64959" ht="15" customHeight="1"/>
    <row r="64960" ht="15" customHeight="1"/>
    <row r="64961" ht="15" customHeight="1"/>
    <row r="64962" ht="15" customHeight="1"/>
    <row r="64963" ht="15" customHeight="1"/>
    <row r="64964" ht="15" customHeight="1"/>
    <row r="64965" ht="15" customHeight="1"/>
    <row r="64966" ht="15" customHeight="1"/>
    <row r="64967" ht="15" customHeight="1"/>
    <row r="64968" ht="15" customHeight="1"/>
    <row r="64969" ht="15" customHeight="1"/>
    <row r="64970" ht="15" customHeight="1"/>
    <row r="64971" ht="15" customHeight="1"/>
    <row r="64972" ht="15" customHeight="1"/>
    <row r="64973" ht="15" customHeight="1"/>
    <row r="64974" ht="15" customHeight="1"/>
    <row r="64975" ht="15" customHeight="1"/>
    <row r="64976" ht="15" customHeight="1"/>
    <row r="64977" ht="15" customHeight="1"/>
    <row r="64978" ht="15" customHeight="1"/>
    <row r="64979" ht="15" customHeight="1"/>
    <row r="64980" ht="15" customHeight="1"/>
    <row r="64981" ht="15" customHeight="1"/>
    <row r="64982" ht="15" customHeight="1"/>
    <row r="64983" ht="15" customHeight="1"/>
    <row r="64984" ht="15" customHeight="1"/>
    <row r="64985" ht="15" customHeight="1"/>
    <row r="64986" ht="15" customHeight="1"/>
    <row r="64987" ht="15" customHeight="1"/>
    <row r="64988" ht="15" customHeight="1"/>
    <row r="64989" ht="15" customHeight="1"/>
    <row r="64990" ht="15" customHeight="1"/>
    <row r="64991" ht="15" customHeight="1"/>
    <row r="64992" ht="15" customHeight="1"/>
    <row r="64993" ht="15" customHeight="1"/>
    <row r="64994" ht="15" customHeight="1"/>
    <row r="64995" ht="15" customHeight="1"/>
    <row r="64996" ht="15" customHeight="1"/>
    <row r="64997" ht="15" customHeight="1"/>
    <row r="64998" ht="15" customHeight="1"/>
    <row r="64999" ht="15" customHeight="1"/>
    <row r="65000" ht="15" customHeight="1"/>
    <row r="65001" ht="15" customHeight="1"/>
    <row r="65002" ht="15" customHeight="1"/>
    <row r="65003" ht="15" customHeight="1"/>
    <row r="65004" ht="15" customHeight="1"/>
    <row r="65005" ht="15" customHeight="1"/>
    <row r="65006" ht="15" customHeight="1"/>
    <row r="65007" ht="15" customHeight="1"/>
    <row r="65008" ht="15" customHeight="1"/>
    <row r="65009" ht="15" customHeight="1"/>
    <row r="65010" ht="15" customHeight="1"/>
    <row r="65011" ht="15" customHeight="1"/>
    <row r="65012" ht="15" customHeight="1"/>
    <row r="65013" ht="15" customHeight="1"/>
    <row r="65014" ht="15" customHeight="1"/>
    <row r="65015" ht="15" customHeight="1"/>
    <row r="65016" ht="15" customHeight="1"/>
    <row r="65017" ht="15" customHeight="1"/>
    <row r="65018" ht="15" customHeight="1"/>
    <row r="65019" ht="15" customHeight="1"/>
    <row r="65020" ht="15" customHeight="1"/>
    <row r="65021" ht="15" customHeight="1"/>
    <row r="65022" ht="15" customHeight="1"/>
    <row r="65023" ht="15" customHeight="1"/>
    <row r="65024" ht="15" customHeight="1"/>
    <row r="65025" ht="15" customHeight="1"/>
    <row r="65026" ht="15" customHeight="1"/>
    <row r="65027" ht="15" customHeight="1"/>
    <row r="65028" ht="15" customHeight="1"/>
    <row r="65029" ht="15" customHeight="1"/>
    <row r="65030" ht="15" customHeight="1"/>
    <row r="65031" ht="15" customHeight="1"/>
    <row r="65032" ht="15" customHeight="1"/>
    <row r="65033" ht="15" customHeight="1"/>
    <row r="65034" ht="15" customHeight="1"/>
    <row r="65035" ht="15" customHeight="1"/>
    <row r="65036" ht="15" customHeight="1"/>
    <row r="65037" ht="15" customHeight="1"/>
    <row r="65038" ht="15" customHeight="1"/>
    <row r="65039" ht="15" customHeight="1"/>
    <row r="65040" ht="15" customHeight="1"/>
    <row r="65041" ht="15" customHeight="1"/>
    <row r="65042" ht="15" customHeight="1"/>
    <row r="65043" ht="15" customHeight="1"/>
    <row r="65044" ht="15" customHeight="1"/>
    <row r="65045" ht="15" customHeight="1"/>
    <row r="65046" ht="15" customHeight="1"/>
    <row r="65047" ht="15" customHeight="1"/>
    <row r="65048" ht="15" customHeight="1"/>
    <row r="65049" ht="15" customHeight="1"/>
    <row r="65050" ht="15" customHeight="1"/>
    <row r="65051" ht="15" customHeight="1"/>
    <row r="65052" ht="15" customHeight="1"/>
    <row r="65053" ht="15" customHeight="1"/>
    <row r="65054" ht="15" customHeight="1"/>
    <row r="65055" ht="15" customHeight="1"/>
    <row r="65056" ht="15" customHeight="1"/>
    <row r="65057" ht="15" customHeight="1"/>
    <row r="65058" ht="15" customHeight="1"/>
    <row r="65059" ht="15" customHeight="1"/>
    <row r="65060" ht="15" customHeight="1"/>
    <row r="65061" ht="15" customHeight="1"/>
    <row r="65062" ht="15" customHeight="1"/>
    <row r="65063" ht="15" customHeight="1"/>
    <row r="65064" ht="15" customHeight="1"/>
    <row r="65065" ht="15" customHeight="1"/>
    <row r="65066" ht="15" customHeight="1"/>
    <row r="65067" ht="15" customHeight="1"/>
    <row r="65068" ht="15" customHeight="1"/>
    <row r="65069" ht="15" customHeight="1"/>
    <row r="65070" ht="15" customHeight="1"/>
    <row r="65071" ht="15" customHeight="1"/>
    <row r="65072" ht="15" customHeight="1"/>
    <row r="65073" ht="15" customHeight="1"/>
    <row r="65074" ht="15" customHeight="1"/>
    <row r="65075" ht="15" customHeight="1"/>
    <row r="65076" ht="15" customHeight="1"/>
    <row r="65077" ht="15" customHeight="1"/>
    <row r="65078" ht="15" customHeight="1"/>
    <row r="65079" ht="15" customHeight="1"/>
    <row r="65080" ht="15" customHeight="1"/>
    <row r="65081" ht="15" customHeight="1"/>
    <row r="65082" ht="15" customHeight="1"/>
    <row r="65083" ht="15" customHeight="1"/>
    <row r="65084" ht="15" customHeight="1"/>
    <row r="65085" ht="15" customHeight="1"/>
    <row r="65086" ht="15" customHeight="1"/>
    <row r="65087" ht="15" customHeight="1"/>
    <row r="65088" ht="15" customHeight="1"/>
    <row r="65089" ht="15" customHeight="1"/>
    <row r="65090" ht="15" customHeight="1"/>
    <row r="65091" ht="15" customHeight="1"/>
    <row r="65092" ht="15" customHeight="1"/>
    <row r="65093" ht="15" customHeight="1"/>
    <row r="65094" ht="15" customHeight="1"/>
    <row r="65095" ht="15" customHeight="1"/>
    <row r="65096" ht="15" customHeight="1"/>
    <row r="65097" ht="15" customHeight="1"/>
    <row r="65098" ht="15" customHeight="1"/>
    <row r="65099" ht="15" customHeight="1"/>
    <row r="65100" ht="15" customHeight="1"/>
    <row r="65101" ht="15" customHeight="1"/>
    <row r="65102" ht="15" customHeight="1"/>
    <row r="65103" ht="15" customHeight="1"/>
    <row r="65104" ht="15" customHeight="1"/>
    <row r="65105" ht="15" customHeight="1"/>
    <row r="65106" ht="15" customHeight="1"/>
    <row r="65107" ht="15" customHeight="1"/>
    <row r="65108" ht="15" customHeight="1"/>
    <row r="65109" ht="15" customHeight="1"/>
    <row r="65110" ht="15" customHeight="1"/>
    <row r="65111" ht="15" customHeight="1"/>
    <row r="65112" ht="15" customHeight="1"/>
    <row r="65113" ht="15" customHeight="1"/>
    <row r="65114" ht="15" customHeight="1"/>
    <row r="65115" ht="15" customHeight="1"/>
    <row r="65116" ht="15" customHeight="1"/>
    <row r="65117" ht="15" customHeight="1"/>
    <row r="65118" ht="15" customHeight="1"/>
    <row r="65119" ht="15" customHeight="1"/>
    <row r="65120" ht="15" customHeight="1"/>
    <row r="65121" ht="15" customHeight="1"/>
    <row r="65122" ht="15" customHeight="1"/>
    <row r="65123" ht="15" customHeight="1"/>
    <row r="65124" ht="15" customHeight="1"/>
    <row r="65125" ht="15" customHeight="1"/>
    <row r="65126" ht="15" customHeight="1"/>
    <row r="65127" ht="15" customHeight="1"/>
    <row r="65128" ht="15" customHeight="1"/>
    <row r="65129" ht="15" customHeight="1"/>
    <row r="65130" ht="15" customHeight="1"/>
    <row r="65131" ht="15" customHeight="1"/>
    <row r="65132" ht="15" customHeight="1"/>
    <row r="65133" ht="15" customHeight="1"/>
    <row r="65134" ht="15" customHeight="1"/>
    <row r="65135" ht="15" customHeight="1"/>
    <row r="65136" ht="15" customHeight="1"/>
    <row r="65137" ht="15" customHeight="1"/>
    <row r="65138" ht="15" customHeight="1"/>
    <row r="65139" ht="15" customHeight="1"/>
    <row r="65140" ht="15" customHeight="1"/>
    <row r="65141" ht="15" customHeight="1"/>
    <row r="65142" ht="15" customHeight="1"/>
    <row r="65143" ht="15" customHeight="1"/>
    <row r="65144" ht="15" customHeight="1"/>
    <row r="65145" ht="15" customHeight="1"/>
    <row r="65146" ht="15" customHeight="1"/>
    <row r="65147" ht="15" customHeight="1"/>
    <row r="65148" ht="15" customHeight="1"/>
    <row r="65149" ht="15" customHeight="1"/>
    <row r="65150" ht="15" customHeight="1"/>
    <row r="65151" ht="15" customHeight="1"/>
    <row r="65152" ht="15" customHeight="1"/>
    <row r="65153" ht="15" customHeight="1"/>
    <row r="65154" ht="15" customHeight="1"/>
    <row r="65155" ht="15" customHeight="1"/>
    <row r="65156" ht="15" customHeight="1"/>
    <row r="65157" ht="15" customHeight="1"/>
    <row r="65158" ht="15" customHeight="1"/>
    <row r="65159" ht="15" customHeight="1"/>
    <row r="65160" ht="15" customHeight="1"/>
    <row r="65161" ht="15" customHeight="1"/>
    <row r="65162" ht="15" customHeight="1"/>
    <row r="65163" ht="15" customHeight="1"/>
    <row r="65164" ht="15" customHeight="1"/>
    <row r="65165" ht="15" customHeight="1"/>
    <row r="65166" ht="15" customHeight="1"/>
    <row r="65167" ht="15" customHeight="1"/>
    <row r="65168" ht="15" customHeight="1"/>
    <row r="65169" ht="15" customHeight="1"/>
    <row r="65170" ht="15" customHeight="1"/>
    <row r="65171" ht="15" customHeight="1"/>
    <row r="65172" ht="15" customHeight="1"/>
    <row r="65173" ht="15" customHeight="1"/>
    <row r="65174" ht="15" customHeight="1"/>
    <row r="65175" ht="15" customHeight="1"/>
    <row r="65176" ht="15" customHeight="1"/>
    <row r="65177" ht="15" customHeight="1"/>
    <row r="65178" ht="15" customHeight="1"/>
    <row r="65179" ht="15" customHeight="1"/>
    <row r="65180" ht="15" customHeight="1"/>
    <row r="65181" ht="15" customHeight="1"/>
    <row r="65182" ht="15" customHeight="1"/>
    <row r="65183" ht="15" customHeight="1"/>
    <row r="65184" ht="15" customHeight="1"/>
    <row r="65185" ht="15" customHeight="1"/>
    <row r="65186" ht="15" customHeight="1"/>
    <row r="65187" ht="15" customHeight="1"/>
    <row r="65188" ht="15" customHeight="1"/>
    <row r="65189" ht="15" customHeight="1"/>
    <row r="65190" ht="15" customHeight="1"/>
    <row r="65191" ht="15" customHeight="1"/>
    <row r="65192" ht="15" customHeight="1"/>
    <row r="65193" ht="15" customHeight="1"/>
    <row r="65194" ht="15" customHeight="1"/>
    <row r="65195" ht="15" customHeight="1"/>
    <row r="65196" ht="15" customHeight="1"/>
    <row r="65197" ht="15" customHeight="1"/>
    <row r="65198" ht="15" customHeight="1"/>
    <row r="65199" ht="15" customHeight="1"/>
    <row r="65200" ht="15" customHeight="1"/>
    <row r="65201" ht="15" customHeight="1"/>
    <row r="65202" ht="15" customHeight="1"/>
    <row r="65203" ht="15" customHeight="1"/>
    <row r="65204" ht="15" customHeight="1"/>
    <row r="65205" ht="15" customHeight="1"/>
    <row r="65206" ht="15" customHeight="1"/>
    <row r="65207" ht="15" customHeight="1"/>
    <row r="65208" ht="15" customHeight="1"/>
    <row r="65209" ht="15" customHeight="1"/>
    <row r="65210" ht="15" customHeight="1"/>
    <row r="65211" ht="15" customHeight="1"/>
    <row r="65212" ht="15" customHeight="1"/>
    <row r="65213" ht="15" customHeight="1"/>
    <row r="65214" ht="15" customHeight="1"/>
    <row r="65215" ht="15" customHeight="1"/>
    <row r="65216" ht="15" customHeight="1"/>
    <row r="65217" ht="15" customHeight="1"/>
    <row r="65218" ht="15" customHeight="1"/>
    <row r="65219" ht="15" customHeight="1"/>
    <row r="65220" ht="15" customHeight="1"/>
    <row r="65221" ht="15" customHeight="1"/>
    <row r="65222" ht="15" customHeight="1"/>
    <row r="65223" ht="15" customHeight="1"/>
    <row r="65224" ht="15" customHeight="1"/>
    <row r="65225" ht="15" customHeight="1"/>
    <row r="65226" ht="15" customHeight="1"/>
    <row r="65227" ht="15" customHeight="1"/>
    <row r="65228" ht="15" customHeight="1"/>
    <row r="65229" ht="15" customHeight="1"/>
    <row r="65230" ht="15" customHeight="1"/>
    <row r="65231" ht="15" customHeight="1"/>
    <row r="65232" ht="15" customHeight="1"/>
    <row r="65233" ht="15" customHeight="1"/>
    <row r="65234" ht="15" customHeight="1"/>
    <row r="65235" ht="15" customHeight="1"/>
    <row r="65236" ht="15" customHeight="1"/>
    <row r="65237" ht="15" customHeight="1"/>
    <row r="65238" ht="15" customHeight="1"/>
    <row r="65239" ht="15" customHeight="1"/>
    <row r="65240" ht="15" customHeight="1"/>
    <row r="65241" ht="15" customHeight="1"/>
    <row r="65242" ht="15" customHeight="1"/>
    <row r="65243" ht="15" customHeight="1"/>
    <row r="65244" ht="15" customHeight="1"/>
    <row r="65245" ht="15" customHeight="1"/>
    <row r="65246" ht="15" customHeight="1"/>
    <row r="65247" ht="15" customHeight="1"/>
    <row r="65248" ht="15" customHeight="1"/>
    <row r="65249" ht="15" customHeight="1"/>
    <row r="65250" ht="15" customHeight="1"/>
    <row r="65251" ht="15" customHeight="1"/>
    <row r="65252" ht="15" customHeight="1"/>
    <row r="65253" ht="15" customHeight="1"/>
    <row r="65254" ht="15" customHeight="1"/>
    <row r="65255" ht="15" customHeight="1"/>
    <row r="65256" ht="15" customHeight="1"/>
    <row r="65257" ht="15" customHeight="1"/>
    <row r="65258" ht="15" customHeight="1"/>
    <row r="65259" ht="15" customHeight="1"/>
    <row r="65260" ht="15" customHeight="1"/>
    <row r="65261" ht="15" customHeight="1"/>
    <row r="65262" ht="15" customHeight="1"/>
    <row r="65263" ht="15" customHeight="1"/>
    <row r="65264" ht="15" customHeight="1"/>
    <row r="65265" ht="15" customHeight="1"/>
    <row r="65266" ht="15" customHeight="1"/>
    <row r="65267" ht="15" customHeight="1"/>
    <row r="65268" ht="15" customHeight="1"/>
    <row r="65269" ht="15" customHeight="1"/>
    <row r="65270" ht="15" customHeight="1"/>
    <row r="65271" ht="15" customHeight="1"/>
    <row r="65272" ht="15" customHeight="1"/>
    <row r="65273" ht="15" customHeight="1"/>
    <row r="65274" ht="15" customHeight="1"/>
    <row r="65275" ht="15" customHeight="1"/>
    <row r="65276" ht="15" customHeight="1"/>
    <row r="65277" ht="15" customHeight="1"/>
    <row r="65278" ht="15" customHeight="1"/>
    <row r="65279" ht="15" customHeight="1"/>
    <row r="65280" ht="15" customHeight="1"/>
    <row r="65281" ht="15" customHeight="1"/>
    <row r="65282" ht="15" customHeight="1"/>
    <row r="65283" ht="15" customHeight="1"/>
    <row r="65284" ht="15" customHeight="1"/>
    <row r="65285" ht="15" customHeight="1"/>
    <row r="65286" ht="15" customHeight="1"/>
    <row r="65287" ht="15" customHeight="1"/>
    <row r="65288" ht="15" customHeight="1"/>
    <row r="65289" ht="15" customHeight="1"/>
    <row r="65290" ht="15" customHeight="1"/>
    <row r="65291" ht="15" customHeight="1"/>
    <row r="65292" ht="15" customHeight="1"/>
    <row r="65293" ht="15" customHeight="1"/>
    <row r="65294" ht="15" customHeight="1"/>
    <row r="65295" ht="15" customHeight="1"/>
    <row r="65296" ht="15" customHeight="1"/>
    <row r="65297" ht="15" customHeight="1"/>
    <row r="65298" ht="15" customHeight="1"/>
    <row r="65299" ht="15" customHeight="1"/>
    <row r="65300" ht="15" customHeight="1"/>
    <row r="65301" ht="15" customHeight="1"/>
    <row r="65302" ht="15" customHeight="1"/>
    <row r="65303" ht="15" customHeight="1"/>
    <row r="65304" ht="15" customHeight="1"/>
    <row r="65305" ht="15" customHeight="1"/>
    <row r="65306" ht="15" customHeight="1"/>
    <row r="65307" ht="15" customHeight="1"/>
    <row r="65308" ht="15" customHeight="1"/>
    <row r="65309" ht="15" customHeight="1"/>
    <row r="65310" ht="15" customHeight="1"/>
    <row r="65311" ht="15" customHeight="1"/>
    <row r="65312" ht="15" customHeight="1"/>
    <row r="65313" ht="15" customHeight="1"/>
    <row r="65314" ht="15" customHeight="1"/>
    <row r="65315" ht="15" customHeight="1"/>
    <row r="65316" ht="15" customHeight="1"/>
    <row r="65317" ht="15" customHeight="1"/>
    <row r="65318" ht="15" customHeight="1"/>
    <row r="65319" ht="15" customHeight="1"/>
    <row r="65320" ht="15" customHeight="1"/>
    <row r="65321" ht="15" customHeight="1"/>
    <row r="65322" ht="15" customHeight="1"/>
    <row r="65323" ht="15" customHeight="1"/>
    <row r="65324" ht="15" customHeight="1"/>
    <row r="65325" ht="15" customHeight="1"/>
    <row r="65326" ht="15" customHeight="1"/>
    <row r="65327" ht="15" customHeight="1"/>
    <row r="65328" ht="15" customHeight="1"/>
    <row r="65329" ht="15" customHeight="1"/>
    <row r="65330" ht="15" customHeight="1"/>
    <row r="65331" ht="15" customHeight="1"/>
    <row r="65332" ht="15" customHeight="1"/>
    <row r="65333" ht="15" customHeight="1"/>
    <row r="65334" ht="15" customHeight="1"/>
    <row r="65335" ht="15" customHeight="1"/>
    <row r="65336" ht="15" customHeight="1"/>
    <row r="65337" ht="15" customHeight="1"/>
    <row r="65338" ht="15" customHeight="1"/>
    <row r="65339" ht="15" customHeight="1"/>
    <row r="65340" ht="15" customHeight="1"/>
    <row r="65341" ht="15" customHeight="1"/>
    <row r="65342" ht="15" customHeight="1"/>
    <row r="65343" ht="15" customHeight="1"/>
    <row r="65344" ht="15" customHeight="1"/>
    <row r="65345" ht="15" customHeight="1"/>
    <row r="65346" ht="15" customHeight="1"/>
    <row r="65347" ht="15" customHeight="1"/>
    <row r="65348" ht="15" customHeight="1"/>
    <row r="65349" ht="15" customHeight="1"/>
    <row r="65350" ht="15" customHeight="1"/>
    <row r="65351" ht="15" customHeight="1"/>
    <row r="65352" ht="15" customHeight="1"/>
    <row r="65353" ht="15" customHeight="1"/>
    <row r="65354" ht="15" customHeight="1"/>
    <row r="65355" ht="15" customHeight="1"/>
    <row r="65356" ht="15" customHeight="1"/>
    <row r="65357" ht="15" customHeight="1"/>
    <row r="65358" ht="15" customHeight="1"/>
    <row r="65359" ht="15" customHeight="1"/>
    <row r="65360" ht="15" customHeight="1"/>
    <row r="65361" ht="15" customHeight="1"/>
    <row r="65362" ht="15" customHeight="1"/>
    <row r="65363" ht="15" customHeight="1"/>
    <row r="65364" ht="15" customHeight="1"/>
    <row r="65365" ht="15" customHeight="1"/>
    <row r="65366" ht="15" customHeight="1"/>
    <row r="65367" ht="15" customHeight="1"/>
    <row r="65368" ht="15" customHeight="1"/>
    <row r="65369" ht="15" customHeight="1"/>
    <row r="65370" ht="15" customHeight="1"/>
    <row r="65371" ht="15" customHeight="1"/>
    <row r="65372" ht="15" customHeight="1"/>
    <row r="65373" ht="15" customHeight="1"/>
    <row r="65374" ht="15" customHeight="1"/>
    <row r="65375" ht="15" customHeight="1"/>
    <row r="65376" ht="15" customHeight="1"/>
    <row r="65377" ht="15" customHeight="1"/>
    <row r="65378" ht="15" customHeight="1"/>
    <row r="65379" ht="15" customHeight="1"/>
    <row r="65380" ht="15" customHeight="1"/>
    <row r="65381" ht="15" customHeight="1"/>
    <row r="65382" ht="15" customHeight="1"/>
    <row r="65383" ht="15" customHeight="1"/>
    <row r="65384" ht="15" customHeight="1"/>
    <row r="65385" ht="15" customHeight="1"/>
    <row r="65386" ht="15" customHeight="1"/>
    <row r="65387" ht="15" customHeight="1"/>
    <row r="65388" ht="15" customHeight="1"/>
    <row r="65389" ht="15" customHeight="1"/>
    <row r="65390" ht="15" customHeight="1"/>
    <row r="65391" ht="15" customHeight="1"/>
    <row r="65392" ht="15" customHeight="1"/>
    <row r="65393" ht="15" customHeight="1"/>
    <row r="65394" ht="15" customHeight="1"/>
    <row r="65395" ht="15" customHeight="1"/>
    <row r="65396" ht="15" customHeight="1"/>
    <row r="65397" ht="15" customHeight="1"/>
    <row r="65398" ht="15" customHeight="1"/>
    <row r="65399" ht="15" customHeight="1"/>
    <row r="65400" ht="15" customHeight="1"/>
    <row r="65401" ht="15" customHeight="1"/>
    <row r="65402" ht="15" customHeight="1"/>
    <row r="65403" ht="15" customHeight="1"/>
    <row r="65404" ht="15" customHeight="1"/>
    <row r="65405" ht="15" customHeight="1"/>
    <row r="65406" ht="15" customHeight="1"/>
    <row r="65407" ht="15" customHeight="1"/>
    <row r="65408" ht="15" customHeight="1"/>
    <row r="65409" ht="15" customHeight="1"/>
    <row r="65410" ht="15" customHeight="1"/>
    <row r="65411" ht="15" customHeight="1"/>
    <row r="65412" ht="15" customHeight="1"/>
    <row r="65413" ht="15" customHeight="1"/>
    <row r="65414" ht="15" customHeight="1"/>
    <row r="65415" ht="15" customHeight="1"/>
    <row r="65416" ht="15" customHeight="1"/>
    <row r="65417" ht="15" customHeight="1"/>
    <row r="65418" ht="15" customHeight="1"/>
    <row r="65419" ht="15" customHeight="1"/>
    <row r="65420" ht="15" customHeight="1"/>
    <row r="65421" ht="15" customHeight="1"/>
    <row r="65422" ht="15" customHeight="1"/>
    <row r="65423" ht="15" customHeight="1"/>
    <row r="65424" ht="15" customHeight="1"/>
    <row r="65425" ht="15" customHeight="1"/>
    <row r="65426" ht="15" customHeight="1"/>
    <row r="65427" ht="15" customHeight="1"/>
    <row r="65428" ht="15" customHeight="1"/>
    <row r="65429" ht="15" customHeight="1"/>
    <row r="65430" ht="15" customHeight="1"/>
    <row r="65431" ht="15" customHeight="1"/>
    <row r="65432" ht="15" customHeight="1"/>
    <row r="65433" ht="15" customHeight="1"/>
    <row r="65434" ht="15" customHeight="1"/>
    <row r="65435" ht="15" customHeight="1"/>
    <row r="65436" ht="15" customHeight="1"/>
    <row r="65437" ht="15" customHeight="1"/>
    <row r="65438" ht="15" customHeight="1"/>
    <row r="65439" ht="15" customHeight="1"/>
    <row r="65440" ht="15" customHeight="1"/>
    <row r="65441" ht="15" customHeight="1"/>
    <row r="65442" ht="15" customHeight="1"/>
    <row r="65443" ht="15" customHeight="1"/>
    <row r="65444" ht="15" customHeight="1"/>
    <row r="65445" ht="15" customHeight="1"/>
    <row r="65446" ht="15" customHeight="1"/>
    <row r="65447" ht="15" customHeight="1"/>
    <row r="65448" ht="15" customHeight="1"/>
    <row r="65449" ht="15" customHeight="1"/>
    <row r="65450" ht="15" customHeight="1"/>
    <row r="65451" ht="15" customHeight="1"/>
    <row r="65452" ht="15" customHeight="1"/>
    <row r="65453" ht="15" customHeight="1"/>
    <row r="65454" ht="15" customHeight="1"/>
    <row r="65455" ht="15" customHeight="1"/>
    <row r="65456" ht="15" customHeight="1"/>
    <row r="65457" ht="15" customHeight="1"/>
    <row r="65458" ht="15" customHeight="1"/>
    <row r="65459" ht="15" customHeight="1"/>
    <row r="65460" ht="15" customHeight="1"/>
    <row r="65461" ht="15" customHeight="1"/>
    <row r="65462" ht="15" customHeight="1"/>
    <row r="65463" ht="15" customHeight="1"/>
    <row r="65464" ht="15" customHeight="1"/>
    <row r="65465" ht="15" customHeight="1"/>
    <row r="65466" ht="15" customHeight="1"/>
    <row r="65467" ht="15" customHeight="1"/>
    <row r="65468" ht="15" customHeight="1"/>
    <row r="65469" ht="15" customHeight="1"/>
    <row r="65470" ht="15" customHeight="1"/>
    <row r="65471" ht="15" customHeight="1"/>
    <row r="65472" ht="15" customHeight="1"/>
    <row r="65473" ht="15" customHeight="1"/>
    <row r="65474" ht="15" customHeight="1"/>
    <row r="65475" ht="15" customHeight="1"/>
    <row r="65476" ht="15" customHeight="1"/>
    <row r="65477" ht="15" customHeight="1"/>
    <row r="65478" ht="15" customHeight="1"/>
    <row r="65479" ht="15" customHeight="1"/>
    <row r="65480" ht="15" customHeight="1"/>
    <row r="65481" ht="15" customHeight="1"/>
    <row r="65482" ht="15" customHeight="1"/>
    <row r="65483" ht="15" customHeight="1"/>
    <row r="65484" ht="15" customHeight="1"/>
    <row r="65485" ht="15" customHeight="1"/>
    <row r="65486" ht="15" customHeight="1"/>
    <row r="65487" ht="15" customHeight="1"/>
    <row r="65488" ht="15" customHeight="1"/>
    <row r="65489" ht="15" customHeight="1"/>
    <row r="65490" ht="15" customHeight="1"/>
    <row r="65491" ht="15" customHeight="1"/>
    <row r="65492" ht="15" customHeight="1"/>
    <row r="65493" ht="15" customHeight="1"/>
    <row r="65494" ht="15" customHeight="1"/>
    <row r="65495" ht="15" customHeight="1"/>
    <row r="65496" ht="15" customHeight="1"/>
    <row r="65497" ht="15" customHeight="1"/>
    <row r="65498" ht="15" customHeight="1"/>
    <row r="65499" ht="15" customHeight="1"/>
    <row r="65500" ht="15" customHeight="1"/>
    <row r="65501" ht="15" customHeight="1"/>
    <row r="65502" ht="15" customHeight="1"/>
    <row r="65503" ht="15" customHeight="1"/>
    <row r="65504" ht="15" customHeight="1"/>
    <row r="65505" ht="15" customHeight="1"/>
    <row r="65506" ht="15" customHeight="1"/>
    <row r="65507" ht="15" customHeight="1"/>
    <row r="65508" ht="15" customHeight="1"/>
    <row r="65509" ht="15" customHeight="1"/>
    <row r="65510" ht="15" customHeight="1"/>
    <row r="65511" ht="15" customHeight="1"/>
    <row r="65512" ht="15" customHeight="1"/>
    <row r="65513" ht="15" customHeight="1"/>
    <row r="65514" ht="15" customHeight="1"/>
    <row r="65515" ht="15" customHeight="1"/>
    <row r="65516" ht="15" customHeight="1"/>
    <row r="65517" ht="15" customHeight="1"/>
    <row r="65518" ht="15" customHeight="1"/>
    <row r="65519" ht="15" customHeight="1"/>
    <row r="65520" ht="15" customHeight="1"/>
    <row r="65521" ht="15" customHeight="1"/>
    <row r="65522" ht="15" customHeight="1"/>
    <row r="65523" ht="15" customHeight="1"/>
    <row r="65524" ht="15" customHeight="1"/>
    <row r="65525" ht="15" customHeight="1"/>
    <row r="65526" ht="15" customHeight="1"/>
    <row r="65527" ht="15" customHeight="1"/>
    <row r="65528" ht="15" customHeight="1"/>
    <row r="65529" ht="15" customHeight="1"/>
    <row r="65530" ht="15" customHeight="1"/>
    <row r="65531" ht="15" customHeight="1"/>
    <row r="65532" ht="15" customHeight="1"/>
    <row r="65533" ht="15" customHeight="1"/>
    <row r="65534" ht="15" customHeight="1"/>
    <row r="65535" ht="15" customHeight="1"/>
    <row r="65536" ht="15" customHeight="1"/>
  </sheetData>
  <sortState ref="E4:I32">
    <sortCondition ref="G4:G32"/>
    <sortCondition descending="1" ref="H4:H32"/>
  </sortState>
  <mergeCells count="3">
    <mergeCell ref="A1:I1"/>
    <mergeCell ref="A2:C2"/>
    <mergeCell ref="E2:I2"/>
  </mergeCells>
  <phoneticPr fontId="5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ignoredErrors>
    <ignoredError sqref="E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29"/>
  <sheetViews>
    <sheetView showGridLines="0" workbookViewId="0">
      <selection activeCell="L10" sqref="L10"/>
    </sheetView>
  </sheetViews>
  <sheetFormatPr defaultRowHeight="16.5"/>
  <cols>
    <col min="1" max="1" width="48.7109375" style="74" customWidth="1"/>
    <col min="2" max="2" width="14.7109375" style="75" bestFit="1" customWidth="1"/>
    <col min="3" max="3" width="5.7109375" style="67" customWidth="1"/>
    <col min="4" max="5" width="20.7109375" style="67" customWidth="1"/>
    <col min="6" max="6" width="6.5703125" style="67" bestFit="1" customWidth="1"/>
    <col min="7" max="7" width="1.5703125" style="67" bestFit="1" customWidth="1"/>
    <col min="8" max="8" width="20.7109375" style="67" customWidth="1"/>
    <col min="9" max="9" width="5.7109375" style="67" customWidth="1"/>
    <col min="10" max="10" width="7.140625" style="67" customWidth="1"/>
    <col min="11" max="11" width="20.7109375" style="88" customWidth="1"/>
    <col min="12" max="12" width="31.5703125" style="67" bestFit="1" customWidth="1"/>
    <col min="13" max="16384" width="9.140625" style="67"/>
  </cols>
  <sheetData>
    <row r="1" spans="1:14">
      <c r="A1" s="220" t="s">
        <v>358</v>
      </c>
      <c r="B1" s="221"/>
      <c r="C1" s="89"/>
      <c r="D1" s="220" t="s">
        <v>203</v>
      </c>
      <c r="E1" s="221"/>
      <c r="F1" s="221"/>
      <c r="J1" s="67" t="s">
        <v>200</v>
      </c>
      <c r="K1" s="88" t="s">
        <v>580</v>
      </c>
      <c r="L1" s="67" t="s">
        <v>558</v>
      </c>
      <c r="N1" s="67" t="s">
        <v>669</v>
      </c>
    </row>
    <row r="2" spans="1:14">
      <c r="A2" s="90" t="s">
        <v>544</v>
      </c>
      <c r="B2" s="91" t="s">
        <v>4</v>
      </c>
      <c r="D2" s="69" t="s">
        <v>108</v>
      </c>
      <c r="E2" s="69" t="s">
        <v>3</v>
      </c>
      <c r="F2" s="91" t="s">
        <v>531</v>
      </c>
      <c r="K2" s="88" t="s">
        <v>581</v>
      </c>
      <c r="L2" s="67" t="s">
        <v>684</v>
      </c>
    </row>
    <row r="3" spans="1:14">
      <c r="A3" s="65" t="s">
        <v>357</v>
      </c>
      <c r="B3" s="73" t="s">
        <v>545</v>
      </c>
      <c r="D3" s="65" t="s">
        <v>202</v>
      </c>
      <c r="E3" s="72" t="s">
        <v>144</v>
      </c>
      <c r="F3" s="73" t="s">
        <v>143</v>
      </c>
      <c r="K3" s="88" t="s">
        <v>553</v>
      </c>
      <c r="L3" s="67" t="s">
        <v>554</v>
      </c>
    </row>
    <row r="4" spans="1:14">
      <c r="A4" s="65" t="s">
        <v>359</v>
      </c>
      <c r="B4" s="73" t="s">
        <v>545</v>
      </c>
      <c r="D4" s="65" t="s">
        <v>208</v>
      </c>
      <c r="E4" s="72" t="s">
        <v>37</v>
      </c>
      <c r="F4" s="73" t="s">
        <v>143</v>
      </c>
      <c r="H4" s="92" t="s">
        <v>211</v>
      </c>
      <c r="I4" s="93">
        <v>1.3</v>
      </c>
      <c r="K4" s="88" t="s">
        <v>568</v>
      </c>
      <c r="L4" s="67" t="s">
        <v>555</v>
      </c>
    </row>
    <row r="5" spans="1:14">
      <c r="A5" s="65" t="s">
        <v>547</v>
      </c>
      <c r="B5" s="73" t="s">
        <v>546</v>
      </c>
      <c r="D5" s="65" t="s">
        <v>207</v>
      </c>
      <c r="E5" s="72" t="s">
        <v>110</v>
      </c>
      <c r="F5" s="73" t="s">
        <v>143</v>
      </c>
      <c r="G5" s="67" t="s">
        <v>200</v>
      </c>
      <c r="L5" s="67" t="s">
        <v>556</v>
      </c>
    </row>
    <row r="6" spans="1:14">
      <c r="A6" s="65" t="s">
        <v>509</v>
      </c>
      <c r="B6" s="73" t="s">
        <v>545</v>
      </c>
      <c r="D6" s="65" t="s">
        <v>356</v>
      </c>
      <c r="E6" s="72" t="s">
        <v>339</v>
      </c>
      <c r="F6" s="73" t="s">
        <v>143</v>
      </c>
      <c r="L6" s="67" t="s">
        <v>583</v>
      </c>
    </row>
    <row r="7" spans="1:14">
      <c r="A7" s="65" t="s">
        <v>548</v>
      </c>
      <c r="B7" s="73" t="s">
        <v>546</v>
      </c>
      <c r="D7" s="65" t="s">
        <v>348</v>
      </c>
      <c r="E7" s="72" t="s">
        <v>337</v>
      </c>
      <c r="F7" s="73" t="s">
        <v>143</v>
      </c>
      <c r="L7" s="67" t="s">
        <v>558</v>
      </c>
    </row>
    <row r="8" spans="1:14">
      <c r="A8" s="65"/>
      <c r="B8" s="73"/>
      <c r="D8" s="65" t="s">
        <v>209</v>
      </c>
      <c r="E8" s="72" t="s">
        <v>164</v>
      </c>
      <c r="F8" s="73" t="s">
        <v>45</v>
      </c>
      <c r="L8" s="67" t="s">
        <v>559</v>
      </c>
    </row>
    <row r="9" spans="1:14">
      <c r="A9" s="65"/>
      <c r="B9" s="73"/>
      <c r="D9" s="65" t="s">
        <v>206</v>
      </c>
      <c r="E9" s="72" t="s">
        <v>158</v>
      </c>
      <c r="F9" s="73" t="s">
        <v>45</v>
      </c>
      <c r="K9" s="88" t="s">
        <v>557</v>
      </c>
      <c r="L9" s="67" t="s">
        <v>560</v>
      </c>
    </row>
    <row r="10" spans="1:14">
      <c r="A10" s="65"/>
      <c r="B10" s="73"/>
      <c r="D10" s="65" t="s">
        <v>204</v>
      </c>
      <c r="E10" s="72" t="s">
        <v>29</v>
      </c>
      <c r="F10" s="73" t="s">
        <v>45</v>
      </c>
      <c r="K10" s="88" t="s">
        <v>569</v>
      </c>
      <c r="L10" s="67" t="s">
        <v>561</v>
      </c>
    </row>
    <row r="11" spans="1:14">
      <c r="A11" s="65"/>
      <c r="B11" s="73"/>
      <c r="D11" s="94" t="s">
        <v>43</v>
      </c>
      <c r="E11" s="95" t="s">
        <v>43</v>
      </c>
      <c r="F11" s="96" t="s">
        <v>45</v>
      </c>
      <c r="L11" s="67" t="s">
        <v>562</v>
      </c>
    </row>
    <row r="12" spans="1:14">
      <c r="L12" s="67" t="s">
        <v>558</v>
      </c>
    </row>
    <row r="13" spans="1:14">
      <c r="L13" s="67" t="s">
        <v>559</v>
      </c>
    </row>
    <row r="14" spans="1:14">
      <c r="K14" s="88" t="s">
        <v>563</v>
      </c>
      <c r="L14" s="67" t="s">
        <v>564</v>
      </c>
    </row>
    <row r="15" spans="1:14">
      <c r="K15" s="88" t="s">
        <v>570</v>
      </c>
      <c r="L15" s="67" t="s">
        <v>565</v>
      </c>
    </row>
    <row r="16" spans="1:14">
      <c r="L16" s="67" t="s">
        <v>558</v>
      </c>
    </row>
    <row r="17" spans="11:12">
      <c r="L17" s="67" t="s">
        <v>559</v>
      </c>
    </row>
    <row r="18" spans="11:12">
      <c r="K18" s="88" t="s">
        <v>566</v>
      </c>
      <c r="L18" s="67" t="s">
        <v>560</v>
      </c>
    </row>
    <row r="19" spans="11:12">
      <c r="K19" s="88" t="s">
        <v>571</v>
      </c>
      <c r="L19" s="67" t="s">
        <v>561</v>
      </c>
    </row>
    <row r="20" spans="11:12">
      <c r="L20" s="67" t="s">
        <v>567</v>
      </c>
    </row>
    <row r="21" spans="11:12">
      <c r="L21" s="67" t="s">
        <v>558</v>
      </c>
    </row>
    <row r="22" spans="11:12">
      <c r="L22" s="67" t="s">
        <v>559</v>
      </c>
    </row>
    <row r="23" spans="11:12">
      <c r="K23" s="88" t="s">
        <v>572</v>
      </c>
      <c r="L23" s="67" t="s">
        <v>574</v>
      </c>
    </row>
    <row r="24" spans="11:12">
      <c r="K24" s="88" t="s">
        <v>573</v>
      </c>
      <c r="L24" s="67" t="s">
        <v>575</v>
      </c>
    </row>
    <row r="25" spans="11:12">
      <c r="L25" s="67" t="s">
        <v>576</v>
      </c>
    </row>
    <row r="26" spans="11:12">
      <c r="K26" s="88" t="s">
        <v>577</v>
      </c>
      <c r="L26" s="67" t="s">
        <v>579</v>
      </c>
    </row>
    <row r="27" spans="11:12">
      <c r="K27" s="97" t="s">
        <v>578</v>
      </c>
      <c r="L27" s="67" t="s">
        <v>576</v>
      </c>
    </row>
    <row r="28" spans="11:12">
      <c r="L28" s="67" t="s">
        <v>558</v>
      </c>
    </row>
    <row r="29" spans="11:12">
      <c r="L29" s="67" t="s">
        <v>559</v>
      </c>
    </row>
  </sheetData>
  <mergeCells count="2">
    <mergeCell ref="D1:F1"/>
    <mergeCell ref="A1:B1"/>
  </mergeCells>
  <phoneticPr fontId="5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2"/>
  <sheetViews>
    <sheetView showGridLines="0" workbookViewId="0">
      <selection activeCell="B14" sqref="B14"/>
    </sheetView>
  </sheetViews>
  <sheetFormatPr defaultRowHeight="15"/>
  <cols>
    <col min="1" max="1" width="23.85546875" bestFit="1" customWidth="1"/>
    <col min="2" max="2" width="10" customWidth="1"/>
    <col min="3" max="3" width="3.42578125" customWidth="1"/>
    <col min="4" max="4" width="23.85546875" bestFit="1" customWidth="1"/>
  </cols>
  <sheetData>
    <row r="1" spans="1:5" ht="16.5">
      <c r="A1" s="211" t="s">
        <v>668</v>
      </c>
      <c r="B1" s="212"/>
      <c r="C1" s="212"/>
      <c r="D1" s="212"/>
      <c r="E1" s="212"/>
    </row>
    <row r="2" spans="1:5" ht="16.5">
      <c r="A2" s="13" t="s">
        <v>16</v>
      </c>
      <c r="B2" s="13" t="s">
        <v>17</v>
      </c>
      <c r="C2" t="s">
        <v>200</v>
      </c>
      <c r="D2" s="222" t="s">
        <v>83</v>
      </c>
      <c r="E2" s="223"/>
    </row>
    <row r="3" spans="1:5" ht="16.5">
      <c r="A3" s="15" t="s">
        <v>179</v>
      </c>
      <c r="B3" s="16">
        <v>0.36499999999999999</v>
      </c>
      <c r="D3" s="30" t="s">
        <v>85</v>
      </c>
      <c r="E3" s="31">
        <f>AVERAGE(Completed[Total])</f>
        <v>7.2545658694814943</v>
      </c>
    </row>
    <row r="4" spans="1:5" ht="16.5">
      <c r="A4" s="17" t="s">
        <v>178</v>
      </c>
      <c r="B4" s="18">
        <v>0.53500000000000003</v>
      </c>
      <c r="D4" s="30" t="s">
        <v>87</v>
      </c>
      <c r="E4" s="31">
        <f>QUARTILE(Completed[Total], 0)</f>
        <v>0</v>
      </c>
    </row>
    <row r="5" spans="1:5" ht="16.5">
      <c r="A5" s="17" t="s">
        <v>7</v>
      </c>
      <c r="B5" s="18">
        <v>9.5000000000000001E-2</v>
      </c>
      <c r="D5" s="32" t="s">
        <v>89</v>
      </c>
      <c r="E5" s="33">
        <f>QUARTILE(Completed[Total], 1)</f>
        <v>6.5213553051958977</v>
      </c>
    </row>
    <row r="6" spans="1:5" ht="16.5">
      <c r="A6" s="19" t="s">
        <v>180</v>
      </c>
      <c r="B6" s="20">
        <f>SUM(B3:B5)</f>
        <v>0.995</v>
      </c>
      <c r="D6" s="32" t="s">
        <v>92</v>
      </c>
      <c r="E6" s="33">
        <f>QUARTILE(Completed[Total], 2)</f>
        <v>7.4751975786110645</v>
      </c>
    </row>
    <row r="7" spans="1:5" ht="16.5">
      <c r="A7" s="8"/>
      <c r="B7" s="8"/>
      <c r="D7" s="32" t="s">
        <v>94</v>
      </c>
      <c r="E7" s="33">
        <f>QUARTILE(Completed[Total], 3)</f>
        <v>8.2932571044223984</v>
      </c>
    </row>
    <row r="8" spans="1:5" ht="16.5">
      <c r="A8" s="21" t="s">
        <v>31</v>
      </c>
      <c r="B8" s="22">
        <f>MAX(Completed!G:G)</f>
        <v>9.9748743718592969</v>
      </c>
      <c r="D8" s="34" t="s">
        <v>95</v>
      </c>
      <c r="E8" s="35">
        <f>QUARTILE(Completed[Total], 4)</f>
        <v>10</v>
      </c>
    </row>
    <row r="9" spans="1:5" ht="16.5">
      <c r="A9" s="23" t="s">
        <v>34</v>
      </c>
      <c r="B9" s="24">
        <f>MIN(Completed!G:G)</f>
        <v>2.5037688442211055</v>
      </c>
      <c r="D9" s="32" t="s">
        <v>36</v>
      </c>
      <c r="E9" s="33">
        <f>E8-E4</f>
        <v>10</v>
      </c>
    </row>
    <row r="10" spans="1:5" ht="16.5">
      <c r="A10" s="23" t="s">
        <v>36</v>
      </c>
      <c r="B10" s="24">
        <f>B8-B9</f>
        <v>7.4711055276381915</v>
      </c>
      <c r="D10" s="32" t="s">
        <v>98</v>
      </c>
      <c r="E10" s="33">
        <f>E7-E5</f>
        <v>1.7719017992265007</v>
      </c>
    </row>
    <row r="11" spans="1:5" ht="16.5">
      <c r="A11" s="25" t="s">
        <v>38</v>
      </c>
      <c r="B11" s="26">
        <f>SUM(B3:B6)</f>
        <v>1.99</v>
      </c>
      <c r="D11" s="34" t="s">
        <v>100</v>
      </c>
      <c r="E11" s="35">
        <f>STDEV(Completed[Total])</f>
        <v>1.535821513326908</v>
      </c>
    </row>
    <row r="12" spans="1:5" ht="16.5">
      <c r="A12" s="8"/>
      <c r="B12" s="8"/>
      <c r="D12" s="32" t="s">
        <v>188</v>
      </c>
      <c r="E12" s="117">
        <f ca="1">SUM('Main Page'!P4:P195)+SUM('Main Page'!D4:D23)+SUM(Dropped[Ep.])</f>
        <v>3147</v>
      </c>
    </row>
    <row r="13" spans="1:5" ht="16.5">
      <c r="A13" s="27" t="s">
        <v>44</v>
      </c>
      <c r="B13" s="36" t="s">
        <v>143</v>
      </c>
      <c r="D13" s="32" t="s">
        <v>186</v>
      </c>
      <c r="E13" s="117">
        <f ca="1">E12*24</f>
        <v>75528</v>
      </c>
    </row>
    <row r="14" spans="1:5" ht="16.5">
      <c r="A14" s="8"/>
      <c r="B14" s="8"/>
      <c r="D14" s="32" t="s">
        <v>187</v>
      </c>
      <c r="E14" s="118">
        <f ca="1">E13/60</f>
        <v>1258.8</v>
      </c>
    </row>
    <row r="15" spans="1:5" ht="16.5">
      <c r="A15" s="21" t="s">
        <v>48</v>
      </c>
      <c r="B15" s="22">
        <f>AVERAGE(Completed[Total])</f>
        <v>7.2545658694814943</v>
      </c>
      <c r="D15" s="34" t="s">
        <v>185</v>
      </c>
      <c r="E15" s="35">
        <f ca="1">E14/24</f>
        <v>52.449999999999996</v>
      </c>
    </row>
    <row r="16" spans="1:5" ht="16.5">
      <c r="A16" s="23" t="s">
        <v>201</v>
      </c>
      <c r="B16" s="28">
        <f>COUNTIF(Completed[Total], "&gt;=9")</f>
        <v>6</v>
      </c>
      <c r="D16" s="45" t="s">
        <v>445</v>
      </c>
      <c r="E16" s="44">
        <f>COUNTIF(Tracker[Subber(s)], "&lt;&gt;--")</f>
        <v>179</v>
      </c>
    </row>
    <row r="17" spans="1:5" ht="16.5">
      <c r="A17" s="23" t="s">
        <v>53</v>
      </c>
      <c r="B17" s="28">
        <f>COUNTIF(Completed[Total],  "&gt;=8 ")-COUNTIF(Completed[Total],"&gt;=9")</f>
        <v>37</v>
      </c>
      <c r="D17" s="8"/>
      <c r="E17" s="8"/>
    </row>
    <row r="18" spans="1:5" ht="16.5">
      <c r="A18" s="23" t="s">
        <v>56</v>
      </c>
      <c r="B18" s="28">
        <f>COUNTIF(Completed[Total],  "&gt;=7")-COUNTIF(Completed[Total],"&gt;=8")</f>
        <v>38</v>
      </c>
      <c r="D18" s="105" t="s">
        <v>446</v>
      </c>
      <c r="E18" s="106"/>
    </row>
    <row r="19" spans="1:5" ht="16.5">
      <c r="A19" s="23" t="s">
        <v>58</v>
      </c>
      <c r="B19" s="28">
        <f>COUNTIF(Completed[Total],  "&gt;=6 ")-COUNTIF(Completed[Total],"&gt;=7")</f>
        <v>23</v>
      </c>
      <c r="D19" s="30" t="s">
        <v>362</v>
      </c>
      <c r="E19" s="46">
        <f>COUNTIF(Tracker[Subber(s)], "*Coalgirls*")</f>
        <v>35</v>
      </c>
    </row>
    <row r="20" spans="1:5" ht="16.5">
      <c r="A20" s="23" t="s">
        <v>62</v>
      </c>
      <c r="B20" s="28">
        <f>COUNTIF(Completed[Total],  "&gt;=5 ")-COUNTIF(Completed[Total],"&gt;=6")</f>
        <v>14</v>
      </c>
      <c r="D20" s="32" t="s">
        <v>364</v>
      </c>
      <c r="E20" s="47">
        <f>COUNTIF(Tracker[Subber(s)], "*HorribleSubs*")</f>
        <v>25</v>
      </c>
    </row>
    <row r="21" spans="1:5" ht="16.5">
      <c r="A21" s="23" t="s">
        <v>64</v>
      </c>
      <c r="B21" s="28">
        <f>COUNTIF(Completed[Total],  "&gt;=4 ")-COUNTIF(Completed[Total],"&gt;=5")</f>
        <v>2</v>
      </c>
      <c r="D21" s="32" t="s">
        <v>343</v>
      </c>
      <c r="E21" s="47">
        <f>COUNTIF(Tracker[Subber(s)], "*FFF*")</f>
        <v>18</v>
      </c>
    </row>
    <row r="22" spans="1:5" ht="16.5">
      <c r="A22" s="23" t="s">
        <v>68</v>
      </c>
      <c r="B22" s="28">
        <f>COUNTIF(Completed[Total],  "&gt;=3 ")-COUNTIF(Completed[Total],"&gt;=4")</f>
        <v>2</v>
      </c>
      <c r="D22" s="32" t="s">
        <v>361</v>
      </c>
      <c r="E22" s="47">
        <f>COUNTIF(Tracker[Subber(s)], "*Doki*")</f>
        <v>24</v>
      </c>
    </row>
    <row r="23" spans="1:5" ht="16.5">
      <c r="A23" s="23" t="s">
        <v>71</v>
      </c>
      <c r="B23" s="28">
        <f>COUNTIF(Completed[Total],  "&gt;=2")-COUNTIF(Completed[Total],"&gt;=3")</f>
        <v>0</v>
      </c>
      <c r="D23" s="32" t="s">
        <v>342</v>
      </c>
      <c r="E23" s="47">
        <f>COUNTIF(Tracker[Subber(s)], "*UTW*")</f>
        <v>12</v>
      </c>
    </row>
    <row r="24" spans="1:5" ht="16.5">
      <c r="A24" s="23" t="s">
        <v>75</v>
      </c>
      <c r="B24" s="28">
        <f>COUNTIF(Completed[Total],  "&gt;=1 ")-COUNTIF(Completed[Total],"&gt;=2")</f>
        <v>0</v>
      </c>
      <c r="D24" s="32" t="s">
        <v>369</v>
      </c>
      <c r="E24" s="47">
        <f>COUNTIF(Tracker[Subber(s)], "*Elysium*")</f>
        <v>8</v>
      </c>
    </row>
    <row r="25" spans="1:5" ht="16.5">
      <c r="A25" s="25" t="s">
        <v>80</v>
      </c>
      <c r="B25" s="29">
        <f>COUNTIF(Completed[Total],  "&gt;=0 ")-COUNTIF(Completed[Total],"&gt;=1")</f>
        <v>2</v>
      </c>
      <c r="D25" s="32" t="s">
        <v>371</v>
      </c>
      <c r="E25" s="47">
        <f>COUNTIF(Tracker[Subber(s)], "*Mazui*")</f>
        <v>11</v>
      </c>
    </row>
    <row r="26" spans="1:5" ht="16.5">
      <c r="D26" s="32" t="s">
        <v>377</v>
      </c>
      <c r="E26" s="47">
        <f>COUNTIF(Tracker[Subber(s)], "*Underwater*")</f>
        <v>5</v>
      </c>
    </row>
    <row r="27" spans="1:5" ht="16.5">
      <c r="A27" s="105" t="s">
        <v>523</v>
      </c>
      <c r="B27" s="106"/>
      <c r="D27" s="30" t="s">
        <v>447</v>
      </c>
      <c r="E27" s="46">
        <f>COUNTIFS(Tracker[Subber(s)], "&lt;&gt;*Coalgirls*", Tracker[Subber(s)], "&lt;&gt;*HorribleSubs*", Tracker[Subber(s)], "&lt;&gt;*FFF*",Tracker[Subber(s)], "&lt;&gt;*Doki*", Tracker[Subber(s)], "&lt;&gt;*UTW*", Tracker[Subber(s)], "&lt;&gt;*Elysium*", Tracker[Subber(s)], "&lt;&gt;*Mazui*", Tracker[Subber(s)], "&lt;&gt;*Underwater*") - COUNTIF(Tracker[Subber(s)], "--")</f>
        <v>58</v>
      </c>
    </row>
    <row r="28" spans="1:5" ht="16.5">
      <c r="A28" s="30" t="s">
        <v>511</v>
      </c>
      <c r="B28" s="47">
        <f>COUNTIF(Tracker[Type],A28)</f>
        <v>90</v>
      </c>
      <c r="D28" s="34" t="s">
        <v>670</v>
      </c>
      <c r="E28" s="56">
        <f>SUM(E19:E27)-E16</f>
        <v>17</v>
      </c>
    </row>
    <row r="29" spans="1:5" ht="16.5">
      <c r="A29" s="32" t="s">
        <v>510</v>
      </c>
      <c r="B29" s="47">
        <f>COUNTIF(Tracker[Type],A29)</f>
        <v>69</v>
      </c>
    </row>
    <row r="30" spans="1:5" ht="16.5">
      <c r="A30" s="32" t="s">
        <v>514</v>
      </c>
      <c r="B30" s="47">
        <f>COUNTIF(Tracker[Type],A30)</f>
        <v>9</v>
      </c>
    </row>
    <row r="31" spans="1:5" ht="16.5">
      <c r="A31" s="32" t="s">
        <v>512</v>
      </c>
      <c r="B31" s="47">
        <f>COUNTIF(Tracker[Type],A31)</f>
        <v>10</v>
      </c>
    </row>
    <row r="32" spans="1:5" ht="16.5">
      <c r="A32" s="45" t="s">
        <v>524</v>
      </c>
      <c r="B32" s="44">
        <f>COUNTIF(Tracker[Type],"--")</f>
        <v>12</v>
      </c>
    </row>
  </sheetData>
  <mergeCells count="2">
    <mergeCell ref="A1:E1"/>
    <mergeCell ref="D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Movies and OVAs</vt:lpstr>
      <vt:lpstr>Misc Sheet</vt:lpstr>
      <vt:lpstr>Vars and Stats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2014-06-30T08:51:15Z</dcterms:modified>
</cp:coreProperties>
</file>