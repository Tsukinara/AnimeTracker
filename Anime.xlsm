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ovies and OVAs" sheetId="3" r:id="rId7"/>
    <sheet name="Misc Sheet" sheetId="7" r:id="rId8"/>
    <sheet name="Vars and Stats" sheetId="20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H24" i="7" l="1"/>
  <c r="H23" i="7"/>
  <c r="G58" i="17" l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G118" i="17" l="1"/>
  <c r="N18" i="19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H16" i="19"/>
  <c r="G16" i="19"/>
  <c r="H14" i="19"/>
  <c r="H15" i="19"/>
  <c r="G14" i="19"/>
  <c r="G15" i="19"/>
  <c r="G12" i="19"/>
  <c r="H12" i="19"/>
  <c r="G13" i="19"/>
  <c r="H13" i="19"/>
  <c r="H10" i="19"/>
  <c r="G10" i="19"/>
  <c r="G11" i="19"/>
  <c r="H11" i="19"/>
  <c r="H9" i="19"/>
  <c r="G9" i="19"/>
  <c r="H5" i="19"/>
  <c r="G4" i="19"/>
  <c r="G6" i="19"/>
  <c r="G7" i="19"/>
  <c r="H6" i="19"/>
  <c r="H7" i="19"/>
  <c r="G5" i="19"/>
  <c r="H4" i="19"/>
  <c r="H8" i="19"/>
  <c r="G8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9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AA129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29" i="19" l="1"/>
  <c r="R129" i="19"/>
  <c r="P129" i="19"/>
  <c r="U129" i="19"/>
  <c r="Q129" i="19"/>
  <c r="T129" i="19"/>
  <c r="S133" i="19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27" i="20"/>
  <c r="B32" i="20"/>
  <c r="B30" i="20"/>
  <c r="B31" i="20"/>
  <c r="B29" i="20"/>
  <c r="B28" i="20"/>
  <c r="E26" i="20"/>
  <c r="E25" i="20"/>
  <c r="E24" i="20"/>
  <c r="E23" i="20"/>
  <c r="E22" i="20"/>
  <c r="E21" i="20"/>
  <c r="E20" i="20"/>
  <c r="E19" i="20"/>
  <c r="E16" i="20"/>
  <c r="B11" i="20"/>
  <c r="T122" i="19"/>
  <c r="R127" i="19"/>
  <c r="S123" i="19"/>
  <c r="Q123" i="19"/>
  <c r="S124" i="19"/>
  <c r="S122" i="19"/>
  <c r="Q122" i="19"/>
  <c r="U123" i="19"/>
  <c r="P122" i="19"/>
  <c r="U128" i="19"/>
  <c r="S128" i="19"/>
  <c r="P123" i="19"/>
  <c r="P125" i="19"/>
  <c r="U127" i="19"/>
  <c r="T126" i="19"/>
  <c r="T128" i="19"/>
  <c r="T127" i="19"/>
  <c r="T124" i="19"/>
  <c r="Q126" i="19"/>
  <c r="S127" i="19"/>
  <c r="T123" i="19"/>
  <c r="U125" i="19"/>
  <c r="S125" i="19"/>
  <c r="R123" i="19"/>
  <c r="Q124" i="19"/>
  <c r="P127" i="19"/>
  <c r="R124" i="19"/>
  <c r="R122" i="19"/>
  <c r="Q125" i="19"/>
  <c r="P124" i="19"/>
  <c r="T125" i="19"/>
  <c r="S126" i="19"/>
  <c r="R126" i="19"/>
  <c r="Q128" i="19"/>
  <c r="P126" i="19"/>
  <c r="R128" i="19"/>
  <c r="R125" i="19"/>
  <c r="Q127" i="19"/>
  <c r="U122" i="19"/>
  <c r="U126" i="19"/>
  <c r="U124" i="19"/>
  <c r="P128" i="19"/>
  <c r="G64" i="17" l="1"/>
  <c r="G46" i="17"/>
  <c r="G23" i="17"/>
  <c r="G45" i="17"/>
  <c r="G22" i="17"/>
  <c r="G17" i="17"/>
  <c r="G3" i="17"/>
  <c r="G7" i="17"/>
  <c r="G47" i="17"/>
  <c r="G11" i="17"/>
  <c r="G91" i="17"/>
  <c r="G120" i="17"/>
  <c r="E28" i="20"/>
  <c r="G126" i="17"/>
  <c r="G108" i="17"/>
  <c r="G80" i="17"/>
  <c r="G90" i="17"/>
  <c r="G71" i="17"/>
  <c r="G38" i="17"/>
  <c r="G51" i="17"/>
  <c r="G36" i="17"/>
  <c r="G28" i="17"/>
  <c r="G13" i="17"/>
  <c r="G124" i="17"/>
  <c r="G119" i="17"/>
  <c r="G117" i="17"/>
  <c r="G115" i="17"/>
  <c r="G107" i="17"/>
  <c r="G113" i="17"/>
  <c r="G105" i="17"/>
  <c r="G102" i="17"/>
  <c r="G98" i="17"/>
  <c r="G66" i="17"/>
  <c r="G85" i="17"/>
  <c r="G86" i="17"/>
  <c r="G67" i="17"/>
  <c r="G52" i="17"/>
  <c r="G68" i="17"/>
  <c r="G63" i="17"/>
  <c r="G76" i="17"/>
  <c r="G44" i="17"/>
  <c r="G55" i="17"/>
  <c r="G49" i="17"/>
  <c r="G43" i="17"/>
  <c r="G42" i="17"/>
  <c r="G31" i="17"/>
  <c r="G24" i="17"/>
  <c r="G16" i="17"/>
  <c r="G12" i="17"/>
  <c r="G10" i="17"/>
  <c r="G4" i="17"/>
  <c r="G123" i="17"/>
  <c r="G110" i="17"/>
  <c r="G101" i="17"/>
  <c r="G74" i="17"/>
  <c r="G77" i="17"/>
  <c r="G62" i="17"/>
  <c r="G57" i="17"/>
  <c r="G25" i="17"/>
  <c r="G9" i="17"/>
  <c r="G125" i="17"/>
  <c r="G121" i="17"/>
  <c r="G112" i="17"/>
  <c r="G104" i="17"/>
  <c r="G84" i="17"/>
  <c r="G106" i="17"/>
  <c r="G92" i="17"/>
  <c r="G99" i="17"/>
  <c r="G94" i="17"/>
  <c r="G93" i="17"/>
  <c r="G88" i="17"/>
  <c r="G87" i="17"/>
  <c r="G65" i="17"/>
  <c r="G72" i="17"/>
  <c r="G78" i="17"/>
  <c r="G40" i="17"/>
  <c r="G59" i="17"/>
  <c r="G60" i="17"/>
  <c r="G54" i="17"/>
  <c r="G41" i="17"/>
  <c r="G35" i="17"/>
  <c r="G29" i="17"/>
  <c r="G34" i="17"/>
  <c r="G33" i="17"/>
  <c r="G20" i="17"/>
  <c r="G19" i="17"/>
  <c r="G6" i="17"/>
  <c r="G5" i="17"/>
  <c r="G114" i="17"/>
  <c r="G111" i="17"/>
  <c r="G95" i="17"/>
  <c r="G81" i="17"/>
  <c r="G75" i="17"/>
  <c r="G56" i="17"/>
  <c r="G26" i="17"/>
  <c r="G27" i="17"/>
  <c r="G15" i="17"/>
  <c r="G127" i="17"/>
  <c r="Z128" i="19" s="1"/>
  <c r="G122" i="17"/>
  <c r="G116" i="17"/>
  <c r="G96" i="17"/>
  <c r="G109" i="17"/>
  <c r="G103" i="17"/>
  <c r="G97" i="17"/>
  <c r="G83" i="17"/>
  <c r="G100" i="17"/>
  <c r="G89" i="17"/>
  <c r="G82" i="17"/>
  <c r="G79" i="17"/>
  <c r="G73" i="17"/>
  <c r="G70" i="17"/>
  <c r="G69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5" i="19" l="1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13" i="17" s="1"/>
  <c r="H58" i="17" l="1"/>
  <c r="H118" i="17"/>
  <c r="H23" i="17"/>
  <c r="H45" i="17"/>
  <c r="H64" i="17"/>
  <c r="H22" i="17"/>
  <c r="H17" i="17"/>
  <c r="H46" i="17"/>
  <c r="H7" i="17"/>
  <c r="H11" i="17"/>
  <c r="H47" i="17"/>
  <c r="H120" i="17"/>
  <c r="H91" i="17"/>
  <c r="H96" i="17"/>
  <c r="H101" i="17"/>
  <c r="H30" i="17"/>
  <c r="H12" i="17"/>
  <c r="H66" i="17"/>
  <c r="H44" i="17"/>
  <c r="H115" i="17"/>
  <c r="H75" i="17"/>
  <c r="H61" i="17"/>
  <c r="H40" i="17"/>
  <c r="H77" i="17"/>
  <c r="H43" i="17"/>
  <c r="H50" i="17"/>
  <c r="H69" i="17"/>
  <c r="H49" i="17"/>
  <c r="H114" i="17"/>
  <c r="H62" i="17"/>
  <c r="H16" i="17"/>
  <c r="H86" i="17"/>
  <c r="H55" i="17"/>
  <c r="H20" i="17"/>
  <c r="H124" i="17"/>
  <c r="H70" i="17"/>
  <c r="H53" i="17"/>
  <c r="H122" i="17"/>
  <c r="H68" i="17"/>
  <c r="H113" i="17"/>
  <c r="H38" i="17"/>
  <c r="H6" i="17"/>
  <c r="H52" i="17"/>
  <c r="H72" i="17"/>
  <c r="H10" i="17"/>
  <c r="H97" i="17"/>
  <c r="H15" i="17"/>
  <c r="H111" i="17"/>
  <c r="H123" i="17"/>
  <c r="H42" i="17"/>
  <c r="H4" i="17"/>
  <c r="H48" i="17"/>
  <c r="H82" i="17"/>
  <c r="H36" i="17"/>
  <c r="H108" i="17"/>
  <c r="H90" i="17"/>
  <c r="H28" i="17"/>
  <c r="H74" i="17"/>
  <c r="H59" i="17"/>
  <c r="H88" i="17"/>
  <c r="H71" i="17"/>
  <c r="H107" i="17"/>
  <c r="H119" i="17"/>
  <c r="H67" i="17"/>
  <c r="H81" i="17"/>
  <c r="H65" i="17"/>
  <c r="H9" i="17"/>
  <c r="H5" i="17"/>
  <c r="H87" i="17"/>
  <c r="H80" i="17"/>
  <c r="H21" i="17"/>
  <c r="H125" i="17"/>
  <c r="H14" i="17"/>
  <c r="H89" i="17"/>
  <c r="H34" i="17"/>
  <c r="H92" i="17"/>
  <c r="H102" i="17"/>
  <c r="H109" i="17"/>
  <c r="H98" i="17"/>
  <c r="H95" i="17"/>
  <c r="H73" i="17"/>
  <c r="H19" i="17"/>
  <c r="H93" i="17"/>
  <c r="H76" i="17"/>
  <c r="H84" i="17"/>
  <c r="H25" i="17"/>
  <c r="H33" i="17"/>
  <c r="H99" i="17"/>
  <c r="H63" i="17"/>
  <c r="H79" i="17"/>
  <c r="H24" i="17"/>
  <c r="H37" i="17"/>
  <c r="H54" i="17"/>
  <c r="H112" i="17"/>
  <c r="H57" i="17"/>
  <c r="H35" i="17"/>
  <c r="H26" i="17"/>
  <c r="H18" i="17"/>
  <c r="H100" i="17"/>
  <c r="H29" i="17"/>
  <c r="H106" i="17"/>
  <c r="H126" i="17"/>
  <c r="H8" i="17"/>
  <c r="H110" i="17"/>
  <c r="H83" i="17"/>
  <c r="H117" i="17"/>
  <c r="H51" i="17"/>
  <c r="H41" i="17"/>
  <c r="H104" i="17"/>
  <c r="H31" i="17"/>
  <c r="H127" i="17"/>
  <c r="AA128" i="19" s="1"/>
  <c r="H56" i="17"/>
  <c r="H39" i="17"/>
  <c r="H116" i="17"/>
  <c r="H78" i="17"/>
  <c r="H105" i="17"/>
  <c r="H3" i="17"/>
  <c r="H94" i="17"/>
  <c r="H27" i="17"/>
  <c r="H32" i="17"/>
  <c r="H103" i="17"/>
  <c r="H60" i="17"/>
  <c r="H121" i="17"/>
  <c r="H85" i="17"/>
  <c r="AA127" i="19" l="1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4" i="20"/>
  <c r="B20" i="20"/>
  <c r="B16" i="20"/>
  <c r="B25" i="20"/>
  <c r="B23" i="20"/>
  <c r="B19" i="20"/>
  <c r="B15" i="20"/>
  <c r="B22" i="20"/>
  <c r="B18" i="20"/>
  <c r="B21" i="20"/>
  <c r="B17" i="20"/>
  <c r="E11" i="20"/>
  <c r="E5" i="20"/>
  <c r="E8" i="20"/>
  <c r="E4" i="20"/>
  <c r="E7" i="20"/>
  <c r="E3" i="20"/>
  <c r="E6" i="20"/>
  <c r="E9" i="20" l="1"/>
  <c r="E10" i="20"/>
  <c r="Q9" i="19"/>
  <c r="R50" i="19"/>
  <c r="Q70" i="19"/>
  <c r="P60" i="19"/>
  <c r="T7" i="19"/>
  <c r="T29" i="19"/>
  <c r="U97" i="19"/>
  <c r="R117" i="19"/>
  <c r="S15" i="19"/>
  <c r="Q4" i="19"/>
  <c r="S35" i="19"/>
  <c r="U67" i="19"/>
  <c r="Q103" i="19"/>
  <c r="Q51" i="19"/>
  <c r="U120" i="19"/>
  <c r="S93" i="19"/>
  <c r="U78" i="19"/>
  <c r="S40" i="19"/>
  <c r="S55" i="19"/>
  <c r="T80" i="19"/>
  <c r="U82" i="19"/>
  <c r="T41" i="19"/>
  <c r="T49" i="19"/>
  <c r="T120" i="19"/>
  <c r="Q119" i="19"/>
  <c r="U94" i="19"/>
  <c r="Q111" i="19"/>
  <c r="P83" i="19"/>
  <c r="T96" i="19"/>
  <c r="R107" i="19"/>
  <c r="P52" i="19"/>
  <c r="P46" i="19"/>
  <c r="P102" i="19"/>
  <c r="S7" i="19"/>
  <c r="U105" i="19"/>
  <c r="R64" i="19"/>
  <c r="U31" i="19"/>
  <c r="Q80" i="19"/>
  <c r="Q120" i="19"/>
  <c r="R34" i="19"/>
  <c r="R61" i="19"/>
  <c r="Q82" i="19"/>
  <c r="U5" i="19"/>
  <c r="P4" i="19"/>
  <c r="U38" i="19"/>
  <c r="R20" i="19"/>
  <c r="T5" i="19"/>
  <c r="Q109" i="19"/>
  <c r="Q38" i="19"/>
  <c r="S78" i="19"/>
  <c r="R21" i="19"/>
  <c r="U16" i="19"/>
  <c r="Q23" i="19"/>
  <c r="T107" i="19"/>
  <c r="S43" i="19"/>
  <c r="P85" i="19"/>
  <c r="P53" i="19"/>
  <c r="T30" i="19"/>
  <c r="Q75" i="19"/>
  <c r="P94" i="19"/>
  <c r="P111" i="19"/>
  <c r="P45" i="19"/>
  <c r="T35" i="19"/>
  <c r="P99" i="19"/>
  <c r="T13" i="19"/>
  <c r="S94" i="19"/>
  <c r="U99" i="19"/>
  <c r="U117" i="19"/>
  <c r="S117" i="19"/>
  <c r="Q48" i="19"/>
  <c r="Q110" i="19"/>
  <c r="R15" i="19"/>
  <c r="S21" i="19"/>
  <c r="S45" i="19"/>
  <c r="T88" i="19"/>
  <c r="P96" i="19"/>
  <c r="Q116" i="19"/>
  <c r="S30" i="19"/>
  <c r="R63" i="19"/>
  <c r="Q24" i="19"/>
  <c r="Q31" i="19"/>
  <c r="P49" i="19"/>
  <c r="R33" i="19"/>
  <c r="T6" i="19"/>
  <c r="Q52" i="19"/>
  <c r="Q106" i="19"/>
  <c r="P77" i="19"/>
  <c r="U66" i="19"/>
  <c r="T101" i="19"/>
  <c r="R93" i="19"/>
  <c r="Q40" i="19"/>
  <c r="P37" i="19"/>
  <c r="Q74" i="19"/>
  <c r="T22" i="19"/>
  <c r="R85" i="19"/>
  <c r="U68" i="19"/>
  <c r="R31" i="19"/>
  <c r="R120" i="19"/>
  <c r="Q102" i="19"/>
  <c r="U19" i="19"/>
  <c r="T14" i="19"/>
  <c r="Q16" i="19"/>
  <c r="S109" i="19"/>
  <c r="T15" i="19"/>
  <c r="P73" i="19"/>
  <c r="T75" i="19"/>
  <c r="U71" i="19"/>
  <c r="R69" i="19"/>
  <c r="S75" i="19"/>
  <c r="R96" i="19"/>
  <c r="T53" i="19"/>
  <c r="U111" i="19"/>
  <c r="U28" i="19"/>
  <c r="P24" i="19"/>
  <c r="U79" i="19"/>
  <c r="R58" i="19"/>
  <c r="S26" i="19"/>
  <c r="U101" i="19"/>
  <c r="P56" i="19"/>
  <c r="R106" i="19"/>
  <c r="P13" i="19"/>
  <c r="U44" i="19"/>
  <c r="S54" i="19"/>
  <c r="P20" i="19"/>
  <c r="P23" i="19"/>
  <c r="U92" i="19"/>
  <c r="T86" i="19"/>
  <c r="U104" i="19"/>
  <c r="R10" i="19"/>
  <c r="T39" i="19"/>
  <c r="Q59" i="19"/>
  <c r="S46" i="19"/>
  <c r="Q17" i="19"/>
  <c r="Q49" i="19"/>
  <c r="R24" i="19"/>
  <c r="U75" i="19"/>
  <c r="T31" i="19"/>
  <c r="S41" i="19"/>
  <c r="Q33" i="19"/>
  <c r="U109" i="19"/>
  <c r="U100" i="19"/>
  <c r="U52" i="19"/>
  <c r="R17" i="19"/>
  <c r="R8" i="19"/>
  <c r="Q37" i="19"/>
  <c r="Q79" i="19"/>
  <c r="S11" i="19"/>
  <c r="R84" i="19"/>
  <c r="U103" i="19"/>
  <c r="U24" i="19"/>
  <c r="U70" i="19"/>
  <c r="R90" i="19"/>
  <c r="Q34" i="19"/>
  <c r="U25" i="19"/>
  <c r="Q39" i="19"/>
  <c r="T37" i="19"/>
  <c r="T78" i="19"/>
  <c r="Q57" i="19"/>
  <c r="U114" i="19"/>
  <c r="P32" i="19"/>
  <c r="P39" i="19"/>
  <c r="Q21" i="19"/>
  <c r="P9" i="19"/>
  <c r="S64" i="19"/>
  <c r="U93" i="19"/>
  <c r="Q84" i="19"/>
  <c r="S28" i="19"/>
  <c r="U40" i="19"/>
  <c r="S16" i="19"/>
  <c r="P21" i="19"/>
  <c r="P11" i="19"/>
  <c r="S113" i="19"/>
  <c r="Q65" i="19"/>
  <c r="Q54" i="19"/>
  <c r="U15" i="19"/>
  <c r="S91" i="19"/>
  <c r="Q55" i="19"/>
  <c r="U37" i="19"/>
  <c r="Q60" i="19"/>
  <c r="P100" i="19"/>
  <c r="T66" i="19"/>
  <c r="U21" i="19"/>
  <c r="T51" i="19"/>
  <c r="S73" i="19"/>
  <c r="T68" i="19"/>
  <c r="Q62" i="19"/>
  <c r="T108" i="19"/>
  <c r="T60" i="19"/>
  <c r="P36" i="19"/>
  <c r="Q45" i="19"/>
  <c r="S10" i="19"/>
  <c r="S99" i="19"/>
  <c r="T69" i="19"/>
  <c r="Q72" i="19"/>
  <c r="T32" i="19"/>
  <c r="S61" i="19"/>
  <c r="S18" i="19"/>
  <c r="R108" i="19"/>
  <c r="S102" i="19"/>
  <c r="S119" i="19"/>
  <c r="U59" i="19"/>
  <c r="P82" i="19"/>
  <c r="T83" i="19"/>
  <c r="U8" i="19"/>
  <c r="P74" i="19"/>
  <c r="P5" i="19"/>
  <c r="P40" i="19"/>
  <c r="S47" i="19"/>
  <c r="R109" i="19"/>
  <c r="Q46" i="19"/>
  <c r="T81" i="19"/>
  <c r="T43" i="19"/>
  <c r="P54" i="19"/>
  <c r="R44" i="19"/>
  <c r="P66" i="19"/>
  <c r="P72" i="19"/>
  <c r="P119" i="19"/>
  <c r="S32" i="19"/>
  <c r="P108" i="19"/>
  <c r="T54" i="19"/>
  <c r="Q64" i="19"/>
  <c r="R70" i="19"/>
  <c r="U4" i="19"/>
  <c r="S66" i="19"/>
  <c r="T76" i="19"/>
  <c r="Q6" i="19"/>
  <c r="P29" i="19"/>
  <c r="R54" i="19"/>
  <c r="P98" i="19"/>
  <c r="U56" i="19"/>
  <c r="T111" i="19"/>
  <c r="Q76" i="19"/>
  <c r="P109" i="19"/>
  <c r="S50" i="19"/>
  <c r="R111" i="19"/>
  <c r="T98" i="19"/>
  <c r="T100" i="19"/>
  <c r="R12" i="19"/>
  <c r="R68" i="19"/>
  <c r="S83" i="19"/>
  <c r="T18" i="19"/>
  <c r="S6" i="19"/>
  <c r="U39" i="19"/>
  <c r="R59" i="19"/>
  <c r="S17" i="19"/>
  <c r="P48" i="19"/>
  <c r="T9" i="19"/>
  <c r="P64" i="19"/>
  <c r="Q13" i="19"/>
  <c r="P104" i="19"/>
  <c r="P116" i="19"/>
  <c r="T73" i="19"/>
  <c r="P8" i="19"/>
  <c r="Q85" i="19"/>
  <c r="P91" i="19"/>
  <c r="U50" i="19"/>
  <c r="U33" i="19"/>
  <c r="S24" i="19"/>
  <c r="T47" i="19"/>
  <c r="Q93" i="19"/>
  <c r="S37" i="19"/>
  <c r="R30" i="19"/>
  <c r="S29" i="19"/>
  <c r="P43" i="19"/>
  <c r="Q41" i="19"/>
  <c r="Q114" i="19"/>
  <c r="S90" i="19"/>
  <c r="S39" i="19"/>
  <c r="T71" i="19"/>
  <c r="S100" i="19"/>
  <c r="R98" i="19"/>
  <c r="R112" i="19"/>
  <c r="R118" i="19"/>
  <c r="R77" i="19"/>
  <c r="R46" i="19"/>
  <c r="T77" i="19"/>
  <c r="S65" i="19"/>
  <c r="S80" i="19"/>
  <c r="R29" i="19"/>
  <c r="Q63" i="19"/>
  <c r="R91" i="19"/>
  <c r="P76" i="19"/>
  <c r="Q61" i="19"/>
  <c r="T64" i="19"/>
  <c r="R115" i="19"/>
  <c r="Q104" i="19"/>
  <c r="T56" i="19"/>
  <c r="U55" i="19"/>
  <c r="R36" i="19"/>
  <c r="R4" i="19"/>
  <c r="S22" i="19"/>
  <c r="R66" i="19"/>
  <c r="U96" i="19"/>
  <c r="R105" i="19"/>
  <c r="S34" i="19"/>
  <c r="S19" i="19"/>
  <c r="P58" i="19"/>
  <c r="P16" i="19"/>
  <c r="S92" i="19"/>
  <c r="T97" i="19"/>
  <c r="T104" i="19"/>
  <c r="P117" i="19"/>
  <c r="S14" i="19"/>
  <c r="S31" i="19"/>
  <c r="R92" i="19"/>
  <c r="T17" i="19"/>
  <c r="U54" i="19"/>
  <c r="S23" i="19"/>
  <c r="T57" i="19"/>
  <c r="R49" i="19"/>
  <c r="P78" i="19"/>
  <c r="P107" i="19"/>
  <c r="R38" i="19"/>
  <c r="R51" i="19"/>
  <c r="U108" i="19"/>
  <c r="R73" i="19"/>
  <c r="T74" i="19"/>
  <c r="U58" i="19"/>
  <c r="P81" i="19"/>
  <c r="P10" i="19"/>
  <c r="P47" i="19"/>
  <c r="S120" i="19"/>
  <c r="S68" i="19"/>
  <c r="T46" i="19"/>
  <c r="T112" i="19"/>
  <c r="S27" i="19"/>
  <c r="P7" i="19"/>
  <c r="Q47" i="19"/>
  <c r="U64" i="19"/>
  <c r="R32" i="19"/>
  <c r="T34" i="19"/>
  <c r="U72" i="19"/>
  <c r="R52" i="19"/>
  <c r="U26" i="19"/>
  <c r="U110" i="19"/>
  <c r="T99" i="19"/>
  <c r="S5" i="19"/>
  <c r="T103" i="19"/>
  <c r="T115" i="19"/>
  <c r="Q97" i="19"/>
  <c r="U23" i="19"/>
  <c r="U107" i="19"/>
  <c r="R89" i="19"/>
  <c r="Q36" i="19"/>
  <c r="R7" i="19"/>
  <c r="Q43" i="19"/>
  <c r="S86" i="19"/>
  <c r="Q22" i="19"/>
  <c r="S44" i="19"/>
  <c r="S38" i="19"/>
  <c r="T116" i="19"/>
  <c r="U83" i="19"/>
  <c r="R95" i="19"/>
  <c r="P95" i="19"/>
  <c r="T72" i="19"/>
  <c r="R27" i="19"/>
  <c r="R18" i="19"/>
  <c r="T87" i="19"/>
  <c r="R104" i="19"/>
  <c r="Q28" i="19"/>
  <c r="P113" i="19"/>
  <c r="S71" i="19"/>
  <c r="R75" i="19"/>
  <c r="Q50" i="19"/>
  <c r="T93" i="19"/>
  <c r="S25" i="19"/>
  <c r="P31" i="19"/>
  <c r="R45" i="19"/>
  <c r="T19" i="19"/>
  <c r="R114" i="19"/>
  <c r="P57" i="19"/>
  <c r="T55" i="19"/>
  <c r="R116" i="19"/>
  <c r="P59" i="19"/>
  <c r="R99" i="19"/>
  <c r="R57" i="19"/>
  <c r="T85" i="19"/>
  <c r="U98" i="19"/>
  <c r="U91" i="19"/>
  <c r="S62" i="19"/>
  <c r="T119" i="19"/>
  <c r="T45" i="19"/>
  <c r="Q83" i="19"/>
  <c r="U17" i="19"/>
  <c r="S4" i="19"/>
  <c r="U106" i="19"/>
  <c r="U113" i="19"/>
  <c r="U9" i="19"/>
  <c r="U12" i="19"/>
  <c r="P101" i="19"/>
  <c r="P97" i="19"/>
  <c r="S77" i="19"/>
  <c r="S72" i="19"/>
  <c r="U90" i="19"/>
  <c r="R86" i="19"/>
  <c r="U51" i="19"/>
  <c r="T102" i="19"/>
  <c r="Q91" i="19"/>
  <c r="S101" i="19"/>
  <c r="P41" i="19"/>
  <c r="S63" i="19"/>
  <c r="P44" i="19"/>
  <c r="Q73" i="19"/>
  <c r="T70" i="19"/>
  <c r="R82" i="19"/>
  <c r="U119" i="19"/>
  <c r="Q88" i="19"/>
  <c r="Q108" i="19"/>
  <c r="S112" i="19"/>
  <c r="R80" i="19"/>
  <c r="R37" i="19"/>
  <c r="P84" i="19"/>
  <c r="S98" i="19"/>
  <c r="T11" i="19"/>
  <c r="U57" i="19"/>
  <c r="U7" i="19"/>
  <c r="T50" i="19"/>
  <c r="P63" i="19"/>
  <c r="S57" i="19"/>
  <c r="P30" i="19"/>
  <c r="R79" i="19"/>
  <c r="U36" i="19"/>
  <c r="S12" i="19"/>
  <c r="U6" i="19"/>
  <c r="P14" i="19"/>
  <c r="P65" i="19"/>
  <c r="U88" i="19"/>
  <c r="T25" i="19"/>
  <c r="Q26" i="19"/>
  <c r="Q11" i="19"/>
  <c r="U22" i="19"/>
  <c r="Q7" i="19"/>
  <c r="R19" i="19"/>
  <c r="R13" i="19"/>
  <c r="R23" i="19"/>
  <c r="P80" i="19"/>
  <c r="Q113" i="19"/>
  <c r="Q53" i="19"/>
  <c r="R55" i="19"/>
  <c r="R74" i="19"/>
  <c r="S82" i="19"/>
  <c r="P121" i="19"/>
  <c r="P17" i="19"/>
  <c r="P89" i="19"/>
  <c r="R121" i="19"/>
  <c r="S116" i="19"/>
  <c r="S74" i="19"/>
  <c r="R9" i="19"/>
  <c r="S33" i="19"/>
  <c r="P34" i="19"/>
  <c r="R11" i="19"/>
  <c r="S108" i="19"/>
  <c r="R65" i="19"/>
  <c r="P71" i="19"/>
  <c r="U20" i="19"/>
  <c r="U34" i="19"/>
  <c r="Q25" i="19"/>
  <c r="P103" i="19"/>
  <c r="T20" i="19"/>
  <c r="P61" i="19"/>
  <c r="U86" i="19"/>
  <c r="Q98" i="19"/>
  <c r="S56" i="19"/>
  <c r="R62" i="19"/>
  <c r="Q68" i="19"/>
  <c r="P87" i="19"/>
  <c r="R42" i="19"/>
  <c r="Q20" i="19"/>
  <c r="S59" i="19"/>
  <c r="R60" i="19"/>
  <c r="S36" i="19"/>
  <c r="U102" i="19"/>
  <c r="R97" i="19"/>
  <c r="T106" i="19"/>
  <c r="T8" i="19"/>
  <c r="U121" i="19"/>
  <c r="R41" i="19"/>
  <c r="Q81" i="19"/>
  <c r="S60" i="19"/>
  <c r="Q115" i="19"/>
  <c r="S8" i="19"/>
  <c r="U76" i="19"/>
  <c r="U116" i="19"/>
  <c r="P18" i="19"/>
  <c r="R78" i="19"/>
  <c r="T23" i="19"/>
  <c r="T94" i="19"/>
  <c r="S48" i="19"/>
  <c r="P92" i="19"/>
  <c r="R39" i="19"/>
  <c r="Q121" i="19"/>
  <c r="R81" i="19"/>
  <c r="P35" i="19"/>
  <c r="Q42" i="19"/>
  <c r="P6" i="19"/>
  <c r="S104" i="19"/>
  <c r="S42" i="19"/>
  <c r="U35" i="19"/>
  <c r="T26" i="19"/>
  <c r="U73" i="19"/>
  <c r="Q18" i="19"/>
  <c r="S97" i="19"/>
  <c r="P105" i="19"/>
  <c r="T40" i="19"/>
  <c r="U65" i="19"/>
  <c r="P120" i="19"/>
  <c r="S69" i="19"/>
  <c r="P19" i="19"/>
  <c r="S107" i="19"/>
  <c r="S51" i="19"/>
  <c r="T42" i="19"/>
  <c r="Q27" i="19"/>
  <c r="Q5" i="19"/>
  <c r="T118" i="19"/>
  <c r="T109" i="19"/>
  <c r="S52" i="19"/>
  <c r="S81" i="19"/>
  <c r="Q96" i="19"/>
  <c r="R101" i="19"/>
  <c r="S53" i="19"/>
  <c r="Q112" i="19"/>
  <c r="Q69" i="19"/>
  <c r="U48" i="19"/>
  <c r="Q86" i="19"/>
  <c r="P15" i="19"/>
  <c r="P115" i="19"/>
  <c r="P86" i="19"/>
  <c r="R67" i="19"/>
  <c r="Q117" i="19"/>
  <c r="S76" i="19"/>
  <c r="U112" i="19"/>
  <c r="Q58" i="19"/>
  <c r="P110" i="19"/>
  <c r="S95" i="19"/>
  <c r="Q19" i="19"/>
  <c r="Q30" i="19"/>
  <c r="T59" i="19"/>
  <c r="T27" i="19"/>
  <c r="S13" i="19"/>
  <c r="U14" i="19"/>
  <c r="S121" i="19"/>
  <c r="S89" i="19"/>
  <c r="P114" i="19"/>
  <c r="T110" i="19"/>
  <c r="S106" i="19"/>
  <c r="T10" i="19"/>
  <c r="T48" i="19"/>
  <c r="P50" i="19"/>
  <c r="T105" i="19"/>
  <c r="P112" i="19"/>
  <c r="R6" i="19"/>
  <c r="R94" i="19"/>
  <c r="T63" i="19"/>
  <c r="U13" i="19"/>
  <c r="S118" i="19"/>
  <c r="R48" i="19"/>
  <c r="P68" i="19"/>
  <c r="U32" i="19"/>
  <c r="R53" i="19"/>
  <c r="Q92" i="19"/>
  <c r="T21" i="19"/>
  <c r="P12" i="19"/>
  <c r="U43" i="19"/>
  <c r="Q99" i="19"/>
  <c r="S9" i="19"/>
  <c r="T65" i="19"/>
  <c r="S70" i="19"/>
  <c r="T113" i="19"/>
  <c r="P69" i="19"/>
  <c r="P118" i="19"/>
  <c r="R25" i="19"/>
  <c r="S20" i="19"/>
  <c r="T36" i="19"/>
  <c r="U85" i="19"/>
  <c r="U45" i="19"/>
  <c r="S67" i="19"/>
  <c r="S85" i="19"/>
  <c r="R102" i="19"/>
  <c r="P51" i="19"/>
  <c r="S58" i="19"/>
  <c r="R22" i="19"/>
  <c r="U10" i="19"/>
  <c r="Q101" i="19"/>
  <c r="R47" i="19"/>
  <c r="Q8" i="19"/>
  <c r="S87" i="19"/>
  <c r="P42" i="19"/>
  <c r="U63" i="19"/>
  <c r="Q118" i="19"/>
  <c r="U95" i="19"/>
  <c r="T82" i="19"/>
  <c r="T38" i="19"/>
  <c r="U30" i="19"/>
  <c r="U115" i="19"/>
  <c r="R110" i="19"/>
  <c r="R100" i="19"/>
  <c r="P27" i="19"/>
  <c r="Q94" i="19"/>
  <c r="S49" i="19"/>
  <c r="S115" i="19"/>
  <c r="Q90" i="19"/>
  <c r="T92" i="19"/>
  <c r="U80" i="19"/>
  <c r="T4" i="19"/>
  <c r="U41" i="19"/>
  <c r="S96" i="19"/>
  <c r="Q107" i="19"/>
  <c r="P28" i="19"/>
  <c r="S105" i="19"/>
  <c r="U29" i="19"/>
  <c r="S110" i="19"/>
  <c r="T84" i="19"/>
  <c r="Q95" i="19"/>
  <c r="T52" i="19"/>
  <c r="R103" i="19"/>
  <c r="P25" i="19"/>
  <c r="P79" i="19"/>
  <c r="Q105" i="19"/>
  <c r="U47" i="19"/>
  <c r="R5" i="19"/>
  <c r="Q14" i="19"/>
  <c r="R40" i="19"/>
  <c r="R72" i="19"/>
  <c r="Q44" i="19"/>
  <c r="R16" i="19"/>
  <c r="T16" i="19"/>
  <c r="Q10" i="19"/>
  <c r="S111" i="19"/>
  <c r="S103" i="19"/>
  <c r="P55" i="19"/>
  <c r="U60" i="19"/>
  <c r="R88" i="19"/>
  <c r="R56" i="19"/>
  <c r="T33" i="19"/>
  <c r="U46" i="19"/>
  <c r="Q12" i="19"/>
  <c r="U42" i="19"/>
  <c r="P38" i="19"/>
  <c r="Q89" i="19"/>
  <c r="T91" i="19"/>
  <c r="Q78" i="19"/>
  <c r="U27" i="19"/>
  <c r="U84" i="19"/>
  <c r="U62" i="19"/>
  <c r="P33" i="19"/>
  <c r="Q100" i="19"/>
  <c r="U118" i="19"/>
  <c r="U61" i="19"/>
  <c r="S79" i="19"/>
  <c r="Q35" i="19"/>
  <c r="U18" i="19"/>
  <c r="U69" i="19"/>
  <c r="P106" i="19"/>
  <c r="U87" i="19"/>
  <c r="T117" i="19"/>
  <c r="P67" i="19"/>
  <c r="U81" i="19"/>
  <c r="R76" i="19"/>
  <c r="S88" i="19"/>
  <c r="P88" i="19"/>
  <c r="T12" i="19"/>
  <c r="P62" i="19"/>
  <c r="Q71" i="19"/>
  <c r="T67" i="19"/>
  <c r="T58" i="19"/>
  <c r="T89" i="19"/>
  <c r="P75" i="19"/>
  <c r="R119" i="19"/>
  <c r="T28" i="19"/>
  <c r="S84" i="19"/>
  <c r="T79" i="19"/>
  <c r="P22" i="19"/>
  <c r="R28" i="19"/>
  <c r="T44" i="19"/>
  <c r="P26" i="19"/>
  <c r="P70" i="19"/>
  <c r="U77" i="19"/>
  <c r="T95" i="19"/>
  <c r="R113" i="19"/>
  <c r="P93" i="19"/>
  <c r="T90" i="19"/>
  <c r="Q32" i="19"/>
  <c r="T61" i="19"/>
  <c r="Q67" i="19"/>
  <c r="R26" i="19"/>
  <c r="U53" i="19"/>
  <c r="U49" i="19"/>
  <c r="R71" i="19"/>
  <c r="Q77" i="19"/>
  <c r="T24" i="19"/>
  <c r="R87" i="19"/>
  <c r="R14" i="19"/>
  <c r="Q15" i="19"/>
  <c r="Q56" i="19"/>
  <c r="R83" i="19"/>
  <c r="T121" i="19"/>
  <c r="T114" i="19"/>
  <c r="U74" i="19"/>
  <c r="Q29" i="19"/>
  <c r="R43" i="19"/>
  <c r="S114" i="19"/>
  <c r="U11" i="19"/>
  <c r="U89" i="19"/>
  <c r="T62" i="19"/>
  <c r="Q87" i="19"/>
  <c r="P90" i="19"/>
  <c r="Q66" i="19"/>
  <c r="R35" i="19"/>
  <c r="E12" i="20" l="1"/>
  <c r="E13" i="20" s="1"/>
  <c r="E14" i="20" s="1"/>
  <c r="E15" i="20" s="1"/>
</calcChain>
</file>

<file path=xl/sharedStrings.xml><?xml version="1.0" encoding="utf-8"?>
<sst xmlns="http://schemas.openxmlformats.org/spreadsheetml/2006/main" count="1980" uniqueCount="694">
  <si>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</si>
  <si>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</si>
  <si>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</si>
  <si>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</si>
  <si>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</si>
  <si>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</si>
  <si>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</si>
  <si>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</si>
  <si>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</si>
  <si>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</si>
  <si>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</si>
  <si>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</si>
  <si>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</si>
  <si>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</si>
  <si>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</si>
  <si>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</si>
  <si>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</si>
  <si>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</si>
  <si>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</si>
  <si>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</si>
  <si>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</si>
  <si>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</si>
  <si>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</si>
  <si>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</si>
  <si>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</si>
  <si>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</si>
  <si>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</si>
  <si>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</si>
  <si>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</si>
  <si>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</si>
  <si>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</si>
  <si>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</si>
  <si>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</si>
  <si>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</si>
  <si>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</si>
  <si>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</si>
  <si>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</si>
  <si>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</si>
  <si>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</si>
  <si>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</si>
  <si>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</si>
  <si>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</si>
  <si>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</si>
  <si>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</si>
  <si>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</si>
  <si>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</si>
  <si>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</si>
  <si>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</si>
  <si>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</si>
  <si>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</si>
  <si>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</si>
  <si>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</si>
  <si>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</si>
  <si>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</si>
  <si>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</si>
  <si>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</si>
  <si>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</si>
  <si>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</si>
  <si>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</si>
  <si>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</si>
  <si>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</si>
  <si>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</si>
  <si>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</si>
  <si>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</si>
  <si>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</si>
  <si>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</si>
  <si>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</si>
  <si>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</si>
  <si>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</si>
  <si>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</si>
  <si>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</si>
  <si>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</si>
  <si>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</si>
  <si>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</si>
  <si>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</si>
  <si>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</si>
  <si>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</si>
  <si>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</si>
  <si>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</si>
  <si>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</si>
  <si>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</si>
  <si>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</si>
  <si>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</si>
  <si>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</si>
  <si>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</si>
  <si>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</si>
  <si>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</si>
  <si>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</si>
  <si>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</si>
  <si>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</si>
  <si>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</si>
  <si>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</si>
  <si>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</si>
  <si>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</si>
  <si>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</si>
  <si>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</si>
  <si>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</si>
  <si>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</si>
  <si>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</si>
  <si>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</si>
  <si>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</si>
  <si>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</si>
  <si>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</si>
  <si>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</si>
  <si>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</si>
  <si>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</si>
  <si>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</si>
  <si>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</si>
  <si>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</si>
  <si>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</si>
  <si>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</si>
  <si>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</si>
  <si>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</si>
  <si>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</si>
  <si>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</si>
  <si>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</si>
  <si>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</si>
  <si>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</si>
  <si>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</si>
  <si>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</si>
  <si>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</si>
  <si>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</si>
  <si>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</si>
  <si>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</si>
  <si>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</si>
  <si>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</si>
  <si>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</si>
  <si>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</si>
  <si>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</si>
  <si>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</si>
  <si>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</si>
  <si>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</si>
  <si>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</si>
  <si>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</si>
  <si>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</si>
  <si>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</si>
  <si>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</si>
  <si>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</si>
  <si>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</si>
  <si>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</si>
  <si>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</si>
  <si>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</si>
  <si>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</si>
  <si>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</si>
  <si>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</si>
  <si>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</si>
  <si>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</si>
  <si>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</si>
  <si>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</si>
  <si>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</si>
  <si>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</si>
  <si>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</si>
  <si>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</si>
  <si>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</si>
  <si>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</si>
  <si>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</si>
  <si>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</si>
  <si>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</si>
  <si>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</si>
  <si>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</si>
  <si>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</si>
  <si>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</si>
  <si>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</si>
  <si>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</si>
  <si>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</si>
  <si>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</si>
  <si>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</si>
  <si>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</si>
  <si>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</si>
  <si>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</si>
  <si>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</si>
  <si>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</si>
  <si>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</si>
  <si>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</si>
  <si>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</si>
  <si>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</si>
  <si>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</si>
  <si>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</si>
  <si>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</si>
  <si>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</si>
  <si>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</si>
  <si>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</si>
  <si>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</si>
  <si>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</si>
  <si>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</si>
  <si>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</si>
  <si>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</si>
  <si>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</si>
  <si>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</si>
  <si>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</si>
  <si>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</si>
  <si>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</si>
  <si>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</si>
  <si>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</si>
  <si>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</si>
  <si>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</si>
  <si>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</si>
  <si>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</si>
  <si>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</si>
  <si>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</si>
  <si>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</si>
  <si>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</si>
  <si>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</si>
  <si>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</si>
  <si>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</si>
  <si>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</si>
  <si>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</si>
  <si>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</si>
  <si>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</si>
  <si>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</si>
  <si>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</si>
  <si>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</si>
  <si>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</si>
  <si>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</si>
  <si>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</si>
  <si>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</si>
  <si>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</si>
  <si>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</si>
  <si>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</si>
  <si>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</si>
  <si>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</si>
  <si>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</si>
  <si>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</si>
  <si>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</si>
  <si>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</si>
  <si>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</si>
  <si>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</si>
  <si>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</si>
  <si>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</si>
  <si>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</si>
  <si>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</si>
  <si>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</si>
  <si>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</si>
  <si>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</si>
  <si>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</si>
  <si>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</si>
  <si>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</si>
  <si>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</si>
  <si>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</si>
  <si>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</si>
  <si>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</si>
  <si>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</si>
  <si>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</si>
  <si>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</si>
  <si>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</si>
  <si>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</si>
  <si>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</si>
  <si>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</si>
  <si>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</si>
  <si>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</si>
  <si>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</si>
  <si>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</si>
  <si>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</si>
  <si>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</si>
  <si>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</si>
  <si>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</si>
  <si>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</si>
  <si>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</si>
  <si>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</si>
  <si>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</si>
  <si>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</si>
  <si>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</si>
  <si>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</si>
  <si>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</si>
  <si>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</si>
  <si>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</si>
  <si>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</si>
  <si>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</si>
  <si>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5"/>
  </si>
  <si>
    <t>Anime Name</t>
    <phoneticPr fontId="5"/>
  </si>
  <si>
    <t>Flat jokes, boring characters</t>
    <phoneticPr fontId="5"/>
  </si>
  <si>
    <t>Aragaki Ayase-tan</t>
    <phoneticPr fontId="5"/>
  </si>
  <si>
    <t>Boku wa Tomodachi ga Sukunai NEXT</t>
    <phoneticPr fontId="5"/>
  </si>
  <si>
    <t>Yuuki Asuna</t>
    <phoneticPr fontId="5"/>
  </si>
  <si>
    <t>Hasegawa Kobato</t>
    <phoneticPr fontId="5"/>
  </si>
  <si>
    <t>Hetalia Axis Powers</t>
    <phoneticPr fontId="5"/>
  </si>
  <si>
    <t>Hidan no Aria</t>
    <phoneticPr fontId="5"/>
  </si>
  <si>
    <t>Serial Experiments Lain</t>
    <phoneticPr fontId="5"/>
  </si>
  <si>
    <t>Mirai Nikki</t>
    <phoneticPr fontId="5"/>
  </si>
  <si>
    <t>Uryuu Minene v2</t>
    <phoneticPr fontId="5"/>
  </si>
  <si>
    <t>Code Geass: Lelouch of the Rebellion</t>
    <phoneticPr fontId="5"/>
  </si>
  <si>
    <t>Code Geass: Lelouch of the Rebellion R2</t>
    <phoneticPr fontId="5"/>
  </si>
  <si>
    <t>Darker than Black</t>
    <phoneticPr fontId="5"/>
  </si>
  <si>
    <t>Honey and Clover II</t>
    <phoneticPr fontId="5"/>
  </si>
  <si>
    <t>Nodame Cantabile - Paris Hen</t>
    <phoneticPr fontId="5"/>
  </si>
  <si>
    <t>Nodame Cantabile Finale</t>
    <phoneticPr fontId="5"/>
  </si>
  <si>
    <t>Sora no Otoshimono Forte</t>
    <phoneticPr fontId="5"/>
  </si>
  <si>
    <t>The World God Only Knows II</t>
    <phoneticPr fontId="5"/>
  </si>
  <si>
    <t>Seikon no Qwaser II</t>
    <phoneticPr fontId="5"/>
  </si>
  <si>
    <t>Miyakawa Hikage</t>
    <phoneticPr fontId="5"/>
  </si>
  <si>
    <t>MV</t>
    <phoneticPr fontId="5"/>
  </si>
  <si>
    <t>2012</t>
    <phoneticPr fontId="5"/>
  </si>
  <si>
    <t>Princess Mononoke</t>
    <phoneticPr fontId="5"/>
  </si>
  <si>
    <t>AMV</t>
    <phoneticPr fontId="5"/>
  </si>
  <si>
    <t>DL</t>
    <phoneticPr fontId="5"/>
  </si>
  <si>
    <t>DL</t>
    <phoneticPr fontId="5"/>
  </si>
  <si>
    <t>Sora no Otoshimono</t>
    <phoneticPr fontId="5"/>
  </si>
  <si>
    <t>Nymph</t>
    <phoneticPr fontId="5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</si>
  <si>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</si>
  <si>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</si>
  <si>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</si>
  <si>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</si>
  <si>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</si>
  <si>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</si>
  <si>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</si>
  <si>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</si>
  <si>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</si>
  <si>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</si>
  <si>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</si>
  <si>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</si>
  <si>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</si>
  <si>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</si>
  <si>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</si>
  <si>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</si>
  <si>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</si>
  <si>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</si>
  <si>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</si>
  <si>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</si>
  <si>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</si>
  <si>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</si>
  <si>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</si>
  <si>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</si>
  <si>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</si>
  <si>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</si>
  <si>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</si>
  <si>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</si>
  <si>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</si>
  <si>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</si>
  <si>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</si>
  <si>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</si>
  <si>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</si>
  <si>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</si>
  <si>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</si>
  <si>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</si>
  <si>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</si>
  <si>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</si>
  <si>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</si>
  <si>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</si>
  <si>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</si>
  <si>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</si>
  <si>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</si>
  <si>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</si>
  <si>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</si>
  <si>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</si>
  <si>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</si>
  <si>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</si>
  <si>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</si>
  <si>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</si>
  <si>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</si>
  <si>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</si>
  <si>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</si>
  <si>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</si>
  <si>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</si>
  <si>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</si>
  <si>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</si>
  <si>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</si>
  <si>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</si>
  <si>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</si>
  <si>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</si>
  <si>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</si>
  <si>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</si>
  <si>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</si>
  <si>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</si>
  <si>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</si>
  <si>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</si>
  <si>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</si>
  <si>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</si>
  <si>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</si>
  <si>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</si>
  <si>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</si>
  <si>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</si>
  <si>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</si>
  <si>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</si>
  <si>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</si>
  <si>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</si>
  <si>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</si>
  <si>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</si>
  <si>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</si>
  <si>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</si>
  <si>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</si>
  <si>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</si>
  <si>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</si>
  <si>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</si>
  <si>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</si>
  <si>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</si>
  <si>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</si>
  <si>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</si>
  <si>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</si>
  <si>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</si>
  <si>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</si>
  <si>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</si>
  <si>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</si>
  <si>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</si>
  <si>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</si>
  <si>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</si>
  <si>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</si>
  <si>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</si>
  <si>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</si>
  <si>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</si>
  <si>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</si>
  <si>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</si>
  <si>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</si>
  <si>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</si>
  <si>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</si>
  <si>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</si>
  <si>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</si>
  <si>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</si>
  <si>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</si>
  <si>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</si>
  <si>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</si>
  <si>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</si>
  <si>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</si>
  <si>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</si>
  <si>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</si>
  <si>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</si>
  <si>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</si>
  <si>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</si>
  <si>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</si>
  <si>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</si>
  <si>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</si>
  <si>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</si>
  <si>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</si>
  <si>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</si>
  <si>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</si>
  <si>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</si>
  <si>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</si>
  <si>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</si>
  <si>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</si>
  <si>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</si>
  <si>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</si>
  <si>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</si>
  <si>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</si>
  <si>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</si>
  <si>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</si>
  <si>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</si>
  <si>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</si>
  <si>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</si>
  <si>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</si>
  <si>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</si>
  <si>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</si>
  <si>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</si>
  <si>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</si>
  <si>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</si>
  <si>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</si>
  <si>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</si>
  <si>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</si>
  <si>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</si>
  <si>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</si>
  <si>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</si>
  <si>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</si>
  <si>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</si>
  <si>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</si>
  <si>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</si>
  <si>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</si>
  <si>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</si>
  <si>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</si>
  <si>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</si>
  <si>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</si>
  <si>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</si>
  <si>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</si>
  <si>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</si>
  <si>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</si>
  <si>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</si>
  <si>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</si>
  <si>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</si>
  <si>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</si>
  <si>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</si>
  <si>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</si>
  <si>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</si>
  <si>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</si>
  <si>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</si>
  <si>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</si>
  <si>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</si>
  <si>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</si>
  <si>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</si>
  <si>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</si>
  <si>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</si>
  <si>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</si>
  <si>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</si>
  <si>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</si>
  <si>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</si>
  <si>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</si>
  <si>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</si>
  <si>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</si>
  <si>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</si>
  <si>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Ryuugajou Nanana no Maizoukin</t>
  </si>
  <si>
    <t>Mikakunin no Shinkoukei</t>
  </si>
  <si>
    <t>Celty Sturluson</t>
  </si>
  <si>
    <t>Pretty relaxing to watch, got better near the end</t>
  </si>
  <si>
    <t>NEEDS TO BE UPDATED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</si>
  <si>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</si>
  <si>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</si>
  <si>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</si>
  <si>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</si>
  <si>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</si>
  <si>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</si>
  <si>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</si>
  <si>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</si>
  <si>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</si>
  <si>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</si>
  <si>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</si>
  <si>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</si>
  <si>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</si>
  <si>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</si>
  <si>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</si>
  <si>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</si>
  <si>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</si>
  <si>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</si>
  <si>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</si>
  <si>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</si>
  <si>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</si>
  <si>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</si>
  <si>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</si>
  <si>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</si>
  <si>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</si>
  <si>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</si>
  <si>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</si>
  <si>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</si>
  <si>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</si>
  <si>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</si>
  <si>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</si>
  <si>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</si>
  <si>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</si>
  <si>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</si>
  <si>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</si>
  <si>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</si>
  <si>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</si>
  <si>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</si>
  <si>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</si>
  <si>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</si>
  <si>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</si>
  <si>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</si>
  <si>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</si>
  <si>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</si>
  <si>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</si>
  <si>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</si>
  <si>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</si>
  <si>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</si>
  <si>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</si>
  <si>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</si>
  <si>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</si>
  <si>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</si>
  <si>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</si>
  <si>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</si>
  <si>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</si>
  <si>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</si>
  <si>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</si>
  <si>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</si>
  <si>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</si>
  <si>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</si>
  <si>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</si>
  <si>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</si>
  <si>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</si>
  <si>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</si>
  <si>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</si>
  <si>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</si>
  <si>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</si>
  <si>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</si>
  <si>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</si>
  <si>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</si>
  <si>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</si>
  <si>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</si>
  <si>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</si>
  <si>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</si>
  <si>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</si>
  <si>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</si>
  <si>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</si>
  <si>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</si>
  <si>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</si>
  <si>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</si>
  <si>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</si>
  <si>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</si>
  <si>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</si>
  <si>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</si>
  <si>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</si>
  <si>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</si>
  <si>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</si>
  <si>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</si>
  <si>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</si>
  <si>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</si>
  <si>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</si>
  <si>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</si>
  <si>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</si>
  <si>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</si>
  <si>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</si>
  <si>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</si>
  <si>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</si>
  <si>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</si>
  <si>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</si>
  <si>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</si>
  <si>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</si>
  <si>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</si>
  <si>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</si>
  <si>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</si>
  <si>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</si>
  <si>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</si>
  <si>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</si>
  <si>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</si>
  <si>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</si>
  <si>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</si>
  <si>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</si>
  <si>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</si>
  <si>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</si>
  <si>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</si>
  <si>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</si>
  <si>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</si>
  <si>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</si>
  <si>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</si>
  <si>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</si>
  <si>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</si>
  <si>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</si>
  <si>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</si>
  <si>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</si>
  <si>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</si>
  <si>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</si>
  <si>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</si>
  <si>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</si>
  <si>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</si>
  <si>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</si>
  <si>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</si>
  <si>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</si>
  <si>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</si>
  <si>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</si>
  <si>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</si>
  <si>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</si>
  <si>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Number of Collabs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</si>
  <si>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</si>
  <si>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</si>
  <si>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</si>
  <si>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</si>
  <si>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</si>
  <si>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</si>
  <si>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</si>
  <si>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</si>
  <si>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</si>
  <si>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</si>
  <si>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</si>
  <si>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</si>
  <si>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</si>
  <si>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</si>
  <si>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</si>
  <si>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</si>
  <si>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</si>
  <si>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</si>
  <si>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</si>
  <si>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</si>
  <si>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</si>
  <si>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</si>
  <si>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</si>
  <si>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</si>
  <si>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</si>
  <si>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</si>
  <si>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</si>
  <si>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</si>
  <si>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</si>
  <si>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</si>
  <si>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</si>
  <si>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</si>
  <si>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</si>
  <si>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</si>
  <si>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</si>
  <si>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</si>
  <si>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</si>
  <si>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</si>
  <si>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</si>
  <si>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</si>
  <si>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</si>
  <si>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</si>
  <si>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</si>
  <si>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</si>
  <si>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</si>
  <si>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</si>
  <si>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</si>
  <si>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>Chuunibyou Demo Koi ga Shitai OVA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</si>
  <si>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</si>
  <si>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</si>
  <si>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</si>
  <si>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</si>
  <si>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</si>
  <si>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</si>
  <si>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</si>
  <si>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</si>
  <si>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</si>
  <si>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</si>
  <si>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</si>
  <si>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</si>
  <si>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Tokyo ESP?</t>
  </si>
  <si>
    <t>New Season Plans</t>
  </si>
  <si>
    <t>M</t>
  </si>
  <si>
    <t>Final?</t>
  </si>
  <si>
    <t>Some moeshit show (TBA)</t>
  </si>
  <si>
    <t>Total Final:</t>
  </si>
  <si>
    <t>Total Count:</t>
  </si>
  <si>
    <t xml:space="preserve">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</si>
</sst>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mm\-dd\-yyyy;@"/>
    <numFmt numFmtId="166" formatCode="0.000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25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0" borderId="13" xfId="0" applyFont="1" applyBorder="1"/>
    <xf numFmtId="0" fontId="3" fillId="0" borderId="15" xfId="0" applyFont="1" applyBorder="1"/>
    <xf numFmtId="0" fontId="3" fillId="0" borderId="14" xfId="0" applyFont="1" applyBorder="1"/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0" borderId="13" xfId="0" quotePrefix="1" applyFont="1" applyBorder="1"/>
    <xf numFmtId="0" fontId="0" fillId="0" borderId="0" xfId="0" applyBorder="1" applyAlignment="1">
      <alignment horizontal="center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7" fillId="0" borderId="24" xfId="0" applyFont="1" applyBorder="1" applyAlignment="1">
      <alignment horizontal="center"/>
    </xf>
    <xf numFmtId="14" fontId="7" fillId="0" borderId="24" xfId="0" applyNumberFormat="1" applyFont="1" applyBorder="1" applyAlignment="1">
      <alignment horizontal="left"/>
    </xf>
    <xf numFmtId="0" fontId="7" fillId="0" borderId="25" xfId="0" applyFont="1" applyBorder="1"/>
    <xf numFmtId="14" fontId="7" fillId="0" borderId="24" xfId="0" applyNumberFormat="1" applyFont="1" applyBorder="1" applyAlignment="1">
      <alignment horizontal="center"/>
    </xf>
    <xf numFmtId="0" fontId="3" fillId="0" borderId="7" xfId="0" applyFont="1" applyBorder="1"/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3" xfId="0" applyFont="1" applyBorder="1" applyAlignment="1"/>
    <xf numFmtId="0" fontId="3" fillId="4" borderId="6" xfId="0" applyFont="1" applyFill="1" applyBorder="1" applyAlignment="1">
      <alignment horizontal="left"/>
    </xf>
    <xf numFmtId="0" fontId="7" fillId="0" borderId="13" xfId="0" applyFont="1" applyBorder="1"/>
    <xf numFmtId="0" fontId="7" fillId="0" borderId="15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0" fontId="7" fillId="4" borderId="3" xfId="0" applyFont="1" applyFill="1" applyBorder="1"/>
    <xf numFmtId="0" fontId="7" fillId="4" borderId="22" xfId="0" applyFont="1" applyFill="1" applyBorder="1"/>
    <xf numFmtId="0" fontId="7" fillId="4" borderId="3" xfId="0" applyFont="1" applyFill="1" applyBorder="1" applyAlignment="1">
      <alignment horizontal="left"/>
    </xf>
    <xf numFmtId="0" fontId="7" fillId="0" borderId="15" xfId="0" applyFont="1" applyBorder="1"/>
    <xf numFmtId="0" fontId="7" fillId="0" borderId="14" xfId="0" applyFont="1" applyBorder="1"/>
    <xf numFmtId="0" fontId="7" fillId="0" borderId="2" xfId="0" applyFont="1" applyBorder="1"/>
    <xf numFmtId="0" fontId="7" fillId="0" borderId="1" xfId="0" applyFont="1" applyBorder="1"/>
    <xf numFmtId="0" fontId="7" fillId="0" borderId="15" xfId="0" quotePrefix="1" applyFont="1" applyBorder="1" applyAlignment="1">
      <alignment horizontal="center"/>
    </xf>
    <xf numFmtId="0" fontId="7" fillId="0" borderId="15" xfId="0" applyFont="1" applyBorder="1" applyAlignment="1">
      <alignment horizontal="left"/>
    </xf>
    <xf numFmtId="0" fontId="7" fillId="0" borderId="24" xfId="0" applyFont="1" applyBorder="1"/>
    <xf numFmtId="0" fontId="7" fillId="0" borderId="15" xfId="0" quotePrefix="1" applyFont="1" applyBorder="1" applyAlignment="1">
      <alignment horizontal="left"/>
    </xf>
    <xf numFmtId="0" fontId="7" fillId="0" borderId="15" xfId="0" quotePrefix="1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7" fillId="0" borderId="0" xfId="0" applyFont="1" applyBorder="1"/>
    <xf numFmtId="0" fontId="8" fillId="0" borderId="22" xfId="0" applyFont="1" applyFill="1" applyBorder="1" applyAlignment="1"/>
    <xf numFmtId="0" fontId="7" fillId="4" borderId="20" xfId="0" applyFont="1" applyFill="1" applyBorder="1"/>
    <xf numFmtId="0" fontId="7" fillId="4" borderId="23" xfId="0" applyFont="1" applyFill="1" applyBorder="1"/>
    <xf numFmtId="0" fontId="7" fillId="4" borderId="4" xfId="0" applyFont="1" applyFill="1" applyBorder="1" applyAlignment="1">
      <alignment horizontal="right"/>
    </xf>
    <xf numFmtId="164" fontId="7" fillId="0" borderId="4" xfId="0" applyNumberFormat="1" applyFont="1" applyBorder="1" applyAlignment="1">
      <alignment horizontal="center"/>
    </xf>
    <xf numFmtId="0" fontId="7" fillId="0" borderId="18" xfId="0" applyFont="1" applyBorder="1"/>
    <xf numFmtId="0" fontId="7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7" fillId="0" borderId="24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7" fillId="0" borderId="15" xfId="0" applyNumberFormat="1" applyFont="1" applyBorder="1"/>
    <xf numFmtId="14" fontId="7" fillId="0" borderId="15" xfId="0" applyNumberFormat="1" applyFont="1" applyBorder="1" applyAlignment="1">
      <alignment horizontal="center"/>
    </xf>
    <xf numFmtId="0" fontId="7" fillId="0" borderId="15" xfId="0" quotePrefix="1" applyNumberFormat="1" applyFont="1" applyBorder="1" applyAlignment="1">
      <alignment horizontal="left"/>
    </xf>
    <xf numFmtId="0" fontId="7" fillId="0" borderId="15" xfId="0" applyNumberFormat="1" applyFont="1" applyBorder="1" applyAlignment="1">
      <alignment horizontal="left"/>
    </xf>
    <xf numFmtId="14" fontId="7" fillId="0" borderId="15" xfId="0" quotePrefix="1" applyNumberFormat="1" applyFont="1" applyBorder="1" applyAlignment="1">
      <alignment horizontal="center"/>
    </xf>
    <xf numFmtId="0" fontId="7" fillId="0" borderId="13" xfId="0" applyFont="1" applyBorder="1" applyAlignment="1"/>
    <xf numFmtId="2" fontId="10" fillId="0" borderId="0" xfId="0" applyNumberFormat="1" applyFont="1"/>
    <xf numFmtId="2" fontId="9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7" fillId="4" borderId="20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left"/>
    </xf>
    <xf numFmtId="0" fontId="7" fillId="4" borderId="23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2" fontId="10" fillId="0" borderId="15" xfId="0" applyNumberFormat="1" applyFont="1" applyBorder="1"/>
    <xf numFmtId="14" fontId="7" fillId="0" borderId="15" xfId="0" applyNumberFormat="1" applyFont="1" applyBorder="1"/>
    <xf numFmtId="0" fontId="7" fillId="4" borderId="3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0" borderId="24" xfId="0" applyNumberFormat="1" applyFont="1" applyBorder="1"/>
    <xf numFmtId="2" fontId="10" fillId="0" borderId="0" xfId="0" applyNumberFormat="1" applyFont="1" applyBorder="1"/>
    <xf numFmtId="2" fontId="9" fillId="0" borderId="0" xfId="0" applyNumberFormat="1" applyFont="1" applyBorder="1"/>
    <xf numFmtId="0" fontId="7" fillId="0" borderId="24" xfId="0" applyNumberFormat="1" applyFont="1" applyBorder="1" applyAlignment="1">
      <alignment horizontal="left"/>
    </xf>
    <xf numFmtId="0" fontId="7" fillId="0" borderId="27" xfId="0" applyFont="1" applyBorder="1"/>
    <xf numFmtId="0" fontId="7" fillId="0" borderId="26" xfId="0" applyFont="1" applyBorder="1" applyAlignment="1">
      <alignment horizontal="center"/>
    </xf>
    <xf numFmtId="2" fontId="9" fillId="0" borderId="15" xfId="0" applyNumberFormat="1" applyFont="1" applyBorder="1" applyAlignment="1">
      <alignment horizontal="center"/>
    </xf>
    <xf numFmtId="0" fontId="7" fillId="0" borderId="15" xfId="0" applyNumberFormat="1" applyFont="1" applyFill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1" fillId="0" borderId="13" xfId="0" applyFont="1" applyBorder="1"/>
    <xf numFmtId="0" fontId="11" fillId="0" borderId="15" xfId="0" applyFont="1" applyBorder="1"/>
    <xf numFmtId="164" fontId="11" fillId="0" borderId="15" xfId="0" applyNumberFormat="1" applyFont="1" applyBorder="1"/>
    <xf numFmtId="14" fontId="11" fillId="0" borderId="15" xfId="0" applyNumberFormat="1" applyFont="1" applyBorder="1" applyAlignment="1">
      <alignment horizontal="center"/>
    </xf>
    <xf numFmtId="0" fontId="11" fillId="0" borderId="15" xfId="0" applyNumberFormat="1" applyFont="1" applyBorder="1" applyAlignment="1">
      <alignment horizontal="left"/>
    </xf>
    <xf numFmtId="0" fontId="11" fillId="0" borderId="14" xfId="0" applyFont="1" applyBorder="1"/>
    <xf numFmtId="2" fontId="12" fillId="0" borderId="0" xfId="0" applyNumberFormat="1" applyFont="1" applyBorder="1"/>
    <xf numFmtId="2" fontId="13" fillId="0" borderId="0" xfId="0" applyNumberFormat="1" applyFont="1" applyBorder="1"/>
    <xf numFmtId="14" fontId="7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7" fillId="0" borderId="15" xfId="0" quotePrefix="1" applyFont="1" applyBorder="1" applyAlignment="1" applyProtection="1">
      <protection locked="0"/>
    </xf>
    <xf numFmtId="0" fontId="7" fillId="0" borderId="15" xfId="0" applyFont="1" applyBorder="1" applyProtection="1">
      <protection locked="0"/>
    </xf>
    <xf numFmtId="0" fontId="7" fillId="0" borderId="15" xfId="0" applyFont="1" applyBorder="1" applyAlignment="1" applyProtection="1">
      <protection locked="0"/>
    </xf>
    <xf numFmtId="0" fontId="7" fillId="4" borderId="3" xfId="0" applyFont="1" applyFill="1" applyBorder="1" applyAlignment="1" applyProtection="1">
      <protection locked="0"/>
    </xf>
    <xf numFmtId="0" fontId="7" fillId="4" borderId="3" xfId="0" applyFont="1" applyFill="1" applyBorder="1" applyProtection="1">
      <protection locked="0"/>
    </xf>
    <xf numFmtId="0" fontId="7" fillId="4" borderId="20" xfId="0" applyFont="1" applyFill="1" applyBorder="1" applyAlignment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4" borderId="20" xfId="0" applyFont="1" applyFill="1" applyBorder="1" applyAlignment="1" applyProtection="1"/>
    <xf numFmtId="0" fontId="7" fillId="4" borderId="16" xfId="0" applyFont="1" applyFill="1" applyBorder="1" applyAlignment="1" applyProtection="1"/>
    <xf numFmtId="0" fontId="3" fillId="0" borderId="14" xfId="0" applyFont="1" applyBorder="1" applyProtection="1"/>
    <xf numFmtId="0" fontId="7" fillId="5" borderId="3" xfId="0" applyFont="1" applyFill="1" applyBorder="1" applyAlignment="1" applyProtection="1">
      <alignment horizontal="right"/>
    </xf>
    <xf numFmtId="0" fontId="7" fillId="0" borderId="3" xfId="0" applyFont="1" applyBorder="1" applyAlignment="1" applyProtection="1">
      <alignment horizontal="center" vertical="center"/>
    </xf>
    <xf numFmtId="164" fontId="7" fillId="0" borderId="3" xfId="0" applyNumberFormat="1" applyFont="1" applyBorder="1" applyAlignment="1" applyProtection="1">
      <alignment horizontal="center" vertical="center"/>
    </xf>
    <xf numFmtId="0" fontId="7" fillId="5" borderId="7" xfId="0" applyFont="1" applyFill="1" applyBorder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164" fontId="7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7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7" fillId="0" borderId="14" xfId="0" applyNumberFormat="1" applyFont="1" applyBorder="1" applyAlignment="1" applyProtection="1">
      <alignment horizontal="center"/>
      <protection locked="0"/>
    </xf>
    <xf numFmtId="14" fontId="7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7" fillId="0" borderId="0" xfId="0" applyFont="1" applyAlignment="1">
      <alignment horizontal="left"/>
    </xf>
    <xf numFmtId="0" fontId="7" fillId="0" borderId="29" xfId="0" applyFont="1" applyBorder="1"/>
    <xf numFmtId="0" fontId="7" fillId="0" borderId="1" xfId="0" applyFont="1" applyBorder="1" applyAlignment="1">
      <alignment horizontal="left"/>
    </xf>
    <xf numFmtId="0" fontId="7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7" fillId="0" borderId="31" xfId="0" applyFont="1" applyBorder="1"/>
    <xf numFmtId="0" fontId="7" fillId="0" borderId="30" xfId="0" applyFont="1" applyBorder="1"/>
    <xf numFmtId="0" fontId="7" fillId="0" borderId="32" xfId="0" applyFont="1" applyBorder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7" fillId="0" borderId="0" xfId="0" applyNumberFormat="1" applyFont="1" applyFill="1" applyBorder="1" applyAlignment="1">
      <alignment horizontal="left"/>
    </xf>
    <xf numFmtId="0" fontId="7" fillId="4" borderId="3" xfId="0" applyFont="1" applyFill="1" applyBorder="1" applyAlignment="1">
      <alignment horizontal="right"/>
    </xf>
    <xf numFmtId="1" fontId="7" fillId="0" borderId="3" xfId="0" applyNumberFormat="1" applyFont="1" applyBorder="1" applyAlignment="1">
      <alignment horizontal="center"/>
    </xf>
    <xf numFmtId="0" fontId="7" fillId="4" borderId="7" xfId="0" applyFont="1" applyFill="1" applyBorder="1" applyAlignment="1">
      <alignment horizontal="right"/>
    </xf>
    <xf numFmtId="1" fontId="7" fillId="0" borderId="7" xfId="0" applyNumberFormat="1" applyFont="1" applyBorder="1" applyAlignment="1">
      <alignment horizontal="center"/>
    </xf>
    <xf numFmtId="0" fontId="8" fillId="3" borderId="5" xfId="0" applyFont="1" applyFill="1" applyBorder="1" applyAlignment="1" applyProtection="1">
      <alignment horizontal="center"/>
      <protection locked="0"/>
    </xf>
    <xf numFmtId="0" fontId="8" fillId="3" borderId="8" xfId="0" applyFont="1" applyFill="1" applyBorder="1" applyAlignment="1" applyProtection="1">
      <alignment horizontal="center"/>
      <protection locked="0"/>
    </xf>
    <xf numFmtId="0" fontId="8" fillId="3" borderId="9" xfId="0" applyFont="1" applyFill="1" applyBorder="1" applyAlignment="1" applyProtection="1">
      <alignment horizontal="center"/>
      <protection locked="0"/>
    </xf>
    <xf numFmtId="0" fontId="7" fillId="4" borderId="20" xfId="0" applyFont="1" applyFill="1" applyBorder="1" applyAlignment="1" applyProtection="1">
      <alignment horizontal="left"/>
      <protection locked="0"/>
    </xf>
    <xf numFmtId="0" fontId="7" fillId="4" borderId="21" xfId="0" applyFont="1" applyFill="1" applyBorder="1" applyAlignment="1" applyProtection="1">
      <alignment horizontal="left"/>
      <protection locked="0"/>
    </xf>
    <xf numFmtId="0" fontId="7" fillId="4" borderId="22" xfId="0" applyFont="1" applyFill="1" applyBorder="1" applyAlignment="1" applyProtection="1">
      <alignment horizontal="left"/>
      <protection locked="0"/>
    </xf>
    <xf numFmtId="0" fontId="7" fillId="5" borderId="20" xfId="0" applyFont="1" applyFill="1" applyBorder="1" applyAlignment="1" applyProtection="1">
      <alignment horizontal="right" vertical="center"/>
      <protection locked="0"/>
    </xf>
    <xf numFmtId="0" fontId="7" fillId="5" borderId="10" xfId="0" applyFont="1" applyFill="1" applyBorder="1" applyAlignment="1" applyProtection="1">
      <alignment horizontal="right" vertical="center"/>
      <protection locked="0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5" borderId="20" xfId="0" applyFont="1" applyFill="1" applyBorder="1" applyAlignment="1" applyProtection="1">
      <alignment horizontal="right"/>
    </xf>
    <xf numFmtId="0" fontId="7" fillId="5" borderId="21" xfId="0" applyFont="1" applyFill="1" applyBorder="1" applyAlignment="1" applyProtection="1">
      <alignment horizontal="right"/>
    </xf>
    <xf numFmtId="0" fontId="7" fillId="5" borderId="22" xfId="0" applyFont="1" applyFill="1" applyBorder="1" applyAlignment="1" applyProtection="1">
      <alignment horizontal="right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7" fillId="5" borderId="20" xfId="0" applyFont="1" applyFill="1" applyBorder="1" applyAlignment="1" applyProtection="1">
      <alignment horizontal="right" vertical="center" wrapText="1"/>
      <protection locked="0"/>
    </xf>
    <xf numFmtId="0" fontId="7" fillId="5" borderId="10" xfId="0" applyFont="1" applyFill="1" applyBorder="1" applyAlignment="1" applyProtection="1">
      <alignment horizontal="right" vertical="center" wrapText="1"/>
      <protection locked="0"/>
    </xf>
    <xf numFmtId="0" fontId="7" fillId="5" borderId="10" xfId="0" applyFont="1" applyFill="1" applyBorder="1" applyAlignment="1" applyProtection="1">
      <alignment horizontal="right"/>
    </xf>
    <xf numFmtId="0" fontId="7" fillId="5" borderId="11" xfId="0" applyFont="1" applyFill="1" applyBorder="1" applyAlignment="1" applyProtection="1">
      <alignment horizontal="right"/>
    </xf>
    <xf numFmtId="0" fontId="7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</cellXfs>
  <cellStyles count="1">
    <cellStyle name="Normal" xfId="0" builtinId="0"/>
  </cellStyles>
  <dxfs count="64"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63"/>
      <tableStyleElement type="totalRow" dxfId="62"/>
      <tableStyleElement type="lastColumn" dxfId="61"/>
      <tableStyleElement type="firstRowStripe" dxfId="60"/>
      <tableStyleElement type="secondRowStripe" dxfId="5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racker" displayName="Tracker" ref="A2:H194" totalsRowShown="0">
  <autoFilter ref="A2:H194"/>
  <sortState ref="A3:H194">
    <sortCondition ref="G3:G194"/>
  </sortState>
  <tableColumns count="8">
    <tableColumn id="1" name="Anime Name" dataDxfId="49" totalsRowDxfId="48"/>
    <tableColumn id="2" name="Sn." dataDxfId="47" totalsRowDxfId="46"/>
    <tableColumn id="3" name="Eps. " dataDxfId="45" totalsRowDxfId="44"/>
    <tableColumn id="4" name="Dr. #" dataDxfId="43" totalsRowDxfId="42"/>
    <tableColumn id="5" name="Quality" dataDxfId="41" totalsRowDxfId="40"/>
    <tableColumn id="6" name="Type" dataDxfId="39" totalsRowDxfId="38"/>
    <tableColumn id="7" name="Airtime" dataDxfId="37" totalsRowDxfId="36"/>
    <tableColumn id="8" name="Subber(s)" dataDxfId="35" totalsRowDxfId="3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4" totalsRowShown="0" headerRowDxfId="33" dataDxfId="32">
  <autoFilter ref="A2:C64"/>
  <sortState ref="A3:C64">
    <sortCondition ref="C3:C64"/>
    <sortCondition ref="A3:A64"/>
  </sortState>
  <tableColumns count="3">
    <tableColumn id="1" name="Anime Name" dataDxfId="31"/>
    <tableColumn id="2" name="Sn." dataDxfId="30"/>
    <tableColumn id="3" name="Status" dataDxfId="2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7" totalsRowShown="0" headerRowDxfId="28" dataDxfId="27" tableBorderDxfId="26">
  <autoFilter ref="A2:L127"/>
  <sortState ref="A3:L127">
    <sortCondition descending="1" ref="H3:H127"/>
  </sortState>
  <tableColumns count="12">
    <tableColumn id="1" name="Anime Name" dataDxfId="25"/>
    <tableColumn id="2" name="Sn." dataDxfId="24"/>
    <tableColumn id="3" name="Plot" dataDxfId="23"/>
    <tableColumn id="4" name="Char." dataDxfId="22"/>
    <tableColumn id="5" name="Moe" dataDxfId="21"/>
    <tableColumn id="6" name="Pref" dataDxfId="20"/>
    <tableColumn id="7" name="Raw" dataDxfId="1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1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17"/>
    <tableColumn id="11" name="End Day" dataDxfId="16"/>
    <tableColumn id="12" name="Best Girl" dataDxfId="15"/>
    <tableColumn id="13" name="Notes" dataDxfId="1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5" totalsRowShown="0" headerRowDxfId="13" dataDxfId="12" tableBorderDxfId="11">
  <autoFilter ref="A2:D15"/>
  <sortState ref="A3:D15">
    <sortCondition ref="C3:C15"/>
  </sortState>
  <tableColumns count="4">
    <tableColumn id="1" name="Anime Name" dataDxfId="10"/>
    <tableColumn id="2" name="Sn." dataDxfId="9"/>
    <tableColumn id="6" name="Start" dataDxfId="8"/>
    <tableColumn id="7" name="End" dataDxfId="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6" tableBorderDxfId="5">
  <autoFilter ref="A2:D9"/>
  <tableColumns count="4">
    <tableColumn id="1" name="Anime Name" dataDxfId="4"/>
    <tableColumn id="2" name="Sn." dataDxfId="3"/>
    <tableColumn id="3" name="Ep." dataDxfId="2"/>
    <tableColumn id="4" name="Reason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A4" sqref="A4"/>
    </sheetView>
  </sheetViews>
  <sheetFormatPr defaultRowHeight="16.5"/>
  <cols>
    <col min="1" max="1" width="38.7109375" style="70" customWidth="1"/>
    <col min="2" max="2" width="9.140625" style="63"/>
    <col min="3" max="5" width="5.7109375" style="63" customWidth="1"/>
    <col min="6" max="6" width="14.5703125" style="63" hidden="1" customWidth="1"/>
    <col min="7" max="7" width="5.5703125" style="63" hidden="1" customWidth="1"/>
    <col min="8" max="8" width="9.140625" style="63"/>
    <col min="9" max="9" width="1.5703125" style="64" bestFit="1" customWidth="1"/>
    <col min="10" max="10" width="38.7109375" style="63" customWidth="1"/>
    <col min="11" max="11" width="4.140625" style="63" bestFit="1" customWidth="1"/>
    <col min="12" max="12" width="7" style="109" bestFit="1" customWidth="1"/>
    <col min="13" max="13" width="1.5703125" style="71" bestFit="1" customWidth="1"/>
    <col min="14" max="14" width="38.7109375" style="63" customWidth="1"/>
    <col min="15" max="15" width="4.140625" style="63" bestFit="1" customWidth="1"/>
    <col min="16" max="16" width="5.7109375" style="63" hidden="1" customWidth="1"/>
    <col min="17" max="17" width="5.140625" style="113" hidden="1" customWidth="1"/>
    <col min="18" max="18" width="7.5703125" style="113" hidden="1" customWidth="1"/>
    <col min="19" max="19" width="5.7109375" style="113" hidden="1" customWidth="1"/>
    <col min="20" max="20" width="9.140625" style="113" hidden="1" customWidth="1"/>
    <col min="21" max="21" width="17.28515625" style="63" hidden="1" customWidth="1"/>
    <col min="22" max="25" width="5.7109375" style="63" hidden="1" customWidth="1"/>
    <col min="26" max="26" width="5.85546875" style="63" hidden="1" customWidth="1"/>
    <col min="27" max="27" width="9.140625" style="113"/>
    <col min="28" max="29" width="13.7109375" style="113" hidden="1" customWidth="1"/>
    <col min="30" max="30" width="23.140625" style="63" bestFit="1" customWidth="1"/>
    <col min="31" max="31" width="99.42578125" style="81" hidden="1" customWidth="1"/>
    <col min="32" max="32" width="9.140625" style="70"/>
    <col min="33" max="16384" width="9.140625" style="63"/>
  </cols>
  <sheetData>
    <row r="1" spans="1:31">
      <c r="A1" s="192" t="s">
        <v>527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</row>
    <row r="2" spans="1:31">
      <c r="A2" s="184" t="s">
        <v>0</v>
      </c>
      <c r="B2" s="185"/>
      <c r="C2" s="185"/>
      <c r="D2" s="185"/>
      <c r="E2" s="185"/>
      <c r="F2" s="185"/>
      <c r="G2" s="185"/>
      <c r="H2" s="186"/>
      <c r="I2" s="64" t="s">
        <v>198</v>
      </c>
      <c r="J2" s="197" t="s">
        <v>525</v>
      </c>
      <c r="K2" s="198"/>
      <c r="L2" s="199"/>
      <c r="N2" s="194" t="s">
        <v>526</v>
      </c>
      <c r="O2" s="195"/>
      <c r="P2" s="195"/>
      <c r="Q2" s="195"/>
      <c r="R2" s="195"/>
      <c r="S2" s="195"/>
      <c r="T2" s="195"/>
      <c r="U2" s="195"/>
      <c r="V2" s="195"/>
      <c r="W2" s="195"/>
      <c r="X2" s="195"/>
      <c r="Y2" s="195"/>
      <c r="Z2" s="195"/>
      <c r="AA2" s="195"/>
      <c r="AB2" s="195"/>
      <c r="AC2" s="195"/>
      <c r="AD2" s="195"/>
      <c r="AE2" s="196"/>
    </row>
    <row r="3" spans="1:31">
      <c r="A3" s="142" t="s">
        <v>269</v>
      </c>
      <c r="B3" s="143" t="s">
        <v>335</v>
      </c>
      <c r="C3" s="143" t="s">
        <v>197</v>
      </c>
      <c r="D3" s="143" t="s">
        <v>407</v>
      </c>
      <c r="E3" s="144" t="s">
        <v>408</v>
      </c>
      <c r="F3" s="158" t="s">
        <v>493</v>
      </c>
      <c r="G3" s="147" t="s">
        <v>315</v>
      </c>
      <c r="H3" s="148" t="s">
        <v>216</v>
      </c>
      <c r="I3" s="64" t="s">
        <v>198</v>
      </c>
      <c r="J3" s="67" t="s">
        <v>3</v>
      </c>
      <c r="K3" s="106" t="s">
        <v>197</v>
      </c>
      <c r="L3" s="108" t="s">
        <v>4</v>
      </c>
      <c r="M3" s="107" t="s">
        <v>198</v>
      </c>
      <c r="N3" s="66" t="s">
        <v>3</v>
      </c>
      <c r="O3" s="65" t="s">
        <v>197</v>
      </c>
      <c r="P3" s="65" t="s">
        <v>182</v>
      </c>
      <c r="Q3" s="112" t="s">
        <v>314</v>
      </c>
      <c r="R3" s="112" t="s">
        <v>522</v>
      </c>
      <c r="S3" s="112" t="s">
        <v>114</v>
      </c>
      <c r="T3" s="112" t="s">
        <v>492</v>
      </c>
      <c r="U3" s="67" t="s">
        <v>216</v>
      </c>
      <c r="V3" s="65" t="s">
        <v>5</v>
      </c>
      <c r="W3" s="65" t="s">
        <v>6</v>
      </c>
      <c r="X3" s="65" t="s">
        <v>7</v>
      </c>
      <c r="Y3" s="65" t="s">
        <v>8</v>
      </c>
      <c r="Z3" s="65" t="s">
        <v>9</v>
      </c>
      <c r="AA3" s="67" t="s">
        <v>10</v>
      </c>
      <c r="AB3" s="112" t="s">
        <v>630</v>
      </c>
      <c r="AC3" s="112" t="s">
        <v>629</v>
      </c>
      <c r="AD3" s="65" t="s">
        <v>231</v>
      </c>
      <c r="AE3" s="83" t="s">
        <v>12</v>
      </c>
    </row>
    <row r="4" spans="1:31">
      <c r="A4" s="135" t="s">
        <v>466</v>
      </c>
      <c r="B4" s="139" t="s">
        <v>484</v>
      </c>
      <c r="C4" s="140">
        <v>1</v>
      </c>
      <c r="D4" s="137">
        <v>12</v>
      </c>
      <c r="E4" s="137">
        <v>13</v>
      </c>
      <c r="F4" s="161">
        <v>41750</v>
      </c>
      <c r="G4" s="156" t="str">
        <f ca="1">IF($A4&lt;&gt;"", INDIRECT("'Tracker'!"&amp;ADDRESS(MATCH($A4, Tracker[Anime Name], 0) + 2, 4)), "")</f>
        <v>B</v>
      </c>
      <c r="H4" s="149" t="str">
        <f ca="1">IF($A4&lt;&gt;"", INDIRECT("'Tracker'!"&amp;ADDRESS(MATCH($A4, Tracker[Anime Name], 0) + 2, 8)), "")</f>
        <v>Underwater</v>
      </c>
      <c r="I4" s="64" t="s">
        <v>198</v>
      </c>
      <c r="J4" s="61" t="str">
        <f>IF(Backlog!$A$3&lt;&gt;"",Backlog!$A$3,"")</f>
        <v>Air</v>
      </c>
      <c r="K4" s="68">
        <f>IF(Backlog!$B$3&lt;&gt;"",Backlog!$B$3,"")</f>
        <v>1</v>
      </c>
      <c r="L4" s="69" t="str">
        <f>IF(Backlog!$C$3&lt;&gt;"",Backlog!$C$3,"")</f>
        <v>DL</v>
      </c>
      <c r="N4" s="61" t="str">
        <f>IF('Completed'!$A$3&lt;&gt;"",'Completed'!$A$3,"")</f>
        <v>Inferno Cop</v>
      </c>
      <c r="O4" s="68">
        <f>IF('Completed'!$B$3&lt;&gt;"",'Completed'!$B$3,"")</f>
        <v>1</v>
      </c>
      <c r="P4" s="68">
        <f ca="1">IF($N$4&lt;&gt;"", INDIRECT("'Tracker'!"&amp;ADDRESS(MATCH($N$4, Tracker[Anime Name], 0) + 2, 3)), "")</f>
        <v>13</v>
      </c>
      <c r="Q4" s="62" t="str">
        <f ca="1">IF($N$4&lt;&gt;"", INDIRECT("'Tracker'!"&amp;ADDRESS(MATCH($N$4, Tracker[Anime Name], 0) + 2, 4)), "")</f>
        <v>B</v>
      </c>
      <c r="R4" s="62" t="str">
        <f ca="1">IF($N$4&lt;&gt;"", INDIRECT("'Tracker'!"&amp;ADDRESS(MATCH($N$4, Tracker[Anime Name], 0) + 2, 5)), "")</f>
        <v>720p</v>
      </c>
      <c r="S4" s="62" t="str">
        <f ca="1">IF($N$4&lt;&gt;"", INDIRECT("'Tracker'!"&amp;ADDRESS(MATCH($N$4, Tracker[Anime Name], 0) + 2, 6)), "")</f>
        <v>Web</v>
      </c>
      <c r="T4" s="62" t="str">
        <f ca="1">IF($N$4&lt;&gt;"", INDIRECT("'Tracker'!"&amp;ADDRESS(MATCH($N$4, Tracker[Anime Name], 0) + 2, 7)), "")</f>
        <v>2012D</v>
      </c>
      <c r="U4" s="68" t="str">
        <f ca="1">IF($N$4&lt;&gt;"", INDIRECT("'Tracker'!"&amp;ADDRESS(MATCH($N$4, Tracker[Anime Name], 0) + 2, 8)), "")</f>
        <v>Commie</v>
      </c>
      <c r="V4" s="96">
        <f>IF('Completed'!$C$3&lt;&gt;"",'Completed'!$C$3,"")</f>
        <v>11</v>
      </c>
      <c r="W4" s="96">
        <f>IF('Completed'!$D$3&lt;&gt;"",'Completed'!$D$3,"")</f>
        <v>11</v>
      </c>
      <c r="X4" s="96">
        <f>IF('Completed'!$E$3&lt;&gt;"",'Completed'!$E$3,"")</f>
        <v>0</v>
      </c>
      <c r="Y4" s="96">
        <f>IF('Completed'!$F$3&lt;&gt;"",'Completed'!$F$3,"")</f>
        <v>10</v>
      </c>
      <c r="Z4" s="110">
        <f>IF('Completed'!$G$3&lt;&gt;"",'Completed'!$G$3,"")</f>
        <v>9.9748743718592969</v>
      </c>
      <c r="AA4" s="120">
        <f>IF('Completed'!$H$3&lt;&gt;"",'Completed'!$H$3,"")</f>
        <v>10</v>
      </c>
      <c r="AB4" s="97">
        <f>IF('Completed'!$I$3&lt;&gt;"",'Completed'!$I$3,"")</f>
        <v>41290</v>
      </c>
      <c r="AC4" s="97">
        <f>IF('Completed'!$J$3&lt;&gt;"",'Completed'!$J$3,"")</f>
        <v>41352</v>
      </c>
      <c r="AD4" s="111" t="str">
        <f>IF('Completed'!$K$3&lt;&gt;"",'Completed'!$K$3,"")</f>
        <v>Inferno Cop</v>
      </c>
      <c r="AE4" s="111" t="str">
        <f>IF('Completed'!$L$3&lt;&gt;"",'Completed'!$L$3,"")</f>
        <v/>
      </c>
    </row>
    <row r="5" spans="1:31">
      <c r="A5" s="135" t="s">
        <v>467</v>
      </c>
      <c r="B5" s="139" t="s">
        <v>429</v>
      </c>
      <c r="C5" s="140">
        <v>1</v>
      </c>
      <c r="D5" s="137">
        <v>12</v>
      </c>
      <c r="E5" s="137">
        <v>13</v>
      </c>
      <c r="F5" s="161">
        <v>41751</v>
      </c>
      <c r="G5" s="156" t="str">
        <f ca="1">IF($A5&lt;&gt;"", INDIRECT("'Tracker'!"&amp;ADDRESS(MATCH($A5, Tracker[Anime Name], 0) + 2, 4)), "")</f>
        <v>B</v>
      </c>
      <c r="H5" s="149" t="str">
        <f ca="1">IF($A5&lt;&gt;"", INDIRECT("'Tracker'!"&amp;ADDRESS(MATCH($A5, Tracker[Anime Name], 0) + 2, 8)), "")</f>
        <v>WhyNot</v>
      </c>
      <c r="I5" s="64" t="s">
        <v>198</v>
      </c>
      <c r="J5" s="61" t="str">
        <f>IF(Backlog!$A$4&lt;&gt;"",Backlog!$A$4,"")</f>
        <v>Ano Natsu de Matteru</v>
      </c>
      <c r="K5" s="68">
        <f>IF(Backlog!$B$4&lt;&gt;"",Backlog!$B$4,"")</f>
        <v>1</v>
      </c>
      <c r="L5" s="69" t="str">
        <f>IF(Backlog!$C$4&lt;&gt;"",Backlog!$C$4,"")</f>
        <v>DL</v>
      </c>
      <c r="N5" s="61" t="str">
        <f>IF('Completed'!$A$4&lt;&gt;"",'Completed'!$A$4,"")</f>
        <v>Sakamichi no Apollon</v>
      </c>
      <c r="O5" s="68">
        <f>IF('Completed'!$B$4&lt;&gt;"",'Completed'!$B$4,"")</f>
        <v>1</v>
      </c>
      <c r="P5" s="68">
        <f ca="1">IF($N$5&lt;&gt;"", INDIRECT("'Tracker'!"&amp;ADDRESS(MATCH($N$5, Tracker[Anime Name], 0) + 2, 3)), "")</f>
        <v>12</v>
      </c>
      <c r="Q5" s="62" t="str">
        <f ca="1">IF($N$5&lt;&gt;"", INDIRECT("'Tracker'!"&amp;ADDRESS(MATCH($N$5, Tracker[Anime Name], 0) + 2, 4)), "")</f>
        <v>B</v>
      </c>
      <c r="R5" s="62" t="str">
        <f ca="1">IF($N$5&lt;&gt;"", INDIRECT("'Tracker'!"&amp;ADDRESS(MATCH($N$5, Tracker[Anime Name], 0) + 2, 5)), "")</f>
        <v>720p</v>
      </c>
      <c r="S5" s="62" t="str">
        <f ca="1">IF($N$5&lt;&gt;"", INDIRECT("'Tracker'!"&amp;ADDRESS(MATCH($N$5, Tracker[Anime Name], 0) + 2, 6)), "")</f>
        <v>Web</v>
      </c>
      <c r="T5" s="62" t="str">
        <f ca="1">IF($N$5&lt;&gt;"", INDIRECT("'Tracker'!"&amp;ADDRESS(MATCH($N$5, Tracker[Anime Name], 0) + 2, 7)), "")</f>
        <v>2012A</v>
      </c>
      <c r="U5" s="68" t="str">
        <f ca="1">IF($N$5&lt;&gt;"", INDIRECT("'Tracker'!"&amp;ADDRESS(MATCH($N$5, Tracker[Anime Name], 0) + 2, 8)), "")</f>
        <v>HorribleSubs</v>
      </c>
      <c r="V5" s="96">
        <f>IF('Completed'!$C$4&lt;&gt;"",'Completed'!$C$4,"")</f>
        <v>9.5</v>
      </c>
      <c r="W5" s="96">
        <f>IF('Completed'!$D$4&lt;&gt;"",'Completed'!$D$4,"")</f>
        <v>10</v>
      </c>
      <c r="X5" s="96">
        <f>IF('Completed'!$E$4&lt;&gt;"",'Completed'!$E$4,"")</f>
        <v>3.5</v>
      </c>
      <c r="Y5" s="96">
        <f>IF('Completed'!$F$4&lt;&gt;"",'Completed'!$F$4,"")</f>
        <v>10</v>
      </c>
      <c r="Z5" s="110">
        <f>IF('Completed'!$G$4&lt;&gt;"",'Completed'!$G$4,"")</f>
        <v>9.5979899497487438</v>
      </c>
      <c r="AA5" s="120">
        <f>IF('Completed'!$H$4&lt;&gt;"",'Completed'!$H$4,"")</f>
        <v>9.4955439717504628</v>
      </c>
      <c r="AB5" s="97">
        <f>IF('Completed'!$I$4&lt;&gt;"",'Completed'!$I$4,"")</f>
        <v>41646</v>
      </c>
      <c r="AC5" s="97">
        <f>IF('Completed'!$J$4&lt;&gt;"",'Completed'!$J$4,"")</f>
        <v>41647</v>
      </c>
      <c r="AD5" s="111" t="str">
        <f>IF('Completed'!$K$4&lt;&gt;"",'Completed'!$K$4,"")</f>
        <v>Mukae Ritsuko</v>
      </c>
      <c r="AE5" s="111" t="str">
        <f>IF('Completed'!$L$4&lt;&gt;"",'Completed'!$L$4,"")</f>
        <v>Even more accurate music than K-On!</v>
      </c>
    </row>
    <row r="6" spans="1:31">
      <c r="A6" s="135" t="s">
        <v>59</v>
      </c>
      <c r="B6" s="136" t="s">
        <v>163</v>
      </c>
      <c r="C6" s="137">
        <v>1</v>
      </c>
      <c r="D6" s="137">
        <v>11</v>
      </c>
      <c r="E6" s="137">
        <v>26</v>
      </c>
      <c r="F6" s="161">
        <v>41653</v>
      </c>
      <c r="G6" s="156" t="str">
        <f ca="1">IF($A6&lt;&gt;"", INDIRECT("'Tracker'!"&amp;ADDRESS(MATCH($A6, Tracker[Anime Name], 0) + 2, 4)), "")</f>
        <v>A</v>
      </c>
      <c r="H6" s="149" t="str">
        <f ca="1">IF($A6&lt;&gt;"", INDIRECT("'Tracker'!"&amp;ADDRESS(MATCH($A6, Tracker[Anime Name], 0) + 2, 8)), "")</f>
        <v>niizk</v>
      </c>
      <c r="I6" s="64" t="s">
        <v>198</v>
      </c>
      <c r="J6" s="61" t="str">
        <f>IF(Backlog!$A$5&lt;&gt;"",Backlog!$A$5,"")</f>
        <v>Azumanga Daioh</v>
      </c>
      <c r="K6" s="68">
        <f>IF(Backlog!$B$5&lt;&gt;"",Backlog!$B$5,"")</f>
        <v>1</v>
      </c>
      <c r="L6" s="69" t="str">
        <f>IF(Backlog!$C$5&lt;&gt;"",Backlog!$C$5,"")</f>
        <v>DL</v>
      </c>
      <c r="N6" s="61" t="str">
        <f>IF('Completed'!$A$5&lt;&gt;"",'Completed'!$A$5,"")</f>
        <v>Steins;Gate</v>
      </c>
      <c r="O6" s="68">
        <f>IF('Completed'!$B$5&lt;&gt;"",'Completed'!$B$5,"")</f>
        <v>1</v>
      </c>
      <c r="P6" s="68">
        <f ca="1">IF($N$6&lt;&gt;"", INDIRECT("'Tracker'!"&amp;ADDRESS(MATCH($N$6, Tracker[Anime Name], 0) + 2, 3)), "")</f>
        <v>25</v>
      </c>
      <c r="Q6" s="62" t="str">
        <f ca="1">IF($N$6&lt;&gt;"", INDIRECT("'Tracker'!"&amp;ADDRESS(MATCH($N$6, Tracker[Anime Name], 0) + 2, 4)), "")</f>
        <v>A</v>
      </c>
      <c r="R6" s="62" t="str">
        <f ca="1">IF($N$6&lt;&gt;"", INDIRECT("'Tracker'!"&amp;ADDRESS(MATCH($N$6, Tracker[Anime Name], 0) + 2, 5)), "")</f>
        <v>720p</v>
      </c>
      <c r="S6" s="62" t="str">
        <f ca="1">IF($N$6&lt;&gt;"", INDIRECT("'Tracker'!"&amp;ADDRESS(MATCH($N$6, Tracker[Anime Name], 0) + 2, 6)), "")</f>
        <v>BD</v>
      </c>
      <c r="T6" s="62" t="str">
        <f ca="1">IF($N$6&lt;&gt;"", INDIRECT("'Tracker'!"&amp;ADDRESS(MATCH($N$6, Tracker[Anime Name], 0) + 2, 7)), "")</f>
        <v>2011A</v>
      </c>
      <c r="U6" s="68" t="str">
        <f ca="1">IF($N$6&lt;&gt;"", INDIRECT("'Tracker'!"&amp;ADDRESS(MATCH($N$6, Tracker[Anime Name], 0) + 2, 8)), "")</f>
        <v>WhyNot</v>
      </c>
      <c r="V6" s="96">
        <f>IF('Completed'!$C$5&lt;&gt;"",'Completed'!$C$5,"")</f>
        <v>10</v>
      </c>
      <c r="W6" s="96">
        <f>IF('Completed'!$D$5&lt;&gt;"",'Completed'!$D$5,"")</f>
        <v>9.5</v>
      </c>
      <c r="X6" s="96">
        <f>IF('Completed'!$E$5&lt;&gt;"",'Completed'!$E$5,"")</f>
        <v>4</v>
      </c>
      <c r="Y6" s="96">
        <f>IF('Completed'!$F$5&lt;&gt;"",'Completed'!$F$5,"")</f>
        <v>10</v>
      </c>
      <c r="Z6" s="110">
        <f>IF('Completed'!$G$5&lt;&gt;"",'Completed'!$G$5,"")</f>
        <v>9.5791457286432156</v>
      </c>
      <c r="AA6" s="120">
        <f>IF('Completed'!$H$5&lt;&gt;"",'Completed'!$H$5,"")</f>
        <v>9.4703211703379839</v>
      </c>
      <c r="AB6" s="97">
        <f>IF('Completed'!$I$5&lt;&gt;"",'Completed'!$I$5,"")</f>
        <v>41270</v>
      </c>
      <c r="AC6" s="97">
        <f>IF('Completed'!$J$5&lt;&gt;"",'Completed'!$J$5,"")</f>
        <v>41279</v>
      </c>
      <c r="AD6" s="111" t="str">
        <f>IF('Completed'!$K$5&lt;&gt;"",'Completed'!$K$5,"")</f>
        <v>Makise Kurisu</v>
      </c>
      <c r="AE6" s="111" t="str">
        <f>IF('Completed'!$L$5&lt;&gt;"",'Completed'!$L$5,"")</f>
        <v>Good show, mostly accurate science, overall a good watch</v>
      </c>
    </row>
    <row r="7" spans="1:31">
      <c r="A7" s="135" t="s">
        <v>384</v>
      </c>
      <c r="B7" s="139" t="s">
        <v>163</v>
      </c>
      <c r="C7" s="140">
        <v>1</v>
      </c>
      <c r="D7" s="140">
        <v>2</v>
      </c>
      <c r="E7" s="140">
        <v>11</v>
      </c>
      <c r="F7" s="162">
        <v>41816</v>
      </c>
      <c r="G7" s="156" t="str">
        <f ca="1">IF($A7&lt;&gt;"", INDIRECT("'Tracker'!"&amp;ADDRESS(MATCH($A7, Tracker[Anime Name], 0) + 2, 4)), "")</f>
        <v>A</v>
      </c>
      <c r="H7" s="149" t="str">
        <f ca="1">IF($A7&lt;&gt;"", INDIRECT("'Tracker'!"&amp;ADDRESS(MATCH($A7, Tracker[Anime Name], 0) + 2, 8)), "")</f>
        <v>Zurako</v>
      </c>
      <c r="I7" s="64" t="s">
        <v>198</v>
      </c>
      <c r="J7" s="61" t="str">
        <f>IF(Backlog!$A$6&lt;&gt;"",Backlog!$A$6,"")</f>
        <v>Bakuman</v>
      </c>
      <c r="K7" s="68">
        <f>IF(Backlog!$B$6&lt;&gt;"",Backlog!$B$6,"")</f>
        <v>1</v>
      </c>
      <c r="L7" s="69" t="str">
        <f>IF(Backlog!$C$6&lt;&gt;"",Backlog!$C$6,"")</f>
        <v>DL</v>
      </c>
      <c r="N7" s="61" t="str">
        <f>IF('Completed'!$A$6&lt;&gt;"",'Completed'!$A$6,"")</f>
        <v>Baccano!</v>
      </c>
      <c r="O7" s="68">
        <f>IF('Completed'!$B$6&lt;&gt;"",'Completed'!$B$6,"")</f>
        <v>1</v>
      </c>
      <c r="P7" s="68">
        <f ca="1">IF($N$7&lt;&gt;"", INDIRECT("'Tracker'!"&amp;ADDRESS(MATCH($N$7, Tracker[Anime Name], 0) + 2, 3)), "")</f>
        <v>16</v>
      </c>
      <c r="Q7" s="62" t="str">
        <f ca="1">IF($N$7&lt;&gt;"", INDIRECT("'Tracker'!"&amp;ADDRESS(MATCH($N$7, Tracker[Anime Name], 0) + 2, 4)), "")</f>
        <v>B</v>
      </c>
      <c r="R7" s="62" t="str">
        <f ca="1">IF($N$7&lt;&gt;"", INDIRECT("'Tracker'!"&amp;ADDRESS(MATCH($N$7, Tracker[Anime Name], 0) + 2, 5)), "")</f>
        <v>720p</v>
      </c>
      <c r="S7" s="62" t="str">
        <f ca="1">IF($N$7&lt;&gt;"", INDIRECT("'Tracker'!"&amp;ADDRESS(MATCH($N$7, Tracker[Anime Name], 0) + 2, 6)), "")</f>
        <v>BD</v>
      </c>
      <c r="T7" s="62" t="str">
        <f ca="1">IF($N$7&lt;&gt;"", INDIRECT("'Tracker'!"&amp;ADDRESS(MATCH($N$7, Tracker[Anime Name], 0) + 2, 7)), "")</f>
        <v>2007B</v>
      </c>
      <c r="U7" s="68" t="str">
        <f ca="1">IF($N$7&lt;&gt;"", INDIRECT("'Tracker'!"&amp;ADDRESS(MATCH($N$7, Tracker[Anime Name], 0) + 2, 8)), "")</f>
        <v>Coalgirls, Ayu</v>
      </c>
      <c r="V7" s="96">
        <f>IF('Completed'!$C$6&lt;&gt;"",'Completed'!$C$6,"")</f>
        <v>10</v>
      </c>
      <c r="W7" s="96">
        <f>IF('Completed'!$D$6&lt;&gt;"",'Completed'!$D$6,"")</f>
        <v>10</v>
      </c>
      <c r="X7" s="96">
        <f>IF('Completed'!$E$6&lt;&gt;"",'Completed'!$E$6,"")</f>
        <v>3</v>
      </c>
      <c r="Y7" s="96">
        <f>IF('Completed'!$F$6&lt;&gt;"",'Completed'!$F$6,"")</f>
        <v>9.5</v>
      </c>
      <c r="Z7" s="110">
        <f>IF('Completed'!$G$6&lt;&gt;"",'Completed'!$G$6,"")</f>
        <v>9.4158291457286438</v>
      </c>
      <c r="AA7" s="120">
        <f>IF('Completed'!$H$6&lt;&gt;"",'Completed'!$H$6,"")</f>
        <v>9.2517235580965203</v>
      </c>
      <c r="AB7" s="97">
        <f>IF('Completed'!$I$6&lt;&gt;"",'Completed'!$I$6,"")</f>
        <v>41607</v>
      </c>
      <c r="AC7" s="97">
        <f>IF('Completed'!$J$6&lt;&gt;"",'Completed'!$J$6,"")</f>
        <v>41634</v>
      </c>
      <c r="AD7" s="111" t="str">
        <f>IF('Completed'!$K$6&lt;&gt;"",'Completed'!$K$6,"")</f>
        <v>Rachel</v>
      </c>
      <c r="AE7" s="111" t="str">
        <f>IF('Completed'!$L$6&lt;&gt;"",'Completed'!$L$6,"")</f>
        <v>One of the best written stories I've seen in a while</v>
      </c>
    </row>
    <row r="8" spans="1:31">
      <c r="A8" s="135" t="s">
        <v>196</v>
      </c>
      <c r="B8" s="136" t="s">
        <v>163</v>
      </c>
      <c r="C8" s="137">
        <v>1</v>
      </c>
      <c r="D8" s="137">
        <v>11</v>
      </c>
      <c r="E8" s="137">
        <v>22</v>
      </c>
      <c r="F8" s="161"/>
      <c r="G8" s="156" t="str">
        <f ca="1">IF($A8&lt;&gt;"", INDIRECT("'Tracker'!"&amp;ADDRESS(MATCH($A8, Tracker[Anime Name], 0) + 2, 4)), "")</f>
        <v>A</v>
      </c>
      <c r="H8" s="149" t="str">
        <f ca="1">IF($A8&lt;&gt;"", INDIRECT("'Tracker'!"&amp;ADDRESS(MATCH($A8, Tracker[Anime Name], 0) + 2, 8)), "")</f>
        <v>Coalgirls, Mazui</v>
      </c>
      <c r="I8" s="64" t="s">
        <v>198</v>
      </c>
      <c r="J8" s="61" t="str">
        <f>IF(Backlog!$A$7&lt;&gt;"",Backlog!$A$7,"")</f>
        <v>Bakuman S2</v>
      </c>
      <c r="K8" s="68">
        <f>IF(Backlog!$B$7&lt;&gt;"",Backlog!$B$7,"")</f>
        <v>2</v>
      </c>
      <c r="L8" s="69" t="str">
        <f>IF(Backlog!$C$7&lt;&gt;"",Backlog!$C$7,"")</f>
        <v>DL</v>
      </c>
      <c r="N8" s="61" t="str">
        <f>IF('Completed'!$A$7&lt;&gt;"",'Completed'!$A$7,"")</f>
        <v>Isshuukan Friends</v>
      </c>
      <c r="O8" s="68">
        <f>IF('Completed'!$B$7&lt;&gt;"",'Completed'!$B$7,"")</f>
        <v>1</v>
      </c>
      <c r="P8" s="68">
        <f ca="1">IF($N$8&lt;&gt;"", INDIRECT("'Tracker'!"&amp;ADDRESS(MATCH($N$8, Tracker[Anime Name], 0) + 2, 3)), "")</f>
        <v>12</v>
      </c>
      <c r="Q8" s="62" t="str">
        <f ca="1">IF($N$8&lt;&gt;"", INDIRECT("'Tracker'!"&amp;ADDRESS(MATCH($N$8, Tracker[Anime Name], 0) + 2, 4)), "")</f>
        <v>B</v>
      </c>
      <c r="R8" s="62" t="str">
        <f ca="1">IF($N$8&lt;&gt;"", INDIRECT("'Tracker'!"&amp;ADDRESS(MATCH($N$8, Tracker[Anime Name], 0) + 2, 5)), "")</f>
        <v>720p</v>
      </c>
      <c r="S8" s="62" t="str">
        <f ca="1">IF($N$8&lt;&gt;"", INDIRECT("'Tracker'!"&amp;ADDRESS(MATCH($N$8, Tracker[Anime Name], 0) + 2, 6)), "")</f>
        <v>TV</v>
      </c>
      <c r="T8" s="62" t="str">
        <f ca="1">IF($N$8&lt;&gt;"", INDIRECT("'Tracker'!"&amp;ADDRESS(MATCH($N$8, Tracker[Anime Name], 0) + 2, 7)), "")</f>
        <v>2014A</v>
      </c>
      <c r="U8" s="68" t="str">
        <f ca="1">IF($N$8&lt;&gt;"", INDIRECT("'Tracker'!"&amp;ADDRESS(MATCH($N$8, Tracker[Anime Name], 0) + 2, 8)), "")</f>
        <v>Vivid</v>
      </c>
      <c r="V8" s="96">
        <f>IF('Completed'!$C$7&lt;&gt;"",'Completed'!$C$7,"")</f>
        <v>9</v>
      </c>
      <c r="W8" s="96">
        <f>IF('Completed'!$D$7&lt;&gt;"",'Completed'!$D$7,"")</f>
        <v>9.5</v>
      </c>
      <c r="X8" s="96">
        <f>IF('Completed'!$E$7&lt;&gt;"",'Completed'!$E$7,"")</f>
        <v>7</v>
      </c>
      <c r="Y8" s="96">
        <f>IF('Completed'!$F$7&lt;&gt;"",'Completed'!$F$7,"")</f>
        <v>9.5</v>
      </c>
      <c r="Z8" s="110">
        <f>IF('Completed'!$G$7&lt;&gt;"",'Completed'!$G$7,"")</f>
        <v>9.2889447236180906</v>
      </c>
      <c r="AA8" s="120">
        <f>IF('Completed'!$H$7&lt;&gt;"",'Completed'!$H$7,"")</f>
        <v>9.0818900285858408</v>
      </c>
      <c r="AB8" s="97">
        <f>IF('Completed'!$I$7&lt;&gt;"",'Completed'!$I$7,"")</f>
        <v>41749</v>
      </c>
      <c r="AC8" s="97">
        <f>IF('Completed'!$J$7&lt;&gt;"",'Completed'!$J$7,"")</f>
        <v>41815</v>
      </c>
      <c r="AD8" s="111" t="str">
        <f>IF('Completed'!$K$7&lt;&gt;"",'Completed'!$K$7,"")</f>
        <v>Fujimiya Kaori</v>
      </c>
      <c r="AE8" s="111" t="str">
        <f>IF('Completed'!$L$7&lt;&gt;"",'Completed'!$L$7,"")</f>
        <v>Saki and Fujimiya's mom are both great too</v>
      </c>
    </row>
    <row r="9" spans="1:31">
      <c r="A9" s="135"/>
      <c r="B9" s="136"/>
      <c r="C9" s="137"/>
      <c r="D9" s="137"/>
      <c r="E9" s="137"/>
      <c r="F9" s="159"/>
      <c r="G9" s="156" t="str">
        <f ca="1">IF($A9&lt;&gt;"", INDIRECT("'Tracker'!"&amp;ADDRESS(MATCH($A9, Tracker[Anime Name], 0) + 2, 4)), "")</f>
        <v/>
      </c>
      <c r="H9" s="149" t="str">
        <f ca="1">IF($A9&lt;&gt;"", INDIRECT("'Tracker'!"&amp;ADDRESS(MATCH($A9, Tracker[Anime Name], 0) + 2, 8)), "")</f>
        <v/>
      </c>
      <c r="I9" s="64" t="s">
        <v>198</v>
      </c>
      <c r="J9" s="61" t="str">
        <f>IF(Backlog!$A$8&lt;&gt;"",Backlog!$A$8,"")</f>
        <v>Bakuman S3</v>
      </c>
      <c r="K9" s="68">
        <f>IF(Backlog!$B$8&lt;&gt;"",Backlog!$B$8,"")</f>
        <v>3</v>
      </c>
      <c r="L9" s="69" t="str">
        <f>IF(Backlog!$C$8&lt;&gt;"",Backlog!$C$8,"")</f>
        <v>DL</v>
      </c>
      <c r="N9" s="61" t="str">
        <f>IF('Completed'!$A$8&lt;&gt;"",'Completed'!$A$8,"")</f>
        <v>The Tatami Galaxy</v>
      </c>
      <c r="O9" s="68">
        <f>IF('Completed'!$B$8&lt;&gt;"",'Completed'!$B$8,"")</f>
        <v>1</v>
      </c>
      <c r="P9" s="68">
        <f ca="1">IF($N$9&lt;&gt;"", INDIRECT("'Tracker'!"&amp;ADDRESS(MATCH($N$9, Tracker[Anime Name], 0) + 2, 3)), "")</f>
        <v>11</v>
      </c>
      <c r="Q9" s="62" t="str">
        <f ca="1">IF($N$9&lt;&gt;"", INDIRECT("'Tracker'!"&amp;ADDRESS(MATCH($N$9, Tracker[Anime Name], 0) + 2, 4)), "")</f>
        <v>A</v>
      </c>
      <c r="R9" s="62" t="str">
        <f ca="1">IF($N$9&lt;&gt;"", INDIRECT("'Tracker'!"&amp;ADDRESS(MATCH($N$9, Tracker[Anime Name], 0) + 2, 5)), "")</f>
        <v>720p</v>
      </c>
      <c r="S9" s="62" t="str">
        <f ca="1">IF($N$9&lt;&gt;"", INDIRECT("'Tracker'!"&amp;ADDRESS(MATCH($N$9, Tracker[Anime Name], 0) + 2, 6)), "")</f>
        <v>BD</v>
      </c>
      <c r="T9" s="62" t="str">
        <f ca="1">IF($N$9&lt;&gt;"", INDIRECT("'Tracker'!"&amp;ADDRESS(MATCH($N$9, Tracker[Anime Name], 0) + 2, 7)), "")</f>
        <v>2010A</v>
      </c>
      <c r="U9" s="68" t="str">
        <f ca="1">IF($N$9&lt;&gt;"", INDIRECT("'Tracker'!"&amp;ADDRESS(MATCH($N$9, Tracker[Anime Name], 0) + 2, 8)), "")</f>
        <v>Elysium</v>
      </c>
      <c r="V9" s="96">
        <f>IF('Completed'!$C$8&lt;&gt;"",'Completed'!$C$8,"")</f>
        <v>10</v>
      </c>
      <c r="W9" s="96">
        <f>IF('Completed'!$D$8&lt;&gt;"",'Completed'!$D$8,"")</f>
        <v>9</v>
      </c>
      <c r="X9" s="96">
        <f>IF('Completed'!$E$8&lt;&gt;"",'Completed'!$E$8,"")</f>
        <v>5</v>
      </c>
      <c r="Y9" s="96">
        <f>IF('Completed'!$F$8&lt;&gt;"",'Completed'!$F$8,"")</f>
        <v>9.5</v>
      </c>
      <c r="Z9" s="110">
        <f>IF('Completed'!$G$8&lt;&gt;"",'Completed'!$G$8,"")</f>
        <v>9.2424623115577873</v>
      </c>
      <c r="AA9" s="120">
        <f>IF('Completed'!$H$8&lt;&gt;"",'Completed'!$H$8,"")</f>
        <v>9.0196737851017303</v>
      </c>
      <c r="AB9" s="97">
        <f>IF('Completed'!$I$8&lt;&gt;"",'Completed'!$I$8,"")</f>
        <v>41742</v>
      </c>
      <c r="AC9" s="97">
        <f>IF('Completed'!$J$8&lt;&gt;"",'Completed'!$J$8,"")</f>
        <v>41746</v>
      </c>
      <c r="AD9" s="111" t="str">
        <f>IF('Completed'!$K$8&lt;&gt;"",'Completed'!$K$8,"")</f>
        <v>Akashi</v>
      </c>
      <c r="AE9" s="111" t="str">
        <f>IF('Completed'!$L$8&lt;&gt;"",'Completed'!$L$8,"")</f>
        <v>Really well planned show</v>
      </c>
    </row>
    <row r="10" spans="1:31">
      <c r="A10" s="135"/>
      <c r="B10" s="139"/>
      <c r="C10" s="140"/>
      <c r="D10" s="137"/>
      <c r="E10" s="137"/>
      <c r="F10" s="161"/>
      <c r="G10" s="156" t="str">
        <f ca="1">IF($A10&lt;&gt;"", INDIRECT("'Tracker'!"&amp;ADDRESS(MATCH($A10, Tracker[Anime Name], 0) + 2, 4)), "")</f>
        <v/>
      </c>
      <c r="H10" s="149" t="str">
        <f ca="1">IF($A10&lt;&gt;"", INDIRECT("'Tracker'!"&amp;ADDRESS(MATCH($A10, Tracker[Anime Name], 0) + 2, 8)), "")</f>
        <v/>
      </c>
      <c r="I10" s="64" t="s">
        <v>198</v>
      </c>
      <c r="J10" s="61" t="str">
        <f>IF(Backlog!$A$9&lt;&gt;"",Backlog!$A$9,"")</f>
        <v>Code Geass: Lelouch of the Rebellion</v>
      </c>
      <c r="K10" s="68">
        <f>IF(Backlog!$B$9&lt;&gt;"",Backlog!$B$9,"")</f>
        <v>1</v>
      </c>
      <c r="L10" s="69" t="str">
        <f>IF(Backlog!$C$9&lt;&gt;"",Backlog!$C$9,"")</f>
        <v>DL</v>
      </c>
      <c r="N10" s="61" t="str">
        <f>IF('Completed'!$A$9&lt;&gt;"",'Completed'!$A$9,"")</f>
        <v>Clannad -After Story-</v>
      </c>
      <c r="O10" s="68">
        <f>IF('Completed'!$B$9&lt;&gt;"",'Completed'!$B$9,"")</f>
        <v>2</v>
      </c>
      <c r="P10" s="68">
        <f ca="1">IF($N$10&lt;&gt;"", INDIRECT("'Tracker'!"&amp;ADDRESS(MATCH($N$10, Tracker[Anime Name], 0) + 2, 3)), "")</f>
        <v>22</v>
      </c>
      <c r="Q10" s="62" t="str">
        <f ca="1">IF($N$10&lt;&gt;"", INDIRECT("'Tracker'!"&amp;ADDRESS(MATCH($N$10, Tracker[Anime Name], 0) + 2, 4)), "")</f>
        <v>A</v>
      </c>
      <c r="R10" s="62" t="str">
        <f ca="1">IF($N$10&lt;&gt;"", INDIRECT("'Tracker'!"&amp;ADDRESS(MATCH($N$10, Tracker[Anime Name], 0) + 2, 5)), "")</f>
        <v>720p</v>
      </c>
      <c r="S10" s="62" t="str">
        <f ca="1">IF($N$10&lt;&gt;"", INDIRECT("'Tracker'!"&amp;ADDRESS(MATCH($N$10, Tracker[Anime Name], 0) + 2, 6)), "")</f>
        <v>BD</v>
      </c>
      <c r="T10" s="62" t="str">
        <f ca="1">IF($N$10&lt;&gt;"", INDIRECT("'Tracker'!"&amp;ADDRESS(MATCH($N$10, Tracker[Anime Name], 0) + 2, 7)), "")</f>
        <v>2008C</v>
      </c>
      <c r="U10" s="68" t="str">
        <f ca="1">IF($N$10&lt;&gt;"", INDIRECT("'Tracker'!"&amp;ADDRESS(MATCH($N$10, Tracker[Anime Name], 0) + 2, 8)), "")</f>
        <v>Doki</v>
      </c>
      <c r="V10" s="96">
        <f>IF('Completed'!$C$9&lt;&gt;"",'Completed'!$C$9,"")</f>
        <v>9.5</v>
      </c>
      <c r="W10" s="96">
        <f>IF('Completed'!$D$9&lt;&gt;"",'Completed'!$D$9,"")</f>
        <v>10</v>
      </c>
      <c r="X10" s="96">
        <f>IF('Completed'!$E$9&lt;&gt;"",'Completed'!$E$9,"")</f>
        <v>6</v>
      </c>
      <c r="Y10" s="96">
        <f>IF('Completed'!$F$9&lt;&gt;"",'Completed'!$F$9,"")</f>
        <v>9</v>
      </c>
      <c r="Z10" s="110">
        <f>IF('Completed'!$G$9&lt;&gt;"",'Completed'!$G$9,"")</f>
        <v>9.217336683417086</v>
      </c>
      <c r="AA10" s="120">
        <f>IF('Completed'!$H$9&lt;&gt;"",'Completed'!$H$9,"")</f>
        <v>8.9860433832184299</v>
      </c>
      <c r="AB10" s="97">
        <f>IF('Completed'!$I$9&lt;&gt;"",'Completed'!$I$9,"")</f>
        <v>41293</v>
      </c>
      <c r="AC10" s="97">
        <f>IF('Completed'!$J$9&lt;&gt;"",'Completed'!$J$9,"")</f>
        <v>41294</v>
      </c>
      <c r="AD10" s="111" t="str">
        <f>IF('Completed'!$K$9&lt;&gt;"",'Completed'!$K$9,"")</f>
        <v>Fujibayashi Kyou</v>
      </c>
      <c r="AE10" s="111" t="str">
        <f>IF('Completed'!$L$9&lt;&gt;"",'Completed'!$L$9,"")</f>
        <v>So many feels</v>
      </c>
    </row>
    <row r="11" spans="1:31">
      <c r="A11" s="135"/>
      <c r="B11" s="139"/>
      <c r="C11" s="140"/>
      <c r="D11" s="137"/>
      <c r="E11" s="137"/>
      <c r="F11" s="161"/>
      <c r="G11" s="156" t="str">
        <f ca="1">IF($A11&lt;&gt;"", INDIRECT("'Tracker'!"&amp;ADDRESS(MATCH($A11, Tracker[Anime Name], 0) + 2, 4)), "")</f>
        <v/>
      </c>
      <c r="H11" s="149" t="str">
        <f ca="1">IF($A11&lt;&gt;"", INDIRECT("'Tracker'!"&amp;ADDRESS(MATCH($A11, Tracker[Anime Name], 0) + 2, 8)), "")</f>
        <v/>
      </c>
      <c r="I11" s="64" t="s">
        <v>198</v>
      </c>
      <c r="J11" s="61" t="str">
        <f>IF(Backlog!$A$10&lt;&gt;"",Backlog!$A$10,"")</f>
        <v>Code Geass: Lelouch of the Rebellion R2</v>
      </c>
      <c r="K11" s="68">
        <f>IF(Backlog!$B$10&lt;&gt;"",Backlog!$B$10,"")</f>
        <v>2</v>
      </c>
      <c r="L11" s="69" t="str">
        <f>IF(Backlog!$C$10&lt;&gt;"",Backlog!$C$10,"")</f>
        <v>DL</v>
      </c>
      <c r="N11" s="61" t="str">
        <f>IF('Completed'!$A$10&lt;&gt;"",'Completed'!$A$10,"")</f>
        <v>Durarara!!</v>
      </c>
      <c r="O11" s="68">
        <f>IF('Completed'!$B$10&lt;&gt;"",'Completed'!$B$10,"")</f>
        <v>1</v>
      </c>
      <c r="P11" s="68">
        <f ca="1">IF($N$11&lt;&gt;"", INDIRECT("'Tracker'!"&amp;ADDRESS(MATCH($N$11, Tracker[Anime Name], 0) + 2, 3)), "")</f>
        <v>25</v>
      </c>
      <c r="Q11" s="62" t="str">
        <f ca="1">IF($N$11&lt;&gt;"", INDIRECT("'Tracker'!"&amp;ADDRESS(MATCH($N$11, Tracker[Anime Name], 0) + 2, 4)), "")</f>
        <v>B</v>
      </c>
      <c r="R11" s="62" t="str">
        <f ca="1">IF($N$11&lt;&gt;"", INDIRECT("'Tracker'!"&amp;ADDRESS(MATCH($N$11, Tracker[Anime Name], 0) + 2, 5)), "")</f>
        <v>720p</v>
      </c>
      <c r="S11" s="62" t="str">
        <f ca="1">IF($N$11&lt;&gt;"", INDIRECT("'Tracker'!"&amp;ADDRESS(MATCH($N$11, Tracker[Anime Name], 0) + 2, 6)), "")</f>
        <v>BD</v>
      </c>
      <c r="T11" s="62" t="str">
        <f ca="1">IF($N$11&lt;&gt;"", INDIRECT("'Tracker'!"&amp;ADDRESS(MATCH($N$11, Tracker[Anime Name], 0) + 2, 7)), "")</f>
        <v>2009D</v>
      </c>
      <c r="U11" s="68" t="str">
        <f ca="1">IF($N$11&lt;&gt;"", INDIRECT("'Tracker'!"&amp;ADDRESS(MATCH($N$11, Tracker[Anime Name], 0) + 2, 8)), "")</f>
        <v>Coalgirls, gg</v>
      </c>
      <c r="V11" s="96">
        <f>IF('Completed'!$C$10&lt;&gt;"",'Completed'!$C$10,"")</f>
        <v>10</v>
      </c>
      <c r="W11" s="96">
        <f>IF('Completed'!$D$10&lt;&gt;"",'Completed'!$D$10,"")</f>
        <v>9</v>
      </c>
      <c r="X11" s="96">
        <f>IF('Completed'!$E$10&lt;&gt;"",'Completed'!$E$10,"")</f>
        <v>4</v>
      </c>
      <c r="Y11" s="96">
        <f>IF('Completed'!$F$10&lt;&gt;"",'Completed'!$F$10,"")</f>
        <v>9.5</v>
      </c>
      <c r="Z11" s="110">
        <f>IF('Completed'!$G$10&lt;&gt;"",'Completed'!$G$10,"")</f>
        <v>9.1947236180904515</v>
      </c>
      <c r="AA11" s="120">
        <f>IF('Completed'!$H$10&lt;&gt;"",'Completed'!$H$10,"")</f>
        <v>8.9557760215234552</v>
      </c>
      <c r="AB11" s="97">
        <f>IF('Completed'!$I$10&lt;&gt;"",'Completed'!$I$10,"")</f>
        <v>41750</v>
      </c>
      <c r="AC11" s="97">
        <f>IF('Completed'!$J$10&lt;&gt;"",'Completed'!$J$10,"")</f>
        <v>41756</v>
      </c>
      <c r="AD11" s="111" t="str">
        <f>IF('Completed'!$K$10&lt;&gt;"",'Completed'!$K$10,"")</f>
        <v>Celty Sturluson</v>
      </c>
      <c r="AE11" s="111" t="str">
        <f>IF('Completed'!$L$10&lt;&gt;"",'Completed'!$L$10,"")</f>
        <v/>
      </c>
    </row>
    <row r="12" spans="1:31">
      <c r="A12" s="135"/>
      <c r="B12" s="139"/>
      <c r="C12" s="140"/>
      <c r="D12" s="137"/>
      <c r="E12" s="137"/>
      <c r="F12" s="161"/>
      <c r="G12" s="156" t="str">
        <f ca="1">IF($A12&lt;&gt;"", INDIRECT("'Tracker'!"&amp;ADDRESS(MATCH($A12, Tracker[Anime Name], 0) + 2, 4)), "")</f>
        <v/>
      </c>
      <c r="H12" s="149" t="str">
        <f ca="1">IF($A12&lt;&gt;"", INDIRECT("'Tracker'!"&amp;ADDRESS(MATCH($A12, Tracker[Anime Name], 0) + 2, 8)), "")</f>
        <v/>
      </c>
      <c r="I12" s="64" t="s">
        <v>198</v>
      </c>
      <c r="J12" s="61" t="str">
        <f>IF(Backlog!$A$11&lt;&gt;"",Backlog!$A$11,"")</f>
        <v>Danganronpa the Animation</v>
      </c>
      <c r="K12" s="68">
        <f>IF(Backlog!$B$11&lt;&gt;"",Backlog!$B$11,"")</f>
        <v>1</v>
      </c>
      <c r="L12" s="69" t="str">
        <f>IF(Backlog!$C$11&lt;&gt;"",Backlog!$C$11,"")</f>
        <v>DL</v>
      </c>
      <c r="N12" s="61" t="str">
        <f>IF('Completed'!$A$11&lt;&gt;"",'Completed'!$A$11,"")</f>
        <v>Mikakunin no Shinkoukei</v>
      </c>
      <c r="O12" s="68">
        <f>IF('Completed'!$B$11&lt;&gt;"",'Completed'!$B$11,"")</f>
        <v>1</v>
      </c>
      <c r="P12" s="68">
        <f ca="1">IF($N$12&lt;&gt;"", INDIRECT("'Tracker'!"&amp;ADDRESS(MATCH($N$12, Tracker[Anime Name], 0) + 2, 3)), "")</f>
        <v>12</v>
      </c>
      <c r="Q12" s="62" t="str">
        <f ca="1">IF($N$12&lt;&gt;"", INDIRECT("'Tracker'!"&amp;ADDRESS(MATCH($N$12, Tracker[Anime Name], 0) + 2, 4)), "")</f>
        <v>B</v>
      </c>
      <c r="R12" s="62" t="str">
        <f ca="1">IF($N$12&lt;&gt;"", INDIRECT("'Tracker'!"&amp;ADDRESS(MATCH($N$12, Tracker[Anime Name], 0) + 2, 5)), "")</f>
        <v>720p</v>
      </c>
      <c r="S12" s="62" t="str">
        <f ca="1">IF($N$12&lt;&gt;"", INDIRECT("'Tracker'!"&amp;ADDRESS(MATCH($N$12, Tracker[Anime Name], 0) + 2, 6)), "")</f>
        <v>TV</v>
      </c>
      <c r="T12" s="62" t="str">
        <f ca="1">IF($N$12&lt;&gt;"", INDIRECT("'Tracker'!"&amp;ADDRESS(MATCH($N$12, Tracker[Anime Name], 0) + 2, 7)), "")</f>
        <v>2013D</v>
      </c>
      <c r="U12" s="68" t="str">
        <f ca="1">IF($N$12&lt;&gt;"", INDIRECT("'Tracker'!"&amp;ADDRESS(MATCH($N$12, Tracker[Anime Name], 0) + 2, 8)), "")</f>
        <v>Underwater</v>
      </c>
      <c r="V12" s="96">
        <f>IF('Completed'!$C$11&lt;&gt;"",'Completed'!$C$11,"")</f>
        <v>9</v>
      </c>
      <c r="W12" s="96">
        <f>IF('Completed'!$D$11&lt;&gt;"",'Completed'!$D$11,"")</f>
        <v>9</v>
      </c>
      <c r="X12" s="96">
        <f>IF('Completed'!$E$11&lt;&gt;"",'Completed'!$E$11,"")</f>
        <v>7.5</v>
      </c>
      <c r="Y12" s="96">
        <f>IF('Completed'!$F$11&lt;&gt;"",'Completed'!$F$11,"")</f>
        <v>9.5</v>
      </c>
      <c r="Z12" s="110">
        <f>IF('Completed'!$G$11&lt;&gt;"",'Completed'!$G$11,"")</f>
        <v>9.1783919597989954</v>
      </c>
      <c r="AA12" s="120">
        <f>IF('Completed'!$H$11&lt;&gt;"",'Completed'!$H$11,"")</f>
        <v>8.933916260299311</v>
      </c>
      <c r="AB12" s="97">
        <f>IF('Completed'!$I$11&lt;&gt;"",'Completed'!$I$11,"")</f>
        <v>41814</v>
      </c>
      <c r="AC12" s="97">
        <f>IF('Completed'!$J$11&lt;&gt;"",'Completed'!$J$11,"")</f>
        <v>41815</v>
      </c>
      <c r="AD12" s="111" t="str">
        <f>IF('Completed'!$K$11&lt;&gt;"",'Completed'!$K$11,"")</f>
        <v>Yonomori Kobeni</v>
      </c>
      <c r="AE12" s="111" t="str">
        <f>IF('Completed'!$L$11&lt;&gt;"",'Completed'!$L$11,"")</f>
        <v>This show is good.</v>
      </c>
    </row>
    <row r="13" spans="1:31">
      <c r="A13" s="135"/>
      <c r="B13" s="139"/>
      <c r="C13" s="140"/>
      <c r="D13" s="137"/>
      <c r="E13" s="137"/>
      <c r="F13" s="161"/>
      <c r="G13" s="156" t="str">
        <f ca="1">IF($A13&lt;&gt;"", INDIRECT("'Tracker'!"&amp;ADDRESS(MATCH($A13, Tracker[Anime Name], 0) + 2, 4)), "")</f>
        <v/>
      </c>
      <c r="H13" s="149" t="str">
        <f ca="1">IF($A13&lt;&gt;"", INDIRECT("'Tracker'!"&amp;ADDRESS(MATCH($A13, Tracker[Anime Name], 0) + 2, 8)), "")</f>
        <v/>
      </c>
      <c r="I13" s="64" t="s">
        <v>198</v>
      </c>
      <c r="J13" s="61" t="str">
        <f>IF(Backlog!$A$12&lt;&gt;"",Backlog!$A$12,"")</f>
        <v>Darker than Black</v>
      </c>
      <c r="K13" s="68">
        <f>IF(Backlog!$B$12&lt;&gt;"",Backlog!$B$12,"")</f>
        <v>1</v>
      </c>
      <c r="L13" s="69" t="str">
        <f>IF(Backlog!$C$12&lt;&gt;"",Backlog!$C$12,"")</f>
        <v>DL</v>
      </c>
      <c r="N13" s="61" t="str">
        <f>IF('Completed'!$A$12&lt;&gt;"",'Completed'!$A$12,"")</f>
        <v>Spice and Wolf</v>
      </c>
      <c r="O13" s="68">
        <f>IF('Completed'!$B$12&lt;&gt;"",'Completed'!$B$12,"")</f>
        <v>1</v>
      </c>
      <c r="P13" s="68">
        <f ca="1">IF($N$13&lt;&gt;"", INDIRECT("'Tracker'!"&amp;ADDRESS(MATCH($N$13, Tracker[Anime Name], 0) + 2, 3)), "")</f>
        <v>13</v>
      </c>
      <c r="Q13" s="62" t="str">
        <f ca="1">IF($N$13&lt;&gt;"", INDIRECT("'Tracker'!"&amp;ADDRESS(MATCH($N$13, Tracker[Anime Name], 0) + 2, 4)), "")</f>
        <v>B</v>
      </c>
      <c r="R13" s="62" t="str">
        <f ca="1">IF($N$13&lt;&gt;"", INDIRECT("'Tracker'!"&amp;ADDRESS(MATCH($N$13, Tracker[Anime Name], 0) + 2, 5)), "")</f>
        <v>720p</v>
      </c>
      <c r="S13" s="62" t="str">
        <f ca="1">IF($N$13&lt;&gt;"", INDIRECT("'Tracker'!"&amp;ADDRESS(MATCH($N$13, Tracker[Anime Name], 0) + 2, 6)), "")</f>
        <v>BD</v>
      </c>
      <c r="T13" s="62" t="str">
        <f ca="1">IF($N$13&lt;&gt;"", INDIRECT("'Tracker'!"&amp;ADDRESS(MATCH($N$13, Tracker[Anime Name], 0) + 2, 7)), "")</f>
        <v>2007D</v>
      </c>
      <c r="U13" s="68" t="str">
        <f ca="1">IF($N$13&lt;&gt;"", INDIRECT("'Tracker'!"&amp;ADDRESS(MATCH($N$13, Tracker[Anime Name], 0) + 2, 8)), "")</f>
        <v>Coalgirls, sudo</v>
      </c>
      <c r="V13" s="96">
        <f>IF('Completed'!$C$12&lt;&gt;"",'Completed'!$C$12,"")</f>
        <v>9</v>
      </c>
      <c r="W13" s="96">
        <f>IF('Completed'!$D$12&lt;&gt;"",'Completed'!$D$12,"")</f>
        <v>9.5</v>
      </c>
      <c r="X13" s="96">
        <f>IF('Completed'!$E$12&lt;&gt;"",'Completed'!$E$12,"")</f>
        <v>4.5</v>
      </c>
      <c r="Y13" s="96">
        <f>IF('Completed'!$F$12&lt;&gt;"",'Completed'!$F$12,"")</f>
        <v>9.5</v>
      </c>
      <c r="Z13" s="110">
        <f>IF('Completed'!$G$12&lt;&gt;"",'Completed'!$G$12,"")</f>
        <v>9.1695979899497502</v>
      </c>
      <c r="AA13" s="120">
        <f>IF('Completed'!$H$12&lt;&gt;"",'Completed'!$H$12,"")</f>
        <v>8.9221456196401565</v>
      </c>
      <c r="AB13" s="97">
        <f>IF('Completed'!$I$12&lt;&gt;"",'Completed'!$I$12,"")</f>
        <v>41357</v>
      </c>
      <c r="AC13" s="97">
        <f>IF('Completed'!$J$12&lt;&gt;"",'Completed'!$J$12,"")</f>
        <v>41357</v>
      </c>
      <c r="AD13" s="111" t="str">
        <f>IF('Completed'!$K$12&lt;&gt;"",'Completed'!$K$12,"")</f>
        <v>Nora Adrendt</v>
      </c>
      <c r="AE13" s="111" t="str">
        <f>IF('Completed'!$L$12&lt;&gt;"",'Completed'!$L$12,"")</f>
        <v/>
      </c>
    </row>
    <row r="14" spans="1:31">
      <c r="A14" s="135"/>
      <c r="B14" s="138"/>
      <c r="C14" s="137"/>
      <c r="D14" s="137"/>
      <c r="E14" s="137"/>
      <c r="F14" s="160"/>
      <c r="G14" s="156" t="str">
        <f ca="1">IF($A14&lt;&gt;"", INDIRECT("'Tracker'!"&amp;ADDRESS(MATCH($A14, Tracker[Anime Name], 0) + 2, 4)), "")</f>
        <v/>
      </c>
      <c r="H14" s="149" t="str">
        <f ca="1">IF($A14&lt;&gt;"", INDIRECT("'Tracker'!"&amp;ADDRESS(MATCH($A14, Tracker[Anime Name], 0) + 2, 8)), "")</f>
        <v/>
      </c>
      <c r="I14" s="64" t="s">
        <v>198</v>
      </c>
      <c r="J14" s="61" t="str">
        <f>IF(Backlog!$A$13&lt;&gt;"",Backlog!$A$13,"")</f>
        <v>Date-A-Live</v>
      </c>
      <c r="K14" s="68">
        <f>IF(Backlog!$B$13&lt;&gt;"",Backlog!$B$13,"")</f>
        <v>1</v>
      </c>
      <c r="L14" s="69" t="str">
        <f>IF(Backlog!$C$13&lt;&gt;"",Backlog!$C$13,"")</f>
        <v>DL</v>
      </c>
      <c r="N14" s="61" t="str">
        <f>IF('Completed'!$A$13&lt;&gt;"",'Completed'!$A$13,"")</f>
        <v>Shakugan no Shana Final</v>
      </c>
      <c r="O14" s="68">
        <f>IF('Completed'!$B$13&lt;&gt;"",'Completed'!$B$13,"")</f>
        <v>3</v>
      </c>
      <c r="P14" s="68">
        <f ca="1">IF($N$14&lt;&gt;"", INDIRECT("'Tracker'!"&amp;ADDRESS(MATCH($N$14, Tracker[Anime Name], 0) + 2, 3)), "")</f>
        <v>24</v>
      </c>
      <c r="Q14" s="62" t="str">
        <f ca="1">IF($N$14&lt;&gt;"", INDIRECT("'Tracker'!"&amp;ADDRESS(MATCH($N$14, Tracker[Anime Name], 0) + 2, 4)), "")</f>
        <v>A</v>
      </c>
      <c r="R14" s="62" t="str">
        <f ca="1">IF($N$14&lt;&gt;"", INDIRECT("'Tracker'!"&amp;ADDRESS(MATCH($N$14, Tracker[Anime Name], 0) + 2, 5)), "")</f>
        <v>720p</v>
      </c>
      <c r="S14" s="62" t="str">
        <f ca="1">IF($N$14&lt;&gt;"", INDIRECT("'Tracker'!"&amp;ADDRESS(MATCH($N$14, Tracker[Anime Name], 0) + 2, 6)), "")</f>
        <v>BD</v>
      </c>
      <c r="T14" s="62" t="str">
        <f ca="1">IF($N$14&lt;&gt;"", INDIRECT("'Tracker'!"&amp;ADDRESS(MATCH($N$14, Tracker[Anime Name], 0) + 2, 7)), "")</f>
        <v>2011C</v>
      </c>
      <c r="U14" s="68" t="str">
        <f ca="1">IF($N$14&lt;&gt;"", INDIRECT("'Tracker'!"&amp;ADDRESS(MATCH($N$14, Tracker[Anime Name], 0) + 2, 8)), "")</f>
        <v>Doki</v>
      </c>
      <c r="V14" s="96">
        <f>IF('Completed'!$C$13&lt;&gt;"",'Completed'!$C$13,"")</f>
        <v>10</v>
      </c>
      <c r="W14" s="96">
        <f>IF('Completed'!$D$13&lt;&gt;"",'Completed'!$D$13,"")</f>
        <v>8.5</v>
      </c>
      <c r="X14" s="96">
        <f>IF('Completed'!$E$13&lt;&gt;"",'Completed'!$E$13,"")</f>
        <v>6</v>
      </c>
      <c r="Y14" s="96">
        <f>IF('Completed'!$F$13&lt;&gt;"",'Completed'!$F$13,"")</f>
        <v>9.5</v>
      </c>
      <c r="Z14" s="110">
        <f>IF('Completed'!$G$13&lt;&gt;"",'Completed'!$G$13,"")</f>
        <v>9.1557788944723608</v>
      </c>
      <c r="AA14" s="120">
        <f>IF('Completed'!$H$13&lt;&gt;"",'Completed'!$H$13,"")</f>
        <v>8.9036488986043363</v>
      </c>
      <c r="AB14" s="97">
        <f>IF('Completed'!$I$13&lt;&gt;"",'Completed'!$I$13,"")</f>
        <v>41400</v>
      </c>
      <c r="AC14" s="97">
        <f>IF('Completed'!$J$13&lt;&gt;"",'Completed'!$J$13,"")</f>
        <v>41402</v>
      </c>
      <c r="AD14" s="111" t="str">
        <f>IF('Completed'!$K$13&lt;&gt;"",'Completed'!$K$13,"")</f>
        <v>Shana</v>
      </c>
      <c r="AE14" s="111" t="str">
        <f>IF('Completed'!$L$13&lt;&gt;"",'Completed'!$L$13,"")</f>
        <v/>
      </c>
    </row>
    <row r="15" spans="1:31">
      <c r="A15" s="135"/>
      <c r="B15" s="138"/>
      <c r="C15" s="137"/>
      <c r="D15" s="137"/>
      <c r="E15" s="137"/>
      <c r="F15" s="159"/>
      <c r="G15" s="156" t="str">
        <f ca="1">IF($A15&lt;&gt;"", INDIRECT("'Tracker'!"&amp;ADDRESS(MATCH($A15, Tracker[Anime Name], 0) + 2, 4)), "")</f>
        <v/>
      </c>
      <c r="H15" s="149" t="str">
        <f ca="1">IF($A15&lt;&gt;"", INDIRECT("'Tracker'!"&amp;ADDRESS(MATCH($A15, Tracker[Anime Name], 0) + 2, 8)), "")</f>
        <v/>
      </c>
      <c r="I15" s="64" t="s">
        <v>198</v>
      </c>
      <c r="J15" s="61" t="str">
        <f>IF(Backlog!$A$14&lt;&gt;"",Backlog!$A$14,"")</f>
        <v>Dennou Coil</v>
      </c>
      <c r="K15" s="68">
        <f>IF(Backlog!$B$14&lt;&gt;"",Backlog!$B$14,"")</f>
        <v>1</v>
      </c>
      <c r="L15" s="69" t="str">
        <f>IF(Backlog!$C$14&lt;&gt;"",Backlog!$C$14,"")</f>
        <v>DL</v>
      </c>
      <c r="N15" s="61" t="str">
        <f>IF('Completed'!$A$14&lt;&gt;"",'Completed'!$A$14,"")</f>
        <v>Log Horizon</v>
      </c>
      <c r="O15" s="68">
        <f>IF('Completed'!$B$14&lt;&gt;"",'Completed'!$B$14,"")</f>
        <v>1</v>
      </c>
      <c r="P15" s="68">
        <f ca="1">IF($N$15&lt;&gt;"", INDIRECT("'Tracker'!"&amp;ADDRESS(MATCH($N$15, Tracker[Anime Name], 0) + 2, 3)), "")</f>
        <v>25</v>
      </c>
      <c r="Q15" s="62" t="str">
        <f ca="1">IF($N$15&lt;&gt;"", INDIRECT("'Tracker'!"&amp;ADDRESS(MATCH($N$15, Tracker[Anime Name], 0) + 2, 4)), "")</f>
        <v>B</v>
      </c>
      <c r="R15" s="62" t="str">
        <f ca="1">IF($N$15&lt;&gt;"", INDIRECT("'Tracker'!"&amp;ADDRESS(MATCH($N$15, Tracker[Anime Name], 0) + 2, 5)), "")</f>
        <v>720p</v>
      </c>
      <c r="S15" s="62" t="str">
        <f ca="1">IF($N$15&lt;&gt;"", INDIRECT("'Tracker'!"&amp;ADDRESS(MATCH($N$15, Tracker[Anime Name], 0) + 2, 6)), "")</f>
        <v>TV</v>
      </c>
      <c r="T15" s="62" t="str">
        <f ca="1">IF($N$15&lt;&gt;"", INDIRECT("'Tracker'!"&amp;ADDRESS(MATCH($N$15, Tracker[Anime Name], 0) + 2, 7)), "")</f>
        <v>2013C</v>
      </c>
      <c r="U15" s="68" t="str">
        <f ca="1">IF($N$15&lt;&gt;"", INDIRECT("'Tracker'!"&amp;ADDRESS(MATCH($N$15, Tracker[Anime Name], 0) + 2, 8)), "")</f>
        <v>HorribleSubs</v>
      </c>
      <c r="V15" s="96">
        <f>IF('Completed'!$C$14&lt;&gt;"",'Completed'!$C$14,"")</f>
        <v>9</v>
      </c>
      <c r="W15" s="96">
        <f>IF('Completed'!$D$14&lt;&gt;"",'Completed'!$D$14,"")</f>
        <v>9</v>
      </c>
      <c r="X15" s="96">
        <f>IF('Completed'!$E$14&lt;&gt;"",'Completed'!$E$14,"")</f>
        <v>6.5</v>
      </c>
      <c r="Y15" s="96">
        <f>IF('Completed'!$F$14&lt;&gt;"",'Completed'!$F$14,"")</f>
        <v>9.5</v>
      </c>
      <c r="Z15" s="110">
        <f>IF('Completed'!$G$14&lt;&gt;"",'Completed'!$G$14,"")</f>
        <v>9.1306532663316595</v>
      </c>
      <c r="AA15" s="120">
        <f>IF('Completed'!$H$14&lt;&gt;"",'Completed'!$H$14,"")</f>
        <v>8.8700184967210376</v>
      </c>
      <c r="AB15" s="97">
        <f>IF('Completed'!$I$14&lt;&gt;"",'Completed'!$I$14,"")</f>
        <v>41555</v>
      </c>
      <c r="AC15" s="97">
        <f>IF('Completed'!$J$14&lt;&gt;"",'Completed'!$J$14,"")</f>
        <v>41720</v>
      </c>
      <c r="AD15" s="111" t="str">
        <f>IF('Completed'!$K$14&lt;&gt;"",'Completed'!$K$14,"")</f>
        <v>Akatsuki</v>
      </c>
      <c r="AE15" s="111" t="str">
        <f>IF('Completed'!$L$14&lt;&gt;"",'Completed'!$L$14,"")</f>
        <v>Very well thought out world, good design</v>
      </c>
    </row>
    <row r="16" spans="1:31">
      <c r="A16" s="135"/>
      <c r="B16" s="138"/>
      <c r="C16" s="137"/>
      <c r="D16" s="137"/>
      <c r="E16" s="137"/>
      <c r="F16" s="161"/>
      <c r="G16" s="156" t="str">
        <f ca="1">IF($A16&lt;&gt;"", INDIRECT("'Tracker'!"&amp;ADDRESS(MATCH($A16, Tracker[Anime Name], 0) + 2, 4)), "")</f>
        <v/>
      </c>
      <c r="H16" s="149" t="str">
        <f ca="1">IF($A16&lt;&gt;"", INDIRECT("'Tracker'!"&amp;ADDRESS(MATCH($A16, Tracker[Anime Name], 0) + 2, 8)), "")</f>
        <v/>
      </c>
      <c r="I16" s="64" t="s">
        <v>198</v>
      </c>
      <c r="J16" s="61" t="str">
        <f>IF(Backlog!$A$15&lt;&gt;"",Backlog!$A$15,"")</f>
        <v>Denpa Onna to Seishun Otoko</v>
      </c>
      <c r="K16" s="68">
        <f>IF(Backlog!$B$15&lt;&gt;"",Backlog!$B$15,"")</f>
        <v>1</v>
      </c>
      <c r="L16" s="69" t="str">
        <f>IF(Backlog!$C$15&lt;&gt;"",Backlog!$C$15,"")</f>
        <v>DL</v>
      </c>
      <c r="N16" s="61" t="str">
        <f>IF('Completed'!$A$15&lt;&gt;"",'Completed'!$A$15,"")</f>
        <v>Oda Nobuna no Yabou</v>
      </c>
      <c r="O16" s="68">
        <f>IF('Completed'!$B$15&lt;&gt;"",'Completed'!$B$15,"")</f>
        <v>1</v>
      </c>
      <c r="P16" s="68">
        <f ca="1">IF($N$16&lt;&gt;"", INDIRECT("'Tracker'!"&amp;ADDRESS(MATCH($N$16, Tracker[Anime Name], 0) + 2, 3)), "")</f>
        <v>12</v>
      </c>
      <c r="Q16" s="62" t="str">
        <f ca="1">IF($N$16&lt;&gt;"", INDIRECT("'Tracker'!"&amp;ADDRESS(MATCH($N$16, Tracker[Anime Name], 0) + 2, 4)), "")</f>
        <v>A</v>
      </c>
      <c r="R16" s="62" t="str">
        <f ca="1">IF($N$16&lt;&gt;"", INDIRECT("'Tracker'!"&amp;ADDRESS(MATCH($N$16, Tracker[Anime Name], 0) + 2, 5)), "")</f>
        <v>1080p</v>
      </c>
      <c r="S16" s="62" t="str">
        <f ca="1">IF($N$16&lt;&gt;"", INDIRECT("'Tracker'!"&amp;ADDRESS(MATCH($N$16, Tracker[Anime Name], 0) + 2, 6)), "")</f>
        <v>BD</v>
      </c>
      <c r="T16" s="62" t="str">
        <f ca="1">IF($N$16&lt;&gt;"", INDIRECT("'Tracker'!"&amp;ADDRESS(MATCH($N$16, Tracker[Anime Name], 0) + 2, 7)), "")</f>
        <v>2012C</v>
      </c>
      <c r="U16" s="68" t="str">
        <f ca="1">IF($N$16&lt;&gt;"", INDIRECT("'Tracker'!"&amp;ADDRESS(MATCH($N$16, Tracker[Anime Name], 0) + 2, 8)), "")</f>
        <v>Doki</v>
      </c>
      <c r="V16" s="96">
        <f>IF('Completed'!$C$15&lt;&gt;"",'Completed'!$C$15,"")</f>
        <v>9</v>
      </c>
      <c r="W16" s="96">
        <f>IF('Completed'!$D$15&lt;&gt;"",'Completed'!$D$15,"")</f>
        <v>9.5</v>
      </c>
      <c r="X16" s="96">
        <f>IF('Completed'!$E$15&lt;&gt;"",'Completed'!$E$15,"")</f>
        <v>6.5</v>
      </c>
      <c r="Y16" s="96">
        <f>IF('Completed'!$F$15&lt;&gt;"",'Completed'!$F$15,"")</f>
        <v>9</v>
      </c>
      <c r="Z16" s="110">
        <f>IF('Completed'!$G$15&lt;&gt;"",'Completed'!$G$15,"")</f>
        <v>9.0150753768844218</v>
      </c>
      <c r="AA16" s="120">
        <f>IF('Completed'!$H$15&lt;&gt;"",'Completed'!$H$15,"")</f>
        <v>8.7153186480578437</v>
      </c>
      <c r="AB16" s="97">
        <f>IF('Completed'!$I$15&lt;&gt;"",'Completed'!$I$15,"")</f>
        <v>41636</v>
      </c>
      <c r="AC16" s="97">
        <f>IF('Completed'!$J$15&lt;&gt;"",'Completed'!$J$15,"")</f>
        <v>41636</v>
      </c>
      <c r="AD16" s="111" t="str">
        <f>IF('Completed'!$K$15&lt;&gt;"",'Completed'!$K$15,"")</f>
        <v>Takenaka Hanbei</v>
      </c>
      <c r="AE16" s="111" t="str">
        <f>IF('Completed'!$L$15&lt;&gt;"",'Completed'!$L$15,"")</f>
        <v>Really enjoyable to watch, especially with knowledge of Japanese history</v>
      </c>
    </row>
    <row r="17" spans="1:31">
      <c r="A17" s="135"/>
      <c r="B17" s="139"/>
      <c r="C17" s="140"/>
      <c r="D17" s="137"/>
      <c r="E17" s="137"/>
      <c r="F17" s="161"/>
      <c r="G17" s="156" t="str">
        <f ca="1">IF($A17&lt;&gt;"", INDIRECT("'Tracker'!"&amp;ADDRESS(MATCH($A17, Tracker[Anime Name], 0) + 2, 4)), "")</f>
        <v/>
      </c>
      <c r="H17" s="149" t="str">
        <f ca="1">IF($A17&lt;&gt;"", INDIRECT("'Tracker'!"&amp;ADDRESS(MATCH($A17, Tracker[Anime Name], 0) + 2, 8)), "")</f>
        <v/>
      </c>
      <c r="I17" s="64" t="s">
        <v>198</v>
      </c>
      <c r="J17" s="61" t="str">
        <f>IF(Backlog!$A$16&lt;&gt;"",Backlog!$A$16,"")</f>
        <v>Fate / Zero</v>
      </c>
      <c r="K17" s="68">
        <f>IF(Backlog!$B$16&lt;&gt;"",Backlog!$B$16,"")</f>
        <v>1</v>
      </c>
      <c r="L17" s="69" t="str">
        <f>IF(Backlog!$C$16&lt;&gt;"",Backlog!$C$16,"")</f>
        <v>DL</v>
      </c>
      <c r="N17" s="61" t="str">
        <f>IF('Completed'!$A$16&lt;&gt;"",'Completed'!$A$16,"")</f>
        <v>Angel Beats!</v>
      </c>
      <c r="O17" s="68">
        <f>IF('Completed'!$B$16&lt;&gt;"",'Completed'!$B$16,"")</f>
        <v>1</v>
      </c>
      <c r="P17" s="68">
        <f ca="1">IF($N$17&lt;&gt;"", INDIRECT("'Tracker'!"&amp;ADDRESS(MATCH($N$17, Tracker[Anime Name], 0) + 2, 3)), "")</f>
        <v>14</v>
      </c>
      <c r="Q17" s="62" t="str">
        <f ca="1">IF($N$17&lt;&gt;"", INDIRECT("'Tracker'!"&amp;ADDRESS(MATCH($N$17, Tracker[Anime Name], 0) + 2, 4)), "")</f>
        <v>A</v>
      </c>
      <c r="R17" s="62" t="str">
        <f ca="1">IF($N$17&lt;&gt;"", INDIRECT("'Tracker'!"&amp;ADDRESS(MATCH($N$17, Tracker[Anime Name], 0) + 2, 5)), "")</f>
        <v>720p</v>
      </c>
      <c r="S17" s="62" t="str">
        <f ca="1">IF($N$17&lt;&gt;"", INDIRECT("'Tracker'!"&amp;ADDRESS(MATCH($N$17, Tracker[Anime Name], 0) + 2, 6)), "")</f>
        <v>BD</v>
      </c>
      <c r="T17" s="62" t="str">
        <f ca="1">IF($N$17&lt;&gt;"", INDIRECT("'Tracker'!"&amp;ADDRESS(MATCH($N$17, Tracker[Anime Name], 0) + 2, 7)), "")</f>
        <v>2010A</v>
      </c>
      <c r="U17" s="68" t="str">
        <f ca="1">IF($N$17&lt;&gt;"", INDIRECT("'Tracker'!"&amp;ADDRESS(MATCH($N$17, Tracker[Anime Name], 0) + 2, 8)), "")</f>
        <v>Doki</v>
      </c>
      <c r="V17" s="96">
        <f>IF('Completed'!$C$16&lt;&gt;"",'Completed'!$C$16,"")</f>
        <v>9</v>
      </c>
      <c r="W17" s="96">
        <f>IF('Completed'!$D$16&lt;&gt;"",'Completed'!$D$16,"")</f>
        <v>9</v>
      </c>
      <c r="X17" s="96">
        <f>IF('Completed'!$E$16&lt;&gt;"",'Completed'!$E$16,"")</f>
        <v>4</v>
      </c>
      <c r="Y17" s="96">
        <f>IF('Completed'!$F$16&lt;&gt;"",'Completed'!$F$16,"")</f>
        <v>9.5</v>
      </c>
      <c r="Z17" s="110">
        <f>IF('Completed'!$G$16&lt;&gt;"",'Completed'!$G$16,"")</f>
        <v>9.011306532663319</v>
      </c>
      <c r="AA17" s="120">
        <f>IF('Completed'!$H$16&lt;&gt;"",'Completed'!$H$16,"")</f>
        <v>8.7102740877753533</v>
      </c>
      <c r="AB17" s="97">
        <f>IF('Completed'!$I$16&lt;&gt;"",'Completed'!$I$16,"")</f>
        <v>41295</v>
      </c>
      <c r="AC17" s="97">
        <f>IF('Completed'!$J$16&lt;&gt;"",'Completed'!$J$16,"")</f>
        <v>41300</v>
      </c>
      <c r="AD17" s="111" t="str">
        <f>IF('Completed'!$K$16&lt;&gt;"",'Completed'!$K$16,"")</f>
        <v>Tachibana Kanade</v>
      </c>
      <c r="AE17" s="111" t="str">
        <f>IF('Completed'!$L$16&lt;&gt;"",'Completed'!$L$16,"")</f>
        <v>Not enough angel, not enough beats</v>
      </c>
    </row>
    <row r="18" spans="1:31">
      <c r="A18" s="135"/>
      <c r="B18" s="141"/>
      <c r="C18" s="140"/>
      <c r="D18" s="140"/>
      <c r="E18" s="140"/>
      <c r="F18" s="162"/>
      <c r="G18" s="156" t="str">
        <f ca="1">IF($A18&lt;&gt;"", INDIRECT("'Tracker'!"&amp;ADDRESS(MATCH($A18, Tracker[Anime Name], 0) + 2, 4)), "")</f>
        <v/>
      </c>
      <c r="H18" s="149" t="str">
        <f ca="1">IF($A18&lt;&gt;"", INDIRECT("'Tracker'!"&amp;ADDRESS(MATCH($A18, Tracker[Anime Name], 0) + 2, 8)), "")</f>
        <v/>
      </c>
      <c r="I18" s="64" t="s">
        <v>198</v>
      </c>
      <c r="J18" s="61" t="str">
        <f>IF(Backlog!$A$17&lt;&gt;"",Backlog!$A$17,"")</f>
        <v>FLCL</v>
      </c>
      <c r="K18" s="68">
        <f>IF(Backlog!$B$17&lt;&gt;"",Backlog!$B$17,"")</f>
        <v>1</v>
      </c>
      <c r="L18" s="69" t="str">
        <f>IF(Backlog!$C$17&lt;&gt;"",Backlog!$C$17,"")</f>
        <v>DL</v>
      </c>
      <c r="N18" s="61" t="str">
        <f>IF('Completed'!$A$17&lt;&gt;"",'Completed'!$A$17,"")</f>
        <v>Sidonia no Kishi</v>
      </c>
      <c r="O18" s="68">
        <f>IF('Completed'!$B$17&lt;&gt;"",'Completed'!$B$17,"")</f>
        <v>1</v>
      </c>
      <c r="P18" s="68">
        <f ca="1">IF($N$18&lt;&gt;"", INDIRECT("'Tracker'!"&amp;ADDRESS(MATCH($N$18, Tracker[Anime Name], 0) + 2, 3)), "")</f>
        <v>12</v>
      </c>
      <c r="Q18" s="62" t="str">
        <f ca="1">IF($N$18&lt;&gt;"", INDIRECT("'Tracker'!"&amp;ADDRESS(MATCH($N$18, Tracker[Anime Name], 0) + 2, 4)), "")</f>
        <v>B</v>
      </c>
      <c r="R18" s="62" t="str">
        <f ca="1">IF($N$18&lt;&gt;"", INDIRECT("'Tracker'!"&amp;ADDRESS(MATCH($N$18, Tracker[Anime Name], 0) + 2, 5)), "")</f>
        <v>720p</v>
      </c>
      <c r="S18" s="62" t="str">
        <f ca="1">IF($N$18&lt;&gt;"", INDIRECT("'Tracker'!"&amp;ADDRESS(MATCH($N$18, Tracker[Anime Name], 0) + 2, 6)), "")</f>
        <v>TV</v>
      </c>
      <c r="T18" s="62" t="str">
        <f ca="1">IF($N$18&lt;&gt;"", INDIRECT("'Tracker'!"&amp;ADDRESS(MATCH($N$18, Tracker[Anime Name], 0) + 2, 7)), "")</f>
        <v>2014A</v>
      </c>
      <c r="U18" s="68" t="str">
        <f ca="1">IF($N$18&lt;&gt;"", INDIRECT("'Tracker'!"&amp;ADDRESS(MATCH($N$18, Tracker[Anime Name], 0) + 2, 8)), "")</f>
        <v>Underwater</v>
      </c>
      <c r="V18" s="96">
        <f>IF('Completed'!$C$17&lt;&gt;"",'Completed'!$C$17,"")</f>
        <v>10</v>
      </c>
      <c r="W18" s="96">
        <f>IF('Completed'!$D$17&lt;&gt;"",'Completed'!$D$17,"")</f>
        <v>9</v>
      </c>
      <c r="X18" s="96">
        <f>IF('Completed'!$E$17&lt;&gt;"",'Completed'!$E$17,"")</f>
        <v>5</v>
      </c>
      <c r="Y18" s="96">
        <f>IF('Completed'!$F$17&lt;&gt;"",'Completed'!$F$17,"")</f>
        <v>9</v>
      </c>
      <c r="Z18" s="110">
        <f>IF('Completed'!$G$17&lt;&gt;"",'Completed'!$G$17,"")</f>
        <v>8.9924623115577891</v>
      </c>
      <c r="AA18" s="120">
        <f>IF('Completed'!$H$17&lt;&gt;"",'Completed'!$H$17,"")</f>
        <v>8.6850512863628726</v>
      </c>
      <c r="AB18" s="97">
        <f>IF('Completed'!$I$17&lt;&gt;"",'Completed'!$I$17,"")</f>
        <v>41796</v>
      </c>
      <c r="AC18" s="97">
        <f>IF('Completed'!$J$17&lt;&gt;"",'Completed'!$J$17,"")</f>
        <v>41816</v>
      </c>
      <c r="AD18" s="111" t="s">
        <v>644</v>
      </c>
      <c r="AE18" s="111" t="str">
        <f>IF('Completed'!$L$17&lt;&gt;"",'Completed'!$L$17,"")</f>
        <v/>
      </c>
    </row>
    <row r="19" spans="1:31">
      <c r="A19" s="135"/>
      <c r="B19" s="141"/>
      <c r="C19" s="140"/>
      <c r="D19" s="140"/>
      <c r="E19" s="140"/>
      <c r="F19" s="162"/>
      <c r="G19" s="156" t="str">
        <f ca="1">IF($A19&lt;&gt;"", INDIRECT("'Tracker'!"&amp;ADDRESS(MATCH($A19, Tracker[Anime Name], 0) + 2, 4)), "")</f>
        <v/>
      </c>
      <c r="H19" s="149" t="str">
        <f ca="1">IF($A19&lt;&gt;"", INDIRECT("'Tracker'!"&amp;ADDRESS(MATCH($A19, Tracker[Anime Name], 0) + 2, 8)), "")</f>
        <v/>
      </c>
      <c r="I19" s="64" t="s">
        <v>198</v>
      </c>
      <c r="J19" s="61" t="str">
        <f>IF(Backlog!$A$18&lt;&gt;"",Backlog!$A$18,"")</f>
        <v>Fullmetal Alchemist: Brotherhood</v>
      </c>
      <c r="K19" s="68">
        <f>IF(Backlog!$B$18&lt;&gt;"",Backlog!$B$18,"")</f>
        <v>2</v>
      </c>
      <c r="L19" s="69" t="str">
        <f>IF(Backlog!$C$18&lt;&gt;"",Backlog!$C$18,"")</f>
        <v>DL</v>
      </c>
      <c r="N19" s="61" t="str">
        <f>IF('Completed'!$A$18&lt;&gt;"",'Completed'!$A$18,"")</f>
        <v>White Album 2</v>
      </c>
      <c r="O19" s="68">
        <f>IF('Completed'!$B$18&lt;&gt;"",'Completed'!$B$18,"")</f>
        <v>2</v>
      </c>
      <c r="P19" s="68">
        <f ca="1">IF($N$19&lt;&gt;"", INDIRECT("'Tracker'!"&amp;ADDRESS(MATCH($N$19, Tracker[Anime Name], 0) + 2, 3)), "")</f>
        <v>12</v>
      </c>
      <c r="Q19" s="62" t="str">
        <f ca="1">IF($N$19&lt;&gt;"", INDIRECT("'Tracker'!"&amp;ADDRESS(MATCH($N$19, Tracker[Anime Name], 0) + 2, 4)), "")</f>
        <v>B</v>
      </c>
      <c r="R19" s="62" t="str">
        <f ca="1">IF($N$19&lt;&gt;"", INDIRECT("'Tracker'!"&amp;ADDRESS(MATCH($N$19, Tracker[Anime Name], 0) + 2, 5)), "")</f>
        <v>720p</v>
      </c>
      <c r="S19" s="62" t="str">
        <f ca="1">IF($N$19&lt;&gt;"", INDIRECT("'Tracker'!"&amp;ADDRESS(MATCH($N$19, Tracker[Anime Name], 0) + 2, 6)), "")</f>
        <v>TV</v>
      </c>
      <c r="T19" s="62" t="str">
        <f ca="1">IF($N$19&lt;&gt;"", INDIRECT("'Tracker'!"&amp;ADDRESS(MATCH($N$19, Tracker[Anime Name], 0) + 2, 7)), "")</f>
        <v>2013C</v>
      </c>
      <c r="U19" s="68" t="str">
        <f ca="1">IF($N$19&lt;&gt;"", INDIRECT("'Tracker'!"&amp;ADDRESS(MATCH($N$19, Tracker[Anime Name], 0) + 2, 8)), "")</f>
        <v>UTW</v>
      </c>
      <c r="V19" s="96">
        <f>IF('Completed'!$C$18&lt;&gt;"",'Completed'!$C$18,"")</f>
        <v>9</v>
      </c>
      <c r="W19" s="96">
        <f>IF('Completed'!$D$18&lt;&gt;"",'Completed'!$D$18,"")</f>
        <v>9.5</v>
      </c>
      <c r="X19" s="96">
        <f>IF('Completed'!$E$18&lt;&gt;"",'Completed'!$E$18,"")</f>
        <v>6</v>
      </c>
      <c r="Y19" s="96">
        <f>IF('Completed'!$F$18&lt;&gt;"",'Completed'!$F$18,"")</f>
        <v>9</v>
      </c>
      <c r="Z19" s="110">
        <f>IF('Completed'!$G$18&lt;&gt;"",'Completed'!$G$18,"")</f>
        <v>8.991206030150753</v>
      </c>
      <c r="AA19" s="120">
        <f>IF('Completed'!$H$18&lt;&gt;"",'Completed'!$H$18,"")</f>
        <v>8.6833697662687044</v>
      </c>
      <c r="AB19" s="97">
        <f>IF('Completed'!$I$18&lt;&gt;"",'Completed'!$I$18,"")</f>
        <v>41553</v>
      </c>
      <c r="AC19" s="97">
        <f>IF('Completed'!$J$18&lt;&gt;"",'Completed'!$J$18,"")</f>
        <v>41632</v>
      </c>
      <c r="AD19" s="111" t="str">
        <f>IF('Completed'!$K$18&lt;&gt;"",'Completed'!$K$18,"")</f>
        <v>Touma Kazusa</v>
      </c>
      <c r="AE19" s="111" t="str">
        <f>IF('Completed'!$L$18&lt;&gt;"",'Completed'!$L$18,"")</f>
        <v/>
      </c>
    </row>
    <row r="20" spans="1:31">
      <c r="A20" s="135"/>
      <c r="B20" s="141"/>
      <c r="C20" s="140"/>
      <c r="D20" s="140"/>
      <c r="E20" s="140"/>
      <c r="F20" s="162"/>
      <c r="G20" s="156" t="str">
        <f ca="1">IF($A20&lt;&gt;"", INDIRECT("'Tracker'!"&amp;ADDRESS(MATCH($A20, Tracker[Anime Name], 0) + 2, 4)), "")</f>
        <v/>
      </c>
      <c r="H20" s="149" t="str">
        <f ca="1">IF($A20&lt;&gt;"", INDIRECT("'Tracker'!"&amp;ADDRESS(MATCH($A20, Tracker[Anime Name], 0) + 2, 8)), "")</f>
        <v/>
      </c>
      <c r="I20" s="64" t="s">
        <v>198</v>
      </c>
      <c r="J20" s="61" t="str">
        <f>IF(Backlog!$A$19&lt;&gt;"",Backlog!$A$19,"")</f>
        <v>Girls und Panzer</v>
      </c>
      <c r="K20" s="68">
        <f>IF(Backlog!$B$19&lt;&gt;"",Backlog!$B$19,"")</f>
        <v>1</v>
      </c>
      <c r="L20" s="69" t="str">
        <f>IF(Backlog!$C$19&lt;&gt;"",Backlog!$C$19,"")</f>
        <v>DL</v>
      </c>
      <c r="N20" s="61" t="str">
        <f>IF('Completed'!$A$19&lt;&gt;"",'Completed'!$A$19,"")</f>
        <v>Shakugan no Shana</v>
      </c>
      <c r="O20" s="68">
        <f>IF('Completed'!$B$19&lt;&gt;"",'Completed'!$B$19,"")</f>
        <v>1</v>
      </c>
      <c r="P20" s="68">
        <f ca="1">IF($N$20&lt;&gt;"", INDIRECT("'Tracker'!"&amp;ADDRESS(MATCH($N$20, Tracker[Anime Name], 0) + 2, 3)), "")</f>
        <v>24</v>
      </c>
      <c r="Q20" s="62" t="str">
        <f ca="1">IF($N$20&lt;&gt;"", INDIRECT("'Tracker'!"&amp;ADDRESS(MATCH($N$20, Tracker[Anime Name], 0) + 2, 4)), "")</f>
        <v>A</v>
      </c>
      <c r="R20" s="62" t="str">
        <f ca="1">IF($N$20&lt;&gt;"", INDIRECT("'Tracker'!"&amp;ADDRESS(MATCH($N$20, Tracker[Anime Name], 0) + 2, 5)), "")</f>
        <v>720p</v>
      </c>
      <c r="S20" s="62" t="str">
        <f ca="1">IF($N$20&lt;&gt;"", INDIRECT("'Tracker'!"&amp;ADDRESS(MATCH($N$20, Tracker[Anime Name], 0) + 2, 6)), "")</f>
        <v>BD</v>
      </c>
      <c r="T20" s="62" t="str">
        <f ca="1">IF($N$20&lt;&gt;"", INDIRECT("'Tracker'!"&amp;ADDRESS(MATCH($N$20, Tracker[Anime Name], 0) + 2, 7)), "")</f>
        <v>2005C</v>
      </c>
      <c r="U20" s="68" t="str">
        <f ca="1">IF($N$20&lt;&gt;"", INDIRECT("'Tracker'!"&amp;ADDRESS(MATCH($N$20, Tracker[Anime Name], 0) + 2, 8)), "")</f>
        <v>Elysium</v>
      </c>
      <c r="V20" s="96">
        <f>IF('Completed'!$C$19&lt;&gt;"",'Completed'!$C$19,"")</f>
        <v>9.5</v>
      </c>
      <c r="W20" s="96">
        <f>IF('Completed'!$D$19&lt;&gt;"",'Completed'!$D$19,"")</f>
        <v>9</v>
      </c>
      <c r="X20" s="96">
        <f>IF('Completed'!$E$19&lt;&gt;"",'Completed'!$E$19,"")</f>
        <v>6.5</v>
      </c>
      <c r="Y20" s="96">
        <f>IF('Completed'!$F$19&lt;&gt;"",'Completed'!$F$19,"")</f>
        <v>9</v>
      </c>
      <c r="Z20" s="110">
        <f>IF('Completed'!$G$19&lt;&gt;"",'Completed'!$G$19,"")</f>
        <v>8.9723618090452266</v>
      </c>
      <c r="AA20" s="120">
        <f>IF('Completed'!$H$19&lt;&gt;"",'Completed'!$H$19,"")</f>
        <v>8.6581469648562308</v>
      </c>
      <c r="AB20" s="97">
        <f>IF('Completed'!$I$19&lt;&gt;"",'Completed'!$I$19,"")</f>
        <v>41369</v>
      </c>
      <c r="AC20" s="97">
        <f>IF('Completed'!$J$19&lt;&gt;"",'Completed'!$J$19,"")</f>
        <v>41389</v>
      </c>
      <c r="AD20" s="111" t="str">
        <f>IF('Completed'!$K$19&lt;&gt;"",'Completed'!$K$19,"")</f>
        <v>Shana</v>
      </c>
      <c r="AE20" s="111" t="str">
        <f>IF('Completed'!$L$19&lt;&gt;"",'Completed'!$L$19,"")</f>
        <v>Shana &gt; Everyone else</v>
      </c>
    </row>
    <row r="21" spans="1:31">
      <c r="A21" s="135"/>
      <c r="B21" s="141"/>
      <c r="C21" s="140"/>
      <c r="D21" s="140"/>
      <c r="E21" s="140"/>
      <c r="F21" s="162"/>
      <c r="G21" s="156" t="str">
        <f ca="1">IF($A21&lt;&gt;"", INDIRECT("'Tracker'!"&amp;ADDRESS(MATCH($A21, Tracker[Anime Name], 0) + 2, 4)), "")</f>
        <v/>
      </c>
      <c r="H21" s="149" t="str">
        <f ca="1">IF($A21&lt;&gt;"", INDIRECT("'Tracker'!"&amp;ADDRESS(MATCH($A21, Tracker[Anime Name], 0) + 2, 8)), "")</f>
        <v/>
      </c>
      <c r="I21" s="64" t="s">
        <v>198</v>
      </c>
      <c r="J21" s="61" t="str">
        <f>IF(Backlog!$A$20&lt;&gt;"",Backlog!$A$20,"")</f>
        <v>GJ-bu</v>
      </c>
      <c r="K21" s="68">
        <f>IF(Backlog!$B$20&lt;&gt;"",Backlog!$B$20,"")</f>
        <v>1</v>
      </c>
      <c r="L21" s="69" t="str">
        <f>IF(Backlog!$C$20&lt;&gt;"",Backlog!$C$20,"")</f>
        <v>DL</v>
      </c>
      <c r="N21" s="61" t="str">
        <f>IF('Completed'!$A$20&lt;&gt;"",'Completed'!$A$20,"")</f>
        <v>Kill la Kill</v>
      </c>
      <c r="O21" s="68">
        <f>IF('Completed'!$B$20&lt;&gt;"",'Completed'!$B$20,"")</f>
        <v>1</v>
      </c>
      <c r="P21" s="68">
        <f ca="1">IF($N$21&lt;&gt;"", INDIRECT("'Tracker'!"&amp;ADDRESS(MATCH($N$21, Tracker[Anime Name], 0) + 2, 3)), "")</f>
        <v>24</v>
      </c>
      <c r="Q21" s="62" t="str">
        <f ca="1">IF($N$21&lt;&gt;"", INDIRECT("'Tracker'!"&amp;ADDRESS(MATCH($N$21, Tracker[Anime Name], 0) + 2, 4)), "")</f>
        <v>B</v>
      </c>
      <c r="R21" s="62" t="str">
        <f ca="1">IF($N$21&lt;&gt;"", INDIRECT("'Tracker'!"&amp;ADDRESS(MATCH($N$21, Tracker[Anime Name], 0) + 2, 5)), "")</f>
        <v>720p</v>
      </c>
      <c r="S21" s="62" t="str">
        <f ca="1">IF($N$21&lt;&gt;"", INDIRECT("'Tracker'!"&amp;ADDRESS(MATCH($N$21, Tracker[Anime Name], 0) + 2, 6)), "")</f>
        <v>TV</v>
      </c>
      <c r="T21" s="62" t="str">
        <f ca="1">IF($N$21&lt;&gt;"", INDIRECT("'Tracker'!"&amp;ADDRESS(MATCH($N$21, Tracker[Anime Name], 0) + 2, 7)), "")</f>
        <v>2013C</v>
      </c>
      <c r="U21" s="68" t="str">
        <f ca="1">IF($N$21&lt;&gt;"", INDIRECT("'Tracker'!"&amp;ADDRESS(MATCH($N$21, Tracker[Anime Name], 0) + 2, 8)), "")</f>
        <v>HorribleSubs</v>
      </c>
      <c r="V21" s="96">
        <f>IF('Completed'!$C$20&lt;&gt;"",'Completed'!$C$20,"")</f>
        <v>9</v>
      </c>
      <c r="W21" s="96">
        <f>IF('Completed'!$D$20&lt;&gt;"",'Completed'!$D$20,"")</f>
        <v>8.5</v>
      </c>
      <c r="X21" s="96">
        <f>IF('Completed'!$E$20&lt;&gt;"",'Completed'!$E$20,"")</f>
        <v>5</v>
      </c>
      <c r="Y21" s="96">
        <f>IF('Completed'!$F$20&lt;&gt;"",'Completed'!$F$20,"")</f>
        <v>9.5</v>
      </c>
      <c r="Z21" s="110">
        <f>IF('Completed'!$G$20&lt;&gt;"",'Completed'!$G$20,"")</f>
        <v>8.9246231155778908</v>
      </c>
      <c r="AA21" s="120">
        <f>IF('Completed'!$H$20&lt;&gt;"",'Completed'!$H$20,"")</f>
        <v>8.5942492012779557</v>
      </c>
      <c r="AB21" s="97">
        <f>IF('Completed'!$I$20&lt;&gt;"",'Completed'!$I$20,"")</f>
        <v>41555</v>
      </c>
      <c r="AC21" s="97">
        <f>IF('Completed'!$J$20&lt;&gt;"",'Completed'!$J$20,"")</f>
        <v>41726</v>
      </c>
      <c r="AD21" s="111" t="str">
        <f>IF('Completed'!$K$20&lt;&gt;"",'Completed'!$K$20,"")</f>
        <v>Jakuzure Nonon</v>
      </c>
      <c r="AE21" s="111" t="str">
        <f>IF('Completed'!$L$20&lt;&gt;"",'Completed'!$L$20,"")</f>
        <v>DON'T LOSE YOUR WAAAAAAYYYY</v>
      </c>
    </row>
    <row r="22" spans="1:31">
      <c r="A22" s="135"/>
      <c r="B22" s="141"/>
      <c r="C22" s="140"/>
      <c r="D22" s="140"/>
      <c r="E22" s="140"/>
      <c r="F22" s="162"/>
      <c r="G22" s="156" t="str">
        <f ca="1">IF($A22&lt;&gt;"", INDIRECT("'Tracker'!"&amp;ADDRESS(MATCH($A22, Tracker[Anime Name], 0) + 2, 4)), "")</f>
        <v/>
      </c>
      <c r="H22" s="149" t="str">
        <f ca="1">IF($A22&lt;&gt;"", INDIRECT("'Tracker'!"&amp;ADDRESS(MATCH($A22, Tracker[Anime Name], 0) + 2, 8)), "")</f>
        <v/>
      </c>
      <c r="I22" s="64" t="s">
        <v>198</v>
      </c>
      <c r="J22" s="61" t="str">
        <f>IF(Backlog!$A$21&lt;&gt;"",Backlog!$A$21,"")</f>
        <v>Hetalia Axis Powers</v>
      </c>
      <c r="K22" s="68">
        <f>IF(Backlog!$B$21&lt;&gt;"",Backlog!$B$21,"")</f>
        <v>1</v>
      </c>
      <c r="L22" s="69" t="str">
        <f>IF(Backlog!$C$21&lt;&gt;"",Backlog!$C$21,"")</f>
        <v>DL</v>
      </c>
      <c r="N22" s="61" t="str">
        <f>IF('Completed'!$A$21&lt;&gt;"",'Completed'!$A$21,"")</f>
        <v>Chihayafuru</v>
      </c>
      <c r="O22" s="68">
        <f>IF('Completed'!$B$21&lt;&gt;"",'Completed'!$B$21,"")</f>
        <v>1</v>
      </c>
      <c r="P22" s="68">
        <f ca="1">IF($N$22&lt;&gt;"", INDIRECT("'Tracker'!"&amp;ADDRESS(MATCH($N$22, Tracker[Anime Name], 0) + 2, 3)), "")</f>
        <v>25</v>
      </c>
      <c r="Q22" s="62" t="str">
        <f ca="1">IF($N$22&lt;&gt;"", INDIRECT("'Tracker'!"&amp;ADDRESS(MATCH($N$22, Tracker[Anime Name], 0) + 2, 4)), "")</f>
        <v>A</v>
      </c>
      <c r="R22" s="62" t="str">
        <f ca="1">IF($N$22&lt;&gt;"", INDIRECT("'Tracker'!"&amp;ADDRESS(MATCH($N$22, Tracker[Anime Name], 0) + 2, 5)), "")</f>
        <v>720p</v>
      </c>
      <c r="S22" s="62" t="str">
        <f ca="1">IF($N$22&lt;&gt;"", INDIRECT("'Tracker'!"&amp;ADDRESS(MATCH($N$22, Tracker[Anime Name], 0) + 2, 6)), "")</f>
        <v>TV</v>
      </c>
      <c r="T22" s="62" t="str">
        <f ca="1">IF($N$22&lt;&gt;"", INDIRECT("'Tracker'!"&amp;ADDRESS(MATCH($N$22, Tracker[Anime Name], 0) + 2, 7)), "")</f>
        <v>2011C</v>
      </c>
      <c r="U22" s="68" t="str">
        <f ca="1">IF($N$22&lt;&gt;"", INDIRECT("'Tracker'!"&amp;ADDRESS(MATCH($N$22, Tracker[Anime Name], 0) + 2, 8)), "")</f>
        <v>HorribleSubs</v>
      </c>
      <c r="V22" s="96">
        <f>IF('Completed'!$C$21&lt;&gt;"",'Completed'!$C$21,"")</f>
        <v>9.5</v>
      </c>
      <c r="W22" s="96">
        <f>IF('Completed'!$D$21&lt;&gt;"",'Completed'!$D$21,"")</f>
        <v>8.5</v>
      </c>
      <c r="X22" s="96">
        <f>IF('Completed'!$E$21&lt;&gt;"",'Completed'!$E$21,"")</f>
        <v>3</v>
      </c>
      <c r="Y22" s="96">
        <f>IF('Completed'!$F$21&lt;&gt;"",'Completed'!$F$21,"")</f>
        <v>9.5</v>
      </c>
      <c r="Z22" s="110">
        <f>IF('Completed'!$G$21&lt;&gt;"",'Completed'!$G$21,"")</f>
        <v>8.9208542713567844</v>
      </c>
      <c r="AA22" s="120">
        <f>IF('Completed'!$H$21&lt;&gt;"",'Completed'!$H$21,"")</f>
        <v>8.5892046409954599</v>
      </c>
      <c r="AB22" s="97">
        <f>IF('Completed'!$I$21&lt;&gt;"",'Completed'!$I$21,"")</f>
        <v>41477</v>
      </c>
      <c r="AC22" s="97">
        <f>IF('Completed'!$J$21&lt;&gt;"",'Completed'!$J$21,"")</f>
        <v>41479</v>
      </c>
      <c r="AD22" s="111" t="str">
        <f>IF('Completed'!$K$21&lt;&gt;"",'Completed'!$K$21,"")</f>
        <v>Ayase Chihaya</v>
      </c>
      <c r="AE22" s="111" t="str">
        <f>IF('Completed'!$L$21&lt;&gt;"",'Completed'!$L$21,"")</f>
        <v/>
      </c>
    </row>
    <row r="23" spans="1:31">
      <c r="A23" s="135"/>
      <c r="B23" s="141"/>
      <c r="C23" s="140"/>
      <c r="D23" s="140"/>
      <c r="E23" s="140"/>
      <c r="F23" s="163"/>
      <c r="G23" s="157" t="str">
        <f ca="1">IF($A23&lt;&gt;"", INDIRECT("'Tracker'!"&amp;ADDRESS(MATCH($A23, Tracker[Anime Name], 0) + 2, 4)), "")</f>
        <v/>
      </c>
      <c r="H23" s="149" t="str">
        <f ca="1">IF($A23&lt;&gt;"", INDIRECT("'Tracker'!"&amp;ADDRESS(MATCH($A23, Tracker[Anime Name], 0) + 2, 8)), "")</f>
        <v/>
      </c>
      <c r="I23" s="64" t="s">
        <v>198</v>
      </c>
      <c r="J23" s="61" t="str">
        <f>IF(Backlog!$A$22&lt;&gt;"",Backlog!$A$22,"")</f>
        <v>Hidamari Sketch</v>
      </c>
      <c r="K23" s="68">
        <f>IF(Backlog!$B$22&lt;&gt;"",Backlog!$B$22,"")</f>
        <v>1</v>
      </c>
      <c r="L23" s="69" t="str">
        <f>IF(Backlog!$C$22&lt;&gt;"",Backlog!$C$22,"")</f>
        <v>DL</v>
      </c>
      <c r="N23" s="61" t="str">
        <f>IF('Completed'!$A$22&lt;&gt;"",'Completed'!$A$22,"")</f>
        <v>Ping Pong the Animation</v>
      </c>
      <c r="O23" s="68">
        <f>IF('Completed'!$B$22&lt;&gt;"",'Completed'!$B$22,"")</f>
        <v>1</v>
      </c>
      <c r="P23" s="68">
        <f ca="1">IF($N$23&lt;&gt;"", INDIRECT("'Tracker'!"&amp;ADDRESS(MATCH($N$23, Tracker[Anime Name], 0) + 2, 3)), "")</f>
        <v>11</v>
      </c>
      <c r="Q23" s="62" t="str">
        <f ca="1">IF($N$23&lt;&gt;"", INDIRECT("'Tracker'!"&amp;ADDRESS(MATCH($N$23, Tracker[Anime Name], 0) + 2, 4)), "")</f>
        <v>B</v>
      </c>
      <c r="R23" s="62" t="str">
        <f ca="1">IF($N$23&lt;&gt;"", INDIRECT("'Tracker'!"&amp;ADDRESS(MATCH($N$23, Tracker[Anime Name], 0) + 2, 5)), "")</f>
        <v>720p</v>
      </c>
      <c r="S23" s="62" t="str">
        <f ca="1">IF($N$23&lt;&gt;"", INDIRECT("'Tracker'!"&amp;ADDRESS(MATCH($N$23, Tracker[Anime Name], 0) + 2, 6)), "")</f>
        <v>TV</v>
      </c>
      <c r="T23" s="62" t="str">
        <f ca="1">IF($N$23&lt;&gt;"", INDIRECT("'Tracker'!"&amp;ADDRESS(MATCH($N$23, Tracker[Anime Name], 0) + 2, 7)), "")</f>
        <v>2014A</v>
      </c>
      <c r="U23" s="68" t="str">
        <f ca="1">IF($N$23&lt;&gt;"", INDIRECT("'Tracker'!"&amp;ADDRESS(MATCH($N$23, Tracker[Anime Name], 0) + 2, 8)), "")</f>
        <v>WhyNot</v>
      </c>
      <c r="V23" s="96">
        <f>IF('Completed'!$C$22&lt;&gt;"",'Completed'!$C$22,"")</f>
        <v>9.5</v>
      </c>
      <c r="W23" s="96">
        <f>IF('Completed'!$D$22&lt;&gt;"",'Completed'!$D$22,"")</f>
        <v>8.5</v>
      </c>
      <c r="X23" s="96">
        <f>IF('Completed'!$E$22&lt;&gt;"",'Completed'!$E$22,"")</f>
        <v>3</v>
      </c>
      <c r="Y23" s="96">
        <f>IF('Completed'!$F$22&lt;&gt;"",'Completed'!$F$22,"")</f>
        <v>9.5</v>
      </c>
      <c r="Z23" s="110">
        <f>IF('Completed'!$G$22&lt;&gt;"",'Completed'!$G$22,"")</f>
        <v>8.9208542713567844</v>
      </c>
      <c r="AA23" s="120">
        <f>IF('Completed'!$H$22&lt;&gt;"",'Completed'!$H$22,"")</f>
        <v>8.5892046409954599</v>
      </c>
      <c r="AB23" s="97">
        <f>IF('Completed'!$I$22&lt;&gt;"",'Completed'!$I$22,"")</f>
        <v>41750</v>
      </c>
      <c r="AC23" s="97">
        <f>IF('Completed'!$J$22&lt;&gt;"",'Completed'!$J$22,"")</f>
        <v>41817</v>
      </c>
      <c r="AD23" s="111" t="str">
        <f>IF('Completed'!$K$22&lt;&gt;"",'Completed'!$K$22,"")</f>
        <v>--</v>
      </c>
      <c r="AE23" s="111" t="str">
        <f>IF('Completed'!$L$22&lt;&gt;"",'Completed'!$L$22,"")</f>
        <v>Hypest ping pong I've ever watched</v>
      </c>
    </row>
    <row r="24" spans="1:31">
      <c r="A24" s="150" t="s">
        <v>536</v>
      </c>
      <c r="B24" s="151">
        <f>SUMIF(B4:B23, "--", E4:E23) - SUMIF(B4:B23, "--", D4:D23)</f>
        <v>35</v>
      </c>
      <c r="C24" s="200" t="s">
        <v>535</v>
      </c>
      <c r="D24" s="201"/>
      <c r="E24" s="201"/>
      <c r="F24" s="201"/>
      <c r="G24" s="202"/>
      <c r="H24" s="152">
        <f>B24*22/60</f>
        <v>12.833333333333334</v>
      </c>
      <c r="J24" s="61" t="str">
        <f>IF(Backlog!$A$23&lt;&gt;"",Backlog!$A$23,"")</f>
        <v>Hidan no Aria</v>
      </c>
      <c r="K24" s="68">
        <f>IF(Backlog!$B$23&lt;&gt;"",Backlog!$B$23,"")</f>
        <v>1</v>
      </c>
      <c r="L24" s="69" t="str">
        <f>IF(Backlog!$C$23&lt;&gt;"",Backlog!$C$23,"")</f>
        <v>DL</v>
      </c>
      <c r="N24" s="61" t="str">
        <f>IF('Completed'!$A$23&lt;&gt;"",'Completed'!$A$23,"")</f>
        <v>No Game No Life</v>
      </c>
      <c r="O24" s="68">
        <f>IF('Completed'!$B$23&lt;&gt;"",'Completed'!$B$23,"")</f>
        <v>1</v>
      </c>
      <c r="P24" s="68">
        <f ca="1">IF($N$24&lt;&gt;"", INDIRECT("'Tracker'!"&amp;ADDRESS(MATCH($N$24, Tracker[Anime Name], 0) + 2, 3)), "")</f>
        <v>12</v>
      </c>
      <c r="Q24" s="62" t="str">
        <f ca="1">IF($N$24&lt;&gt;"", INDIRECT("'Tracker'!"&amp;ADDRESS(MATCH($N$24, Tracker[Anime Name], 0) + 2, 4)), "")</f>
        <v>B</v>
      </c>
      <c r="R24" s="62" t="str">
        <f ca="1">IF($N$24&lt;&gt;"", INDIRECT("'Tracker'!"&amp;ADDRESS(MATCH($N$24, Tracker[Anime Name], 0) + 2, 5)), "")</f>
        <v>720p</v>
      </c>
      <c r="S24" s="62" t="str">
        <f ca="1">IF($N$24&lt;&gt;"", INDIRECT("'Tracker'!"&amp;ADDRESS(MATCH($N$24, Tracker[Anime Name], 0) + 2, 6)), "")</f>
        <v>TV</v>
      </c>
      <c r="T24" s="62" t="str">
        <f ca="1">IF($N$24&lt;&gt;"", INDIRECT("'Tracker'!"&amp;ADDRESS(MATCH($N$24, Tracker[Anime Name], 0) + 2, 7)), "")</f>
        <v>2014A</v>
      </c>
      <c r="U24" s="68" t="str">
        <f ca="1">IF($N$24&lt;&gt;"", INDIRECT("'Tracker'!"&amp;ADDRESS(MATCH($N$24, Tracker[Anime Name], 0) + 2, 8)), "")</f>
        <v>Underwater, FFF</v>
      </c>
      <c r="V24" s="96">
        <f>IF('Completed'!$C$23&lt;&gt;"",'Completed'!$C$23,"")</f>
        <v>9.5</v>
      </c>
      <c r="W24" s="96">
        <f>IF('Completed'!$D$23&lt;&gt;"",'Completed'!$D$23,"")</f>
        <v>8.5</v>
      </c>
      <c r="X24" s="96">
        <f>IF('Completed'!$E$23&lt;&gt;"",'Completed'!$E$23,"")</f>
        <v>7.5</v>
      </c>
      <c r="Y24" s="96">
        <f>IF('Completed'!$F$23&lt;&gt;"",'Completed'!$F$23,"")</f>
        <v>9</v>
      </c>
      <c r="Z24" s="110">
        <f>IF('Completed'!$G$23&lt;&gt;"",'Completed'!$G$23,"")</f>
        <v>8.8856783919598001</v>
      </c>
      <c r="AA24" s="120">
        <f>IF('Completed'!$H$23&lt;&gt;"",'Completed'!$H$23,"")</f>
        <v>8.5421220783588367</v>
      </c>
      <c r="AB24" s="97">
        <f>IF('Completed'!$I$23&lt;&gt;"",'Completed'!$I$23,"")</f>
        <v>41750</v>
      </c>
      <c r="AC24" s="97">
        <f>IF('Completed'!$J$23&lt;&gt;"",'Completed'!$J$23,"")</f>
        <v>41815</v>
      </c>
      <c r="AD24" s="111" t="str">
        <f>IF('Completed'!$K$23&lt;&gt;"",'Completed'!$K$23,"")</f>
        <v>Shiro</v>
      </c>
      <c r="AE24" s="111" t="str">
        <f>IF('Completed'!$L$23&lt;&gt;"",'Completed'!$L$23,"")</f>
        <v/>
      </c>
    </row>
    <row r="25" spans="1:31">
      <c r="A25" s="153" t="s">
        <v>537</v>
      </c>
      <c r="B25" s="154">
        <f>SUM(E4:E23)-SUM(D4:D23)-B24</f>
        <v>2</v>
      </c>
      <c r="C25" s="209" t="s">
        <v>535</v>
      </c>
      <c r="D25" s="210"/>
      <c r="E25" s="210"/>
      <c r="F25" s="210"/>
      <c r="G25" s="211"/>
      <c r="H25" s="155">
        <f>B25*22/60</f>
        <v>0.73333333333333328</v>
      </c>
      <c r="J25" s="61" t="str">
        <f>IF(Backlog!$A$24&lt;&gt;"",Backlog!$A$24,"")</f>
        <v>Honey and Clover</v>
      </c>
      <c r="K25" s="68">
        <f>IF(Backlog!$B$24&lt;&gt;"",Backlog!$B$24,"")</f>
        <v>1</v>
      </c>
      <c r="L25" s="69" t="str">
        <f>IF(Backlog!$C$24&lt;&gt;"",Backlog!$C$24,"")</f>
        <v>DL</v>
      </c>
      <c r="N25" s="61" t="str">
        <f>IF('Completed'!$A$24&lt;&gt;"",'Completed'!$A$24,"")</f>
        <v>Toradora!</v>
      </c>
      <c r="O25" s="68">
        <f>IF('Completed'!$B$24&lt;&gt;"",'Completed'!$B$24,"")</f>
        <v>1</v>
      </c>
      <c r="P25" s="68">
        <f ca="1">IF($N$25&lt;&gt;"", INDIRECT("'Tracker'!"&amp;ADDRESS(MATCH($N$25, Tracker[Anime Name], 0) + 2, 3)), "")</f>
        <v>25</v>
      </c>
      <c r="Q25" s="62" t="str">
        <f ca="1">IF($N$25&lt;&gt;"", INDIRECT("'Tracker'!"&amp;ADDRESS(MATCH($N$25, Tracker[Anime Name], 0) + 2, 4)), "")</f>
        <v>A</v>
      </c>
      <c r="R25" s="62" t="str">
        <f ca="1">IF($N$25&lt;&gt;"", INDIRECT("'Tracker'!"&amp;ADDRESS(MATCH($N$25, Tracker[Anime Name], 0) + 2, 5)), "")</f>
        <v>720p</v>
      </c>
      <c r="S25" s="62" t="str">
        <f ca="1">IF($N$25&lt;&gt;"", INDIRECT("'Tracker'!"&amp;ADDRESS(MATCH($N$25, Tracker[Anime Name], 0) + 2, 6)), "")</f>
        <v>BD</v>
      </c>
      <c r="T25" s="62" t="str">
        <f ca="1">IF($N$25&lt;&gt;"", INDIRECT("'Tracker'!"&amp;ADDRESS(MATCH($N$25, Tracker[Anime Name], 0) + 2, 7)), "")</f>
        <v>2008C</v>
      </c>
      <c r="U25" s="68" t="str">
        <f ca="1">IF($N$25&lt;&gt;"", INDIRECT("'Tracker'!"&amp;ADDRESS(MATCH($N$25, Tracker[Anime Name], 0) + 2, 8)), "")</f>
        <v>Coalgirls, gg</v>
      </c>
      <c r="V25" s="96">
        <f>IF('Completed'!$C$24&lt;&gt;"",'Completed'!$C$24,"")</f>
        <v>9</v>
      </c>
      <c r="W25" s="96">
        <f>IF('Completed'!$D$24&lt;&gt;"",'Completed'!$D$24,"")</f>
        <v>9</v>
      </c>
      <c r="X25" s="96">
        <f>IF('Completed'!$E$24&lt;&gt;"",'Completed'!$E$24,"")</f>
        <v>5.5</v>
      </c>
      <c r="Y25" s="96">
        <f>IF('Completed'!$F$24&lt;&gt;"",'Completed'!$F$24,"")</f>
        <v>9</v>
      </c>
      <c r="Z25" s="110">
        <f>IF('Completed'!$G$24&lt;&gt;"",'Completed'!$G$24,"")</f>
        <v>8.8329145728643219</v>
      </c>
      <c r="AA25" s="120">
        <f>IF('Completed'!$H$24&lt;&gt;"",'Completed'!$H$24,"")</f>
        <v>8.4714982344039012</v>
      </c>
      <c r="AB25" s="97">
        <f>IF('Completed'!$I$24&lt;&gt;"",'Completed'!$I$24,"")</f>
        <v>41280</v>
      </c>
      <c r="AC25" s="97">
        <f>IF('Completed'!$J$24&lt;&gt;"",'Completed'!$J$24,"")</f>
        <v>41281</v>
      </c>
      <c r="AD25" s="111" t="str">
        <f>IF('Completed'!$K$24&lt;&gt;"",'Completed'!$K$24,"")</f>
        <v>Aisaka Taiga</v>
      </c>
      <c r="AE25" s="111" t="str">
        <f>IF('Completed'!$L$24&lt;&gt;"",'Completed'!$L$24,"")</f>
        <v/>
      </c>
    </row>
    <row r="26" spans="1:31">
      <c r="A26" s="184" t="s">
        <v>528</v>
      </c>
      <c r="B26" s="185"/>
      <c r="C26" s="185"/>
      <c r="D26" s="185"/>
      <c r="E26" s="185"/>
      <c r="F26" s="185"/>
      <c r="G26" s="185"/>
      <c r="H26" s="186"/>
      <c r="J26" s="61" t="str">
        <f>IF(Backlog!$A$25&lt;&gt;"",Backlog!$A$25,"")</f>
        <v>Honey and Clover II</v>
      </c>
      <c r="K26" s="68">
        <f>IF(Backlog!$B$25&lt;&gt;"",Backlog!$B$25,"")</f>
        <v>2</v>
      </c>
      <c r="L26" s="69" t="str">
        <f>IF(Backlog!$C$25&lt;&gt;"",Backlog!$C$25,"")</f>
        <v>DL</v>
      </c>
      <c r="N26" s="61" t="str">
        <f>IF('Completed'!$A$25&lt;&gt;"",'Completed'!$A$25,"")</f>
        <v>Chihayafuru S2</v>
      </c>
      <c r="O26" s="68">
        <f>IF('Completed'!$B$25&lt;&gt;"",'Completed'!$B$25,"")</f>
        <v>2</v>
      </c>
      <c r="P26" s="68">
        <f ca="1">IF($N$26&lt;&gt;"", INDIRECT("'Tracker'!"&amp;ADDRESS(MATCH($N$26, Tracker[Anime Name], 0) + 2, 3)), "")</f>
        <v>25</v>
      </c>
      <c r="Q26" s="62" t="str">
        <f ca="1">IF($N$26&lt;&gt;"", INDIRECT("'Tracker'!"&amp;ADDRESS(MATCH($N$26, Tracker[Anime Name], 0) + 2, 4)), "")</f>
        <v>A</v>
      </c>
      <c r="R26" s="62" t="str">
        <f ca="1">IF($N$26&lt;&gt;"", INDIRECT("'Tracker'!"&amp;ADDRESS(MATCH($N$26, Tracker[Anime Name], 0) + 2, 5)), "")</f>
        <v>720p</v>
      </c>
      <c r="S26" s="62" t="str">
        <f ca="1">IF($N$26&lt;&gt;"", INDIRECT("'Tracker'!"&amp;ADDRESS(MATCH($N$26, Tracker[Anime Name], 0) + 2, 6)), "")</f>
        <v>TV</v>
      </c>
      <c r="T26" s="62" t="str">
        <f ca="1">IF($N$26&lt;&gt;"", INDIRECT("'Tracker'!"&amp;ADDRESS(MATCH($N$26, Tracker[Anime Name], 0) + 2, 7)), "")</f>
        <v>2012D</v>
      </c>
      <c r="U26" s="68" t="str">
        <f ca="1">IF($N$26&lt;&gt;"", INDIRECT("'Tracker'!"&amp;ADDRESS(MATCH($N$26, Tracker[Anime Name], 0) + 2, 8)), "")</f>
        <v>HorribleSubs</v>
      </c>
      <c r="V26" s="96">
        <f>IF('Completed'!$C$25&lt;&gt;"",'Completed'!$C$25,"")</f>
        <v>9</v>
      </c>
      <c r="W26" s="96">
        <f>IF('Completed'!$D$25&lt;&gt;"",'Completed'!$D$25,"")</f>
        <v>8.5</v>
      </c>
      <c r="X26" s="96">
        <f>IF('Completed'!$E$25&lt;&gt;"",'Completed'!$E$25,"")</f>
        <v>3</v>
      </c>
      <c r="Y26" s="96">
        <f>IF('Completed'!$F$25&lt;&gt;"",'Completed'!$F$25,"")</f>
        <v>9.5</v>
      </c>
      <c r="Z26" s="110">
        <f>IF('Completed'!$G$25&lt;&gt;"",'Completed'!$G$25,"")</f>
        <v>8.8291457286432156</v>
      </c>
      <c r="AA26" s="120">
        <f>IF('Completed'!$H$25&lt;&gt;"",'Completed'!$H$25,"")</f>
        <v>8.4664536741214036</v>
      </c>
      <c r="AB26" s="97">
        <f>IF('Completed'!$I$25&lt;&gt;"",'Completed'!$I$25,"")</f>
        <v>41479</v>
      </c>
      <c r="AC26" s="97">
        <f>IF('Completed'!$J$25&lt;&gt;"",'Completed'!$J$25,"")</f>
        <v>41481</v>
      </c>
      <c r="AD26" s="111" t="str">
        <f>IF('Completed'!$K$25&lt;&gt;"",'Completed'!$K$25,"")</f>
        <v>Ayase Chihaya</v>
      </c>
      <c r="AE26" s="111" t="str">
        <f>IF('Completed'!$L$25&lt;&gt;"",'Completed'!$L$25,"")</f>
        <v>A bit slower than the first season, but just as good. Needs a third season</v>
      </c>
    </row>
    <row r="27" spans="1:31" ht="16.5" customHeight="1">
      <c r="A27" s="142" t="s">
        <v>529</v>
      </c>
      <c r="B27" s="187" t="s">
        <v>530</v>
      </c>
      <c r="C27" s="188"/>
      <c r="D27" s="188"/>
      <c r="E27" s="188"/>
      <c r="F27" s="188"/>
      <c r="G27" s="188"/>
      <c r="H27" s="189"/>
      <c r="J27" s="61" t="str">
        <f>IF(Backlog!$A$26&lt;&gt;"",Backlog!$A$26,"")</f>
        <v>Jinrui wa Suitai Shimashita</v>
      </c>
      <c r="K27" s="68">
        <f>IF(Backlog!$B$26&lt;&gt;"",Backlog!$B$26,"")</f>
        <v>1</v>
      </c>
      <c r="L27" s="69" t="str">
        <f>IF(Backlog!$C$26&lt;&gt;"",Backlog!$C$26,"")</f>
        <v>DL</v>
      </c>
      <c r="N27" s="61" t="str">
        <f>IF('Completed'!$A$26&lt;&gt;"",'Completed'!$A$26,"")</f>
        <v>Bakemonogatari</v>
      </c>
      <c r="O27" s="68">
        <f>IF('Completed'!$B$26&lt;&gt;"",'Completed'!$B$26,"")</f>
        <v>1</v>
      </c>
      <c r="P27" s="68">
        <f ca="1">IF($N$27&lt;&gt;"", INDIRECT("'Tracker'!"&amp;ADDRESS(MATCH($N$27, Tracker[Anime Name], 0) + 2, 3)), "")</f>
        <v>15</v>
      </c>
      <c r="Q27" s="62" t="str">
        <f ca="1">IF($N$27&lt;&gt;"", INDIRECT("'Tracker'!"&amp;ADDRESS(MATCH($N$27, Tracker[Anime Name], 0) + 2, 4)), "")</f>
        <v>A</v>
      </c>
      <c r="R27" s="62" t="str">
        <f ca="1">IF($N$27&lt;&gt;"", INDIRECT("'Tracker'!"&amp;ADDRESS(MATCH($N$27, Tracker[Anime Name], 0) + 2, 5)), "")</f>
        <v>720p</v>
      </c>
      <c r="S27" s="62" t="str">
        <f ca="1">IF($N$27&lt;&gt;"", INDIRECT("'Tracker'!"&amp;ADDRESS(MATCH($N$27, Tracker[Anime Name], 0) + 2, 6)), "")</f>
        <v>BD</v>
      </c>
      <c r="T27" s="62" t="str">
        <f ca="1">IF($N$27&lt;&gt;"", INDIRECT("'Tracker'!"&amp;ADDRESS(MATCH($N$27, Tracker[Anime Name], 0) + 2, 7)), "")</f>
        <v>2009B</v>
      </c>
      <c r="U27" s="68" t="str">
        <f ca="1">IF($N$27&lt;&gt;"", INDIRECT("'Tracker'!"&amp;ADDRESS(MATCH($N$27, Tracker[Anime Name], 0) + 2, 8)), "")</f>
        <v>Coalgirls, ANE</v>
      </c>
      <c r="V27" s="96">
        <f>IF('Completed'!$C$26&lt;&gt;"",'Completed'!$C$26,"")</f>
        <v>8.5</v>
      </c>
      <c r="W27" s="96">
        <f>IF('Completed'!$D$26&lt;&gt;"",'Completed'!$D$26,"")</f>
        <v>9.5</v>
      </c>
      <c r="X27" s="96">
        <f>IF('Completed'!$E$26&lt;&gt;"",'Completed'!$E$26,"")</f>
        <v>4.5</v>
      </c>
      <c r="Y27" s="96">
        <f>IF('Completed'!$F$26&lt;&gt;"",'Completed'!$F$26,"")</f>
        <v>9</v>
      </c>
      <c r="Z27" s="110">
        <f>IF('Completed'!$G$26&lt;&gt;"",'Completed'!$G$26,"")</f>
        <v>8.8278894472361831</v>
      </c>
      <c r="AA27" s="120">
        <f>IF('Completed'!$H$26&lt;&gt;"",'Completed'!$H$26,"")</f>
        <v>8.4647721540272425</v>
      </c>
      <c r="AB27" s="97">
        <f>IF('Completed'!$I$26&lt;&gt;"",'Completed'!$I$26,"")</f>
        <v>41304</v>
      </c>
      <c r="AC27" s="97">
        <f>IF('Completed'!$J$26&lt;&gt;"",'Completed'!$J$26,"")</f>
        <v>41312</v>
      </c>
      <c r="AD27" s="111" t="str">
        <f>IF('Completed'!$K$26&lt;&gt;"",'Completed'!$K$26,"")</f>
        <v>Oshino Shinobu</v>
      </c>
      <c r="AE27" s="111" t="str">
        <f>IF('Completed'!$L$26&lt;&gt;"",'Completed'!$L$26,"")</f>
        <v>Worth watching just for the OPs</v>
      </c>
    </row>
    <row r="28" spans="1:31" ht="16.5" customHeight="1">
      <c r="A28" s="190" t="s">
        <v>654</v>
      </c>
      <c r="B28" s="203"/>
      <c r="C28" s="203"/>
      <c r="D28" s="203"/>
      <c r="E28" s="203"/>
      <c r="F28" s="203"/>
      <c r="G28" s="203"/>
      <c r="H28" s="204"/>
      <c r="J28" s="61" t="str">
        <f>IF(Backlog!$A$27&lt;&gt;"",Backlog!$A$27,"")</f>
        <v>Kaiba</v>
      </c>
      <c r="K28" s="68">
        <f>IF(Backlog!$B$27&lt;&gt;"",Backlog!$B$27,"")</f>
        <v>1</v>
      </c>
      <c r="L28" s="69" t="str">
        <f>IF(Backlog!$C$27&lt;&gt;"",Backlog!$C$27,"")</f>
        <v>DL</v>
      </c>
      <c r="N28" s="61" t="str">
        <f>IF('Completed'!$A$27&lt;&gt;"",'Completed'!$A$27,"")</f>
        <v>Gatchaman Crowds</v>
      </c>
      <c r="O28" s="68">
        <f>IF('Completed'!$B$27&lt;&gt;"",'Completed'!$B$27,"")</f>
        <v>1</v>
      </c>
      <c r="P28" s="68">
        <f ca="1">IF($N$28&lt;&gt;"", INDIRECT("'Tracker'!"&amp;ADDRESS(MATCH($N$28, Tracker[Anime Name], 0) + 2, 3)), "")</f>
        <v>12</v>
      </c>
      <c r="Q28" s="62" t="str">
        <f ca="1">IF($N$28&lt;&gt;"", INDIRECT("'Tracker'!"&amp;ADDRESS(MATCH($N$28, Tracker[Anime Name], 0) + 2, 4)), "")</f>
        <v>A</v>
      </c>
      <c r="R28" s="62" t="str">
        <f ca="1">IF($N$28&lt;&gt;"", INDIRECT("'Tracker'!"&amp;ADDRESS(MATCH($N$28, Tracker[Anime Name], 0) + 2, 5)), "")</f>
        <v>720p</v>
      </c>
      <c r="S28" s="62" t="str">
        <f ca="1">IF($N$28&lt;&gt;"", INDIRECT("'Tracker'!"&amp;ADDRESS(MATCH($N$28, Tracker[Anime Name], 0) + 2, 6)), "")</f>
        <v>TV</v>
      </c>
      <c r="T28" s="62" t="str">
        <f ca="1">IF($N$28&lt;&gt;"", INDIRECT("'Tracker'!"&amp;ADDRESS(MATCH($N$28, Tracker[Anime Name], 0) + 2, 7)), "")</f>
        <v>2013B</v>
      </c>
      <c r="U28" s="68" t="str">
        <f ca="1">IF($N$28&lt;&gt;"", INDIRECT("'Tracker'!"&amp;ADDRESS(MATCH($N$28, Tracker[Anime Name], 0) + 2, 8)), "")</f>
        <v>HorribleSubs</v>
      </c>
      <c r="V28" s="96">
        <f>IF('Completed'!$C$27&lt;&gt;"",'Completed'!$C$27,"")</f>
        <v>9.5</v>
      </c>
      <c r="W28" s="96">
        <f>IF('Completed'!$D$27&lt;&gt;"",'Completed'!$D$27,"")</f>
        <v>8.5</v>
      </c>
      <c r="X28" s="96">
        <f>IF('Completed'!$E$27&lt;&gt;"",'Completed'!$E$27,"")</f>
        <v>6</v>
      </c>
      <c r="Y28" s="96">
        <f>IF('Completed'!$F$27&lt;&gt;"",'Completed'!$F$27,"")</f>
        <v>9</v>
      </c>
      <c r="Z28" s="110">
        <f>IF('Completed'!$G$27&lt;&gt;"",'Completed'!$G$27,"")</f>
        <v>8.8140703517587937</v>
      </c>
      <c r="AA28" s="120">
        <f>IF('Completed'!$H$27&lt;&gt;"",'Completed'!$H$27,"")</f>
        <v>8.446275432991424</v>
      </c>
      <c r="AB28" s="97">
        <f>IF('Completed'!$I$27&lt;&gt;"",'Completed'!$I$27,"")</f>
        <v>41562</v>
      </c>
      <c r="AC28" s="97">
        <f>IF('Completed'!$J$27&lt;&gt;"",'Completed'!$J$27,"")</f>
        <v>41574</v>
      </c>
      <c r="AD28" s="111" t="str">
        <f>IF('Completed'!$K$27&lt;&gt;"",'Completed'!$K$27,"")</f>
        <v>Utsutsu</v>
      </c>
      <c r="AE28" s="111" t="str">
        <f>IF('Completed'!$L$27&lt;&gt;"",'Completed'!$L$27,"")</f>
        <v>OST of the season, very nicely developed plot</v>
      </c>
    </row>
    <row r="29" spans="1:31" ht="16.5" customHeight="1">
      <c r="A29" s="191"/>
      <c r="B29" s="205"/>
      <c r="C29" s="205"/>
      <c r="D29" s="205"/>
      <c r="E29" s="205"/>
      <c r="F29" s="205"/>
      <c r="G29" s="205"/>
      <c r="H29" s="206"/>
      <c r="J29" s="61" t="str">
        <f>IF(Backlog!$A$28&lt;&gt;"",Backlog!$A$28,"")</f>
        <v>Kaichou wa Maid-sama</v>
      </c>
      <c r="K29" s="68">
        <f>IF(Backlog!$B$28&lt;&gt;"",Backlog!$B$28,"")</f>
        <v>1</v>
      </c>
      <c r="L29" s="69" t="str">
        <f>IF(Backlog!$C$28&lt;&gt;"",Backlog!$C$28,"")</f>
        <v>DL</v>
      </c>
      <c r="N29" s="61" t="str">
        <f>IF('Completed'!$A$28&lt;&gt;"",'Completed'!$A$28,"")</f>
        <v>Fate / Stay Night</v>
      </c>
      <c r="O29" s="68">
        <f>IF('Completed'!$B$28&lt;&gt;"",'Completed'!$B$28,"")</f>
        <v>1</v>
      </c>
      <c r="P29" s="68">
        <f ca="1">IF($N$29&lt;&gt;"", INDIRECT("'Tracker'!"&amp;ADDRESS(MATCH($N$29, Tracker[Anime Name], 0) + 2, 3)), "")</f>
        <v>24</v>
      </c>
      <c r="Q29" s="62" t="str">
        <f ca="1">IF($N$29&lt;&gt;"", INDIRECT("'Tracker'!"&amp;ADDRESS(MATCH($N$29, Tracker[Anime Name], 0) + 2, 4)), "")</f>
        <v>A</v>
      </c>
      <c r="R29" s="62" t="str">
        <f ca="1">IF($N$29&lt;&gt;"", INDIRECT("'Tracker'!"&amp;ADDRESS(MATCH($N$29, Tracker[Anime Name], 0) + 2, 5)), "")</f>
        <v>720p</v>
      </c>
      <c r="S29" s="62" t="str">
        <f ca="1">IF($N$29&lt;&gt;"", INDIRECT("'Tracker'!"&amp;ADDRESS(MATCH($N$29, Tracker[Anime Name], 0) + 2, 6)), "")</f>
        <v>BD</v>
      </c>
      <c r="T29" s="62" t="str">
        <f ca="1">IF($N$29&lt;&gt;"", INDIRECT("'Tracker'!"&amp;ADDRESS(MATCH($N$29, Tracker[Anime Name], 0) + 2, 7)), "")</f>
        <v>2005D</v>
      </c>
      <c r="U29" s="68" t="str">
        <f ca="1">IF($N$29&lt;&gt;"", INDIRECT("'Tracker'!"&amp;ADDRESS(MATCH($N$29, Tracker[Anime Name], 0) + 2, 8)), "")</f>
        <v>Coalgirls, Eclipse</v>
      </c>
      <c r="V29" s="96">
        <f>IF('Completed'!$C$28&lt;&gt;"",'Completed'!$C$28,"")</f>
        <v>9</v>
      </c>
      <c r="W29" s="96">
        <f>IF('Completed'!$D$28&lt;&gt;"",'Completed'!$D$28,"")</f>
        <v>9</v>
      </c>
      <c r="X29" s="96">
        <f>IF('Completed'!$E$28&lt;&gt;"",'Completed'!$E$28,"")</f>
        <v>5</v>
      </c>
      <c r="Y29" s="96">
        <f>IF('Completed'!$F$28&lt;&gt;"",'Completed'!$F$28,"")</f>
        <v>9</v>
      </c>
      <c r="Z29" s="110">
        <f>IF('Completed'!$G$28&lt;&gt;"",'Completed'!$G$28,"")</f>
        <v>8.8090452261306531</v>
      </c>
      <c r="AA29" s="120">
        <f>IF('Completed'!$H$28&lt;&gt;"",'Completed'!$H$28,"")</f>
        <v>8.4395493526147636</v>
      </c>
      <c r="AB29" s="97">
        <f>IF('Completed'!$I$28&lt;&gt;"",'Completed'!$I$28,"")</f>
        <v>41537</v>
      </c>
      <c r="AC29" s="97">
        <f>IF('Completed'!$J$28&lt;&gt;"",'Completed'!$J$28,"")</f>
        <v>41559</v>
      </c>
      <c r="AD29" s="111" t="str">
        <f>IF('Completed'!$K$28&lt;&gt;"",'Completed'!$K$28,"")</f>
        <v>Saber</v>
      </c>
      <c r="AE29" s="111" t="str">
        <f>IF('Completed'!$L$28&lt;&gt;"",'Completed'!$L$28,"")</f>
        <v/>
      </c>
    </row>
    <row r="30" spans="1:31" ht="16.5" customHeight="1">
      <c r="A30" s="190" t="s">
        <v>670</v>
      </c>
      <c r="B30" s="203"/>
      <c r="C30" s="203"/>
      <c r="D30" s="203"/>
      <c r="E30" s="203"/>
      <c r="F30" s="203"/>
      <c r="G30" s="203"/>
      <c r="H30" s="204"/>
      <c r="J30" s="61" t="str">
        <f>IF(Backlog!$A$29&lt;&gt;"",Backlog!$A$29,"")</f>
        <v>Kanon</v>
      </c>
      <c r="K30" s="68">
        <f>IF(Backlog!$B$29&lt;&gt;"",Backlog!$B$29,"")</f>
        <v>1</v>
      </c>
      <c r="L30" s="69" t="str">
        <f>IF(Backlog!$C$29&lt;&gt;"",Backlog!$C$29,"")</f>
        <v>DL</v>
      </c>
      <c r="N30" s="61" t="str">
        <f>IF('Completed'!$A$29&lt;&gt;"",'Completed'!$A$29,"")</f>
        <v>Clannad</v>
      </c>
      <c r="O30" s="68">
        <f>IF('Completed'!$B$29&lt;&gt;"",'Completed'!$B$29,"")</f>
        <v>1</v>
      </c>
      <c r="P30" s="68">
        <f ca="1">IF($N$30&lt;&gt;"", INDIRECT("'Tracker'!"&amp;ADDRESS(MATCH($N$30, Tracker[Anime Name], 0) + 2, 3)), "")</f>
        <v>22</v>
      </c>
      <c r="Q30" s="62" t="str">
        <f ca="1">IF($N$30&lt;&gt;"", INDIRECT("'Tracker'!"&amp;ADDRESS(MATCH($N$30, Tracker[Anime Name], 0) + 2, 4)), "")</f>
        <v>A</v>
      </c>
      <c r="R30" s="62" t="str">
        <f ca="1">IF($N$30&lt;&gt;"", INDIRECT("'Tracker'!"&amp;ADDRESS(MATCH($N$30, Tracker[Anime Name], 0) + 2, 5)), "")</f>
        <v>720p</v>
      </c>
      <c r="S30" s="62" t="str">
        <f ca="1">IF($N$30&lt;&gt;"", INDIRECT("'Tracker'!"&amp;ADDRESS(MATCH($N$30, Tracker[Anime Name], 0) + 2, 6)), "")</f>
        <v>BD</v>
      </c>
      <c r="T30" s="62" t="str">
        <f ca="1">IF($N$30&lt;&gt;"", INDIRECT("'Tracker'!"&amp;ADDRESS(MATCH($N$30, Tracker[Anime Name], 0) + 2, 7)), "")</f>
        <v>2007C</v>
      </c>
      <c r="U30" s="68" t="str">
        <f ca="1">IF($N$30&lt;&gt;"", INDIRECT("'Tracker'!"&amp;ADDRESS(MATCH($N$30, Tracker[Anime Name], 0) + 2, 8)), "")</f>
        <v>Coalgirls, SS, Eclipse</v>
      </c>
      <c r="V30" s="96">
        <f>IF('Completed'!$C$29&lt;&gt;"",'Completed'!$C$29,"")</f>
        <v>8</v>
      </c>
      <c r="W30" s="96">
        <f>IF('Completed'!$D$29&lt;&gt;"",'Completed'!$D$29,"")</f>
        <v>9.5</v>
      </c>
      <c r="X30" s="96">
        <f>IF('Completed'!$E$29&lt;&gt;"",'Completed'!$E$29,"")</f>
        <v>6</v>
      </c>
      <c r="Y30" s="96">
        <f>IF('Completed'!$F$29&lt;&gt;"",'Completed'!$F$29,"")</f>
        <v>9</v>
      </c>
      <c r="Z30" s="110">
        <f>IF('Completed'!$G$29&lt;&gt;"",'Completed'!$G$29,"")</f>
        <v>8.8077889447236206</v>
      </c>
      <c r="AA30" s="120">
        <f>IF('Completed'!$H$29&lt;&gt;"",'Completed'!$H$29,"")</f>
        <v>8.4378678325206025</v>
      </c>
      <c r="AB30" s="97">
        <f>IF('Completed'!$I$29&lt;&gt;"",'Completed'!$I$29,"")</f>
        <v>41286</v>
      </c>
      <c r="AC30" s="97">
        <f>IF('Completed'!$J$29&lt;&gt;"",'Completed'!$J$29,"")</f>
        <v>41292</v>
      </c>
      <c r="AD30" s="111" t="str">
        <f>IF('Completed'!$K$29&lt;&gt;"",'Completed'!$K$29,"")</f>
        <v>Fujibayashi Kyou</v>
      </c>
      <c r="AE30" s="111" t="str">
        <f>IF('Completed'!$L$29&lt;&gt;"",'Completed'!$L$29,"")</f>
        <v/>
      </c>
    </row>
    <row r="31" spans="1:31" ht="15" customHeight="1">
      <c r="A31" s="191"/>
      <c r="B31" s="205"/>
      <c r="C31" s="205"/>
      <c r="D31" s="205"/>
      <c r="E31" s="205"/>
      <c r="F31" s="205"/>
      <c r="G31" s="205"/>
      <c r="H31" s="206"/>
      <c r="J31" s="61" t="str">
        <f>IF(Backlog!$A$30&lt;&gt;"",Backlog!$A$30,"")</f>
        <v>Katanagatari</v>
      </c>
      <c r="K31" s="68">
        <f>IF(Backlog!$B$30&lt;&gt;"",Backlog!$B$30,"")</f>
        <v>1</v>
      </c>
      <c r="L31" s="69" t="str">
        <f>IF(Backlog!$C$30&lt;&gt;"",Backlog!$C$30,"")</f>
        <v>DL</v>
      </c>
      <c r="N31" s="61" t="str">
        <f>IF('Completed'!$A$30&lt;&gt;"",'Completed'!$A$30,"")</f>
        <v>Shingeki no Kyojin</v>
      </c>
      <c r="O31" s="68">
        <f>IF('Completed'!$B$30&lt;&gt;"",'Completed'!$B$30,"")</f>
        <v>1</v>
      </c>
      <c r="P31" s="68">
        <f ca="1">IF($N$31&lt;&gt;"", INDIRECT("'Tracker'!"&amp;ADDRESS(MATCH($N$31, Tracker[Anime Name], 0) + 2, 3)), "")</f>
        <v>25</v>
      </c>
      <c r="Q31" s="62" t="str">
        <f ca="1">IF($N$31&lt;&gt;"", INDIRECT("'Tracker'!"&amp;ADDRESS(MATCH($N$31, Tracker[Anime Name], 0) + 2, 4)), "")</f>
        <v>B</v>
      </c>
      <c r="R31" s="62" t="str">
        <f ca="1">IF($N$31&lt;&gt;"", INDIRECT("'Tracker'!"&amp;ADDRESS(MATCH($N$31, Tracker[Anime Name], 0) + 2, 5)), "")</f>
        <v>720p</v>
      </c>
      <c r="S31" s="62" t="str">
        <f ca="1">IF($N$31&lt;&gt;"", INDIRECT("'Tracker'!"&amp;ADDRESS(MATCH($N$31, Tracker[Anime Name], 0) + 2, 6)), "")</f>
        <v>BD</v>
      </c>
      <c r="T31" s="62" t="str">
        <f ca="1">IF($N$31&lt;&gt;"", INDIRECT("'Tracker'!"&amp;ADDRESS(MATCH($N$31, Tracker[Anime Name], 0) + 2, 7)), "")</f>
        <v>2013A</v>
      </c>
      <c r="U31" s="68" t="str">
        <f ca="1">IF($N$31&lt;&gt;"", INDIRECT("'Tracker'!"&amp;ADDRESS(MATCH($N$31, Tracker[Anime Name], 0) + 2, 8)), "")</f>
        <v>Coalgirls, EveTaku</v>
      </c>
      <c r="V31" s="96">
        <f>IF('Completed'!$C$30&lt;&gt;"",'Completed'!$C$30,"")</f>
        <v>10</v>
      </c>
      <c r="W31" s="96">
        <f>IF('Completed'!$D$30&lt;&gt;"",'Completed'!$D$30,"")</f>
        <v>8</v>
      </c>
      <c r="X31" s="96">
        <f>IF('Completed'!$E$30&lt;&gt;"",'Completed'!$E$30,"")</f>
        <v>1.5</v>
      </c>
      <c r="Y31" s="96">
        <f>IF('Completed'!$F$30&lt;&gt;"",'Completed'!$F$30,"")</f>
        <v>9.5</v>
      </c>
      <c r="Z31" s="110">
        <f>IF('Completed'!$G$30&lt;&gt;"",'Completed'!$G$30,"")</f>
        <v>8.8065326633165828</v>
      </c>
      <c r="AA31" s="120">
        <f>IF('Completed'!$H$30&lt;&gt;"",'Completed'!$H$30,"")</f>
        <v>8.4361863124264325</v>
      </c>
      <c r="AB31" s="97">
        <f>IF('Completed'!$I$30&lt;&gt;"",'Completed'!$I$30,"")</f>
        <v>41397</v>
      </c>
      <c r="AC31" s="97">
        <f>IF('Completed'!$J$30&lt;&gt;"",'Completed'!$J$30,"")</f>
        <v>41546</v>
      </c>
      <c r="AD31" s="111" t="str">
        <f>IF('Completed'!$K$30&lt;&gt;"",'Completed'!$K$30,"")</f>
        <v>Mikasa Ackerman</v>
      </c>
      <c r="AE31" s="111" t="str">
        <f>IF('Completed'!$L$30&lt;&gt;"",'Completed'!$L$30,"")</f>
        <v/>
      </c>
    </row>
    <row r="32" spans="1:31" ht="15" customHeight="1">
      <c r="A32" s="190" t="s">
        <v>651</v>
      </c>
      <c r="B32" s="203"/>
      <c r="C32" s="203"/>
      <c r="D32" s="203"/>
      <c r="E32" s="203"/>
      <c r="F32" s="203"/>
      <c r="G32" s="203"/>
      <c r="H32" s="204"/>
      <c r="J32" s="61" t="str">
        <f>IF(Backlog!$A$31&lt;&gt;"",Backlog!$A$31,"")</f>
        <v>Love Live! School Idol Project</v>
      </c>
      <c r="K32" s="68">
        <f>IF(Backlog!$B$31&lt;&gt;"",Backlog!$B$31,"")</f>
        <v>1</v>
      </c>
      <c r="L32" s="69" t="str">
        <f>IF(Backlog!$C$31&lt;&gt;"",Backlog!$C$31,"")</f>
        <v>DL</v>
      </c>
      <c r="N32" s="61" t="str">
        <f>IF('Completed'!$A$31&lt;&gt;"",'Completed'!$A$31,"")</f>
        <v>K</v>
      </c>
      <c r="O32" s="68">
        <f>IF('Completed'!$B$31&lt;&gt;"",'Completed'!$B$31,"")</f>
        <v>1</v>
      </c>
      <c r="P32" s="68">
        <f ca="1">IF($N$32&lt;&gt;"", INDIRECT("'Tracker'!"&amp;ADDRESS(MATCH($N$32, Tracker[Anime Name], 0) + 2, 3)), "")</f>
        <v>13</v>
      </c>
      <c r="Q32" s="62" t="str">
        <f ca="1">IF($N$32&lt;&gt;"", INDIRECT("'Tracker'!"&amp;ADDRESS(MATCH($N$32, Tracker[Anime Name], 0) + 2, 4)), "")</f>
        <v>A</v>
      </c>
      <c r="R32" s="62" t="str">
        <f ca="1">IF($N$32&lt;&gt;"", INDIRECT("'Tracker'!"&amp;ADDRESS(MATCH($N$32, Tracker[Anime Name], 0) + 2, 5)), "")</f>
        <v>1080p</v>
      </c>
      <c r="S32" s="62" t="str">
        <f ca="1">IF($N$32&lt;&gt;"", INDIRECT("'Tracker'!"&amp;ADDRESS(MATCH($N$32, Tracker[Anime Name], 0) + 2, 6)), "")</f>
        <v>BD</v>
      </c>
      <c r="T32" s="62" t="str">
        <f ca="1">IF($N$32&lt;&gt;"", INDIRECT("'Tracker'!"&amp;ADDRESS(MATCH($N$32, Tracker[Anime Name], 0) + 2, 7)), "")</f>
        <v>2012C</v>
      </c>
      <c r="U32" s="68" t="str">
        <f ca="1">IF($N$32&lt;&gt;"", INDIRECT("'Tracker'!"&amp;ADDRESS(MATCH($N$32, Tracker[Anime Name], 0) + 2, 8)), "")</f>
        <v>Doki</v>
      </c>
      <c r="V32" s="96">
        <f>IF('Completed'!$C$31&lt;&gt;"",'Completed'!$C$31,"")</f>
        <v>9</v>
      </c>
      <c r="W32" s="96">
        <f>IF('Completed'!$D$31&lt;&gt;"",'Completed'!$D$31,"")</f>
        <v>9</v>
      </c>
      <c r="X32" s="96">
        <f>IF('Completed'!$E$31&lt;&gt;"",'Completed'!$E$31,"")</f>
        <v>4.5</v>
      </c>
      <c r="Y32" s="96">
        <f>IF('Completed'!$F$31&lt;&gt;"",'Completed'!$F$31,"")</f>
        <v>9</v>
      </c>
      <c r="Z32" s="110">
        <f>IF('Completed'!$G$31&lt;&gt;"",'Completed'!$G$31,"")</f>
        <v>8.7851758793969861</v>
      </c>
      <c r="AA32" s="120">
        <f>IF('Completed'!$H$31&lt;&gt;"",'Completed'!$H$31,"")</f>
        <v>8.4076004708256278</v>
      </c>
      <c r="AB32" s="97">
        <f>IF('Completed'!$I$31&lt;&gt;"",'Completed'!$I$31,"")</f>
        <v>41645</v>
      </c>
      <c r="AC32" s="97">
        <f>IF('Completed'!$J$31&lt;&gt;"",'Completed'!$J$31,"")</f>
        <v>41645</v>
      </c>
      <c r="AD32" s="111" t="str">
        <f>IF('Completed'!$K$31&lt;&gt;"",'Completed'!$K$31,"")</f>
        <v>Kushina Anna</v>
      </c>
      <c r="AE32" s="111" t="str">
        <f>IF('Completed'!$L$31&lt;&gt;"",'Completed'!$L$31,"")</f>
        <v>Good graphics, good audio, decent plot</v>
      </c>
    </row>
    <row r="33" spans="1:31" ht="15" customHeight="1">
      <c r="A33" s="191"/>
      <c r="B33" s="205"/>
      <c r="C33" s="205"/>
      <c r="D33" s="205"/>
      <c r="E33" s="205"/>
      <c r="F33" s="205"/>
      <c r="G33" s="205"/>
      <c r="H33" s="206"/>
      <c r="J33" s="61" t="str">
        <f>IF(Backlog!$A$32&lt;&gt;"",Backlog!$A$32,"")</f>
        <v>Neon Genesis Evangelion</v>
      </c>
      <c r="K33" s="68">
        <f>IF(Backlog!$B$32&lt;&gt;"",Backlog!$B$32,"")</f>
        <v>1</v>
      </c>
      <c r="L33" s="69" t="str">
        <f>IF(Backlog!$C$32&lt;&gt;"",Backlog!$C$32,"")</f>
        <v>DL</v>
      </c>
      <c r="N33" s="61" t="str">
        <f>IF('Completed'!$A$32&lt;&gt;"",'Completed'!$A$32,"")</f>
        <v>Yahari Ore no Seishun Rom Com wa Machigatteiru</v>
      </c>
      <c r="O33" s="68">
        <f>IF('Completed'!$B$32&lt;&gt;"",'Completed'!$B$32,"")</f>
        <v>1</v>
      </c>
      <c r="P33" s="68">
        <f ca="1">IF($N$33&lt;&gt;"", INDIRECT("'Tracker'!"&amp;ADDRESS(MATCH($N$33, Tracker[Anime Name], 0) + 2, 3)), "")</f>
        <v>13</v>
      </c>
      <c r="Q33" s="62" t="str">
        <f ca="1">IF($N$33&lt;&gt;"", INDIRECT("'Tracker'!"&amp;ADDRESS(MATCH($N$33, Tracker[Anime Name], 0) + 2, 4)), "")</f>
        <v>A</v>
      </c>
      <c r="R33" s="62" t="str">
        <f ca="1">IF($N$33&lt;&gt;"", INDIRECT("'Tracker'!"&amp;ADDRESS(MATCH($N$33, Tracker[Anime Name], 0) + 2, 5)), "")</f>
        <v>720p</v>
      </c>
      <c r="S33" s="62" t="str">
        <f ca="1">IF($N$33&lt;&gt;"", INDIRECT("'Tracker'!"&amp;ADDRESS(MATCH($N$33, Tracker[Anime Name], 0) + 2, 6)), "")</f>
        <v>BD</v>
      </c>
      <c r="T33" s="62" t="str">
        <f ca="1">IF($N$33&lt;&gt;"", INDIRECT("'Tracker'!"&amp;ADDRESS(MATCH($N$33, Tracker[Anime Name], 0) + 2, 7)), "")</f>
        <v>2013A</v>
      </c>
      <c r="U33" s="68" t="str">
        <f ca="1">IF($N$33&lt;&gt;"", INDIRECT("'Tracker'!"&amp;ADDRESS(MATCH($N$33, Tracker[Anime Name], 0) + 2, 8)), "")</f>
        <v>Coalgirls, FFF</v>
      </c>
      <c r="V33" s="96">
        <f>IF('Completed'!$C$32&lt;&gt;"",'Completed'!$C$32,"")</f>
        <v>8</v>
      </c>
      <c r="W33" s="96">
        <f>IF('Completed'!$D$32&lt;&gt;"",'Completed'!$D$32,"")</f>
        <v>9.5</v>
      </c>
      <c r="X33" s="96">
        <f>IF('Completed'!$E$32&lt;&gt;"",'Completed'!$E$32,"")</f>
        <v>5</v>
      </c>
      <c r="Y33" s="96">
        <f>IF('Completed'!$F$32&lt;&gt;"",'Completed'!$F$32,"")</f>
        <v>9</v>
      </c>
      <c r="Z33" s="110">
        <f>IF('Completed'!$G$32&lt;&gt;"",'Completed'!$G$32,"")</f>
        <v>8.7600502512562812</v>
      </c>
      <c r="AA33" s="120">
        <f>IF('Completed'!$H$32&lt;&gt;"",'Completed'!$H$32,"")</f>
        <v>8.3739700689423238</v>
      </c>
      <c r="AB33" s="97">
        <f>IF('Completed'!$I$32&lt;&gt;"",'Completed'!$I$32,"")</f>
        <v>41370</v>
      </c>
      <c r="AC33" s="97">
        <f>IF('Completed'!$J$32&lt;&gt;"",'Completed'!$J$32,"")</f>
        <v>41454</v>
      </c>
      <c r="AD33" s="111" t="str">
        <f>IF('Completed'!$K$32&lt;&gt;"",'Completed'!$K$32,"")</f>
        <v>Yukinoshita Yukino</v>
      </c>
      <c r="AE33" s="111" t="str">
        <f>IF('Completed'!$L$32&lt;&gt;"",'Completed'!$L$32,"")</f>
        <v>Watch it for 8man</v>
      </c>
    </row>
    <row r="34" spans="1:31" ht="15" customHeight="1">
      <c r="A34" s="190" t="s">
        <v>652</v>
      </c>
      <c r="B34" s="203"/>
      <c r="C34" s="203"/>
      <c r="D34" s="203"/>
      <c r="E34" s="203"/>
      <c r="F34" s="203"/>
      <c r="G34" s="203"/>
      <c r="H34" s="204"/>
      <c r="J34" s="61" t="str">
        <f>IF(Backlog!$A$33&lt;&gt;"",Backlog!$A$33,"")</f>
        <v>Nodame Cantabile</v>
      </c>
      <c r="K34" s="68">
        <f>IF(Backlog!$B$33&lt;&gt;"",Backlog!$B$33,"")</f>
        <v>1</v>
      </c>
      <c r="L34" s="69" t="str">
        <f>IF(Backlog!$C$33&lt;&gt;"",Backlog!$C$33,"")</f>
        <v>DL</v>
      </c>
      <c r="N34" s="61" t="str">
        <f>IF('Completed'!$A$33&lt;&gt;"",'Completed'!$A$33,"")</f>
        <v>Ano Hi Mita Hana no Namae wo Bokutachi wa Mada Shiranai</v>
      </c>
      <c r="O34" s="68">
        <f>IF('Completed'!$B$33&lt;&gt;"",'Completed'!$B$33,"")</f>
        <v>1</v>
      </c>
      <c r="P34" s="68">
        <f ca="1">IF($N$34&lt;&gt;"", INDIRECT("'Tracker'!"&amp;ADDRESS(MATCH($N$34, Tracker[Anime Name], 0) + 2, 3)), "")</f>
        <v>11</v>
      </c>
      <c r="Q34" s="62" t="str">
        <f ca="1">IF($N$34&lt;&gt;"", INDIRECT("'Tracker'!"&amp;ADDRESS(MATCH($N$34, Tracker[Anime Name], 0) + 2, 4)), "")</f>
        <v>A</v>
      </c>
      <c r="R34" s="62" t="str">
        <f ca="1">IF($N$34&lt;&gt;"", INDIRECT("'Tracker'!"&amp;ADDRESS(MATCH($N$34, Tracker[Anime Name], 0) + 2, 5)), "")</f>
        <v>1080p</v>
      </c>
      <c r="S34" s="62" t="str">
        <f ca="1">IF($N$34&lt;&gt;"", INDIRECT("'Tracker'!"&amp;ADDRESS(MATCH($N$34, Tracker[Anime Name], 0) + 2, 6)), "")</f>
        <v>BD</v>
      </c>
      <c r="T34" s="62" t="str">
        <f ca="1">IF($N$34&lt;&gt;"", INDIRECT("'Tracker'!"&amp;ADDRESS(MATCH($N$34, Tracker[Anime Name], 0) + 2, 7)), "")</f>
        <v>2011A</v>
      </c>
      <c r="U34" s="68" t="str">
        <f ca="1">IF($N$34&lt;&gt;"", INDIRECT("'Tracker'!"&amp;ADDRESS(MATCH($N$34, Tracker[Anime Name], 0) + 2, 8)), "")</f>
        <v>Doki</v>
      </c>
      <c r="V34" s="96">
        <f>IF('Completed'!$C$33&lt;&gt;"",'Completed'!$C$33,"")</f>
        <v>9.5</v>
      </c>
      <c r="W34" s="96">
        <f>IF('Completed'!$D$33&lt;&gt;"",'Completed'!$D$33,"")</f>
        <v>8</v>
      </c>
      <c r="X34" s="96">
        <f>IF('Completed'!$E$33&lt;&gt;"",'Completed'!$E$33,"")</f>
        <v>6</v>
      </c>
      <c r="Y34" s="96">
        <f>IF('Completed'!$F$33&lt;&gt;"",'Completed'!$F$33,"")</f>
        <v>9</v>
      </c>
      <c r="Z34" s="110">
        <f>IF('Completed'!$G$33&lt;&gt;"",'Completed'!$G$33,"")</f>
        <v>8.6796482412060314</v>
      </c>
      <c r="AA34" s="120">
        <f>IF('Completed'!$H$33&lt;&gt;"",'Completed'!$H$33,"")</f>
        <v>8.2663527829157566</v>
      </c>
      <c r="AB34" s="97">
        <f>IF('Completed'!$I$33&lt;&gt;"",'Completed'!$I$33,"")</f>
        <v>41530</v>
      </c>
      <c r="AC34" s="97">
        <f>IF('Completed'!$J$33&lt;&gt;"",'Completed'!$J$33,"")</f>
        <v>41532</v>
      </c>
      <c r="AD34" s="111" t="str">
        <f>IF('Completed'!$K$33&lt;&gt;"",'Completed'!$K$33,"")</f>
        <v>Tsurumi Chiriko</v>
      </c>
      <c r="AE34" s="111" t="str">
        <f>IF('Completed'!$L$33&lt;&gt;"",'Completed'!$L$33,"")</f>
        <v>Drama was a bit forced at the end, but it was nicely done overall</v>
      </c>
    </row>
    <row r="35" spans="1:31" ht="16.5" customHeight="1">
      <c r="A35" s="191"/>
      <c r="B35" s="205"/>
      <c r="C35" s="205"/>
      <c r="D35" s="205"/>
      <c r="E35" s="205"/>
      <c r="F35" s="205"/>
      <c r="G35" s="205"/>
      <c r="H35" s="206"/>
      <c r="J35" s="61" t="str">
        <f>IF(Backlog!$A$34&lt;&gt;"",Backlog!$A$34,"")</f>
        <v>Nodame Cantabile - Paris Hen</v>
      </c>
      <c r="K35" s="68">
        <f>IF(Backlog!$B$34&lt;&gt;"",Backlog!$B$34,"")</f>
        <v>2</v>
      </c>
      <c r="L35" s="69" t="str">
        <f>IF(Backlog!$C$34&lt;&gt;"",Backlog!$C$34,"")</f>
        <v>DL</v>
      </c>
      <c r="N35" s="61" t="str">
        <f>IF('Completed'!$A$34&lt;&gt;"",'Completed'!$A$34,"")</f>
        <v>Spice and Wolf II</v>
      </c>
      <c r="O35" s="68">
        <f>IF('Completed'!$B$34&lt;&gt;"",'Completed'!$B$34,"")</f>
        <v>2</v>
      </c>
      <c r="P35" s="68">
        <f ca="1">IF($N$35&lt;&gt;"", INDIRECT("'Tracker'!"&amp;ADDRESS(MATCH($N$35, Tracker[Anime Name], 0) + 2, 3)), "")</f>
        <v>12</v>
      </c>
      <c r="Q35" s="62" t="str">
        <f ca="1">IF($N$35&lt;&gt;"", INDIRECT("'Tracker'!"&amp;ADDRESS(MATCH($N$35, Tracker[Anime Name], 0) + 2, 4)), "")</f>
        <v>B</v>
      </c>
      <c r="R35" s="62" t="str">
        <f ca="1">IF($N$35&lt;&gt;"", INDIRECT("'Tracker'!"&amp;ADDRESS(MATCH($N$35, Tracker[Anime Name], 0) + 2, 5)), "")</f>
        <v>720p</v>
      </c>
      <c r="S35" s="62" t="str">
        <f ca="1">IF($N$35&lt;&gt;"", INDIRECT("'Tracker'!"&amp;ADDRESS(MATCH($N$35, Tracker[Anime Name], 0) + 2, 6)), "")</f>
        <v>BD</v>
      </c>
      <c r="T35" s="62" t="str">
        <f ca="1">IF($N$35&lt;&gt;"", INDIRECT("'Tracker'!"&amp;ADDRESS(MATCH($N$35, Tracker[Anime Name], 0) + 2, 7)), "")</f>
        <v>2009B</v>
      </c>
      <c r="U35" s="68" t="str">
        <f ca="1">IF($N$35&lt;&gt;"", INDIRECT("'Tracker'!"&amp;ADDRESS(MATCH($N$35, Tracker[Anime Name], 0) + 2, 8)), "")</f>
        <v>Coalgirls, Mazui</v>
      </c>
      <c r="V35" s="96">
        <f>IF('Completed'!$C$34&lt;&gt;"",'Completed'!$C$34,"")</f>
        <v>8.5</v>
      </c>
      <c r="W35" s="96">
        <f>IF('Completed'!$D$34&lt;&gt;"",'Completed'!$D$34,"")</f>
        <v>9</v>
      </c>
      <c r="X35" s="96">
        <f>IF('Completed'!$E$34&lt;&gt;"",'Completed'!$E$34,"")</f>
        <v>4</v>
      </c>
      <c r="Y35" s="96">
        <f>IF('Completed'!$F$34&lt;&gt;"",'Completed'!$F$34,"")</f>
        <v>9</v>
      </c>
      <c r="Z35" s="110">
        <f>IF('Completed'!$G$34&lt;&gt;"",'Completed'!$G$34,"")</f>
        <v>8.6695979899497502</v>
      </c>
      <c r="AA35" s="120">
        <f>IF('Completed'!$H$34&lt;&gt;"",'Completed'!$H$34,"")</f>
        <v>8.2529006221624357</v>
      </c>
      <c r="AB35" s="97">
        <f>IF('Completed'!$I$34&lt;&gt;"",'Completed'!$I$34,"")</f>
        <v>41358</v>
      </c>
      <c r="AC35" s="97">
        <f>IF('Completed'!$J$34&lt;&gt;"",'Completed'!$J$34,"")</f>
        <v>41359</v>
      </c>
      <c r="AD35" s="111" t="str">
        <f>IF('Completed'!$K$34&lt;&gt;"",'Completed'!$K$34,"")</f>
        <v>Holo</v>
      </c>
      <c r="AE35" s="111" t="str">
        <f>IF('Completed'!$L$34&lt;&gt;"",'Completed'!$L$34,"")</f>
        <v/>
      </c>
    </row>
    <row r="36" spans="1:31">
      <c r="A36" s="190" t="s">
        <v>653</v>
      </c>
      <c r="B36" s="203"/>
      <c r="C36" s="203"/>
      <c r="D36" s="203"/>
      <c r="E36" s="203"/>
      <c r="F36" s="203"/>
      <c r="G36" s="203"/>
      <c r="H36" s="204"/>
      <c r="J36" s="61" t="str">
        <f>IF(Backlog!$A$35&lt;&gt;"",Backlog!$A$35,"")</f>
        <v>Nodame Cantabile Finale</v>
      </c>
      <c r="K36" s="68">
        <f>IF(Backlog!$B$35&lt;&gt;"",Backlog!$B$35,"")</f>
        <v>3</v>
      </c>
      <c r="L36" s="69" t="str">
        <f>IF(Backlog!$C$35&lt;&gt;"",Backlog!$C$35,"")</f>
        <v>DL</v>
      </c>
      <c r="N36" s="61" t="str">
        <f>IF('Completed'!$A$35&lt;&gt;"",'Completed'!$A$35,"")</f>
        <v>Kokoro Connect</v>
      </c>
      <c r="O36" s="68">
        <f>IF('Completed'!$B$35&lt;&gt;"",'Completed'!$B$35,"")</f>
        <v>1</v>
      </c>
      <c r="P36" s="68">
        <f ca="1">IF($N$36&lt;&gt;"", INDIRECT("'Tracker'!"&amp;ADDRESS(MATCH($N$36, Tracker[Anime Name], 0) + 2, 3)), "")</f>
        <v>17</v>
      </c>
      <c r="Q36" s="62" t="str">
        <f ca="1">IF($N$36&lt;&gt;"", INDIRECT("'Tracker'!"&amp;ADDRESS(MATCH($N$36, Tracker[Anime Name], 0) + 2, 4)), "")</f>
        <v>A</v>
      </c>
      <c r="R36" s="62" t="str">
        <f ca="1">IF($N$36&lt;&gt;"", INDIRECT("'Tracker'!"&amp;ADDRESS(MATCH($N$36, Tracker[Anime Name], 0) + 2, 5)), "")</f>
        <v>720p</v>
      </c>
      <c r="S36" s="62" t="str">
        <f ca="1">IF($N$36&lt;&gt;"", INDIRECT("'Tracker'!"&amp;ADDRESS(MATCH($N$36, Tracker[Anime Name], 0) + 2, 6)), "")</f>
        <v>BD</v>
      </c>
      <c r="T36" s="62" t="str">
        <f ca="1">IF($N$36&lt;&gt;"", INDIRECT("'Tracker'!"&amp;ADDRESS(MATCH($N$36, Tracker[Anime Name], 0) + 2, 7)), "")</f>
        <v>2012B</v>
      </c>
      <c r="U36" s="68" t="str">
        <f ca="1">IF($N$36&lt;&gt;"", INDIRECT("'Tracker'!"&amp;ADDRESS(MATCH($N$36, Tracker[Anime Name], 0) + 2, 8)), "")</f>
        <v>Doki, Chihiro</v>
      </c>
      <c r="V36" s="96">
        <f>IF('Completed'!$C$35&lt;&gt;"",'Completed'!$C$35,"")</f>
        <v>8.5</v>
      </c>
      <c r="W36" s="96">
        <f>IF('Completed'!$D$35&lt;&gt;"",'Completed'!$D$35,"")</f>
        <v>9</v>
      </c>
      <c r="X36" s="96">
        <f>IF('Completed'!$E$35&lt;&gt;"",'Completed'!$E$35,"")</f>
        <v>4</v>
      </c>
      <c r="Y36" s="96">
        <f>IF('Completed'!$F$35&lt;&gt;"",'Completed'!$F$35,"")</f>
        <v>9</v>
      </c>
      <c r="Z36" s="110">
        <f>IF('Completed'!$G$35&lt;&gt;"",'Completed'!$G$35,"")</f>
        <v>8.6695979899497502</v>
      </c>
      <c r="AA36" s="120">
        <f>IF('Completed'!$H$35&lt;&gt;"",'Completed'!$H$35,"")</f>
        <v>8.2529006221624357</v>
      </c>
      <c r="AB36" s="97">
        <f>IF('Completed'!$I$35&lt;&gt;"",'Completed'!$I$35,"")</f>
        <v>41328</v>
      </c>
      <c r="AC36" s="97">
        <f>IF('Completed'!$J$35&lt;&gt;"",'Completed'!$J$35,"")</f>
        <v>41329</v>
      </c>
      <c r="AD36" s="111" t="str">
        <f>IF('Completed'!$K$35&lt;&gt;"",'Completed'!$K$35,"")</f>
        <v>Himeko Inaba</v>
      </c>
      <c r="AE36" s="111" t="str">
        <f>IF('Completed'!$L$35&lt;&gt;"",'Completed'!$L$35,"")</f>
        <v/>
      </c>
    </row>
    <row r="37" spans="1:31">
      <c r="A37" s="191"/>
      <c r="B37" s="205"/>
      <c r="C37" s="205"/>
      <c r="D37" s="205"/>
      <c r="E37" s="205"/>
      <c r="F37" s="205"/>
      <c r="G37" s="205"/>
      <c r="H37" s="206"/>
      <c r="J37" s="61" t="str">
        <f>IF(Backlog!$A$36&lt;&gt;"",Backlog!$A$36,"")</f>
        <v>Nyan Koi</v>
      </c>
      <c r="K37" s="68">
        <f>IF(Backlog!$B$36&lt;&gt;"",Backlog!$B$36,"")</f>
        <v>1</v>
      </c>
      <c r="L37" s="69" t="str">
        <f>IF(Backlog!$C$36&lt;&gt;"",Backlog!$C$36,"")</f>
        <v>DL</v>
      </c>
      <c r="N37" s="61" t="str">
        <f>IF('Completed'!$A$36&lt;&gt;"",'Completed'!$A$36,"")</f>
        <v>Servant x Service</v>
      </c>
      <c r="O37" s="68">
        <f>IF('Completed'!$B$36&lt;&gt;"",'Completed'!$B$36,"")</f>
        <v>1</v>
      </c>
      <c r="P37" s="68">
        <f ca="1">IF($N$37&lt;&gt;"", INDIRECT("'Tracker'!"&amp;ADDRESS(MATCH($N$37, Tracker[Anime Name], 0) + 2, 3)), "")</f>
        <v>13</v>
      </c>
      <c r="Q37" s="62" t="str">
        <f ca="1">IF($N$37&lt;&gt;"", INDIRECT("'Tracker'!"&amp;ADDRESS(MATCH($N$37, Tracker[Anime Name], 0) + 2, 4)), "")</f>
        <v>A</v>
      </c>
      <c r="R37" s="62" t="str">
        <f ca="1">IF($N$37&lt;&gt;"", INDIRECT("'Tracker'!"&amp;ADDRESS(MATCH($N$37, Tracker[Anime Name], 0) + 2, 5)), "")</f>
        <v>720p</v>
      </c>
      <c r="S37" s="62" t="str">
        <f ca="1">IF($N$37&lt;&gt;"", INDIRECT("'Tracker'!"&amp;ADDRESS(MATCH($N$37, Tracker[Anime Name], 0) + 2, 6)), "")</f>
        <v>Web</v>
      </c>
      <c r="T37" s="62" t="str">
        <f ca="1">IF($N$37&lt;&gt;"", INDIRECT("'Tracker'!"&amp;ADDRESS(MATCH($N$37, Tracker[Anime Name], 0) + 2, 7)), "")</f>
        <v>2013B</v>
      </c>
      <c r="U37" s="68" t="str">
        <f ca="1">IF($N$37&lt;&gt;"", INDIRECT("'Tracker'!"&amp;ADDRESS(MATCH($N$37, Tracker[Anime Name], 0) + 2, 8)), "")</f>
        <v>HorribleSubs</v>
      </c>
      <c r="V37" s="96">
        <f>IF('Completed'!$C$36&lt;&gt;"",'Completed'!$C$36,"")</f>
        <v>8</v>
      </c>
      <c r="W37" s="96">
        <f>IF('Completed'!$D$36&lt;&gt;"",'Completed'!$D$36,"")</f>
        <v>9</v>
      </c>
      <c r="X37" s="96">
        <f>IF('Completed'!$E$36&lt;&gt;"",'Completed'!$E$36,"")</f>
        <v>5.5</v>
      </c>
      <c r="Y37" s="96">
        <f>IF('Completed'!$F$36&lt;&gt;"",'Completed'!$F$36,"")</f>
        <v>9</v>
      </c>
      <c r="Z37" s="110">
        <f>IF('Completed'!$G$36&lt;&gt;"",'Completed'!$G$36,"")</f>
        <v>8.6494974874371859</v>
      </c>
      <c r="AA37" s="120">
        <f>IF('Completed'!$H$36&lt;&gt;"",'Completed'!$H$36,"")</f>
        <v>8.2259963006557921</v>
      </c>
      <c r="AB37" s="97">
        <f>IF('Completed'!$I$36&lt;&gt;"",'Completed'!$I$36,"")</f>
        <v>41461</v>
      </c>
      <c r="AC37" s="97">
        <f>IF('Completed'!$J$36&lt;&gt;"",'Completed'!$J$36,"")</f>
        <v>41543</v>
      </c>
      <c r="AD37" s="111" t="str">
        <f>IF('Completed'!$K$36&lt;&gt;"",'Completed'!$K$36,"")</f>
        <v>Chihaya Megumi</v>
      </c>
      <c r="AE37" s="111" t="str">
        <f>IF('Completed'!$L$36&lt;&gt;"",'Completed'!$L$36,"")</f>
        <v>Funny, and not a HS drama - 9/10 would watch again</v>
      </c>
    </row>
    <row r="38" spans="1:31">
      <c r="A38" s="190" t="s">
        <v>655</v>
      </c>
      <c r="B38" s="203"/>
      <c r="C38" s="203"/>
      <c r="D38" s="203"/>
      <c r="E38" s="203"/>
      <c r="F38" s="203"/>
      <c r="G38" s="203"/>
      <c r="H38" s="204"/>
      <c r="J38" s="61" t="str">
        <f>IF(Backlog!$A$37&lt;&gt;"",Backlog!$A$37,"")</f>
        <v>Ore no Kanojo to Osananajimi ga Shuraba Sugiru</v>
      </c>
      <c r="K38" s="68">
        <f>IF(Backlog!$B$37&lt;&gt;"",Backlog!$B$37,"")</f>
        <v>1</v>
      </c>
      <c r="L38" s="69" t="str">
        <f>IF(Backlog!$C$37&lt;&gt;"",Backlog!$C$37,"")</f>
        <v>DL</v>
      </c>
      <c r="N38" s="61" t="str">
        <f>IF('Completed'!$A$37&lt;&gt;"",'Completed'!$A$37,"")</f>
        <v>Shakugan no Shana Second</v>
      </c>
      <c r="O38" s="68">
        <f>IF('Completed'!$B$37&lt;&gt;"",'Completed'!$B$37,"")</f>
        <v>2</v>
      </c>
      <c r="P38" s="68">
        <f ca="1">IF($N$38&lt;&gt;"", INDIRECT("'Tracker'!"&amp;ADDRESS(MATCH($N$38, Tracker[Anime Name], 0) + 2, 3)), "")</f>
        <v>24</v>
      </c>
      <c r="Q38" s="62" t="str">
        <f ca="1">IF($N$38&lt;&gt;"", INDIRECT("'Tracker'!"&amp;ADDRESS(MATCH($N$38, Tracker[Anime Name], 0) + 2, 4)), "")</f>
        <v>A</v>
      </c>
      <c r="R38" s="62" t="str">
        <f ca="1">IF($N$38&lt;&gt;"", INDIRECT("'Tracker'!"&amp;ADDRESS(MATCH($N$38, Tracker[Anime Name], 0) + 2, 5)), "")</f>
        <v>720p</v>
      </c>
      <c r="S38" s="62" t="str">
        <f ca="1">IF($N$38&lt;&gt;"", INDIRECT("'Tracker'!"&amp;ADDRESS(MATCH($N$38, Tracker[Anime Name], 0) + 2, 6)), "")</f>
        <v>TV</v>
      </c>
      <c r="T38" s="62" t="str">
        <f ca="1">IF($N$38&lt;&gt;"", INDIRECT("'Tracker'!"&amp;ADDRESS(MATCH($N$38, Tracker[Anime Name], 0) + 2, 7)), "")</f>
        <v>2007C</v>
      </c>
      <c r="U38" s="68" t="str">
        <f ca="1">IF($N$38&lt;&gt;"", INDIRECT("'Tracker'!"&amp;ADDRESS(MATCH($N$38, Tracker[Anime Name], 0) + 2, 8)), "")</f>
        <v>SS, Eclipse</v>
      </c>
      <c r="V38" s="96">
        <f>IF('Completed'!$C$37&lt;&gt;"",'Completed'!$C$37,"")</f>
        <v>9</v>
      </c>
      <c r="W38" s="96">
        <f>IF('Completed'!$D$37&lt;&gt;"",'Completed'!$D$37,"")</f>
        <v>9</v>
      </c>
      <c r="X38" s="96">
        <f>IF('Completed'!$E$37&lt;&gt;"",'Completed'!$E$37,"")</f>
        <v>6.5</v>
      </c>
      <c r="Y38" s="96">
        <f>IF('Completed'!$F$37&lt;&gt;"",'Completed'!$F$37,"")</f>
        <v>8.5</v>
      </c>
      <c r="Z38" s="110">
        <f>IF('Completed'!$G$37&lt;&gt;"",'Completed'!$G$37,"")</f>
        <v>8.6306532663316595</v>
      </c>
      <c r="AA38" s="120">
        <f>IF('Completed'!$H$37&lt;&gt;"",'Completed'!$H$37,"")</f>
        <v>8.2007734992433168</v>
      </c>
      <c r="AB38" s="97">
        <f>IF('Completed'!$I$37&lt;&gt;"",'Completed'!$I$37,"")</f>
        <v>41395</v>
      </c>
      <c r="AC38" s="97">
        <f>IF('Completed'!$J$37&lt;&gt;"",'Completed'!$J$37,"")</f>
        <v>41400</v>
      </c>
      <c r="AD38" s="111" t="str">
        <f>IF('Completed'!$K$37&lt;&gt;"",'Completed'!$K$37,"")</f>
        <v>Shana</v>
      </c>
      <c r="AE38" s="111" t="str">
        <f>IF('Completed'!$L$37&lt;&gt;"",'Completed'!$L$37,"")</f>
        <v>TV is better than BDs</v>
      </c>
    </row>
    <row r="39" spans="1:31">
      <c r="A39" s="191"/>
      <c r="B39" s="205"/>
      <c r="C39" s="205"/>
      <c r="D39" s="205"/>
      <c r="E39" s="205"/>
      <c r="F39" s="205"/>
      <c r="G39" s="205"/>
      <c r="H39" s="206"/>
      <c r="J39" s="61" t="str">
        <f>IF(Backlog!$A$38&lt;&gt;"",Backlog!$A$38,"")</f>
        <v>Psycho Pass</v>
      </c>
      <c r="K39" s="68">
        <f>IF(Backlog!$B$38&lt;&gt;"",Backlog!$B$38,"")</f>
        <v>1</v>
      </c>
      <c r="L39" s="69" t="str">
        <f>IF(Backlog!$C$38&lt;&gt;"",Backlog!$C$38,"")</f>
        <v>DL</v>
      </c>
      <c r="N39" s="61" t="str">
        <f>IF('Completed'!$A$38&lt;&gt;"",'Completed'!$A$38,"")</f>
        <v>Non Non Biyori</v>
      </c>
      <c r="O39" s="68">
        <f>IF('Completed'!$B$38&lt;&gt;"",'Completed'!$B$38,"")</f>
        <v>1</v>
      </c>
      <c r="P39" s="68">
        <f ca="1">IF($N$39&lt;&gt;"", INDIRECT("'Tracker'!"&amp;ADDRESS(MATCH($N$39, Tracker[Anime Name], 0) + 2, 3)), "")</f>
        <v>12</v>
      </c>
      <c r="Q39" s="62" t="str">
        <f ca="1">IF($N$39&lt;&gt;"", INDIRECT("'Tracker'!"&amp;ADDRESS(MATCH($N$39, Tracker[Anime Name], 0) + 2, 4)), "")</f>
        <v>B</v>
      </c>
      <c r="R39" s="62" t="str">
        <f ca="1">IF($N$39&lt;&gt;"", INDIRECT("'Tracker'!"&amp;ADDRESS(MATCH($N$39, Tracker[Anime Name], 0) + 2, 5)), "")</f>
        <v>720p</v>
      </c>
      <c r="S39" s="62" t="str">
        <f ca="1">IF($N$39&lt;&gt;"", INDIRECT("'Tracker'!"&amp;ADDRESS(MATCH($N$39, Tracker[Anime Name], 0) + 2, 6)), "")</f>
        <v>TV</v>
      </c>
      <c r="T39" s="62" t="str">
        <f ca="1">IF($N$39&lt;&gt;"", INDIRECT("'Tracker'!"&amp;ADDRESS(MATCH($N$39, Tracker[Anime Name], 0) + 2, 7)), "")</f>
        <v>2013C</v>
      </c>
      <c r="U39" s="68" t="str">
        <f ca="1">IF($N$39&lt;&gt;"", INDIRECT("'Tracker'!"&amp;ADDRESS(MATCH($N$39, Tracker[Anime Name], 0) + 2, 8)), "")</f>
        <v>HorribleSubs</v>
      </c>
      <c r="V39" s="96">
        <f>IF('Completed'!$C$38&lt;&gt;"",'Completed'!$C$38,"")</f>
        <v>4</v>
      </c>
      <c r="W39" s="96">
        <f>IF('Completed'!$D$38&lt;&gt;"",'Completed'!$D$38,"")</f>
        <v>9</v>
      </c>
      <c r="X39" s="96">
        <f>IF('Completed'!$E$38&lt;&gt;"",'Completed'!$E$38,"")</f>
        <v>9.5</v>
      </c>
      <c r="Y39" s="96">
        <f>IF('Completed'!$F$38&lt;&gt;"",'Completed'!$F$38,"")</f>
        <v>10</v>
      </c>
      <c r="Z39" s="110">
        <f>IF('Completed'!$G$38&lt;&gt;"",'Completed'!$G$38,"")</f>
        <v>8.6067839195979889</v>
      </c>
      <c r="AA39" s="120">
        <f>IF('Completed'!$H$38&lt;&gt;"",'Completed'!$H$38,"")</f>
        <v>8.1688246174541774</v>
      </c>
      <c r="AB39" s="97">
        <f>IF('Completed'!$I$38&lt;&gt;"",'Completed'!$I$38,"")</f>
        <v>41638</v>
      </c>
      <c r="AC39" s="97">
        <f>IF('Completed'!$J$38&lt;&gt;"",'Completed'!$J$38,"")</f>
        <v>41641</v>
      </c>
      <c r="AD39" s="111" t="str">
        <f>IF('Completed'!$K$38&lt;&gt;"",'Completed'!$K$38,"")</f>
        <v>Miyauchi Renge</v>
      </c>
      <c r="AE39" s="111" t="str">
        <f>IF('Completed'!$L$38&lt;&gt;"",'Completed'!$L$38,"")</f>
        <v/>
      </c>
    </row>
    <row r="40" spans="1:31">
      <c r="A40" s="190" t="s">
        <v>674</v>
      </c>
      <c r="B40" s="203"/>
      <c r="C40" s="203"/>
      <c r="D40" s="203"/>
      <c r="E40" s="203"/>
      <c r="F40" s="203"/>
      <c r="G40" s="203"/>
      <c r="H40" s="204"/>
      <c r="J40" s="61" t="str">
        <f>IF(Backlog!$A$39&lt;&gt;"",Backlog!$A$39,"")</f>
        <v>Serial Experiments Lain</v>
      </c>
      <c r="K40" s="68">
        <f>IF(Backlog!$B$39&lt;&gt;"",Backlog!$B$39,"")</f>
        <v>1</v>
      </c>
      <c r="L40" s="69" t="str">
        <f>IF(Backlog!$C$39&lt;&gt;"",Backlog!$C$39,"")</f>
        <v>DL</v>
      </c>
      <c r="N40" s="61" t="str">
        <f>IF('Completed'!$A$39&lt;&gt;"",'Completed'!$A$39,"")</f>
        <v>Toaru Kagaku no Railgun</v>
      </c>
      <c r="O40" s="68">
        <f>IF('Completed'!$B$39&lt;&gt;"",'Completed'!$B$39,"")</f>
        <v>1</v>
      </c>
      <c r="P40" s="68">
        <f ca="1">IF($N$40&lt;&gt;"", INDIRECT("'Tracker'!"&amp;ADDRESS(MATCH($N$40, Tracker[Anime Name], 0) + 2, 3)), "")</f>
        <v>24</v>
      </c>
      <c r="Q40" s="62" t="str">
        <f ca="1">IF($N$40&lt;&gt;"", INDIRECT("'Tracker'!"&amp;ADDRESS(MATCH($N$40, Tracker[Anime Name], 0) + 2, 4)), "")</f>
        <v>A</v>
      </c>
      <c r="R40" s="62" t="str">
        <f ca="1">IF($N$40&lt;&gt;"", INDIRECT("'Tracker'!"&amp;ADDRESS(MATCH($N$40, Tracker[Anime Name], 0) + 2, 5)), "")</f>
        <v>720p</v>
      </c>
      <c r="S40" s="62" t="str">
        <f ca="1">IF($N$40&lt;&gt;"", INDIRECT("'Tracker'!"&amp;ADDRESS(MATCH($N$40, Tracker[Anime Name], 0) + 2, 6)), "")</f>
        <v>BD</v>
      </c>
      <c r="T40" s="62" t="str">
        <f ca="1">IF($N$40&lt;&gt;"", INDIRECT("'Tracker'!"&amp;ADDRESS(MATCH($N$40, Tracker[Anime Name], 0) + 2, 7)), "")</f>
        <v>2009C</v>
      </c>
      <c r="U40" s="68" t="str">
        <f ca="1">IF($N$40&lt;&gt;"", INDIRECT("'Tracker'!"&amp;ADDRESS(MATCH($N$40, Tracker[Anime Name], 0) + 2, 8)), "")</f>
        <v>Elysium</v>
      </c>
      <c r="V40" s="96">
        <f>IF('Completed'!$C$39&lt;&gt;"",'Completed'!$C$39,"")</f>
        <v>7.5</v>
      </c>
      <c r="W40" s="96">
        <f>IF('Completed'!$D$39&lt;&gt;"",'Completed'!$D$39,"")</f>
        <v>9</v>
      </c>
      <c r="X40" s="96">
        <f>IF('Completed'!$E$39&lt;&gt;"",'Completed'!$E$39,"")</f>
        <v>6</v>
      </c>
      <c r="Y40" s="96">
        <f>IF('Completed'!$F$39&lt;&gt;"",'Completed'!$F$39,"")</f>
        <v>9</v>
      </c>
      <c r="Z40" s="110">
        <f>IF('Completed'!$G$39&lt;&gt;"",'Completed'!$G$39,"")</f>
        <v>8.5816582914572859</v>
      </c>
      <c r="AA40" s="120">
        <f>IF('Completed'!$H$39&lt;&gt;"",'Completed'!$H$39,"")</f>
        <v>8.1351942155708752</v>
      </c>
      <c r="AB40" s="97">
        <f>IF('Completed'!$I$39&lt;&gt;"",'Completed'!$I$39,"")</f>
        <v>41436</v>
      </c>
      <c r="AC40" s="97">
        <f>IF('Completed'!$J$39&lt;&gt;"",'Completed'!$J$39,"")</f>
        <v>41438</v>
      </c>
      <c r="AD40" s="111" t="str">
        <f>IF('Completed'!$K$39&lt;&gt;"",'Completed'!$K$39,"")</f>
        <v>Misaka Mikoto</v>
      </c>
      <c r="AE40" s="111" t="str">
        <f>IF('Completed'!$L$39&lt;&gt;"",'Completed'!$L$39,"")</f>
        <v/>
      </c>
    </row>
    <row r="41" spans="1:31">
      <c r="A41" s="191"/>
      <c r="B41" s="205"/>
      <c r="C41" s="205"/>
      <c r="D41" s="205"/>
      <c r="E41" s="205"/>
      <c r="F41" s="205"/>
      <c r="G41" s="205"/>
      <c r="H41" s="206"/>
      <c r="J41" s="61" t="str">
        <f>IF(Backlog!$A$40&lt;&gt;"",Backlog!$A$40,"")</f>
        <v>Shinsekai Yori</v>
      </c>
      <c r="K41" s="68">
        <f>IF(Backlog!$B$40&lt;&gt;"",Backlog!$B$40,"")</f>
        <v>1</v>
      </c>
      <c r="L41" s="69" t="str">
        <f>IF(Backlog!$C$40&lt;&gt;"",Backlog!$C$40,"")</f>
        <v>DL</v>
      </c>
      <c r="N41" s="61" t="str">
        <f>IF('Completed'!$A$40&lt;&gt;"",'Completed'!$A$40,"")</f>
        <v>Acchi Kocchi</v>
      </c>
      <c r="O41" s="68">
        <f>IF('Completed'!$B$40&lt;&gt;"",'Completed'!$B$40,"")</f>
        <v>1</v>
      </c>
      <c r="P41" s="68">
        <f ca="1">IF($N$41&lt;&gt;"", INDIRECT("'Tracker'!"&amp;ADDRESS(MATCH($N$41, Tracker[Anime Name], 0) + 2, 3)), "")</f>
        <v>13</v>
      </c>
      <c r="Q41" s="62" t="str">
        <f ca="1">IF($N$41&lt;&gt;"", INDIRECT("'Tracker'!"&amp;ADDRESS(MATCH($N$41, Tracker[Anime Name], 0) + 2, 4)), "")</f>
        <v>A</v>
      </c>
      <c r="R41" s="62" t="str">
        <f ca="1">IF($N$41&lt;&gt;"", INDIRECT("'Tracker'!"&amp;ADDRESS(MATCH($N$41, Tracker[Anime Name], 0) + 2, 5)), "")</f>
        <v>720p</v>
      </c>
      <c r="S41" s="62" t="str">
        <f ca="1">IF($N$41&lt;&gt;"", INDIRECT("'Tracker'!"&amp;ADDRESS(MATCH($N$41, Tracker[Anime Name], 0) + 2, 6)), "")</f>
        <v>BD</v>
      </c>
      <c r="T41" s="62" t="str">
        <f ca="1">IF($N$41&lt;&gt;"", INDIRECT("'Tracker'!"&amp;ADDRESS(MATCH($N$41, Tracker[Anime Name], 0) + 2, 7)), "")</f>
        <v>2012A</v>
      </c>
      <c r="U41" s="68" t="str">
        <f ca="1">IF($N$41&lt;&gt;"", INDIRECT("'Tracker'!"&amp;ADDRESS(MATCH($N$41, Tracker[Anime Name], 0) + 2, 8)), "")</f>
        <v>SakuraCircle</v>
      </c>
      <c r="V41" s="96">
        <f>IF('Completed'!$C$40&lt;&gt;"",'Completed'!$C$40,"")</f>
        <v>5</v>
      </c>
      <c r="W41" s="96">
        <f>IF('Completed'!$D$40&lt;&gt;"",'Completed'!$D$40,"")</f>
        <v>9</v>
      </c>
      <c r="X41" s="96">
        <f>IF('Completed'!$E$40&lt;&gt;"",'Completed'!$E$40,"")</f>
        <v>10</v>
      </c>
      <c r="Y41" s="96">
        <f>IF('Completed'!$F$40&lt;&gt;"",'Completed'!$F$40,"")</f>
        <v>9.5</v>
      </c>
      <c r="Z41" s="110">
        <f>IF('Completed'!$G$40&lt;&gt;"",'Completed'!$G$40,"")</f>
        <v>8.5640703517587937</v>
      </c>
      <c r="AA41" s="120">
        <f>IF('Completed'!$H$40&lt;&gt;"",'Completed'!$H$40,"")</f>
        <v>8.1116529342525627</v>
      </c>
      <c r="AB41" s="97">
        <f>IF('Completed'!$I$40&lt;&gt;"",'Completed'!$I$40,"")</f>
        <v>41316</v>
      </c>
      <c r="AC41" s="97">
        <f>IF('Completed'!$J$40&lt;&gt;"",'Completed'!$J$40,"")</f>
        <v>41316</v>
      </c>
      <c r="AD41" s="111" t="str">
        <f>IF('Completed'!$K$40&lt;&gt;"",'Completed'!$K$40,"")</f>
        <v>Miniwa Tsumiki</v>
      </c>
      <c r="AE41" s="111" t="str">
        <f>IF('Completed'!$L$40&lt;&gt;"",'Completed'!$L$40,"")</f>
        <v>Like Lucky Star, but with 150% more moe</v>
      </c>
    </row>
    <row r="42" spans="1:31">
      <c r="A42" s="207" t="s">
        <v>675</v>
      </c>
      <c r="B42" s="203"/>
      <c r="C42" s="203"/>
      <c r="D42" s="203"/>
      <c r="E42" s="203"/>
      <c r="F42" s="203"/>
      <c r="G42" s="203"/>
      <c r="H42" s="204"/>
      <c r="J42" s="61" t="str">
        <f>IF(Backlog!$A$41&lt;&gt;"",Backlog!$A$41,"")</f>
        <v>Sora no Otoshimono Forte</v>
      </c>
      <c r="K42" s="68">
        <f>IF(Backlog!$B$41&lt;&gt;"",Backlog!$B$41,"")</f>
        <v>2</v>
      </c>
      <c r="L42" s="69" t="str">
        <f>IF(Backlog!$C$41&lt;&gt;"",Backlog!$C$41,"")</f>
        <v>DL</v>
      </c>
      <c r="N42" s="61" t="str">
        <f>IF('Completed'!$A$41&lt;&gt;"",'Completed'!$A$41,"")</f>
        <v>Toaru Kagaku no Railgun S</v>
      </c>
      <c r="O42" s="68">
        <f>IF('Completed'!$B$41&lt;&gt;"",'Completed'!$B$41,"")</f>
        <v>2</v>
      </c>
      <c r="P42" s="68">
        <f ca="1">IF($N$42&lt;&gt;"", INDIRECT("'Tracker'!"&amp;ADDRESS(MATCH($N$42, Tracker[Anime Name], 0) + 2, 3)), "")</f>
        <v>24</v>
      </c>
      <c r="Q42" s="62" t="str">
        <f ca="1">IF($N$42&lt;&gt;"", INDIRECT("'Tracker'!"&amp;ADDRESS(MATCH($N$42, Tracker[Anime Name], 0) + 2, 4)), "")</f>
        <v>A</v>
      </c>
      <c r="R42" s="62" t="str">
        <f ca="1">IF($N$42&lt;&gt;"", INDIRECT("'Tracker'!"&amp;ADDRESS(MATCH($N$42, Tracker[Anime Name], 0) + 2, 5)), "")</f>
        <v>720p</v>
      </c>
      <c r="S42" s="62" t="str">
        <f ca="1">IF($N$42&lt;&gt;"", INDIRECT("'Tracker'!"&amp;ADDRESS(MATCH($N$42, Tracker[Anime Name], 0) + 2, 6)), "")</f>
        <v>BD</v>
      </c>
      <c r="T42" s="62" t="str">
        <f ca="1">IF($N$42&lt;&gt;"", INDIRECT("'Tracker'!"&amp;ADDRESS(MATCH($N$42, Tracker[Anime Name], 0) + 2, 7)), "")</f>
        <v>2013A</v>
      </c>
      <c r="U42" s="68" t="str">
        <f ca="1">IF($N$42&lt;&gt;"", INDIRECT("'Tracker'!"&amp;ADDRESS(MATCH($N$42, Tracker[Anime Name], 0) + 2, 8)), "")</f>
        <v>Coalgirls, UTW, Mazui</v>
      </c>
      <c r="V42" s="96">
        <f>IF('Completed'!$C$41&lt;&gt;"",'Completed'!$C$41,"")</f>
        <v>8.5</v>
      </c>
      <c r="W42" s="96">
        <f>IF('Completed'!$D$41&lt;&gt;"",'Completed'!$D$41,"")</f>
        <v>8.5</v>
      </c>
      <c r="X42" s="96">
        <f>IF('Completed'!$E$41&lt;&gt;"",'Completed'!$E$41,"")</f>
        <v>4.5</v>
      </c>
      <c r="Y42" s="96">
        <f>IF('Completed'!$F$41&lt;&gt;"",'Completed'!$F$41,"")</f>
        <v>9</v>
      </c>
      <c r="Z42" s="110">
        <f>IF('Completed'!$G$41&lt;&gt;"",'Completed'!$G$41,"")</f>
        <v>8.5590452261306531</v>
      </c>
      <c r="AA42" s="120">
        <f>IF('Completed'!$H$41&lt;&gt;"",'Completed'!$H$41,"")</f>
        <v>8.1049268538759023</v>
      </c>
      <c r="AB42" s="97">
        <f>IF('Completed'!$I$41&lt;&gt;"",'Completed'!$I$41,"")</f>
        <v>41473</v>
      </c>
      <c r="AC42" s="97">
        <f>IF('Completed'!$J$41&lt;&gt;"",'Completed'!$J$41,"")</f>
        <v>41546</v>
      </c>
      <c r="AD42" s="111" t="str">
        <f>IF('Completed'!$K$41&lt;&gt;"",'Completed'!$K$41,"")</f>
        <v>Misaka Mikoto</v>
      </c>
      <c r="AE42" s="111" t="str">
        <f>IF('Completed'!$L$41&lt;&gt;"",'Completed'!$L$41,"")</f>
        <v/>
      </c>
    </row>
    <row r="43" spans="1:31">
      <c r="A43" s="208"/>
      <c r="B43" s="205"/>
      <c r="C43" s="205"/>
      <c r="D43" s="205"/>
      <c r="E43" s="205"/>
      <c r="F43" s="205"/>
      <c r="G43" s="205"/>
      <c r="H43" s="206"/>
      <c r="J43" s="61" t="str">
        <f>IF(Backlog!$A$42&lt;&gt;"",Backlog!$A$42,"")</f>
        <v>Strawberry Panic</v>
      </c>
      <c r="K43" s="68">
        <f>IF(Backlog!$B$42&lt;&gt;"",Backlog!$B$42,"")</f>
        <v>1</v>
      </c>
      <c r="L43" s="69" t="str">
        <f>IF(Backlog!$C$42&lt;&gt;"",Backlog!$C$42,"")</f>
        <v>DL</v>
      </c>
      <c r="N43" s="61" t="str">
        <f>IF('Completed'!$A$42&lt;&gt;"",'Completed'!$A$42,"")</f>
        <v>Mirai Nikki</v>
      </c>
      <c r="O43" s="68">
        <f>IF('Completed'!$B$42&lt;&gt;"",'Completed'!$B$42,"")</f>
        <v>1</v>
      </c>
      <c r="P43" s="68">
        <f ca="1">IF($N$43&lt;&gt;"", INDIRECT("'Tracker'!"&amp;ADDRESS(MATCH($N$43, Tracker[Anime Name], 0) + 2, 3)), "")</f>
        <v>26</v>
      </c>
      <c r="Q43" s="62" t="str">
        <f ca="1">IF($N$43&lt;&gt;"", INDIRECT("'Tracker'!"&amp;ADDRESS(MATCH($N$43, Tracker[Anime Name], 0) + 2, 4)), "")</f>
        <v>A</v>
      </c>
      <c r="R43" s="62" t="str">
        <f ca="1">IF($N$43&lt;&gt;"", INDIRECT("'Tracker'!"&amp;ADDRESS(MATCH($N$43, Tracker[Anime Name], 0) + 2, 5)), "")</f>
        <v>720p</v>
      </c>
      <c r="S43" s="62" t="str">
        <f ca="1">IF($N$43&lt;&gt;"", INDIRECT("'Tracker'!"&amp;ADDRESS(MATCH($N$43, Tracker[Anime Name], 0) + 2, 6)), "")</f>
        <v>BD</v>
      </c>
      <c r="T43" s="62" t="str">
        <f ca="1">IF($N$43&lt;&gt;"", INDIRECT("'Tracker'!"&amp;ADDRESS(MATCH($N$43, Tracker[Anime Name], 0) + 2, 7)), "")</f>
        <v>2011C</v>
      </c>
      <c r="U43" s="68" t="str">
        <f ca="1">IF($N$43&lt;&gt;"", INDIRECT("'Tracker'!"&amp;ADDRESS(MATCH($N$43, Tracker[Anime Name], 0) + 2, 8)), "")</f>
        <v>Final8</v>
      </c>
      <c r="V43" s="96">
        <f>IF('Completed'!$C$42&lt;&gt;"",'Completed'!$C$42,"")</f>
        <v>9.5</v>
      </c>
      <c r="W43" s="96">
        <f>IF('Completed'!$D$42&lt;&gt;"",'Completed'!$D$42,"")</f>
        <v>7.5</v>
      </c>
      <c r="X43" s="96">
        <f>IF('Completed'!$E$42&lt;&gt;"",'Completed'!$E$42,"")</f>
        <v>5</v>
      </c>
      <c r="Y43" s="96">
        <f>IF('Completed'!$F$42&lt;&gt;"",'Completed'!$F$42,"")</f>
        <v>9</v>
      </c>
      <c r="Z43" s="110">
        <f>IF('Completed'!$G$42&lt;&gt;"",'Completed'!$G$42,"")</f>
        <v>8.4974874371859297</v>
      </c>
      <c r="AA43" s="120">
        <f>IF('Completed'!$H$42&lt;&gt;"",'Completed'!$H$42,"")</f>
        <v>8.0225323692618122</v>
      </c>
      <c r="AB43" s="97">
        <f>IF('Completed'!$I$42&lt;&gt;"",'Completed'!$I$42,"")</f>
        <v>41485</v>
      </c>
      <c r="AC43" s="97">
        <f>IF('Completed'!$J$42&lt;&gt;"",'Completed'!$J$42,"")</f>
        <v>41491</v>
      </c>
      <c r="AD43" s="111" t="str">
        <f>IF('Completed'!$K$42&lt;&gt;"",'Completed'!$K$42,"")</f>
        <v>Uryuu Minene v2</v>
      </c>
      <c r="AE43" s="111" t="str">
        <f>IF('Completed'!$L$42&lt;&gt;"",'Completed'!$L$42,"")</f>
        <v>Needs a more ballsy MC</v>
      </c>
    </row>
    <row r="44" spans="1:31">
      <c r="A44" s="145"/>
      <c r="B44" s="146"/>
      <c r="C44" s="146"/>
      <c r="D44" s="146"/>
      <c r="E44" s="146"/>
      <c r="F44" s="146"/>
      <c r="G44" s="146"/>
      <c r="H44" s="146"/>
      <c r="J44" s="61" t="str">
        <f>IF(Backlog!$A$43&lt;&gt;"",Backlog!$A$43,"")</f>
        <v>The World God Only Knows</v>
      </c>
      <c r="K44" s="68">
        <f>IF(Backlog!$B$43&lt;&gt;"",Backlog!$B$43,"")</f>
        <v>1</v>
      </c>
      <c r="L44" s="69" t="str">
        <f>IF(Backlog!$C$43&lt;&gt;"",Backlog!$C$43,"")</f>
        <v>DL</v>
      </c>
      <c r="N44" s="61" t="str">
        <f>IF('Completed'!$A$43&lt;&gt;"",'Completed'!$A$43,"")</f>
        <v>Toaru Majutsu no Index II</v>
      </c>
      <c r="O44" s="68">
        <f>IF('Completed'!$B$43&lt;&gt;"",'Completed'!$B$43,"")</f>
        <v>2</v>
      </c>
      <c r="P44" s="68">
        <f ca="1">IF($N$44&lt;&gt;"", INDIRECT("'Tracker'!"&amp;ADDRESS(MATCH($N$44, Tracker[Anime Name], 0) + 2, 3)), "")</f>
        <v>24</v>
      </c>
      <c r="Q44" s="62" t="str">
        <f ca="1">IF($N$44&lt;&gt;"", INDIRECT("'Tracker'!"&amp;ADDRESS(MATCH($N$44, Tracker[Anime Name], 0) + 2, 4)), "")</f>
        <v>A</v>
      </c>
      <c r="R44" s="62" t="str">
        <f ca="1">IF($N$44&lt;&gt;"", INDIRECT("'Tracker'!"&amp;ADDRESS(MATCH($N$44, Tracker[Anime Name], 0) + 2, 5)), "")</f>
        <v>720p</v>
      </c>
      <c r="S44" s="62" t="str">
        <f ca="1">IF($N$44&lt;&gt;"", INDIRECT("'Tracker'!"&amp;ADDRESS(MATCH($N$44, Tracker[Anime Name], 0) + 2, 6)), "")</f>
        <v>BD</v>
      </c>
      <c r="T44" s="62" t="str">
        <f ca="1">IF($N$44&lt;&gt;"", INDIRECT("'Tracker'!"&amp;ADDRESS(MATCH($N$44, Tracker[Anime Name], 0) + 2, 7)), "")</f>
        <v>2010C</v>
      </c>
      <c r="U44" s="68" t="str">
        <f ca="1">IF($N$44&lt;&gt;"", INDIRECT("'Tracker'!"&amp;ADDRESS(MATCH($N$44, Tracker[Anime Name], 0) + 2, 8)), "")</f>
        <v>Coalgirls, UTW, Mazui</v>
      </c>
      <c r="V44" s="96">
        <f>IF('Completed'!$C$43&lt;&gt;"",'Completed'!$C$43,"")</f>
        <v>9</v>
      </c>
      <c r="W44" s="96">
        <f>IF('Completed'!$D$43&lt;&gt;"",'Completed'!$D$43,"")</f>
        <v>8</v>
      </c>
      <c r="X44" s="96">
        <f>IF('Completed'!$E$43&lt;&gt;"",'Completed'!$E$43,"")</f>
        <v>4</v>
      </c>
      <c r="Y44" s="96">
        <f>IF('Completed'!$F$43&lt;&gt;"",'Completed'!$F$43,"")</f>
        <v>9</v>
      </c>
      <c r="Z44" s="110">
        <f>IF('Completed'!$G$43&lt;&gt;"",'Completed'!$G$43,"")</f>
        <v>8.4924623115577891</v>
      </c>
      <c r="AA44" s="120">
        <f>IF('Completed'!$H$43&lt;&gt;"",'Completed'!$H$43,"")</f>
        <v>8.0158062888851518</v>
      </c>
      <c r="AB44" s="97">
        <f>IF('Completed'!$I$43&lt;&gt;"",'Completed'!$I$43,"")</f>
        <v>41468</v>
      </c>
      <c r="AC44" s="97">
        <f>IF('Completed'!$J$43&lt;&gt;"",'Completed'!$J$43,"")</f>
        <v>41470</v>
      </c>
      <c r="AD44" s="111" t="str">
        <f>IF('Completed'!$K$43&lt;&gt;"",'Completed'!$K$43,"")</f>
        <v>Misaka Mikoto</v>
      </c>
      <c r="AE44" s="111" t="str">
        <f>IF('Completed'!$L$43&lt;&gt;"",'Completed'!$L$43,"")</f>
        <v>Finale was a bit anticlimactic. S3 is in order</v>
      </c>
    </row>
    <row r="45" spans="1:31">
      <c r="A45" s="145"/>
      <c r="B45" s="146"/>
      <c r="C45" s="146"/>
      <c r="D45" s="146"/>
      <c r="E45" s="146"/>
      <c r="F45" s="146"/>
      <c r="G45" s="146"/>
      <c r="H45" s="146"/>
      <c r="J45" s="61" t="str">
        <f>IF(Backlog!$A$44&lt;&gt;"",Backlog!$A$44,"")</f>
        <v>The World God Only Knows II</v>
      </c>
      <c r="K45" s="68">
        <f>IF(Backlog!$B$44&lt;&gt;"",Backlog!$B$44,"")</f>
        <v>2</v>
      </c>
      <c r="L45" s="69" t="str">
        <f>IF(Backlog!$C$44&lt;&gt;"",Backlog!$C$44,"")</f>
        <v>DL</v>
      </c>
      <c r="N45" s="61" t="str">
        <f>IF('Completed'!$A$44&lt;&gt;"",'Completed'!$A$44,"")</f>
        <v>Hataraku Maou-sama</v>
      </c>
      <c r="O45" s="68">
        <f>IF('Completed'!$B$44&lt;&gt;"",'Completed'!$B$44,"")</f>
        <v>1</v>
      </c>
      <c r="P45" s="68">
        <f ca="1">IF($N$45&lt;&gt;"", INDIRECT("'Tracker'!"&amp;ADDRESS(MATCH($N$45, Tracker[Anime Name], 0) + 2, 3)), "")</f>
        <v>13</v>
      </c>
      <c r="Q45" s="62" t="str">
        <f ca="1">IF($N$45&lt;&gt;"", INDIRECT("'Tracker'!"&amp;ADDRESS(MATCH($N$45, Tracker[Anime Name], 0) + 2, 4)), "")</f>
        <v>A</v>
      </c>
      <c r="R45" s="62" t="str">
        <f ca="1">IF($N$45&lt;&gt;"", INDIRECT("'Tracker'!"&amp;ADDRESS(MATCH($N$45, Tracker[Anime Name], 0) + 2, 5)), "")</f>
        <v>720p</v>
      </c>
      <c r="S45" s="62" t="str">
        <f ca="1">IF($N$45&lt;&gt;"", INDIRECT("'Tracker'!"&amp;ADDRESS(MATCH($N$45, Tracker[Anime Name], 0) + 2, 6)), "")</f>
        <v>BD</v>
      </c>
      <c r="T45" s="62" t="str">
        <f ca="1">IF($N$45&lt;&gt;"", INDIRECT("'Tracker'!"&amp;ADDRESS(MATCH($N$45, Tracker[Anime Name], 0) + 2, 7)), "")</f>
        <v>2013A</v>
      </c>
      <c r="U45" s="68" t="str">
        <f ca="1">IF($N$45&lt;&gt;"", INDIRECT("'Tracker'!"&amp;ADDRESS(MATCH($N$45, Tracker[Anime Name], 0) + 2, 8)), "")</f>
        <v>FFF</v>
      </c>
      <c r="V45" s="96">
        <f>IF('Completed'!$C$44&lt;&gt;"",'Completed'!$C$44,"")</f>
        <v>8</v>
      </c>
      <c r="W45" s="96">
        <f>IF('Completed'!$D$44&lt;&gt;"",'Completed'!$D$44,"")</f>
        <v>8.5</v>
      </c>
      <c r="X45" s="96">
        <f>IF('Completed'!$E$44&lt;&gt;"",'Completed'!$E$44,"")</f>
        <v>5</v>
      </c>
      <c r="Y45" s="96">
        <f>IF('Completed'!$F$44&lt;&gt;"",'Completed'!$F$44,"")</f>
        <v>9</v>
      </c>
      <c r="Z45" s="110">
        <f>IF('Completed'!$G$44&lt;&gt;"",'Completed'!$G$44,"")</f>
        <v>8.4912060301507548</v>
      </c>
      <c r="AA45" s="120">
        <f>IF('Completed'!$H$44&lt;&gt;"",'Completed'!$H$44,"")</f>
        <v>8.0141247687909889</v>
      </c>
      <c r="AB45" s="97">
        <f>IF('Completed'!$I$44&lt;&gt;"",'Completed'!$I$44,"")</f>
        <v>41371</v>
      </c>
      <c r="AC45" s="97">
        <f>IF('Completed'!$J$44&lt;&gt;"",'Completed'!$J$44,"")</f>
        <v>41452</v>
      </c>
      <c r="AD45" s="111" t="str">
        <f>IF('Completed'!$K$44&lt;&gt;"",'Completed'!$K$44,"")</f>
        <v>Kamazuki Suzuno</v>
      </c>
      <c r="AE45" s="111" t="str">
        <f>IF('Completed'!$L$44&lt;&gt;"",'Completed'!$L$44,"")</f>
        <v/>
      </c>
    </row>
    <row r="46" spans="1:31">
      <c r="A46" s="145"/>
      <c r="B46" s="146"/>
      <c r="C46" s="146"/>
      <c r="D46" s="146"/>
      <c r="E46" s="146"/>
      <c r="F46" s="146"/>
      <c r="G46" s="146"/>
      <c r="H46" s="146"/>
      <c r="J46" s="61" t="str">
        <f>IF(Backlog!$A$45&lt;&gt;"",Backlog!$A$45,"")</f>
        <v>Toshokan Sensou</v>
      </c>
      <c r="K46" s="68">
        <f>IF(Backlog!$B$45&lt;&gt;"",Backlog!$B$45,"")</f>
        <v>1</v>
      </c>
      <c r="L46" s="69" t="str">
        <f>IF(Backlog!$C$45&lt;&gt;"",Backlog!$C$45,"")</f>
        <v>DL</v>
      </c>
      <c r="N46" s="61" t="str">
        <f>IF('Completed'!$A$45&lt;&gt;"",'Completed'!$A$45,"")</f>
        <v>Mekakucity Actors</v>
      </c>
      <c r="O46" s="68">
        <f>IF('Completed'!$B$45&lt;&gt;"",'Completed'!$B$45,"")</f>
        <v>1</v>
      </c>
      <c r="P46" s="68">
        <f ca="1">IF($N$46&lt;&gt;"", INDIRECT("'Tracker'!"&amp;ADDRESS(MATCH($N$46, Tracker[Anime Name], 0) + 2, 3)), "")</f>
        <v>12</v>
      </c>
      <c r="Q46" s="62" t="str">
        <f ca="1">IF($N$46&lt;&gt;"", INDIRECT("'Tracker'!"&amp;ADDRESS(MATCH($N$46, Tracker[Anime Name], 0) + 2, 4)), "")</f>
        <v>B</v>
      </c>
      <c r="R46" s="62" t="str">
        <f ca="1">IF($N$46&lt;&gt;"", INDIRECT("'Tracker'!"&amp;ADDRESS(MATCH($N$46, Tracker[Anime Name], 0) + 2, 5)), "")</f>
        <v>720p</v>
      </c>
      <c r="S46" s="62" t="str">
        <f ca="1">IF($N$46&lt;&gt;"", INDIRECT("'Tracker'!"&amp;ADDRESS(MATCH($N$46, Tracker[Anime Name], 0) + 2, 6)), "")</f>
        <v>TV</v>
      </c>
      <c r="T46" s="62" t="str">
        <f ca="1">IF($N$46&lt;&gt;"", INDIRECT("'Tracker'!"&amp;ADDRESS(MATCH($N$46, Tracker[Anime Name], 0) + 2, 7)), "")</f>
        <v>2014A</v>
      </c>
      <c r="U46" s="68" t="str">
        <f ca="1">IF($N$46&lt;&gt;"", INDIRECT("'Tracker'!"&amp;ADDRESS(MATCH($N$46, Tracker[Anime Name], 0) + 2, 8)), "")</f>
        <v>HorribleSubs</v>
      </c>
      <c r="V46" s="96">
        <f>IF('Completed'!$C$45&lt;&gt;"",'Completed'!$C$45,"")</f>
        <v>8.5</v>
      </c>
      <c r="W46" s="96">
        <f>IF('Completed'!$D$45&lt;&gt;"",'Completed'!$D$45,"")</f>
        <v>9</v>
      </c>
      <c r="X46" s="96">
        <f>IF('Completed'!$E$45&lt;&gt;"",'Completed'!$E$45,"")</f>
        <v>5.5</v>
      </c>
      <c r="Y46" s="96">
        <f>IF('Completed'!$F$45&lt;&gt;"",'Completed'!$F$45,"")</f>
        <v>8.5</v>
      </c>
      <c r="Z46" s="110">
        <f>IF('Completed'!$G$45&lt;&gt;"",'Completed'!$G$45,"")</f>
        <v>8.4912060301507548</v>
      </c>
      <c r="AA46" s="120">
        <f>IF('Completed'!$H$45&lt;&gt;"",'Completed'!$H$45,"")</f>
        <v>8.0141247687909889</v>
      </c>
      <c r="AB46" s="97">
        <f>IF('Completed'!$I$45&lt;&gt;"",'Completed'!$I$45,"")</f>
        <v>41785</v>
      </c>
      <c r="AC46" s="97">
        <f>IF('Completed'!$J$45&lt;&gt;"",'Completed'!$J$45,"")</f>
        <v>41818</v>
      </c>
      <c r="AD46" s="111" t="str">
        <f>IF('Completed'!$K$45&lt;&gt;"",'Completed'!$K$45,"")</f>
        <v>Ene (Enomoto Takane)</v>
      </c>
      <c r="AE46" s="111" t="str">
        <f>IF('Completed'!$L$45&lt;&gt;"",'Completed'!$L$45,"")</f>
        <v>Plot is a bit confusing to follow, but was a good show overall. Ayano needs more screentime.</v>
      </c>
    </row>
    <row r="47" spans="1:31">
      <c r="A47" s="145"/>
      <c r="B47" s="146"/>
      <c r="C47" s="146"/>
      <c r="D47" s="146"/>
      <c r="E47" s="146"/>
      <c r="F47" s="146"/>
      <c r="G47" s="146"/>
      <c r="H47" s="146"/>
      <c r="J47" s="61" t="str">
        <f>IF(Backlog!$A$46&lt;&gt;"",Backlog!$A$46,"")</f>
        <v>Uchouten Kazoku</v>
      </c>
      <c r="K47" s="68">
        <f>IF(Backlog!$B$46&lt;&gt;"",Backlog!$B$46,"")</f>
        <v>1</v>
      </c>
      <c r="L47" s="69" t="str">
        <f>IF(Backlog!$C$46&lt;&gt;"",Backlog!$C$46,"")</f>
        <v>DL</v>
      </c>
      <c r="N47" s="61" t="str">
        <f>IF('Completed'!$A$46&lt;&gt;"",'Completed'!$A$46,"")</f>
        <v>Gochuumon wa Usagi Desu ka?</v>
      </c>
      <c r="O47" s="68">
        <f>IF('Completed'!$B$46&lt;&gt;"",'Completed'!$B$46,"")</f>
        <v>1</v>
      </c>
      <c r="P47" s="68">
        <f ca="1">IF($N$47&lt;&gt;"", INDIRECT("'Tracker'!"&amp;ADDRESS(MATCH($N$47, Tracker[Anime Name], 0) + 2, 3)), "")</f>
        <v>12</v>
      </c>
      <c r="Q47" s="62" t="str">
        <f ca="1">IF($N$47&lt;&gt;"", INDIRECT("'Tracker'!"&amp;ADDRESS(MATCH($N$47, Tracker[Anime Name], 0) + 2, 4)), "")</f>
        <v>B</v>
      </c>
      <c r="R47" s="62" t="str">
        <f ca="1">IF($N$47&lt;&gt;"", INDIRECT("'Tracker'!"&amp;ADDRESS(MATCH($N$47, Tracker[Anime Name], 0) + 2, 5)), "")</f>
        <v>720p</v>
      </c>
      <c r="S47" s="62" t="str">
        <f ca="1">IF($N$47&lt;&gt;"", INDIRECT("'Tracker'!"&amp;ADDRESS(MATCH($N$47, Tracker[Anime Name], 0) + 2, 6)), "")</f>
        <v>TV</v>
      </c>
      <c r="T47" s="62" t="str">
        <f ca="1">IF($N$47&lt;&gt;"", INDIRECT("'Tracker'!"&amp;ADDRESS(MATCH($N$47, Tracker[Anime Name], 0) + 2, 7)), "")</f>
        <v>2014A</v>
      </c>
      <c r="U47" s="68" t="str">
        <f ca="1">IF($N$47&lt;&gt;"", INDIRECT("'Tracker'!"&amp;ADDRESS(MATCH($N$47, Tracker[Anime Name], 0) + 2, 8)), "")</f>
        <v>Vivid, EveTaku</v>
      </c>
      <c r="V47" s="96">
        <f>IF('Completed'!$C$46&lt;&gt;"",'Completed'!$C$46,"")</f>
        <v>4.5</v>
      </c>
      <c r="W47" s="96">
        <f>IF('Completed'!$D$46&lt;&gt;"",'Completed'!$D$46,"")</f>
        <v>9</v>
      </c>
      <c r="X47" s="96">
        <f>IF('Completed'!$E$46&lt;&gt;"",'Completed'!$E$46,"")</f>
        <v>10</v>
      </c>
      <c r="Y47" s="96">
        <f>IF('Completed'!$F$46&lt;&gt;"",'Completed'!$F$46,"")</f>
        <v>9.5</v>
      </c>
      <c r="Z47" s="110">
        <f>IF('Completed'!$G$46&lt;&gt;"",'Completed'!$G$46,"")</f>
        <v>8.4723618090452266</v>
      </c>
      <c r="AA47" s="120">
        <f>IF('Completed'!$H$46&lt;&gt;"",'Completed'!$H$46,"")</f>
        <v>7.9889019673785109</v>
      </c>
      <c r="AB47" s="97">
        <f>IF('Completed'!$I$46&lt;&gt;"",'Completed'!$I$46,"")</f>
        <v>41762</v>
      </c>
      <c r="AC47" s="97">
        <f>IF('Completed'!$J$46&lt;&gt;"",'Completed'!$J$46,"")</f>
        <v>41820</v>
      </c>
      <c r="AD47" s="111" t="str">
        <f>IF('Completed'!$K$46&lt;&gt;"",'Completed'!$K$46,"")</f>
        <v>Kafu Chino</v>
      </c>
      <c r="AE47" s="111" t="str">
        <f>IF('Completed'!$L$46&lt;&gt;"",'Completed'!$L$46,"")</f>
        <v/>
      </c>
    </row>
    <row r="48" spans="1:31">
      <c r="A48" s="145"/>
      <c r="B48" s="146"/>
      <c r="C48" s="146"/>
      <c r="D48" s="146"/>
      <c r="E48" s="146"/>
      <c r="F48" s="146"/>
      <c r="G48" s="146"/>
      <c r="H48" s="146"/>
      <c r="J48" s="61" t="str">
        <f>IF(Backlog!$A$47&lt;&gt;"",Backlog!$A$47,"")</f>
        <v>Welcome to the N.H.K!</v>
      </c>
      <c r="K48" s="68">
        <f>IF(Backlog!$B$47&lt;&gt;"",Backlog!$B$47,"")</f>
        <v>1</v>
      </c>
      <c r="L48" s="69" t="str">
        <f>IF(Backlog!$C$47&lt;&gt;"",Backlog!$C$47,"")</f>
        <v>DL</v>
      </c>
      <c r="N48" s="61" t="str">
        <f>IF('Completed'!$A$47&lt;&gt;"",'Completed'!$A$47,"")</f>
        <v>Ryuugajou Nanana no Maizoukin</v>
      </c>
      <c r="O48" s="68">
        <f>IF('Completed'!$B$47&lt;&gt;"",'Completed'!$B$47,"")</f>
        <v>1</v>
      </c>
      <c r="P48" s="68">
        <f ca="1">IF($N$48&lt;&gt;"", INDIRECT("'Tracker'!"&amp;ADDRESS(MATCH($N$48, Tracker[Anime Name], 0) + 2, 3)), "")</f>
        <v>11</v>
      </c>
      <c r="Q48" s="62" t="str">
        <f ca="1">IF($N$48&lt;&gt;"", INDIRECT("'Tracker'!"&amp;ADDRESS(MATCH($N$48, Tracker[Anime Name], 0) + 2, 4)), "")</f>
        <v>B</v>
      </c>
      <c r="R48" s="62" t="str">
        <f ca="1">IF($N$48&lt;&gt;"", INDIRECT("'Tracker'!"&amp;ADDRESS(MATCH($N$48, Tracker[Anime Name], 0) + 2, 5)), "")</f>
        <v>720p</v>
      </c>
      <c r="S48" s="62" t="str">
        <f ca="1">IF($N$48&lt;&gt;"", INDIRECT("'Tracker'!"&amp;ADDRESS(MATCH($N$48, Tracker[Anime Name], 0) + 2, 6)), "")</f>
        <v>TV</v>
      </c>
      <c r="T48" s="62" t="str">
        <f ca="1">IF($N$48&lt;&gt;"", INDIRECT("'Tracker'!"&amp;ADDRESS(MATCH($N$48, Tracker[Anime Name], 0) + 2, 7)), "")</f>
        <v>2014A</v>
      </c>
      <c r="U48" s="68" t="str">
        <f ca="1">IF($N$48&lt;&gt;"", INDIRECT("'Tracker'!"&amp;ADDRESS(MATCH($N$48, Tracker[Anime Name], 0) + 2, 8)), "")</f>
        <v>FFF</v>
      </c>
      <c r="V48" s="96">
        <f>IF('Completed'!$C$47&lt;&gt;"",'Completed'!$C$47,"")</f>
        <v>9</v>
      </c>
      <c r="W48" s="96">
        <f>IF('Completed'!$D$47&lt;&gt;"",'Completed'!$D$47,"")</f>
        <v>8.5</v>
      </c>
      <c r="X48" s="96">
        <f>IF('Completed'!$E$47&lt;&gt;"",'Completed'!$E$47,"")</f>
        <v>5.5</v>
      </c>
      <c r="Y48" s="96">
        <f>IF('Completed'!$F$47&lt;&gt;"",'Completed'!$F$47,"")</f>
        <v>8.5</v>
      </c>
      <c r="Z48" s="110">
        <f>IF('Completed'!$G$47&lt;&gt;"",'Completed'!$G$47,"")</f>
        <v>8.4484924623115578</v>
      </c>
      <c r="AA48" s="120">
        <f>IF('Completed'!$H$47&lt;&gt;"",'Completed'!$H$47,"")</f>
        <v>7.9569530855893724</v>
      </c>
      <c r="AB48" s="97">
        <f>IF('Completed'!$I$47&lt;&gt;"",'Completed'!$I$47,"")</f>
        <v>41786</v>
      </c>
      <c r="AC48" s="97">
        <f>IF('Completed'!$J$47&lt;&gt;"",'Completed'!$J$47,"")</f>
        <v>41812</v>
      </c>
      <c r="AD48" s="111" t="str">
        <f>IF('Completed'!$K$47&lt;&gt;"",'Completed'!$K$47,"")</f>
        <v>Ryuugajou Nanana</v>
      </c>
      <c r="AE48" s="111" t="str">
        <f>IF('Completed'!$L$47&lt;&gt;"",'Completed'!$L$47,"")</f>
        <v/>
      </c>
    </row>
    <row r="49" spans="1:31">
      <c r="A49" s="145"/>
      <c r="B49" s="146"/>
      <c r="C49" s="146"/>
      <c r="D49" s="146"/>
      <c r="E49" s="146"/>
      <c r="F49" s="146"/>
      <c r="G49" s="146"/>
      <c r="H49" s="146"/>
      <c r="J49" s="61" t="str">
        <f>IF(Backlog!$A$48&lt;&gt;"",Backlog!$A$48,"")</f>
        <v>White Album</v>
      </c>
      <c r="K49" s="68">
        <f>IF(Backlog!$B$48&lt;&gt;"",Backlog!$B$48,"")</f>
        <v>1</v>
      </c>
      <c r="L49" s="69" t="str">
        <f>IF(Backlog!$C$48&lt;&gt;"",Backlog!$C$48,"")</f>
        <v>DL</v>
      </c>
      <c r="N49" s="61" t="str">
        <f>IF('Completed'!$A$48&lt;&gt;"",'Completed'!$A$48,"")</f>
        <v>Sakurasou no Pet Na Kanojo</v>
      </c>
      <c r="O49" s="68">
        <f>IF('Completed'!$B$48&lt;&gt;"",'Completed'!$B$48,"")</f>
        <v>1</v>
      </c>
      <c r="P49" s="68">
        <f ca="1">IF($N$49&lt;&gt;"", INDIRECT("'Tracker'!"&amp;ADDRESS(MATCH($N$49, Tracker[Anime Name], 0) + 2, 3)), "")</f>
        <v>24</v>
      </c>
      <c r="Q49" s="62" t="str">
        <f ca="1">IF($N$49&lt;&gt;"", INDIRECT("'Tracker'!"&amp;ADDRESS(MATCH($N$49, Tracker[Anime Name], 0) + 2, 4)), "")</f>
        <v>A</v>
      </c>
      <c r="R49" s="62" t="str">
        <f ca="1">IF($N$49&lt;&gt;"", INDIRECT("'Tracker'!"&amp;ADDRESS(MATCH($N$49, Tracker[Anime Name], 0) + 2, 5)), "")</f>
        <v>720p</v>
      </c>
      <c r="S49" s="62" t="str">
        <f ca="1">IF($N$49&lt;&gt;"", INDIRECT("'Tracker'!"&amp;ADDRESS(MATCH($N$49, Tracker[Anime Name], 0) + 2, 6)), "")</f>
        <v>BD</v>
      </c>
      <c r="T49" s="62" t="str">
        <f ca="1">IF($N$49&lt;&gt;"", INDIRECT("'Tracker'!"&amp;ADDRESS(MATCH($N$49, Tracker[Anime Name], 0) + 2, 7)), "")</f>
        <v>2012C</v>
      </c>
      <c r="U49" s="68" t="str">
        <f ca="1">IF($N$49&lt;&gt;"", INDIRECT("'Tracker'!"&amp;ADDRESS(MATCH($N$49, Tracker[Anime Name], 0) + 2, 8)), "")</f>
        <v>Coalgirls, EveTaku</v>
      </c>
      <c r="V49" s="96">
        <f>IF('Completed'!$C$48&lt;&gt;"",'Completed'!$C$48,"")</f>
        <v>8.5</v>
      </c>
      <c r="W49" s="96">
        <f>IF('Completed'!$D$48&lt;&gt;"",'Completed'!$D$48,"")</f>
        <v>8</v>
      </c>
      <c r="X49" s="96">
        <f>IF('Completed'!$E$48&lt;&gt;"",'Completed'!$E$48,"")</f>
        <v>5</v>
      </c>
      <c r="Y49" s="96">
        <f>IF('Completed'!$F$48&lt;&gt;"",'Completed'!$F$48,"")</f>
        <v>9</v>
      </c>
      <c r="Z49" s="110">
        <f>IF('Completed'!$G$48&lt;&gt;"",'Completed'!$G$48,"")</f>
        <v>8.4484924623115578</v>
      </c>
      <c r="AA49" s="120">
        <f>IF('Completed'!$H$48&lt;&gt;"",'Completed'!$H$48,"")</f>
        <v>7.9569530855893724</v>
      </c>
      <c r="AB49" s="97">
        <f>IF('Completed'!$I$48&lt;&gt;"",'Completed'!$I$48,"")</f>
        <v>41261</v>
      </c>
      <c r="AC49" s="97">
        <f>IF('Completed'!$J$48&lt;&gt;"",'Completed'!$J$48,"")</f>
        <v>41359</v>
      </c>
      <c r="AD49" s="111" t="str">
        <f>IF('Completed'!$K$48&lt;&gt;"",'Completed'!$K$48,"")</f>
        <v>Shiina Mashiro</v>
      </c>
      <c r="AE49" s="111" t="str">
        <f>IF('Completed'!$L$48&lt;&gt;"",'Completed'!$L$48,"")</f>
        <v/>
      </c>
    </row>
    <row r="50" spans="1:31">
      <c r="A50" s="145"/>
      <c r="B50" s="146"/>
      <c r="C50" s="146"/>
      <c r="D50" s="146"/>
      <c r="E50" s="146"/>
      <c r="F50" s="146"/>
      <c r="G50" s="146"/>
      <c r="H50" s="146"/>
      <c r="J50" s="61" t="str">
        <f>IF(Backlog!$A$49&lt;&gt;"",Backlog!$A$49,"")</f>
        <v>Zero no Tsukaima</v>
      </c>
      <c r="K50" s="68">
        <f>IF(Backlog!$B$49&lt;&gt;"",Backlog!$B$49,"")</f>
        <v>1</v>
      </c>
      <c r="L50" s="69" t="str">
        <f>IF(Backlog!$C$49&lt;&gt;"",Backlog!$C$49,"")</f>
        <v>DL</v>
      </c>
      <c r="N50" s="61" t="str">
        <f>IF('Completed'!$A$49&lt;&gt;"",'Completed'!$A$49,"")</f>
        <v>Noragami</v>
      </c>
      <c r="O50" s="68">
        <f>IF('Completed'!$B$49&lt;&gt;"",'Completed'!$B$49,"")</f>
        <v>1</v>
      </c>
      <c r="P50" s="68">
        <f ca="1">IF($N$50&lt;&gt;"", INDIRECT("'Tracker'!"&amp;ADDRESS(MATCH($N$50, Tracker[Anime Name], 0) + 2, 3)), "")</f>
        <v>12</v>
      </c>
      <c r="Q50" s="62" t="str">
        <f ca="1">IF($N$50&lt;&gt;"", INDIRECT("'Tracker'!"&amp;ADDRESS(MATCH($N$50, Tracker[Anime Name], 0) + 2, 4)), "")</f>
        <v>B</v>
      </c>
      <c r="R50" s="62" t="str">
        <f ca="1">IF($N$50&lt;&gt;"", INDIRECT("'Tracker'!"&amp;ADDRESS(MATCH($N$50, Tracker[Anime Name], 0) + 2, 5)), "")</f>
        <v>720p</v>
      </c>
      <c r="S50" s="62" t="str">
        <f ca="1">IF($N$50&lt;&gt;"", INDIRECT("'Tracker'!"&amp;ADDRESS(MATCH($N$50, Tracker[Anime Name], 0) + 2, 6)), "")</f>
        <v>TV</v>
      </c>
      <c r="T50" s="62" t="str">
        <f ca="1">IF($N$50&lt;&gt;"", INDIRECT("'Tracker'!"&amp;ADDRESS(MATCH($N$50, Tracker[Anime Name], 0) + 2, 7)), "")</f>
        <v>2013D</v>
      </c>
      <c r="U50" s="68" t="str">
        <f ca="1">IF($N$50&lt;&gt;"", INDIRECT("'Tracker'!"&amp;ADDRESS(MATCH($N$50, Tracker[Anime Name], 0) + 2, 8)), "")</f>
        <v>FFF</v>
      </c>
      <c r="V50" s="96">
        <f>IF('Completed'!$C$49&lt;&gt;"",'Completed'!$C$49,"")</f>
        <v>9</v>
      </c>
      <c r="W50" s="96">
        <f>IF('Completed'!$D$49&lt;&gt;"",'Completed'!$D$49,"")</f>
        <v>8.5</v>
      </c>
      <c r="X50" s="96">
        <f>IF('Completed'!$E$49&lt;&gt;"",'Completed'!$E$49,"")</f>
        <v>5</v>
      </c>
      <c r="Y50" s="96">
        <f>IF('Completed'!$F$49&lt;&gt;"",'Completed'!$F$49,"")</f>
        <v>8.5</v>
      </c>
      <c r="Z50" s="110">
        <f>IF('Completed'!$G$49&lt;&gt;"",'Completed'!$G$49,"")</f>
        <v>8.424623115577889</v>
      </c>
      <c r="AA50" s="120">
        <f>IF('Completed'!$H$49&lt;&gt;"",'Completed'!$H$49,"")</f>
        <v>7.9250042038002348</v>
      </c>
      <c r="AB50" s="97">
        <f>IF('Completed'!$I$49&lt;&gt;"",'Completed'!$I$49,"")</f>
        <v>41647</v>
      </c>
      <c r="AC50" s="97">
        <f>IF('Completed'!$J$49&lt;&gt;"",'Completed'!$J$49,"")</f>
        <v>41726</v>
      </c>
      <c r="AD50" s="111" t="str">
        <f>IF('Completed'!$K$49&lt;&gt;"",'Completed'!$K$49,"")</f>
        <v>Iki Hiyori</v>
      </c>
      <c r="AE50" s="111" t="str">
        <f>IF('Completed'!$L$49&lt;&gt;"",'Completed'!$L$49,"")</f>
        <v/>
      </c>
    </row>
    <row r="51" spans="1:31">
      <c r="A51" s="145"/>
      <c r="B51" s="146"/>
      <c r="C51" s="146"/>
      <c r="D51" s="146"/>
      <c r="E51" s="146"/>
      <c r="F51" s="146"/>
      <c r="G51" s="146"/>
      <c r="H51" s="146"/>
      <c r="J51" s="61" t="str">
        <f>IF(Backlog!$A$50&lt;&gt;"",Backlog!$A$50,"")</f>
        <v>Zero no Tsukaima F</v>
      </c>
      <c r="K51" s="68">
        <f>IF(Backlog!$B$50&lt;&gt;"",Backlog!$B$50,"")</f>
        <v>2</v>
      </c>
      <c r="L51" s="69" t="str">
        <f>IF(Backlog!$C$50&lt;&gt;"",Backlog!$C$50,"")</f>
        <v>DL</v>
      </c>
      <c r="N51" s="61" t="str">
        <f>IF('Completed'!$A$50&lt;&gt;"",'Completed'!$A$50,"")</f>
        <v>K-On!!</v>
      </c>
      <c r="O51" s="68">
        <f>IF('Completed'!$B$50&lt;&gt;"",'Completed'!$B$50,"")</f>
        <v>2</v>
      </c>
      <c r="P51" s="68">
        <f ca="1">IF($N$51&lt;&gt;"", INDIRECT("'Tracker'!"&amp;ADDRESS(MATCH($N$51, Tracker[Anime Name], 0) + 2, 3)), "")</f>
        <v>24</v>
      </c>
      <c r="Q51" s="62" t="str">
        <f ca="1">IF($N$51&lt;&gt;"", INDIRECT("'Tracker'!"&amp;ADDRESS(MATCH($N$51, Tracker[Anime Name], 0) + 2, 4)), "")</f>
        <v>A</v>
      </c>
      <c r="R51" s="62" t="str">
        <f ca="1">IF($N$51&lt;&gt;"", INDIRECT("'Tracker'!"&amp;ADDRESS(MATCH($N$51, Tracker[Anime Name], 0) + 2, 5)), "")</f>
        <v>720p</v>
      </c>
      <c r="S51" s="62" t="str">
        <f ca="1">IF($N$51&lt;&gt;"", INDIRECT("'Tracker'!"&amp;ADDRESS(MATCH($N$51, Tracker[Anime Name], 0) + 2, 6)), "")</f>
        <v>BD</v>
      </c>
      <c r="T51" s="62" t="str">
        <f ca="1">IF($N$51&lt;&gt;"", INDIRECT("'Tracker'!"&amp;ADDRESS(MATCH($N$51, Tracker[Anime Name], 0) + 2, 7)), "")</f>
        <v>2010A</v>
      </c>
      <c r="U51" s="68" t="str">
        <f ca="1">IF($N$51&lt;&gt;"", INDIRECT("'Tracker'!"&amp;ADDRESS(MATCH($N$51, Tracker[Anime Name], 0) + 2, 8)), "")</f>
        <v>Elysium</v>
      </c>
      <c r="V51" s="96">
        <f>IF('Completed'!$C$50&lt;&gt;"",'Completed'!$C$50,"")</f>
        <v>6.5</v>
      </c>
      <c r="W51" s="96">
        <f>IF('Completed'!$D$50&lt;&gt;"",'Completed'!$D$50,"")</f>
        <v>7.5</v>
      </c>
      <c r="X51" s="96">
        <f>IF('Completed'!$E$50&lt;&gt;"",'Completed'!$E$50,"")</f>
        <v>9</v>
      </c>
      <c r="Y51" s="96">
        <f>IF('Completed'!$F$50&lt;&gt;"",'Completed'!$F$50,"")</f>
        <v>9.5</v>
      </c>
      <c r="Z51" s="110">
        <f>IF('Completed'!$G$50&lt;&gt;"",'Completed'!$G$50,"")</f>
        <v>8.3881909547738704</v>
      </c>
      <c r="AA51" s="120">
        <f>IF('Completed'!$H$50&lt;&gt;"",'Completed'!$H$50,"")</f>
        <v>7.8762401210694479</v>
      </c>
      <c r="AB51" s="97">
        <f>IF('Completed'!$I$50&lt;&gt;"",'Completed'!$I$50,"")</f>
        <v>41338</v>
      </c>
      <c r="AC51" s="97">
        <f>IF('Completed'!$J$50&lt;&gt;"",'Completed'!$J$50,"")</f>
        <v>41340</v>
      </c>
      <c r="AD51" s="111" t="str">
        <f>IF('Completed'!$K$50&lt;&gt;"",'Completed'!$K$50,"")</f>
        <v>Nakano Azusa</v>
      </c>
      <c r="AE51" s="111" t="str">
        <f>IF('Completed'!$L$50&lt;&gt;"",'Completed'!$L$50,"")</f>
        <v>Deserves more than what it gets called online</v>
      </c>
    </row>
    <row r="52" spans="1:31">
      <c r="A52" s="145"/>
      <c r="B52" s="146"/>
      <c r="C52" s="146"/>
      <c r="D52" s="146"/>
      <c r="E52" s="146"/>
      <c r="F52" s="146"/>
      <c r="G52" s="146"/>
      <c r="H52" s="146"/>
      <c r="J52" s="61" t="str">
        <f>IF(Backlog!$A$51&lt;&gt;"",Backlog!$A$51,"")</f>
        <v>Zero no Tsukaima Futatsuki no Kishi</v>
      </c>
      <c r="K52" s="68">
        <f>IF(Backlog!$B$51&lt;&gt;"",Backlog!$B$51,"")</f>
        <v>3</v>
      </c>
      <c r="L52" s="69" t="str">
        <f>IF(Backlog!$C$51&lt;&gt;"",Backlog!$C$51,"")</f>
        <v>DL</v>
      </c>
      <c r="N52" s="61" t="str">
        <f>IF('Completed'!$A$51&lt;&gt;"",'Completed'!$A$51,"")</f>
        <v>Kyoukai no Kanata</v>
      </c>
      <c r="O52" s="68">
        <f>IF('Completed'!$B$51&lt;&gt;"",'Completed'!$B$51,"")</f>
        <v>1</v>
      </c>
      <c r="P52" s="68">
        <f ca="1">IF($N$52&lt;&gt;"", INDIRECT("'Tracker'!"&amp;ADDRESS(MATCH($N$52, Tracker[Anime Name], 0) + 2, 3)), "")</f>
        <v>12</v>
      </c>
      <c r="Q52" s="62" t="str">
        <f ca="1">IF($N$52&lt;&gt;"", INDIRECT("'Tracker'!"&amp;ADDRESS(MATCH($N$52, Tracker[Anime Name], 0) + 2, 4)), "")</f>
        <v>B</v>
      </c>
      <c r="R52" s="62" t="str">
        <f ca="1">IF($N$52&lt;&gt;"", INDIRECT("'Tracker'!"&amp;ADDRESS(MATCH($N$52, Tracker[Anime Name], 0) + 2, 5)), "")</f>
        <v>720p</v>
      </c>
      <c r="S52" s="62" t="str">
        <f ca="1">IF($N$52&lt;&gt;"", INDIRECT("'Tracker'!"&amp;ADDRESS(MATCH($N$52, Tracker[Anime Name], 0) + 2, 6)), "")</f>
        <v>TV</v>
      </c>
      <c r="T52" s="62" t="str">
        <f ca="1">IF($N$52&lt;&gt;"", INDIRECT("'Tracker'!"&amp;ADDRESS(MATCH($N$52, Tracker[Anime Name], 0) + 2, 7)), "")</f>
        <v>2013C</v>
      </c>
      <c r="U52" s="68" t="str">
        <f ca="1">IF($N$52&lt;&gt;"", INDIRECT("'Tracker'!"&amp;ADDRESS(MATCH($N$52, Tracker[Anime Name], 0) + 2, 8)), "")</f>
        <v>UTW</v>
      </c>
      <c r="V52" s="96">
        <f>IF('Completed'!$C$51&lt;&gt;"",'Completed'!$C$51,"")</f>
        <v>8.5</v>
      </c>
      <c r="W52" s="96">
        <f>IF('Completed'!$D$51&lt;&gt;"",'Completed'!$D$51,"")</f>
        <v>8.5</v>
      </c>
      <c r="X52" s="96">
        <f>IF('Completed'!$E$51&lt;&gt;"",'Completed'!$E$51,"")</f>
        <v>6</v>
      </c>
      <c r="Y52" s="96">
        <f>IF('Completed'!$F$51&lt;&gt;"",'Completed'!$F$51,"")</f>
        <v>8.5</v>
      </c>
      <c r="Z52" s="110">
        <f>IF('Completed'!$G$51&lt;&gt;"",'Completed'!$G$51,"")</f>
        <v>8.3806532663316595</v>
      </c>
      <c r="AA52" s="120">
        <f>IF('Completed'!$H$51&lt;&gt;"",'Completed'!$H$51,"")</f>
        <v>7.8661510005044573</v>
      </c>
      <c r="AB52" s="97">
        <f>IF('Completed'!$I$51&lt;&gt;"",'Completed'!$I$51,"")</f>
        <v>41550</v>
      </c>
      <c r="AC52" s="97">
        <f>IF('Completed'!$J$51&lt;&gt;"",'Completed'!$J$51,"")</f>
        <v>41628</v>
      </c>
      <c r="AD52" s="111" t="str">
        <f>IF('Completed'!$K$51&lt;&gt;"",'Completed'!$K$51,"")</f>
        <v>Ai</v>
      </c>
      <c r="AE52" s="111" t="str">
        <f>IF('Completed'!$L$51&lt;&gt;"",'Completed'!$L$51,"")</f>
        <v>KyoAni action scenes are cool</v>
      </c>
    </row>
    <row r="53" spans="1:31">
      <c r="A53" s="145"/>
      <c r="B53" s="146"/>
      <c r="C53" s="146"/>
      <c r="D53" s="146"/>
      <c r="E53" s="146"/>
      <c r="F53" s="146"/>
      <c r="G53" s="146"/>
      <c r="H53" s="146"/>
      <c r="J53" s="61" t="str">
        <f>IF(Backlog!$A$52&lt;&gt;"",Backlog!$A$52,"")</f>
        <v>Zero no Tsukaima Princes no Rondo</v>
      </c>
      <c r="K53" s="68">
        <f>IF(Backlog!$B$52&lt;&gt;"",Backlog!$B$52,"")</f>
        <v>4</v>
      </c>
      <c r="L53" s="69" t="str">
        <f>IF(Backlog!$C$52&lt;&gt;"",Backlog!$C$52,"")</f>
        <v>DL</v>
      </c>
      <c r="N53" s="61" t="str">
        <f>IF('Completed'!$A$52&lt;&gt;"",'Completed'!$A$52,"")</f>
        <v>Lucky ★ Star</v>
      </c>
      <c r="O53" s="68">
        <f>IF('Completed'!$B$52&lt;&gt;"",'Completed'!$B$52,"")</f>
        <v>1</v>
      </c>
      <c r="P53" s="68">
        <f ca="1">IF($N$53&lt;&gt;"", INDIRECT("'Tracker'!"&amp;ADDRESS(MATCH($N$53, Tracker[Anime Name], 0) + 2, 3)), "")</f>
        <v>24</v>
      </c>
      <c r="Q53" s="62" t="str">
        <f ca="1">IF($N$53&lt;&gt;"", INDIRECT("'Tracker'!"&amp;ADDRESS(MATCH($N$53, Tracker[Anime Name], 0) + 2, 4)), "")</f>
        <v>A</v>
      </c>
      <c r="R53" s="62" t="str">
        <f ca="1">IF($N$53&lt;&gt;"", INDIRECT("'Tracker'!"&amp;ADDRESS(MATCH($N$53, Tracker[Anime Name], 0) + 2, 5)), "")</f>
        <v>720p</v>
      </c>
      <c r="S53" s="62" t="str">
        <f ca="1">IF($N$53&lt;&gt;"", INDIRECT("'Tracker'!"&amp;ADDRESS(MATCH($N$53, Tracker[Anime Name], 0) + 2, 6)), "")</f>
        <v>BD</v>
      </c>
      <c r="T53" s="62" t="str">
        <f ca="1">IF($N$53&lt;&gt;"", INDIRECT("'Tracker'!"&amp;ADDRESS(MATCH($N$53, Tracker[Anime Name], 0) + 2, 7)), "")</f>
        <v>2007A</v>
      </c>
      <c r="U53" s="68" t="str">
        <f ca="1">IF($N$53&lt;&gt;"", INDIRECT("'Tracker'!"&amp;ADDRESS(MATCH($N$53, Tracker[Anime Name], 0) + 2, 8)), "")</f>
        <v>Doki</v>
      </c>
      <c r="V53" s="96">
        <f>IF('Completed'!$C$52&lt;&gt;"",'Completed'!$C$52,"")</f>
        <v>4</v>
      </c>
      <c r="W53" s="96">
        <f>IF('Completed'!$D$52&lt;&gt;"",'Completed'!$D$52,"")</f>
        <v>9</v>
      </c>
      <c r="X53" s="96">
        <f>IF('Completed'!$E$52&lt;&gt;"",'Completed'!$E$52,"")</f>
        <v>10</v>
      </c>
      <c r="Y53" s="96">
        <f>IF('Completed'!$F$52&lt;&gt;"",'Completed'!$F$52,"")</f>
        <v>9.5</v>
      </c>
      <c r="Z53" s="110">
        <f>IF('Completed'!$G$52&lt;&gt;"",'Completed'!$G$52,"")</f>
        <v>8.3806532663316595</v>
      </c>
      <c r="AA53" s="120">
        <f>IF('Completed'!$H$52&lt;&gt;"",'Completed'!$H$52,"")</f>
        <v>7.8661510005044573</v>
      </c>
      <c r="AB53" s="97">
        <f>IF('Completed'!$I$52&lt;&gt;"",'Completed'!$I$52,"")</f>
        <v>41300</v>
      </c>
      <c r="AC53" s="97">
        <f>IF('Completed'!$J$52&lt;&gt;"",'Completed'!$J$52,"")</f>
        <v>41302</v>
      </c>
      <c r="AD53" s="111" t="str">
        <f>IF('Completed'!$K$52&lt;&gt;"",'Completed'!$K$52,"")</f>
        <v>Hiiragi Kagami</v>
      </c>
      <c r="AE53" s="111" t="str">
        <f>IF('Completed'!$L$52&lt;&gt;"",'Completed'!$L$52,"")</f>
        <v>Much better than I thought it would be</v>
      </c>
    </row>
    <row r="54" spans="1:31">
      <c r="A54" s="145"/>
      <c r="B54" s="146"/>
      <c r="C54" s="146"/>
      <c r="D54" s="146"/>
      <c r="E54" s="146"/>
      <c r="F54" s="146"/>
      <c r="G54" s="146"/>
      <c r="H54" s="146"/>
      <c r="J54" s="61" t="str">
        <f>IF(Backlog!$A$53&lt;&gt;"",Backlog!$A$53,"")</f>
        <v>Accel World</v>
      </c>
      <c r="K54" s="68">
        <f>IF(Backlog!$B$53&lt;&gt;"",Backlog!$B$53,"")</f>
        <v>1</v>
      </c>
      <c r="L54" s="69" t="str">
        <f>IF(Backlog!$C$53&lt;&gt;"",Backlog!$C$53,"")</f>
        <v>NA</v>
      </c>
      <c r="N54" s="61" t="str">
        <f>IF('Completed'!$A$53&lt;&gt;"",'Completed'!$A$53,"")</f>
        <v>Maoyuu Maou Yuusha</v>
      </c>
      <c r="O54" s="68">
        <f>IF('Completed'!$B$53&lt;&gt;"",'Completed'!$B$53,"")</f>
        <v>1</v>
      </c>
      <c r="P54" s="68">
        <f ca="1">IF($N$54&lt;&gt;"", INDIRECT("'Tracker'!"&amp;ADDRESS(MATCH($N$54, Tracker[Anime Name], 0) + 2, 3)), "")</f>
        <v>12</v>
      </c>
      <c r="Q54" s="62" t="str">
        <f ca="1">IF($N$54&lt;&gt;"", INDIRECT("'Tracker'!"&amp;ADDRESS(MATCH($N$54, Tracker[Anime Name], 0) + 2, 4)), "")</f>
        <v>A</v>
      </c>
      <c r="R54" s="62" t="str">
        <f ca="1">IF($N$54&lt;&gt;"", INDIRECT("'Tracker'!"&amp;ADDRESS(MATCH($N$54, Tracker[Anime Name], 0) + 2, 5)), "")</f>
        <v>720p</v>
      </c>
      <c r="S54" s="62" t="str">
        <f ca="1">IF($N$54&lt;&gt;"", INDIRECT("'Tracker'!"&amp;ADDRESS(MATCH($N$54, Tracker[Anime Name], 0) + 2, 6)), "")</f>
        <v>BD</v>
      </c>
      <c r="T54" s="62" t="str">
        <f ca="1">IF($N$54&lt;&gt;"", INDIRECT("'Tracker'!"&amp;ADDRESS(MATCH($N$54, Tracker[Anime Name], 0) + 2, 7)), "")</f>
        <v>2012D</v>
      </c>
      <c r="U54" s="68" t="str">
        <f ca="1">IF($N$54&lt;&gt;"", INDIRECT("'Tracker'!"&amp;ADDRESS(MATCH($N$54, Tracker[Anime Name], 0) + 2, 8)), "")</f>
        <v>AnimeNOW</v>
      </c>
      <c r="V54" s="96">
        <f>IF('Completed'!$C$53&lt;&gt;"",'Completed'!$C$53,"")</f>
        <v>9</v>
      </c>
      <c r="W54" s="96">
        <f>IF('Completed'!$D$53&lt;&gt;"",'Completed'!$D$53,"")</f>
        <v>8.5</v>
      </c>
      <c r="X54" s="96">
        <f>IF('Completed'!$E$53&lt;&gt;"",'Completed'!$E$53,"")</f>
        <v>3</v>
      </c>
      <c r="Y54" s="96">
        <f>IF('Completed'!$F$53&lt;&gt;"",'Completed'!$F$53,"")</f>
        <v>8.5</v>
      </c>
      <c r="Z54" s="110">
        <f>IF('Completed'!$G$53&lt;&gt;"",'Completed'!$G$53,"")</f>
        <v>8.3291457286432156</v>
      </c>
      <c r="AA54" s="120">
        <f>IF('Completed'!$H$53&lt;&gt;"",'Completed'!$H$53,"")</f>
        <v>7.7972086766436846</v>
      </c>
      <c r="AB54" s="97">
        <f>IF('Completed'!$I$53&lt;&gt;"",'Completed'!$I$53,"")</f>
        <v>41411</v>
      </c>
      <c r="AC54" s="97">
        <f>IF('Completed'!$J$53&lt;&gt;"",'Completed'!$J$53,"")</f>
        <v>41413</v>
      </c>
      <c r="AD54" s="111" t="str">
        <f>IF('Completed'!$K$53&lt;&gt;"",'Completed'!$K$53,"")</f>
        <v>Onna Mahoutsukai</v>
      </c>
      <c r="AE54" s="111" t="str">
        <f>IF('Completed'!$L$53&lt;&gt;"",'Completed'!$L$53,"")</f>
        <v/>
      </c>
    </row>
    <row r="55" spans="1:31">
      <c r="A55" s="145"/>
      <c r="B55" s="146"/>
      <c r="C55" s="146"/>
      <c r="D55" s="146"/>
      <c r="E55" s="146"/>
      <c r="F55" s="146"/>
      <c r="G55" s="146"/>
      <c r="H55" s="146"/>
      <c r="J55" s="61" t="str">
        <f>IF(Backlog!$A$54&lt;&gt;"",Backlog!$A$54,"")</f>
        <v>Card Captor Sakura</v>
      </c>
      <c r="K55" s="68">
        <f>IF(Backlog!$B$54&lt;&gt;"",Backlog!$B$54,"")</f>
        <v>1</v>
      </c>
      <c r="L55" s="69" t="str">
        <f>IF(Backlog!$C$54&lt;&gt;"",Backlog!$C$54,"")</f>
        <v>NA</v>
      </c>
      <c r="N55" s="61" t="str">
        <f>IF('Completed'!$A$54&lt;&gt;"",'Completed'!$A$54,"")</f>
        <v>Boku wa Tomodachi ga Sukunai NEXT</v>
      </c>
      <c r="O55" s="68">
        <f>IF('Completed'!$B$54&lt;&gt;"",'Completed'!$B$54,"")</f>
        <v>2</v>
      </c>
      <c r="P55" s="68">
        <f ca="1">IF($N$55&lt;&gt;"", INDIRECT("'Tracker'!"&amp;ADDRESS(MATCH($N$55, Tracker[Anime Name], 0) + 2, 3)), "")</f>
        <v>12</v>
      </c>
      <c r="Q55" s="62" t="str">
        <f ca="1">IF($N$55&lt;&gt;"", INDIRECT("'Tracker'!"&amp;ADDRESS(MATCH($N$55, Tracker[Anime Name], 0) + 2, 4)), "")</f>
        <v>A</v>
      </c>
      <c r="R55" s="62" t="str">
        <f ca="1">IF($N$55&lt;&gt;"", INDIRECT("'Tracker'!"&amp;ADDRESS(MATCH($N$55, Tracker[Anime Name], 0) + 2, 5)), "")</f>
        <v>720p</v>
      </c>
      <c r="S55" s="62" t="str">
        <f ca="1">IF($N$55&lt;&gt;"", INDIRECT("'Tracker'!"&amp;ADDRESS(MATCH($N$55, Tracker[Anime Name], 0) + 2, 6)), "")</f>
        <v>TV</v>
      </c>
      <c r="T55" s="62" t="str">
        <f ca="1">IF($N$55&lt;&gt;"", INDIRECT("'Tracker'!"&amp;ADDRESS(MATCH($N$55, Tracker[Anime Name], 0) + 2, 7)), "")</f>
        <v>2012D</v>
      </c>
      <c r="U55" s="68" t="str">
        <f ca="1">IF($N$55&lt;&gt;"", INDIRECT("'Tracker'!"&amp;ADDRESS(MATCH($N$55, Tracker[Anime Name], 0) + 2, 8)), "")</f>
        <v>Mazui</v>
      </c>
      <c r="V55" s="96">
        <f>IF('Completed'!$C$54&lt;&gt;"",'Completed'!$C$54,"")</f>
        <v>9</v>
      </c>
      <c r="W55" s="96">
        <f>IF('Completed'!$D$54&lt;&gt;"",'Completed'!$D$54,"")</f>
        <v>8</v>
      </c>
      <c r="X55" s="96">
        <f>IF('Completed'!$E$54&lt;&gt;"",'Completed'!$E$54,"")</f>
        <v>5.5</v>
      </c>
      <c r="Y55" s="96">
        <f>IF('Completed'!$F$54&lt;&gt;"",'Completed'!$F$54,"")</f>
        <v>8.5</v>
      </c>
      <c r="Z55" s="110">
        <f>IF('Completed'!$G$54&lt;&gt;"",'Completed'!$G$54,"")</f>
        <v>8.3140703517587955</v>
      </c>
      <c r="AA55" s="120">
        <f>IF('Completed'!$H$54&lt;&gt;"",'Completed'!$H$54,"")</f>
        <v>7.7770304355137059</v>
      </c>
      <c r="AB55" s="97">
        <f>IF('Completed'!$I$54&lt;&gt;"",'Completed'!$I$54,"")</f>
        <v>41633</v>
      </c>
      <c r="AC55" s="97">
        <f>IF('Completed'!$J$54&lt;&gt;"",'Completed'!$J$54,"")</f>
        <v>41635</v>
      </c>
      <c r="AD55" s="111" t="str">
        <f>IF('Completed'!$K$54&lt;&gt;"",'Completed'!$K$54,"")</f>
        <v>Shiguma Rika</v>
      </c>
      <c r="AE55" s="111" t="str">
        <f>IF('Completed'!$L$54&lt;&gt;"",'Completed'!$L$54,"")</f>
        <v>Evolved from a harem anime to a pretty well-written romcom</v>
      </c>
    </row>
    <row r="56" spans="1:31">
      <c r="A56" s="145"/>
      <c r="B56" s="146"/>
      <c r="C56" s="146"/>
      <c r="D56" s="146"/>
      <c r="E56" s="146"/>
      <c r="F56" s="146"/>
      <c r="G56" s="146"/>
      <c r="H56" s="146"/>
      <c r="J56" s="61" t="str">
        <f>IF(Backlog!$A$55&lt;&gt;"",Backlog!$A$55,"")</f>
        <v>Hidamari Sketch x ☆☆☆</v>
      </c>
      <c r="K56" s="68">
        <f>IF(Backlog!$B$55&lt;&gt;"",Backlog!$B$55,"")</f>
        <v>2</v>
      </c>
      <c r="L56" s="69" t="str">
        <f>IF(Backlog!$C$55&lt;&gt;"",Backlog!$C$55,"")</f>
        <v>NA</v>
      </c>
      <c r="N56" s="61" t="str">
        <f>IF('Completed'!$A$55&lt;&gt;"",'Completed'!$A$55,"")</f>
        <v>Monogatari Series Season 2</v>
      </c>
      <c r="O56" s="68">
        <f>IF('Completed'!$B$55&lt;&gt;"",'Completed'!$B$55,"")</f>
        <v>2</v>
      </c>
      <c r="P56" s="68">
        <f ca="1">IF($N$56&lt;&gt;"", INDIRECT("'Tracker'!"&amp;ADDRESS(MATCH($N$56, Tracker[Anime Name], 0) + 2, 3)), "")</f>
        <v>26</v>
      </c>
      <c r="Q56" s="62" t="str">
        <f ca="1">IF($N$56&lt;&gt;"", INDIRECT("'Tracker'!"&amp;ADDRESS(MATCH($N$56, Tracker[Anime Name], 0) + 2, 4)), "")</f>
        <v>A</v>
      </c>
      <c r="R56" s="62" t="str">
        <f ca="1">IF($N$56&lt;&gt;"", INDIRECT("'Tracker'!"&amp;ADDRESS(MATCH($N$56, Tracker[Anime Name], 0) + 2, 5)), "")</f>
        <v>720p</v>
      </c>
      <c r="S56" s="62" t="str">
        <f ca="1">IF($N$56&lt;&gt;"", INDIRECT("'Tracker'!"&amp;ADDRESS(MATCH($N$56, Tracker[Anime Name], 0) + 2, 6)), "")</f>
        <v>TV</v>
      </c>
      <c r="T56" s="62" t="str">
        <f ca="1">IF($N$56&lt;&gt;"", INDIRECT("'Tracker'!"&amp;ADDRESS(MATCH($N$56, Tracker[Anime Name], 0) + 2, 7)), "")</f>
        <v>2013B</v>
      </c>
      <c r="U56" s="68" t="str">
        <f ca="1">IF($N$56&lt;&gt;"", INDIRECT("'Tracker'!"&amp;ADDRESS(MATCH($N$56, Tracker[Anime Name], 0) + 2, 8)), "")</f>
        <v>HorribleSubs</v>
      </c>
      <c r="V56" s="96">
        <f>IF('Completed'!$C$55&lt;&gt;"",'Completed'!$C$55,"")</f>
        <v>9</v>
      </c>
      <c r="W56" s="96">
        <f>IF('Completed'!$D$55&lt;&gt;"",'Completed'!$D$55,"")</f>
        <v>8</v>
      </c>
      <c r="X56" s="96">
        <f>IF('Completed'!$E$55&lt;&gt;"",'Completed'!$E$55,"")</f>
        <v>5.5</v>
      </c>
      <c r="Y56" s="96">
        <f>IF('Completed'!$F$55&lt;&gt;"",'Completed'!$F$55,"")</f>
        <v>8.5</v>
      </c>
      <c r="Z56" s="110">
        <f>IF('Completed'!$G$55&lt;&gt;"",'Completed'!$G$55,"")</f>
        <v>8.3140703517587955</v>
      </c>
      <c r="AA56" s="120">
        <f>IF('Completed'!$H$55&lt;&gt;"",'Completed'!$H$55,"")</f>
        <v>7.7770304355137059</v>
      </c>
      <c r="AB56" s="97">
        <f>IF('Completed'!$I$55&lt;&gt;"",'Completed'!$I$55,"")</f>
        <v>41461</v>
      </c>
      <c r="AC56" s="97">
        <f>IF('Completed'!$J$55&lt;&gt;"",'Completed'!$J$55,"")</f>
        <v>41638</v>
      </c>
      <c r="AD56" s="111" t="str">
        <f>IF('Completed'!$K$55&lt;&gt;"",'Completed'!$K$55,"")</f>
        <v>Oshino Shinobu</v>
      </c>
      <c r="AE56" s="111" t="str">
        <f>IF('Completed'!$L$55&lt;&gt;"",'Completed'!$L$55,"")</f>
        <v>Kaiki is true best girl though.</v>
      </c>
    </row>
    <row r="57" spans="1:31">
      <c r="A57" s="145"/>
      <c r="B57" s="146"/>
      <c r="C57" s="146"/>
      <c r="D57" s="146"/>
      <c r="E57" s="146"/>
      <c r="F57" s="146"/>
      <c r="G57" s="146"/>
      <c r="H57" s="146"/>
      <c r="J57" s="61" t="str">
        <f>IF(Backlog!$A$56&lt;&gt;"",Backlog!$A$56,"")</f>
        <v>Hidamari Sketch x 365</v>
      </c>
      <c r="K57" s="68">
        <f>IF(Backlog!$B$56&lt;&gt;"",Backlog!$B$56,"")</f>
        <v>3</v>
      </c>
      <c r="L57" s="69" t="str">
        <f>IF(Backlog!$C$56&lt;&gt;"",Backlog!$C$56,"")</f>
        <v>NA</v>
      </c>
      <c r="N57" s="61" t="str">
        <f>IF('Completed'!$A$56&lt;&gt;"",'Completed'!$A$56,"")</f>
        <v>Toaru Majutsu no Index</v>
      </c>
      <c r="O57" s="68">
        <f>IF('Completed'!$B$56&lt;&gt;"",'Completed'!$B$56,"")</f>
        <v>1</v>
      </c>
      <c r="P57" s="68">
        <f ca="1">IF($N$57&lt;&gt;"", INDIRECT("'Tracker'!"&amp;ADDRESS(MATCH($N$57, Tracker[Anime Name], 0) + 2, 3)), "")</f>
        <v>24</v>
      </c>
      <c r="Q57" s="62" t="str">
        <f ca="1">IF($N$57&lt;&gt;"", INDIRECT("'Tracker'!"&amp;ADDRESS(MATCH($N$57, Tracker[Anime Name], 0) + 2, 4)), "")</f>
        <v>A</v>
      </c>
      <c r="R57" s="62" t="str">
        <f ca="1">IF($N$57&lt;&gt;"", INDIRECT("'Tracker'!"&amp;ADDRESS(MATCH($N$57, Tracker[Anime Name], 0) + 2, 5)), "")</f>
        <v>720p</v>
      </c>
      <c r="S57" s="62" t="str">
        <f ca="1">IF($N$57&lt;&gt;"", INDIRECT("'Tracker'!"&amp;ADDRESS(MATCH($N$57, Tracker[Anime Name], 0) + 2, 6)), "")</f>
        <v>BD</v>
      </c>
      <c r="T57" s="62" t="str">
        <f ca="1">IF($N$57&lt;&gt;"", INDIRECT("'Tracker'!"&amp;ADDRESS(MATCH($N$57, Tracker[Anime Name], 0) + 2, 7)), "")</f>
        <v>2008C</v>
      </c>
      <c r="U57" s="68" t="str">
        <f ca="1">IF($N$57&lt;&gt;"", INDIRECT("'Tracker'!"&amp;ADDRESS(MATCH($N$57, Tracker[Anime Name], 0) + 2, 8)), "")</f>
        <v>Coalgirls, Eclipse</v>
      </c>
      <c r="V57" s="96">
        <f>IF('Completed'!$C$56&lt;&gt;"",'Completed'!$C$56,"")</f>
        <v>8.5</v>
      </c>
      <c r="W57" s="96">
        <f>IF('Completed'!$D$56&lt;&gt;"",'Completed'!$D$56,"")</f>
        <v>7.5</v>
      </c>
      <c r="X57" s="96">
        <f>IF('Completed'!$E$56&lt;&gt;"",'Completed'!$E$56,"")</f>
        <v>5</v>
      </c>
      <c r="Y57" s="96">
        <f>IF('Completed'!$F$56&lt;&gt;"",'Completed'!$F$56,"")</f>
        <v>9</v>
      </c>
      <c r="Z57" s="110">
        <f>IF('Completed'!$G$56&lt;&gt;"",'Completed'!$G$56,"")</f>
        <v>8.3140703517587955</v>
      </c>
      <c r="AA57" s="120">
        <f>IF('Completed'!$H$56&lt;&gt;"",'Completed'!$H$56,"")</f>
        <v>7.7770304355137059</v>
      </c>
      <c r="AB57" s="97">
        <f>IF('Completed'!$I$56&lt;&gt;"",'Completed'!$I$56,"")</f>
        <v>41431</v>
      </c>
      <c r="AC57" s="97">
        <f>IF('Completed'!$J$56&lt;&gt;"",'Completed'!$J$56,"")</f>
        <v>41436</v>
      </c>
      <c r="AD57" s="111" t="str">
        <f>IF('Completed'!$K$56&lt;&gt;"",'Completed'!$K$56,"")</f>
        <v>Misaka Mikoto</v>
      </c>
      <c r="AE57" s="111" t="str">
        <f>IF('Completed'!$L$56&lt;&gt;"",'Completed'!$L$56,"")</f>
        <v/>
      </c>
    </row>
    <row r="58" spans="1:31">
      <c r="A58" s="145"/>
      <c r="B58" s="146"/>
      <c r="C58" s="146"/>
      <c r="D58" s="146"/>
      <c r="E58" s="146"/>
      <c r="F58" s="146"/>
      <c r="G58" s="146"/>
      <c r="H58" s="146"/>
      <c r="J58" s="61" t="str">
        <f>IF(Backlog!$A$57&lt;&gt;"",Backlog!$A$57,"")</f>
        <v>Hidamari Sketch x Honeycomb</v>
      </c>
      <c r="K58" s="68">
        <f>IF(Backlog!$B$57&lt;&gt;"",Backlog!$B$57,"")</f>
        <v>4</v>
      </c>
      <c r="L58" s="69" t="str">
        <f>IF(Backlog!$C$57&lt;&gt;"",Backlog!$C$57,"")</f>
        <v>NA</v>
      </c>
      <c r="N58" s="61" t="str">
        <f>IF('Completed'!$A$57&lt;&gt;"",'Completed'!$A$57,"")</f>
        <v>Arpeggio of Blue Steel - Ars Nova</v>
      </c>
      <c r="O58" s="68">
        <f>IF('Completed'!$B$57&lt;&gt;"",'Completed'!$B$57,"")</f>
        <v>1</v>
      </c>
      <c r="P58" s="68">
        <f ca="1">IF($N$58&lt;&gt;"", INDIRECT("'Tracker'!"&amp;ADDRESS(MATCH($N$58, Tracker[Anime Name], 0) + 2, 3)), "")</f>
        <v>12</v>
      </c>
      <c r="Q58" s="62" t="str">
        <f ca="1">IF($N$58&lt;&gt;"", INDIRECT("'Tracker'!"&amp;ADDRESS(MATCH($N$58, Tracker[Anime Name], 0) + 2, 4)), "")</f>
        <v>B</v>
      </c>
      <c r="R58" s="62" t="str">
        <f ca="1">IF($N$58&lt;&gt;"", INDIRECT("'Tracker'!"&amp;ADDRESS(MATCH($N$58, Tracker[Anime Name], 0) + 2, 5)), "")</f>
        <v>720p</v>
      </c>
      <c r="S58" s="62" t="str">
        <f ca="1">IF($N$58&lt;&gt;"", INDIRECT("'Tracker'!"&amp;ADDRESS(MATCH($N$58, Tracker[Anime Name], 0) + 2, 6)), "")</f>
        <v>TV</v>
      </c>
      <c r="T58" s="62" t="str">
        <f ca="1">IF($N$58&lt;&gt;"", INDIRECT("'Tracker'!"&amp;ADDRESS(MATCH($N$58, Tracker[Anime Name], 0) + 2, 7)), "")</f>
        <v>2013C</v>
      </c>
      <c r="U58" s="68" t="str">
        <f ca="1">IF($N$58&lt;&gt;"", INDIRECT("'Tracker'!"&amp;ADDRESS(MATCH($N$58, Tracker[Anime Name], 0) + 2, 8)), "")</f>
        <v>HorribleSubs</v>
      </c>
      <c r="V58" s="96">
        <f>IF('Completed'!$C$57&lt;&gt;"",'Completed'!$C$57,"")</f>
        <v>8.5</v>
      </c>
      <c r="W58" s="96">
        <f>IF('Completed'!$D$57&lt;&gt;"",'Completed'!$D$57,"")</f>
        <v>9</v>
      </c>
      <c r="X58" s="96">
        <f>IF('Completed'!$E$57&lt;&gt;"",'Completed'!$E$57,"")</f>
        <v>7</v>
      </c>
      <c r="Y58" s="96">
        <f>IF('Completed'!$F$57&lt;&gt;"",'Completed'!$F$57,"")</f>
        <v>8</v>
      </c>
      <c r="Z58" s="110">
        <f>IF('Completed'!$G$57&lt;&gt;"",'Completed'!$G$57,"")</f>
        <v>8.3128140703517595</v>
      </c>
      <c r="AA58" s="120">
        <f>IF('Completed'!$H$57&lt;&gt;"",'Completed'!$H$57,"")</f>
        <v>7.7753489154195394</v>
      </c>
      <c r="AB58" s="97">
        <f>IF('Completed'!$I$57&lt;&gt;"",'Completed'!$I$57,"")</f>
        <v>41555</v>
      </c>
      <c r="AC58" s="97">
        <f>IF('Completed'!$J$57&lt;&gt;"",'Completed'!$J$57,"")</f>
        <v>41631</v>
      </c>
      <c r="AD58" s="111" t="str">
        <f>IF('Completed'!$K$57&lt;&gt;"",'Completed'!$K$57,"")</f>
        <v>Iona</v>
      </c>
      <c r="AE58" s="111" t="str">
        <f>IF('Completed'!$L$57&lt;&gt;"",'Completed'!$L$57,"")</f>
        <v>Super well animated action scenes, and lots of hexagons</v>
      </c>
    </row>
    <row r="59" spans="1:31">
      <c r="A59" s="145"/>
      <c r="B59" s="146"/>
      <c r="C59" s="146"/>
      <c r="D59" s="146"/>
      <c r="E59" s="146"/>
      <c r="F59" s="146"/>
      <c r="G59" s="146"/>
      <c r="H59" s="146"/>
      <c r="J59" s="61" t="str">
        <f>IF(Backlog!$A$58&lt;&gt;"",Backlog!$A$58,"")</f>
        <v>Kyousougiga</v>
      </c>
      <c r="K59" s="68">
        <f>IF(Backlog!$B$58&lt;&gt;"",Backlog!$B$58,"")</f>
        <v>1</v>
      </c>
      <c r="L59" s="69" t="str">
        <f>IF(Backlog!$C$58&lt;&gt;"",Backlog!$C$58,"")</f>
        <v>NA</v>
      </c>
      <c r="N59" s="61" t="str">
        <f>IF('Completed'!$A$58&lt;&gt;"",'Completed'!$A$58,"")</f>
        <v>Nisekoi</v>
      </c>
      <c r="O59" s="68">
        <f>IF('Completed'!$B$58&lt;&gt;"",'Completed'!$B$58,"")</f>
        <v>1</v>
      </c>
      <c r="P59" s="68">
        <f ca="1">IF($N$59&lt;&gt;"", INDIRECT("'Tracker'!"&amp;ADDRESS(MATCH($N$59, Tracker[Anime Name], 0) + 2, 3)), "")</f>
        <v>20</v>
      </c>
      <c r="Q59" s="62" t="str">
        <f ca="1">IF($N$59&lt;&gt;"", INDIRECT("'Tracker'!"&amp;ADDRESS(MATCH($N$59, Tracker[Anime Name], 0) + 2, 4)), "")</f>
        <v>B</v>
      </c>
      <c r="R59" s="62" t="str">
        <f ca="1">IF($N$59&lt;&gt;"", INDIRECT("'Tracker'!"&amp;ADDRESS(MATCH($N$59, Tracker[Anime Name], 0) + 2, 5)), "")</f>
        <v>720p</v>
      </c>
      <c r="S59" s="62" t="str">
        <f ca="1">IF($N$59&lt;&gt;"", INDIRECT("'Tracker'!"&amp;ADDRESS(MATCH($N$59, Tracker[Anime Name], 0) + 2, 6)), "")</f>
        <v>TV</v>
      </c>
      <c r="T59" s="62" t="str">
        <f ca="1">IF($N$59&lt;&gt;"", INDIRECT("'Tracker'!"&amp;ADDRESS(MATCH($N$59, Tracker[Anime Name], 0) + 2, 7)), "")</f>
        <v>2013D</v>
      </c>
      <c r="U59" s="68" t="str">
        <f ca="1">IF($N$59&lt;&gt;"", INDIRECT("'Tracker'!"&amp;ADDRESS(MATCH($N$59, Tracker[Anime Name], 0) + 2, 8)), "")</f>
        <v>FFF</v>
      </c>
      <c r="V59" s="96">
        <f>IF('Completed'!$C$58&lt;&gt;"",'Completed'!$C$58,"")</f>
        <v>8.5</v>
      </c>
      <c r="W59" s="96">
        <f>IF('Completed'!$D$58&lt;&gt;"",'Completed'!$D$58,"")</f>
        <v>9</v>
      </c>
      <c r="X59" s="96">
        <f>IF('Completed'!$E$58&lt;&gt;"",'Completed'!$E$58,"")</f>
        <v>7</v>
      </c>
      <c r="Y59" s="96">
        <f>IF('Completed'!$F$58&lt;&gt;"",'Completed'!$F$58,"")</f>
        <v>8</v>
      </c>
      <c r="Z59" s="110">
        <f>IF('Completed'!$G$58&lt;&gt;"",'Completed'!$G$58,"")</f>
        <v>8.3128140703517595</v>
      </c>
      <c r="AA59" s="120">
        <f>IF('Completed'!$H$58&lt;&gt;"",'Completed'!$H$58,"")</f>
        <v>7.7753489154195394</v>
      </c>
      <c r="AB59" s="97">
        <f>IF('Completed'!$I$58&lt;&gt;"",'Completed'!$I$58,"")</f>
        <v>41652</v>
      </c>
      <c r="AC59" s="97">
        <f>IF('Completed'!$J$58&lt;&gt;"",'Completed'!$J$58,"")</f>
        <v>41824</v>
      </c>
      <c r="AD59" s="111" t="str">
        <f>IF('Completed'!$K$58&lt;&gt;"",'Completed'!$K$58,"")</f>
        <v>Kirisaki Chitoge</v>
      </c>
      <c r="AE59" s="111" t="str">
        <f>IF('Completed'!$L$58&lt;&gt;"",'Completed'!$L$58,"")</f>
        <v/>
      </c>
    </row>
    <row r="60" spans="1:31">
      <c r="A60" s="145"/>
      <c r="B60" s="146"/>
      <c r="C60" s="146"/>
      <c r="D60" s="146"/>
      <c r="E60" s="146"/>
      <c r="F60" s="146"/>
      <c r="G60" s="146"/>
      <c r="H60" s="146"/>
      <c r="J60" s="61" t="str">
        <f>IF(Backlog!$A$59&lt;&gt;"",Backlog!$A$59,"")</f>
        <v>Mahouka Koukou no Rettousei</v>
      </c>
      <c r="K60" s="68">
        <f>IF(Backlog!$B$59&lt;&gt;"",Backlog!$B$59,"")</f>
        <v>1</v>
      </c>
      <c r="L60" s="69" t="str">
        <f>IF(Backlog!$C$59&lt;&gt;"",Backlog!$C$59,"")</f>
        <v>NA</v>
      </c>
      <c r="N60" s="61" t="str">
        <f>IF('Completed'!$A$59&lt;&gt;"",'Completed'!$A$59,"")</f>
        <v>Hentai Ouji to Warawanai Neko</v>
      </c>
      <c r="O60" s="68">
        <f>IF('Completed'!$B$59&lt;&gt;"",'Completed'!$B$59,"")</f>
        <v>1</v>
      </c>
      <c r="P60" s="68">
        <f ca="1">IF($N$60&lt;&gt;"", INDIRECT("'Tracker'!"&amp;ADDRESS(MATCH($N$60, Tracker[Anime Name], 0) + 2, 3)), "")</f>
        <v>13</v>
      </c>
      <c r="Q60" s="62" t="str">
        <f ca="1">IF($N$60&lt;&gt;"", INDIRECT("'Tracker'!"&amp;ADDRESS(MATCH($N$60, Tracker[Anime Name], 0) + 2, 4)), "")</f>
        <v>A</v>
      </c>
      <c r="R60" s="62" t="str">
        <f ca="1">IF($N$60&lt;&gt;"", INDIRECT("'Tracker'!"&amp;ADDRESS(MATCH($N$60, Tracker[Anime Name], 0) + 2, 5)), "")</f>
        <v>1080p</v>
      </c>
      <c r="S60" s="62" t="str">
        <f ca="1">IF($N$60&lt;&gt;"", INDIRECT("'Tracker'!"&amp;ADDRESS(MATCH($N$60, Tracker[Anime Name], 0) + 2, 6)), "")</f>
        <v>BD</v>
      </c>
      <c r="T60" s="62" t="str">
        <f ca="1">IF($N$60&lt;&gt;"", INDIRECT("'Tracker'!"&amp;ADDRESS(MATCH($N$60, Tracker[Anime Name], 0) + 2, 7)), "")</f>
        <v>2013A</v>
      </c>
      <c r="U60" s="68" t="str">
        <f ca="1">IF($N$60&lt;&gt;"", INDIRECT("'Tracker'!"&amp;ADDRESS(MATCH($N$60, Tracker[Anime Name], 0) + 2, 8)), "")</f>
        <v>Doki</v>
      </c>
      <c r="V60" s="96">
        <f>IF('Completed'!$C$59&lt;&gt;"",'Completed'!$C$59,"")</f>
        <v>7</v>
      </c>
      <c r="W60" s="96">
        <f>IF('Completed'!$D$59&lt;&gt;"",'Completed'!$D$59,"")</f>
        <v>8.5</v>
      </c>
      <c r="X60" s="96">
        <f>IF('Completed'!$E$59&lt;&gt;"",'Completed'!$E$59,"")</f>
        <v>10</v>
      </c>
      <c r="Y60" s="96">
        <f>IF('Completed'!$F$59&lt;&gt;"",'Completed'!$F$59,"")</f>
        <v>8.5</v>
      </c>
      <c r="Z60" s="110">
        <f>IF('Completed'!$G$59&lt;&gt;"",'Completed'!$G$59,"")</f>
        <v>8.2964824120602998</v>
      </c>
      <c r="AA60" s="120">
        <f>IF('Completed'!$H$59&lt;&gt;"",'Completed'!$H$59,"")</f>
        <v>7.7534891541953899</v>
      </c>
      <c r="AB60" s="97">
        <f>IF('Completed'!$I$59&lt;&gt;"",'Completed'!$I$59,"")</f>
        <v>41378</v>
      </c>
      <c r="AC60" s="97">
        <f>IF('Completed'!$J$59&lt;&gt;"",'Completed'!$J$59,"")</f>
        <v>41454</v>
      </c>
      <c r="AD60" s="111" t="str">
        <f>IF('Completed'!$K$59&lt;&gt;"",'Completed'!$K$59,"")</f>
        <v>Tsutsukakushi Tsukiko</v>
      </c>
      <c r="AE60" s="111" t="str">
        <f>IF('Completed'!$L$59&lt;&gt;"",'Completed'!$L$59,"")</f>
        <v/>
      </c>
    </row>
    <row r="61" spans="1:31">
      <c r="A61" s="145"/>
      <c r="B61" s="146"/>
      <c r="C61" s="146"/>
      <c r="D61" s="146"/>
      <c r="E61" s="146"/>
      <c r="F61" s="146"/>
      <c r="G61" s="146"/>
      <c r="H61" s="146"/>
      <c r="J61" s="61" t="str">
        <f>IF(Backlog!$A$60&lt;&gt;"",Backlog!$A$60,"")</f>
        <v>Mushishi Zoku Shou</v>
      </c>
      <c r="K61" s="68">
        <f>IF(Backlog!$B$60&lt;&gt;"",Backlog!$B$60,"")</f>
        <v>2</v>
      </c>
      <c r="L61" s="69" t="str">
        <f>IF(Backlog!$C$60&lt;&gt;"",Backlog!$C$60,"")</f>
        <v>NA</v>
      </c>
      <c r="N61" s="61" t="str">
        <f>IF('Completed'!$A$60&lt;&gt;"",'Completed'!$A$60,"")</f>
        <v>Hyouka</v>
      </c>
      <c r="O61" s="68">
        <f>IF('Completed'!$B$60&lt;&gt;"",'Completed'!$B$60,"")</f>
        <v>1</v>
      </c>
      <c r="P61" s="68">
        <f ca="1">IF($N$61&lt;&gt;"", INDIRECT("'Tracker'!"&amp;ADDRESS(MATCH($N$61, Tracker[Anime Name], 0) + 2, 3)), "")</f>
        <v>22</v>
      </c>
      <c r="Q61" s="62" t="str">
        <f ca="1">IF($N$61&lt;&gt;"", INDIRECT("'Tracker'!"&amp;ADDRESS(MATCH($N$61, Tracker[Anime Name], 0) + 2, 4)), "")</f>
        <v>A</v>
      </c>
      <c r="R61" s="62" t="str">
        <f ca="1">IF($N$61&lt;&gt;"", INDIRECT("'Tracker'!"&amp;ADDRESS(MATCH($N$61, Tracker[Anime Name], 0) + 2, 5)), "")</f>
        <v>720p</v>
      </c>
      <c r="S61" s="62" t="str">
        <f ca="1">IF($N$61&lt;&gt;"", INDIRECT("'Tracker'!"&amp;ADDRESS(MATCH($N$61, Tracker[Anime Name], 0) + 2, 6)), "")</f>
        <v>BD</v>
      </c>
      <c r="T61" s="62" t="str">
        <f ca="1">IF($N$61&lt;&gt;"", INDIRECT("'Tracker'!"&amp;ADDRESS(MATCH($N$61, Tracker[Anime Name], 0) + 2, 7)), "")</f>
        <v>2012A</v>
      </c>
      <c r="U61" s="68" t="str">
        <f ca="1">IF($N$61&lt;&gt;"", INDIRECT("'Tracker'!"&amp;ADDRESS(MATCH($N$61, Tracker[Anime Name], 0) + 2, 8)), "")</f>
        <v>Coalgirls, Mazui</v>
      </c>
      <c r="V61" s="96">
        <f>IF('Completed'!$C$60&lt;&gt;"",'Completed'!$C$60,"")</f>
        <v>9</v>
      </c>
      <c r="W61" s="96">
        <f>IF('Completed'!$D$60&lt;&gt;"",'Completed'!$D$60,"")</f>
        <v>8</v>
      </c>
      <c r="X61" s="96">
        <f>IF('Completed'!$E$60&lt;&gt;"",'Completed'!$E$60,"")</f>
        <v>5</v>
      </c>
      <c r="Y61" s="96">
        <f>IF('Completed'!$F$60&lt;&gt;"",'Completed'!$F$60,"")</f>
        <v>8.5</v>
      </c>
      <c r="Z61" s="110">
        <f>IF('Completed'!$G$60&lt;&gt;"",'Completed'!$G$60,"")</f>
        <v>8.2902010050251267</v>
      </c>
      <c r="AA61" s="120">
        <f>IF('Completed'!$H$60&lt;&gt;"",'Completed'!$H$60,"")</f>
        <v>7.7450815537245683</v>
      </c>
      <c r="AB61" s="97">
        <f>IF('Completed'!$I$60&lt;&gt;"",'Completed'!$I$60,"")</f>
        <v>41424</v>
      </c>
      <c r="AC61" s="97">
        <f>IF('Completed'!$J$60&lt;&gt;"",'Completed'!$J$60,"")</f>
        <v>41430</v>
      </c>
      <c r="AD61" s="111" t="str">
        <f>IF('Completed'!$K$60&lt;&gt;"",'Completed'!$K$60,"")</f>
        <v>Eru Chitanda</v>
      </c>
      <c r="AE61" s="111" t="str">
        <f>IF('Completed'!$L$60&lt;&gt;"",'Completed'!$L$60,"")</f>
        <v>Nicely written mysteries</v>
      </c>
    </row>
    <row r="62" spans="1:31">
      <c r="A62" s="145"/>
      <c r="B62" s="146"/>
      <c r="C62" s="146"/>
      <c r="D62" s="146"/>
      <c r="E62" s="146"/>
      <c r="F62" s="146"/>
      <c r="G62" s="146"/>
      <c r="H62" s="146"/>
      <c r="J62" s="61" t="str">
        <f>IF(Backlog!$A$61&lt;&gt;"",Backlog!$A$61,"")</f>
        <v>Nourin</v>
      </c>
      <c r="K62" s="68">
        <f>IF(Backlog!$B$61&lt;&gt;"",Backlog!$B$61,"")</f>
        <v>1</v>
      </c>
      <c r="L62" s="69" t="str">
        <f>IF(Backlog!$C$61&lt;&gt;"",Backlog!$C$61,"")</f>
        <v>NA</v>
      </c>
      <c r="N62" s="61" t="str">
        <f>IF('Completed'!$A$61&lt;&gt;"",'Completed'!$A$61,"")</f>
        <v>Ore no Imouto ga Konna ni Kawaii Wake ga Nai.</v>
      </c>
      <c r="O62" s="68">
        <f>IF('Completed'!$B$61&lt;&gt;"",'Completed'!$B$61,"")</f>
        <v>2</v>
      </c>
      <c r="P62" s="68">
        <f ca="1">IF($N$62&lt;&gt;"", INDIRECT("'Tracker'!"&amp;ADDRESS(MATCH($N$62, Tracker[Anime Name], 0) + 2, 3)), "")</f>
        <v>16</v>
      </c>
      <c r="Q62" s="62" t="str">
        <f ca="1">IF($N$62&lt;&gt;"", INDIRECT("'Tracker'!"&amp;ADDRESS(MATCH($N$62, Tracker[Anime Name], 0) + 2, 4)), "")</f>
        <v>A</v>
      </c>
      <c r="R62" s="62" t="str">
        <f ca="1">IF($N$62&lt;&gt;"", INDIRECT("'Tracker'!"&amp;ADDRESS(MATCH($N$62, Tracker[Anime Name], 0) + 2, 5)), "")</f>
        <v>1080p</v>
      </c>
      <c r="S62" s="62" t="str">
        <f ca="1">IF($N$62&lt;&gt;"", INDIRECT("'Tracker'!"&amp;ADDRESS(MATCH($N$62, Tracker[Anime Name], 0) + 2, 6)), "")</f>
        <v>BD</v>
      </c>
      <c r="T62" s="62" t="str">
        <f ca="1">IF($N$62&lt;&gt;"", INDIRECT("'Tracker'!"&amp;ADDRESS(MATCH($N$62, Tracker[Anime Name], 0) + 2, 7)), "")</f>
        <v>2013A</v>
      </c>
      <c r="U62" s="68" t="str">
        <f ca="1">IF($N$62&lt;&gt;"", INDIRECT("'Tracker'!"&amp;ADDRESS(MATCH($N$62, Tracker[Anime Name], 0) + 2, 8)), "")</f>
        <v>Coalgirls, EveTaku</v>
      </c>
      <c r="V62" s="96">
        <f>IF('Completed'!$C$61&lt;&gt;"",'Completed'!$C$61,"")</f>
        <v>8.5</v>
      </c>
      <c r="W62" s="96">
        <f>IF('Completed'!$D$61&lt;&gt;"",'Completed'!$D$61,"")</f>
        <v>8</v>
      </c>
      <c r="X62" s="96">
        <f>IF('Completed'!$E$61&lt;&gt;"",'Completed'!$E$61,"")</f>
        <v>5.5</v>
      </c>
      <c r="Y62" s="96">
        <f>IF('Completed'!$F$61&lt;&gt;"",'Completed'!$F$61,"")</f>
        <v>8.5</v>
      </c>
      <c r="Z62" s="110">
        <f>IF('Completed'!$G$61&lt;&gt;"",'Completed'!$G$61,"")</f>
        <v>8.2223618090452266</v>
      </c>
      <c r="AA62" s="120">
        <f>IF('Completed'!$H$61&lt;&gt;"",'Completed'!$H$61,"")</f>
        <v>7.6542794686396505</v>
      </c>
      <c r="AB62" s="97">
        <f>IF('Completed'!$I$61&lt;&gt;"",'Completed'!$I$61,"")</f>
        <v>41370</v>
      </c>
      <c r="AC62" s="97">
        <f>IF('Completed'!$J$61&lt;&gt;"",'Completed'!$J$61,"")</f>
        <v>41512</v>
      </c>
      <c r="AD62" s="111" t="str">
        <f>IF('Completed'!$K$61&lt;&gt;"",'Completed'!$K$61,"")</f>
        <v>Aragaki Ayase-tan</v>
      </c>
      <c r="AE62" s="111" t="str">
        <f>IF('Completed'!$L$61&lt;&gt;"",'Completed'!$L$61,"")</f>
        <v/>
      </c>
    </row>
    <row r="63" spans="1:31">
      <c r="A63" s="145" t="s">
        <v>39</v>
      </c>
      <c r="B63" s="146"/>
      <c r="C63" s="146"/>
      <c r="D63" s="146"/>
      <c r="E63" s="146"/>
      <c r="F63" s="146"/>
      <c r="G63" s="146"/>
      <c r="H63" s="146"/>
      <c r="J63" s="61" t="str">
        <f>IF(Backlog!$A$62&lt;&gt;"",Backlog!$A$62,"")</f>
        <v>Puchimas: Petit iDOLM@STER</v>
      </c>
      <c r="K63" s="68">
        <f>IF(Backlog!$B$62&lt;&gt;"",Backlog!$B$62,"")</f>
        <v>1</v>
      </c>
      <c r="L63" s="69" t="str">
        <f>IF(Backlog!$C$62&lt;&gt;"",Backlog!$C$62,"")</f>
        <v>NA</v>
      </c>
      <c r="N63" s="61" t="str">
        <f>IF('Completed'!$A$62&lt;&gt;"",'Completed'!$A$62,"")</f>
        <v>Puella Magi Madoka Magica</v>
      </c>
      <c r="O63" s="68">
        <f>IF('Completed'!$B$62&lt;&gt;"",'Completed'!$B$62,"")</f>
        <v>1</v>
      </c>
      <c r="P63" s="68">
        <f ca="1">IF($N$63&lt;&gt;"", INDIRECT("'Tracker'!"&amp;ADDRESS(MATCH($N$63, Tracker[Anime Name], 0) + 2, 3)), "")</f>
        <v>12</v>
      </c>
      <c r="Q63" s="62" t="str">
        <f ca="1">IF($N$63&lt;&gt;"", INDIRECT("'Tracker'!"&amp;ADDRESS(MATCH($N$63, Tracker[Anime Name], 0) + 2, 4)), "")</f>
        <v>B</v>
      </c>
      <c r="R63" s="62" t="str">
        <f ca="1">IF($N$63&lt;&gt;"", INDIRECT("'Tracker'!"&amp;ADDRESS(MATCH($N$63, Tracker[Anime Name], 0) + 2, 5)), "")</f>
        <v>720p</v>
      </c>
      <c r="S63" s="62" t="str">
        <f ca="1">IF($N$63&lt;&gt;"", INDIRECT("'Tracker'!"&amp;ADDRESS(MATCH($N$63, Tracker[Anime Name], 0) + 2, 6)), "")</f>
        <v>BD</v>
      </c>
      <c r="T63" s="62" t="str">
        <f ca="1">IF($N$63&lt;&gt;"", INDIRECT("'Tracker'!"&amp;ADDRESS(MATCH($N$63, Tracker[Anime Name], 0) + 2, 7)), "")</f>
        <v>2010D</v>
      </c>
      <c r="U63" s="68" t="str">
        <f ca="1">IF($N$63&lt;&gt;"", INDIRECT("'Tracker'!"&amp;ADDRESS(MATCH($N$63, Tracker[Anime Name], 0) + 2, 8)), "")</f>
        <v>Doki</v>
      </c>
      <c r="V63" s="96">
        <f>IF('Completed'!$C$62&lt;&gt;"",'Completed'!$C$62,"")</f>
        <v>9</v>
      </c>
      <c r="W63" s="96">
        <f>IF('Completed'!$D$62&lt;&gt;"",'Completed'!$D$62,"")</f>
        <v>7.5</v>
      </c>
      <c r="X63" s="96">
        <f>IF('Completed'!$E$62&lt;&gt;"",'Completed'!$E$62,"")</f>
        <v>5</v>
      </c>
      <c r="Y63" s="96">
        <f>IF('Completed'!$F$62&lt;&gt;"",'Completed'!$F$62,"")</f>
        <v>8.5</v>
      </c>
      <c r="Z63" s="110">
        <f>IF('Completed'!$G$62&lt;&gt;"",'Completed'!$G$62,"")</f>
        <v>8.1557788944723626</v>
      </c>
      <c r="AA63" s="120">
        <f>IF('Completed'!$H$62&lt;&gt;"",'Completed'!$H$62,"")</f>
        <v>7.5651589036488991</v>
      </c>
      <c r="AB63" s="97">
        <f>IF('Completed'!$I$62&lt;&gt;"",'Completed'!$I$62,"")</f>
        <v>41255</v>
      </c>
      <c r="AC63" s="97">
        <f>IF('Completed'!$J$62&lt;&gt;"",'Completed'!$J$62,"")</f>
        <v>41256</v>
      </c>
      <c r="AD63" s="111" t="str">
        <f>IF('Completed'!$K$62&lt;&gt;"",'Completed'!$K$62,"")</f>
        <v>Akemi Homura</v>
      </c>
      <c r="AE63" s="111" t="str">
        <f>IF('Completed'!$L$62&lt;&gt;"",'Completed'!$L$62,"")</f>
        <v/>
      </c>
    </row>
    <row r="64" spans="1:31">
      <c r="A64" s="145" t="s">
        <v>656</v>
      </c>
      <c r="B64" s="146"/>
      <c r="C64" s="146"/>
      <c r="D64" s="146"/>
      <c r="E64" s="146"/>
      <c r="F64" s="146"/>
      <c r="G64" s="146"/>
      <c r="H64" s="146"/>
      <c r="J64" s="61" t="str">
        <f>IF(Backlog!$A$63&lt;&gt;"",Backlog!$A$63,"")</f>
        <v>Seikon no Qwaser</v>
      </c>
      <c r="K64" s="68">
        <f>IF(Backlog!$B$63&lt;&gt;"",Backlog!$B$63,"")</f>
        <v>1</v>
      </c>
      <c r="L64" s="69" t="str">
        <f>IF(Backlog!$C$63&lt;&gt;"",Backlog!$C$63,"")</f>
        <v>NA</v>
      </c>
      <c r="N64" s="61" t="str">
        <f>IF('Completed'!$A$63&lt;&gt;"",'Completed'!$A$63,"")</f>
        <v>Samurai Flamenco</v>
      </c>
      <c r="O64" s="68">
        <f>IF('Completed'!$B$63&lt;&gt;"",'Completed'!$B$63,"")</f>
        <v>1</v>
      </c>
      <c r="P64" s="68">
        <f ca="1">IF($N$64&lt;&gt;"", INDIRECT("'Tracker'!"&amp;ADDRESS(MATCH($N$64, Tracker[Anime Name], 0) + 2, 3)), "")</f>
        <v>22</v>
      </c>
      <c r="Q64" s="62" t="str">
        <f ca="1">IF($N$64&lt;&gt;"", INDIRECT("'Tracker'!"&amp;ADDRESS(MATCH($N$64, Tracker[Anime Name], 0) + 2, 4)), "")</f>
        <v>B</v>
      </c>
      <c r="R64" s="62" t="str">
        <f ca="1">IF($N$64&lt;&gt;"", INDIRECT("'Tracker'!"&amp;ADDRESS(MATCH($N$64, Tracker[Anime Name], 0) + 2, 5)), "")</f>
        <v>720p</v>
      </c>
      <c r="S64" s="62" t="str">
        <f ca="1">IF($N$64&lt;&gt;"", INDIRECT("'Tracker'!"&amp;ADDRESS(MATCH($N$64, Tracker[Anime Name], 0) + 2, 6)), "")</f>
        <v>TV</v>
      </c>
      <c r="T64" s="62" t="str">
        <f ca="1">IF($N$64&lt;&gt;"", INDIRECT("'Tracker'!"&amp;ADDRESS(MATCH($N$64, Tracker[Anime Name], 0) + 2, 7)), "")</f>
        <v>2013C</v>
      </c>
      <c r="U64" s="68" t="str">
        <f ca="1">IF($N$64&lt;&gt;"", INDIRECT("'Tracker'!"&amp;ADDRESS(MATCH($N$64, Tracker[Anime Name], 0) + 2, 8)), "")</f>
        <v>HorribleSubs</v>
      </c>
      <c r="V64" s="96">
        <f>IF('Completed'!$C$63&lt;&gt;"",'Completed'!$C$63,"")</f>
        <v>8.5</v>
      </c>
      <c r="W64" s="96">
        <f>IF('Completed'!$D$63&lt;&gt;"",'Completed'!$D$63,"")</f>
        <v>8</v>
      </c>
      <c r="X64" s="96">
        <f>IF('Completed'!$E$63&lt;&gt;"",'Completed'!$E$63,"")</f>
        <v>4</v>
      </c>
      <c r="Y64" s="96">
        <f>IF('Completed'!$F$63&lt;&gt;"",'Completed'!$F$63,"")</f>
        <v>8.5</v>
      </c>
      <c r="Z64" s="110">
        <f>IF('Completed'!$G$63&lt;&gt;"",'Completed'!$G$63,"")</f>
        <v>8.1507537688442202</v>
      </c>
      <c r="AA64" s="120">
        <f>IF('Completed'!$H$63&lt;&gt;"",'Completed'!$H$63,"")</f>
        <v>7.5584328232722369</v>
      </c>
      <c r="AB64" s="97">
        <f>IF('Completed'!$I$63&lt;&gt;"",'Completed'!$I$63,"")</f>
        <v>41562</v>
      </c>
      <c r="AC64" s="97">
        <f>IF('Completed'!$J$63&lt;&gt;"",'Completed'!$J$63,"")</f>
        <v>41728</v>
      </c>
      <c r="AD64" s="111" t="str">
        <f>IF('Completed'!$K$63&lt;&gt;"",'Completed'!$K$63,"")</f>
        <v>Ishihara Sumi</v>
      </c>
      <c r="AE64" s="111" t="str">
        <f>IF('Completed'!$L$63&lt;&gt;"",'Completed'!$L$63,"")</f>
        <v>ALL the plot twists</v>
      </c>
    </row>
    <row r="65" spans="1:31">
      <c r="A65" s="145"/>
      <c r="B65" s="146"/>
      <c r="C65" s="146"/>
      <c r="D65" s="146"/>
      <c r="E65" s="146"/>
      <c r="F65" s="146"/>
      <c r="G65" s="146"/>
      <c r="H65" s="146"/>
      <c r="J65" s="61" t="str">
        <f>IF(Backlog!$A$64&lt;&gt;"",Backlog!$A$64,"")</f>
        <v>Seikon no Qwaser II</v>
      </c>
      <c r="K65" s="68">
        <f>IF(Backlog!$B$64&lt;&gt;"",Backlog!$B$64,"")</f>
        <v>2</v>
      </c>
      <c r="L65" s="69" t="str">
        <f>IF(Backlog!$C$64&lt;&gt;"",Backlog!$C$64,"")</f>
        <v>NA</v>
      </c>
      <c r="N65" s="61" t="str">
        <f>IF('Completed'!$A$64&lt;&gt;"",'Completed'!$A$64,"")</f>
        <v>Hitsugi no Chaika</v>
      </c>
      <c r="O65" s="68">
        <f>IF('Completed'!$B$64&lt;&gt;"",'Completed'!$B$64,"")</f>
        <v>1</v>
      </c>
      <c r="P65" s="68">
        <f ca="1">IF($N$65&lt;&gt;"", INDIRECT("'Tracker'!"&amp;ADDRESS(MATCH($N$65, Tracker[Anime Name], 0) + 2, 3)), "")</f>
        <v>12</v>
      </c>
      <c r="Q65" s="62" t="str">
        <f ca="1">IF($N$65&lt;&gt;"", INDIRECT("'Tracker'!"&amp;ADDRESS(MATCH($N$65, Tracker[Anime Name], 0) + 2, 4)), "")</f>
        <v>B</v>
      </c>
      <c r="R65" s="62" t="str">
        <f ca="1">IF($N$65&lt;&gt;"", INDIRECT("'Tracker'!"&amp;ADDRESS(MATCH($N$65, Tracker[Anime Name], 0) + 2, 5)), "")</f>
        <v>720p</v>
      </c>
      <c r="S65" s="62" t="str">
        <f ca="1">IF($N$65&lt;&gt;"", INDIRECT("'Tracker'!"&amp;ADDRESS(MATCH($N$65, Tracker[Anime Name], 0) + 2, 6)), "")</f>
        <v>TV</v>
      </c>
      <c r="T65" s="62" t="str">
        <f ca="1">IF($N$65&lt;&gt;"", INDIRECT("'Tracker'!"&amp;ADDRESS(MATCH($N$65, Tracker[Anime Name], 0) + 2, 7)), "")</f>
        <v>2014A</v>
      </c>
      <c r="U65" s="68" t="str">
        <f ca="1">IF($N$65&lt;&gt;"", INDIRECT("'Tracker'!"&amp;ADDRESS(MATCH($N$65, Tracker[Anime Name], 0) + 2, 8)), "")</f>
        <v>Anime-Koi</v>
      </c>
      <c r="V65" s="96">
        <f>IF('Completed'!$C$64&lt;&gt;"",'Completed'!$C$64,"")</f>
        <v>8.5</v>
      </c>
      <c r="W65" s="96">
        <f>IF('Completed'!$D$64&lt;&gt;"",'Completed'!$D$64,"")</f>
        <v>8</v>
      </c>
      <c r="X65" s="96">
        <f>IF('Completed'!$E$64&lt;&gt;"",'Completed'!$E$64,"")</f>
        <v>3.5</v>
      </c>
      <c r="Y65" s="96">
        <f>IF('Completed'!$F$64&lt;&gt;"",'Completed'!$F$64,"")</f>
        <v>8.5</v>
      </c>
      <c r="Z65" s="110">
        <f>IF('Completed'!$G$64&lt;&gt;"",'Completed'!$G$64,"")</f>
        <v>8.1268844221105532</v>
      </c>
      <c r="AA65" s="120">
        <f>IF('Completed'!$H$64&lt;&gt;"",'Completed'!$H$64,"")</f>
        <v>7.5264839414831002</v>
      </c>
      <c r="AB65" s="97">
        <f>IF('Completed'!$I$64&lt;&gt;"",'Completed'!$I$64,"")</f>
        <v>41789</v>
      </c>
      <c r="AC65" s="97">
        <f>IF('Completed'!$J$64&lt;&gt;"",'Completed'!$J$64,"")</f>
        <v>41816</v>
      </c>
      <c r="AD65" s="111" t="str">
        <f>IF('Completed'!$K$64&lt;&gt;"",'Completed'!$K$64,"")</f>
        <v>Chaika</v>
      </c>
      <c r="AE65" s="111" t="str">
        <f>IF('Completed'!$L$64&lt;&gt;"",'Completed'!$L$64,"")</f>
        <v/>
      </c>
    </row>
    <row r="66" spans="1:31">
      <c r="A66" s="145"/>
      <c r="B66" s="146"/>
      <c r="C66" s="146"/>
      <c r="D66" s="146"/>
      <c r="E66" s="146"/>
      <c r="F66" s="146"/>
      <c r="G66" s="146"/>
      <c r="H66" s="146"/>
      <c r="J66" s="61" t="str">
        <f>IF(Backlog!$A$65&lt;&gt;"",Backlog!$A$65,"")</f>
        <v/>
      </c>
      <c r="K66" s="68" t="str">
        <f>IF(Backlog!$B$65&lt;&gt;"",Backlog!$B$65,"")</f>
        <v/>
      </c>
      <c r="L66" s="69" t="str">
        <f>IF(Backlog!$C$65&lt;&gt;"",Backlog!$C$65,"")</f>
        <v/>
      </c>
      <c r="N66" s="61" t="str">
        <f>IF('Completed'!$A$65&lt;&gt;"",'Completed'!$A$65,"")</f>
        <v>Baka to Test to Shoukanjuu Ni!</v>
      </c>
      <c r="O66" s="68">
        <f>IF('Completed'!$B$65&lt;&gt;"",'Completed'!$B$65,"")</f>
        <v>2</v>
      </c>
      <c r="P66" s="68">
        <f ca="1">IF($N$66&lt;&gt;"", INDIRECT("'Tracker'!"&amp;ADDRESS(MATCH($N$66, Tracker[Anime Name], 0) + 2, 3)), "")</f>
        <v>13</v>
      </c>
      <c r="Q66" s="62" t="str">
        <f ca="1">IF($N$66&lt;&gt;"", INDIRECT("'Tracker'!"&amp;ADDRESS(MATCH($N$66, Tracker[Anime Name], 0) + 2, 4)), "")</f>
        <v>A</v>
      </c>
      <c r="R66" s="62" t="str">
        <f ca="1">IF($N$66&lt;&gt;"", INDIRECT("'Tracker'!"&amp;ADDRESS(MATCH($N$66, Tracker[Anime Name], 0) + 2, 5)), "")</f>
        <v>720p</v>
      </c>
      <c r="S66" s="62" t="str">
        <f ca="1">IF($N$66&lt;&gt;"", INDIRECT("'Tracker'!"&amp;ADDRESS(MATCH($N$66, Tracker[Anime Name], 0) + 2, 6)), "")</f>
        <v>BD</v>
      </c>
      <c r="T66" s="62" t="str">
        <f ca="1">IF($N$66&lt;&gt;"", INDIRECT("'Tracker'!"&amp;ADDRESS(MATCH($N$66, Tracker[Anime Name], 0) + 2, 7)), "")</f>
        <v>2011B</v>
      </c>
      <c r="U66" s="68" t="str">
        <f ca="1">IF($N$66&lt;&gt;"", INDIRECT("'Tracker'!"&amp;ADDRESS(MATCH($N$66, Tracker[Anime Name], 0) + 2, 8)), "")</f>
        <v>Ayumi</v>
      </c>
      <c r="V66" s="96">
        <f>IF('Completed'!$C$65&lt;&gt;"",'Completed'!$C$65,"")</f>
        <v>7</v>
      </c>
      <c r="W66" s="96">
        <f>IF('Completed'!$D$65&lt;&gt;"",'Completed'!$D$65,"")</f>
        <v>8</v>
      </c>
      <c r="X66" s="96">
        <f>IF('Completed'!$E$65&lt;&gt;"",'Completed'!$E$65,"")</f>
        <v>3.5</v>
      </c>
      <c r="Y66" s="96">
        <f>IF('Completed'!$F$65&lt;&gt;"",'Completed'!$F$65,"")</f>
        <v>9</v>
      </c>
      <c r="Z66" s="110">
        <f>IF('Completed'!$G$65&lt;&gt;"",'Completed'!$G$65,"")</f>
        <v>8.1017587939698501</v>
      </c>
      <c r="AA66" s="120">
        <f>IF('Completed'!$H$65&lt;&gt;"",'Completed'!$H$65,"")</f>
        <v>7.4928535395997988</v>
      </c>
      <c r="AB66" s="97">
        <f>IF('Completed'!$I$65&lt;&gt;"",'Completed'!$I$65,"")</f>
        <v>41354</v>
      </c>
      <c r="AC66" s="97">
        <f>IF('Completed'!$J$65&lt;&gt;"",'Completed'!$J$65,"")</f>
        <v>41355</v>
      </c>
      <c r="AD66" s="111" t="str">
        <f>IF('Completed'!$K$65&lt;&gt;"",'Completed'!$K$65,"")</f>
        <v>Shimada Minami</v>
      </c>
      <c r="AE66" s="111" t="str">
        <f>IF('Completed'!$L$65&lt;&gt;"",'Completed'!$L$65,"")</f>
        <v/>
      </c>
    </row>
    <row r="67" spans="1:31">
      <c r="A67" s="145"/>
      <c r="B67" s="146"/>
      <c r="C67" s="146"/>
      <c r="D67" s="146"/>
      <c r="E67" s="146"/>
      <c r="F67" s="146"/>
      <c r="G67" s="146"/>
      <c r="H67" s="146"/>
      <c r="J67" s="61" t="str">
        <f>IF(Backlog!$A$66&lt;&gt;"",Backlog!$A$66,"")</f>
        <v/>
      </c>
      <c r="K67" s="68" t="str">
        <f>IF(Backlog!$B$66&lt;&gt;"",Backlog!$B$66,"")</f>
        <v/>
      </c>
      <c r="L67" s="69" t="str">
        <f>IF(Backlog!$C$66&lt;&gt;"",Backlog!$C$66,"")</f>
        <v/>
      </c>
      <c r="N67" s="61" t="str">
        <f>IF('Completed'!$A$66&lt;&gt;"",'Completed'!$A$66,"")</f>
        <v>Tonari no Seki-kun</v>
      </c>
      <c r="O67" s="68">
        <f>IF('Completed'!$B$66&lt;&gt;"",'Completed'!$B$66,"")</f>
        <v>1</v>
      </c>
      <c r="P67" s="68">
        <f ca="1">IF($N$67&lt;&gt;"", INDIRECT("'Tracker'!"&amp;ADDRESS(MATCH($N$67, Tracker[Anime Name], 0) + 2, 3)), "")</f>
        <v>21</v>
      </c>
      <c r="Q67" s="62" t="str">
        <f ca="1">IF($N$67&lt;&gt;"", INDIRECT("'Tracker'!"&amp;ADDRESS(MATCH($N$67, Tracker[Anime Name], 0) + 2, 4)), "")</f>
        <v>B</v>
      </c>
      <c r="R67" s="62" t="str">
        <f ca="1">IF($N$67&lt;&gt;"", INDIRECT("'Tracker'!"&amp;ADDRESS(MATCH($N$67, Tracker[Anime Name], 0) + 2, 5)), "")</f>
        <v>720p</v>
      </c>
      <c r="S67" s="62" t="str">
        <f ca="1">IF($N$67&lt;&gt;"", INDIRECT("'Tracker'!"&amp;ADDRESS(MATCH($N$67, Tracker[Anime Name], 0) + 2, 6)), "")</f>
        <v>TV</v>
      </c>
      <c r="T67" s="62" t="str">
        <f ca="1">IF($N$67&lt;&gt;"", INDIRECT("'Tracker'!"&amp;ADDRESS(MATCH($N$67, Tracker[Anime Name], 0) + 2, 7)), "")</f>
        <v>2013D</v>
      </c>
      <c r="U67" s="68" t="str">
        <f ca="1">IF($N$67&lt;&gt;"", INDIRECT("'Tracker'!"&amp;ADDRESS(MATCH($N$67, Tracker[Anime Name], 0) + 2, 8)), "")</f>
        <v>Vivid</v>
      </c>
      <c r="V67" s="96">
        <f>IF('Completed'!$C$66&lt;&gt;"",'Completed'!$C$66,"")</f>
        <v>5</v>
      </c>
      <c r="W67" s="96">
        <f>IF('Completed'!$D$66&lt;&gt;"",'Completed'!$D$66,"")</f>
        <v>9</v>
      </c>
      <c r="X67" s="96">
        <f>IF('Completed'!$E$66&lt;&gt;"",'Completed'!$E$66,"")</f>
        <v>5</v>
      </c>
      <c r="Y67" s="96">
        <f>IF('Completed'!$F$66&lt;&gt;"",'Completed'!$F$66,"")</f>
        <v>9</v>
      </c>
      <c r="Z67" s="110">
        <f>IF('Completed'!$G$66&lt;&gt;"",'Completed'!$G$66,"")</f>
        <v>8.075376884422111</v>
      </c>
      <c r="AA67" s="120">
        <f>IF('Completed'!$H$66&lt;&gt;"",'Completed'!$H$66,"")</f>
        <v>7.457541617622331</v>
      </c>
      <c r="AB67" s="97">
        <f>IF('Completed'!$I$66&lt;&gt;"",'Completed'!$I$66,"")</f>
        <v>41648</v>
      </c>
      <c r="AC67" s="97">
        <f>IF('Completed'!$J$66&lt;&gt;"",'Completed'!$J$66,"")</f>
        <v>41785</v>
      </c>
      <c r="AD67" s="111" t="str">
        <f>IF('Completed'!$K$66&lt;&gt;"",'Completed'!$K$66,"")</f>
        <v>Yokoi Rumi</v>
      </c>
      <c r="AE67" s="111" t="str">
        <f>IF('Completed'!$L$66&lt;&gt;"",'Completed'!$L$66,"")</f>
        <v/>
      </c>
    </row>
    <row r="68" spans="1:31">
      <c r="A68" s="145"/>
      <c r="B68" s="146"/>
      <c r="C68" s="146"/>
      <c r="D68" s="146"/>
      <c r="E68" s="146"/>
      <c r="F68" s="146"/>
      <c r="G68" s="146"/>
      <c r="H68" s="146"/>
      <c r="J68" s="61" t="str">
        <f>IF(Backlog!$A$67&lt;&gt;"",Backlog!$A$67,"")</f>
        <v/>
      </c>
      <c r="K68" s="68" t="str">
        <f>IF(Backlog!$B$67&lt;&gt;"",Backlog!$B$67,"")</f>
        <v/>
      </c>
      <c r="L68" s="69" t="str">
        <f>IF(Backlog!$C$67&lt;&gt;"",Backlog!$C$67,"")</f>
        <v/>
      </c>
      <c r="N68" s="61" t="str">
        <f>IF('Completed'!$A$67&lt;&gt;"",'Completed'!$A$67,"")</f>
        <v>The Idolm@ster</v>
      </c>
      <c r="O68" s="68">
        <f>IF('Completed'!$B$67&lt;&gt;"",'Completed'!$B$67,"")</f>
        <v>1</v>
      </c>
      <c r="P68" s="68">
        <f ca="1">IF($N$68&lt;&gt;"", INDIRECT("'Tracker'!"&amp;ADDRESS(MATCH($N$68, Tracker[Anime Name], 0) + 2, 3)), "")</f>
        <v>26</v>
      </c>
      <c r="Q68" s="62" t="str">
        <f ca="1">IF($N$68&lt;&gt;"", INDIRECT("'Tracker'!"&amp;ADDRESS(MATCH($N$68, Tracker[Anime Name], 0) + 2, 4)), "")</f>
        <v>A</v>
      </c>
      <c r="R68" s="62" t="str">
        <f ca="1">IF($N$68&lt;&gt;"", INDIRECT("'Tracker'!"&amp;ADDRESS(MATCH($N$68, Tracker[Anime Name], 0) + 2, 5)), "")</f>
        <v>720p</v>
      </c>
      <c r="S68" s="62" t="str">
        <f ca="1">IF($N$68&lt;&gt;"", INDIRECT("'Tracker'!"&amp;ADDRESS(MATCH($N$68, Tracker[Anime Name], 0) + 2, 6)), "")</f>
        <v>BD</v>
      </c>
      <c r="T68" s="62" t="str">
        <f ca="1">IF($N$68&lt;&gt;"", INDIRECT("'Tracker'!"&amp;ADDRESS(MATCH($N$68, Tracker[Anime Name], 0) + 2, 7)), "")</f>
        <v>2011B</v>
      </c>
      <c r="U68" s="68" t="str">
        <f ca="1">IF($N$68&lt;&gt;"", INDIRECT("'Tracker'!"&amp;ADDRESS(MATCH($N$68, Tracker[Anime Name], 0) + 2, 8)), "")</f>
        <v>Coalgirls, Doki</v>
      </c>
      <c r="V68" s="96">
        <f>IF('Completed'!$C$67&lt;&gt;"",'Completed'!$C$67,"")</f>
        <v>6.5</v>
      </c>
      <c r="W68" s="96">
        <f>IF('Completed'!$D$67&lt;&gt;"",'Completed'!$D$67,"")</f>
        <v>8.5</v>
      </c>
      <c r="X68" s="96">
        <f>IF('Completed'!$E$67&lt;&gt;"",'Completed'!$E$67,"")</f>
        <v>6.5</v>
      </c>
      <c r="Y68" s="96">
        <f>IF('Completed'!$F$67&lt;&gt;"",'Completed'!$F$67,"")</f>
        <v>8.5</v>
      </c>
      <c r="Z68" s="110">
        <f>IF('Completed'!$G$67&lt;&gt;"",'Completed'!$G$67,"")</f>
        <v>8.0376884422110546</v>
      </c>
      <c r="AA68" s="120">
        <f>IF('Completed'!$H$67&lt;&gt;"",'Completed'!$H$67,"")</f>
        <v>7.4070960147973759</v>
      </c>
      <c r="AB68" s="97">
        <f>IF('Completed'!$I$67&lt;&gt;"",'Completed'!$I$67,"")</f>
        <v>41394</v>
      </c>
      <c r="AC68" s="97">
        <f>IF('Completed'!$J$67&lt;&gt;"",'Completed'!$J$67,"")</f>
        <v>41397</v>
      </c>
      <c r="AD68" s="111" t="str">
        <f>IF('Completed'!$K$67&lt;&gt;"",'Completed'!$K$67,"")</f>
        <v>Hoshii Miki</v>
      </c>
      <c r="AE68" s="111" t="str">
        <f>IF('Completed'!$L$67&lt;&gt;"",'Completed'!$L$67,"")</f>
        <v>A lot better than I thought it was going to be</v>
      </c>
    </row>
    <row r="69" spans="1:31">
      <c r="A69" s="145"/>
      <c r="B69" s="146"/>
      <c r="C69" s="146"/>
      <c r="D69" s="146"/>
      <c r="E69" s="146"/>
      <c r="F69" s="146"/>
      <c r="G69" s="146"/>
      <c r="H69" s="146"/>
      <c r="J69" s="61" t="str">
        <f>IF(Backlog!$A$68&lt;&gt;"",Backlog!$A$68,"")</f>
        <v/>
      </c>
      <c r="K69" s="68" t="str">
        <f>IF(Backlog!$B$68&lt;&gt;"",Backlog!$B$68,"")</f>
        <v/>
      </c>
      <c r="L69" s="69" t="str">
        <f>IF(Backlog!$C$68&lt;&gt;"",Backlog!$C$68,"")</f>
        <v/>
      </c>
      <c r="N69" s="61" t="str">
        <f>IF('Completed'!$A$68&lt;&gt;"",'Completed'!$A$68,"")</f>
        <v>Sakura Trick</v>
      </c>
      <c r="O69" s="68">
        <f>IF('Completed'!$B$68&lt;&gt;"",'Completed'!$B$68,"")</f>
        <v>1</v>
      </c>
      <c r="P69" s="68">
        <f ca="1">IF($N$69&lt;&gt;"", INDIRECT("'Tracker'!"&amp;ADDRESS(MATCH($N$69, Tracker[Anime Name], 0) + 2, 3)), "")</f>
        <v>12</v>
      </c>
      <c r="Q69" s="62" t="str">
        <f ca="1">IF($N$69&lt;&gt;"", INDIRECT("'Tracker'!"&amp;ADDRESS(MATCH($N$69, Tracker[Anime Name], 0) + 2, 4)), "")</f>
        <v>B</v>
      </c>
      <c r="R69" s="62" t="str">
        <f ca="1">IF($N$69&lt;&gt;"", INDIRECT("'Tracker'!"&amp;ADDRESS(MATCH($N$69, Tracker[Anime Name], 0) + 2, 5)), "")</f>
        <v>720p</v>
      </c>
      <c r="S69" s="62" t="str">
        <f ca="1">IF($N$69&lt;&gt;"", INDIRECT("'Tracker'!"&amp;ADDRESS(MATCH($N$69, Tracker[Anime Name], 0) + 2, 6)), "")</f>
        <v>TV</v>
      </c>
      <c r="T69" s="62" t="str">
        <f ca="1">IF($N$69&lt;&gt;"", INDIRECT("'Tracker'!"&amp;ADDRESS(MATCH($N$69, Tracker[Anime Name], 0) + 2, 7)), "")</f>
        <v>2013D</v>
      </c>
      <c r="U69" s="68" t="str">
        <f ca="1">IF($N$69&lt;&gt;"", INDIRECT("'Tracker'!"&amp;ADDRESS(MATCH($N$69, Tracker[Anime Name], 0) + 2, 8)), "")</f>
        <v>Doki</v>
      </c>
      <c r="V69" s="96">
        <f>IF('Completed'!$C$68&lt;&gt;"",'Completed'!$C$68,"")</f>
        <v>6.5</v>
      </c>
      <c r="W69" s="96">
        <f>IF('Completed'!$D$68&lt;&gt;"",'Completed'!$D$68,"")</f>
        <v>8</v>
      </c>
      <c r="X69" s="96">
        <f>IF('Completed'!$E$68&lt;&gt;"",'Completed'!$E$68,"")</f>
        <v>9</v>
      </c>
      <c r="Y69" s="96">
        <f>IF('Completed'!$F$68&lt;&gt;"",'Completed'!$F$68,"")</f>
        <v>8.5</v>
      </c>
      <c r="Z69" s="110">
        <f>IF('Completed'!$G$68&lt;&gt;"",'Completed'!$G$68,"")</f>
        <v>8.0226130653266328</v>
      </c>
      <c r="AA69" s="120">
        <f>IF('Completed'!$H$68&lt;&gt;"",'Completed'!$H$68,"")</f>
        <v>7.3869177736673945</v>
      </c>
      <c r="AB69" s="97">
        <f>IF('Completed'!$I$68&lt;&gt;"",'Completed'!$I$68,"")</f>
        <v>41650</v>
      </c>
      <c r="AC69" s="97">
        <f>IF('Completed'!$J$68&lt;&gt;"",'Completed'!$J$68,"")</f>
        <v>41733</v>
      </c>
      <c r="AD69" s="111" t="str">
        <f>IF('Completed'!$K$68&lt;&gt;"",'Completed'!$K$68,"")</f>
        <v>Minami Shizuku</v>
      </c>
      <c r="AE69" s="111" t="str">
        <f>IF('Completed'!$L$68&lt;&gt;"",'Completed'!$L$68,"")</f>
        <v/>
      </c>
    </row>
    <row r="70" spans="1:31">
      <c r="A70" s="145"/>
      <c r="B70" s="146"/>
      <c r="C70" s="146"/>
      <c r="D70" s="146"/>
      <c r="E70" s="146"/>
      <c r="F70" s="146"/>
      <c r="G70" s="146"/>
      <c r="H70" s="146"/>
      <c r="J70" s="61" t="str">
        <f>IF(Backlog!$A$69&lt;&gt;"",Backlog!$A$69,"")</f>
        <v/>
      </c>
      <c r="K70" s="68" t="str">
        <f>IF(Backlog!$B$69&lt;&gt;"",Backlog!$B$69,"")</f>
        <v/>
      </c>
      <c r="L70" s="69" t="str">
        <f>IF(Backlog!$C$69&lt;&gt;"",Backlog!$C$69,"")</f>
        <v/>
      </c>
      <c r="N70" s="61" t="str">
        <f>IF('Completed'!$A$69&lt;&gt;"",'Completed'!$A$69,"")</f>
        <v>Sora no Woto</v>
      </c>
      <c r="O70" s="68">
        <f>IF('Completed'!$B$69&lt;&gt;"",'Completed'!$B$69,"")</f>
        <v>1</v>
      </c>
      <c r="P70" s="68">
        <f ca="1">IF($N$70&lt;&gt;"", INDIRECT("'Tracker'!"&amp;ADDRESS(MATCH($N$70, Tracker[Anime Name], 0) + 2, 3)), "")</f>
        <v>13</v>
      </c>
      <c r="Q70" s="62" t="str">
        <f ca="1">IF($N$70&lt;&gt;"", INDIRECT("'Tracker'!"&amp;ADDRESS(MATCH($N$70, Tracker[Anime Name], 0) + 2, 4)), "")</f>
        <v>A</v>
      </c>
      <c r="R70" s="62" t="str">
        <f ca="1">IF($N$70&lt;&gt;"", INDIRECT("'Tracker'!"&amp;ADDRESS(MATCH($N$70, Tracker[Anime Name], 0) + 2, 5)), "")</f>
        <v>720p</v>
      </c>
      <c r="S70" s="62" t="str">
        <f ca="1">IF($N$70&lt;&gt;"", INDIRECT("'Tracker'!"&amp;ADDRESS(MATCH($N$70, Tracker[Anime Name], 0) + 2, 6)), "")</f>
        <v>BD</v>
      </c>
      <c r="T70" s="62" t="str">
        <f ca="1">IF($N$70&lt;&gt;"", INDIRECT("'Tracker'!"&amp;ADDRESS(MATCH($N$70, Tracker[Anime Name], 0) + 2, 7)), "")</f>
        <v>2009D</v>
      </c>
      <c r="U70" s="68" t="str">
        <f ca="1">IF($N$70&lt;&gt;"", INDIRECT("'Tracker'!"&amp;ADDRESS(MATCH($N$70, Tracker[Anime Name], 0) + 2, 8)), "")</f>
        <v>Coalgirls, pwq</v>
      </c>
      <c r="V70" s="96">
        <f>IF('Completed'!$C$69&lt;&gt;"",'Completed'!$C$69,"")</f>
        <v>8</v>
      </c>
      <c r="W70" s="96">
        <f>IF('Completed'!$D$69&lt;&gt;"",'Completed'!$D$69,"")</f>
        <v>6.5</v>
      </c>
      <c r="X70" s="96">
        <f>IF('Completed'!$E$69&lt;&gt;"",'Completed'!$E$69,"")</f>
        <v>6</v>
      </c>
      <c r="Y70" s="96">
        <f>IF('Completed'!$F$69&lt;&gt;"",'Completed'!$F$69,"")</f>
        <v>9</v>
      </c>
      <c r="Z70" s="110">
        <f>IF('Completed'!$G$69&lt;&gt;"",'Completed'!$G$69,"")</f>
        <v>8.0012562814070343</v>
      </c>
      <c r="AA70" s="120">
        <f>IF('Completed'!$H$69&lt;&gt;"",'Completed'!$H$69,"")</f>
        <v>7.3583319320665863</v>
      </c>
      <c r="AB70" s="97">
        <f>IF('Completed'!$I$69&lt;&gt;"",'Completed'!$I$69,"")</f>
        <v>41316</v>
      </c>
      <c r="AC70" s="97">
        <f>IF('Completed'!$J$69&lt;&gt;"",'Completed'!$J$69,"")</f>
        <v>41323</v>
      </c>
      <c r="AD70" s="111" t="str">
        <f>IF('Completed'!$K$69&lt;&gt;"",'Completed'!$K$69,"")</f>
        <v>Noel Kannagi</v>
      </c>
      <c r="AE70" s="111" t="str">
        <f>IF('Completed'!$L$69&lt;&gt;"",'Completed'!$L$69,"")</f>
        <v/>
      </c>
    </row>
    <row r="71" spans="1:31">
      <c r="A71" s="145"/>
      <c r="B71" s="146"/>
      <c r="C71" s="146"/>
      <c r="D71" s="146"/>
      <c r="E71" s="146"/>
      <c r="F71" s="146"/>
      <c r="G71" s="146"/>
      <c r="H71" s="146"/>
      <c r="J71" s="61" t="str">
        <f>IF(Backlog!$A$70&lt;&gt;"",Backlog!$A$70,"")</f>
        <v/>
      </c>
      <c r="K71" s="68" t="str">
        <f>IF(Backlog!$B$70&lt;&gt;"",Backlog!$B$70,"")</f>
        <v/>
      </c>
      <c r="L71" s="69" t="str">
        <f>IF(Backlog!$C$70&lt;&gt;"",Backlog!$C$70,"")</f>
        <v/>
      </c>
      <c r="N71" s="61" t="str">
        <f>IF('Completed'!$A$70&lt;&gt;"",'Completed'!$A$70,"")</f>
        <v>Ore no Imouto ga Konna ni Kawaii Wake ga Nai</v>
      </c>
      <c r="O71" s="68">
        <f>IF('Completed'!$B$70&lt;&gt;"",'Completed'!$B$70,"")</f>
        <v>1</v>
      </c>
      <c r="P71" s="68">
        <f ca="1">IF($N$71&lt;&gt;"", INDIRECT("'Tracker'!"&amp;ADDRESS(MATCH($N$71, Tracker[Anime Name], 0) + 2, 3)), "")</f>
        <v>16</v>
      </c>
      <c r="Q71" s="62" t="str">
        <f ca="1">IF($N$71&lt;&gt;"", INDIRECT("'Tracker'!"&amp;ADDRESS(MATCH($N$71, Tracker[Anime Name], 0) + 2, 4)), "")</f>
        <v>A</v>
      </c>
      <c r="R71" s="62" t="str">
        <f ca="1">IF($N$71&lt;&gt;"", INDIRECT("'Tracker'!"&amp;ADDRESS(MATCH($N$71, Tracker[Anime Name], 0) + 2, 5)), "")</f>
        <v>720p</v>
      </c>
      <c r="S71" s="62" t="str">
        <f ca="1">IF($N$71&lt;&gt;"", INDIRECT("'Tracker'!"&amp;ADDRESS(MATCH($N$71, Tracker[Anime Name], 0) + 2, 6)), "")</f>
        <v>BD</v>
      </c>
      <c r="T71" s="62" t="str">
        <f ca="1">IF($N$71&lt;&gt;"", INDIRECT("'Tracker'!"&amp;ADDRESS(MATCH($N$71, Tracker[Anime Name], 0) + 2, 7)), "")</f>
        <v>2010C</v>
      </c>
      <c r="U71" s="68" t="str">
        <f ca="1">IF($N$71&lt;&gt;"", INDIRECT("'Tracker'!"&amp;ADDRESS(MATCH($N$71, Tracker[Anime Name], 0) + 2, 8)), "")</f>
        <v>Coalgirls, Mazui</v>
      </c>
      <c r="V71" s="96">
        <f>IF('Completed'!$C$70&lt;&gt;"",'Completed'!$C$70,"")</f>
        <v>8</v>
      </c>
      <c r="W71" s="96">
        <f>IF('Completed'!$D$70&lt;&gt;"",'Completed'!$D$70,"")</f>
        <v>8.5</v>
      </c>
      <c r="X71" s="96">
        <f>IF('Completed'!$E$70&lt;&gt;"",'Completed'!$E$70,"")</f>
        <v>5</v>
      </c>
      <c r="Y71" s="96">
        <f>IF('Completed'!$F$70&lt;&gt;"",'Completed'!$F$70,"")</f>
        <v>8</v>
      </c>
      <c r="Z71" s="110">
        <f>IF('Completed'!$G$70&lt;&gt;"",'Completed'!$G$70,"")</f>
        <v>7.9912060301507539</v>
      </c>
      <c r="AA71" s="120">
        <f>IF('Completed'!$H$70&lt;&gt;"",'Completed'!$H$70,"")</f>
        <v>7.3448797713132672</v>
      </c>
      <c r="AB71" s="97">
        <f>IF('Completed'!$I$70&lt;&gt;"",'Completed'!$I$70,"")</f>
        <v>41360</v>
      </c>
      <c r="AC71" s="97">
        <f>IF('Completed'!$J$70&lt;&gt;"",'Completed'!$J$70,"")</f>
        <v>41363</v>
      </c>
      <c r="AD71" s="111" t="str">
        <f>IF('Completed'!$K$70&lt;&gt;"",'Completed'!$K$70,"")</f>
        <v>Kuroneko (Gokou Ruri)</v>
      </c>
      <c r="AE71" s="111" t="str">
        <f>IF('Completed'!$L$70&lt;&gt;"",'Completed'!$L$70,"")</f>
        <v>Kuroneko best girl</v>
      </c>
    </row>
    <row r="72" spans="1:31">
      <c r="A72" s="145"/>
      <c r="B72" s="146"/>
      <c r="C72" s="146"/>
      <c r="D72" s="146"/>
      <c r="E72" s="146"/>
      <c r="F72" s="146"/>
      <c r="G72" s="146"/>
      <c r="H72" s="146"/>
      <c r="J72" s="61" t="str">
        <f>IF(Backlog!$A$71&lt;&gt;"",Backlog!$A$71,"")</f>
        <v/>
      </c>
      <c r="K72" s="68" t="str">
        <f>IF(Backlog!$B$71&lt;&gt;"",Backlog!$B$71,"")</f>
        <v/>
      </c>
      <c r="L72" s="69" t="str">
        <f>IF(Backlog!$C$71&lt;&gt;"",Backlog!$C$71,"")</f>
        <v/>
      </c>
      <c r="N72" s="61" t="str">
        <f>IF('Completed'!$A$71&lt;&gt;"",'Completed'!$A$71,"")</f>
        <v>Boku wa Tomodachi ga Sukunai</v>
      </c>
      <c r="O72" s="68">
        <f>IF('Completed'!$B$71&lt;&gt;"",'Completed'!$B$71,"")</f>
        <v>1</v>
      </c>
      <c r="P72" s="68">
        <f ca="1">IF($N$72&lt;&gt;"", INDIRECT("'Tracker'!"&amp;ADDRESS(MATCH($N$72, Tracker[Anime Name], 0) + 2, 3)), "")</f>
        <v>13</v>
      </c>
      <c r="Q72" s="62" t="str">
        <f ca="1">IF($N$72&lt;&gt;"", INDIRECT("'Tracker'!"&amp;ADDRESS(MATCH($N$72, Tracker[Anime Name], 0) + 2, 4)), "")</f>
        <v>A</v>
      </c>
      <c r="R72" s="62" t="str">
        <f ca="1">IF($N$72&lt;&gt;"", INDIRECT("'Tracker'!"&amp;ADDRESS(MATCH($N$72, Tracker[Anime Name], 0) + 2, 5)), "")</f>
        <v>720p</v>
      </c>
      <c r="S72" s="62" t="str">
        <f ca="1">IF($N$72&lt;&gt;"", INDIRECT("'Tracker'!"&amp;ADDRESS(MATCH($N$72, Tracker[Anime Name], 0) + 2, 6)), "")</f>
        <v>BD</v>
      </c>
      <c r="T72" s="62" t="str">
        <f ca="1">IF($N$72&lt;&gt;"", INDIRECT("'Tracker'!"&amp;ADDRESS(MATCH($N$72, Tracker[Anime Name], 0) + 2, 7)), "")</f>
        <v>2011C</v>
      </c>
      <c r="U72" s="68" t="str">
        <f ca="1">IF($N$72&lt;&gt;"", INDIRECT("'Tracker'!"&amp;ADDRESS(MATCH($N$72, Tracker[Anime Name], 0) + 2, 8)), "")</f>
        <v>Coalgirls, Mazui</v>
      </c>
      <c r="V72" s="96">
        <f>IF('Completed'!$C$71&lt;&gt;"",'Completed'!$C$71,"")</f>
        <v>7</v>
      </c>
      <c r="W72" s="96">
        <f>IF('Completed'!$D$71&lt;&gt;"",'Completed'!$D$71,"")</f>
        <v>8</v>
      </c>
      <c r="X72" s="96">
        <f>IF('Completed'!$E$71&lt;&gt;"",'Completed'!$E$71,"")</f>
        <v>5.5</v>
      </c>
      <c r="Y72" s="96">
        <f>IF('Completed'!$F$71&lt;&gt;"",'Completed'!$F$71,"")</f>
        <v>8.5</v>
      </c>
      <c r="Z72" s="110">
        <f>IF('Completed'!$G$71&lt;&gt;"",'Completed'!$G$71,"")</f>
        <v>7.9472361809045227</v>
      </c>
      <c r="AA72" s="120">
        <f>IF('Completed'!$H$71&lt;&gt;"",'Completed'!$H$71,"")</f>
        <v>7.2860265680174878</v>
      </c>
      <c r="AB72" s="97">
        <f>IF('Completed'!$I$71&lt;&gt;"",'Completed'!$I$71,"")</f>
        <v>41363</v>
      </c>
      <c r="AC72" s="97">
        <f>IF('Completed'!$J$71&lt;&gt;"",'Completed'!$J$71,"")</f>
        <v>41364</v>
      </c>
      <c r="AD72" s="111" t="str">
        <f>IF('Completed'!$K$71&lt;&gt;"",'Completed'!$K$71,"")</f>
        <v>Hasegawa Kobato</v>
      </c>
      <c r="AE72" s="111" t="str">
        <f>IF('Completed'!$L$71&lt;&gt;"",'Completed'!$L$71,"")</f>
        <v/>
      </c>
    </row>
    <row r="73" spans="1:31">
      <c r="A73" s="145"/>
      <c r="B73" s="146"/>
      <c r="C73" s="146"/>
      <c r="D73" s="146"/>
      <c r="E73" s="146"/>
      <c r="F73" s="146"/>
      <c r="G73" s="146"/>
      <c r="H73" s="146"/>
      <c r="J73" s="61" t="str">
        <f>IF(Backlog!$A$72&lt;&gt;"",Backlog!$A$72,"")</f>
        <v/>
      </c>
      <c r="K73" s="68" t="str">
        <f>IF(Backlog!$B$72&lt;&gt;"",Backlog!$B$72,"")</f>
        <v/>
      </c>
      <c r="L73" s="69" t="str">
        <f>IF(Backlog!$C$72&lt;&gt;"",Backlog!$C$72,"")</f>
        <v/>
      </c>
      <c r="N73" s="61" t="str">
        <f>IF('Completed'!$A$72&lt;&gt;"",'Completed'!$A$72,"")</f>
        <v>Free!</v>
      </c>
      <c r="O73" s="68">
        <f>IF('Completed'!$B$72&lt;&gt;"",'Completed'!$B$72,"")</f>
        <v>1</v>
      </c>
      <c r="P73" s="68">
        <f ca="1">IF($N$73&lt;&gt;"", INDIRECT("'Tracker'!"&amp;ADDRESS(MATCH($N$73, Tracker[Anime Name], 0) + 2, 3)), "")</f>
        <v>12</v>
      </c>
      <c r="Q73" s="62" t="str">
        <f ca="1">IF($N$73&lt;&gt;"", INDIRECT("'Tracker'!"&amp;ADDRESS(MATCH($N$73, Tracker[Anime Name], 0) + 2, 4)), "")</f>
        <v>A</v>
      </c>
      <c r="R73" s="62" t="str">
        <f ca="1">IF($N$73&lt;&gt;"", INDIRECT("'Tracker'!"&amp;ADDRESS(MATCH($N$73, Tracker[Anime Name], 0) + 2, 5)), "")</f>
        <v>1080p</v>
      </c>
      <c r="S73" s="62" t="str">
        <f ca="1">IF($N$73&lt;&gt;"", INDIRECT("'Tracker'!"&amp;ADDRESS(MATCH($N$73, Tracker[Anime Name], 0) + 2, 6)), "")</f>
        <v>BD</v>
      </c>
      <c r="T73" s="62" t="str">
        <f ca="1">IF($N$73&lt;&gt;"", INDIRECT("'Tracker'!"&amp;ADDRESS(MATCH($N$73, Tracker[Anime Name], 0) + 2, 7)), "")</f>
        <v>2013B</v>
      </c>
      <c r="U73" s="68" t="str">
        <f ca="1">IF($N$73&lt;&gt;"", INDIRECT("'Tracker'!"&amp;ADDRESS(MATCH($N$73, Tracker[Anime Name], 0) + 2, 8)), "")</f>
        <v>Commie</v>
      </c>
      <c r="V73" s="96">
        <f>IF('Completed'!$C$72&lt;&gt;"",'Completed'!$C$72,"")</f>
        <v>8.5</v>
      </c>
      <c r="W73" s="96">
        <f>IF('Completed'!$D$72&lt;&gt;"",'Completed'!$D$72,"")</f>
        <v>7.5</v>
      </c>
      <c r="X73" s="96">
        <f>IF('Completed'!$E$72&lt;&gt;"",'Completed'!$E$72,"")</f>
        <v>2.5</v>
      </c>
      <c r="Y73" s="96">
        <f>IF('Completed'!$F$72&lt;&gt;"",'Completed'!$F$72,"")</f>
        <v>8.5</v>
      </c>
      <c r="Z73" s="110">
        <f>IF('Completed'!$G$72&lt;&gt;"",'Completed'!$G$72,"")</f>
        <v>7.9447236180904515</v>
      </c>
      <c r="AA73" s="120">
        <f>IF('Completed'!$H$72&lt;&gt;"",'Completed'!$H$72,"")</f>
        <v>7.2826635278291567</v>
      </c>
      <c r="AB73" s="97">
        <f>IF('Completed'!$I$72&lt;&gt;"",'Completed'!$I$72,"")</f>
        <v>41459</v>
      </c>
      <c r="AC73" s="97">
        <f>IF('Completed'!$J$72&lt;&gt;"",'Completed'!$J$72,"")</f>
        <v>41543</v>
      </c>
      <c r="AD73" s="111" t="str">
        <f>IF('Completed'!$K$72&lt;&gt;"",'Completed'!$K$72,"")</f>
        <v>Matsuoka Gou</v>
      </c>
      <c r="AE73" s="111" t="str">
        <f>IF('Completed'!$L$72&lt;&gt;"",'Completed'!$L$72,"")</f>
        <v>Not as bad as everyone makes it seem - KyoAni animation and music plus an actual plot is pretty nice.</v>
      </c>
    </row>
    <row r="74" spans="1:31">
      <c r="A74" s="145"/>
      <c r="B74" s="146"/>
      <c r="C74" s="146"/>
      <c r="D74" s="146"/>
      <c r="E74" s="146"/>
      <c r="F74" s="146"/>
      <c r="G74" s="146"/>
      <c r="H74" s="146"/>
      <c r="J74" s="61" t="str">
        <f>IF(Backlog!$A$73&lt;&gt;"",Backlog!$A$73,"")</f>
        <v/>
      </c>
      <c r="K74" s="68" t="str">
        <f>IF(Backlog!$B$73&lt;&gt;"",Backlog!$B$73,"")</f>
        <v/>
      </c>
      <c r="L74" s="69" t="str">
        <f>IF(Backlog!$C$73&lt;&gt;"",Backlog!$C$73,"")</f>
        <v/>
      </c>
      <c r="N74" s="61" t="str">
        <f>IF('Completed'!$A$73&lt;&gt;"",'Completed'!$A$73,"")</f>
        <v>K-On!</v>
      </c>
      <c r="O74" s="68">
        <f>IF('Completed'!$B$73&lt;&gt;"",'Completed'!$B$73,"")</f>
        <v>1</v>
      </c>
      <c r="P74" s="68">
        <f ca="1">IF($N$74&lt;&gt;"", INDIRECT("'Tracker'!"&amp;ADDRESS(MATCH($N$74, Tracker[Anime Name], 0) + 2, 3)), "")</f>
        <v>13</v>
      </c>
      <c r="Q74" s="62" t="str">
        <f ca="1">IF($N$74&lt;&gt;"", INDIRECT("'Tracker'!"&amp;ADDRESS(MATCH($N$74, Tracker[Anime Name], 0) + 2, 4)), "")</f>
        <v>A</v>
      </c>
      <c r="R74" s="62" t="str">
        <f ca="1">IF($N$74&lt;&gt;"", INDIRECT("'Tracker'!"&amp;ADDRESS(MATCH($N$74, Tracker[Anime Name], 0) + 2, 5)), "")</f>
        <v>720p</v>
      </c>
      <c r="S74" s="62" t="str">
        <f ca="1">IF($N$74&lt;&gt;"", INDIRECT("'Tracker'!"&amp;ADDRESS(MATCH($N$74, Tracker[Anime Name], 0) + 2, 6)), "")</f>
        <v>BD</v>
      </c>
      <c r="T74" s="62" t="str">
        <f ca="1">IF($N$74&lt;&gt;"", INDIRECT("'Tracker'!"&amp;ADDRESS(MATCH($N$74, Tracker[Anime Name], 0) + 2, 7)), "")</f>
        <v>2009A</v>
      </c>
      <c r="U74" s="68" t="str">
        <f ca="1">IF($N$74&lt;&gt;"", INDIRECT("'Tracker'!"&amp;ADDRESS(MATCH($N$74, Tracker[Anime Name], 0) + 2, 8)), "")</f>
        <v>Frostii</v>
      </c>
      <c r="V74" s="96">
        <f>IF('Completed'!$C$73&lt;&gt;"",'Completed'!$C$73,"")</f>
        <v>6</v>
      </c>
      <c r="W74" s="96">
        <f>IF('Completed'!$D$73&lt;&gt;"",'Completed'!$D$73,"")</f>
        <v>7</v>
      </c>
      <c r="X74" s="96">
        <f>IF('Completed'!$E$73&lt;&gt;"",'Completed'!$E$73,"")</f>
        <v>9</v>
      </c>
      <c r="Y74" s="96">
        <f>IF('Completed'!$F$73&lt;&gt;"",'Completed'!$F$73,"")</f>
        <v>9</v>
      </c>
      <c r="Z74" s="110">
        <f>IF('Completed'!$G$73&lt;&gt;"",'Completed'!$G$73,"")</f>
        <v>7.9120603015075384</v>
      </c>
      <c r="AA74" s="120">
        <f>IF('Completed'!$H$73&lt;&gt;"",'Completed'!$H$73,"")</f>
        <v>7.2389440053808647</v>
      </c>
      <c r="AB74" s="97">
        <f>IF('Completed'!$I$73&lt;&gt;"",'Completed'!$I$73,"")</f>
        <v>41337</v>
      </c>
      <c r="AC74" s="97">
        <f>IF('Completed'!$J$73&lt;&gt;"",'Completed'!$J$73,"")</f>
        <v>41338</v>
      </c>
      <c r="AD74" s="111" t="str">
        <f>IF('Completed'!$K$73&lt;&gt;"",'Completed'!$K$73,"")</f>
        <v>Nakano Azusa</v>
      </c>
      <c r="AE74" s="111" t="str">
        <f>IF('Completed'!$L$73&lt;&gt;"",'Completed'!$L$73,"")</f>
        <v>The music is portrayed very accurately. 10/10 to the animators</v>
      </c>
    </row>
    <row r="75" spans="1:31">
      <c r="A75" s="145"/>
      <c r="B75" s="146"/>
      <c r="C75" s="146"/>
      <c r="D75" s="146"/>
      <c r="E75" s="146"/>
      <c r="F75" s="146"/>
      <c r="G75" s="146"/>
      <c r="H75" s="146"/>
      <c r="J75" s="61" t="str">
        <f>IF(Backlog!$A$74&lt;&gt;"",Backlog!$A$74,"")</f>
        <v/>
      </c>
      <c r="K75" s="68" t="str">
        <f>IF(Backlog!$B$74&lt;&gt;"",Backlog!$B$74,"")</f>
        <v/>
      </c>
      <c r="L75" s="69" t="str">
        <f>IF(Backlog!$C$74&lt;&gt;"",Backlog!$C$74,"")</f>
        <v/>
      </c>
      <c r="N75" s="61" t="str">
        <f>IF('Completed'!$A$74&lt;&gt;"",'Completed'!$A$74,"")</f>
        <v>Baka to Test to Shoukanjuu</v>
      </c>
      <c r="O75" s="68">
        <f>IF('Completed'!$B$74&lt;&gt;"",'Completed'!$B$74,"")</f>
        <v>1</v>
      </c>
      <c r="P75" s="68">
        <f ca="1">IF($N$75&lt;&gt;"", INDIRECT("'Tracker'!"&amp;ADDRESS(MATCH($N$75, Tracker[Anime Name], 0) + 2, 3)), "")</f>
        <v>13</v>
      </c>
      <c r="Q75" s="62" t="str">
        <f ca="1">IF($N$75&lt;&gt;"", INDIRECT("'Tracker'!"&amp;ADDRESS(MATCH($N$75, Tracker[Anime Name], 0) + 2, 4)), "")</f>
        <v>A</v>
      </c>
      <c r="R75" s="62" t="str">
        <f ca="1">IF($N$75&lt;&gt;"", INDIRECT("'Tracker'!"&amp;ADDRESS(MATCH($N$75, Tracker[Anime Name], 0) + 2, 5)), "")</f>
        <v>1080p</v>
      </c>
      <c r="S75" s="62" t="str">
        <f ca="1">IF($N$75&lt;&gt;"", INDIRECT("'Tracker'!"&amp;ADDRESS(MATCH($N$75, Tracker[Anime Name], 0) + 2, 6)), "")</f>
        <v>BD</v>
      </c>
      <c r="T75" s="62" t="str">
        <f ca="1">IF($N$75&lt;&gt;"", INDIRECT("'Tracker'!"&amp;ADDRESS(MATCH($N$75, Tracker[Anime Name], 0) + 2, 7)), "")</f>
        <v>2009D</v>
      </c>
      <c r="U75" s="68" t="str">
        <f ca="1">IF($N$75&lt;&gt;"", INDIRECT("'Tracker'!"&amp;ADDRESS(MATCH($N$75, Tracker[Anime Name], 0) + 2, 8)), "")</f>
        <v>Elysium</v>
      </c>
      <c r="V75" s="96">
        <f>IF('Completed'!$C$74&lt;&gt;"",'Completed'!$C$74,"")</f>
        <v>6.5</v>
      </c>
      <c r="W75" s="96">
        <f>IF('Completed'!$D$74&lt;&gt;"",'Completed'!$D$74,"")</f>
        <v>7.5</v>
      </c>
      <c r="X75" s="96">
        <f>IF('Completed'!$E$74&lt;&gt;"",'Completed'!$E$74,"")</f>
        <v>4</v>
      </c>
      <c r="Y75" s="96">
        <f>IF('Completed'!$F$74&lt;&gt;"",'Completed'!$F$74,"")</f>
        <v>9</v>
      </c>
      <c r="Z75" s="110">
        <f>IF('Completed'!$G$74&lt;&gt;"",'Completed'!$G$74,"")</f>
        <v>7.8994974874371851</v>
      </c>
      <c r="AA75" s="120">
        <f>IF('Completed'!$H$74&lt;&gt;"",'Completed'!$H$74,"")</f>
        <v>7.2221288044392118</v>
      </c>
      <c r="AB75" s="97">
        <f>IF('Completed'!$I$74&lt;&gt;"",'Completed'!$I$74,"")</f>
        <v>41347</v>
      </c>
      <c r="AC75" s="97">
        <f>IF('Completed'!$J$74&lt;&gt;"",'Completed'!$J$74,"")</f>
        <v>41354</v>
      </c>
      <c r="AD75" s="111" t="str">
        <f>IF('Completed'!$K$74&lt;&gt;"",'Completed'!$K$74,"")</f>
        <v>Shimada Minami</v>
      </c>
      <c r="AE75" s="111" t="str">
        <f>IF('Completed'!$L$74&lt;&gt;"",'Completed'!$L$74,"")</f>
        <v/>
      </c>
    </row>
    <row r="76" spans="1:31">
      <c r="A76" s="145"/>
      <c r="B76" s="146"/>
      <c r="C76" s="146"/>
      <c r="D76" s="146"/>
      <c r="E76" s="146"/>
      <c r="F76" s="146"/>
      <c r="G76" s="146"/>
      <c r="H76" s="146"/>
      <c r="J76" s="61" t="str">
        <f>IF(Backlog!$A$75&lt;&gt;"",Backlog!$A$75,"")</f>
        <v/>
      </c>
      <c r="K76" s="68" t="str">
        <f>IF(Backlog!$B$75&lt;&gt;"",Backlog!$B$75,"")</f>
        <v/>
      </c>
      <c r="L76" s="69" t="str">
        <f>IF(Backlog!$C$75&lt;&gt;"",Backlog!$C$75,"")</f>
        <v/>
      </c>
      <c r="N76" s="61" t="str">
        <f>IF('Completed'!$A$75&lt;&gt;"",'Completed'!$A$75,"")</f>
        <v>Ro-Kyu-Bu! SS</v>
      </c>
      <c r="O76" s="68">
        <f>IF('Completed'!$B$75&lt;&gt;"",'Completed'!$B$75,"")</f>
        <v>2</v>
      </c>
      <c r="P76" s="68">
        <f ca="1">IF($N$76&lt;&gt;"", INDIRECT("'Tracker'!"&amp;ADDRESS(MATCH($N$76, Tracker[Anime Name], 0) + 2, 3)), "")</f>
        <v>12</v>
      </c>
      <c r="Q76" s="62" t="str">
        <f ca="1">IF($N$76&lt;&gt;"", INDIRECT("'Tracker'!"&amp;ADDRESS(MATCH($N$76, Tracker[Anime Name], 0) + 2, 4)), "")</f>
        <v>A</v>
      </c>
      <c r="R76" s="62" t="str">
        <f ca="1">IF($N$76&lt;&gt;"", INDIRECT("'Tracker'!"&amp;ADDRESS(MATCH($N$76, Tracker[Anime Name], 0) + 2, 5)), "")</f>
        <v>1080p</v>
      </c>
      <c r="S76" s="62" t="str">
        <f ca="1">IF($N$76&lt;&gt;"", INDIRECT("'Tracker'!"&amp;ADDRESS(MATCH($N$76, Tracker[Anime Name], 0) + 2, 6)), "")</f>
        <v>BD</v>
      </c>
      <c r="T76" s="62" t="str">
        <f ca="1">IF($N$76&lt;&gt;"", INDIRECT("'Tracker'!"&amp;ADDRESS(MATCH($N$76, Tracker[Anime Name], 0) + 2, 7)), "")</f>
        <v>2013B</v>
      </c>
      <c r="U76" s="68" t="str">
        <f ca="1">IF($N$76&lt;&gt;"", INDIRECT("'Tracker'!"&amp;ADDRESS(MATCH($N$76, Tracker[Anime Name], 0) + 2, 8)), "")</f>
        <v>Asenshi-Doremi, Loligeddon</v>
      </c>
      <c r="V76" s="96">
        <f>IF('Completed'!$C$75&lt;&gt;"",'Completed'!$C$75,"")</f>
        <v>7</v>
      </c>
      <c r="W76" s="96">
        <f>IF('Completed'!$D$75&lt;&gt;"",'Completed'!$D$75,"")</f>
        <v>8</v>
      </c>
      <c r="X76" s="96">
        <f>IF('Completed'!$E$75&lt;&gt;"",'Completed'!$E$75,"")</f>
        <v>9.5</v>
      </c>
      <c r="Y76" s="96">
        <f>IF('Completed'!$F$75&lt;&gt;"",'Completed'!$F$75,"")</f>
        <v>8</v>
      </c>
      <c r="Z76" s="110">
        <f>IF('Completed'!$G$75&lt;&gt;"",'Completed'!$G$75,"")</f>
        <v>7.8881909547738696</v>
      </c>
      <c r="AA76" s="120">
        <f>IF('Completed'!$H$75&lt;&gt;"",'Completed'!$H$75,"")</f>
        <v>7.2069951235917262</v>
      </c>
      <c r="AB76" s="97">
        <f>IF('Completed'!$I$75&lt;&gt;"",'Completed'!$I$75,"")</f>
        <v>41468</v>
      </c>
      <c r="AC76" s="97">
        <f>IF('Completed'!$J$75&lt;&gt;"",'Completed'!$J$75,"")</f>
        <v>41589</v>
      </c>
      <c r="AD76" s="111" t="str">
        <f>IF('Completed'!$K$75&lt;&gt;"",'Completed'!$K$75,"")</f>
        <v>Hakamada Hinata</v>
      </c>
      <c r="AE76" s="111" t="str">
        <f>IF('Completed'!$L$75&lt;&gt;"",'Completed'!$L$75,"")</f>
        <v/>
      </c>
    </row>
    <row r="77" spans="1:31">
      <c r="A77" s="145"/>
      <c r="B77" s="146"/>
      <c r="C77" s="146"/>
      <c r="D77" s="146"/>
      <c r="E77" s="146"/>
      <c r="F77" s="146"/>
      <c r="G77" s="146"/>
      <c r="H77" s="146"/>
      <c r="J77" s="61" t="str">
        <f>IF(Backlog!$A$76&lt;&gt;"",Backlog!$A$76,"")</f>
        <v/>
      </c>
      <c r="K77" s="68" t="str">
        <f>IF(Backlog!$B$76&lt;&gt;"",Backlog!$B$76,"")</f>
        <v/>
      </c>
      <c r="L77" s="69" t="str">
        <f>IF(Backlog!$C$76&lt;&gt;"",Backlog!$C$76,"")</f>
        <v/>
      </c>
      <c r="N77" s="61" t="str">
        <f>IF('Completed'!$A$76&lt;&gt;"",'Completed'!$A$76,"")</f>
        <v>Sword Art Online</v>
      </c>
      <c r="O77" s="68">
        <f>IF('Completed'!$B$76&lt;&gt;"",'Completed'!$B$76,"")</f>
        <v>1</v>
      </c>
      <c r="P77" s="68">
        <f ca="1">IF($N$77&lt;&gt;"", INDIRECT("'Tracker'!"&amp;ADDRESS(MATCH($N$77, Tracker[Anime Name], 0) + 2, 3)), "")</f>
        <v>25</v>
      </c>
      <c r="Q77" s="62" t="str">
        <f ca="1">IF($N$77&lt;&gt;"", INDIRECT("'Tracker'!"&amp;ADDRESS(MATCH($N$77, Tracker[Anime Name], 0) + 2, 4)), "")</f>
        <v>A</v>
      </c>
      <c r="R77" s="62" t="str">
        <f ca="1">IF($N$77&lt;&gt;"", INDIRECT("'Tracker'!"&amp;ADDRESS(MATCH($N$77, Tracker[Anime Name], 0) + 2, 5)), "")</f>
        <v>720p</v>
      </c>
      <c r="S77" s="62" t="str">
        <f ca="1">IF($N$77&lt;&gt;"", INDIRECT("'Tracker'!"&amp;ADDRESS(MATCH($N$77, Tracker[Anime Name], 0) + 2, 6)), "")</f>
        <v>BD</v>
      </c>
      <c r="T77" s="62" t="str">
        <f ca="1">IF($N$77&lt;&gt;"", INDIRECT("'Tracker'!"&amp;ADDRESS(MATCH($N$77, Tracker[Anime Name], 0) + 2, 7)), "")</f>
        <v>2012B</v>
      </c>
      <c r="U77" s="68" t="str">
        <f ca="1">IF($N$77&lt;&gt;"", INDIRECT("'Tracker'!"&amp;ADDRESS(MATCH($N$77, Tracker[Anime Name], 0) + 2, 8)), "")</f>
        <v>Coalgirls, EveTaku</v>
      </c>
      <c r="V77" s="96">
        <f>IF('Completed'!$C$76&lt;&gt;"",'Completed'!$C$76,"")</f>
        <v>8</v>
      </c>
      <c r="W77" s="96">
        <f>IF('Completed'!$D$76&lt;&gt;"",'Completed'!$D$76,"")</f>
        <v>8</v>
      </c>
      <c r="X77" s="96">
        <f>IF('Completed'!$E$76&lt;&gt;"",'Completed'!$E$76,"")</f>
        <v>5</v>
      </c>
      <c r="Y77" s="96">
        <f>IF('Completed'!$F$76&lt;&gt;"",'Completed'!$F$76,"")</f>
        <v>8</v>
      </c>
      <c r="Z77" s="110">
        <f>IF('Completed'!$G$76&lt;&gt;"",'Completed'!$G$76,"")</f>
        <v>7.8567839195979898</v>
      </c>
      <c r="AA77" s="120">
        <f>IF('Completed'!$H$76&lt;&gt;"",'Completed'!$H$76,"")</f>
        <v>7.164957121237598</v>
      </c>
      <c r="AB77" s="97">
        <f>IF('Completed'!$I$76&lt;&gt;"",'Completed'!$I$76,"")</f>
        <v>41245</v>
      </c>
      <c r="AC77" s="97">
        <f>IF('Completed'!$J$76&lt;&gt;"",'Completed'!$J$76,"")</f>
        <v>41250</v>
      </c>
      <c r="AD77" s="111" t="str">
        <f>IF('Completed'!$K$76&lt;&gt;"",'Completed'!$K$76,"")</f>
        <v>Yuuki Asuna</v>
      </c>
      <c r="AE77" s="111" t="str">
        <f>IF('Completed'!$L$76&lt;&gt;"",'Completed'!$L$76,"")</f>
        <v>First cour was a lot better than the second, ratings adjusted to average both</v>
      </c>
    </row>
    <row r="78" spans="1:31">
      <c r="A78" s="145"/>
      <c r="B78" s="146"/>
      <c r="C78" s="146"/>
      <c r="D78" s="146"/>
      <c r="E78" s="146"/>
      <c r="F78" s="146"/>
      <c r="G78" s="146"/>
      <c r="H78" s="146"/>
      <c r="J78" s="61" t="str">
        <f>IF(Backlog!$A$77&lt;&gt;"",Backlog!$A$77,"")</f>
        <v/>
      </c>
      <c r="K78" s="68" t="str">
        <f>IF(Backlog!$B$77&lt;&gt;"",Backlog!$B$77,"")</f>
        <v/>
      </c>
      <c r="L78" s="69" t="str">
        <f>IF(Backlog!$C$77&lt;&gt;"",Backlog!$C$77,"")</f>
        <v/>
      </c>
      <c r="N78" s="61" t="str">
        <f>IF('Completed'!$A$77&lt;&gt;"",'Completed'!$A$77,"")</f>
        <v>Golden Time</v>
      </c>
      <c r="O78" s="68">
        <f>IF('Completed'!$B$77&lt;&gt;"",'Completed'!$B$77,"")</f>
        <v>1</v>
      </c>
      <c r="P78" s="68">
        <f ca="1">IF($N$78&lt;&gt;"", INDIRECT("'Tracker'!"&amp;ADDRESS(MATCH($N$78, Tracker[Anime Name], 0) + 2, 3)), "")</f>
        <v>24</v>
      </c>
      <c r="Q78" s="62" t="str">
        <f ca="1">IF($N$78&lt;&gt;"", INDIRECT("'Tracker'!"&amp;ADDRESS(MATCH($N$78, Tracker[Anime Name], 0) + 2, 4)), "")</f>
        <v>A</v>
      </c>
      <c r="R78" s="62" t="str">
        <f ca="1">IF($N$78&lt;&gt;"", INDIRECT("'Tracker'!"&amp;ADDRESS(MATCH($N$78, Tracker[Anime Name], 0) + 2, 5)), "")</f>
        <v>720p</v>
      </c>
      <c r="S78" s="62" t="str">
        <f ca="1">IF($N$78&lt;&gt;"", INDIRECT("'Tracker'!"&amp;ADDRESS(MATCH($N$78, Tracker[Anime Name], 0) + 2, 6)), "")</f>
        <v>TV</v>
      </c>
      <c r="T78" s="62" t="str">
        <f ca="1">IF($N$78&lt;&gt;"", INDIRECT("'Tracker'!"&amp;ADDRESS(MATCH($N$78, Tracker[Anime Name], 0) + 2, 7)), "")</f>
        <v>2013C</v>
      </c>
      <c r="U78" s="68" t="str">
        <f ca="1">IF($N$78&lt;&gt;"", INDIRECT("'Tracker'!"&amp;ADDRESS(MATCH($N$78, Tracker[Anime Name], 0) + 2, 8)), "")</f>
        <v>FFF</v>
      </c>
      <c r="V78" s="96">
        <f>IF('Completed'!$C$77&lt;&gt;"",'Completed'!$C$77,"")</f>
        <v>8</v>
      </c>
      <c r="W78" s="96">
        <f>IF('Completed'!$D$77&lt;&gt;"",'Completed'!$D$77,"")</f>
        <v>8</v>
      </c>
      <c r="X78" s="96">
        <f>IF('Completed'!$E$77&lt;&gt;"",'Completed'!$E$77,"")</f>
        <v>5</v>
      </c>
      <c r="Y78" s="96">
        <f>IF('Completed'!$F$77&lt;&gt;"",'Completed'!$F$77,"")</f>
        <v>8</v>
      </c>
      <c r="Z78" s="110">
        <f>IF('Completed'!$G$77&lt;&gt;"",'Completed'!$G$77,"")</f>
        <v>7.8567839195979898</v>
      </c>
      <c r="AA78" s="120">
        <f>IF('Completed'!$H$77&lt;&gt;"",'Completed'!$H$77,"")</f>
        <v>7.164957121237598</v>
      </c>
      <c r="AB78" s="97">
        <f>IF('Completed'!$I$77&lt;&gt;"",'Completed'!$I$77,"")</f>
        <v>41555</v>
      </c>
      <c r="AC78" s="97">
        <f>IF('Completed'!$J$77&lt;&gt;"",'Completed'!$J$77,"")</f>
        <v>41748</v>
      </c>
      <c r="AD78" s="111" t="str">
        <f>IF('Completed'!$K$77&lt;&gt;"",'Completed'!$K$77,"")</f>
        <v>Hayashida Linda</v>
      </c>
      <c r="AE78" s="111" t="str">
        <f>IF('Completed'!$L$77&lt;&gt;"",'Completed'!$L$77,"")</f>
        <v/>
      </c>
    </row>
    <row r="79" spans="1:31">
      <c r="A79" s="145"/>
      <c r="B79" s="146"/>
      <c r="C79" s="146"/>
      <c r="D79" s="146"/>
      <c r="E79" s="146"/>
      <c r="F79" s="146"/>
      <c r="G79" s="146"/>
      <c r="H79" s="146"/>
      <c r="J79" s="61" t="str">
        <f>IF(Backlog!$A$78&lt;&gt;"",Backlog!$A$78,"")</f>
        <v/>
      </c>
      <c r="K79" s="68" t="str">
        <f>IF(Backlog!$B$78&lt;&gt;"",Backlog!$B$78,"")</f>
        <v/>
      </c>
      <c r="L79" s="69" t="str">
        <f>IF(Backlog!$C$78&lt;&gt;"",Backlog!$C$78,"")</f>
        <v/>
      </c>
      <c r="N79" s="61" t="str">
        <f>IF('Completed'!$A$78&lt;&gt;"",'Completed'!$A$78,"")</f>
        <v>Ro-Kyu-Bu!</v>
      </c>
      <c r="O79" s="68">
        <f>IF('Completed'!$B$78&lt;&gt;"",'Completed'!$B$78,"")</f>
        <v>1</v>
      </c>
      <c r="P79" s="68">
        <f ca="1">IF($N$79&lt;&gt;"", INDIRECT("'Tracker'!"&amp;ADDRESS(MATCH($N$79, Tracker[Anime Name], 0) + 2, 3)), "")</f>
        <v>12</v>
      </c>
      <c r="Q79" s="62" t="str">
        <f ca="1">IF($N$79&lt;&gt;"", INDIRECT("'Tracker'!"&amp;ADDRESS(MATCH($N$79, Tracker[Anime Name], 0) + 2, 4)), "")</f>
        <v>A</v>
      </c>
      <c r="R79" s="62" t="str">
        <f ca="1">IF($N$79&lt;&gt;"", INDIRECT("'Tracker'!"&amp;ADDRESS(MATCH($N$79, Tracker[Anime Name], 0) + 2, 5)), "")</f>
        <v>720p</v>
      </c>
      <c r="S79" s="62" t="str">
        <f ca="1">IF($N$79&lt;&gt;"", INDIRECT("'Tracker'!"&amp;ADDRESS(MATCH($N$79, Tracker[Anime Name], 0) + 2, 6)), "")</f>
        <v>BD</v>
      </c>
      <c r="T79" s="62" t="str">
        <f ca="1">IF($N$79&lt;&gt;"", INDIRECT("'Tracker'!"&amp;ADDRESS(MATCH($N$79, Tracker[Anime Name], 0) + 2, 7)), "")</f>
        <v>2011B</v>
      </c>
      <c r="U79" s="68" t="str">
        <f ca="1">IF($N$79&lt;&gt;"", INDIRECT("'Tracker'!"&amp;ADDRESS(MATCH($N$79, Tracker[Anime Name], 0) + 2, 8)), "")</f>
        <v>Coalgirls, Shikkaku</v>
      </c>
      <c r="V79" s="96">
        <f>IF('Completed'!$C$78&lt;&gt;"",'Completed'!$C$78,"")</f>
        <v>7.5</v>
      </c>
      <c r="W79" s="96">
        <f>IF('Completed'!$D$78&lt;&gt;"",'Completed'!$D$78,"")</f>
        <v>7.5</v>
      </c>
      <c r="X79" s="96">
        <f>IF('Completed'!$E$78&lt;&gt;"",'Completed'!$E$78,"")</f>
        <v>9.5</v>
      </c>
      <c r="Y79" s="96">
        <f>IF('Completed'!$F$78&lt;&gt;"",'Completed'!$F$78,"")</f>
        <v>8</v>
      </c>
      <c r="Z79" s="110">
        <f>IF('Completed'!$G$78&lt;&gt;"",'Completed'!$G$78,"")</f>
        <v>7.8454773869346734</v>
      </c>
      <c r="AA79" s="120">
        <f>IF('Completed'!$H$78&lt;&gt;"",'Completed'!$H$78,"")</f>
        <v>7.1498234403901124</v>
      </c>
      <c r="AB79" s="97">
        <f>IF('Completed'!$I$78&lt;&gt;"",'Completed'!$I$78,"")</f>
        <v>41453</v>
      </c>
      <c r="AC79" s="97">
        <f>IF('Completed'!$J$78&lt;&gt;"",'Completed'!$J$78,"")</f>
        <v>41456</v>
      </c>
      <c r="AD79" s="111" t="str">
        <f>IF('Completed'!$K$78&lt;&gt;"",'Completed'!$K$78,"")</f>
        <v>Hakamada Hinata</v>
      </c>
      <c r="AE79" s="111" t="str">
        <f>IF('Completed'!$L$78&lt;&gt;"",'Completed'!$L$78,"")</f>
        <v/>
      </c>
    </row>
    <row r="80" spans="1:31">
      <c r="A80" s="145"/>
      <c r="B80" s="146"/>
      <c r="C80" s="146"/>
      <c r="D80" s="146"/>
      <c r="E80" s="146"/>
      <c r="F80" s="146"/>
      <c r="G80" s="146"/>
      <c r="H80" s="146"/>
      <c r="J80" s="61" t="str">
        <f>IF(Backlog!$A$79&lt;&gt;"",Backlog!$A$79,"")</f>
        <v/>
      </c>
      <c r="K80" s="68" t="str">
        <f>IF(Backlog!$B$79&lt;&gt;"",Backlog!$B$79,"")</f>
        <v/>
      </c>
      <c r="L80" s="69" t="str">
        <f>IF(Backlog!$C$79&lt;&gt;"",Backlog!$C$79,"")</f>
        <v/>
      </c>
      <c r="N80" s="61" t="str">
        <f>IF('Completed'!$A$79&lt;&gt;"",'Completed'!$A$79,"")</f>
        <v>Inari, Konkon, Koi Iroha.</v>
      </c>
      <c r="O80" s="68">
        <f>IF('Completed'!$B$79&lt;&gt;"",'Completed'!$B$79,"")</f>
        <v>1</v>
      </c>
      <c r="P80" s="68">
        <f ca="1">IF($N$80&lt;&gt;"", INDIRECT("'Tracker'!"&amp;ADDRESS(MATCH($N$80, Tracker[Anime Name], 0) + 2, 3)), "")</f>
        <v>10</v>
      </c>
      <c r="Q80" s="62" t="str">
        <f ca="1">IF($N$80&lt;&gt;"", INDIRECT("'Tracker'!"&amp;ADDRESS(MATCH($N$80, Tracker[Anime Name], 0) + 2, 4)), "")</f>
        <v>A</v>
      </c>
      <c r="R80" s="62" t="str">
        <f ca="1">IF($N$80&lt;&gt;"", INDIRECT("'Tracker'!"&amp;ADDRESS(MATCH($N$80, Tracker[Anime Name], 0) + 2, 5)), "")</f>
        <v>720p</v>
      </c>
      <c r="S80" s="62" t="str">
        <f ca="1">IF($N$80&lt;&gt;"", INDIRECT("'Tracker'!"&amp;ADDRESS(MATCH($N$80, Tracker[Anime Name], 0) + 2, 6)), "")</f>
        <v>TV</v>
      </c>
      <c r="T80" s="62" t="str">
        <f ca="1">IF($N$80&lt;&gt;"", INDIRECT("'Tracker'!"&amp;ADDRESS(MATCH($N$80, Tracker[Anime Name], 0) + 2, 7)), "")</f>
        <v>2013D</v>
      </c>
      <c r="U80" s="68" t="str">
        <f ca="1">IF($N$80&lt;&gt;"", INDIRECT("'Tracker'!"&amp;ADDRESS(MATCH($N$80, Tracker[Anime Name], 0) + 2, 8)), "")</f>
        <v>Vivid</v>
      </c>
      <c r="V80" s="96">
        <f>IF('Completed'!$C$79&lt;&gt;"",'Completed'!$C$79,"")</f>
        <v>7.5</v>
      </c>
      <c r="W80" s="96">
        <f>IF('Completed'!$D$79&lt;&gt;"",'Completed'!$D$79,"")</f>
        <v>8</v>
      </c>
      <c r="X80" s="96">
        <f>IF('Completed'!$E$79&lt;&gt;"",'Completed'!$E$79,"")</f>
        <v>6</v>
      </c>
      <c r="Y80" s="96">
        <f>IF('Completed'!$F$79&lt;&gt;"",'Completed'!$F$79,"")</f>
        <v>8</v>
      </c>
      <c r="Z80" s="110">
        <f>IF('Completed'!$G$79&lt;&gt;"",'Completed'!$G$79,"")</f>
        <v>7.8128140703517586</v>
      </c>
      <c r="AA80" s="120">
        <f>IF('Completed'!$H$79&lt;&gt;"",'Completed'!$H$79,"")</f>
        <v>7.1061039179418186</v>
      </c>
      <c r="AB80" s="97">
        <f>IF('Completed'!$I$79&lt;&gt;"",'Completed'!$I$79,"")</f>
        <v>41661</v>
      </c>
      <c r="AC80" s="97">
        <f>IF('Completed'!$J$79&lt;&gt;"",'Completed'!$J$79,"")</f>
        <v>41722</v>
      </c>
      <c r="AD80" s="111" t="str">
        <f>IF('Completed'!$K$79&lt;&gt;"",'Completed'!$K$79,"")</f>
        <v>Sanjou Keiko</v>
      </c>
      <c r="AE80" s="111" t="str">
        <f>IF('Completed'!$L$79&lt;&gt;"",'Completed'!$L$79,"")</f>
        <v/>
      </c>
    </row>
    <row r="81" spans="10:31">
      <c r="J81" s="61" t="str">
        <f>IF(Backlog!$A$80&lt;&gt;"",Backlog!$A$80,"")</f>
        <v/>
      </c>
      <c r="K81" s="68" t="str">
        <f>IF(Backlog!$B$80&lt;&gt;"",Backlog!$B$80,"")</f>
        <v/>
      </c>
      <c r="L81" s="69" t="str">
        <f>IF(Backlog!$C$80&lt;&gt;"",Backlog!$C$80,"")</f>
        <v/>
      </c>
      <c r="N81" s="61" t="str">
        <f>IF('Completed'!$A$80&lt;&gt;"",'Completed'!$A$80,"")</f>
        <v>Danshi Koukousei no Nichijou</v>
      </c>
      <c r="O81" s="68">
        <f>IF('Completed'!$B$80&lt;&gt;"",'Completed'!$B$80,"")</f>
        <v>1</v>
      </c>
      <c r="P81" s="68">
        <f ca="1">IF($N$81&lt;&gt;"", INDIRECT("'Tracker'!"&amp;ADDRESS(MATCH($N$81, Tracker[Anime Name], 0) + 2, 3)), "")</f>
        <v>12</v>
      </c>
      <c r="Q81" s="62" t="str">
        <f ca="1">IF($N$81&lt;&gt;"", INDIRECT("'Tracker'!"&amp;ADDRESS(MATCH($N$81, Tracker[Anime Name], 0) + 2, 4)), "")</f>
        <v>A</v>
      </c>
      <c r="R81" s="62" t="str">
        <f ca="1">IF($N$81&lt;&gt;"", INDIRECT("'Tracker'!"&amp;ADDRESS(MATCH($N$81, Tracker[Anime Name], 0) + 2, 5)), "")</f>
        <v>720p</v>
      </c>
      <c r="S81" s="62" t="str">
        <f ca="1">IF($N$81&lt;&gt;"", INDIRECT("'Tracker'!"&amp;ADDRESS(MATCH($N$81, Tracker[Anime Name], 0) + 2, 6)), "")</f>
        <v>BD</v>
      </c>
      <c r="T81" s="62" t="str">
        <f ca="1">IF($N$81&lt;&gt;"", INDIRECT("'Tracker'!"&amp;ADDRESS(MATCH($N$81, Tracker[Anime Name], 0) + 2, 7)), "")</f>
        <v>2011D</v>
      </c>
      <c r="U81" s="68" t="str">
        <f ca="1">IF($N$81&lt;&gt;"", INDIRECT("'Tracker'!"&amp;ADDRESS(MATCH($N$81, Tracker[Anime Name], 0) + 2, 8)), "")</f>
        <v>AnimeNOW</v>
      </c>
      <c r="V81" s="96">
        <f>IF('Completed'!$C$80&lt;&gt;"",'Completed'!$C$80,"")</f>
        <v>4</v>
      </c>
      <c r="W81" s="96">
        <f>IF('Completed'!$D$80&lt;&gt;"",'Completed'!$D$80,"")</f>
        <v>8</v>
      </c>
      <c r="X81" s="96">
        <f>IF('Completed'!$E$80&lt;&gt;"",'Completed'!$E$80,"")</f>
        <v>3</v>
      </c>
      <c r="Y81" s="96">
        <f>IF('Completed'!$F$80&lt;&gt;"",'Completed'!$F$80,"")</f>
        <v>9.5</v>
      </c>
      <c r="Z81" s="110">
        <f>IF('Completed'!$G$80&lt;&gt;"",'Completed'!$G$80,"")</f>
        <v>7.7776381909547743</v>
      </c>
      <c r="AA81" s="120">
        <f>IF('Completed'!$H$80&lt;&gt;"",'Completed'!$H$80,"")</f>
        <v>7.0590213553051964</v>
      </c>
      <c r="AB81" s="97">
        <f>IF('Completed'!$I$80&lt;&gt;"",'Completed'!$I$80,"")</f>
        <v>41443</v>
      </c>
      <c r="AC81" s="97">
        <f>IF('Completed'!$J$80&lt;&gt;"",'Completed'!$J$80,"")</f>
        <v>41444</v>
      </c>
      <c r="AD81" s="111" t="str">
        <f>IF('Completed'!$K$80&lt;&gt;"",'Completed'!$K$80,"")</f>
        <v>Literary Girl</v>
      </c>
      <c r="AE81" s="111" t="str">
        <f>IF('Completed'!$L$80&lt;&gt;"",'Completed'!$L$80,"")</f>
        <v/>
      </c>
    </row>
    <row r="82" spans="10:31">
      <c r="J82" s="61" t="str">
        <f>IF(Backlog!$A$81&lt;&gt;"",Backlog!$A$81,"")</f>
        <v/>
      </c>
      <c r="K82" s="68" t="str">
        <f>IF(Backlog!$B$81&lt;&gt;"",Backlog!$B$81,"")</f>
        <v/>
      </c>
      <c r="L82" s="69" t="str">
        <f>IF(Backlog!$C$81&lt;&gt;"",Backlog!$C$81,"")</f>
        <v/>
      </c>
      <c r="N82" s="61" t="str">
        <f>IF('Completed'!$A$81&lt;&gt;"",'Completed'!$A$81,"")</f>
        <v>Yosuga no Sora</v>
      </c>
      <c r="O82" s="68">
        <f>IF('Completed'!$B$81&lt;&gt;"",'Completed'!$B$81,"")</f>
        <v>1</v>
      </c>
      <c r="P82" s="68">
        <f ca="1">IF($N$82&lt;&gt;"", INDIRECT("'Tracker'!"&amp;ADDRESS(MATCH($N$82, Tracker[Anime Name], 0) + 2, 3)), "")</f>
        <v>12</v>
      </c>
      <c r="Q82" s="62" t="str">
        <f ca="1">IF($N$82&lt;&gt;"", INDIRECT("'Tracker'!"&amp;ADDRESS(MATCH($N$82, Tracker[Anime Name], 0) + 2, 4)), "")</f>
        <v>A</v>
      </c>
      <c r="R82" s="62" t="str">
        <f ca="1">IF($N$82&lt;&gt;"", INDIRECT("'Tracker'!"&amp;ADDRESS(MATCH($N$82, Tracker[Anime Name], 0) + 2, 5)), "")</f>
        <v>720p</v>
      </c>
      <c r="S82" s="62" t="str">
        <f ca="1">IF($N$82&lt;&gt;"", INDIRECT("'Tracker'!"&amp;ADDRESS(MATCH($N$82, Tracker[Anime Name], 0) + 2, 6)), "")</f>
        <v>BD</v>
      </c>
      <c r="T82" s="62" t="str">
        <f ca="1">IF($N$82&lt;&gt;"", INDIRECT("'Tracker'!"&amp;ADDRESS(MATCH($N$82, Tracker[Anime Name], 0) + 2, 7)), "")</f>
        <v>2010C</v>
      </c>
      <c r="U82" s="68" t="str">
        <f ca="1">IF($N$82&lt;&gt;"", INDIRECT("'Tracker'!"&amp;ADDRESS(MATCH($N$82, Tracker[Anime Name], 0) + 2, 8)), "")</f>
        <v>Coalgirls, UTW, Ryuumaru</v>
      </c>
      <c r="V82" s="96">
        <f>IF('Completed'!$C$81&lt;&gt;"",'Completed'!$C$81,"")</f>
        <v>7</v>
      </c>
      <c r="W82" s="96">
        <f>IF('Completed'!$D$81&lt;&gt;"",'Completed'!$D$81,"")</f>
        <v>8</v>
      </c>
      <c r="X82" s="96">
        <f>IF('Completed'!$E$81&lt;&gt;"",'Completed'!$E$81,"")</f>
        <v>7</v>
      </c>
      <c r="Y82" s="96">
        <f>IF('Completed'!$F$81&lt;&gt;"",'Completed'!$F$81,"")</f>
        <v>8</v>
      </c>
      <c r="Z82" s="110">
        <f>IF('Completed'!$G$81&lt;&gt;"",'Completed'!$G$81,"")</f>
        <v>7.7688442211055282</v>
      </c>
      <c r="AA82" s="120">
        <f>IF('Completed'!$H$81&lt;&gt;"",'Completed'!$H$81,"")</f>
        <v>7.0472507146460401</v>
      </c>
      <c r="AB82" s="97">
        <f>IF('Completed'!$I$81&lt;&gt;"",'Completed'!$I$81,"")</f>
        <v>41457</v>
      </c>
      <c r="AC82" s="97">
        <f>IF('Completed'!$J$81&lt;&gt;"",'Completed'!$J$81,"")</f>
        <v>41463</v>
      </c>
      <c r="AD82" s="111" t="str">
        <f>IF('Completed'!$K$81&lt;&gt;"",'Completed'!$K$81,"")</f>
        <v>Kasugano Sora</v>
      </c>
      <c r="AE82" s="111" t="str">
        <f>IF('Completed'!$L$81&lt;&gt;"",'Completed'!$L$81,"")</f>
        <v/>
      </c>
    </row>
    <row r="83" spans="10:31">
      <c r="J83" s="61" t="str">
        <f>IF(Backlog!$A$82&lt;&gt;"",Backlog!$A$82,"")</f>
        <v/>
      </c>
      <c r="K83" s="68" t="str">
        <f>IF(Backlog!$B$82&lt;&gt;"",Backlog!$B$82,"")</f>
        <v/>
      </c>
      <c r="L83" s="69" t="str">
        <f>IF(Backlog!$C$82&lt;&gt;"",Backlog!$C$82,"")</f>
        <v/>
      </c>
      <c r="N83" s="61" t="str">
        <f>IF('Completed'!$A$82&lt;&gt;"",'Completed'!$A$82,"")</f>
        <v>D-Frag!</v>
      </c>
      <c r="O83" s="68">
        <f>IF('Completed'!$B$82&lt;&gt;"",'Completed'!$B$82,"")</f>
        <v>1</v>
      </c>
      <c r="P83" s="68">
        <f ca="1">IF($N$83&lt;&gt;"", INDIRECT("'Tracker'!"&amp;ADDRESS(MATCH($N$83, Tracker[Anime Name], 0) + 2, 3)), "")</f>
        <v>12</v>
      </c>
      <c r="Q83" s="62" t="str">
        <f ca="1">IF($N$83&lt;&gt;"", INDIRECT("'Tracker'!"&amp;ADDRESS(MATCH($N$83, Tracker[Anime Name], 0) + 2, 4)), "")</f>
        <v>B</v>
      </c>
      <c r="R83" s="62" t="str">
        <f ca="1">IF($N$83&lt;&gt;"", INDIRECT("'Tracker'!"&amp;ADDRESS(MATCH($N$83, Tracker[Anime Name], 0) + 2, 5)), "")</f>
        <v>720p</v>
      </c>
      <c r="S83" s="62" t="str">
        <f ca="1">IF($N$83&lt;&gt;"", INDIRECT("'Tracker'!"&amp;ADDRESS(MATCH($N$83, Tracker[Anime Name], 0) + 2, 6)), "")</f>
        <v>TV</v>
      </c>
      <c r="T83" s="62" t="str">
        <f ca="1">IF($N$83&lt;&gt;"", INDIRECT("'Tracker'!"&amp;ADDRESS(MATCH($N$83, Tracker[Anime Name], 0) + 2, 7)), "")</f>
        <v>2013D</v>
      </c>
      <c r="U83" s="68" t="str">
        <f ca="1">IF($N$83&lt;&gt;"", INDIRECT("'Tracker'!"&amp;ADDRESS(MATCH($N$83, Tracker[Anime Name], 0) + 2, 8)), "")</f>
        <v>Vivid</v>
      </c>
      <c r="V83" s="96">
        <f>IF('Completed'!$C$82&lt;&gt;"",'Completed'!$C$82,"")</f>
        <v>7.5</v>
      </c>
      <c r="W83" s="96">
        <f>IF('Completed'!$D$82&lt;&gt;"",'Completed'!$D$82,"")</f>
        <v>8</v>
      </c>
      <c r="X83" s="96">
        <f>IF('Completed'!$E$82&lt;&gt;"",'Completed'!$E$82,"")</f>
        <v>5</v>
      </c>
      <c r="Y83" s="96">
        <f>IF('Completed'!$F$82&lt;&gt;"",'Completed'!$F$82,"")</f>
        <v>8</v>
      </c>
      <c r="Z83" s="110">
        <f>IF('Completed'!$G$82&lt;&gt;"",'Completed'!$G$82,"")</f>
        <v>7.7650753768844227</v>
      </c>
      <c r="AA83" s="120">
        <f>IF('Completed'!$H$82&lt;&gt;"",'Completed'!$H$82,"")</f>
        <v>7.0422061543635452</v>
      </c>
      <c r="AB83" s="97">
        <f>IF('Completed'!$I$82&lt;&gt;"",'Completed'!$I$82,"")</f>
        <v>41648</v>
      </c>
      <c r="AC83" s="97">
        <f>IF('Completed'!$J$82&lt;&gt;"",'Completed'!$J$82,"")</f>
        <v>41746</v>
      </c>
      <c r="AD83" s="111" t="str">
        <f>IF('Completed'!$K$82&lt;&gt;"",'Completed'!$K$82,"")</f>
        <v>Shibasaki Roka</v>
      </c>
      <c r="AE83" s="111" t="str">
        <f>IF('Completed'!$L$82&lt;&gt;"",'Completed'!$L$82,"")</f>
        <v/>
      </c>
    </row>
    <row r="84" spans="10:31">
      <c r="J84" s="61" t="str">
        <f>IF(Backlog!$A$83&lt;&gt;"",Backlog!$A$83,"")</f>
        <v/>
      </c>
      <c r="K84" s="68" t="str">
        <f>IF(Backlog!$B$83&lt;&gt;"",Backlog!$B$83,"")</f>
        <v/>
      </c>
      <c r="L84" s="69" t="str">
        <f>IF(Backlog!$C$83&lt;&gt;"",Backlog!$C$83,"")</f>
        <v/>
      </c>
      <c r="N84" s="61" t="str">
        <f>IF('Completed'!$A$83&lt;&gt;"",'Completed'!$A$83,"")</f>
        <v>Kiniro Mosaic</v>
      </c>
      <c r="O84" s="68">
        <f>IF('Completed'!$B$83&lt;&gt;"",'Completed'!$B$83,"")</f>
        <v>1</v>
      </c>
      <c r="P84" s="68">
        <f ca="1">IF($N$84&lt;&gt;"", INDIRECT("'Tracker'!"&amp;ADDRESS(MATCH($N$84, Tracker[Anime Name], 0) + 2, 3)), "")</f>
        <v>12</v>
      </c>
      <c r="Q84" s="62" t="str">
        <f ca="1">IF($N$84&lt;&gt;"", INDIRECT("'Tracker'!"&amp;ADDRESS(MATCH($N$84, Tracker[Anime Name], 0) + 2, 4)), "")</f>
        <v>A</v>
      </c>
      <c r="R84" s="62" t="str">
        <f ca="1">IF($N$84&lt;&gt;"", INDIRECT("'Tracker'!"&amp;ADDRESS(MATCH($N$84, Tracker[Anime Name], 0) + 2, 5)), "")</f>
        <v>1080p</v>
      </c>
      <c r="S84" s="62" t="str">
        <f ca="1">IF($N$84&lt;&gt;"", INDIRECT("'Tracker'!"&amp;ADDRESS(MATCH($N$84, Tracker[Anime Name], 0) + 2, 6)), "")</f>
        <v>BD</v>
      </c>
      <c r="T84" s="62" t="str">
        <f ca="1">IF($N$84&lt;&gt;"", INDIRECT("'Tracker'!"&amp;ADDRESS(MATCH($N$84, Tracker[Anime Name], 0) + 2, 7)), "")</f>
        <v>2013B</v>
      </c>
      <c r="U84" s="68" t="str">
        <f ca="1">IF($N$84&lt;&gt;"", INDIRECT("'Tracker'!"&amp;ADDRESS(MATCH($N$84, Tracker[Anime Name], 0) + 2, 8)), "")</f>
        <v>Doki</v>
      </c>
      <c r="V84" s="96">
        <f>IF('Completed'!$C$83&lt;&gt;"",'Completed'!$C$83,"")</f>
        <v>3.5</v>
      </c>
      <c r="W84" s="96">
        <f>IF('Completed'!$D$83&lt;&gt;"",'Completed'!$D$83,"")</f>
        <v>8</v>
      </c>
      <c r="X84" s="96">
        <f>IF('Completed'!$E$83&lt;&gt;"",'Completed'!$E$83,"")</f>
        <v>9.5</v>
      </c>
      <c r="Y84" s="96">
        <f>IF('Completed'!$F$83&lt;&gt;"",'Completed'!$F$83,"")</f>
        <v>9</v>
      </c>
      <c r="Z84" s="110">
        <f>IF('Completed'!$G$83&lt;&gt;"",'Completed'!$G$83,"")</f>
        <v>7.7462311557788937</v>
      </c>
      <c r="AA84" s="120">
        <f>IF('Completed'!$H$83&lt;&gt;"",'Completed'!$H$83,"")</f>
        <v>7.0169833529510663</v>
      </c>
      <c r="AB84" s="97">
        <f>IF('Completed'!$I$83&lt;&gt;"",'Completed'!$I$83,"")</f>
        <v>41462</v>
      </c>
      <c r="AC84" s="97">
        <f>IF('Completed'!$J$83&lt;&gt;"",'Completed'!$J$83,"")</f>
        <v>41538</v>
      </c>
      <c r="AD84" s="111" t="str">
        <f>IF('Completed'!$K$83&lt;&gt;"",'Completed'!$K$83,"")</f>
        <v>Komichi Aya</v>
      </c>
      <c r="AE84" s="111" t="str">
        <f>IF('Completed'!$L$83&lt;&gt;"",'Completed'!$L$83,"")</f>
        <v/>
      </c>
    </row>
    <row r="85" spans="10:31">
      <c r="J85" s="61" t="str">
        <f>IF(Backlog!$A$84&lt;&gt;"",Backlog!$A$84,"")</f>
        <v/>
      </c>
      <c r="K85" s="68" t="str">
        <f>IF(Backlog!$B$84&lt;&gt;"",Backlog!$B$84,"")</f>
        <v/>
      </c>
      <c r="L85" s="69" t="str">
        <f>IF(Backlog!$C$84&lt;&gt;"",Backlog!$C$84,"")</f>
        <v/>
      </c>
      <c r="N85" s="61" t="str">
        <f>IF('Completed'!$A$84&lt;&gt;"",'Completed'!$A$84,"")</f>
        <v>Nichijou</v>
      </c>
      <c r="O85" s="68">
        <f>IF('Completed'!$B$84&lt;&gt;"",'Completed'!$B$84,"")</f>
        <v>1</v>
      </c>
      <c r="P85" s="68">
        <f ca="1">IF($N$85&lt;&gt;"", INDIRECT("'Tracker'!"&amp;ADDRESS(MATCH($N$85, Tracker[Anime Name], 0) + 2, 3)), "")</f>
        <v>26</v>
      </c>
      <c r="Q85" s="62" t="str">
        <f ca="1">IF($N$85&lt;&gt;"", INDIRECT("'Tracker'!"&amp;ADDRESS(MATCH($N$85, Tracker[Anime Name], 0) + 2, 4)), "")</f>
        <v>A</v>
      </c>
      <c r="R85" s="62" t="str">
        <f ca="1">IF($N$85&lt;&gt;"", INDIRECT("'Tracker'!"&amp;ADDRESS(MATCH($N$85, Tracker[Anime Name], 0) + 2, 5)), "")</f>
        <v>1080p</v>
      </c>
      <c r="S85" s="62" t="str">
        <f ca="1">IF($N$85&lt;&gt;"", INDIRECT("'Tracker'!"&amp;ADDRESS(MATCH($N$85, Tracker[Anime Name], 0) + 2, 6)), "")</f>
        <v>BD</v>
      </c>
      <c r="T85" s="62" t="str">
        <f ca="1">IF($N$85&lt;&gt;"", INDIRECT("'Tracker'!"&amp;ADDRESS(MATCH($N$85, Tracker[Anime Name], 0) + 2, 7)), "")</f>
        <v>2011A</v>
      </c>
      <c r="U85" s="68" t="str">
        <f ca="1">IF($N$85&lt;&gt;"", INDIRECT("'Tracker'!"&amp;ADDRESS(MATCH($N$85, Tracker[Anime Name], 0) + 2, 8)), "")</f>
        <v>Doki</v>
      </c>
      <c r="V85" s="96">
        <f>IF('Completed'!$C$84&lt;&gt;"",'Completed'!$C$84,"")</f>
        <v>2</v>
      </c>
      <c r="W85" s="96">
        <f>IF('Completed'!$D$84&lt;&gt;"",'Completed'!$D$84,"")</f>
        <v>8.5</v>
      </c>
      <c r="X85" s="96">
        <f>IF('Completed'!$E$84&lt;&gt;"",'Completed'!$E$84,"")</f>
        <v>7</v>
      </c>
      <c r="Y85" s="96">
        <f>IF('Completed'!$F$84&lt;&gt;"",'Completed'!$F$84,"")</f>
        <v>9.5</v>
      </c>
      <c r="Z85" s="110">
        <f>IF('Completed'!$G$84&lt;&gt;"",'Completed'!$G$84,"")</f>
        <v>7.7361809045226133</v>
      </c>
      <c r="AA85" s="120">
        <f>IF('Completed'!$H$84&lt;&gt;"",'Completed'!$H$84,"")</f>
        <v>7.0035311921977463</v>
      </c>
      <c r="AB85" s="97">
        <f>IF('Completed'!$I$84&lt;&gt;"",'Completed'!$I$84,"")</f>
        <v>41291</v>
      </c>
      <c r="AC85" s="97">
        <f>IF('Completed'!$J$84&lt;&gt;"",'Completed'!$J$84,"")</f>
        <v>41298</v>
      </c>
      <c r="AD85" s="111" t="str">
        <f>IF('Completed'!$K$84&lt;&gt;"",'Completed'!$K$84,"")</f>
        <v>Minakami Mai</v>
      </c>
      <c r="AE85" s="111" t="str">
        <f>IF('Completed'!$L$84&lt;&gt;"",'Completed'!$L$84,"")</f>
        <v>The ultimate slice of life. Pretty funny, but art style bothers me</v>
      </c>
    </row>
    <row r="86" spans="10:31">
      <c r="J86" s="61" t="str">
        <f>IF(Backlog!$A$85&lt;&gt;"",Backlog!$A$85,"")</f>
        <v/>
      </c>
      <c r="K86" s="68" t="str">
        <f>IF(Backlog!$B$85&lt;&gt;"",Backlog!$B$85,"")</f>
        <v/>
      </c>
      <c r="L86" s="69" t="str">
        <f>IF(Backlog!$C$85&lt;&gt;"",Backlog!$C$85,"")</f>
        <v/>
      </c>
      <c r="N86" s="61" t="str">
        <f>IF('Completed'!$A$85&lt;&gt;"",'Completed'!$A$85,"")</f>
        <v>Coppelion</v>
      </c>
      <c r="O86" s="68">
        <f>IF('Completed'!$B$85&lt;&gt;"",'Completed'!$B$85,"")</f>
        <v>1</v>
      </c>
      <c r="P86" s="68">
        <f ca="1">IF($N$86&lt;&gt;"", INDIRECT("'Tracker'!"&amp;ADDRESS(MATCH($N$86, Tracker[Anime Name], 0) + 2, 3)), "")</f>
        <v>13</v>
      </c>
      <c r="Q86" s="62" t="str">
        <f ca="1">IF($N$86&lt;&gt;"", INDIRECT("'Tracker'!"&amp;ADDRESS(MATCH($N$86, Tracker[Anime Name], 0) + 2, 4)), "")</f>
        <v>A</v>
      </c>
      <c r="R86" s="62" t="str">
        <f ca="1">IF($N$86&lt;&gt;"", INDIRECT("'Tracker'!"&amp;ADDRESS(MATCH($N$86, Tracker[Anime Name], 0) + 2, 5)), "")</f>
        <v>720p</v>
      </c>
      <c r="S86" s="62" t="str">
        <f ca="1">IF($N$86&lt;&gt;"", INDIRECT("'Tracker'!"&amp;ADDRESS(MATCH($N$86, Tracker[Anime Name], 0) + 2, 6)), "")</f>
        <v>Web</v>
      </c>
      <c r="T86" s="62" t="str">
        <f ca="1">IF($N$86&lt;&gt;"", INDIRECT("'Tracker'!"&amp;ADDRESS(MATCH($N$86, Tracker[Anime Name], 0) + 2, 7)), "")</f>
        <v>2013C</v>
      </c>
      <c r="U86" s="68" t="str">
        <f ca="1">IF($N$86&lt;&gt;"", INDIRECT("'Tracker'!"&amp;ADDRESS(MATCH($N$86, Tracker[Anime Name], 0) + 2, 8)), "")</f>
        <v>HorribleSubs</v>
      </c>
      <c r="V86" s="96">
        <f>IF('Completed'!$C$85&lt;&gt;"",'Completed'!$C$85,"")</f>
        <v>8.5</v>
      </c>
      <c r="W86" s="96">
        <f>IF('Completed'!$D$85&lt;&gt;"",'Completed'!$D$85,"")</f>
        <v>7.5</v>
      </c>
      <c r="X86" s="96">
        <f>IF('Completed'!$E$85&lt;&gt;"",'Completed'!$E$85,"")</f>
        <v>2</v>
      </c>
      <c r="Y86" s="96">
        <f>IF('Completed'!$F$85&lt;&gt;"",'Completed'!$F$85,"")</f>
        <v>8</v>
      </c>
      <c r="Z86" s="110">
        <f>IF('Completed'!$G$85&lt;&gt;"",'Completed'!$G$85,"")</f>
        <v>7.6708542713567844</v>
      </c>
      <c r="AA86" s="120">
        <f>IF('Completed'!$H$85&lt;&gt;"",'Completed'!$H$85,"")</f>
        <v>6.9160921473011605</v>
      </c>
      <c r="AB86" s="97">
        <f>IF('Completed'!$I$85&lt;&gt;"",'Completed'!$I$85,"")</f>
        <v>41555</v>
      </c>
      <c r="AC86" s="97">
        <f>IF('Completed'!$J$85&lt;&gt;"",'Completed'!$J$85,"")</f>
        <v>41634</v>
      </c>
      <c r="AD86" s="111" t="str">
        <f>IF('Completed'!$K$85&lt;&gt;"",'Completed'!$K$85,"")</f>
        <v>Nomura Taeko</v>
      </c>
      <c r="AE86" s="111" t="str">
        <f>IF('Completed'!$L$85&lt;&gt;"",'Completed'!$L$85,"")</f>
        <v>Despite a few plot holes, it was pretty good overall</v>
      </c>
    </row>
    <row r="87" spans="10:31">
      <c r="J87" s="61" t="str">
        <f>IF(Backlog!$A$86&lt;&gt;"",Backlog!$A$86,"")</f>
        <v/>
      </c>
      <c r="K87" s="68" t="str">
        <f>IF(Backlog!$B$86&lt;&gt;"",Backlog!$B$86,"")</f>
        <v/>
      </c>
      <c r="L87" s="69" t="str">
        <f>IF(Backlog!$C$86&lt;&gt;"",Backlog!$C$86,"")</f>
        <v/>
      </c>
      <c r="N87" s="61" t="str">
        <f>IF('Completed'!$A$86&lt;&gt;"",'Completed'!$A$86,"")</f>
        <v>Chuunibyou demo Koi ga Shitai! Ren</v>
      </c>
      <c r="O87" s="68">
        <f>IF('Completed'!$B$86&lt;&gt;"",'Completed'!$B$86,"")</f>
        <v>2</v>
      </c>
      <c r="P87" s="68">
        <f ca="1">IF($N$87&lt;&gt;"", INDIRECT("'Tracker'!"&amp;ADDRESS(MATCH($N$87, Tracker[Anime Name], 0) + 2, 3)), "")</f>
        <v>12</v>
      </c>
      <c r="Q87" s="62" t="str">
        <f ca="1">IF($N$87&lt;&gt;"", INDIRECT("'Tracker'!"&amp;ADDRESS(MATCH($N$87, Tracker[Anime Name], 0) + 2, 4)), "")</f>
        <v>A</v>
      </c>
      <c r="R87" s="62" t="str">
        <f ca="1">IF($N$87&lt;&gt;"", INDIRECT("'Tracker'!"&amp;ADDRESS(MATCH($N$87, Tracker[Anime Name], 0) + 2, 5)), "")</f>
        <v>720p</v>
      </c>
      <c r="S87" s="62" t="str">
        <f ca="1">IF($N$87&lt;&gt;"", INDIRECT("'Tracker'!"&amp;ADDRESS(MATCH($N$87, Tracker[Anime Name], 0) + 2, 6)), "")</f>
        <v>TV</v>
      </c>
      <c r="T87" s="62" t="str">
        <f ca="1">IF($N$87&lt;&gt;"", INDIRECT("'Tracker'!"&amp;ADDRESS(MATCH($N$87, Tracker[Anime Name], 0) + 2, 7)), "")</f>
        <v>2013D</v>
      </c>
      <c r="U87" s="68" t="str">
        <f ca="1">IF($N$87&lt;&gt;"", INDIRECT("'Tracker'!"&amp;ADDRESS(MATCH($N$87, Tracker[Anime Name], 0) + 2, 8)), "")</f>
        <v>FFF, UTW (FTW)</v>
      </c>
      <c r="V87" s="96">
        <f>IF('Completed'!$C$86&lt;&gt;"",'Completed'!$C$86,"")</f>
        <v>8</v>
      </c>
      <c r="W87" s="96">
        <f>IF('Completed'!$D$86&lt;&gt;"",'Completed'!$D$86,"")</f>
        <v>8</v>
      </c>
      <c r="X87" s="96">
        <f>IF('Completed'!$E$86&lt;&gt;"",'Completed'!$E$86,"")</f>
        <v>6</v>
      </c>
      <c r="Y87" s="96">
        <f>IF('Completed'!$F$86&lt;&gt;"",'Completed'!$F$86,"")</f>
        <v>7.5</v>
      </c>
      <c r="Z87" s="110">
        <f>IF('Completed'!$G$86&lt;&gt;"",'Completed'!$G$86,"")</f>
        <v>7.6545226130653274</v>
      </c>
      <c r="AA87" s="120">
        <f>IF('Completed'!$H$86&lt;&gt;"",'Completed'!$H$86,"")</f>
        <v>6.8942323860770145</v>
      </c>
      <c r="AB87" s="97">
        <f>IF('Completed'!$I$86&lt;&gt;"",'Completed'!$I$86,"")</f>
        <v>41648</v>
      </c>
      <c r="AC87" s="97">
        <f>IF('Completed'!$J$86&lt;&gt;"",'Completed'!$J$86,"")</f>
        <v>41730</v>
      </c>
      <c r="AD87" s="111" t="str">
        <f>IF('Completed'!$K$86&lt;&gt;"",'Completed'!$K$86,"")</f>
        <v>Togashi Kuzuha</v>
      </c>
      <c r="AE87" s="111" t="str">
        <f>IF('Completed'!$L$86&lt;&gt;"",'Completed'!$L$86,"")</f>
        <v/>
      </c>
    </row>
    <row r="88" spans="10:31">
      <c r="J88" s="61" t="str">
        <f>IF(Backlog!$A$87&lt;&gt;"",Backlog!$A$87,"")</f>
        <v/>
      </c>
      <c r="K88" s="68" t="str">
        <f>IF(Backlog!$B$87&lt;&gt;"",Backlog!$B$87,"")</f>
        <v/>
      </c>
      <c r="L88" s="69" t="str">
        <f>IF(Backlog!$C$87&lt;&gt;"",Backlog!$C$87,"")</f>
        <v/>
      </c>
      <c r="N88" s="61" t="str">
        <f>IF('Completed'!$A$87&lt;&gt;"",'Completed'!$A$87,"")</f>
        <v>Chuunibyou demo Koi ga Shitai!</v>
      </c>
      <c r="O88" s="68">
        <f>IF('Completed'!$B$87&lt;&gt;"",'Completed'!$B$87,"")</f>
        <v>1</v>
      </c>
      <c r="P88" s="68">
        <f ca="1">IF($N$88&lt;&gt;"", INDIRECT("'Tracker'!"&amp;ADDRESS(MATCH($N$88, Tracker[Anime Name], 0) + 2, 3)), "")</f>
        <v>12</v>
      </c>
      <c r="Q88" s="62" t="str">
        <f ca="1">IF($N$88&lt;&gt;"", INDIRECT("'Tracker'!"&amp;ADDRESS(MATCH($N$88, Tracker[Anime Name], 0) + 2, 4)), "")</f>
        <v>A</v>
      </c>
      <c r="R88" s="62" t="str">
        <f ca="1">IF($N$88&lt;&gt;"", INDIRECT("'Tracker'!"&amp;ADDRESS(MATCH($N$88, Tracker[Anime Name], 0) + 2, 5)), "")</f>
        <v>720p</v>
      </c>
      <c r="S88" s="62" t="str">
        <f ca="1">IF($N$88&lt;&gt;"", INDIRECT("'Tracker'!"&amp;ADDRESS(MATCH($N$88, Tracker[Anime Name], 0) + 2, 6)), "")</f>
        <v>TV</v>
      </c>
      <c r="T88" s="62" t="str">
        <f ca="1">IF($N$88&lt;&gt;"", INDIRECT("'Tracker'!"&amp;ADDRESS(MATCH($N$88, Tracker[Anime Name], 0) + 2, 7)), "")</f>
        <v>2012C</v>
      </c>
      <c r="U88" s="68" t="str">
        <f ca="1">IF($N$88&lt;&gt;"", INDIRECT("'Tracker'!"&amp;ADDRESS(MATCH($N$88, Tracker[Anime Name], 0) + 2, 8)), "")</f>
        <v>UTW, rori (URW)</v>
      </c>
      <c r="V88" s="96">
        <f>IF('Completed'!$C$87&lt;&gt;"",'Completed'!$C$87,"")</f>
        <v>8</v>
      </c>
      <c r="W88" s="96">
        <f>IF('Completed'!$D$87&lt;&gt;"",'Completed'!$D$87,"")</f>
        <v>7</v>
      </c>
      <c r="X88" s="96">
        <f>IF('Completed'!$E$87&lt;&gt;"",'Completed'!$E$87,"")</f>
        <v>6</v>
      </c>
      <c r="Y88" s="96">
        <f>IF('Completed'!$F$87&lt;&gt;"",'Completed'!$F$87,"")</f>
        <v>8</v>
      </c>
      <c r="Z88" s="110">
        <f>IF('Completed'!$G$87&lt;&gt;"",'Completed'!$G$87,"")</f>
        <v>7.6356783919597992</v>
      </c>
      <c r="AA88" s="120">
        <f>IF('Completed'!$H$87&lt;&gt;"",'Completed'!$H$87,"")</f>
        <v>6.8690095846645365</v>
      </c>
      <c r="AB88" s="97">
        <f>IF('Completed'!$I$87&lt;&gt;"",'Completed'!$I$87,"")</f>
        <v>41251</v>
      </c>
      <c r="AC88" s="97">
        <f>IF('Completed'!$J$87&lt;&gt;"",'Completed'!$J$87,"")</f>
        <v>41263</v>
      </c>
      <c r="AD88" s="111" t="str">
        <f>IF('Completed'!$K$87&lt;&gt;"",'Completed'!$K$87,"")</f>
        <v>Takanashi Touka</v>
      </c>
      <c r="AE88" s="111" t="str">
        <f>IF('Completed'!$L$87&lt;&gt;"",'Completed'!$L$87,"")</f>
        <v/>
      </c>
    </row>
    <row r="89" spans="10:31">
      <c r="J89" s="61" t="str">
        <f>IF(Backlog!$A$88&lt;&gt;"",Backlog!$A$88,"")</f>
        <v/>
      </c>
      <c r="K89" s="68" t="str">
        <f>IF(Backlog!$B$88&lt;&gt;"",Backlog!$B$88,"")</f>
        <v/>
      </c>
      <c r="L89" s="69" t="str">
        <f>IF(Backlog!$C$88&lt;&gt;"",Backlog!$C$88,"")</f>
        <v/>
      </c>
      <c r="N89" s="61" t="str">
        <f>IF('Completed'!$A$88&lt;&gt;"",'Completed'!$A$88,"")</f>
        <v>Love Lab</v>
      </c>
      <c r="O89" s="68">
        <f>IF('Completed'!$B$88&lt;&gt;"",'Completed'!$B$88,"")</f>
        <v>1</v>
      </c>
      <c r="P89" s="68">
        <f ca="1">IF($N$89&lt;&gt;"", INDIRECT("'Tracker'!"&amp;ADDRESS(MATCH($N$89, Tracker[Anime Name], 0) + 2, 3)), "")</f>
        <v>13</v>
      </c>
      <c r="Q89" s="62" t="str">
        <f ca="1">IF($N$89&lt;&gt;"", INDIRECT("'Tracker'!"&amp;ADDRESS(MATCH($N$89, Tracker[Anime Name], 0) + 2, 4)), "")</f>
        <v>A</v>
      </c>
      <c r="R89" s="62" t="str">
        <f ca="1">IF($N$89&lt;&gt;"", INDIRECT("'Tracker'!"&amp;ADDRESS(MATCH($N$89, Tracker[Anime Name], 0) + 2, 5)), "")</f>
        <v>720p</v>
      </c>
      <c r="S89" s="62" t="str">
        <f ca="1">IF($N$89&lt;&gt;"", INDIRECT("'Tracker'!"&amp;ADDRESS(MATCH($N$89, Tracker[Anime Name], 0) + 2, 6)), "")</f>
        <v>TV</v>
      </c>
      <c r="T89" s="62" t="str">
        <f ca="1">IF($N$89&lt;&gt;"", INDIRECT("'Tracker'!"&amp;ADDRESS(MATCH($N$89, Tracker[Anime Name], 0) + 2, 7)), "")</f>
        <v>2013B</v>
      </c>
      <c r="U89" s="68" t="str">
        <f ca="1">IF($N$89&lt;&gt;"", INDIRECT("'Tracker'!"&amp;ADDRESS(MATCH($N$89, Tracker[Anime Name], 0) + 2, 8)), "")</f>
        <v>FFF</v>
      </c>
      <c r="V89" s="96">
        <f>IF('Completed'!$C$88&lt;&gt;"",'Completed'!$C$88,"")</f>
        <v>8</v>
      </c>
      <c r="W89" s="96">
        <f>IF('Completed'!$D$88&lt;&gt;"",'Completed'!$D$88,"")</f>
        <v>8</v>
      </c>
      <c r="X89" s="96">
        <f>IF('Completed'!$E$88&lt;&gt;"",'Completed'!$E$88,"")</f>
        <v>5.5</v>
      </c>
      <c r="Y89" s="96">
        <f>IF('Completed'!$F$88&lt;&gt;"",'Completed'!$F$88,"")</f>
        <v>7.5</v>
      </c>
      <c r="Z89" s="110">
        <f>IF('Completed'!$G$88&lt;&gt;"",'Completed'!$G$88,"")</f>
        <v>7.6306532663316586</v>
      </c>
      <c r="AA89" s="120">
        <f>IF('Completed'!$H$88&lt;&gt;"",'Completed'!$H$88,"")</f>
        <v>6.862283504287876</v>
      </c>
      <c r="AB89" s="97">
        <f>IF('Completed'!$I$88&lt;&gt;"",'Completed'!$I$88,"")</f>
        <v>41461</v>
      </c>
      <c r="AC89" s="97">
        <f>IF('Completed'!$J$88&lt;&gt;"",'Completed'!$J$88,"")</f>
        <v>41546</v>
      </c>
      <c r="AD89" s="111" t="str">
        <f>IF('Completed'!$K$88&lt;&gt;"",'Completed'!$K$88,"")</f>
        <v>Kurahashi Riko</v>
      </c>
      <c r="AE89" s="111" t="str">
        <f>IF('Completed'!$L$88&lt;&gt;"",'Completed'!$L$88,"")</f>
        <v/>
      </c>
    </row>
    <row r="90" spans="10:31">
      <c r="J90" s="61" t="str">
        <f>IF(Backlog!$A$89&lt;&gt;"",Backlog!$A$89,"")</f>
        <v/>
      </c>
      <c r="K90" s="68" t="str">
        <f>IF(Backlog!$B$89&lt;&gt;"",Backlog!$B$89,"")</f>
        <v/>
      </c>
      <c r="L90" s="69" t="str">
        <f>IF(Backlog!$C$89&lt;&gt;"",Backlog!$C$89,"")</f>
        <v/>
      </c>
      <c r="N90" s="61" t="str">
        <f>IF('Completed'!$A$89&lt;&gt;"",'Completed'!$A$89,"")</f>
        <v>Kotoura-san</v>
      </c>
      <c r="O90" s="68">
        <f>IF('Completed'!$B$89&lt;&gt;"",'Completed'!$B$89,"")</f>
        <v>1</v>
      </c>
      <c r="P90" s="68">
        <f ca="1">IF($N$90&lt;&gt;"", INDIRECT("'Tracker'!"&amp;ADDRESS(MATCH($N$90, Tracker[Anime Name], 0) + 2, 3)), "")</f>
        <v>12</v>
      </c>
      <c r="Q90" s="62" t="str">
        <f ca="1">IF($N$90&lt;&gt;"", INDIRECT("'Tracker'!"&amp;ADDRESS(MATCH($N$90, Tracker[Anime Name], 0) + 2, 4)), "")</f>
        <v>A</v>
      </c>
      <c r="R90" s="62" t="str">
        <f ca="1">IF($N$90&lt;&gt;"", INDIRECT("'Tracker'!"&amp;ADDRESS(MATCH($N$90, Tracker[Anime Name], 0) + 2, 5)), "")</f>
        <v>720p</v>
      </c>
      <c r="S90" s="62" t="str">
        <f ca="1">IF($N$90&lt;&gt;"", INDIRECT("'Tracker'!"&amp;ADDRESS(MATCH($N$90, Tracker[Anime Name], 0) + 2, 6)), "")</f>
        <v>TV</v>
      </c>
      <c r="T90" s="62" t="str">
        <f ca="1">IF($N$90&lt;&gt;"", INDIRECT("'Tracker'!"&amp;ADDRESS(MATCH($N$90, Tracker[Anime Name], 0) + 2, 7)), "")</f>
        <v>2012D</v>
      </c>
      <c r="U90" s="68" t="str">
        <f ca="1">IF($N$90&lt;&gt;"", INDIRECT("'Tracker'!"&amp;ADDRESS(MATCH($N$90, Tracker[Anime Name], 0) + 2, 8)), "")</f>
        <v>HorribleSubs</v>
      </c>
      <c r="V90" s="96">
        <f>IF('Completed'!$C$89&lt;&gt;"",'Completed'!$C$89,"")</f>
        <v>7</v>
      </c>
      <c r="W90" s="96">
        <f>IF('Completed'!$D$89&lt;&gt;"",'Completed'!$D$89,"")</f>
        <v>7.5</v>
      </c>
      <c r="X90" s="96">
        <f>IF('Completed'!$E$89&lt;&gt;"",'Completed'!$E$89,"")</f>
        <v>6.5</v>
      </c>
      <c r="Y90" s="96">
        <f>IF('Completed'!$F$89&lt;&gt;"",'Completed'!$F$89,"")</f>
        <v>8</v>
      </c>
      <c r="Z90" s="110">
        <f>IF('Completed'!$G$89&lt;&gt;"",'Completed'!$G$89,"")</f>
        <v>7.6105527638190953</v>
      </c>
      <c r="AA90" s="120">
        <f>IF('Completed'!$H$89&lt;&gt;"",'Completed'!$H$89,"")</f>
        <v>6.8353791827812342</v>
      </c>
      <c r="AB90" s="97">
        <f>IF('Completed'!$I$89&lt;&gt;"",'Completed'!$I$89,"")</f>
        <v>41430</v>
      </c>
      <c r="AC90" s="97">
        <f>IF('Completed'!$J$89&lt;&gt;"",'Completed'!$J$89,"")</f>
        <v>41431</v>
      </c>
      <c r="AD90" s="111" t="str">
        <f>IF('Completed'!$K$89&lt;&gt;"",'Completed'!$K$89,"")</f>
        <v>Haruka Kotoura</v>
      </c>
      <c r="AE90" s="111" t="str">
        <f>IF('Completed'!$L$89&lt;&gt;"",'Completed'!$L$89,"")</f>
        <v>So much wasted potential - started out great</v>
      </c>
    </row>
    <row r="91" spans="10:31">
      <c r="J91" s="61" t="str">
        <f>IF(Backlog!$A$90&lt;&gt;"",Backlog!$A$90,"")</f>
        <v/>
      </c>
      <c r="K91" s="68" t="str">
        <f>IF(Backlog!$B$90&lt;&gt;"",Backlog!$B$90,"")</f>
        <v/>
      </c>
      <c r="L91" s="69" t="str">
        <f>IF(Backlog!$C$90&lt;&gt;"",Backlog!$C$90,"")</f>
        <v/>
      </c>
      <c r="N91" s="61" t="str">
        <f>IF('Completed'!$A$90&lt;&gt;"",'Completed'!$A$90,"")</f>
        <v>Black ★ Rock Shooter</v>
      </c>
      <c r="O91" s="68">
        <f>IF('Completed'!$B$90&lt;&gt;"",'Completed'!$B$90,"")</f>
        <v>1</v>
      </c>
      <c r="P91" s="68">
        <f ca="1">IF($N$91&lt;&gt;"", INDIRECT("'Tracker'!"&amp;ADDRESS(MATCH($N$91, Tracker[Anime Name], 0) + 2, 3)), "")</f>
        <v>8</v>
      </c>
      <c r="Q91" s="62" t="str">
        <f ca="1">IF($N$91&lt;&gt;"", INDIRECT("'Tracker'!"&amp;ADDRESS(MATCH($N$91, Tracker[Anime Name], 0) + 2, 4)), "")</f>
        <v>A</v>
      </c>
      <c r="R91" s="62" t="str">
        <f ca="1">IF($N$91&lt;&gt;"", INDIRECT("'Tracker'!"&amp;ADDRESS(MATCH($N$91, Tracker[Anime Name], 0) + 2, 5)), "")</f>
        <v>720p</v>
      </c>
      <c r="S91" s="62" t="str">
        <f ca="1">IF($N$91&lt;&gt;"", INDIRECT("'Tracker'!"&amp;ADDRESS(MATCH($N$91, Tracker[Anime Name], 0) + 2, 6)), "")</f>
        <v>BD</v>
      </c>
      <c r="T91" s="62" t="str">
        <f ca="1">IF($N$91&lt;&gt;"", INDIRECT("'Tracker'!"&amp;ADDRESS(MATCH($N$91, Tracker[Anime Name], 0) + 2, 7)), "")</f>
        <v>2011D</v>
      </c>
      <c r="U91" s="68" t="str">
        <f ca="1">IF($N$91&lt;&gt;"", INDIRECT("'Tracker'!"&amp;ADDRESS(MATCH($N$91, Tracker[Anime Name], 0) + 2, 8)), "")</f>
        <v>Final8</v>
      </c>
      <c r="V91" s="96">
        <f>IF('Completed'!$C$90&lt;&gt;"",'Completed'!$C$90,"")</f>
        <v>7.5</v>
      </c>
      <c r="W91" s="96">
        <f>IF('Completed'!$D$90&lt;&gt;"",'Completed'!$D$90,"")</f>
        <v>7.5</v>
      </c>
      <c r="X91" s="96">
        <f>IF('Completed'!$E$90&lt;&gt;"",'Completed'!$E$90,"")</f>
        <v>3.5</v>
      </c>
      <c r="Y91" s="96">
        <f>IF('Completed'!$F$90&lt;&gt;"",'Completed'!$F$90,"")</f>
        <v>8</v>
      </c>
      <c r="Z91" s="110">
        <f>IF('Completed'!$G$90&lt;&gt;"",'Completed'!$G$90,"")</f>
        <v>7.5590452261306531</v>
      </c>
      <c r="AA91" s="120">
        <f>IF('Completed'!$H$90&lt;&gt;"",'Completed'!$H$90,"")</f>
        <v>6.7664368589204633</v>
      </c>
      <c r="AB91" s="97">
        <f>IF('Completed'!$I$90&lt;&gt;"",'Completed'!$I$90,"")</f>
        <v>41541</v>
      </c>
      <c r="AC91" s="97">
        <f>IF('Completed'!$J$90&lt;&gt;"",'Completed'!$J$90,"")</f>
        <v>41541</v>
      </c>
      <c r="AD91" s="111" t="str">
        <f>IF('Completed'!$K$90&lt;&gt;"",'Completed'!$K$90,"")</f>
        <v>Black Rock Shooter</v>
      </c>
      <c r="AE91" s="111" t="str">
        <f>IF('Completed'!$L$90&lt;&gt;"",'Completed'!$L$90,"")</f>
        <v/>
      </c>
    </row>
    <row r="92" spans="10:31">
      <c r="J92" s="61" t="str">
        <f>IF(Backlog!$A$91&lt;&gt;"",Backlog!$A$91,"")</f>
        <v/>
      </c>
      <c r="K92" s="68" t="str">
        <f>IF(Backlog!$B$91&lt;&gt;"",Backlog!$B$91,"")</f>
        <v/>
      </c>
      <c r="L92" s="69" t="str">
        <f>IF(Backlog!$C$91&lt;&gt;"",Backlog!$C$91,"")</f>
        <v/>
      </c>
      <c r="N92" s="61" t="str">
        <f>IF('Completed'!$A$91&lt;&gt;"",'Completed'!$A$91,"")</f>
        <v>Akuma no Riddle</v>
      </c>
      <c r="O92" s="68">
        <f>IF('Completed'!$B$91&lt;&gt;"",'Completed'!$B$91,"")</f>
        <v>1</v>
      </c>
      <c r="P92" s="68">
        <f ca="1">IF($N$92&lt;&gt;"", INDIRECT("'Tracker'!"&amp;ADDRESS(MATCH($N$92, Tracker[Anime Name], 0) + 2, 3)), "")</f>
        <v>12</v>
      </c>
      <c r="Q92" s="62" t="str">
        <f ca="1">IF($N$92&lt;&gt;"", INDIRECT("'Tracker'!"&amp;ADDRESS(MATCH($N$92, Tracker[Anime Name], 0) + 2, 4)), "")</f>
        <v>B</v>
      </c>
      <c r="R92" s="62" t="str">
        <f ca="1">IF($N$92&lt;&gt;"", INDIRECT("'Tracker'!"&amp;ADDRESS(MATCH($N$92, Tracker[Anime Name], 0) + 2, 5)), "")</f>
        <v>720p</v>
      </c>
      <c r="S92" s="62" t="str">
        <f ca="1">IF($N$92&lt;&gt;"", INDIRECT("'Tracker'!"&amp;ADDRESS(MATCH($N$92, Tracker[Anime Name], 0) + 2, 6)), "")</f>
        <v>Web</v>
      </c>
      <c r="T92" s="62" t="str">
        <f ca="1">IF($N$92&lt;&gt;"", INDIRECT("'Tracker'!"&amp;ADDRESS(MATCH($N$92, Tracker[Anime Name], 0) + 2, 7)), "")</f>
        <v>2014A</v>
      </c>
      <c r="U92" s="68" t="str">
        <f ca="1">IF($N$92&lt;&gt;"", INDIRECT("'Tracker'!"&amp;ADDRESS(MATCH($N$92, Tracker[Anime Name], 0) + 2, 8)), "")</f>
        <v>HorribleSubs</v>
      </c>
      <c r="V92" s="96">
        <f>IF('Completed'!$C$91&lt;&gt;"",'Completed'!$C$91,"")</f>
        <v>7.5</v>
      </c>
      <c r="W92" s="96">
        <f>IF('Completed'!$D$91&lt;&gt;"",'Completed'!$D$91,"")</f>
        <v>8</v>
      </c>
      <c r="X92" s="96">
        <f>IF('Completed'!$E$91&lt;&gt;"",'Completed'!$E$91,"")</f>
        <v>5.5</v>
      </c>
      <c r="Y92" s="96">
        <f>IF('Completed'!$F$91&lt;&gt;"",'Completed'!$F$91,"")</f>
        <v>7.5</v>
      </c>
      <c r="Z92" s="110">
        <f>IF('Completed'!$G$91&lt;&gt;"",'Completed'!$G$91,"")</f>
        <v>7.5389447236180915</v>
      </c>
      <c r="AA92" s="120">
        <f>IF('Completed'!$H$91&lt;&gt;"",'Completed'!$H$91,"")</f>
        <v>6.7395325374138233</v>
      </c>
      <c r="AB92" s="97">
        <f>IF('Completed'!$I$91&lt;&gt;"",'Completed'!$I$91,"")</f>
        <v>41759</v>
      </c>
      <c r="AC92" s="97">
        <f>IF('Completed'!$J$91&lt;&gt;"",'Completed'!$J$91,"")</f>
        <v>41812</v>
      </c>
      <c r="AD92" s="111" t="str">
        <f>IF('Completed'!$K$91&lt;&gt;"",'Completed'!$K$91,"")</f>
        <v>Shutou Suzu</v>
      </c>
      <c r="AE92" s="111" t="str">
        <f>IF('Completed'!$L$91&lt;&gt;"",'Completed'!$L$91,"")</f>
        <v>Tokaku and Haruki come close for best girl though</v>
      </c>
    </row>
    <row r="93" spans="10:31">
      <c r="J93" s="61" t="str">
        <f>IF(Backlog!$A$92&lt;&gt;"",Backlog!$A$92,"")</f>
        <v/>
      </c>
      <c r="K93" s="68" t="str">
        <f>IF(Backlog!$B$92&lt;&gt;"",Backlog!$B$92,"")</f>
        <v/>
      </c>
      <c r="L93" s="69" t="str">
        <f>IF(Backlog!$C$92&lt;&gt;"",Backlog!$C$92,"")</f>
        <v/>
      </c>
      <c r="N93" s="61" t="str">
        <f>IF('Completed'!$A$92&lt;&gt;"",'Completed'!$A$92,"")</f>
        <v>Space ☆ Dandy</v>
      </c>
      <c r="O93" s="68">
        <f>IF('Completed'!$B$92&lt;&gt;"",'Completed'!$B$92,"")</f>
        <v>1</v>
      </c>
      <c r="P93" s="68">
        <f ca="1">IF($N$93&lt;&gt;"", INDIRECT("'Tracker'!"&amp;ADDRESS(MATCH($N$93, Tracker[Anime Name], 0) + 2, 3)), "")</f>
        <v>13</v>
      </c>
      <c r="Q93" s="62" t="str">
        <f ca="1">IF($N$93&lt;&gt;"", INDIRECT("'Tracker'!"&amp;ADDRESS(MATCH($N$93, Tracker[Anime Name], 0) + 2, 4)), "")</f>
        <v>B</v>
      </c>
      <c r="R93" s="62" t="str">
        <f ca="1">IF($N$93&lt;&gt;"", INDIRECT("'Tracker'!"&amp;ADDRESS(MATCH($N$93, Tracker[Anime Name], 0) + 2, 5)), "")</f>
        <v>720p</v>
      </c>
      <c r="S93" s="62" t="str">
        <f ca="1">IF($N$93&lt;&gt;"", INDIRECT("'Tracker'!"&amp;ADDRESS(MATCH($N$93, Tracker[Anime Name], 0) + 2, 6)), "")</f>
        <v>Web</v>
      </c>
      <c r="T93" s="62" t="str">
        <f ca="1">IF($N$93&lt;&gt;"", INDIRECT("'Tracker'!"&amp;ADDRESS(MATCH($N$93, Tracker[Anime Name], 0) + 2, 7)), "")</f>
        <v>2013D</v>
      </c>
      <c r="U93" s="68" t="str">
        <f ca="1">IF($N$93&lt;&gt;"", INDIRECT("'Tracker'!"&amp;ADDRESS(MATCH($N$93, Tracker[Anime Name], 0) + 2, 8)), "")</f>
        <v>HorribleSubs</v>
      </c>
      <c r="V93" s="96">
        <f>IF('Completed'!$C$92&lt;&gt;"",'Completed'!$C$92,"")</f>
        <v>5</v>
      </c>
      <c r="W93" s="96">
        <f>IF('Completed'!$D$92&lt;&gt;"",'Completed'!$D$92,"")</f>
        <v>7</v>
      </c>
      <c r="X93" s="96">
        <f>IF('Completed'!$E$92&lt;&gt;"",'Completed'!$E$92,"")</f>
        <v>4</v>
      </c>
      <c r="Y93" s="96">
        <f>IF('Completed'!$F$92&lt;&gt;"",'Completed'!$F$92,"")</f>
        <v>9</v>
      </c>
      <c r="Z93" s="110">
        <f>IF('Completed'!$G$92&lt;&gt;"",'Completed'!$G$92,"")</f>
        <v>7.4899497487437188</v>
      </c>
      <c r="AA93" s="120">
        <f>IF('Completed'!$H$92&lt;&gt;"",'Completed'!$H$92,"")</f>
        <v>6.6739532537413817</v>
      </c>
      <c r="AB93" s="97">
        <f>IF('Completed'!$I$92&lt;&gt;"",'Completed'!$I$92,"")</f>
        <v>41650</v>
      </c>
      <c r="AC93" s="97">
        <f>IF('Completed'!$J$92&lt;&gt;"",'Completed'!$J$92,"")</f>
        <v>41744</v>
      </c>
      <c r="AD93" s="111" t="str">
        <f>IF('Completed'!$K$92&lt;&gt;"",'Completed'!$K$92,"")</f>
        <v>Adelie</v>
      </c>
      <c r="AE93" s="111" t="str">
        <f>IF('Completed'!$L$92&lt;&gt;"",'Completed'!$L$92,"")</f>
        <v/>
      </c>
    </row>
    <row r="94" spans="10:31">
      <c r="J94" s="61" t="str">
        <f>IF(Backlog!$A$93&lt;&gt;"",Backlog!$A$93,"")</f>
        <v/>
      </c>
      <c r="K94" s="68" t="str">
        <f>IF(Backlog!$B$93&lt;&gt;"",Backlog!$B$93,"")</f>
        <v/>
      </c>
      <c r="L94" s="69" t="str">
        <f>IF(Backlog!$C$93&lt;&gt;"",Backlog!$C$93,"")</f>
        <v/>
      </c>
      <c r="N94" s="61" t="str">
        <f>IF('Completed'!$A$93&lt;&gt;"",'Completed'!$A$93,"")</f>
        <v>Dansai Bunri no Crime Edge</v>
      </c>
      <c r="O94" s="68">
        <f>IF('Completed'!$B$93&lt;&gt;"",'Completed'!$B$93,"")</f>
        <v>1</v>
      </c>
      <c r="P94" s="68">
        <f ca="1">IF($N$94&lt;&gt;"", INDIRECT("'Tracker'!"&amp;ADDRESS(MATCH($N$94, Tracker[Anime Name], 0) + 2, 3)), "")</f>
        <v>13</v>
      </c>
      <c r="Q94" s="62" t="str">
        <f ca="1">IF($N$94&lt;&gt;"", INDIRECT("'Tracker'!"&amp;ADDRESS(MATCH($N$94, Tracker[Anime Name], 0) + 2, 4)), "")</f>
        <v>A</v>
      </c>
      <c r="R94" s="62" t="str">
        <f ca="1">IF($N$94&lt;&gt;"", INDIRECT("'Tracker'!"&amp;ADDRESS(MATCH($N$94, Tracker[Anime Name], 0) + 2, 5)), "")</f>
        <v>720p</v>
      </c>
      <c r="S94" s="62" t="str">
        <f ca="1">IF($N$94&lt;&gt;"", INDIRECT("'Tracker'!"&amp;ADDRESS(MATCH($N$94, Tracker[Anime Name], 0) + 2, 6)), "")</f>
        <v>TV</v>
      </c>
      <c r="T94" s="62" t="str">
        <f ca="1">IF($N$94&lt;&gt;"", INDIRECT("'Tracker'!"&amp;ADDRESS(MATCH($N$94, Tracker[Anime Name], 0) + 2, 7)), "")</f>
        <v>2013A</v>
      </c>
      <c r="U94" s="68" t="str">
        <f ca="1">IF($N$94&lt;&gt;"", INDIRECT("'Tracker'!"&amp;ADDRESS(MATCH($N$94, Tracker[Anime Name], 0) + 2, 8)), "")</f>
        <v>Anime-Koi</v>
      </c>
      <c r="V94" s="96">
        <f>IF('Completed'!$C$93&lt;&gt;"",'Completed'!$C$93,"")</f>
        <v>8</v>
      </c>
      <c r="W94" s="96">
        <f>IF('Completed'!$D$93&lt;&gt;"",'Completed'!$D$93,"")</f>
        <v>7.5</v>
      </c>
      <c r="X94" s="96">
        <f>IF('Completed'!$E$93&lt;&gt;"",'Completed'!$E$93,"")</f>
        <v>5</v>
      </c>
      <c r="Y94" s="96">
        <f>IF('Completed'!$F$93&lt;&gt;"",'Completed'!$F$93,"")</f>
        <v>7.5</v>
      </c>
      <c r="Z94" s="110">
        <f>IF('Completed'!$G$93&lt;&gt;"",'Completed'!$G$93,"")</f>
        <v>7.4723618090452266</v>
      </c>
      <c r="AA94" s="120">
        <f>IF('Completed'!$H$93&lt;&gt;"",'Completed'!$H$93,"")</f>
        <v>6.650411972423071</v>
      </c>
      <c r="AB94" s="97">
        <f>IF('Completed'!$I$93&lt;&gt;"",'Completed'!$I$93,"")</f>
        <v>41453</v>
      </c>
      <c r="AC94" s="97">
        <f>IF('Completed'!$J$93&lt;&gt;"",'Completed'!$J$93,"")</f>
        <v>41457</v>
      </c>
      <c r="AD94" s="111" t="str">
        <f>IF('Completed'!$K$93&lt;&gt;"",'Completed'!$K$93,"")</f>
        <v>Mushanokouji Iwai</v>
      </c>
      <c r="AE94" s="111" t="str">
        <f>IF('Completed'!$L$93&lt;&gt;"",'Completed'!$L$93,"")</f>
        <v>Besides the obvious fetish scenes, not bad. OP is pretty great</v>
      </c>
    </row>
    <row r="95" spans="10:31">
      <c r="J95" s="61" t="str">
        <f>IF(Backlog!$A$94&lt;&gt;"",Backlog!$A$94,"")</f>
        <v/>
      </c>
      <c r="K95" s="68" t="str">
        <f>IF(Backlog!$B$94&lt;&gt;"",Backlog!$B$94,"")</f>
        <v/>
      </c>
      <c r="L95" s="69" t="str">
        <f>IF(Backlog!$C$94&lt;&gt;"",Backlog!$C$94,"")</f>
        <v/>
      </c>
      <c r="N95" s="61" t="str">
        <f>IF('Completed'!$A$94&lt;&gt;"",'Completed'!$A$94,"")</f>
        <v>Kami-sama no Inai Nichiyoubi</v>
      </c>
      <c r="O95" s="68">
        <f>IF('Completed'!$B$94&lt;&gt;"",'Completed'!$B$94,"")</f>
        <v>1</v>
      </c>
      <c r="P95" s="68">
        <f ca="1">IF($N$95&lt;&gt;"", INDIRECT("'Tracker'!"&amp;ADDRESS(MATCH($N$95, Tracker[Anime Name], 0) + 2, 3)), "")</f>
        <v>12</v>
      </c>
      <c r="Q95" s="62" t="str">
        <f ca="1">IF($N$95&lt;&gt;"", INDIRECT("'Tracker'!"&amp;ADDRESS(MATCH($N$95, Tracker[Anime Name], 0) + 2, 4)), "")</f>
        <v>A</v>
      </c>
      <c r="R95" s="62" t="str">
        <f ca="1">IF($N$95&lt;&gt;"", INDIRECT("'Tracker'!"&amp;ADDRESS(MATCH($N$95, Tracker[Anime Name], 0) + 2, 5)), "")</f>
        <v>720p</v>
      </c>
      <c r="S95" s="62" t="str">
        <f ca="1">IF($N$95&lt;&gt;"", INDIRECT("'Tracker'!"&amp;ADDRESS(MATCH($N$95, Tracker[Anime Name], 0) + 2, 6)), "")</f>
        <v>Web</v>
      </c>
      <c r="T95" s="62" t="str">
        <f ca="1">IF($N$95&lt;&gt;"", INDIRECT("'Tracker'!"&amp;ADDRESS(MATCH($N$95, Tracker[Anime Name], 0) + 2, 7)), "")</f>
        <v>2013B</v>
      </c>
      <c r="U95" s="68" t="str">
        <f ca="1">IF($N$95&lt;&gt;"", INDIRECT("'Tracker'!"&amp;ADDRESS(MATCH($N$95, Tracker[Anime Name], 0) + 2, 8)), "")</f>
        <v>HorribleSubs</v>
      </c>
      <c r="V95" s="96">
        <f>IF('Completed'!$C$94&lt;&gt;"",'Completed'!$C$94,"")</f>
        <v>7</v>
      </c>
      <c r="W95" s="96">
        <f>IF('Completed'!$D$94&lt;&gt;"",'Completed'!$D$94,"")</f>
        <v>7.5</v>
      </c>
      <c r="X95" s="96">
        <f>IF('Completed'!$E$94&lt;&gt;"",'Completed'!$E$94,"")</f>
        <v>3.5</v>
      </c>
      <c r="Y95" s="96">
        <f>IF('Completed'!$F$94&lt;&gt;"",'Completed'!$F$94,"")</f>
        <v>8</v>
      </c>
      <c r="Z95" s="110">
        <f>IF('Completed'!$G$94&lt;&gt;"",'Completed'!$G$94,"")</f>
        <v>7.4673366834170851</v>
      </c>
      <c r="AA95" s="120">
        <f>IF('Completed'!$H$94&lt;&gt;"",'Completed'!$H$94,"")</f>
        <v>6.6436858920464097</v>
      </c>
      <c r="AB95" s="97">
        <f>IF('Completed'!$I$94&lt;&gt;"",'Completed'!$I$94,"")</f>
        <v>41465</v>
      </c>
      <c r="AC95" s="97">
        <f>IF('Completed'!$J$94&lt;&gt;"",'Completed'!$J$94,"")</f>
        <v>41543</v>
      </c>
      <c r="AD95" s="111" t="str">
        <f>IF('Completed'!$K$94&lt;&gt;"",'Completed'!$K$94,"")</f>
        <v>Ulla Euleus Hecmatika</v>
      </c>
      <c r="AE95" s="111" t="str">
        <f>IF('Completed'!$L$94&lt;&gt;"",'Completed'!$L$94,"")</f>
        <v>Plot was questionable, but the art and music gives it points</v>
      </c>
    </row>
    <row r="96" spans="10:31">
      <c r="J96" s="61" t="str">
        <f>IF(Backlog!$A$95&lt;&gt;"",Backlog!$A$95,"")</f>
        <v/>
      </c>
      <c r="K96" s="68" t="str">
        <f>IF(Backlog!$B$95&lt;&gt;"",Backlog!$B$95,"")</f>
        <v/>
      </c>
      <c r="L96" s="69" t="str">
        <f>IF(Backlog!$C$95&lt;&gt;"",Backlog!$C$95,"")</f>
        <v/>
      </c>
      <c r="N96" s="61" t="str">
        <f>IF('Completed'!$A$95&lt;&gt;"",'Completed'!$A$95,"")</f>
        <v>Inu to Hasami wa Tsukaiyou</v>
      </c>
      <c r="O96" s="68">
        <f>IF('Completed'!$B$95&lt;&gt;"",'Completed'!$B$95,"")</f>
        <v>1</v>
      </c>
      <c r="P96" s="68">
        <f ca="1">IF($N$96&lt;&gt;"", INDIRECT("'Tracker'!"&amp;ADDRESS(MATCH($N$96, Tracker[Anime Name], 0) + 2, 3)), "")</f>
        <v>12</v>
      </c>
      <c r="Q96" s="62" t="str">
        <f ca="1">IF($N$96&lt;&gt;"", INDIRECT("'Tracker'!"&amp;ADDRESS(MATCH($N$96, Tracker[Anime Name], 0) + 2, 4)), "")</f>
        <v>A</v>
      </c>
      <c r="R96" s="62" t="str">
        <f ca="1">IF($N$96&lt;&gt;"", INDIRECT("'Tracker'!"&amp;ADDRESS(MATCH($N$96, Tracker[Anime Name], 0) + 2, 5)), "")</f>
        <v>720p</v>
      </c>
      <c r="S96" s="62" t="str">
        <f ca="1">IF($N$96&lt;&gt;"", INDIRECT("'Tracker'!"&amp;ADDRESS(MATCH($N$96, Tracker[Anime Name], 0) + 2, 6)), "")</f>
        <v>TV</v>
      </c>
      <c r="T96" s="62" t="str">
        <f ca="1">IF($N$96&lt;&gt;"", INDIRECT("'Tracker'!"&amp;ADDRESS(MATCH($N$96, Tracker[Anime Name], 0) + 2, 7)), "")</f>
        <v>2013B</v>
      </c>
      <c r="U96" s="68" t="str">
        <f ca="1">IF($N$96&lt;&gt;"", INDIRECT("'Tracker'!"&amp;ADDRESS(MATCH($N$96, Tracker[Anime Name], 0) + 2, 8)), "")</f>
        <v>HorribleSubs</v>
      </c>
      <c r="V96" s="96">
        <f>IF('Completed'!$C$95&lt;&gt;"",'Completed'!$C$95,"")</f>
        <v>6.5</v>
      </c>
      <c r="W96" s="96">
        <f>IF('Completed'!$D$95&lt;&gt;"",'Completed'!$D$95,"")</f>
        <v>7.5</v>
      </c>
      <c r="X96" s="96">
        <f>IF('Completed'!$E$95&lt;&gt;"",'Completed'!$E$95,"")</f>
        <v>5</v>
      </c>
      <c r="Y96" s="96">
        <f>IF('Completed'!$F$95&lt;&gt;"",'Completed'!$F$95,"")</f>
        <v>8</v>
      </c>
      <c r="Z96" s="110">
        <f>IF('Completed'!$G$95&lt;&gt;"",'Completed'!$G$95,"")</f>
        <v>7.4472361809045227</v>
      </c>
      <c r="AA96" s="120">
        <f>IF('Completed'!$H$95&lt;&gt;"",'Completed'!$H$95,"")</f>
        <v>6.6167815705397679</v>
      </c>
      <c r="AB96" s="97">
        <f>IF('Completed'!$I$95&lt;&gt;"",'Completed'!$I$95,"")</f>
        <v>41456</v>
      </c>
      <c r="AC96" s="97">
        <f>IF('Completed'!$J$95&lt;&gt;"",'Completed'!$J$95,"")</f>
        <v>41535</v>
      </c>
      <c r="AD96" s="111" t="str">
        <f>IF('Completed'!$K$95&lt;&gt;"",'Completed'!$K$95,"")</f>
        <v>Himehagi Momiji</v>
      </c>
      <c r="AE96" s="111" t="str">
        <f>IF('Completed'!$L$95&lt;&gt;"",'Completed'!$L$95,"")</f>
        <v/>
      </c>
    </row>
    <row r="97" spans="10:31">
      <c r="J97" s="61" t="str">
        <f>IF(Backlog!$A$96&lt;&gt;"",Backlog!$A$96,"")</f>
        <v/>
      </c>
      <c r="K97" s="68" t="str">
        <f>IF(Backlog!$B$96&lt;&gt;"",Backlog!$B$96,"")</f>
        <v/>
      </c>
      <c r="L97" s="69" t="str">
        <f>IF(Backlog!$C$96&lt;&gt;"",Backlog!$C$96,"")</f>
        <v/>
      </c>
      <c r="N97" s="61" t="str">
        <f>IF('Completed'!$A$96&lt;&gt;"",'Completed'!$A$96,"")</f>
        <v>Sakigake! Cromartie High School</v>
      </c>
      <c r="O97" s="68">
        <f>IF('Completed'!$B$96&lt;&gt;"",'Completed'!$B$96,"")</f>
        <v>1</v>
      </c>
      <c r="P97" s="68">
        <f ca="1">IF($N$97&lt;&gt;"", INDIRECT("'Tracker'!"&amp;ADDRESS(MATCH($N$97, Tracker[Anime Name], 0) + 2, 3)), "")</f>
        <v>26</v>
      </c>
      <c r="Q97" s="62" t="str">
        <f ca="1">IF($N$97&lt;&gt;"", INDIRECT("'Tracker'!"&amp;ADDRESS(MATCH($N$97, Tracker[Anime Name], 0) + 2, 4)), "")</f>
        <v>A</v>
      </c>
      <c r="R97" s="62" t="str">
        <f ca="1">IF($N$97&lt;&gt;"", INDIRECT("'Tracker'!"&amp;ADDRESS(MATCH($N$97, Tracker[Anime Name], 0) + 2, 5)), "")</f>
        <v>486p</v>
      </c>
      <c r="S97" s="62" t="str">
        <f ca="1">IF($N$97&lt;&gt;"", INDIRECT("'Tracker'!"&amp;ADDRESS(MATCH($N$97, Tracker[Anime Name], 0) + 2, 6)), "")</f>
        <v>DVD</v>
      </c>
      <c r="T97" s="62" t="str">
        <f ca="1">IF($N$97&lt;&gt;"", INDIRECT("'Tracker'!"&amp;ADDRESS(MATCH($N$97, Tracker[Anime Name], 0) + 2, 7)), "")</f>
        <v>2003C</v>
      </c>
      <c r="U97" s="68" t="str">
        <f ca="1">IF($N$97&lt;&gt;"", INDIRECT("'Tracker'!"&amp;ADDRESS(MATCH($N$97, Tracker[Anime Name], 0) + 2, 8)), "")</f>
        <v>Jarzk</v>
      </c>
      <c r="V97" s="96">
        <f>IF('Completed'!$C$96&lt;&gt;"",'Completed'!$C$96,"")</f>
        <v>4</v>
      </c>
      <c r="W97" s="96">
        <f>IF('Completed'!$D$96&lt;&gt;"",'Completed'!$D$96,"")</f>
        <v>8</v>
      </c>
      <c r="X97" s="96">
        <f>IF('Completed'!$E$96&lt;&gt;"",'Completed'!$E$96,"")</f>
        <v>0</v>
      </c>
      <c r="Y97" s="96">
        <f>IF('Completed'!$F$96&lt;&gt;"",'Completed'!$F$96,"")</f>
        <v>9</v>
      </c>
      <c r="Z97" s="110">
        <f>IF('Completed'!$G$96&lt;&gt;"",'Completed'!$G$96,"")</f>
        <v>7.3844221105527641</v>
      </c>
      <c r="AA97" s="120">
        <f>IF('Completed'!$H$96&lt;&gt;"",'Completed'!$H$96,"")</f>
        <v>6.5327055658315123</v>
      </c>
      <c r="AB97" s="97">
        <f>IF('Completed'!$I$96&lt;&gt;"",'Completed'!$I$96,"")</f>
        <v>41450</v>
      </c>
      <c r="AC97" s="97">
        <f>IF('Completed'!$J$96&lt;&gt;"",'Completed'!$J$96,"")</f>
        <v>41452</v>
      </c>
      <c r="AD97" s="111" t="str">
        <f>IF('Completed'!$K$96&lt;&gt;"",'Completed'!$K$96,"")</f>
        <v>Gorilla</v>
      </c>
      <c r="AE97" s="111" t="str">
        <f>IF('Completed'!$L$96&lt;&gt;"",'Completed'!$L$96,"")</f>
        <v>Like Nichibros, much better than ratings suggest. Also very funny to watch</v>
      </c>
    </row>
    <row r="98" spans="10:31">
      <c r="J98" s="61" t="str">
        <f>IF(Backlog!$A$97&lt;&gt;"",Backlog!$A$97,"")</f>
        <v/>
      </c>
      <c r="K98" s="68" t="str">
        <f>IF(Backlog!$B$97&lt;&gt;"",Backlog!$B$97,"")</f>
        <v/>
      </c>
      <c r="L98" s="69" t="str">
        <f>IF(Backlog!$C$97&lt;&gt;"",Backlog!$C$97,"")</f>
        <v/>
      </c>
      <c r="N98" s="61" t="str">
        <f>IF('Completed'!$A$97&lt;&gt;"",'Completed'!$A$97,"")</f>
        <v>Mahou Sensou</v>
      </c>
      <c r="O98" s="68">
        <f>IF('Completed'!$B$97&lt;&gt;"",'Completed'!$B$97,"")</f>
        <v>1</v>
      </c>
      <c r="P98" s="68">
        <f ca="1">IF($N$98&lt;&gt;"", INDIRECT("'Tracker'!"&amp;ADDRESS(MATCH($N$98, Tracker[Anime Name], 0) + 2, 3)), "")</f>
        <v>12</v>
      </c>
      <c r="Q98" s="62" t="str">
        <f ca="1">IF($N$98&lt;&gt;"", INDIRECT("'Tracker'!"&amp;ADDRESS(MATCH($N$98, Tracker[Anime Name], 0) + 2, 4)), "")</f>
        <v>A</v>
      </c>
      <c r="R98" s="62" t="str">
        <f ca="1">IF($N$98&lt;&gt;"", INDIRECT("'Tracker'!"&amp;ADDRESS(MATCH($N$98, Tracker[Anime Name], 0) + 2, 5)), "")</f>
        <v>720p</v>
      </c>
      <c r="S98" s="62" t="str">
        <f ca="1">IF($N$98&lt;&gt;"", INDIRECT("'Tracker'!"&amp;ADDRESS(MATCH($N$98, Tracker[Anime Name], 0) + 2, 6)), "")</f>
        <v>TV</v>
      </c>
      <c r="T98" s="62" t="str">
        <f ca="1">IF($N$98&lt;&gt;"", INDIRECT("'Tracker'!"&amp;ADDRESS(MATCH($N$98, Tracker[Anime Name], 0) + 2, 7)), "")</f>
        <v>2012D</v>
      </c>
      <c r="U98" s="68" t="str">
        <f ca="1">IF($N$98&lt;&gt;"", INDIRECT("'Tracker'!"&amp;ADDRESS(MATCH($N$98, Tracker[Anime Name], 0) + 2, 8)), "")</f>
        <v>FFF</v>
      </c>
      <c r="V98" s="96">
        <f>IF('Completed'!$C$97&lt;&gt;"",'Completed'!$C$97,"")</f>
        <v>6.5</v>
      </c>
      <c r="W98" s="96">
        <f>IF('Completed'!$D$97&lt;&gt;"",'Completed'!$D$97,"")</f>
        <v>9</v>
      </c>
      <c r="X98" s="96">
        <f>IF('Completed'!$E$97&lt;&gt;"",'Completed'!$E$97,"")</f>
        <v>5</v>
      </c>
      <c r="Y98" s="96">
        <f>IF('Completed'!$F$97&lt;&gt;"",'Completed'!$F$97,"")</f>
        <v>7</v>
      </c>
      <c r="Z98" s="110">
        <f>IF('Completed'!$G$97&lt;&gt;"",'Completed'!$G$97,"")</f>
        <v>7.3505025125628141</v>
      </c>
      <c r="AA98" s="120">
        <f>IF('Completed'!$H$97&lt;&gt;"",'Completed'!$H$97,"")</f>
        <v>6.4873045232890529</v>
      </c>
      <c r="AB98" s="97">
        <f>IF('Completed'!$I$97&lt;&gt;"",'Completed'!$I$97,"")</f>
        <v>41650</v>
      </c>
      <c r="AC98" s="97">
        <f>IF('Completed'!$J$97&lt;&gt;"",'Completed'!$J$97,"")</f>
        <v>41745</v>
      </c>
      <c r="AD98" s="111" t="str">
        <f>IF('Completed'!$K$97&lt;&gt;"",'Completed'!$K$97,"")</f>
        <v>Aiba Mui</v>
      </c>
      <c r="AE98" s="111" t="str">
        <f>IF('Completed'!$L$97&lt;&gt;"",'Completed'!$L$97,"")</f>
        <v>Finales that make more questions than answers suck.</v>
      </c>
    </row>
    <row r="99" spans="10:31">
      <c r="J99" s="61" t="str">
        <f>IF(Backlog!$A$98&lt;&gt;"",Backlog!$A$98,"")</f>
        <v/>
      </c>
      <c r="K99" s="68" t="str">
        <f>IF(Backlog!$B$98&lt;&gt;"",Backlog!$B$98,"")</f>
        <v/>
      </c>
      <c r="L99" s="69" t="str">
        <f>IF(Backlog!$C$98&lt;&gt;"",Backlog!$C$98,"")</f>
        <v/>
      </c>
      <c r="N99" s="61" t="str">
        <f>IF('Completed'!$A$98&lt;&gt;"",'Completed'!$A$98,"")</f>
        <v>Suzumiya Haruhi no Yuuutsu</v>
      </c>
      <c r="O99" s="68">
        <f>IF('Completed'!$B$98&lt;&gt;"",'Completed'!$B$98,"")</f>
        <v>1</v>
      </c>
      <c r="P99" s="68">
        <f ca="1">IF($N$99&lt;&gt;"", INDIRECT("'Tracker'!"&amp;ADDRESS(MATCH($N$99, Tracker[Anime Name], 0) + 2, 3)), "")</f>
        <v>28</v>
      </c>
      <c r="Q99" s="62" t="str">
        <f ca="1">IF($N$99&lt;&gt;"", INDIRECT("'Tracker'!"&amp;ADDRESS(MATCH($N$99, Tracker[Anime Name], 0) + 2, 4)), "")</f>
        <v>A</v>
      </c>
      <c r="R99" s="62" t="str">
        <f ca="1">IF($N$99&lt;&gt;"", INDIRECT("'Tracker'!"&amp;ADDRESS(MATCH($N$99, Tracker[Anime Name], 0) + 2, 5)), "")</f>
        <v>720p</v>
      </c>
      <c r="S99" s="62" t="str">
        <f ca="1">IF($N$99&lt;&gt;"", INDIRECT("'Tracker'!"&amp;ADDRESS(MATCH($N$99, Tracker[Anime Name], 0) + 2, 6)), "")</f>
        <v>BD</v>
      </c>
      <c r="T99" s="62" t="str">
        <f ca="1">IF($N$99&lt;&gt;"", INDIRECT("'Tracker'!"&amp;ADDRESS(MATCH($N$99, Tracker[Anime Name], 0) + 2, 7)), "")</f>
        <v>2006A</v>
      </c>
      <c r="U99" s="68" t="str">
        <f ca="1">IF($N$99&lt;&gt;"", INDIRECT("'Tracker'!"&amp;ADDRESS(MATCH($N$99, Tracker[Anime Name], 0) + 2, 8)), "")</f>
        <v>Elysium</v>
      </c>
      <c r="V99" s="96">
        <f>IF('Completed'!$C$98&lt;&gt;"",'Completed'!$C$98,"")</f>
        <v>7.5</v>
      </c>
      <c r="W99" s="96">
        <f>IF('Completed'!$D$98&lt;&gt;"",'Completed'!$D$98,"")</f>
        <v>7.5</v>
      </c>
      <c r="X99" s="96">
        <f>IF('Completed'!$E$98&lt;&gt;"",'Completed'!$E$98,"")</f>
        <v>4</v>
      </c>
      <c r="Y99" s="96">
        <f>IF('Completed'!$F$98&lt;&gt;"",'Completed'!$F$98,"")</f>
        <v>7.5</v>
      </c>
      <c r="Z99" s="110">
        <f>IF('Completed'!$G$98&lt;&gt;"",'Completed'!$G$98,"")</f>
        <v>7.3329145728643219</v>
      </c>
      <c r="AA99" s="120">
        <f>IF('Completed'!$H$98&lt;&gt;"",'Completed'!$H$98,"")</f>
        <v>6.4637632419707414</v>
      </c>
      <c r="AB99" s="97">
        <f>IF('Completed'!$I$98&lt;&gt;"",'Completed'!$I$98,"")</f>
        <v>41330</v>
      </c>
      <c r="AC99" s="97">
        <f>IF('Completed'!$J$98&lt;&gt;"",'Completed'!$J$98,"")</f>
        <v>41346</v>
      </c>
      <c r="AD99" s="111" t="str">
        <f>IF('Completed'!$K$98&lt;&gt;"",'Completed'!$K$98,"")</f>
        <v>Nagato Yuki</v>
      </c>
      <c r="AE99" s="111" t="str">
        <f>IF('Completed'!$L$98&lt;&gt;"",'Completed'!$L$98,"")</f>
        <v>Not what I expected it to be, given the hype</v>
      </c>
    </row>
    <row r="100" spans="10:31">
      <c r="J100" s="61" t="str">
        <f>IF(Backlog!$A$99&lt;&gt;"",Backlog!$A$99,"")</f>
        <v/>
      </c>
      <c r="K100" s="68" t="str">
        <f>IF(Backlog!$B$99&lt;&gt;"",Backlog!$B$99,"")</f>
        <v/>
      </c>
      <c r="L100" s="69" t="str">
        <f>IF(Backlog!$C$99&lt;&gt;"",Backlog!$C$99,"")</f>
        <v/>
      </c>
      <c r="N100" s="61" t="str">
        <f>IF('Completed'!$A$99&lt;&gt;"",'Completed'!$A$99,"")</f>
        <v>Witch Craft Works</v>
      </c>
      <c r="O100" s="68">
        <f>IF('Completed'!$B$99&lt;&gt;"",'Completed'!$B$99,"")</f>
        <v>1</v>
      </c>
      <c r="P100" s="68">
        <f ca="1">IF($N$100&lt;&gt;"", INDIRECT("'Tracker'!"&amp;ADDRESS(MATCH($N$100, Tracker[Anime Name], 0) + 2, 3)), "")</f>
        <v>12</v>
      </c>
      <c r="Q100" s="62" t="str">
        <f ca="1">IF($N$100&lt;&gt;"", INDIRECT("'Tracker'!"&amp;ADDRESS(MATCH($N$100, Tracker[Anime Name], 0) + 2, 4)), "")</f>
        <v>A</v>
      </c>
      <c r="R100" s="62" t="str">
        <f ca="1">IF($N$100&lt;&gt;"", INDIRECT("'Tracker'!"&amp;ADDRESS(MATCH($N$100, Tracker[Anime Name], 0) + 2, 5)), "")</f>
        <v>720p</v>
      </c>
      <c r="S100" s="62" t="str">
        <f ca="1">IF($N$100&lt;&gt;"", INDIRECT("'Tracker'!"&amp;ADDRESS(MATCH($N$100, Tracker[Anime Name], 0) + 2, 6)), "")</f>
        <v>TV</v>
      </c>
      <c r="T100" s="62" t="str">
        <f ca="1">IF($N$100&lt;&gt;"", INDIRECT("'Tracker'!"&amp;ADDRESS(MATCH($N$100, Tracker[Anime Name], 0) + 2, 7)), "")</f>
        <v>2013D</v>
      </c>
      <c r="U100" s="68" t="str">
        <f ca="1">IF($N$100&lt;&gt;"", INDIRECT("'Tracker'!"&amp;ADDRESS(MATCH($N$100, Tracker[Anime Name], 0) + 2, 8)), "")</f>
        <v>FFF</v>
      </c>
      <c r="V100" s="96">
        <f>IF('Completed'!$C$99&lt;&gt;"",'Completed'!$C$99,"")</f>
        <v>7.5</v>
      </c>
      <c r="W100" s="96">
        <f>IF('Completed'!$D$99&lt;&gt;"",'Completed'!$D$99,"")</f>
        <v>7.5</v>
      </c>
      <c r="X100" s="96">
        <f>IF('Completed'!$E$99&lt;&gt;"",'Completed'!$E$99,"")</f>
        <v>3.5</v>
      </c>
      <c r="Y100" s="96">
        <f>IF('Completed'!$F$99&lt;&gt;"",'Completed'!$F$99,"")</f>
        <v>7.5</v>
      </c>
      <c r="Z100" s="110">
        <f>IF('Completed'!$G$99&lt;&gt;"",'Completed'!$G$99,"")</f>
        <v>7.3090452261306531</v>
      </c>
      <c r="AA100" s="120">
        <f>IF('Completed'!$H$99&lt;&gt;"",'Completed'!$H$99,"")</f>
        <v>6.4318143601816038</v>
      </c>
      <c r="AB100" s="97">
        <f>IF('Completed'!$I$99&lt;&gt;"",'Completed'!$I$99,"")</f>
        <v>41650</v>
      </c>
      <c r="AC100" s="97">
        <f>IF('Completed'!$J$99&lt;&gt;"",'Completed'!$J$99,"")</f>
        <v>41749</v>
      </c>
      <c r="AD100" s="111" t="str">
        <f>IF('Completed'!$K$99&lt;&gt;"",'Completed'!$K$99,"")</f>
        <v>Kazari Rin</v>
      </c>
      <c r="AE100" s="111" t="str">
        <f>IF('Completed'!$L$99&lt;&gt;"",'Completed'!$L$99,"")</f>
        <v/>
      </c>
    </row>
    <row r="101" spans="10:31">
      <c r="J101" s="61" t="str">
        <f>IF(Backlog!$A$100&lt;&gt;"",Backlog!$A$100,"")</f>
        <v/>
      </c>
      <c r="K101" s="68" t="str">
        <f>IF(Backlog!$B$100&lt;&gt;"",Backlog!$B$100,"")</f>
        <v/>
      </c>
      <c r="L101" s="69" t="str">
        <f>IF(Backlog!$C$100&lt;&gt;"",Backlog!$C$100,"")</f>
        <v/>
      </c>
      <c r="N101" s="61" t="str">
        <f>IF('Completed'!$A$100&lt;&gt;"",'Completed'!$A$100,"")</f>
        <v>Sora no Otoshimono</v>
      </c>
      <c r="O101" s="68">
        <f>IF('Completed'!$B$100&lt;&gt;"",'Completed'!$B$100,"")</f>
        <v>1</v>
      </c>
      <c r="P101" s="68">
        <f ca="1">IF($N$101&lt;&gt;"", INDIRECT("'Tracker'!"&amp;ADDRESS(MATCH($N$101, Tracker[Anime Name], 0) + 2, 3)), "")</f>
        <v>13</v>
      </c>
      <c r="Q101" s="62" t="str">
        <f ca="1">IF($N$101&lt;&gt;"", INDIRECT("'Tracker'!"&amp;ADDRESS(MATCH($N$101, Tracker[Anime Name], 0) + 2, 4)), "")</f>
        <v>A</v>
      </c>
      <c r="R101" s="62" t="str">
        <f ca="1">IF($N$101&lt;&gt;"", INDIRECT("'Tracker'!"&amp;ADDRESS(MATCH($N$101, Tracker[Anime Name], 0) + 2, 5)), "")</f>
        <v>720p</v>
      </c>
      <c r="S101" s="62" t="str">
        <f ca="1">IF($N$101&lt;&gt;"", INDIRECT("'Tracker'!"&amp;ADDRESS(MATCH($N$101, Tracker[Anime Name], 0) + 2, 6)), "")</f>
        <v>DVD</v>
      </c>
      <c r="T101" s="62" t="str">
        <f ca="1">IF($N$101&lt;&gt;"", INDIRECT("'Tracker'!"&amp;ADDRESS(MATCH($N$101, Tracker[Anime Name], 0) + 2, 7)), "")</f>
        <v>2009C</v>
      </c>
      <c r="U101" s="68" t="str">
        <f ca="1">IF($N$101&lt;&gt;"", INDIRECT("'Tracker'!"&amp;ADDRESS(MATCH($N$101, Tracker[Anime Name], 0) + 2, 8)), "")</f>
        <v>Polished</v>
      </c>
      <c r="V101" s="96">
        <f>IF('Completed'!$C$100&lt;&gt;"",'Completed'!$C$100,"")</f>
        <v>7</v>
      </c>
      <c r="W101" s="96">
        <f>IF('Completed'!$D$100&lt;&gt;"",'Completed'!$D$100,"")</f>
        <v>7</v>
      </c>
      <c r="X101" s="96">
        <f>IF('Completed'!$E$100&lt;&gt;"",'Completed'!$E$100,"")</f>
        <v>7.5</v>
      </c>
      <c r="Y101" s="96">
        <f>IF('Completed'!$F$100&lt;&gt;"",'Completed'!$F$100,"")</f>
        <v>7.5</v>
      </c>
      <c r="Z101" s="110">
        <f>IF('Completed'!$G$100&lt;&gt;"",'Completed'!$G$100,"")</f>
        <v>7.2738693467336688</v>
      </c>
      <c r="AA101" s="120">
        <f>IF('Completed'!$H$100&lt;&gt;"",'Completed'!$H$100,"")</f>
        <v>6.3847317975449807</v>
      </c>
      <c r="AB101" s="97">
        <f>IF('Completed'!$I$100&lt;&gt;"",'Completed'!$I$100,"")</f>
        <v>41496</v>
      </c>
      <c r="AC101" s="97">
        <f>IF('Completed'!$J$100&lt;&gt;"",'Completed'!$J$100,"")</f>
        <v>41512</v>
      </c>
      <c r="AD101" s="111" t="str">
        <f>IF('Completed'!$K$100&lt;&gt;"",'Completed'!$K$100,"")</f>
        <v>Nymph</v>
      </c>
      <c r="AE101" s="111" t="str">
        <f>IF('Completed'!$L$100&lt;&gt;"",'Completed'!$L$100,"")</f>
        <v>Ignoring the ecchi, it would be pretty nice</v>
      </c>
    </row>
    <row r="102" spans="10:31">
      <c r="J102" s="61" t="str">
        <f>IF(Backlog!$A$101&lt;&gt;"",Backlog!$A$101,"")</f>
        <v/>
      </c>
      <c r="K102" s="68" t="str">
        <f>IF(Backlog!$B$101&lt;&gt;"",Backlog!$B$101,"")</f>
        <v/>
      </c>
      <c r="L102" s="69" t="str">
        <f>IF(Backlog!$C$101&lt;&gt;"",Backlog!$C$101,"")</f>
        <v/>
      </c>
      <c r="N102" s="61" t="str">
        <f>IF('Completed'!$A$101&lt;&gt;"",'Completed'!$A$101,"")</f>
        <v>Haiyore! Nyaruko-san</v>
      </c>
      <c r="O102" s="68">
        <f>IF('Completed'!$B$101&lt;&gt;"",'Completed'!$B$101,"")</f>
        <v>1</v>
      </c>
      <c r="P102" s="68">
        <f ca="1">IF($N$102&lt;&gt;"", INDIRECT("'Tracker'!"&amp;ADDRESS(MATCH($N$102, Tracker[Anime Name], 0) + 2, 3)), "")</f>
        <v>13</v>
      </c>
      <c r="Q102" s="62" t="str">
        <f ca="1">IF($N$102&lt;&gt;"", INDIRECT("'Tracker'!"&amp;ADDRESS(MATCH($N$102, Tracker[Anime Name], 0) + 2, 4)), "")</f>
        <v>A</v>
      </c>
      <c r="R102" s="62" t="str">
        <f ca="1">IF($N$102&lt;&gt;"", INDIRECT("'Tracker'!"&amp;ADDRESS(MATCH($N$102, Tracker[Anime Name], 0) + 2, 5)), "")</f>
        <v>720p</v>
      </c>
      <c r="S102" s="62" t="str">
        <f ca="1">IF($N$102&lt;&gt;"", INDIRECT("'Tracker'!"&amp;ADDRESS(MATCH($N$102, Tracker[Anime Name], 0) + 2, 6)), "")</f>
        <v>TV</v>
      </c>
      <c r="T102" s="62" t="str">
        <f ca="1">IF($N$102&lt;&gt;"", INDIRECT("'Tracker'!"&amp;ADDRESS(MATCH($N$102, Tracker[Anime Name], 0) + 2, 7)), "")</f>
        <v>2012A</v>
      </c>
      <c r="U102" s="68" t="str">
        <f ca="1">IF($N$102&lt;&gt;"", INDIRECT("'Tracker'!"&amp;ADDRESS(MATCH($N$102, Tracker[Anime Name], 0) + 2, 8)), "")</f>
        <v>Hatsuyuki</v>
      </c>
      <c r="V102" s="96">
        <f>IF('Completed'!$C$101&lt;&gt;"",'Completed'!$C$101,"")</f>
        <v>6</v>
      </c>
      <c r="W102" s="96">
        <f>IF('Completed'!$D$101&lt;&gt;"",'Completed'!$D$101,"")</f>
        <v>7</v>
      </c>
      <c r="X102" s="96">
        <f>IF('Completed'!$E$101&lt;&gt;"",'Completed'!$E$101,"")</f>
        <v>6</v>
      </c>
      <c r="Y102" s="96">
        <f>IF('Completed'!$F$101&lt;&gt;"",'Completed'!$F$101,"")</f>
        <v>8</v>
      </c>
      <c r="Z102" s="110">
        <f>IF('Completed'!$G$101&lt;&gt;"",'Completed'!$G$101,"")</f>
        <v>7.2688442211055273</v>
      </c>
      <c r="AA102" s="120">
        <f>IF('Completed'!$H$101&lt;&gt;"",'Completed'!$H$101,"")</f>
        <v>6.3780057171683193</v>
      </c>
      <c r="AB102" s="97">
        <f>IF('Completed'!$I$101&lt;&gt;"",'Completed'!$I$101,"")</f>
        <v>41365</v>
      </c>
      <c r="AC102" s="97">
        <f>IF('Completed'!$J$101&lt;&gt;"",'Completed'!$J$101,"")</f>
        <v>41369</v>
      </c>
      <c r="AD102" s="111" t="str">
        <f>IF('Completed'!$K$101&lt;&gt;"",'Completed'!$K$101,"")</f>
        <v>Kuuko</v>
      </c>
      <c r="AE102" s="111" t="str">
        <f>IF('Completed'!$L$101&lt;&gt;"",'Completed'!$L$101,"")</f>
        <v/>
      </c>
    </row>
    <row r="103" spans="10:31">
      <c r="J103" s="61" t="str">
        <f>IF(Backlog!$A$102&lt;&gt;"",Backlog!$A$102,"")</f>
        <v/>
      </c>
      <c r="K103" s="68" t="str">
        <f>IF(Backlog!$B$102&lt;&gt;"",Backlog!$B$102,"")</f>
        <v/>
      </c>
      <c r="L103" s="69" t="str">
        <f>IF(Backlog!$C$102&lt;&gt;"",Backlog!$C$102,"")</f>
        <v/>
      </c>
      <c r="N103" s="61" t="str">
        <f>IF('Completed'!$A$102&lt;&gt;"",'Completed'!$A$102,"")</f>
        <v>Nisemonogatari</v>
      </c>
      <c r="O103" s="68">
        <f>IF('Completed'!$B$102&lt;&gt;"",'Completed'!$B$102,"")</f>
        <v>2</v>
      </c>
      <c r="P103" s="68">
        <f ca="1">IF($N$103&lt;&gt;"", INDIRECT("'Tracker'!"&amp;ADDRESS(MATCH($N$103, Tracker[Anime Name], 0) + 2, 3)), "")</f>
        <v>11</v>
      </c>
      <c r="Q103" s="62" t="str">
        <f ca="1">IF($N$103&lt;&gt;"", INDIRECT("'Tracker'!"&amp;ADDRESS(MATCH($N$103, Tracker[Anime Name], 0) + 2, 4)), "")</f>
        <v>A</v>
      </c>
      <c r="R103" s="62" t="str">
        <f ca="1">IF($N$103&lt;&gt;"", INDIRECT("'Tracker'!"&amp;ADDRESS(MATCH($N$103, Tracker[Anime Name], 0) + 2, 5)), "")</f>
        <v>720p</v>
      </c>
      <c r="S103" s="62" t="str">
        <f ca="1">IF($N$103&lt;&gt;"", INDIRECT("'Tracker'!"&amp;ADDRESS(MATCH($N$103, Tracker[Anime Name], 0) + 2, 6)), "")</f>
        <v>BD</v>
      </c>
      <c r="T103" s="62" t="str">
        <f ca="1">IF($N$103&lt;&gt;"", INDIRECT("'Tracker'!"&amp;ADDRESS(MATCH($N$103, Tracker[Anime Name], 0) + 2, 7)), "")</f>
        <v>2011D</v>
      </c>
      <c r="U103" s="68" t="str">
        <f ca="1">IF($N$103&lt;&gt;"", INDIRECT("'Tracker'!"&amp;ADDRESS(MATCH($N$103, Tracker[Anime Name], 0) + 2, 8)), "")</f>
        <v>Coalgirls, CMS</v>
      </c>
      <c r="V103" s="96">
        <f>IF('Completed'!$C$102&lt;&gt;"",'Completed'!$C$102,"")</f>
        <v>7</v>
      </c>
      <c r="W103" s="96">
        <f>IF('Completed'!$D$102&lt;&gt;"",'Completed'!$D$102,"")</f>
        <v>7.5</v>
      </c>
      <c r="X103" s="96">
        <f>IF('Completed'!$E$102&lt;&gt;"",'Completed'!$E$102,"")</f>
        <v>4.5</v>
      </c>
      <c r="Y103" s="96">
        <f>IF('Completed'!$F$102&lt;&gt;"",'Completed'!$F$102,"")</f>
        <v>7.5</v>
      </c>
      <c r="Z103" s="110">
        <f>IF('Completed'!$G$102&lt;&gt;"",'Completed'!$G$102,"")</f>
        <v>7.2650753768844218</v>
      </c>
      <c r="AA103" s="120">
        <f>IF('Completed'!$H$102&lt;&gt;"",'Completed'!$H$102,"")</f>
        <v>6.3729611568858235</v>
      </c>
      <c r="AB103" s="97">
        <f>IF('Completed'!$I$102&lt;&gt;"",'Completed'!$I$102,"")</f>
        <v>41345</v>
      </c>
      <c r="AC103" s="97">
        <f>IF('Completed'!$J$102&lt;&gt;"",'Completed'!$J$102,"")</f>
        <v>41350</v>
      </c>
      <c r="AD103" s="111" t="str">
        <f>IF('Completed'!$K$102&lt;&gt;"",'Completed'!$K$102,"")</f>
        <v>Oshino Shinobu</v>
      </c>
      <c r="AE103" s="111" t="str">
        <f>IF('Completed'!$L$102&lt;&gt;"",'Completed'!$L$102,"")</f>
        <v/>
      </c>
    </row>
    <row r="104" spans="10:31">
      <c r="J104" s="61" t="str">
        <f>IF(Backlog!$A$103&lt;&gt;"",Backlog!$A$103,"")</f>
        <v/>
      </c>
      <c r="K104" s="68" t="str">
        <f>IF(Backlog!$B$103&lt;&gt;"",Backlog!$B$103,"")</f>
        <v/>
      </c>
      <c r="L104" s="69" t="str">
        <f>IF(Backlog!$C$103&lt;&gt;"",Backlog!$C$103,"")</f>
        <v/>
      </c>
      <c r="N104" s="61" t="str">
        <f>IF('Completed'!$A$103&lt;&gt;"",'Completed'!$A$103,"")</f>
        <v>Yuyushiki</v>
      </c>
      <c r="O104" s="68">
        <f>IF('Completed'!$B$103&lt;&gt;"",'Completed'!$B$103,"")</f>
        <v>1</v>
      </c>
      <c r="P104" s="68">
        <f ca="1">IF($N$104&lt;&gt;"", INDIRECT("'Tracker'!"&amp;ADDRESS(MATCH($N$104, Tracker[Anime Name], 0) + 2, 3)), "")</f>
        <v>12</v>
      </c>
      <c r="Q104" s="62" t="str">
        <f ca="1">IF($N$104&lt;&gt;"", INDIRECT("'Tracker'!"&amp;ADDRESS(MATCH($N$104, Tracker[Anime Name], 0) + 2, 4)), "")</f>
        <v>A</v>
      </c>
      <c r="R104" s="62" t="str">
        <f ca="1">IF($N$104&lt;&gt;"", INDIRECT("'Tracker'!"&amp;ADDRESS(MATCH($N$104, Tracker[Anime Name], 0) + 2, 5)), "")</f>
        <v>720p</v>
      </c>
      <c r="S104" s="62" t="str">
        <f ca="1">IF($N$104&lt;&gt;"", INDIRECT("'Tracker'!"&amp;ADDRESS(MATCH($N$104, Tracker[Anime Name], 0) + 2, 6)), "")</f>
        <v>BD</v>
      </c>
      <c r="T104" s="62" t="str">
        <f ca="1">IF($N$104&lt;&gt;"", INDIRECT("'Tracker'!"&amp;ADDRESS(MATCH($N$104, Tracker[Anime Name], 0) + 2, 7)), "")</f>
        <v>2013A</v>
      </c>
      <c r="U104" s="68" t="str">
        <f ca="1">IF($N$104&lt;&gt;"", INDIRECT("'Tracker'!"&amp;ADDRESS(MATCH($N$104, Tracker[Anime Name], 0) + 2, 8)), "")</f>
        <v>Commie</v>
      </c>
      <c r="V104" s="96">
        <f>IF('Completed'!$C$103&lt;&gt;"",'Completed'!$C$103,"")</f>
        <v>4</v>
      </c>
      <c r="W104" s="96">
        <f>IF('Completed'!$D$103&lt;&gt;"",'Completed'!$D$103,"")</f>
        <v>7</v>
      </c>
      <c r="X104" s="96">
        <f>IF('Completed'!$E$103&lt;&gt;"",'Completed'!$E$103,"")</f>
        <v>8</v>
      </c>
      <c r="Y104" s="96">
        <f>IF('Completed'!$F$103&lt;&gt;"",'Completed'!$F$103,"")</f>
        <v>8.5</v>
      </c>
      <c r="Z104" s="110">
        <f>IF('Completed'!$G$103&lt;&gt;"",'Completed'!$G$103,"")</f>
        <v>7.2474874371859297</v>
      </c>
      <c r="AA104" s="120">
        <f>IF('Completed'!$H$103&lt;&gt;"",'Completed'!$H$103,"")</f>
        <v>6.3494198755675129</v>
      </c>
      <c r="AB104" s="97">
        <f>IF('Completed'!$I$103&lt;&gt;"",'Completed'!$I$103,"")</f>
        <v>41449</v>
      </c>
      <c r="AC104" s="97">
        <f>IF('Completed'!$J$103&lt;&gt;"",'Completed'!$J$103,"")</f>
        <v>41451</v>
      </c>
      <c r="AD104" s="111" t="str">
        <f>IF('Completed'!$K$103&lt;&gt;"",'Completed'!$K$103,"")</f>
        <v>Hinata Yukari</v>
      </c>
      <c r="AE104" s="111" t="str">
        <f>IF('Completed'!$L$103&lt;&gt;"",'Completed'!$L$103,"")</f>
        <v/>
      </c>
    </row>
    <row r="105" spans="10:31">
      <c r="J105" s="61" t="str">
        <f>IF(Backlog!$A$104&lt;&gt;"",Backlog!$A$104,"")</f>
        <v/>
      </c>
      <c r="K105" s="68" t="str">
        <f>IF(Backlog!$B$104&lt;&gt;"",Backlog!$B$104,"")</f>
        <v/>
      </c>
      <c r="L105" s="69" t="str">
        <f>IF(Backlog!$C$104&lt;&gt;"",Backlog!$C$104,"")</f>
        <v/>
      </c>
      <c r="N105" s="61" t="str">
        <f>IF('Completed'!$A$104&lt;&gt;"",'Completed'!$A$104,"")</f>
        <v>Shinryaku! Ika Musume</v>
      </c>
      <c r="O105" s="68">
        <f>IF('Completed'!$B$104&lt;&gt;"",'Completed'!$B$104,"")</f>
        <v>1</v>
      </c>
      <c r="P105" s="68">
        <f ca="1">IF($N$105&lt;&gt;"", INDIRECT("'Tracker'!"&amp;ADDRESS(MATCH($N$105, Tracker[Anime Name], 0) + 2, 3)), "")</f>
        <v>12</v>
      </c>
      <c r="Q105" s="62" t="str">
        <f ca="1">IF($N$105&lt;&gt;"", INDIRECT("'Tracker'!"&amp;ADDRESS(MATCH($N$105, Tracker[Anime Name], 0) + 2, 4)), "")</f>
        <v>A</v>
      </c>
      <c r="R105" s="62" t="str">
        <f ca="1">IF($N$105&lt;&gt;"", INDIRECT("'Tracker'!"&amp;ADDRESS(MATCH($N$105, Tracker[Anime Name], 0) + 2, 5)), "")</f>
        <v>720p</v>
      </c>
      <c r="S105" s="62" t="str">
        <f ca="1">IF($N$105&lt;&gt;"", INDIRECT("'Tracker'!"&amp;ADDRESS(MATCH($N$105, Tracker[Anime Name], 0) + 2, 6)), "")</f>
        <v>BD</v>
      </c>
      <c r="T105" s="62" t="str">
        <f ca="1">IF($N$105&lt;&gt;"", INDIRECT("'Tracker'!"&amp;ADDRESS(MATCH($N$105, Tracker[Anime Name], 0) + 2, 7)), "")</f>
        <v>2010C</v>
      </c>
      <c r="U105" s="68" t="str">
        <f ca="1">IF($N$105&lt;&gt;"", INDIRECT("'Tracker'!"&amp;ADDRESS(MATCH($N$105, Tracker[Anime Name], 0) + 2, 8)), "")</f>
        <v>FFF</v>
      </c>
      <c r="V105" s="96">
        <f>IF('Completed'!$C$104&lt;&gt;"",'Completed'!$C$104,"")</f>
        <v>3</v>
      </c>
      <c r="W105" s="96">
        <f>IF('Completed'!$D$104&lt;&gt;"",'Completed'!$D$104,"")</f>
        <v>8</v>
      </c>
      <c r="X105" s="96">
        <f>IF('Completed'!$E$104&lt;&gt;"",'Completed'!$E$104,"")</f>
        <v>9</v>
      </c>
      <c r="Y105" s="96">
        <f>IF('Completed'!$F$104&lt;&gt;"",'Completed'!$F$104,"")</f>
        <v>8</v>
      </c>
      <c r="Z105" s="110">
        <f>IF('Completed'!$G$104&lt;&gt;"",'Completed'!$G$104,"")</f>
        <v>7.1306532663316586</v>
      </c>
      <c r="AA105" s="120">
        <f>IF('Completed'!$H$104&lt;&gt;"",'Completed'!$H$104,"")</f>
        <v>6.1930385068101561</v>
      </c>
      <c r="AB105" s="97">
        <f>IF('Completed'!$I$104&lt;&gt;"",'Completed'!$I$104,"")</f>
        <v>41288</v>
      </c>
      <c r="AC105" s="97">
        <f>IF('Completed'!$J$104&lt;&gt;"",'Completed'!$J$104,"")</f>
        <v>41288</v>
      </c>
      <c r="AD105" s="111" t="str">
        <f>IF('Completed'!$K$104&lt;&gt;"",'Completed'!$K$104,"")</f>
        <v>Aizawa Chizuru</v>
      </c>
      <c r="AE105" s="111" t="str">
        <f>IF('Completed'!$L$104&lt;&gt;"",'Completed'!$L$104,"")</f>
        <v/>
      </c>
    </row>
    <row r="106" spans="10:31">
      <c r="J106" s="61" t="str">
        <f>IF(Backlog!$A$105&lt;&gt;"",Backlog!$A$105,"")</f>
        <v/>
      </c>
      <c r="K106" s="68" t="str">
        <f>IF(Backlog!$B$105&lt;&gt;"",Backlog!$B$105,"")</f>
        <v/>
      </c>
      <c r="L106" s="69" t="str">
        <f>IF(Backlog!$C$105&lt;&gt;"",Backlog!$C$105,"")</f>
        <v/>
      </c>
      <c r="N106" s="61" t="str">
        <f>IF('Completed'!$A$105&lt;&gt;"",'Completed'!$A$105,"")</f>
        <v>Naruto</v>
      </c>
      <c r="O106" s="68">
        <f>IF('Completed'!$B$105&lt;&gt;"",'Completed'!$B$105,"")</f>
        <v>5</v>
      </c>
      <c r="P106" s="68">
        <f ca="1">IF($N$106&lt;&gt;"", INDIRECT("'Tracker'!"&amp;ADDRESS(MATCH($N$106, Tracker[Anime Name], 0) + 2, 3)), "")</f>
        <v>220</v>
      </c>
      <c r="Q106" s="62" t="str">
        <f ca="1">IF($N$106&lt;&gt;"", INDIRECT("'Tracker'!"&amp;ADDRESS(MATCH($N$106, Tracker[Anime Name], 0) + 2, 4)), "")</f>
        <v>--</v>
      </c>
      <c r="R106" s="62" t="str">
        <f ca="1">IF($N$106&lt;&gt;"", INDIRECT("'Tracker'!"&amp;ADDRESS(MATCH($N$106, Tracker[Anime Name], 0) + 2, 5)), "")</f>
        <v>--</v>
      </c>
      <c r="S106" s="62" t="str">
        <f ca="1">IF($N$106&lt;&gt;"", INDIRECT("'Tracker'!"&amp;ADDRESS(MATCH($N$106, Tracker[Anime Name], 0) + 2, 6)), "")</f>
        <v>--</v>
      </c>
      <c r="T106" s="62" t="str">
        <f ca="1">IF($N$106&lt;&gt;"", INDIRECT("'Tracker'!"&amp;ADDRESS(MATCH($N$106, Tracker[Anime Name], 0) + 2, 7)), "")</f>
        <v>2002C</v>
      </c>
      <c r="U106" s="68" t="str">
        <f ca="1">IF($N$106&lt;&gt;"", INDIRECT("'Tracker'!"&amp;ADDRESS(MATCH($N$106, Tracker[Anime Name], 0) + 2, 8)), "")</f>
        <v>-- NO DL --</v>
      </c>
      <c r="V106" s="96">
        <f>IF('Completed'!$C$105&lt;&gt;"",'Completed'!$C$105,"")</f>
        <v>7.5</v>
      </c>
      <c r="W106" s="96">
        <f>IF('Completed'!$D$105&lt;&gt;"",'Completed'!$D$105,"")</f>
        <v>8</v>
      </c>
      <c r="X106" s="96">
        <f>IF('Completed'!$E$105&lt;&gt;"",'Completed'!$E$105,"")</f>
        <v>0.5</v>
      </c>
      <c r="Y106" s="96">
        <f>IF('Completed'!$F$105&lt;&gt;"",'Completed'!$F$105,"")</f>
        <v>7</v>
      </c>
      <c r="Z106" s="110">
        <f>IF('Completed'!$G$105&lt;&gt;"",'Completed'!$G$105,"")</f>
        <v>7.0502512562814079</v>
      </c>
      <c r="AA106" s="120">
        <f>IF('Completed'!$H$105&lt;&gt;"",'Completed'!$H$105,"")</f>
        <v>6.0854212207835898</v>
      </c>
      <c r="AB106" s="97">
        <f>IF('Completed'!$I$105&lt;&gt;"",'Completed'!$I$105,"")</f>
        <v>41088</v>
      </c>
      <c r="AC106" s="97">
        <f>IF('Completed'!$J$105&lt;&gt;"",'Completed'!$J$105,"")</f>
        <v>41108</v>
      </c>
      <c r="AD106" s="111" t="str">
        <f>IF('Completed'!$K$105&lt;&gt;"",'Completed'!$K$105,"")</f>
        <v>Hyuuga Hinata</v>
      </c>
      <c r="AE106" s="111" t="str">
        <f>IF('Completed'!$L$105&lt;&gt;"",'Completed'!$L$105,"")</f>
        <v>Too many filler arcs killed everything else. Should have waited for the manga to continue instead</v>
      </c>
    </row>
    <row r="107" spans="10:31">
      <c r="J107" s="61" t="str">
        <f>IF(Backlog!$A$106&lt;&gt;"",Backlog!$A$106,"")</f>
        <v/>
      </c>
      <c r="K107" s="68" t="str">
        <f>IF(Backlog!$B$106&lt;&gt;"",Backlog!$B$106,"")</f>
        <v/>
      </c>
      <c r="L107" s="69" t="str">
        <f>IF(Backlog!$C$106&lt;&gt;"",Backlog!$C$106,"")</f>
        <v/>
      </c>
      <c r="N107" s="61" t="str">
        <f>IF('Completed'!$A$106&lt;&gt;"",'Completed'!$A$106,"")</f>
        <v>Watashi ga Motenai no wa Dou Kangaetemo Omaera no Warui!</v>
      </c>
      <c r="O107" s="68">
        <f>IF('Completed'!$B$106&lt;&gt;"",'Completed'!$B$106,"")</f>
        <v>1</v>
      </c>
      <c r="P107" s="68">
        <f ca="1">IF($N$107&lt;&gt;"", INDIRECT("'Tracker'!"&amp;ADDRESS(MATCH($N$107, Tracker[Anime Name], 0) + 2, 3)), "")</f>
        <v>12</v>
      </c>
      <c r="Q107" s="62" t="str">
        <f ca="1">IF($N$107&lt;&gt;"", INDIRECT("'Tracker'!"&amp;ADDRESS(MATCH($N$107, Tracker[Anime Name], 0) + 2, 4)), "")</f>
        <v>A</v>
      </c>
      <c r="R107" s="62" t="str">
        <f ca="1">IF($N$107&lt;&gt;"", INDIRECT("'Tracker'!"&amp;ADDRESS(MATCH($N$107, Tracker[Anime Name], 0) + 2, 5)), "")</f>
        <v>720p</v>
      </c>
      <c r="S107" s="62" t="str">
        <f ca="1">IF($N$107&lt;&gt;"", INDIRECT("'Tracker'!"&amp;ADDRESS(MATCH($N$107, Tracker[Anime Name], 0) + 2, 6)), "")</f>
        <v>TV</v>
      </c>
      <c r="T107" s="62" t="str">
        <f ca="1">IF($N$107&lt;&gt;"", INDIRECT("'Tracker'!"&amp;ADDRESS(MATCH($N$107, Tracker[Anime Name], 0) + 2, 7)), "")</f>
        <v>2013B</v>
      </c>
      <c r="U107" s="68" t="str">
        <f ca="1">IF($N$107&lt;&gt;"", INDIRECT("'Tracker'!"&amp;ADDRESS(MATCH($N$107, Tracker[Anime Name], 0) + 2, 8)), "")</f>
        <v>FFF, UTW (FTW)</v>
      </c>
      <c r="V107" s="96">
        <f>IF('Completed'!$C$106&lt;&gt;"",'Completed'!$C$106,"")</f>
        <v>6.5</v>
      </c>
      <c r="W107" s="96">
        <f>IF('Completed'!$D$106&lt;&gt;"",'Completed'!$D$106,"")</f>
        <v>7</v>
      </c>
      <c r="X107" s="96">
        <f>IF('Completed'!$E$106&lt;&gt;"",'Completed'!$E$106,"")</f>
        <v>4.5</v>
      </c>
      <c r="Y107" s="96">
        <f>IF('Completed'!$F$106&lt;&gt;"",'Completed'!$F$106,"")</f>
        <v>7.5</v>
      </c>
      <c r="Z107" s="110">
        <f>IF('Completed'!$G$106&lt;&gt;"",'Completed'!$G$106,"")</f>
        <v>7.0389447236180906</v>
      </c>
      <c r="AA107" s="120">
        <f>IF('Completed'!$H$106&lt;&gt;"",'Completed'!$H$106,"")</f>
        <v>6.0702875399361016</v>
      </c>
      <c r="AB107" s="97">
        <f>IF('Completed'!$I$106&lt;&gt;"",'Completed'!$I$106,"")</f>
        <v>41464</v>
      </c>
      <c r="AC107" s="97">
        <f>IF('Completed'!$J$106&lt;&gt;"",'Completed'!$J$106,"")</f>
        <v>41543</v>
      </c>
      <c r="AD107" s="111" t="str">
        <f>IF('Completed'!$K$106&lt;&gt;"",'Completed'!$K$106,"")</f>
        <v>Kii</v>
      </c>
      <c r="AE107" s="111" t="str">
        <f>IF('Completed'!$L$106&lt;&gt;"",'Completed'!$L$106,"")</f>
        <v/>
      </c>
    </row>
    <row r="108" spans="10:31">
      <c r="J108" s="61" t="str">
        <f>IF(Backlog!$A$107&lt;&gt;"",Backlog!$A$107,"")</f>
        <v/>
      </c>
      <c r="K108" s="68" t="str">
        <f>IF(Backlog!$B$107&lt;&gt;"",Backlog!$B$107,"")</f>
        <v/>
      </c>
      <c r="L108" s="69" t="str">
        <f>IF(Backlog!$C$107&lt;&gt;"",Backlog!$C$107,"")</f>
        <v/>
      </c>
      <c r="N108" s="61" t="str">
        <f>IF('Completed'!$A$107&lt;&gt;"",'Completed'!$A$107,"")</f>
        <v>Panty &amp; Stocking with Garterbelt</v>
      </c>
      <c r="O108" s="68">
        <f>IF('Completed'!$B$107&lt;&gt;"",'Completed'!$B$107,"")</f>
        <v>1</v>
      </c>
      <c r="P108" s="68">
        <f ca="1">IF($N$108&lt;&gt;"", INDIRECT("'Tracker'!"&amp;ADDRESS(MATCH($N$108, Tracker[Anime Name], 0) + 2, 3)), "")</f>
        <v>13</v>
      </c>
      <c r="Q108" s="62" t="str">
        <f ca="1">IF($N$108&lt;&gt;"", INDIRECT("'Tracker'!"&amp;ADDRESS(MATCH($N$108, Tracker[Anime Name], 0) + 2, 4)), "")</f>
        <v>A</v>
      </c>
      <c r="R108" s="62" t="str">
        <f ca="1">IF($N$108&lt;&gt;"", INDIRECT("'Tracker'!"&amp;ADDRESS(MATCH($N$108, Tracker[Anime Name], 0) + 2, 5)), "")</f>
        <v>720p</v>
      </c>
      <c r="S108" s="62" t="str">
        <f ca="1">IF($N$108&lt;&gt;"", INDIRECT("'Tracker'!"&amp;ADDRESS(MATCH($N$108, Tracker[Anime Name], 0) + 2, 6)), "")</f>
        <v>BD</v>
      </c>
      <c r="T108" s="62" t="str">
        <f ca="1">IF($N$108&lt;&gt;"", INDIRECT("'Tracker'!"&amp;ADDRESS(MATCH($N$108, Tracker[Anime Name], 0) + 2, 7)), "")</f>
        <v>2010C</v>
      </c>
      <c r="U108" s="68" t="str">
        <f ca="1">IF($N$108&lt;&gt;"", INDIRECT("'Tracker'!"&amp;ADDRESS(MATCH($N$108, Tracker[Anime Name], 0) + 2, 8)), "")</f>
        <v>WhyNot</v>
      </c>
      <c r="V108" s="96">
        <f>IF('Completed'!$C$107&lt;&gt;"",'Completed'!$C$107,"")</f>
        <v>5</v>
      </c>
      <c r="W108" s="96">
        <f>IF('Completed'!$D$107&lt;&gt;"",'Completed'!$D$107,"")</f>
        <v>7</v>
      </c>
      <c r="X108" s="96">
        <f>IF('Completed'!$E$107&lt;&gt;"",'Completed'!$E$107,"")</f>
        <v>4.5</v>
      </c>
      <c r="Y108" s="96">
        <f>IF('Completed'!$F$107&lt;&gt;"",'Completed'!$F$107,"")</f>
        <v>8</v>
      </c>
      <c r="Z108" s="110">
        <f>IF('Completed'!$G$107&lt;&gt;"",'Completed'!$G$107,"")</f>
        <v>7.0138190954773867</v>
      </c>
      <c r="AA108" s="120">
        <f>IF('Completed'!$H$107&lt;&gt;"",'Completed'!$H$107,"")</f>
        <v>6.0366571380527994</v>
      </c>
      <c r="AB108" s="97">
        <f>IF('Completed'!$I$107&lt;&gt;"",'Completed'!$I$107,"")</f>
        <v>41470</v>
      </c>
      <c r="AC108" s="97">
        <f>IF('Completed'!$J$107&lt;&gt;"",'Completed'!$J$107,"")</f>
        <v>41482</v>
      </c>
      <c r="AD108" s="111" t="str">
        <f>IF('Completed'!$K$107&lt;&gt;"",'Completed'!$K$107,"")</f>
        <v>Stocking Anarchy</v>
      </c>
      <c r="AE108" s="111" t="str">
        <f>IF('Completed'!$L$107&lt;&gt;"",'Completed'!$L$107,"")</f>
        <v>Interesting animation style, nice break from "normal" anime</v>
      </c>
    </row>
    <row r="109" spans="10:31">
      <c r="J109" s="61" t="str">
        <f>IF(Backlog!$A$108&lt;&gt;"",Backlog!$A$108,"")</f>
        <v/>
      </c>
      <c r="K109" s="68" t="str">
        <f>IF(Backlog!$B$108&lt;&gt;"",Backlog!$B$108,"")</f>
        <v/>
      </c>
      <c r="L109" s="69" t="str">
        <f>IF(Backlog!$C$108&lt;&gt;"",Backlog!$C$108,"")</f>
        <v/>
      </c>
      <c r="N109" s="61" t="str">
        <f>IF('Completed'!$A$108&lt;&gt;"",'Completed'!$A$108,"")</f>
        <v>Shinryaku?! Ika Musume</v>
      </c>
      <c r="O109" s="68">
        <f>IF('Completed'!$B$108&lt;&gt;"",'Completed'!$B$108,"")</f>
        <v>2</v>
      </c>
      <c r="P109" s="68">
        <f ca="1">IF($N$109&lt;&gt;"", INDIRECT("'Tracker'!"&amp;ADDRESS(MATCH($N$109, Tracker[Anime Name], 0) + 2, 3)), "")</f>
        <v>12</v>
      </c>
      <c r="Q109" s="62" t="str">
        <f ca="1">IF($N$109&lt;&gt;"", INDIRECT("'Tracker'!"&amp;ADDRESS(MATCH($N$109, Tracker[Anime Name], 0) + 2, 4)), "")</f>
        <v>A</v>
      </c>
      <c r="R109" s="62" t="str">
        <f ca="1">IF($N$109&lt;&gt;"", INDIRECT("'Tracker'!"&amp;ADDRESS(MATCH($N$109, Tracker[Anime Name], 0) + 2, 5)), "")</f>
        <v>720p</v>
      </c>
      <c r="S109" s="62" t="str">
        <f ca="1">IF($N$109&lt;&gt;"", INDIRECT("'Tracker'!"&amp;ADDRESS(MATCH($N$109, Tracker[Anime Name], 0) + 2, 6)), "")</f>
        <v>BD</v>
      </c>
      <c r="T109" s="62" t="str">
        <f ca="1">IF($N$109&lt;&gt;"", INDIRECT("'Tracker'!"&amp;ADDRESS(MATCH($N$109, Tracker[Anime Name], 0) + 2, 7)), "")</f>
        <v>2011C</v>
      </c>
      <c r="U109" s="68" t="str">
        <f ca="1">IF($N$109&lt;&gt;"", INDIRECT("'Tracker'!"&amp;ADDRESS(MATCH($N$109, Tracker[Anime Name], 0) + 2, 8)), "")</f>
        <v>FFF</v>
      </c>
      <c r="V109" s="96">
        <f>IF('Completed'!$C$108&lt;&gt;"",'Completed'!$C$108,"")</f>
        <v>3.5</v>
      </c>
      <c r="W109" s="96">
        <f>IF('Completed'!$D$108&lt;&gt;"",'Completed'!$D$108,"")</f>
        <v>8</v>
      </c>
      <c r="X109" s="96">
        <f>IF('Completed'!$E$108&lt;&gt;"",'Completed'!$E$108,"")</f>
        <v>9</v>
      </c>
      <c r="Y109" s="96">
        <f>IF('Completed'!$F$108&lt;&gt;"",'Completed'!$F$108,"")</f>
        <v>7.5</v>
      </c>
      <c r="Z109" s="110">
        <f>IF('Completed'!$G$108&lt;&gt;"",'Completed'!$G$108,"")</f>
        <v>6.9723618090452257</v>
      </c>
      <c r="AA109" s="120">
        <f>IF('Completed'!$H$108&lt;&gt;"",'Completed'!$H$108,"")</f>
        <v>5.9811669749453493</v>
      </c>
      <c r="AB109" s="97">
        <f>IF('Completed'!$I$108&lt;&gt;"",'Completed'!$I$108,"")</f>
        <v>41289</v>
      </c>
      <c r="AC109" s="97">
        <f>IF('Completed'!$J$108&lt;&gt;"",'Completed'!$J$108,"")</f>
        <v>41289</v>
      </c>
      <c r="AD109" s="111" t="str">
        <f>IF('Completed'!$K$108&lt;&gt;"",'Completed'!$K$108,"")</f>
        <v>Aizawa Chizuru</v>
      </c>
      <c r="AE109" s="111" t="str">
        <f>IF('Completed'!$L$108&lt;&gt;"",'Completed'!$L$108,"")</f>
        <v/>
      </c>
    </row>
    <row r="110" spans="10:31">
      <c r="J110" s="61" t="str">
        <f>IF(Backlog!$A$109&lt;&gt;"",Backlog!$A$109,"")</f>
        <v/>
      </c>
      <c r="K110" s="68" t="str">
        <f>IF(Backlog!$B$109&lt;&gt;"",Backlog!$B$109,"")</f>
        <v/>
      </c>
      <c r="L110" s="69" t="str">
        <f>IF(Backlog!$C$109&lt;&gt;"",Backlog!$C$109,"")</f>
        <v/>
      </c>
      <c r="N110" s="61" t="str">
        <f>IF('Completed'!$A$109&lt;&gt;"",'Completed'!$A$109,"")</f>
        <v>Haiyore! Nyaruko-san W</v>
      </c>
      <c r="O110" s="68">
        <f>IF('Completed'!$B$109&lt;&gt;"",'Completed'!$B$109,"")</f>
        <v>2</v>
      </c>
      <c r="P110" s="68">
        <f ca="1">IF($N$110&lt;&gt;"", INDIRECT("'Tracker'!"&amp;ADDRESS(MATCH($N$110, Tracker[Anime Name], 0) + 2, 3)), "")</f>
        <v>12</v>
      </c>
      <c r="Q110" s="62" t="str">
        <f ca="1">IF($N$110&lt;&gt;"", INDIRECT("'Tracker'!"&amp;ADDRESS(MATCH($N$110, Tracker[Anime Name], 0) + 2, 4)), "")</f>
        <v>A</v>
      </c>
      <c r="R110" s="62" t="str">
        <f ca="1">IF($N$110&lt;&gt;"", INDIRECT("'Tracker'!"&amp;ADDRESS(MATCH($N$110, Tracker[Anime Name], 0) + 2, 5)), "")</f>
        <v>720p</v>
      </c>
      <c r="S110" s="62" t="str">
        <f ca="1">IF($N$110&lt;&gt;"", INDIRECT("'Tracker'!"&amp;ADDRESS(MATCH($N$110, Tracker[Anime Name], 0) + 2, 6)), "")</f>
        <v>BD</v>
      </c>
      <c r="T110" s="62" t="str">
        <f ca="1">IF($N$110&lt;&gt;"", INDIRECT("'Tracker'!"&amp;ADDRESS(MATCH($N$110, Tracker[Anime Name], 0) + 2, 7)), "")</f>
        <v>2013A</v>
      </c>
      <c r="U110" s="68" t="str">
        <f ca="1">IF($N$110&lt;&gt;"", INDIRECT("'Tracker'!"&amp;ADDRESS(MATCH($N$110, Tracker[Anime Name], 0) + 2, 8)), "")</f>
        <v>Final8</v>
      </c>
      <c r="V110" s="96">
        <f>IF('Completed'!$C$109&lt;&gt;"",'Completed'!$C$109,"")</f>
        <v>5.5</v>
      </c>
      <c r="W110" s="96">
        <f>IF('Completed'!$D$109&lt;&gt;"",'Completed'!$D$109,"")</f>
        <v>7</v>
      </c>
      <c r="X110" s="96">
        <f>IF('Completed'!$E$109&lt;&gt;"",'Completed'!$E$109,"")</f>
        <v>6.5</v>
      </c>
      <c r="Y110" s="96">
        <f>IF('Completed'!$F$109&lt;&gt;"",'Completed'!$F$109,"")</f>
        <v>7.5</v>
      </c>
      <c r="Z110" s="110">
        <f>IF('Completed'!$G$109&lt;&gt;"",'Completed'!$G$109,"")</f>
        <v>6.9510050251256281</v>
      </c>
      <c r="AA110" s="120">
        <f>IF('Completed'!$H$109&lt;&gt;"",'Completed'!$H$109,"")</f>
        <v>5.9525811333445429</v>
      </c>
      <c r="AB110" s="97">
        <f>IF('Completed'!$I$109&lt;&gt;"",'Completed'!$I$109,"")</f>
        <v>41371</v>
      </c>
      <c r="AC110" s="97">
        <f>IF('Completed'!$J$109&lt;&gt;"",'Completed'!$J$109,"")</f>
        <v>41455</v>
      </c>
      <c r="AD110" s="111" t="str">
        <f>IF('Completed'!$K$109&lt;&gt;"",'Completed'!$K$109,"")</f>
        <v>Kuuko</v>
      </c>
      <c r="AE110" s="111" t="str">
        <f>IF('Completed'!$L$109&lt;&gt;"",'Completed'!$L$109,"")</f>
        <v/>
      </c>
    </row>
    <row r="111" spans="10:31">
      <c r="J111" s="61" t="str">
        <f>IF(Backlog!$A$110&lt;&gt;"",Backlog!$A$110,"")</f>
        <v/>
      </c>
      <c r="K111" s="68" t="str">
        <f>IF(Backlog!$B$110&lt;&gt;"",Backlog!$B$110,"")</f>
        <v/>
      </c>
      <c r="L111" s="69" t="str">
        <f>IF(Backlog!$C$110&lt;&gt;"",Backlog!$C$110,"")</f>
        <v/>
      </c>
      <c r="N111" s="61" t="str">
        <f>IF('Completed'!$A$110&lt;&gt;"",'Completed'!$A$110,"")</f>
        <v>Nekomonogatari Black</v>
      </c>
      <c r="O111" s="68">
        <f>IF('Completed'!$B$110&lt;&gt;"",'Completed'!$B$110,"")</f>
        <v>1</v>
      </c>
      <c r="P111" s="68">
        <f ca="1">IF($N$111&lt;&gt;"", INDIRECT("'Tracker'!"&amp;ADDRESS(MATCH($N$111, Tracker[Anime Name], 0) + 2, 3)), "")</f>
        <v>4</v>
      </c>
      <c r="Q111" s="62" t="str">
        <f ca="1">IF($N$111&lt;&gt;"", INDIRECT("'Tracker'!"&amp;ADDRESS(MATCH($N$111, Tracker[Anime Name], 0) + 2, 4)), "")</f>
        <v>A</v>
      </c>
      <c r="R111" s="62" t="str">
        <f ca="1">IF($N$111&lt;&gt;"", INDIRECT("'Tracker'!"&amp;ADDRESS(MATCH($N$111, Tracker[Anime Name], 0) + 2, 5)), "")</f>
        <v>1080p</v>
      </c>
      <c r="S111" s="62" t="str">
        <f ca="1">IF($N$111&lt;&gt;"", INDIRECT("'Tracker'!"&amp;ADDRESS(MATCH($N$111, Tracker[Anime Name], 0) + 2, 6)), "")</f>
        <v>BD</v>
      </c>
      <c r="T111" s="62" t="str">
        <f ca="1">IF($N$111&lt;&gt;"", INDIRECT("'Tracker'!"&amp;ADDRESS(MATCH($N$111, Tracker[Anime Name], 0) + 2, 7)), "")</f>
        <v>2012D</v>
      </c>
      <c r="U111" s="68" t="str">
        <f ca="1">IF($N$111&lt;&gt;"", INDIRECT("'Tracker'!"&amp;ADDRESS(MATCH($N$111, Tracker[Anime Name], 0) + 2, 8)), "")</f>
        <v>Coalgirls, Mazui</v>
      </c>
      <c r="V111" s="96">
        <f>IF('Completed'!$C$110&lt;&gt;"",'Completed'!$C$110,"")</f>
        <v>7</v>
      </c>
      <c r="W111" s="96">
        <f>IF('Completed'!$D$110&lt;&gt;"",'Completed'!$D$110,"")</f>
        <v>6.5</v>
      </c>
      <c r="X111" s="96">
        <f>IF('Completed'!$E$110&lt;&gt;"",'Completed'!$E$110,"")</f>
        <v>2.5</v>
      </c>
      <c r="Y111" s="96">
        <f>IF('Completed'!$F$110&lt;&gt;"",'Completed'!$F$110,"")</f>
        <v>7.5</v>
      </c>
      <c r="Z111" s="110">
        <f>IF('Completed'!$G$110&lt;&gt;"",'Completed'!$G$110,"")</f>
        <v>6.9007537688442211</v>
      </c>
      <c r="AA111" s="120">
        <f>IF('Completed'!$H$110&lt;&gt;"",'Completed'!$H$110,"")</f>
        <v>5.8853203295779384</v>
      </c>
      <c r="AB111" s="97">
        <f>IF('Completed'!$I$110&lt;&gt;"",'Completed'!$I$110,"")</f>
        <v>41465</v>
      </c>
      <c r="AC111" s="97">
        <f>IF('Completed'!$J$110&lt;&gt;"",'Completed'!$J$110,"")</f>
        <v>41465</v>
      </c>
      <c r="AD111" s="111" t="str">
        <f>IF('Completed'!$K$110&lt;&gt;"",'Completed'!$K$110,"")</f>
        <v>Oshino Shinobu</v>
      </c>
      <c r="AE111" s="111" t="str">
        <f>IF('Completed'!$L$110&lt;&gt;"",'Completed'!$L$110,"")</f>
        <v>Pretty relaxing to watch, got better near the end</v>
      </c>
    </row>
    <row r="112" spans="10:31">
      <c r="J112" s="61" t="str">
        <f>IF(Backlog!$A$111&lt;&gt;"",Backlog!$A$111,"")</f>
        <v/>
      </c>
      <c r="K112" s="68" t="str">
        <f>IF(Backlog!$B$111&lt;&gt;"",Backlog!$B$111,"")</f>
        <v/>
      </c>
      <c r="L112" s="69" t="str">
        <f>IF(Backlog!$C$111&lt;&gt;"",Backlog!$C$111,"")</f>
        <v/>
      </c>
      <c r="N112" s="61" t="str">
        <f>IF('Completed'!$A$111&lt;&gt;"",'Completed'!$A$111,"")</f>
        <v>Photokano</v>
      </c>
      <c r="O112" s="68">
        <f>IF('Completed'!$B$111&lt;&gt;"",'Completed'!$B$111,"")</f>
        <v>1</v>
      </c>
      <c r="P112" s="68">
        <f ca="1">IF($N$112&lt;&gt;"", INDIRECT("'Tracker'!"&amp;ADDRESS(MATCH($N$112, Tracker[Anime Name], 0) + 2, 3)), "")</f>
        <v>13</v>
      </c>
      <c r="Q112" s="62" t="str">
        <f ca="1">IF($N$112&lt;&gt;"", INDIRECT("'Tracker'!"&amp;ADDRESS(MATCH($N$112, Tracker[Anime Name], 0) + 2, 4)), "")</f>
        <v>A</v>
      </c>
      <c r="R112" s="62" t="str">
        <f ca="1">IF($N$112&lt;&gt;"", INDIRECT("'Tracker'!"&amp;ADDRESS(MATCH($N$112, Tracker[Anime Name], 0) + 2, 5)), "")</f>
        <v>720p</v>
      </c>
      <c r="S112" s="62" t="str">
        <f ca="1">IF($N$112&lt;&gt;"", INDIRECT("'Tracker'!"&amp;ADDRESS(MATCH($N$112, Tracker[Anime Name], 0) + 2, 6)), "")</f>
        <v>TV</v>
      </c>
      <c r="T112" s="62" t="str">
        <f ca="1">IF($N$112&lt;&gt;"", INDIRECT("'Tracker'!"&amp;ADDRESS(MATCH($N$112, Tracker[Anime Name], 0) + 2, 7)), "")</f>
        <v>2013A</v>
      </c>
      <c r="U112" s="68" t="str">
        <f ca="1">IF($N$112&lt;&gt;"", INDIRECT("'Tracker'!"&amp;ADDRESS(MATCH($N$112, Tracker[Anime Name], 0) + 2, 8)), "")</f>
        <v>HorribleSubs</v>
      </c>
      <c r="V112" s="96">
        <f>IF('Completed'!$C$111&lt;&gt;"",'Completed'!$C$111,"")</f>
        <v>6.5</v>
      </c>
      <c r="W112" s="96">
        <f>IF('Completed'!$D$111&lt;&gt;"",'Completed'!$D$111,"")</f>
        <v>7</v>
      </c>
      <c r="X112" s="96">
        <f>IF('Completed'!$E$111&lt;&gt;"",'Completed'!$E$111,"")</f>
        <v>6.5</v>
      </c>
      <c r="Y112" s="96">
        <f>IF('Completed'!$F$111&lt;&gt;"",'Completed'!$F$111,"")</f>
        <v>7</v>
      </c>
      <c r="Z112" s="110">
        <f>IF('Completed'!$G$111&lt;&gt;"",'Completed'!$G$111,"")</f>
        <v>6.8844221105527632</v>
      </c>
      <c r="AA112" s="120">
        <f>IF('Completed'!$H$111&lt;&gt;"",'Completed'!$H$111,"")</f>
        <v>5.8634605683537906</v>
      </c>
      <c r="AB112" s="97">
        <f>IF('Completed'!$I$111&lt;&gt;"",'Completed'!$I$111,"")</f>
        <v>41371</v>
      </c>
      <c r="AC112" s="97">
        <f>IF('Completed'!$J$111&lt;&gt;"",'Completed'!$J$111,"")</f>
        <v>41453</v>
      </c>
      <c r="AD112" s="111" t="str">
        <f>IF('Completed'!$K$111&lt;&gt;"",'Completed'!$K$111,"")</f>
        <v>Sakura Mai</v>
      </c>
      <c r="AE112" s="111" t="str">
        <f>IF('Completed'!$L$111&lt;&gt;"",'Completed'!$L$111,"")</f>
        <v/>
      </c>
    </row>
    <row r="113" spans="10:31">
      <c r="J113" s="61" t="str">
        <f>IF(Backlog!$A$112&lt;&gt;"",Backlog!$A$112,"")</f>
        <v/>
      </c>
      <c r="K113" s="68" t="str">
        <f>IF(Backlog!$B$112&lt;&gt;"",Backlog!$B$112,"")</f>
        <v/>
      </c>
      <c r="L113" s="69" t="str">
        <f>IF(Backlog!$C$112&lt;&gt;"",Backlog!$C$112,"")</f>
        <v/>
      </c>
      <c r="N113" s="61" t="str">
        <f>IF('Completed'!$A$112&lt;&gt;"",'Completed'!$A$112,"")</f>
        <v>Sasami-san @ Ganbaranai</v>
      </c>
      <c r="O113" s="68">
        <f>IF('Completed'!$B$112&lt;&gt;"",'Completed'!$B$112,"")</f>
        <v>1</v>
      </c>
      <c r="P113" s="68">
        <f ca="1">IF($N$113&lt;&gt;"", INDIRECT("'Tracker'!"&amp;ADDRESS(MATCH($N$113, Tracker[Anime Name], 0) + 2, 3)), "")</f>
        <v>12</v>
      </c>
      <c r="Q113" s="62" t="str">
        <f ca="1">IF($N$113&lt;&gt;"", INDIRECT("'Tracker'!"&amp;ADDRESS(MATCH($N$113, Tracker[Anime Name], 0) + 2, 4)), "")</f>
        <v>A</v>
      </c>
      <c r="R113" s="62" t="str">
        <f ca="1">IF($N$113&lt;&gt;"", INDIRECT("'Tracker'!"&amp;ADDRESS(MATCH($N$113, Tracker[Anime Name], 0) + 2, 5)), "")</f>
        <v>720p</v>
      </c>
      <c r="S113" s="62" t="str">
        <f ca="1">IF($N$113&lt;&gt;"", INDIRECT("'Tracker'!"&amp;ADDRESS(MATCH($N$113, Tracker[Anime Name], 0) + 2, 6)), "")</f>
        <v>TV</v>
      </c>
      <c r="T113" s="62" t="str">
        <f ca="1">IF($N$113&lt;&gt;"", INDIRECT("'Tracker'!"&amp;ADDRESS(MATCH($N$113, Tracker[Anime Name], 0) + 2, 7)), "")</f>
        <v>2012D</v>
      </c>
      <c r="U113" s="68" t="str">
        <f ca="1">IF($N$113&lt;&gt;"", INDIRECT("'Tracker'!"&amp;ADDRESS(MATCH($N$113, Tracker[Anime Name], 0) + 2, 8)), "")</f>
        <v>FFF</v>
      </c>
      <c r="V113" s="96">
        <f>IF('Completed'!$C$112&lt;&gt;"",'Completed'!$C$112,"")</f>
        <v>7</v>
      </c>
      <c r="W113" s="96">
        <f>IF('Completed'!$D$112&lt;&gt;"",'Completed'!$D$112,"")</f>
        <v>7</v>
      </c>
      <c r="X113" s="96">
        <f>IF('Completed'!$E$112&lt;&gt;"",'Completed'!$E$112,"")</f>
        <v>4.5</v>
      </c>
      <c r="Y113" s="96">
        <f>IF('Completed'!$F$112&lt;&gt;"",'Completed'!$F$112,"")</f>
        <v>7</v>
      </c>
      <c r="Z113" s="110">
        <f>IF('Completed'!$G$112&lt;&gt;"",'Completed'!$G$112,"")</f>
        <v>6.8806532663316577</v>
      </c>
      <c r="AA113" s="120">
        <f>IF('Completed'!$H$112&lt;&gt;"",'Completed'!$H$112,"")</f>
        <v>5.8584160080712957</v>
      </c>
      <c r="AB113" s="97">
        <f>IF('Completed'!$I$112&lt;&gt;"",'Completed'!$I$112,"")</f>
        <v>41292</v>
      </c>
      <c r="AC113" s="97">
        <f>IF('Completed'!$J$112&lt;&gt;"",'Completed'!$J$112,"")</f>
        <v>41369</v>
      </c>
      <c r="AD113" s="111" t="str">
        <f>IF('Completed'!$K$112&lt;&gt;"",'Completed'!$K$112,"")</f>
        <v>Yagami Kagami</v>
      </c>
      <c r="AE113" s="111" t="str">
        <f>IF('Completed'!$L$112&lt;&gt;"",'Completed'!$L$112,"")</f>
        <v/>
      </c>
    </row>
    <row r="114" spans="10:31">
      <c r="J114" s="61" t="str">
        <f>IF(Backlog!$A$113&lt;&gt;"",Backlog!$A$113,"")</f>
        <v/>
      </c>
      <c r="K114" s="68" t="str">
        <f>IF(Backlog!$B$113&lt;&gt;"",Backlog!$B$113,"")</f>
        <v/>
      </c>
      <c r="L114" s="69" t="str">
        <f>IF(Backlog!$C$113&lt;&gt;"",Backlog!$C$113,"")</f>
        <v/>
      </c>
      <c r="N114" s="61" t="str">
        <f>IF('Completed'!$A$113&lt;&gt;"",'Completed'!$A$113,"")</f>
        <v>Red Data Girl</v>
      </c>
      <c r="O114" s="68">
        <f>IF('Completed'!$B$113&lt;&gt;"",'Completed'!$B$113,"")</f>
        <v>1</v>
      </c>
      <c r="P114" s="68">
        <f ca="1">IF($N$114&lt;&gt;"", INDIRECT("'Tracker'!"&amp;ADDRESS(MATCH($N$114, Tracker[Anime Name], 0) + 2, 3)), "")</f>
        <v>12</v>
      </c>
      <c r="Q114" s="62" t="str">
        <f ca="1">IF($N$114&lt;&gt;"", INDIRECT("'Tracker'!"&amp;ADDRESS(MATCH($N$114, Tracker[Anime Name], 0) + 2, 4)), "")</f>
        <v>A</v>
      </c>
      <c r="R114" s="62" t="str">
        <f ca="1">IF($N$114&lt;&gt;"", INDIRECT("'Tracker'!"&amp;ADDRESS(MATCH($N$114, Tracker[Anime Name], 0) + 2, 5)), "")</f>
        <v>720p</v>
      </c>
      <c r="S114" s="62" t="str">
        <f ca="1">IF($N$114&lt;&gt;"", INDIRECT("'Tracker'!"&amp;ADDRESS(MATCH($N$114, Tracker[Anime Name], 0) + 2, 6)), "")</f>
        <v>TV</v>
      </c>
      <c r="T114" s="62" t="str">
        <f ca="1">IF($N$114&lt;&gt;"", INDIRECT("'Tracker'!"&amp;ADDRESS(MATCH($N$114, Tracker[Anime Name], 0) + 2, 7)), "")</f>
        <v>2013A</v>
      </c>
      <c r="U114" s="68" t="str">
        <f ca="1">IF($N$114&lt;&gt;"", INDIRECT("'Tracker'!"&amp;ADDRESS(MATCH($N$114, Tracker[Anime Name], 0) + 2, 8)), "")</f>
        <v>HorribleSubs</v>
      </c>
      <c r="V114" s="96">
        <f>IF('Completed'!$C$113&lt;&gt;"",'Completed'!$C$113,"")</f>
        <v>7</v>
      </c>
      <c r="W114" s="96">
        <f>IF('Completed'!$D$113&lt;&gt;"",'Completed'!$D$113,"")</f>
        <v>6</v>
      </c>
      <c r="X114" s="96">
        <f>IF('Completed'!$E$113&lt;&gt;"",'Completed'!$E$113,"")</f>
        <v>4.5</v>
      </c>
      <c r="Y114" s="96">
        <f>IF('Completed'!$F$113&lt;&gt;"",'Completed'!$F$113,"")</f>
        <v>7.5</v>
      </c>
      <c r="Z114" s="110">
        <f>IF('Completed'!$G$113&lt;&gt;"",'Completed'!$G$113,"")</f>
        <v>6.8618090452261313</v>
      </c>
      <c r="AA114" s="120">
        <f>IF('Completed'!$H$113&lt;&gt;"",'Completed'!$H$113,"")</f>
        <v>5.8331932066588204</v>
      </c>
      <c r="AB114" s="97">
        <f>IF('Completed'!$I$113&lt;&gt;"",'Completed'!$I$113,"")</f>
        <v>41379</v>
      </c>
      <c r="AC114" s="97">
        <f>IF('Completed'!$J$113&lt;&gt;"",'Completed'!$J$113,"")</f>
        <v>41464</v>
      </c>
      <c r="AD114" s="111" t="str">
        <f>IF('Completed'!$K$113&lt;&gt;"",'Completed'!$K$113,"")</f>
        <v>Himegami</v>
      </c>
      <c r="AE114" s="111" t="str">
        <f>IF('Completed'!$L$113&lt;&gt;"",'Completed'!$L$113,"")</f>
        <v>They tried a bit too hard. 3strange5me</v>
      </c>
    </row>
    <row r="115" spans="10:31">
      <c r="J115" s="61" t="str">
        <f>IF(Backlog!$A$114&lt;&gt;"",Backlog!$A$114,"")</f>
        <v/>
      </c>
      <c r="K115" s="68" t="str">
        <f>IF(Backlog!$B$114&lt;&gt;"",Backlog!$B$114,"")</f>
        <v/>
      </c>
      <c r="L115" s="69" t="str">
        <f>IF(Backlog!$C$114&lt;&gt;"",Backlog!$C$114,"")</f>
        <v/>
      </c>
      <c r="N115" s="61" t="str">
        <f>IF('Completed'!$A$114&lt;&gt;"",'Completed'!$A$114,"")</f>
        <v>Yuru Yuri ♪♪</v>
      </c>
      <c r="O115" s="68">
        <f>IF('Completed'!$B$114&lt;&gt;"",'Completed'!$B$114,"")</f>
        <v>2</v>
      </c>
      <c r="P115" s="68">
        <f ca="1">IF($N$115&lt;&gt;"", INDIRECT("'Tracker'!"&amp;ADDRESS(MATCH($N$115, Tracker[Anime Name], 0) + 2, 3)), "")</f>
        <v>12</v>
      </c>
      <c r="Q115" s="62" t="str">
        <f ca="1">IF($N$115&lt;&gt;"", INDIRECT("'Tracker'!"&amp;ADDRESS(MATCH($N$115, Tracker[Anime Name], 0) + 2, 4)), "")</f>
        <v>A</v>
      </c>
      <c r="R115" s="62" t="str">
        <f ca="1">IF($N$115&lt;&gt;"", INDIRECT("'Tracker'!"&amp;ADDRESS(MATCH($N$115, Tracker[Anime Name], 0) + 2, 5)), "")</f>
        <v>1080p</v>
      </c>
      <c r="S115" s="62" t="str">
        <f ca="1">IF($N$115&lt;&gt;"", INDIRECT("'Tracker'!"&amp;ADDRESS(MATCH($N$115, Tracker[Anime Name], 0) + 2, 6)), "")</f>
        <v>BD</v>
      </c>
      <c r="T115" s="62" t="str">
        <f ca="1">IF($N$115&lt;&gt;"", INDIRECT("'Tracker'!"&amp;ADDRESS(MATCH($N$115, Tracker[Anime Name], 0) + 2, 7)), "")</f>
        <v>2012B</v>
      </c>
      <c r="U115" s="68" t="str">
        <f ca="1">IF($N$115&lt;&gt;"", INDIRECT("'Tracker'!"&amp;ADDRESS(MATCH($N$115, Tracker[Anime Name], 0) + 2, 8)), "")</f>
        <v>Doki</v>
      </c>
      <c r="V115" s="96">
        <f>IF('Completed'!$C$114&lt;&gt;"",'Completed'!$C$114,"")</f>
        <v>2</v>
      </c>
      <c r="W115" s="96">
        <f>IF('Completed'!$D$114&lt;&gt;"",'Completed'!$D$114,"")</f>
        <v>7.5</v>
      </c>
      <c r="X115" s="96">
        <f>IF('Completed'!$E$114&lt;&gt;"",'Completed'!$E$114,"")</f>
        <v>10</v>
      </c>
      <c r="Y115" s="96">
        <f>IF('Completed'!$F$114&lt;&gt;"",'Completed'!$F$114,"")</f>
        <v>8</v>
      </c>
      <c r="Z115" s="110">
        <f>IF('Completed'!$G$114&lt;&gt;"",'Completed'!$G$114,"")</f>
        <v>6.8605527638190953</v>
      </c>
      <c r="AA115" s="120">
        <f>IF('Completed'!$H$114&lt;&gt;"",'Completed'!$H$114,"")</f>
        <v>5.8315116865646539</v>
      </c>
      <c r="AB115" s="97">
        <f>IF('Completed'!$I$114&lt;&gt;"",'Completed'!$I$114,"")</f>
        <v>41229</v>
      </c>
      <c r="AC115" s="97">
        <f>IF('Completed'!$J$114&lt;&gt;"",'Completed'!$J$114,"")</f>
        <v>41230</v>
      </c>
      <c r="AD115" s="111" t="str">
        <f>IF('Completed'!$K$114&lt;&gt;"",'Completed'!$K$114,"")</f>
        <v>Funami Yui</v>
      </c>
      <c r="AE115" s="111" t="str">
        <f>IF('Completed'!$L$114&lt;&gt;"",'Completed'!$L$114,"")</f>
        <v/>
      </c>
    </row>
    <row r="116" spans="10:31">
      <c r="J116" s="61" t="str">
        <f>IF(Backlog!$A$115&lt;&gt;"",Backlog!$A$115,"")</f>
        <v/>
      </c>
      <c r="K116" s="68" t="str">
        <f>IF(Backlog!$B$115&lt;&gt;"",Backlog!$B$115,"")</f>
        <v/>
      </c>
      <c r="L116" s="69" t="str">
        <f>IF(Backlog!$C$115&lt;&gt;"",Backlog!$C$115,"")</f>
        <v/>
      </c>
      <c r="N116" s="61" t="str">
        <f>IF('Completed'!$A$115&lt;&gt;"",'Completed'!$A$115,"")</f>
        <v>Super Sonico the Animation</v>
      </c>
      <c r="O116" s="68">
        <f>IF('Completed'!$B$115&lt;&gt;"",'Completed'!$B$115,"")</f>
        <v>1</v>
      </c>
      <c r="P116" s="68">
        <f ca="1">IF($N$116&lt;&gt;"", INDIRECT("'Tracker'!"&amp;ADDRESS(MATCH($N$116, Tracker[Anime Name], 0) + 2, 3)), "")</f>
        <v>12</v>
      </c>
      <c r="Q116" s="62" t="str">
        <f ca="1">IF($N$116&lt;&gt;"", INDIRECT("'Tracker'!"&amp;ADDRESS(MATCH($N$116, Tracker[Anime Name], 0) + 2, 4)), "")</f>
        <v>A</v>
      </c>
      <c r="R116" s="62" t="str">
        <f ca="1">IF($N$116&lt;&gt;"", INDIRECT("'Tracker'!"&amp;ADDRESS(MATCH($N$116, Tracker[Anime Name], 0) + 2, 5)), "")</f>
        <v>720p</v>
      </c>
      <c r="S116" s="62" t="str">
        <f ca="1">IF($N$116&lt;&gt;"", INDIRECT("'Tracker'!"&amp;ADDRESS(MATCH($N$116, Tracker[Anime Name], 0) + 2, 6)), "")</f>
        <v>Web</v>
      </c>
      <c r="T116" s="62" t="str">
        <f ca="1">IF($N$116&lt;&gt;"", INDIRECT("'Tracker'!"&amp;ADDRESS(MATCH($N$116, Tracker[Anime Name], 0) + 2, 7)), "")</f>
        <v>2013D</v>
      </c>
      <c r="U116" s="68" t="str">
        <f ca="1">IF($N$116&lt;&gt;"", INDIRECT("'Tracker'!"&amp;ADDRESS(MATCH($N$116, Tracker[Anime Name], 0) + 2, 8)), "")</f>
        <v>HorribleSubs</v>
      </c>
      <c r="V116" s="96">
        <f>IF('Completed'!$C$115&lt;&gt;"",'Completed'!$C$115,"")</f>
        <v>5.5</v>
      </c>
      <c r="W116" s="96">
        <f>IF('Completed'!$D$115&lt;&gt;"",'Completed'!$D$115,"")</f>
        <v>7</v>
      </c>
      <c r="X116" s="96">
        <f>IF('Completed'!$E$115&lt;&gt;"",'Completed'!$E$115,"")</f>
        <v>4.5</v>
      </c>
      <c r="Y116" s="96">
        <f>IF('Completed'!$F$115&lt;&gt;"",'Completed'!$F$115,"")</f>
        <v>7.5</v>
      </c>
      <c r="Z116" s="110">
        <f>IF('Completed'!$G$115&lt;&gt;"",'Completed'!$G$115,"")</f>
        <v>6.8555276381909547</v>
      </c>
      <c r="AA116" s="120">
        <f>IF('Completed'!$H$115&lt;&gt;"",'Completed'!$H$115,"")</f>
        <v>5.8247856061879935</v>
      </c>
      <c r="AB116" s="97">
        <f>IF('Completed'!$I$115&lt;&gt;"",'Completed'!$I$115,"")</f>
        <v>41647</v>
      </c>
      <c r="AC116" s="97">
        <f>IF('Completed'!$J$115&lt;&gt;"",'Completed'!$J$115,"")</f>
        <v>41733</v>
      </c>
      <c r="AD116" s="111" t="str">
        <f>IF('Completed'!$K$115&lt;&gt;"",'Completed'!$K$115,"")</f>
        <v>Leila</v>
      </c>
      <c r="AE116" s="111" t="str">
        <f>IF('Completed'!$L$115&lt;&gt;"",'Completed'!$L$115,"")</f>
        <v/>
      </c>
    </row>
    <row r="117" spans="10:31">
      <c r="J117" s="61" t="str">
        <f>IF(Backlog!$A$116&lt;&gt;"",Backlog!$A$116,"")</f>
        <v/>
      </c>
      <c r="K117" s="68" t="str">
        <f>IF(Backlog!$B$116&lt;&gt;"",Backlog!$B$116,"")</f>
        <v/>
      </c>
      <c r="L117" s="69" t="str">
        <f>IF(Backlog!$C$116&lt;&gt;"",Backlog!$C$116,"")</f>
        <v/>
      </c>
      <c r="N117" s="61" t="str">
        <f>IF('Completed'!$A$116&lt;&gt;"",'Completed'!$A$116,"")</f>
        <v>Yuru Yuri</v>
      </c>
      <c r="O117" s="68">
        <f>IF('Completed'!$B$116&lt;&gt;"",'Completed'!$B$116,"")</f>
        <v>1</v>
      </c>
      <c r="P117" s="68">
        <f ca="1">IF($N$117&lt;&gt;"", INDIRECT("'Tracker'!"&amp;ADDRESS(MATCH($N$117, Tracker[Anime Name], 0) + 2, 3)), "")</f>
        <v>12</v>
      </c>
      <c r="Q117" s="62" t="str">
        <f ca="1">IF($N$117&lt;&gt;"", INDIRECT("'Tracker'!"&amp;ADDRESS(MATCH($N$117, Tracker[Anime Name], 0) + 2, 4)), "")</f>
        <v>A</v>
      </c>
      <c r="R117" s="62" t="str">
        <f ca="1">IF($N$117&lt;&gt;"", INDIRECT("'Tracker'!"&amp;ADDRESS(MATCH($N$117, Tracker[Anime Name], 0) + 2, 5)), "")</f>
        <v>1080p</v>
      </c>
      <c r="S117" s="62" t="str">
        <f ca="1">IF($N$117&lt;&gt;"", INDIRECT("'Tracker'!"&amp;ADDRESS(MATCH($N$117, Tracker[Anime Name], 0) + 2, 6)), "")</f>
        <v>BD</v>
      </c>
      <c r="T117" s="62" t="str">
        <f ca="1">IF($N$117&lt;&gt;"", INDIRECT("'Tracker'!"&amp;ADDRESS(MATCH($N$117, Tracker[Anime Name], 0) + 2, 7)), "")</f>
        <v>2011B</v>
      </c>
      <c r="U117" s="68" t="str">
        <f ca="1">IF($N$117&lt;&gt;"", INDIRECT("'Tracker'!"&amp;ADDRESS(MATCH($N$117, Tracker[Anime Name], 0) + 2, 8)), "")</f>
        <v>Doki</v>
      </c>
      <c r="V117" s="96">
        <f>IF('Completed'!$C$116&lt;&gt;"",'Completed'!$C$116,"")</f>
        <v>2</v>
      </c>
      <c r="W117" s="96">
        <f>IF('Completed'!$D$116&lt;&gt;"",'Completed'!$D$116,"")</f>
        <v>7.5</v>
      </c>
      <c r="X117" s="96">
        <f>IF('Completed'!$E$116&lt;&gt;"",'Completed'!$E$116,"")</f>
        <v>9.5</v>
      </c>
      <c r="Y117" s="96">
        <f>IF('Completed'!$F$116&lt;&gt;"",'Completed'!$F$116,"")</f>
        <v>8</v>
      </c>
      <c r="Z117" s="110">
        <f>IF('Completed'!$G$116&lt;&gt;"",'Completed'!$G$116,"")</f>
        <v>6.8366834170854274</v>
      </c>
      <c r="AA117" s="120">
        <f>IF('Completed'!$H$116&lt;&gt;"",'Completed'!$H$116,"")</f>
        <v>5.7995628047755172</v>
      </c>
      <c r="AB117" s="97">
        <f>IF('Completed'!$I$116&lt;&gt;"",'Completed'!$I$116,"")</f>
        <v>41228</v>
      </c>
      <c r="AC117" s="97">
        <f>IF('Completed'!$J$116&lt;&gt;"",'Completed'!$J$116,"")</f>
        <v>41229</v>
      </c>
      <c r="AD117" s="111" t="str">
        <f>IF('Completed'!$K$116&lt;&gt;"",'Completed'!$K$116,"")</f>
        <v>Funami Yui</v>
      </c>
      <c r="AE117" s="111" t="str">
        <f>IF('Completed'!$L$116&lt;&gt;"",'Completed'!$L$116,"")</f>
        <v/>
      </c>
    </row>
    <row r="118" spans="10:31">
      <c r="J118" s="61" t="str">
        <f>IF(Backlog!$A$117&lt;&gt;"",Backlog!$A$117,"")</f>
        <v/>
      </c>
      <c r="K118" s="68" t="str">
        <f>IF(Backlog!$B$117&lt;&gt;"",Backlog!$B$117,"")</f>
        <v/>
      </c>
      <c r="L118" s="69" t="str">
        <f>IF(Backlog!$C$117&lt;&gt;"",Backlog!$C$117,"")</f>
        <v/>
      </c>
      <c r="N118" s="61" t="str">
        <f>IF('Completed'!$A$117&lt;&gt;"",'Completed'!$A$117,"")</f>
        <v>Miss Monochrome</v>
      </c>
      <c r="O118" s="68">
        <f>IF('Completed'!$B$117&lt;&gt;"",'Completed'!$B$117,"")</f>
        <v>1</v>
      </c>
      <c r="P118" s="68">
        <f ca="1">IF($N$118&lt;&gt;"", INDIRECT("'Tracker'!"&amp;ADDRESS(MATCH($N$118, Tracker[Anime Name], 0) + 2, 3)), "")</f>
        <v>13</v>
      </c>
      <c r="Q118" s="62" t="str">
        <f ca="1">IF($N$118&lt;&gt;"", INDIRECT("'Tracker'!"&amp;ADDRESS(MATCH($N$118, Tracker[Anime Name], 0) + 2, 4)), "")</f>
        <v>B</v>
      </c>
      <c r="R118" s="62" t="str">
        <f ca="1">IF($N$118&lt;&gt;"", INDIRECT("'Tracker'!"&amp;ADDRESS(MATCH($N$118, Tracker[Anime Name], 0) + 2, 5)), "")</f>
        <v>720p</v>
      </c>
      <c r="S118" s="62" t="str">
        <f ca="1">IF($N$118&lt;&gt;"", INDIRECT("'Tracker'!"&amp;ADDRESS(MATCH($N$118, Tracker[Anime Name], 0) + 2, 6)), "")</f>
        <v>Web</v>
      </c>
      <c r="T118" s="62" t="str">
        <f ca="1">IF($N$118&lt;&gt;"", INDIRECT("'Tracker'!"&amp;ADDRESS(MATCH($N$118, Tracker[Anime Name], 0) + 2, 7)), "")</f>
        <v>2013C</v>
      </c>
      <c r="U118" s="68" t="str">
        <f ca="1">IF($N$118&lt;&gt;"", INDIRECT("'Tracker'!"&amp;ADDRESS(MATCH($N$118, Tracker[Anime Name], 0) + 2, 8)), "")</f>
        <v>HorribleSubs</v>
      </c>
      <c r="V118" s="96">
        <f>IF('Completed'!$C$117&lt;&gt;"",'Completed'!$C$117,"")</f>
        <v>5</v>
      </c>
      <c r="W118" s="96">
        <f>IF('Completed'!$D$117&lt;&gt;"",'Completed'!$D$117,"")</f>
        <v>7.5</v>
      </c>
      <c r="X118" s="96">
        <f>IF('Completed'!$E$117&lt;&gt;"",'Completed'!$E$117,"")</f>
        <v>7.5</v>
      </c>
      <c r="Y118" s="96">
        <f>IF('Completed'!$F$117&lt;&gt;"",'Completed'!$F$117,"")</f>
        <v>6.5</v>
      </c>
      <c r="Z118" s="110">
        <f>IF('Completed'!$G$117&lt;&gt;"",'Completed'!$G$117,"")</f>
        <v>6.5414572864321618</v>
      </c>
      <c r="AA118" s="120">
        <f>IF('Completed'!$H$117&lt;&gt;"",'Completed'!$H$117,"")</f>
        <v>5.4044055826467137</v>
      </c>
      <c r="AB118" s="97">
        <f>IF('Completed'!$I$117&lt;&gt;"",'Completed'!$I$117,"")</f>
        <v>41550</v>
      </c>
      <c r="AC118" s="97">
        <f>IF('Completed'!$J$117&lt;&gt;"",'Completed'!$J$117,"")</f>
        <v>41634</v>
      </c>
      <c r="AD118" s="111" t="str">
        <f>IF('Completed'!$K$117&lt;&gt;"",'Completed'!$K$117,"")</f>
        <v>Miss Monochrome</v>
      </c>
      <c r="AE118" s="111" t="str">
        <f>IF('Completed'!$L$117&lt;&gt;"",'Completed'!$L$117,"")</f>
        <v>Too short to give accurate ratings, but entertaining nonetheless</v>
      </c>
    </row>
    <row r="119" spans="10:31">
      <c r="J119" s="61" t="str">
        <f>IF(Backlog!$A$118&lt;&gt;"",Backlog!$A$118,"")</f>
        <v/>
      </c>
      <c r="K119" s="68" t="str">
        <f>IF(Backlog!$B$118&lt;&gt;"",Backlog!$B$118,"")</f>
        <v/>
      </c>
      <c r="L119" s="69" t="str">
        <f>IF(Backlog!$C$118&lt;&gt;"",Backlog!$C$118,"")</f>
        <v/>
      </c>
      <c r="N119" s="61" t="str">
        <f>IF('Completed'!$A$118&lt;&gt;"",'Completed'!$A$118,"")</f>
        <v>Kanojo no Flag wo Oraretara</v>
      </c>
      <c r="O119" s="68">
        <f>IF('Completed'!$B$118&lt;&gt;"",'Completed'!$B$118,"")</f>
        <v>1</v>
      </c>
      <c r="P119" s="68">
        <f ca="1">IF($N$119&lt;&gt;"", INDIRECT("'Tracker'!"&amp;ADDRESS(MATCH($N$119, Tracker[Anime Name], 0) + 2, 3)), "")</f>
        <v>13</v>
      </c>
      <c r="Q119" s="62" t="str">
        <f ca="1">IF($N$119&lt;&gt;"", INDIRECT("'Tracker'!"&amp;ADDRESS(MATCH($N$119, Tracker[Anime Name], 0) + 2, 4)), "")</f>
        <v>B</v>
      </c>
      <c r="R119" s="62" t="str">
        <f ca="1">IF($N$119&lt;&gt;"", INDIRECT("'Tracker'!"&amp;ADDRESS(MATCH($N$119, Tracker[Anime Name], 0) + 2, 5)), "")</f>
        <v>720p</v>
      </c>
      <c r="S119" s="62" t="str">
        <f ca="1">IF($N$119&lt;&gt;"", INDIRECT("'Tracker'!"&amp;ADDRESS(MATCH($N$119, Tracker[Anime Name], 0) + 2, 6)), "")</f>
        <v>TV</v>
      </c>
      <c r="T119" s="62" t="str">
        <f ca="1">IF($N$119&lt;&gt;"", INDIRECT("'Tracker'!"&amp;ADDRESS(MATCH($N$119, Tracker[Anime Name], 0) + 2, 7)), "")</f>
        <v>2014A</v>
      </c>
      <c r="U119" s="68" t="str">
        <f ca="1">IF($N$119&lt;&gt;"", INDIRECT("'Tracker'!"&amp;ADDRESS(MATCH($N$119, Tracker[Anime Name], 0) + 2, 8)), "")</f>
        <v>Underwater</v>
      </c>
      <c r="V119" s="96">
        <f>IF('Completed'!$C$118&lt;&gt;"",'Completed'!$C$118,"")</f>
        <v>6</v>
      </c>
      <c r="W119" s="96">
        <f>IF('Completed'!$D$118&lt;&gt;"",'Completed'!$D$118,"")</f>
        <v>7.5</v>
      </c>
      <c r="X119" s="96">
        <f>IF('Completed'!$E$118&lt;&gt;"",'Completed'!$E$118,"")</f>
        <v>6</v>
      </c>
      <c r="Y119" s="96">
        <f>IF('Completed'!$F$118&lt;&gt;"",'Completed'!$F$118,"")</f>
        <v>6</v>
      </c>
      <c r="Z119" s="110">
        <f>IF('Completed'!$G$118&lt;&gt;"",'Completed'!$G$118,"")</f>
        <v>6.4032663316582914</v>
      </c>
      <c r="AA119" s="120">
        <f>IF('Completed'!$H$118&lt;&gt;"",'Completed'!$H$118,"")</f>
        <v>5.2194383722885487</v>
      </c>
      <c r="AB119" s="97" t="e">
        <f>IF('Completed'!#REF!&lt;&gt;"",'Completed'!#REF!,"")</f>
        <v>#REF!</v>
      </c>
      <c r="AC119" s="97">
        <f>IF('Completed'!$I$118&lt;&gt;"",'Completed'!$I$118,"")</f>
        <v>41796</v>
      </c>
      <c r="AD119" s="111" t="str">
        <f>IF('Completed'!$K$118&lt;&gt;"",'Completed'!$K$118,"")</f>
        <v>Nanami Bladefield</v>
      </c>
      <c r="AE119" s="111" t="str">
        <f>IF('Completed'!$L$118&lt;&gt;"",'Completed'!$L$118,"")</f>
        <v>It would've been nicer if it kept the tone of the first few episodes</v>
      </c>
    </row>
    <row r="120" spans="10:31">
      <c r="J120" s="61" t="str">
        <f>IF(Backlog!$A$119&lt;&gt;"",Backlog!$A$119,"")</f>
        <v/>
      </c>
      <c r="K120" s="68" t="str">
        <f>IF(Backlog!$B$119&lt;&gt;"",Backlog!$B$119,"")</f>
        <v/>
      </c>
      <c r="L120" s="69" t="str">
        <f>IF(Backlog!$C$119&lt;&gt;"",Backlog!$C$119,"")</f>
        <v/>
      </c>
      <c r="N120" s="61" t="str">
        <f>IF('Completed'!$A$119&lt;&gt;"",'Completed'!$A$119,"")</f>
        <v>Namiuchigiwa no Muromi-san</v>
      </c>
      <c r="O120" s="68">
        <f>IF('Completed'!$B$119&lt;&gt;"",'Completed'!$B$119,"")</f>
        <v>1</v>
      </c>
      <c r="P120" s="68">
        <f ca="1">IF($N$120&lt;&gt;"", INDIRECT("'Tracker'!"&amp;ADDRESS(MATCH($N$120, Tracker[Anime Name], 0) + 2, 3)), "")</f>
        <v>13</v>
      </c>
      <c r="Q120" s="62" t="str">
        <f ca="1">IF($N$120&lt;&gt;"", INDIRECT("'Tracker'!"&amp;ADDRESS(MATCH($N$120, Tracker[Anime Name], 0) + 2, 4)), "")</f>
        <v>A</v>
      </c>
      <c r="R120" s="62" t="str">
        <f ca="1">IF($N$120&lt;&gt;"", INDIRECT("'Tracker'!"&amp;ADDRESS(MATCH($N$120, Tracker[Anime Name], 0) + 2, 5)), "")</f>
        <v>720p</v>
      </c>
      <c r="S120" s="62" t="str">
        <f ca="1">IF($N$120&lt;&gt;"", INDIRECT("'Tracker'!"&amp;ADDRESS(MATCH($N$120, Tracker[Anime Name], 0) + 2, 6)), "")</f>
        <v>Web</v>
      </c>
      <c r="T120" s="62" t="str">
        <f ca="1">IF($N$120&lt;&gt;"", INDIRECT("'Tracker'!"&amp;ADDRESS(MATCH($N$120, Tracker[Anime Name], 0) + 2, 7)), "")</f>
        <v>2013A</v>
      </c>
      <c r="U120" s="68" t="str">
        <f ca="1">IF($N$120&lt;&gt;"", INDIRECT("'Tracker'!"&amp;ADDRESS(MATCH($N$120, Tracker[Anime Name], 0) + 2, 8)), "")</f>
        <v>HorribleSubs</v>
      </c>
      <c r="V120" s="96">
        <f>IF('Completed'!$C$119&lt;&gt;"",'Completed'!$C$119,"")</f>
        <v>3</v>
      </c>
      <c r="W120" s="96">
        <f>IF('Completed'!$D$119&lt;&gt;"",'Completed'!$D$119,"")</f>
        <v>6.5</v>
      </c>
      <c r="X120" s="96">
        <f>IF('Completed'!$E$119&lt;&gt;"",'Completed'!$E$119,"")</f>
        <v>6.5</v>
      </c>
      <c r="Y120" s="96">
        <f>IF('Completed'!$F$119&lt;&gt;"",'Completed'!$F$119,"")</f>
        <v>7.5</v>
      </c>
      <c r="Z120" s="110">
        <f>IF('Completed'!$G$119&lt;&gt;"",'Completed'!$G$119,"")</f>
        <v>6.358040201005025</v>
      </c>
      <c r="AA120" s="120">
        <f>IF('Completed'!$H$119&lt;&gt;"",'Completed'!$H$119,"")</f>
        <v>5.1589036488986038</v>
      </c>
      <c r="AB120" s="97">
        <f>IF('Completed'!$I$119&lt;&gt;"",'Completed'!$I$119,"")</f>
        <v>41448</v>
      </c>
      <c r="AC120" s="97">
        <f>IF('Completed'!$J$119&lt;&gt;"",'Completed'!$J$119,"")</f>
        <v>41455</v>
      </c>
      <c r="AD120" s="111" t="str">
        <f>IF('Completed'!$K$119&lt;&gt;"",'Completed'!$K$119,"")</f>
        <v>Levia-san</v>
      </c>
      <c r="AE120" s="111" t="str">
        <f>IF('Completed'!$L$119&lt;&gt;"",'Completed'!$L$119,"")</f>
        <v>Not a bad show, despite low ratings. Pretty entertaining to watch overall</v>
      </c>
    </row>
    <row r="121" spans="10:31">
      <c r="J121" s="61" t="str">
        <f>IF(Backlog!$A$120&lt;&gt;"",Backlog!$A$120,"")</f>
        <v/>
      </c>
      <c r="K121" s="68" t="str">
        <f>IF(Backlog!$B$120&lt;&gt;"",Backlog!$B$120,"")</f>
        <v/>
      </c>
      <c r="L121" s="69" t="str">
        <f>IF(Backlog!$C$120&lt;&gt;"",Backlog!$C$120,"")</f>
        <v/>
      </c>
      <c r="N121" s="61" t="str">
        <f>IF('Completed'!$A$120&lt;&gt;"",'Completed'!$A$120,"")</f>
        <v>Mangaka-san to Assistant-san to</v>
      </c>
      <c r="O121" s="68">
        <f>IF('Completed'!$B$120&lt;&gt;"",'Completed'!$B$120,"")</f>
        <v>1</v>
      </c>
      <c r="P121" s="68">
        <f ca="1">IF($N$121&lt;&gt;"", INDIRECT("'Tracker'!"&amp;ADDRESS(MATCH($N$121, Tracker[Anime Name], 0) + 2, 3)), "")</f>
        <v>12</v>
      </c>
      <c r="Q121" s="62" t="str">
        <f ca="1">IF($N$121&lt;&gt;"", INDIRECT("'Tracker'!"&amp;ADDRESS(MATCH($N$121, Tracker[Anime Name], 0) + 2, 4)), "")</f>
        <v>B</v>
      </c>
      <c r="R121" s="62" t="str">
        <f ca="1">IF($N$121&lt;&gt;"", INDIRECT("'Tracker'!"&amp;ADDRESS(MATCH($N$121, Tracker[Anime Name], 0) + 2, 5)), "")</f>
        <v>720p</v>
      </c>
      <c r="S121" s="62" t="str">
        <f ca="1">IF($N$121&lt;&gt;"", INDIRECT("'Tracker'!"&amp;ADDRESS(MATCH($N$121, Tracker[Anime Name], 0) + 2, 6)), "")</f>
        <v>TV</v>
      </c>
      <c r="T121" s="62" t="str">
        <f ca="1">IF($N$121&lt;&gt;"", INDIRECT("'Tracker'!"&amp;ADDRESS(MATCH($N$121, Tracker[Anime Name], 0) + 2, 7)), "")</f>
        <v>2014A</v>
      </c>
      <c r="U121" s="68" t="str">
        <f ca="1">IF($N$121&lt;&gt;"", INDIRECT("'Tracker'!"&amp;ADDRESS(MATCH($N$121, Tracker[Anime Name], 0) + 2, 8)), "")</f>
        <v>Doki</v>
      </c>
      <c r="V121" s="96">
        <f>IF('Completed'!$C$120&lt;&gt;"",'Completed'!$C$120,"")</f>
        <v>5</v>
      </c>
      <c r="W121" s="96">
        <f>IF('Completed'!$D$120&lt;&gt;"",'Completed'!$D$120,"")</f>
        <v>6.5</v>
      </c>
      <c r="X121" s="96">
        <f>IF('Completed'!$E$120&lt;&gt;"",'Completed'!$E$120,"")</f>
        <v>8</v>
      </c>
      <c r="Y121" s="96">
        <f>IF('Completed'!$F$120&lt;&gt;"",'Completed'!$F$120,"")</f>
        <v>6.5</v>
      </c>
      <c r="Z121" s="110">
        <f>IF('Completed'!$G$120&lt;&gt;"",'Completed'!$G$120,"")</f>
        <v>6.2964824120603025</v>
      </c>
      <c r="AA121" s="120">
        <f>IF('Completed'!$H$120&lt;&gt;"",'Completed'!$H$120,"")</f>
        <v>5.0765091642845146</v>
      </c>
      <c r="AB121" s="97">
        <f>IF('Completed'!$I$120&lt;&gt;"",'Completed'!$I$120,"")</f>
        <v>41785</v>
      </c>
      <c r="AC121" s="97">
        <f>IF('Completed'!$J$120&lt;&gt;"",'Completed'!$J$120,"")</f>
        <v>41814</v>
      </c>
      <c r="AD121" s="111" t="str">
        <f>IF('Completed'!$K$120&lt;&gt;"",'Completed'!$K$120,"")</f>
        <v>Sahoto Ashisu</v>
      </c>
      <c r="AE121" s="111" t="str">
        <f>IF('Completed'!$L$120&lt;&gt;"",'Completed'!$L$120,"")</f>
        <v/>
      </c>
    </row>
    <row r="122" spans="10:31">
      <c r="J122" s="61" t="str">
        <f>IF(Backlog!$A$121&lt;&gt;"",Backlog!$A$121,"")</f>
        <v/>
      </c>
      <c r="K122" s="68" t="str">
        <f>IF(Backlog!$B$121&lt;&gt;"",Backlog!$B$121,"")</f>
        <v/>
      </c>
      <c r="L122" s="69" t="str">
        <f>IF(Backlog!$C$121&lt;&gt;"",Backlog!$C$121,"")</f>
        <v/>
      </c>
      <c r="N122" s="61" t="str">
        <f>IF('Completed'!$A$121&lt;&gt;"",'Completed'!$A$121,"")</f>
        <v>Ore no Nounai Sentakushi ga, Gakuen Love Comedy wo Zenryoku de Jama Shiteiru</v>
      </c>
      <c r="O122" s="68">
        <f>IF('Completed'!$B$121&lt;&gt;"",'Completed'!$B$121,"")</f>
        <v>1</v>
      </c>
      <c r="P122" s="68">
        <f ca="1">IF($N$122&lt;&gt;"", INDIRECT("'Tracker'!"&amp;ADDRESS(MATCH($N$122, Tracker[Anime Name], 0) + 2, 3)), "")</f>
        <v>10</v>
      </c>
      <c r="Q122" s="62" t="str">
        <f ca="1">IF($N$122&lt;&gt;"", INDIRECT("'Tracker'!"&amp;ADDRESS(MATCH($N$122, Tracker[Anime Name], 0) + 2, 4)), "")</f>
        <v>A</v>
      </c>
      <c r="R122" s="62" t="str">
        <f ca="1">IF($N$122&lt;&gt;"", INDIRECT("'Tracker'!"&amp;ADDRESS(MATCH($N$122, Tracker[Anime Name], 0) + 2, 5)), "")</f>
        <v>720p</v>
      </c>
      <c r="S122" s="62" t="str">
        <f ca="1">IF($N$122&lt;&gt;"", INDIRECT("'Tracker'!"&amp;ADDRESS(MATCH($N$122, Tracker[Anime Name], 0) + 2, 6)), "")</f>
        <v>TV</v>
      </c>
      <c r="T122" s="62" t="str">
        <f ca="1">IF($N$122&lt;&gt;"", INDIRECT("'Tracker'!"&amp;ADDRESS(MATCH($N$122, Tracker[Anime Name], 0) + 2, 7)), "")</f>
        <v>2013C</v>
      </c>
      <c r="U122" s="68" t="str">
        <f ca="1">IF($N$122&lt;&gt;"", INDIRECT("'Tracker'!"&amp;ADDRESS(MATCH($N$122, Tracker[Anime Name], 0) + 2, 8)), "")</f>
        <v>HorribleSubs</v>
      </c>
      <c r="V122" s="96">
        <f>IF('Completed'!$C$121&lt;&gt;"",'Completed'!$C$121,"")</f>
        <v>6.5</v>
      </c>
      <c r="W122" s="96">
        <f>IF('Completed'!$D$121&lt;&gt;"",'Completed'!$D$121,"")</f>
        <v>5.5</v>
      </c>
      <c r="X122" s="96">
        <f>IF('Completed'!$E$121&lt;&gt;"",'Completed'!$E$121,"")</f>
        <v>7.5</v>
      </c>
      <c r="Y122" s="96">
        <f>IF('Completed'!$F$121&lt;&gt;"",'Completed'!$F$121,"")</f>
        <v>6.5</v>
      </c>
      <c r="Z122" s="110">
        <f>IF('Completed'!$G$121&lt;&gt;"",'Completed'!$G$121,"")</f>
        <v>6.2788944723618094</v>
      </c>
      <c r="AA122" s="120">
        <f>IF('Completed'!$H$121&lt;&gt;"",'Completed'!$H$121,"")</f>
        <v>5.0529678829662013</v>
      </c>
      <c r="AB122" s="97">
        <f>IF('Completed'!$I$121&lt;&gt;"",'Completed'!$I$121,"")</f>
        <v>41560</v>
      </c>
      <c r="AC122" s="97">
        <f>IF('Completed'!$J$121&lt;&gt;"",'Completed'!$J$121,"")</f>
        <v>41618</v>
      </c>
      <c r="AD122" s="111" t="str">
        <f>IF('Completed'!$K$121&lt;&gt;"",'Completed'!$K$121,"")</f>
        <v>Chocolat</v>
      </c>
      <c r="AE122" s="111" t="str">
        <f>IF('Completed'!$L$121&lt;&gt;"",'Completed'!$L$121,"")</f>
        <v/>
      </c>
    </row>
    <row r="123" spans="10:31">
      <c r="J123" s="61" t="str">
        <f>IF(Backlog!$A$122&lt;&gt;"",Backlog!$A$122,"")</f>
        <v/>
      </c>
      <c r="K123" s="68" t="str">
        <f>IF(Backlog!$B$122&lt;&gt;"",Backlog!$B$122,"")</f>
        <v/>
      </c>
      <c r="L123" s="69" t="str">
        <f>IF(Backlog!$C$122&lt;&gt;"",Backlog!$C$122,"")</f>
        <v/>
      </c>
      <c r="N123" s="61" t="str">
        <f>IF('Completed'!$A$122&lt;&gt;"",'Completed'!$A$122,"")</f>
        <v>Miyakawa-ke no Kuufuku</v>
      </c>
      <c r="O123" s="68">
        <f>IF('Completed'!$B$122&lt;&gt;"",'Completed'!$B$122,"")</f>
        <v>1</v>
      </c>
      <c r="P123" s="68">
        <f ca="1">IF($N$123&lt;&gt;"", INDIRECT("'Tracker'!"&amp;ADDRESS(MATCH($N$123, Tracker[Anime Name], 0) + 2, 3)), "")</f>
        <v>10</v>
      </c>
      <c r="Q123" s="62" t="str">
        <f ca="1">IF($N$123&lt;&gt;"", INDIRECT("'Tracker'!"&amp;ADDRESS(MATCH($N$123, Tracker[Anime Name], 0) + 2, 4)), "")</f>
        <v>B</v>
      </c>
      <c r="R123" s="62" t="str">
        <f ca="1">IF($N$123&lt;&gt;"", INDIRECT("'Tracker'!"&amp;ADDRESS(MATCH($N$123, Tracker[Anime Name], 0) + 2, 5)), "")</f>
        <v>240p</v>
      </c>
      <c r="S123" s="62" t="str">
        <f ca="1">IF($N$123&lt;&gt;"", INDIRECT("'Tracker'!"&amp;ADDRESS(MATCH($N$123, Tracker[Anime Name], 0) + 2, 6)), "")</f>
        <v>TV</v>
      </c>
      <c r="T123" s="62" t="str">
        <f ca="1">IF($N$123&lt;&gt;"", INDIRECT("'Tracker'!"&amp;ADDRESS(MATCH($N$123, Tracker[Anime Name], 0) + 2, 7)), "")</f>
        <v>2013A</v>
      </c>
      <c r="U123" s="68" t="str">
        <f ca="1">IF($N$123&lt;&gt;"", INDIRECT("'Tracker'!"&amp;ADDRESS(MATCH($N$123, Tracker[Anime Name], 0) + 2, 8)), "")</f>
        <v>Miya-k</v>
      </c>
      <c r="V123" s="96">
        <f>IF('Completed'!$C$122&lt;&gt;"",'Completed'!$C$122,"")</f>
        <v>2.5</v>
      </c>
      <c r="W123" s="96">
        <f>IF('Completed'!$D$122&lt;&gt;"",'Completed'!$D$122,"")</f>
        <v>7.5</v>
      </c>
      <c r="X123" s="96">
        <f>IF('Completed'!$E$122&lt;&gt;"",'Completed'!$E$122,"")</f>
        <v>5.5</v>
      </c>
      <c r="Y123" s="96">
        <f>IF('Completed'!$F$122&lt;&gt;"",'Completed'!$F$122,"")</f>
        <v>6</v>
      </c>
      <c r="Z123" s="110">
        <f>IF('Completed'!$G$122&lt;&gt;"",'Completed'!$G$122,"")</f>
        <v>5.7374371859296485</v>
      </c>
      <c r="AA123" s="120">
        <f>IF('Completed'!$H$122&lt;&gt;"",'Completed'!$H$122,"")</f>
        <v>4.3282327223810331</v>
      </c>
      <c r="AB123" s="97">
        <f>IF('Completed'!$I$122&lt;&gt;"",'Completed'!$I$122,"")</f>
        <v>41488</v>
      </c>
      <c r="AC123" s="97">
        <f>IF('Completed'!$J$122&lt;&gt;"",'Completed'!$J$122,"")</f>
        <v>41492</v>
      </c>
      <c r="AD123" s="111" t="str">
        <f>IF('Completed'!$K$122&lt;&gt;"",'Completed'!$K$122,"")</f>
        <v>Miyakawa Hikage</v>
      </c>
      <c r="AE123" s="111" t="str">
        <f>IF('Completed'!$L$122&lt;&gt;"",'Completed'!$L$122,"")</f>
        <v>Need a higher resolution copy</v>
      </c>
    </row>
    <row r="124" spans="10:31">
      <c r="J124" s="61" t="str">
        <f>IF(Backlog!$A$123&lt;&gt;"",Backlog!$A$123,"")</f>
        <v/>
      </c>
      <c r="K124" s="68" t="str">
        <f>IF(Backlog!$B$123&lt;&gt;"",Backlog!$B$123,"")</f>
        <v/>
      </c>
      <c r="L124" s="69" t="str">
        <f>IF(Backlog!$C$123&lt;&gt;"",Backlog!$C$123,"")</f>
        <v/>
      </c>
      <c r="N124" s="61" t="str">
        <f>IF('Completed'!$A$123&lt;&gt;"",'Completed'!$A$123,"")</f>
        <v>Tamako Market</v>
      </c>
      <c r="O124" s="68">
        <f>IF('Completed'!$B$123&lt;&gt;"",'Completed'!$B$123,"")</f>
        <v>1</v>
      </c>
      <c r="P124" s="68">
        <f ca="1">IF($N$124&lt;&gt;"", INDIRECT("'Tracker'!"&amp;ADDRESS(MATCH($N$124, Tracker[Anime Name], 0) + 2, 3)), "")</f>
        <v>12</v>
      </c>
      <c r="Q124" s="62" t="str">
        <f ca="1">IF($N$124&lt;&gt;"", INDIRECT("'Tracker'!"&amp;ADDRESS(MATCH($N$124, Tracker[Anime Name], 0) + 2, 4)), "")</f>
        <v>A</v>
      </c>
      <c r="R124" s="62" t="str">
        <f ca="1">IF($N$124&lt;&gt;"", INDIRECT("'Tracker'!"&amp;ADDRESS(MATCH($N$124, Tracker[Anime Name], 0) + 2, 5)), "")</f>
        <v>720p</v>
      </c>
      <c r="S124" s="62" t="str">
        <f ca="1">IF($N$124&lt;&gt;"", INDIRECT("'Tracker'!"&amp;ADDRESS(MATCH($N$124, Tracker[Anime Name], 0) + 2, 6)), "")</f>
        <v>TV</v>
      </c>
      <c r="T124" s="62" t="str">
        <f ca="1">IF($N$124&lt;&gt;"", INDIRECT("'Tracker'!"&amp;ADDRESS(MATCH($N$124, Tracker[Anime Name], 0) + 2, 7)), "")</f>
        <v>2012D</v>
      </c>
      <c r="U124" s="68" t="str">
        <f ca="1">IF($N$124&lt;&gt;"", INDIRECT("'Tracker'!"&amp;ADDRESS(MATCH($N$124, Tracker[Anime Name], 0) + 2, 8)), "")</f>
        <v>Mazui</v>
      </c>
      <c r="V124" s="96">
        <f>IF('Completed'!$C$123&lt;&gt;"",'Completed'!$C$123,"")</f>
        <v>5.5</v>
      </c>
      <c r="W124" s="96">
        <f>IF('Completed'!$D$123&lt;&gt;"",'Completed'!$D$123,"")</f>
        <v>5.5</v>
      </c>
      <c r="X124" s="96">
        <f>IF('Completed'!$E$123&lt;&gt;"",'Completed'!$E$123,"")</f>
        <v>5</v>
      </c>
      <c r="Y124" s="96">
        <f>IF('Completed'!$F$123&lt;&gt;"",'Completed'!$F$123,"")</f>
        <v>6</v>
      </c>
      <c r="Z124" s="110">
        <f>IF('Completed'!$G$123&lt;&gt;"",'Completed'!$G$123,"")</f>
        <v>5.7261306532663312</v>
      </c>
      <c r="AA124" s="120">
        <f>IF('Completed'!$H$123&lt;&gt;"",'Completed'!$H$123,"")</f>
        <v>4.3130990415335448</v>
      </c>
      <c r="AB124" s="97">
        <f>IF('Completed'!$I$123&lt;&gt;"",'Completed'!$I$123,"")</f>
        <v>41302</v>
      </c>
      <c r="AC124" s="97">
        <f>IF('Completed'!$J$123&lt;&gt;"",'Completed'!$J$123,"")</f>
        <v>41360</v>
      </c>
      <c r="AD124" s="111" t="str">
        <f>IF('Completed'!$K$123&lt;&gt;"",'Completed'!$K$123,"")</f>
        <v>Makino Kanna</v>
      </c>
      <c r="AE124" s="111" t="str">
        <f>IF('Completed'!$L$123&lt;&gt;"",'Completed'!$L$123,"")</f>
        <v/>
      </c>
    </row>
    <row r="125" spans="10:31">
      <c r="J125" s="61" t="str">
        <f>IF(Backlog!$A$124&lt;&gt;"",Backlog!$A$124,"")</f>
        <v/>
      </c>
      <c r="K125" s="68" t="str">
        <f>IF(Backlog!$B$124&lt;&gt;"",Backlog!$B$124,"")</f>
        <v/>
      </c>
      <c r="L125" s="69" t="str">
        <f>IF(Backlog!$C$124&lt;&gt;"",Backlog!$C$124,"")</f>
        <v/>
      </c>
      <c r="N125" s="61" t="str">
        <f>IF('Completed'!$A$124&lt;&gt;"",'Completed'!$A$124,"")</f>
        <v>Shiba Inuko-san</v>
      </c>
      <c r="O125" s="68">
        <f>IF('Completed'!$B$124&lt;&gt;"",'Completed'!$B$124,"")</f>
        <v>1</v>
      </c>
      <c r="P125" s="68">
        <f ca="1">IF($N$125&lt;&gt;"", INDIRECT("'Tracker'!"&amp;ADDRESS(MATCH($N$125, Tracker[Anime Name], 0) + 2, 3)), "")</f>
        <v>26</v>
      </c>
      <c r="Q125" s="62" t="str">
        <f ca="1">IF($N$125&lt;&gt;"", INDIRECT("'Tracker'!"&amp;ADDRESS(MATCH($N$125, Tracker[Anime Name], 0) + 2, 4)), "")</f>
        <v>B</v>
      </c>
      <c r="R125" s="62" t="str">
        <f ca="1">IF($N$125&lt;&gt;"", INDIRECT("'Tracker'!"&amp;ADDRESS(MATCH($N$125, Tracker[Anime Name], 0) + 2, 5)), "")</f>
        <v>720p</v>
      </c>
      <c r="S125" s="62" t="str">
        <f ca="1">IF($N$125&lt;&gt;"", INDIRECT("'Tracker'!"&amp;ADDRESS(MATCH($N$125, Tracker[Anime Name], 0) + 2, 6)), "")</f>
        <v>TV</v>
      </c>
      <c r="T125" s="62" t="str">
        <f ca="1">IF($N$125&lt;&gt;"", INDIRECT("'Tracker'!"&amp;ADDRESS(MATCH($N$125, Tracker[Anime Name], 0) + 2, 7)), "")</f>
        <v>2012A</v>
      </c>
      <c r="U125" s="68" t="str">
        <f ca="1">IF($N$125&lt;&gt;"", INDIRECT("'Tracker'!"&amp;ADDRESS(MATCH($N$125, Tracker[Anime Name], 0) + 2, 8)), "")</f>
        <v>Migoto</v>
      </c>
      <c r="V125" s="96">
        <f>IF('Completed'!$C$124&lt;&gt;"",'Completed'!$C$124,"")</f>
        <v>1.5</v>
      </c>
      <c r="W125" s="96">
        <f>IF('Completed'!$D$124&lt;&gt;"",'Completed'!$D$124,"")</f>
        <v>5</v>
      </c>
      <c r="X125" s="96">
        <f>IF('Completed'!$E$124&lt;&gt;"",'Completed'!$E$124,"")</f>
        <v>4</v>
      </c>
      <c r="Y125" s="96">
        <f>IF('Completed'!$F$124&lt;&gt;"",'Completed'!$F$124,"")</f>
        <v>6.5</v>
      </c>
      <c r="Z125" s="110">
        <f>IF('Completed'!$G$124&lt;&gt;"",'Completed'!$G$124,"")</f>
        <v>5.0603015075376883</v>
      </c>
      <c r="AA125" s="120">
        <f>IF('Completed'!$H$124&lt;&gt;"",'Completed'!$H$124,"")</f>
        <v>3.4218933916260297</v>
      </c>
      <c r="AB125" s="97">
        <f>IF('Completed'!$I$124&lt;&gt;"",'Completed'!$I$124,"")</f>
        <v>41705</v>
      </c>
      <c r="AC125" s="97">
        <f>IF('Completed'!$J$124&lt;&gt;"",'Completed'!$J$124,"")</f>
        <v>41705</v>
      </c>
      <c r="AD125" s="111" t="str">
        <f>IF('Completed'!$K$124&lt;&gt;"",'Completed'!$K$124,"")</f>
        <v>Ishibashi Chako</v>
      </c>
      <c r="AE125" s="111" t="str">
        <f>IF('Completed'!$L$124&lt;&gt;"",'Completed'!$L$124,"")</f>
        <v>Wow</v>
      </c>
    </row>
    <row r="126" spans="10:31">
      <c r="J126" s="61" t="str">
        <f>IF(Backlog!$A$125&lt;&gt;"",Backlog!$A$125,"")</f>
        <v/>
      </c>
      <c r="K126" s="68" t="str">
        <f>IF(Backlog!$B$125&lt;&gt;"",Backlog!$B$125,"")</f>
        <v/>
      </c>
      <c r="L126" s="69" t="str">
        <f>IF(Backlog!$C$125&lt;&gt;"",Backlog!$C$125,"")</f>
        <v/>
      </c>
      <c r="N126" s="61" t="str">
        <f>IF('Completed'!$A$125&lt;&gt;"",'Completed'!$A$125,"")</f>
        <v>Oku-sama wa Joushikousei</v>
      </c>
      <c r="O126" s="68">
        <f>IF('Completed'!$B$125&lt;&gt;"",'Completed'!$B$125,"")</f>
        <v>1</v>
      </c>
      <c r="P126" s="68">
        <f ca="1">IF($N$126&lt;&gt;"", INDIRECT("'Tracker'!"&amp;ADDRESS(MATCH($N$126, Tracker[Anime Name], 0) + 2, 3)), "")</f>
        <v>13</v>
      </c>
      <c r="Q126" s="62" t="str">
        <f ca="1">IF($N$126&lt;&gt;"", INDIRECT("'Tracker'!"&amp;ADDRESS(MATCH($N$126, Tracker[Anime Name], 0) + 2, 4)), "")</f>
        <v>A</v>
      </c>
      <c r="R126" s="62" t="str">
        <f ca="1">IF($N$126&lt;&gt;"", INDIRECT("'Tracker'!"&amp;ADDRESS(MATCH($N$126, Tracker[Anime Name], 0) + 2, 5)), "")</f>
        <v>480p</v>
      </c>
      <c r="S126" s="62" t="str">
        <f ca="1">IF($N$126&lt;&gt;"", INDIRECT("'Tracker'!"&amp;ADDRESS(MATCH($N$126, Tracker[Anime Name], 0) + 2, 6)), "")</f>
        <v>TV</v>
      </c>
      <c r="T126" s="62" t="str">
        <f ca="1">IF($N$126&lt;&gt;"", INDIRECT("'Tracker'!"&amp;ADDRESS(MATCH($N$126, Tracker[Anime Name], 0) + 2, 7)), "")</f>
        <v>2005C</v>
      </c>
      <c r="U126" s="68" t="str">
        <f ca="1">IF($N$126&lt;&gt;"", INDIRECT("'Tracker'!"&amp;ADDRESS(MATCH($N$126, Tracker[Anime Name], 0) + 2, 8)), "")</f>
        <v>LIME</v>
      </c>
      <c r="V126" s="96">
        <f>IF('Completed'!$C$125&lt;&gt;"",'Completed'!$C$125,"")</f>
        <v>3.5</v>
      </c>
      <c r="W126" s="96">
        <f>IF('Completed'!$D$125&lt;&gt;"",'Completed'!$D$125,"")</f>
        <v>5.5</v>
      </c>
      <c r="X126" s="96">
        <f>IF('Completed'!$E$125&lt;&gt;"",'Completed'!$E$125,"")</f>
        <v>6</v>
      </c>
      <c r="Y126" s="96">
        <f>IF('Completed'!$F$125&lt;&gt;"",'Completed'!$F$125,"")</f>
        <v>5</v>
      </c>
      <c r="Z126" s="110">
        <f>IF('Completed'!$G$125&lt;&gt;"",'Completed'!$G$125,"")</f>
        <v>4.9070351758793969</v>
      </c>
      <c r="AA126" s="120">
        <f>IF('Completed'!$H$125&lt;&gt;"",'Completed'!$H$125,"")</f>
        <v>3.2167479401378842</v>
      </c>
      <c r="AB126" s="97">
        <f>IF('Completed'!$I$125&lt;&gt;"",'Completed'!$I$125,"")</f>
        <v>40674</v>
      </c>
      <c r="AC126" s="97">
        <f>IF('Completed'!$J$125&lt;&gt;"",'Completed'!$J$125,"")</f>
        <v>40675</v>
      </c>
      <c r="AD126" s="111" t="str">
        <f>IF('Completed'!$K$125&lt;&gt;"",'Completed'!$K$125,"")</f>
        <v>--</v>
      </c>
      <c r="AE126" s="111" t="str">
        <f>IF('Completed'!$L$125&lt;&gt;"",'Completed'!$L$125,"")</f>
        <v/>
      </c>
    </row>
    <row r="127" spans="10:31">
      <c r="J127" s="61" t="str">
        <f>IF(Backlog!$A$126&lt;&gt;"",Backlog!$A$126,"")</f>
        <v/>
      </c>
      <c r="K127" s="68" t="str">
        <f>IF(Backlog!$B$126&lt;&gt;"",Backlog!$B$126,"")</f>
        <v/>
      </c>
      <c r="L127" s="69" t="str">
        <f>IF(Backlog!$C$126&lt;&gt;"",Backlog!$C$126,"")</f>
        <v/>
      </c>
      <c r="N127" s="61" t="str">
        <f>IF('Completed'!$A$126&lt;&gt;"",'Completed'!$A$126,"")</f>
        <v>Onii-chan dakedo Ai sae Areba Kankeinai yone!</v>
      </c>
      <c r="O127" s="68">
        <f>IF('Completed'!$B$126&lt;&gt;"",'Completed'!$B$126,"")</f>
        <v>1</v>
      </c>
      <c r="P127" s="68">
        <f ca="1">IF($N$127&lt;&gt;"", INDIRECT("'Tracker'!"&amp;ADDRESS(MATCH($N$127, Tracker[Anime Name], 0) + 2, 3)), "")</f>
        <v>12</v>
      </c>
      <c r="Q127" s="62" t="str">
        <f ca="1">IF($N$127&lt;&gt;"", INDIRECT("'Tracker'!"&amp;ADDRESS(MATCH($N$127, Tracker[Anime Name], 0) + 2, 4)), "")</f>
        <v>--</v>
      </c>
      <c r="R127" s="62" t="str">
        <f ca="1">IF($N$127&lt;&gt;"", INDIRECT("'Tracker'!"&amp;ADDRESS(MATCH($N$127, Tracker[Anime Name], 0) + 2, 5)), "")</f>
        <v>--</v>
      </c>
      <c r="S127" s="62" t="str">
        <f ca="1">IF($N$127&lt;&gt;"", INDIRECT("'Tracker'!"&amp;ADDRESS(MATCH($N$127, Tracker[Anime Name], 0) + 2, 6)), "")</f>
        <v>--</v>
      </c>
      <c r="T127" s="62" t="str">
        <f ca="1">IF($N$127&lt;&gt;"", INDIRECT("'Tracker'!"&amp;ADDRESS(MATCH($N$127, Tracker[Anime Name], 0) + 2, 7)), "")</f>
        <v>2012C</v>
      </c>
      <c r="U127" s="68" t="str">
        <f ca="1">IF($N$127&lt;&gt;"", INDIRECT("'Tracker'!"&amp;ADDRESS(MATCH($N$127, Tracker[Anime Name], 0) + 2, 8)), "")</f>
        <v>-- NO DL --</v>
      </c>
      <c r="V127" s="96">
        <f>IF('Completed'!$C$126&lt;&gt;"",'Completed'!$C$126,"")</f>
        <v>3</v>
      </c>
      <c r="W127" s="96">
        <f>IF('Completed'!$D$126&lt;&gt;"",'Completed'!$D$126,"")</f>
        <v>2</v>
      </c>
      <c r="X127" s="96">
        <f>IF('Completed'!$E$126&lt;&gt;"",'Completed'!$E$126,"")</f>
        <v>7</v>
      </c>
      <c r="Y127" s="96">
        <f>IF('Completed'!$F$126&lt;&gt;"",'Completed'!$F$126,"")</f>
        <v>3</v>
      </c>
      <c r="Z127" s="110">
        <f>IF('Completed'!$G$126&lt;&gt;"",'Completed'!$G$126,"")</f>
        <v>2.9221105527638187</v>
      </c>
      <c r="AA127" s="120">
        <f>IF('Completed'!$H$126&lt;&gt;"",'Completed'!$H$126,"")</f>
        <v>0.5599461913569862</v>
      </c>
      <c r="AB127" s="97">
        <f>IF('Completed'!$I$126&lt;&gt;"",'Completed'!$I$126,"")</f>
        <v>41254</v>
      </c>
      <c r="AC127" s="97">
        <f>IF('Completed'!$J$126&lt;&gt;"",'Completed'!$J$126,"")</f>
        <v>41264</v>
      </c>
      <c r="AD127" s="111" t="str">
        <f>IF('Completed'!$K$126&lt;&gt;"",'Completed'!$K$126,"")</f>
        <v>Sawatari Ginbei</v>
      </c>
      <c r="AE127" s="111" t="str">
        <f>IF('Completed'!$L$126&lt;&gt;"",'Completed'!$L$126,"")</f>
        <v/>
      </c>
    </row>
    <row r="128" spans="10:31">
      <c r="J128" s="61" t="str">
        <f>IF(Backlog!$A$127&lt;&gt;"",Backlog!$A$127,"")</f>
        <v/>
      </c>
      <c r="K128" s="68" t="str">
        <f>IF(Backlog!$B$127&lt;&gt;"",Backlog!$B$127,"")</f>
        <v/>
      </c>
      <c r="L128" s="69" t="str">
        <f>IF(Backlog!$C$127&lt;&gt;"",Backlog!$C$127,"")</f>
        <v/>
      </c>
      <c r="N128" s="61" t="str">
        <f>IF('Completed'!$A$127&lt;&gt;"",'Completed'!$A$127,"")</f>
        <v>Cyclops Shoujo Saipu</v>
      </c>
      <c r="O128" s="68">
        <f>IF('Completed'!$B$127&lt;&gt;"",'Completed'!$B$127,"")</f>
        <v>1</v>
      </c>
      <c r="P128" s="68">
        <f ca="1">IF($N$128&lt;&gt;"", INDIRECT("'Tracker'!"&amp;ADDRESS(MATCH($N$128, Tracker[Anime Name], 0) + 2, 3)), "")</f>
        <v>12</v>
      </c>
      <c r="Q128" s="62" t="str">
        <f ca="1">IF($N$128&lt;&gt;"", INDIRECT("'Tracker'!"&amp;ADDRESS(MATCH($N$128, Tracker[Anime Name], 0) + 2, 4)), "")</f>
        <v>A</v>
      </c>
      <c r="R128" s="62" t="str">
        <f ca="1">IF($N$128&lt;&gt;"", INDIRECT("'Tracker'!"&amp;ADDRESS(MATCH($N$128, Tracker[Anime Name], 0) + 2, 5)), "")</f>
        <v>720p</v>
      </c>
      <c r="S128" s="62" t="str">
        <f ca="1">IF($N$128&lt;&gt;"", INDIRECT("'Tracker'!"&amp;ADDRESS(MATCH($N$128, Tracker[Anime Name], 0) + 2, 6)), "")</f>
        <v>TV</v>
      </c>
      <c r="T128" s="62" t="str">
        <f ca="1">IF($N$128&lt;&gt;"", INDIRECT("'Tracker'!"&amp;ADDRESS(MATCH($N$128, Tracker[Anime Name], 0) + 2, 7)), "")</f>
        <v>2013A</v>
      </c>
      <c r="U128" s="68" t="str">
        <f ca="1">IF($N$128&lt;&gt;"", INDIRECT("'Tracker'!"&amp;ADDRESS(MATCH($N$128, Tracker[Anime Name], 0) + 2, 8)), "")</f>
        <v>Migoto</v>
      </c>
      <c r="V128" s="96">
        <f>IF('Completed'!$C$127&lt;&gt;"",'Completed'!$C$127,"")</f>
        <v>1.5</v>
      </c>
      <c r="W128" s="96">
        <f>IF('Completed'!$D$127&lt;&gt;"",'Completed'!$D$127,"")</f>
        <v>2</v>
      </c>
      <c r="X128" s="96">
        <f>IF('Completed'!$E$127&lt;&gt;"",'Completed'!$E$127,"")</f>
        <v>4</v>
      </c>
      <c r="Y128" s="96">
        <f>IF('Completed'!$F$127&lt;&gt;"",'Completed'!$F$127,"")</f>
        <v>3</v>
      </c>
      <c r="Z128" s="110">
        <f>IF('Completed'!$G$127&lt;&gt;"",'Completed'!$G$127,"")</f>
        <v>2.5037688442211055</v>
      </c>
      <c r="AA128" s="120">
        <f>IF('Completed'!$H$127&lt;&gt;"",'Completed'!$H$127,"")</f>
        <v>0</v>
      </c>
      <c r="AB128" s="97">
        <f>IF('Completed'!$I$127&lt;&gt;"",'Completed'!$I$127,"")</f>
        <v>41355</v>
      </c>
      <c r="AC128" s="97">
        <f>IF('Completed'!$J$127&lt;&gt;"",'Completed'!$J$127,"")</f>
        <v>41451</v>
      </c>
      <c r="AD128" s="111" t="str">
        <f>IF('Completed'!$K$127&lt;&gt;"",'Completed'!$K$127,"")</f>
        <v>--</v>
      </c>
      <c r="AE128" s="111" t="str">
        <f>IF('Completed'!$L$127&lt;&gt;"",'Completed'!$L$127,"")</f>
        <v>Only watched because each episode was short enough to care about</v>
      </c>
    </row>
    <row r="129" spans="10:31">
      <c r="J129" s="61" t="str">
        <f>IF(Backlog!$A$128&lt;&gt;"",Backlog!$A$128,"")</f>
        <v/>
      </c>
      <c r="K129" s="68" t="str">
        <f>IF(Backlog!$B$128&lt;&gt;"",Backlog!$B$128,"")</f>
        <v/>
      </c>
      <c r="L129" s="69" t="str">
        <f>IF(Backlog!$C$128&lt;&gt;"",Backlog!$C$128,"")</f>
        <v/>
      </c>
      <c r="N129" s="61" t="str">
        <f>IF('Completed'!$A$128&lt;&gt;"",'Completed'!$A$128,"")</f>
        <v/>
      </c>
      <c r="O129" s="68" t="str">
        <f>IF('Completed'!$B$128&lt;&gt;"",'Completed'!$B$128,"")</f>
        <v/>
      </c>
      <c r="P129" s="68" t="str">
        <f ca="1">IF($N$129&lt;&gt;"", INDIRECT("'Tracker'!"&amp;ADDRESS(MATCH($N$129, Tracker[Anime Name], 0) + 2, 3)), "")</f>
        <v/>
      </c>
      <c r="Q129" s="62" t="str">
        <f ca="1">IF($N$129&lt;&gt;"", INDIRECT("'Tracker'!"&amp;ADDRESS(MATCH($N$129, Tracker[Anime Name], 0) + 2, 4)), "")</f>
        <v/>
      </c>
      <c r="R129" s="62" t="str">
        <f ca="1">IF($N$129&lt;&gt;"", INDIRECT("'Tracker'!"&amp;ADDRESS(MATCH($N$129, Tracker[Anime Name], 0) + 2, 5)), "")</f>
        <v/>
      </c>
      <c r="S129" s="62" t="str">
        <f ca="1">IF($N$129&lt;&gt;"", INDIRECT("'Tracker'!"&amp;ADDRESS(MATCH($N$129, Tracker[Anime Name], 0) + 2, 6)), "")</f>
        <v/>
      </c>
      <c r="T129" s="62" t="str">
        <f ca="1">IF($N$129&lt;&gt;"", INDIRECT("'Tracker'!"&amp;ADDRESS(MATCH($N$129, Tracker[Anime Name], 0) + 2, 7)), "")</f>
        <v/>
      </c>
      <c r="U129" s="68" t="str">
        <f ca="1">IF($N$129&lt;&gt;"", INDIRECT("'Tracker'!"&amp;ADDRESS(MATCH($N$129, Tracker[Anime Name], 0) + 2, 8)), "")</f>
        <v/>
      </c>
      <c r="V129" s="96" t="str">
        <f>IF('Completed'!$C$128&lt;&gt;"",'Completed'!$C$128,"")</f>
        <v/>
      </c>
      <c r="W129" s="96" t="str">
        <f>IF('Completed'!$D$128&lt;&gt;"",'Completed'!$D$128,"")</f>
        <v/>
      </c>
      <c r="X129" s="96" t="str">
        <f>IF('Completed'!$E$128&lt;&gt;"",'Completed'!$E$128,"")</f>
        <v/>
      </c>
      <c r="Y129" s="96" t="str">
        <f>IF('Completed'!$F$128&lt;&gt;"",'Completed'!$F$128,"")</f>
        <v/>
      </c>
      <c r="Z129" s="110" t="str">
        <f>IF('Completed'!$G$128&lt;&gt;"",'Completed'!$G$128,"")</f>
        <v/>
      </c>
      <c r="AA129" s="120" t="str">
        <f>IF('Completed'!$H$128&lt;&gt;"",'Completed'!$H$128,"")</f>
        <v/>
      </c>
      <c r="AB129" s="97" t="str">
        <f>IF('Completed'!$I$128&lt;&gt;"",'Completed'!$I$128,"")</f>
        <v/>
      </c>
      <c r="AC129" s="97" t="str">
        <f>IF('Completed'!$J$128&lt;&gt;"",'Completed'!$J$128,"")</f>
        <v/>
      </c>
      <c r="AD129" s="111" t="str">
        <f>IF('Completed'!$K$128&lt;&gt;"",'Completed'!$K$128,"")</f>
        <v/>
      </c>
      <c r="AE129" s="111" t="str">
        <f>IF('Completed'!$L$128&lt;&gt;"",'Completed'!$L$128,"")</f>
        <v/>
      </c>
    </row>
    <row r="130" spans="10:31">
      <c r="J130" s="61" t="str">
        <f>IF(Backlog!$A$129&lt;&gt;"",Backlog!$A$129,"")</f>
        <v/>
      </c>
      <c r="K130" s="68" t="str">
        <f>IF(Backlog!$B$129&lt;&gt;"",Backlog!$B$129,"")</f>
        <v/>
      </c>
      <c r="L130" s="69" t="str">
        <f>IF(Backlog!$C$129&lt;&gt;"",Backlog!$C$129,"")</f>
        <v/>
      </c>
      <c r="N130" s="61" t="str">
        <f>IF('Completed'!$A$129&lt;&gt;"",'Completed'!$A$129,"")</f>
        <v/>
      </c>
      <c r="O130" s="68" t="str">
        <f>IF('Completed'!$B$129&lt;&gt;"",'Completed'!$B$129,"")</f>
        <v/>
      </c>
      <c r="P130" s="68" t="str">
        <f ca="1">IF($N$130&lt;&gt;"", INDIRECT("'Tracker'!"&amp;ADDRESS(MATCH($N$130, Tracker[Anime Name], 0) + 2, 3)), "")</f>
        <v/>
      </c>
      <c r="Q130" s="62" t="str">
        <f ca="1">IF($N$130&lt;&gt;"", INDIRECT("'Tracker'!"&amp;ADDRESS(MATCH($N$130, Tracker[Anime Name], 0) + 2, 4)), "")</f>
        <v/>
      </c>
      <c r="R130" s="62" t="str">
        <f ca="1">IF($N$130&lt;&gt;"", INDIRECT("'Tracker'!"&amp;ADDRESS(MATCH($N$130, Tracker[Anime Name], 0) + 2, 5)), "")</f>
        <v/>
      </c>
      <c r="S130" s="62" t="str">
        <f ca="1">IF($N$130&lt;&gt;"", INDIRECT("'Tracker'!"&amp;ADDRESS(MATCH($N$130, Tracker[Anime Name], 0) + 2, 6)), "")</f>
        <v/>
      </c>
      <c r="T130" s="62" t="str">
        <f ca="1">IF($N$130&lt;&gt;"", INDIRECT("'Tracker'!"&amp;ADDRESS(MATCH($N$130, Tracker[Anime Name], 0) + 2, 7)), "")</f>
        <v/>
      </c>
      <c r="U130" s="68" t="str">
        <f ca="1">IF($N$130&lt;&gt;"", INDIRECT("'Tracker'!"&amp;ADDRESS(MATCH($N$130, Tracker[Anime Name], 0) + 2, 8)), "")</f>
        <v/>
      </c>
      <c r="V130" s="96" t="str">
        <f>IF('Completed'!$C$129&lt;&gt;"",'Completed'!$C$129,"")</f>
        <v/>
      </c>
      <c r="W130" s="96" t="str">
        <f>IF('Completed'!$D$129&lt;&gt;"",'Completed'!$D$129,"")</f>
        <v/>
      </c>
      <c r="X130" s="96" t="str">
        <f>IF('Completed'!$E$129&lt;&gt;"",'Completed'!$E$129,"")</f>
        <v/>
      </c>
      <c r="Y130" s="96" t="str">
        <f>IF('Completed'!$F$129&lt;&gt;"",'Completed'!$F$129,"")</f>
        <v/>
      </c>
      <c r="Z130" s="110" t="str">
        <f>IF('Completed'!$G$129&lt;&gt;"",'Completed'!$G$129,"")</f>
        <v/>
      </c>
      <c r="AA130" s="120" t="str">
        <f>IF('Completed'!$H$129&lt;&gt;"",'Completed'!$H$129,"")</f>
        <v/>
      </c>
      <c r="AB130" s="97" t="str">
        <f>IF('Completed'!$I$129&lt;&gt;"",'Completed'!$I$129,"")</f>
        <v/>
      </c>
      <c r="AC130" s="97" t="str">
        <f>IF('Completed'!$J$129&lt;&gt;"",'Completed'!$J$129,"")</f>
        <v/>
      </c>
      <c r="AD130" s="111" t="str">
        <f>IF('Completed'!$K$129&lt;&gt;"",'Completed'!$K$129,"")</f>
        <v/>
      </c>
      <c r="AE130" s="111" t="str">
        <f>IF('Completed'!$L$129&lt;&gt;"",'Completed'!$L$129,"")</f>
        <v/>
      </c>
    </row>
    <row r="131" spans="10:31">
      <c r="J131" s="61" t="str">
        <f>IF(Backlog!$A$130&lt;&gt;"",Backlog!$A$130,"")</f>
        <v/>
      </c>
      <c r="K131" s="68" t="str">
        <f>IF(Backlog!$B$130&lt;&gt;"",Backlog!$B$130,"")</f>
        <v/>
      </c>
      <c r="L131" s="69" t="str">
        <f>IF(Backlog!$C$130&lt;&gt;"",Backlog!$C$130,"")</f>
        <v/>
      </c>
      <c r="N131" s="61" t="str">
        <f>IF('Completed'!$A$130&lt;&gt;"",'Completed'!$A$130,"")</f>
        <v/>
      </c>
      <c r="O131" s="68" t="str">
        <f>IF('Completed'!$B$130&lt;&gt;"",'Completed'!$B$130,"")</f>
        <v/>
      </c>
      <c r="P131" s="68" t="str">
        <f ca="1">IF($N$131&lt;&gt;"", INDIRECT("'Tracker'!"&amp;ADDRESS(MATCH($N$131, Tracker[Anime Name], 0) + 2, 3)), "")</f>
        <v/>
      </c>
      <c r="Q131" s="62" t="str">
        <f ca="1">IF($N$131&lt;&gt;"", INDIRECT("'Tracker'!"&amp;ADDRESS(MATCH($N$131, Tracker[Anime Name], 0) + 2, 4)), "")</f>
        <v/>
      </c>
      <c r="R131" s="62" t="str">
        <f ca="1">IF($N$131&lt;&gt;"", INDIRECT("'Tracker'!"&amp;ADDRESS(MATCH($N$131, Tracker[Anime Name], 0) + 2, 5)), "")</f>
        <v/>
      </c>
      <c r="S131" s="62" t="str">
        <f ca="1">IF($N$131&lt;&gt;"", INDIRECT("'Tracker'!"&amp;ADDRESS(MATCH($N$131, Tracker[Anime Name], 0) + 2, 6)), "")</f>
        <v/>
      </c>
      <c r="T131" s="62" t="str">
        <f ca="1">IF($N$131&lt;&gt;"", INDIRECT("'Tracker'!"&amp;ADDRESS(MATCH($N$131, Tracker[Anime Name], 0) + 2, 7)), "")</f>
        <v/>
      </c>
      <c r="U131" s="68" t="str">
        <f ca="1">IF($N$131&lt;&gt;"", INDIRECT("'Tracker'!"&amp;ADDRESS(MATCH($N$131, Tracker[Anime Name], 0) + 2, 8)), "")</f>
        <v/>
      </c>
      <c r="V131" s="96" t="str">
        <f>IF('Completed'!$C$130&lt;&gt;"",'Completed'!$C$130,"")</f>
        <v/>
      </c>
      <c r="W131" s="96" t="str">
        <f>IF('Completed'!$D$130&lt;&gt;"",'Completed'!$D$130,"")</f>
        <v/>
      </c>
      <c r="X131" s="96" t="str">
        <f>IF('Completed'!$E$130&lt;&gt;"",'Completed'!$E$130,"")</f>
        <v/>
      </c>
      <c r="Y131" s="96" t="str">
        <f>IF('Completed'!$F$130&lt;&gt;"",'Completed'!$F$130,"")</f>
        <v/>
      </c>
      <c r="Z131" s="110" t="str">
        <f>IF('Completed'!$G$130&lt;&gt;"",'Completed'!$G$130,"")</f>
        <v/>
      </c>
      <c r="AA131" s="120" t="str">
        <f>IF('Completed'!$H$130&lt;&gt;"",'Completed'!$H$130,"")</f>
        <v/>
      </c>
      <c r="AB131" s="97" t="str">
        <f>IF('Completed'!$I$130&lt;&gt;"",'Completed'!$I$130,"")</f>
        <v/>
      </c>
      <c r="AC131" s="97" t="str">
        <f>IF('Completed'!$J$130&lt;&gt;"",'Completed'!$J$130,"")</f>
        <v/>
      </c>
      <c r="AD131" s="111" t="str">
        <f>IF('Completed'!$K$130&lt;&gt;"",'Completed'!$K$130,"")</f>
        <v/>
      </c>
      <c r="AE131" s="111" t="str">
        <f>IF('Completed'!$L$130&lt;&gt;"",'Completed'!$L$130,"")</f>
        <v/>
      </c>
    </row>
    <row r="132" spans="10:31">
      <c r="J132" s="61" t="str">
        <f>IF(Backlog!$A$131&lt;&gt;"",Backlog!$A$131,"")</f>
        <v/>
      </c>
      <c r="K132" s="68" t="str">
        <f>IF(Backlog!$B$131&lt;&gt;"",Backlog!$B$131,"")</f>
        <v/>
      </c>
      <c r="L132" s="69" t="str">
        <f>IF(Backlog!$C$131&lt;&gt;"",Backlog!$C$131,"")</f>
        <v/>
      </c>
      <c r="N132" s="61" t="str">
        <f>IF('Completed'!$A$131&lt;&gt;"",'Completed'!$A$131,"")</f>
        <v/>
      </c>
      <c r="O132" s="68" t="str">
        <f>IF('Completed'!$B$131&lt;&gt;"",'Completed'!$B$131,"")</f>
        <v/>
      </c>
      <c r="P132" s="68" t="str">
        <f ca="1">IF($N$132&lt;&gt;"", INDIRECT("'Tracker'!"&amp;ADDRESS(MATCH($N$132, Tracker[Anime Name], 0) + 2, 3)), "")</f>
        <v/>
      </c>
      <c r="Q132" s="62" t="str">
        <f ca="1">IF($N$132&lt;&gt;"", INDIRECT("'Tracker'!"&amp;ADDRESS(MATCH($N$132, Tracker[Anime Name], 0) + 2, 4)), "")</f>
        <v/>
      </c>
      <c r="R132" s="62" t="str">
        <f ca="1">IF($N$132&lt;&gt;"", INDIRECT("'Tracker'!"&amp;ADDRESS(MATCH($N$132, Tracker[Anime Name], 0) + 2, 5)), "")</f>
        <v/>
      </c>
      <c r="S132" s="62" t="str">
        <f ca="1">IF($N$132&lt;&gt;"", INDIRECT("'Tracker'!"&amp;ADDRESS(MATCH($N$132, Tracker[Anime Name], 0) + 2, 6)), "")</f>
        <v/>
      </c>
      <c r="T132" s="62" t="str">
        <f ca="1">IF($N$132&lt;&gt;"", INDIRECT("'Tracker'!"&amp;ADDRESS(MATCH($N$132, Tracker[Anime Name], 0) + 2, 7)), "")</f>
        <v/>
      </c>
      <c r="U132" s="68" t="str">
        <f ca="1">IF($N$132&lt;&gt;"", INDIRECT("'Tracker'!"&amp;ADDRESS(MATCH($N$132, Tracker[Anime Name], 0) + 2, 8)), "")</f>
        <v/>
      </c>
      <c r="V132" s="96" t="str">
        <f>IF('Completed'!$C$131&lt;&gt;"",'Completed'!$C$131,"")</f>
        <v/>
      </c>
      <c r="W132" s="96" t="str">
        <f>IF('Completed'!$D$131&lt;&gt;"",'Completed'!$D$131,"")</f>
        <v/>
      </c>
      <c r="X132" s="96" t="str">
        <f>IF('Completed'!$E$131&lt;&gt;"",'Completed'!$E$131,"")</f>
        <v/>
      </c>
      <c r="Y132" s="96" t="str">
        <f>IF('Completed'!$F$131&lt;&gt;"",'Completed'!$F$131,"")</f>
        <v/>
      </c>
      <c r="Z132" s="110" t="str">
        <f>IF('Completed'!$G$131&lt;&gt;"",'Completed'!$G$131,"")</f>
        <v/>
      </c>
      <c r="AA132" s="120" t="str">
        <f>IF('Completed'!$H$131&lt;&gt;"",'Completed'!$H$131,"")</f>
        <v/>
      </c>
      <c r="AB132" s="97" t="str">
        <f>IF('Completed'!$I$131&lt;&gt;"",'Completed'!$I$131,"")</f>
        <v/>
      </c>
      <c r="AC132" s="97" t="str">
        <f>IF('Completed'!$J$131&lt;&gt;"",'Completed'!$J$131,"")</f>
        <v/>
      </c>
      <c r="AD132" s="111" t="str">
        <f>IF('Completed'!$K$131&lt;&gt;"",'Completed'!$K$131,"")</f>
        <v/>
      </c>
      <c r="AE132" s="111" t="str">
        <f>IF('Completed'!$L$131&lt;&gt;"",'Completed'!$L$131,"")</f>
        <v/>
      </c>
    </row>
    <row r="133" spans="10:31">
      <c r="J133" s="61" t="str">
        <f>IF(Backlog!$A$132&lt;&gt;"",Backlog!$A$132,"")</f>
        <v/>
      </c>
      <c r="K133" s="68" t="str">
        <f>IF(Backlog!$B$132&lt;&gt;"",Backlog!$B$132,"")</f>
        <v/>
      </c>
      <c r="L133" s="69" t="str">
        <f>IF(Backlog!$C$132&lt;&gt;"",Backlog!$C$132,"")</f>
        <v/>
      </c>
      <c r="N133" s="61" t="str">
        <f>IF('Completed'!$A$132&lt;&gt;"",'Completed'!$A$132,"")</f>
        <v/>
      </c>
      <c r="O133" s="68" t="str">
        <f>IF('Completed'!$B$132&lt;&gt;"",'Completed'!$B$132,"")</f>
        <v/>
      </c>
      <c r="P133" s="68" t="str">
        <f ca="1">IF($N$133&lt;&gt;"", INDIRECT("'Tracker'!"&amp;ADDRESS(MATCH($N$133, Tracker[Anime Name], 0) + 2, 3)), "")</f>
        <v/>
      </c>
      <c r="Q133" s="62" t="str">
        <f ca="1">IF($N$133&lt;&gt;"", INDIRECT("'Tracker'!"&amp;ADDRESS(MATCH($N$133, Tracker[Anime Name], 0) + 2, 4)), "")</f>
        <v/>
      </c>
      <c r="R133" s="62" t="str">
        <f ca="1">IF($N$133&lt;&gt;"", INDIRECT("'Tracker'!"&amp;ADDRESS(MATCH($N$133, Tracker[Anime Name], 0) + 2, 5)), "")</f>
        <v/>
      </c>
      <c r="S133" s="62" t="str">
        <f ca="1">IF($N$133&lt;&gt;"", INDIRECT("'Tracker'!"&amp;ADDRESS(MATCH($N$133, Tracker[Anime Name], 0) + 2, 6)), "")</f>
        <v/>
      </c>
      <c r="T133" s="62" t="str">
        <f ca="1">IF($N$133&lt;&gt;"", INDIRECT("'Tracker'!"&amp;ADDRESS(MATCH($N$133, Tracker[Anime Name], 0) + 2, 7)), "")</f>
        <v/>
      </c>
      <c r="U133" s="68" t="str">
        <f ca="1">IF($N$133&lt;&gt;"", INDIRECT("'Tracker'!"&amp;ADDRESS(MATCH($N$133, Tracker[Anime Name], 0) + 2, 8)), "")</f>
        <v/>
      </c>
      <c r="V133" s="96" t="str">
        <f>IF('Completed'!$C$132&lt;&gt;"",'Completed'!$C$132,"")</f>
        <v/>
      </c>
      <c r="W133" s="96" t="str">
        <f>IF('Completed'!$D$132&lt;&gt;"",'Completed'!$D$132,"")</f>
        <v/>
      </c>
      <c r="X133" s="96" t="str">
        <f>IF('Completed'!$E$132&lt;&gt;"",'Completed'!$E$132,"")</f>
        <v/>
      </c>
      <c r="Y133" s="96" t="str">
        <f>IF('Completed'!$F$132&lt;&gt;"",'Completed'!$F$132,"")</f>
        <v/>
      </c>
      <c r="Z133" s="110" t="str">
        <f>IF('Completed'!$G$132&lt;&gt;"",'Completed'!$G$132,"")</f>
        <v/>
      </c>
      <c r="AA133" s="120" t="str">
        <f>IF('Completed'!$H$132&lt;&gt;"",'Completed'!$H$132,"")</f>
        <v/>
      </c>
      <c r="AB133" s="97" t="str">
        <f>IF('Completed'!$I$132&lt;&gt;"",'Completed'!$I$132,"")</f>
        <v/>
      </c>
      <c r="AC133" s="97" t="str">
        <f>IF('Completed'!$J$132&lt;&gt;"",'Completed'!$J$132,"")</f>
        <v/>
      </c>
      <c r="AD133" s="111" t="str">
        <f>IF('Completed'!$K$132&lt;&gt;"",'Completed'!$K$132,"")</f>
        <v/>
      </c>
      <c r="AE133" s="111" t="str">
        <f>IF('Completed'!$L$132&lt;&gt;"",'Completed'!$L$132,"")</f>
        <v/>
      </c>
    </row>
    <row r="134" spans="10:31">
      <c r="J134" s="61" t="str">
        <f>IF(Backlog!$A$133&lt;&gt;"",Backlog!$A$133,"")</f>
        <v/>
      </c>
      <c r="K134" s="68" t="str">
        <f>IF(Backlog!$B$133&lt;&gt;"",Backlog!$B$133,"")</f>
        <v/>
      </c>
      <c r="L134" s="69" t="str">
        <f>IF(Backlog!$C$133&lt;&gt;"",Backlog!$C$133,"")</f>
        <v/>
      </c>
      <c r="N134" s="61" t="str">
        <f>IF('Completed'!$A$133&lt;&gt;"",'Completed'!$A$133,"")</f>
        <v/>
      </c>
      <c r="O134" s="68" t="str">
        <f>IF('Completed'!$B$133&lt;&gt;"",'Completed'!$B$133,"")</f>
        <v/>
      </c>
      <c r="P134" s="68" t="str">
        <f ca="1">IF($N$134&lt;&gt;"", INDIRECT("'Tracker'!"&amp;ADDRESS(MATCH($N$134, Tracker[Anime Name], 0) + 2, 3)), "")</f>
        <v/>
      </c>
      <c r="Q134" s="62" t="str">
        <f ca="1">IF($N$134&lt;&gt;"", INDIRECT("'Tracker'!"&amp;ADDRESS(MATCH($N$134, Tracker[Anime Name], 0) + 2, 4)), "")</f>
        <v/>
      </c>
      <c r="R134" s="62" t="str">
        <f ca="1">IF($N$134&lt;&gt;"", INDIRECT("'Tracker'!"&amp;ADDRESS(MATCH($N$134, Tracker[Anime Name], 0) + 2, 5)), "")</f>
        <v/>
      </c>
      <c r="S134" s="62" t="str">
        <f ca="1">IF($N$134&lt;&gt;"", INDIRECT("'Tracker'!"&amp;ADDRESS(MATCH($N$134, Tracker[Anime Name], 0) + 2, 6)), "")</f>
        <v/>
      </c>
      <c r="T134" s="62" t="str">
        <f ca="1">IF($N$134&lt;&gt;"", INDIRECT("'Tracker'!"&amp;ADDRESS(MATCH($N$134, Tracker[Anime Name], 0) + 2, 7)), "")</f>
        <v/>
      </c>
      <c r="U134" s="68" t="str">
        <f ca="1">IF($N$134&lt;&gt;"", INDIRECT("'Tracker'!"&amp;ADDRESS(MATCH($N$134, Tracker[Anime Name], 0) + 2, 8)), "")</f>
        <v/>
      </c>
      <c r="V134" s="96" t="str">
        <f>IF('Completed'!$C$133&lt;&gt;"",'Completed'!$C$133,"")</f>
        <v/>
      </c>
      <c r="W134" s="96" t="str">
        <f>IF('Completed'!$D$133&lt;&gt;"",'Completed'!$D$133,"")</f>
        <v/>
      </c>
      <c r="X134" s="96" t="str">
        <f>IF('Completed'!$E$133&lt;&gt;"",'Completed'!$E$133,"")</f>
        <v/>
      </c>
      <c r="Y134" s="96" t="str">
        <f>IF('Completed'!$F$133&lt;&gt;"",'Completed'!$F$133,"")</f>
        <v/>
      </c>
      <c r="Z134" s="110" t="str">
        <f>IF('Completed'!$G$133&lt;&gt;"",'Completed'!$G$133,"")</f>
        <v/>
      </c>
      <c r="AA134" s="120" t="str">
        <f>IF('Completed'!$H$133&lt;&gt;"",'Completed'!$H$133,"")</f>
        <v/>
      </c>
      <c r="AB134" s="97" t="str">
        <f>IF('Completed'!$I$133&lt;&gt;"",'Completed'!$I$133,"")</f>
        <v/>
      </c>
      <c r="AC134" s="97" t="str">
        <f>IF('Completed'!$J$133&lt;&gt;"",'Completed'!$J$133,"")</f>
        <v/>
      </c>
      <c r="AD134" s="111" t="str">
        <f>IF('Completed'!$K$133&lt;&gt;"",'Completed'!$K$133,"")</f>
        <v/>
      </c>
      <c r="AE134" s="111" t="str">
        <f>IF('Completed'!$L$133&lt;&gt;"",'Completed'!$L$133,"")</f>
        <v/>
      </c>
    </row>
    <row r="135" spans="10:31">
      <c r="J135" s="61" t="str">
        <f>IF(Backlog!$A$134&lt;&gt;"",Backlog!$A$134,"")</f>
        <v/>
      </c>
      <c r="K135" s="68" t="str">
        <f>IF(Backlog!$B$134&lt;&gt;"",Backlog!$B$134,"")</f>
        <v/>
      </c>
      <c r="L135" s="69" t="str">
        <f>IF(Backlog!$C$134&lt;&gt;"",Backlog!$C$134,"")</f>
        <v/>
      </c>
      <c r="N135" s="61" t="str">
        <f>IF('Completed'!$A$134&lt;&gt;"",'Completed'!$A$134,"")</f>
        <v/>
      </c>
      <c r="O135" s="68" t="str">
        <f>IF('Completed'!$B$134&lt;&gt;"",'Completed'!$B$134,"")</f>
        <v/>
      </c>
      <c r="P135" s="68" t="str">
        <f ca="1">IF($N$135&lt;&gt;"", INDIRECT("'Tracker'!"&amp;ADDRESS(MATCH($N$135, Tracker[Anime Name], 0) + 2, 3)), "")</f>
        <v/>
      </c>
      <c r="Q135" s="62" t="str">
        <f ca="1">IF($N$135&lt;&gt;"", INDIRECT("'Tracker'!"&amp;ADDRESS(MATCH($N$135, Tracker[Anime Name], 0) + 2, 4)), "")</f>
        <v/>
      </c>
      <c r="R135" s="62" t="str">
        <f ca="1">IF($N$135&lt;&gt;"", INDIRECT("'Tracker'!"&amp;ADDRESS(MATCH($N$135, Tracker[Anime Name], 0) + 2, 5)), "")</f>
        <v/>
      </c>
      <c r="S135" s="62" t="str">
        <f ca="1">IF($N$135&lt;&gt;"", INDIRECT("'Tracker'!"&amp;ADDRESS(MATCH($N$135, Tracker[Anime Name], 0) + 2, 6)), "")</f>
        <v/>
      </c>
      <c r="T135" s="62" t="str">
        <f ca="1">IF($N$135&lt;&gt;"", INDIRECT("'Tracker'!"&amp;ADDRESS(MATCH($N$135, Tracker[Anime Name], 0) + 2, 7)), "")</f>
        <v/>
      </c>
      <c r="U135" s="68" t="str">
        <f ca="1">IF($N$135&lt;&gt;"", INDIRECT("'Tracker'!"&amp;ADDRESS(MATCH($N$135, Tracker[Anime Name], 0) + 2, 8)), "")</f>
        <v/>
      </c>
      <c r="V135" s="96" t="str">
        <f>IF('Completed'!$C$134&lt;&gt;"",'Completed'!$C$134,"")</f>
        <v/>
      </c>
      <c r="W135" s="96" t="str">
        <f>IF('Completed'!$D$134&lt;&gt;"",'Completed'!$D$134,"")</f>
        <v/>
      </c>
      <c r="X135" s="96" t="str">
        <f>IF('Completed'!$E$134&lt;&gt;"",'Completed'!$E$134,"")</f>
        <v/>
      </c>
      <c r="Y135" s="96" t="str">
        <f>IF('Completed'!$F$134&lt;&gt;"",'Completed'!$F$134,"")</f>
        <v/>
      </c>
      <c r="Z135" s="110" t="str">
        <f>IF('Completed'!$G$134&lt;&gt;"",'Completed'!$G$134,"")</f>
        <v/>
      </c>
      <c r="AA135" s="120" t="str">
        <f>IF('Completed'!$H$134&lt;&gt;"",'Completed'!$H$134,"")</f>
        <v/>
      </c>
      <c r="AB135" s="97" t="str">
        <f>IF('Completed'!$I$134&lt;&gt;"",'Completed'!$I$134,"")</f>
        <v/>
      </c>
      <c r="AC135" s="97" t="str">
        <f>IF('Completed'!$J$134&lt;&gt;"",'Completed'!$J$134,"")</f>
        <v/>
      </c>
      <c r="AD135" s="111" t="str">
        <f>IF('Completed'!$K$134&lt;&gt;"",'Completed'!$K$134,"")</f>
        <v/>
      </c>
      <c r="AE135" s="111" t="str">
        <f>IF('Completed'!$L$134&lt;&gt;"",'Completed'!$L$134,"")</f>
        <v/>
      </c>
    </row>
    <row r="136" spans="10:31">
      <c r="J136" s="61" t="str">
        <f>IF(Backlog!$A$135&lt;&gt;"",Backlog!$A$135,"")</f>
        <v/>
      </c>
      <c r="K136" s="68" t="str">
        <f>IF(Backlog!$B$135&lt;&gt;"",Backlog!$B$135,"")</f>
        <v/>
      </c>
      <c r="L136" s="69" t="str">
        <f>IF(Backlog!$C$135&lt;&gt;"",Backlog!$C$135,"")</f>
        <v/>
      </c>
      <c r="N136" s="61" t="str">
        <f>IF('Completed'!$A$135&lt;&gt;"",'Completed'!$A$135,"")</f>
        <v/>
      </c>
      <c r="O136" s="68" t="str">
        <f>IF('Completed'!$B$135&lt;&gt;"",'Completed'!$B$135,"")</f>
        <v/>
      </c>
      <c r="P136" s="68" t="str">
        <f ca="1">IF($N$136&lt;&gt;"", INDIRECT("'Tracker'!"&amp;ADDRESS(MATCH($N$136, Tracker[Anime Name], 0) + 2, 3)), "")</f>
        <v/>
      </c>
      <c r="Q136" s="62" t="str">
        <f ca="1">IF($N$136&lt;&gt;"", INDIRECT("'Tracker'!"&amp;ADDRESS(MATCH($N$136, Tracker[Anime Name], 0) + 2, 4)), "")</f>
        <v/>
      </c>
      <c r="R136" s="62" t="str">
        <f ca="1">IF($N$136&lt;&gt;"", INDIRECT("'Tracker'!"&amp;ADDRESS(MATCH($N$136, Tracker[Anime Name], 0) + 2, 5)), "")</f>
        <v/>
      </c>
      <c r="S136" s="62" t="str">
        <f ca="1">IF($N$136&lt;&gt;"", INDIRECT("'Tracker'!"&amp;ADDRESS(MATCH($N$136, Tracker[Anime Name], 0) + 2, 6)), "")</f>
        <v/>
      </c>
      <c r="T136" s="62" t="str">
        <f ca="1">IF($N$136&lt;&gt;"", INDIRECT("'Tracker'!"&amp;ADDRESS(MATCH($N$136, Tracker[Anime Name], 0) + 2, 7)), "")</f>
        <v/>
      </c>
      <c r="U136" s="68" t="str">
        <f ca="1">IF($N$136&lt;&gt;"", INDIRECT("'Tracker'!"&amp;ADDRESS(MATCH($N$136, Tracker[Anime Name], 0) + 2, 8)), "")</f>
        <v/>
      </c>
      <c r="V136" s="96" t="str">
        <f>IF('Completed'!$C$135&lt;&gt;"",'Completed'!$C$135,"")</f>
        <v/>
      </c>
      <c r="W136" s="96" t="str">
        <f>IF('Completed'!$D$135&lt;&gt;"",'Completed'!$D$135,"")</f>
        <v/>
      </c>
      <c r="X136" s="96" t="str">
        <f>IF('Completed'!$E$135&lt;&gt;"",'Completed'!$E$135,"")</f>
        <v/>
      </c>
      <c r="Y136" s="96" t="str">
        <f>IF('Completed'!$F$135&lt;&gt;"",'Completed'!$F$135,"")</f>
        <v/>
      </c>
      <c r="Z136" s="110" t="str">
        <f>IF('Completed'!$G$135&lt;&gt;"",'Completed'!$G$135,"")</f>
        <v/>
      </c>
      <c r="AA136" s="120" t="str">
        <f>IF('Completed'!$H$135&lt;&gt;"",'Completed'!$H$135,"")</f>
        <v/>
      </c>
      <c r="AB136" s="97" t="str">
        <f>IF('Completed'!$I$135&lt;&gt;"",'Completed'!$I$135,"")</f>
        <v/>
      </c>
      <c r="AC136" s="97" t="str">
        <f>IF('Completed'!$J$135&lt;&gt;"",'Completed'!$J$135,"")</f>
        <v/>
      </c>
      <c r="AD136" s="111" t="str">
        <f>IF('Completed'!$K$135&lt;&gt;"",'Completed'!$K$135,"")</f>
        <v/>
      </c>
      <c r="AE136" s="111" t="str">
        <f>IF('Completed'!$L$135&lt;&gt;"",'Completed'!$L$135,"")</f>
        <v/>
      </c>
    </row>
    <row r="137" spans="10:31">
      <c r="J137" s="61" t="str">
        <f>IF(Backlog!$A$136&lt;&gt;"",Backlog!$A$136,"")</f>
        <v/>
      </c>
      <c r="K137" s="68" t="str">
        <f>IF(Backlog!$B$136&lt;&gt;"",Backlog!$B$136,"")</f>
        <v/>
      </c>
      <c r="L137" s="69" t="str">
        <f>IF(Backlog!$C$136&lt;&gt;"",Backlog!$C$136,"")</f>
        <v/>
      </c>
      <c r="N137" s="61" t="str">
        <f>IF('Completed'!$A$136&lt;&gt;"",'Completed'!$A$136,"")</f>
        <v/>
      </c>
      <c r="O137" s="68" t="str">
        <f>IF('Completed'!$B$136&lt;&gt;"",'Completed'!$B$136,"")</f>
        <v/>
      </c>
      <c r="P137" s="68" t="str">
        <f ca="1">IF($N$137&lt;&gt;"", INDIRECT("'Tracker'!"&amp;ADDRESS(MATCH($N$137, Tracker[Anime Name], 0) + 2, 3)), "")</f>
        <v/>
      </c>
      <c r="Q137" s="62" t="str">
        <f ca="1">IF($N$137&lt;&gt;"", INDIRECT("'Tracker'!"&amp;ADDRESS(MATCH($N$137, Tracker[Anime Name], 0) + 2, 4)), "")</f>
        <v/>
      </c>
      <c r="R137" s="62" t="str">
        <f ca="1">IF($N$137&lt;&gt;"", INDIRECT("'Tracker'!"&amp;ADDRESS(MATCH($N$137, Tracker[Anime Name], 0) + 2, 5)), "")</f>
        <v/>
      </c>
      <c r="S137" s="62" t="str">
        <f ca="1">IF($N$137&lt;&gt;"", INDIRECT("'Tracker'!"&amp;ADDRESS(MATCH($N$137, Tracker[Anime Name], 0) + 2, 6)), "")</f>
        <v/>
      </c>
      <c r="T137" s="62" t="str">
        <f ca="1">IF($N$137&lt;&gt;"", INDIRECT("'Tracker'!"&amp;ADDRESS(MATCH($N$137, Tracker[Anime Name], 0) + 2, 7)), "")</f>
        <v/>
      </c>
      <c r="U137" s="68" t="str">
        <f ca="1">IF($N$137&lt;&gt;"", INDIRECT("'Tracker'!"&amp;ADDRESS(MATCH($N$137, Tracker[Anime Name], 0) + 2, 8)), "")</f>
        <v/>
      </c>
      <c r="V137" s="96" t="str">
        <f>IF('Completed'!$C$136&lt;&gt;"",'Completed'!$C$136,"")</f>
        <v/>
      </c>
      <c r="W137" s="96" t="str">
        <f>IF('Completed'!$D$136&lt;&gt;"",'Completed'!$D$136,"")</f>
        <v/>
      </c>
      <c r="X137" s="96" t="str">
        <f>IF('Completed'!$E$136&lt;&gt;"",'Completed'!$E$136,"")</f>
        <v/>
      </c>
      <c r="Y137" s="96" t="str">
        <f>IF('Completed'!$F$136&lt;&gt;"",'Completed'!$F$136,"")</f>
        <v/>
      </c>
      <c r="Z137" s="110" t="str">
        <f>IF('Completed'!$G$136&lt;&gt;"",'Completed'!$G$136,"")</f>
        <v/>
      </c>
      <c r="AA137" s="120" t="str">
        <f>IF('Completed'!$H$136&lt;&gt;"",'Completed'!$H$136,"")</f>
        <v/>
      </c>
      <c r="AB137" s="97" t="str">
        <f>IF('Completed'!$I$136&lt;&gt;"",'Completed'!$I$136,"")</f>
        <v/>
      </c>
      <c r="AC137" s="97" t="str">
        <f>IF('Completed'!$J$136&lt;&gt;"",'Completed'!$J$136,"")</f>
        <v/>
      </c>
      <c r="AD137" s="111" t="str">
        <f>IF('Completed'!$K$136&lt;&gt;"",'Completed'!$K$136,"")</f>
        <v/>
      </c>
      <c r="AE137" s="111" t="str">
        <f>IF('Completed'!$L$136&lt;&gt;"",'Completed'!$L$136,"")</f>
        <v/>
      </c>
    </row>
    <row r="138" spans="10:31">
      <c r="J138" s="61" t="str">
        <f>IF(Backlog!$A$137&lt;&gt;"",Backlog!$A$137,"")</f>
        <v/>
      </c>
      <c r="K138" s="68" t="str">
        <f>IF(Backlog!$B$137&lt;&gt;"",Backlog!$B$137,"")</f>
        <v/>
      </c>
      <c r="L138" s="69" t="str">
        <f>IF(Backlog!$C$137&lt;&gt;"",Backlog!$C$137,"")</f>
        <v/>
      </c>
      <c r="N138" s="61" t="str">
        <f>IF('Completed'!$A$137&lt;&gt;"",'Completed'!$A$137,"")</f>
        <v/>
      </c>
      <c r="O138" s="68" t="str">
        <f>IF('Completed'!$B$137&lt;&gt;"",'Completed'!$B$137,"")</f>
        <v/>
      </c>
      <c r="P138" s="68" t="str">
        <f ca="1">IF($N$138&lt;&gt;"", INDIRECT("'Tracker'!"&amp;ADDRESS(MATCH($N$138, Tracker[Anime Name], 0) + 2, 3)), "")</f>
        <v/>
      </c>
      <c r="Q138" s="62" t="str">
        <f ca="1">IF($N$138&lt;&gt;"", INDIRECT("'Tracker'!"&amp;ADDRESS(MATCH($N$138, Tracker[Anime Name], 0) + 2, 4)), "")</f>
        <v/>
      </c>
      <c r="R138" s="62" t="str">
        <f ca="1">IF($N$138&lt;&gt;"", INDIRECT("'Tracker'!"&amp;ADDRESS(MATCH($N$138, Tracker[Anime Name], 0) + 2, 5)), "")</f>
        <v/>
      </c>
      <c r="S138" s="62" t="str">
        <f ca="1">IF($N$138&lt;&gt;"", INDIRECT("'Tracker'!"&amp;ADDRESS(MATCH($N$138, Tracker[Anime Name], 0) + 2, 6)), "")</f>
        <v/>
      </c>
      <c r="T138" s="62" t="str">
        <f ca="1">IF($N$138&lt;&gt;"", INDIRECT("'Tracker'!"&amp;ADDRESS(MATCH($N$138, Tracker[Anime Name], 0) + 2, 7)), "")</f>
        <v/>
      </c>
      <c r="U138" s="68" t="str">
        <f ca="1">IF($N$138&lt;&gt;"", INDIRECT("'Tracker'!"&amp;ADDRESS(MATCH($N$138, Tracker[Anime Name], 0) + 2, 8)), "")</f>
        <v/>
      </c>
      <c r="V138" s="96" t="str">
        <f>IF('Completed'!$C$137&lt;&gt;"",'Completed'!$C$137,"")</f>
        <v/>
      </c>
      <c r="W138" s="96" t="str">
        <f>IF('Completed'!$D$137&lt;&gt;"",'Completed'!$D$137,"")</f>
        <v/>
      </c>
      <c r="X138" s="96" t="str">
        <f>IF('Completed'!$E$137&lt;&gt;"",'Completed'!$E$137,"")</f>
        <v/>
      </c>
      <c r="Y138" s="96" t="str">
        <f>IF('Completed'!$F$137&lt;&gt;"",'Completed'!$F$137,"")</f>
        <v/>
      </c>
      <c r="Z138" s="110" t="str">
        <f>IF('Completed'!$G$137&lt;&gt;"",'Completed'!$G$137,"")</f>
        <v/>
      </c>
      <c r="AA138" s="120" t="str">
        <f>IF('Completed'!$H$137&lt;&gt;"",'Completed'!$H$137,"")</f>
        <v/>
      </c>
      <c r="AB138" s="97" t="str">
        <f>IF('Completed'!$I$137&lt;&gt;"",'Completed'!$I$137,"")</f>
        <v/>
      </c>
      <c r="AC138" s="97" t="str">
        <f>IF('Completed'!$J$137&lt;&gt;"",'Completed'!$J$137,"")</f>
        <v/>
      </c>
      <c r="AD138" s="111" t="str">
        <f>IF('Completed'!$K$137&lt;&gt;"",'Completed'!$K$137,"")</f>
        <v/>
      </c>
      <c r="AE138" s="111" t="str">
        <f>IF('Completed'!$L$137&lt;&gt;"",'Completed'!$L$137,"")</f>
        <v/>
      </c>
    </row>
    <row r="139" spans="10:31">
      <c r="J139" s="61" t="str">
        <f>IF(Backlog!$A$138&lt;&gt;"",Backlog!$A$138,"")</f>
        <v/>
      </c>
      <c r="K139" s="68" t="str">
        <f>IF(Backlog!$B$138&lt;&gt;"",Backlog!$B$138,"")</f>
        <v/>
      </c>
      <c r="L139" s="69" t="str">
        <f>IF(Backlog!$C$138&lt;&gt;"",Backlog!$C$138,"")</f>
        <v/>
      </c>
      <c r="N139" s="61" t="str">
        <f>IF('Completed'!$A$138&lt;&gt;"",'Completed'!$A$138,"")</f>
        <v/>
      </c>
      <c r="O139" s="68" t="str">
        <f>IF('Completed'!$B$138&lt;&gt;"",'Completed'!$B$138,"")</f>
        <v/>
      </c>
      <c r="P139" s="68" t="str">
        <f ca="1">IF($N$139&lt;&gt;"", INDIRECT("'Tracker'!"&amp;ADDRESS(MATCH($N$139, Tracker[Anime Name], 0) + 2, 3)), "")</f>
        <v/>
      </c>
      <c r="Q139" s="62" t="str">
        <f ca="1">IF($N$139&lt;&gt;"", INDIRECT("'Tracker'!"&amp;ADDRESS(MATCH($N$139, Tracker[Anime Name], 0) + 2, 4)), "")</f>
        <v/>
      </c>
      <c r="R139" s="62" t="str">
        <f ca="1">IF($N$139&lt;&gt;"", INDIRECT("'Tracker'!"&amp;ADDRESS(MATCH($N$139, Tracker[Anime Name], 0) + 2, 5)), "")</f>
        <v/>
      </c>
      <c r="S139" s="62" t="str">
        <f ca="1">IF($N$139&lt;&gt;"", INDIRECT("'Tracker'!"&amp;ADDRESS(MATCH($N$139, Tracker[Anime Name], 0) + 2, 6)), "")</f>
        <v/>
      </c>
      <c r="T139" s="62" t="str">
        <f ca="1">IF($N$139&lt;&gt;"", INDIRECT("'Tracker'!"&amp;ADDRESS(MATCH($N$139, Tracker[Anime Name], 0) + 2, 7)), "")</f>
        <v/>
      </c>
      <c r="U139" s="68" t="str">
        <f ca="1">IF($N$139&lt;&gt;"", INDIRECT("'Tracker'!"&amp;ADDRESS(MATCH($N$139, Tracker[Anime Name], 0) + 2, 8)), "")</f>
        <v/>
      </c>
      <c r="V139" s="96" t="str">
        <f>IF('Completed'!$C$138&lt;&gt;"",'Completed'!$C$138,"")</f>
        <v/>
      </c>
      <c r="W139" s="96" t="str">
        <f>IF('Completed'!$D$138&lt;&gt;"",'Completed'!$D$138,"")</f>
        <v/>
      </c>
      <c r="X139" s="96" t="str">
        <f>IF('Completed'!$E$138&lt;&gt;"",'Completed'!$E$138,"")</f>
        <v/>
      </c>
      <c r="Y139" s="96" t="str">
        <f>IF('Completed'!$F$138&lt;&gt;"",'Completed'!$F$138,"")</f>
        <v/>
      </c>
      <c r="Z139" s="110" t="str">
        <f>IF('Completed'!$G$138&lt;&gt;"",'Completed'!$G$138,"")</f>
        <v/>
      </c>
      <c r="AA139" s="120" t="str">
        <f>IF('Completed'!$H$138&lt;&gt;"",'Completed'!$H$138,"")</f>
        <v/>
      </c>
      <c r="AB139" s="97" t="str">
        <f>IF('Completed'!$I$138&lt;&gt;"",'Completed'!$I$138,"")</f>
        <v/>
      </c>
      <c r="AC139" s="97" t="str">
        <f>IF('Completed'!$J$138&lt;&gt;"",'Completed'!$J$138,"")</f>
        <v/>
      </c>
      <c r="AD139" s="111" t="str">
        <f>IF('Completed'!$K$138&lt;&gt;"",'Completed'!$K$138,"")</f>
        <v/>
      </c>
      <c r="AE139" s="111" t="str">
        <f>IF('Completed'!$L$138&lt;&gt;"",'Completed'!$L$138,"")</f>
        <v/>
      </c>
    </row>
    <row r="140" spans="10:31">
      <c r="J140" s="61" t="str">
        <f>IF(Backlog!$A$139&lt;&gt;"",Backlog!$A$139,"")</f>
        <v/>
      </c>
      <c r="K140" s="68" t="str">
        <f>IF(Backlog!$B$139&lt;&gt;"",Backlog!$B$139,"")</f>
        <v/>
      </c>
      <c r="L140" s="69" t="str">
        <f>IF(Backlog!$C$139&lt;&gt;"",Backlog!$C$139,"")</f>
        <v/>
      </c>
      <c r="N140" s="61" t="str">
        <f>IF('Completed'!$A$139&lt;&gt;"",'Completed'!$A$139,"")</f>
        <v/>
      </c>
      <c r="O140" s="68" t="str">
        <f>IF('Completed'!$B$139&lt;&gt;"",'Completed'!$B$139,"")</f>
        <v/>
      </c>
      <c r="P140" s="68" t="str">
        <f ca="1">IF($N$140&lt;&gt;"", INDIRECT("'Tracker'!"&amp;ADDRESS(MATCH($N$140, Tracker[Anime Name], 0) + 2, 3)), "")</f>
        <v/>
      </c>
      <c r="Q140" s="62" t="str">
        <f ca="1">IF($N$140&lt;&gt;"", INDIRECT("'Tracker'!"&amp;ADDRESS(MATCH($N$140, Tracker[Anime Name], 0) + 2, 4)), "")</f>
        <v/>
      </c>
      <c r="R140" s="62" t="str">
        <f ca="1">IF($N$140&lt;&gt;"", INDIRECT("'Tracker'!"&amp;ADDRESS(MATCH($N$140, Tracker[Anime Name], 0) + 2, 5)), "")</f>
        <v/>
      </c>
      <c r="S140" s="62" t="str">
        <f ca="1">IF($N$140&lt;&gt;"", INDIRECT("'Tracker'!"&amp;ADDRESS(MATCH($N$140, Tracker[Anime Name], 0) + 2, 6)), "")</f>
        <v/>
      </c>
      <c r="T140" s="62" t="str">
        <f ca="1">IF($N$140&lt;&gt;"", INDIRECT("'Tracker'!"&amp;ADDRESS(MATCH($N$140, Tracker[Anime Name], 0) + 2, 7)), "")</f>
        <v/>
      </c>
      <c r="U140" s="68" t="str">
        <f ca="1">IF($N$140&lt;&gt;"", INDIRECT("'Tracker'!"&amp;ADDRESS(MATCH($N$140, Tracker[Anime Name], 0) + 2, 8)), "")</f>
        <v/>
      </c>
      <c r="V140" s="96" t="str">
        <f>IF('Completed'!$C$139&lt;&gt;"",'Completed'!$C$139,"")</f>
        <v/>
      </c>
      <c r="W140" s="96" t="str">
        <f>IF('Completed'!$D$139&lt;&gt;"",'Completed'!$D$139,"")</f>
        <v/>
      </c>
      <c r="X140" s="96" t="str">
        <f>IF('Completed'!$E$139&lt;&gt;"",'Completed'!$E$139,"")</f>
        <v/>
      </c>
      <c r="Y140" s="96" t="str">
        <f>IF('Completed'!$F$139&lt;&gt;"",'Completed'!$F$139,"")</f>
        <v/>
      </c>
      <c r="Z140" s="110" t="str">
        <f>IF('Completed'!$G$139&lt;&gt;"",'Completed'!$G$139,"")</f>
        <v/>
      </c>
      <c r="AA140" s="120" t="str">
        <f>IF('Completed'!$H$139&lt;&gt;"",'Completed'!$H$139,"")</f>
        <v/>
      </c>
      <c r="AB140" s="97" t="str">
        <f>IF('Completed'!$I$139&lt;&gt;"",'Completed'!$I$139,"")</f>
        <v/>
      </c>
      <c r="AC140" s="97" t="str">
        <f>IF('Completed'!$J$139&lt;&gt;"",'Completed'!$J$139,"")</f>
        <v/>
      </c>
      <c r="AD140" s="111" t="str">
        <f>IF('Completed'!$K$139&lt;&gt;"",'Completed'!$K$139,"")</f>
        <v/>
      </c>
      <c r="AE140" s="111" t="str">
        <f>IF('Completed'!$L$139&lt;&gt;"",'Completed'!$L$139,"")</f>
        <v/>
      </c>
    </row>
    <row r="141" spans="10:31">
      <c r="J141" s="61" t="str">
        <f>IF(Backlog!$A$140&lt;&gt;"",Backlog!$A$140,"")</f>
        <v/>
      </c>
      <c r="K141" s="68" t="str">
        <f>IF(Backlog!$B$140&lt;&gt;"",Backlog!$B$140,"")</f>
        <v/>
      </c>
      <c r="L141" s="69" t="str">
        <f>IF(Backlog!$C$140&lt;&gt;"",Backlog!$C$140,"")</f>
        <v/>
      </c>
      <c r="N141" s="61" t="str">
        <f>IF('Completed'!$A$140&lt;&gt;"",'Completed'!$A$140,"")</f>
        <v/>
      </c>
      <c r="O141" s="68" t="str">
        <f>IF('Completed'!$B$140&lt;&gt;"",'Completed'!$B$140,"")</f>
        <v/>
      </c>
      <c r="P141" s="68" t="str">
        <f ca="1">IF($N$141&lt;&gt;"", INDIRECT("'Tracker'!"&amp;ADDRESS(MATCH($N$141, Tracker[Anime Name], 0) + 2, 3)), "")</f>
        <v/>
      </c>
      <c r="Q141" s="62" t="str">
        <f ca="1">IF($N$141&lt;&gt;"", INDIRECT("'Tracker'!"&amp;ADDRESS(MATCH($N$141, Tracker[Anime Name], 0) + 2, 4)), "")</f>
        <v/>
      </c>
      <c r="R141" s="62" t="str">
        <f ca="1">IF($N$141&lt;&gt;"", INDIRECT("'Tracker'!"&amp;ADDRESS(MATCH($N$141, Tracker[Anime Name], 0) + 2, 5)), "")</f>
        <v/>
      </c>
      <c r="S141" s="62" t="str">
        <f ca="1">IF($N$141&lt;&gt;"", INDIRECT("'Tracker'!"&amp;ADDRESS(MATCH($N$141, Tracker[Anime Name], 0) + 2, 6)), "")</f>
        <v/>
      </c>
      <c r="T141" s="62" t="str">
        <f ca="1">IF($N$141&lt;&gt;"", INDIRECT("'Tracker'!"&amp;ADDRESS(MATCH($N$141, Tracker[Anime Name], 0) + 2, 7)), "")</f>
        <v/>
      </c>
      <c r="U141" s="68" t="str">
        <f ca="1">IF($N$141&lt;&gt;"", INDIRECT("'Tracker'!"&amp;ADDRESS(MATCH($N$141, Tracker[Anime Name], 0) + 2, 8)), "")</f>
        <v/>
      </c>
      <c r="V141" s="96" t="str">
        <f>IF('Completed'!$C$140&lt;&gt;"",'Completed'!$C$140,"")</f>
        <v/>
      </c>
      <c r="W141" s="96" t="str">
        <f>IF('Completed'!$D$140&lt;&gt;"",'Completed'!$D$140,"")</f>
        <v/>
      </c>
      <c r="X141" s="96" t="str">
        <f>IF('Completed'!$E$140&lt;&gt;"",'Completed'!$E$140,"")</f>
        <v/>
      </c>
      <c r="Y141" s="96" t="str">
        <f>IF('Completed'!$F$140&lt;&gt;"",'Completed'!$F$140,"")</f>
        <v/>
      </c>
      <c r="Z141" s="110" t="str">
        <f>IF('Completed'!$G$140&lt;&gt;"",'Completed'!$G$140,"")</f>
        <v/>
      </c>
      <c r="AA141" s="120" t="str">
        <f>IF('Completed'!$H$140&lt;&gt;"",'Completed'!$H$140,"")</f>
        <v/>
      </c>
      <c r="AB141" s="97" t="str">
        <f>IF('Completed'!$I$140&lt;&gt;"",'Completed'!$I$140,"")</f>
        <v/>
      </c>
      <c r="AC141" s="97" t="str">
        <f>IF('Completed'!$J$140&lt;&gt;"",'Completed'!$J$140,"")</f>
        <v/>
      </c>
      <c r="AD141" s="111" t="str">
        <f>IF('Completed'!$K$140&lt;&gt;"",'Completed'!$K$140,"")</f>
        <v/>
      </c>
      <c r="AE141" s="111" t="str">
        <f>IF('Completed'!$L$140&lt;&gt;"",'Completed'!$L$140,"")</f>
        <v/>
      </c>
    </row>
    <row r="142" spans="10:31">
      <c r="J142" s="61" t="str">
        <f>IF(Backlog!$A$141&lt;&gt;"",Backlog!$A$141,"")</f>
        <v/>
      </c>
      <c r="K142" s="68" t="str">
        <f>IF(Backlog!$B$141&lt;&gt;"",Backlog!$B$141,"")</f>
        <v/>
      </c>
      <c r="L142" s="69" t="str">
        <f>IF(Backlog!$C$141&lt;&gt;"",Backlog!$C$141,"")</f>
        <v/>
      </c>
      <c r="N142" s="61" t="str">
        <f>IF('Completed'!$A$141&lt;&gt;"",'Completed'!$A$141,"")</f>
        <v/>
      </c>
      <c r="O142" s="68" t="str">
        <f>IF('Completed'!$B$141&lt;&gt;"",'Completed'!$B$141,"")</f>
        <v/>
      </c>
      <c r="P142" s="68" t="str">
        <f ca="1">IF($N$142&lt;&gt;"", INDIRECT("'Tracker'!"&amp;ADDRESS(MATCH($N$142, Tracker[Anime Name], 0) + 2, 3)), "")</f>
        <v/>
      </c>
      <c r="Q142" s="62" t="str">
        <f ca="1">IF($N$142&lt;&gt;"", INDIRECT("'Tracker'!"&amp;ADDRESS(MATCH($N$142, Tracker[Anime Name], 0) + 2, 4)), "")</f>
        <v/>
      </c>
      <c r="R142" s="62" t="str">
        <f ca="1">IF($N$142&lt;&gt;"", INDIRECT("'Tracker'!"&amp;ADDRESS(MATCH($N$142, Tracker[Anime Name], 0) + 2, 5)), "")</f>
        <v/>
      </c>
      <c r="S142" s="62" t="str">
        <f ca="1">IF($N$142&lt;&gt;"", INDIRECT("'Tracker'!"&amp;ADDRESS(MATCH($N$142, Tracker[Anime Name], 0) + 2, 6)), "")</f>
        <v/>
      </c>
      <c r="T142" s="62" t="str">
        <f ca="1">IF($N$142&lt;&gt;"", INDIRECT("'Tracker'!"&amp;ADDRESS(MATCH($N$142, Tracker[Anime Name], 0) + 2, 7)), "")</f>
        <v/>
      </c>
      <c r="U142" s="68" t="str">
        <f ca="1">IF($N$142&lt;&gt;"", INDIRECT("'Tracker'!"&amp;ADDRESS(MATCH($N$142, Tracker[Anime Name], 0) + 2, 8)), "")</f>
        <v/>
      </c>
      <c r="V142" s="96" t="str">
        <f>IF('Completed'!$C$141&lt;&gt;"",'Completed'!$C$141,"")</f>
        <v/>
      </c>
      <c r="W142" s="96" t="str">
        <f>IF('Completed'!$D$141&lt;&gt;"",'Completed'!$D$141,"")</f>
        <v/>
      </c>
      <c r="X142" s="96" t="str">
        <f>IF('Completed'!$E$141&lt;&gt;"",'Completed'!$E$141,"")</f>
        <v/>
      </c>
      <c r="Y142" s="96" t="str">
        <f>IF('Completed'!$F$141&lt;&gt;"",'Completed'!$F$141,"")</f>
        <v/>
      </c>
      <c r="Z142" s="110" t="str">
        <f>IF('Completed'!$G$141&lt;&gt;"",'Completed'!$G$141,"")</f>
        <v/>
      </c>
      <c r="AA142" s="120" t="str">
        <f>IF('Completed'!$H$141&lt;&gt;"",'Completed'!$H$141,"")</f>
        <v/>
      </c>
      <c r="AB142" s="97" t="str">
        <f>IF('Completed'!$I$141&lt;&gt;"",'Completed'!$I$141,"")</f>
        <v/>
      </c>
      <c r="AC142" s="97" t="str">
        <f>IF('Completed'!$J$141&lt;&gt;"",'Completed'!$J$141,"")</f>
        <v/>
      </c>
      <c r="AD142" s="111" t="str">
        <f>IF('Completed'!$K$141&lt;&gt;"",'Completed'!$K$141,"")</f>
        <v/>
      </c>
      <c r="AE142" s="111" t="str">
        <f>IF('Completed'!$L$141&lt;&gt;"",'Completed'!$L$141,"")</f>
        <v/>
      </c>
    </row>
    <row r="143" spans="10:31">
      <c r="J143" s="61" t="str">
        <f>IF(Backlog!$A$142&lt;&gt;"",Backlog!$A$142,"")</f>
        <v/>
      </c>
      <c r="K143" s="68" t="str">
        <f>IF(Backlog!$B$142&lt;&gt;"",Backlog!$B$142,"")</f>
        <v/>
      </c>
      <c r="L143" s="69" t="str">
        <f>IF(Backlog!$C$142&lt;&gt;"",Backlog!$C$142,"")</f>
        <v/>
      </c>
      <c r="N143" s="61" t="str">
        <f>IF('Completed'!$A$142&lt;&gt;"",'Completed'!$A$142,"")</f>
        <v/>
      </c>
      <c r="O143" s="68" t="str">
        <f>IF('Completed'!$B$142&lt;&gt;"",'Completed'!$B$142,"")</f>
        <v/>
      </c>
      <c r="P143" s="68" t="str">
        <f ca="1">IF($N$143&lt;&gt;"", INDIRECT("'Tracker'!"&amp;ADDRESS(MATCH($N$143, Tracker[Anime Name], 0) + 2, 3)), "")</f>
        <v/>
      </c>
      <c r="Q143" s="62" t="str">
        <f ca="1">IF($N$143&lt;&gt;"", INDIRECT("'Tracker'!"&amp;ADDRESS(MATCH($N$143, Tracker[Anime Name], 0) + 2, 4)), "")</f>
        <v/>
      </c>
      <c r="R143" s="62" t="str">
        <f ca="1">IF($N$143&lt;&gt;"", INDIRECT("'Tracker'!"&amp;ADDRESS(MATCH($N$143, Tracker[Anime Name], 0) + 2, 5)), "")</f>
        <v/>
      </c>
      <c r="S143" s="62" t="str">
        <f ca="1">IF($N$143&lt;&gt;"", INDIRECT("'Tracker'!"&amp;ADDRESS(MATCH($N$143, Tracker[Anime Name], 0) + 2, 6)), "")</f>
        <v/>
      </c>
      <c r="T143" s="62" t="str">
        <f ca="1">IF($N$143&lt;&gt;"", INDIRECT("'Tracker'!"&amp;ADDRESS(MATCH($N$143, Tracker[Anime Name], 0) + 2, 7)), "")</f>
        <v/>
      </c>
      <c r="U143" s="68" t="str">
        <f ca="1">IF($N$143&lt;&gt;"", INDIRECT("'Tracker'!"&amp;ADDRESS(MATCH($N$143, Tracker[Anime Name], 0) + 2, 8)), "")</f>
        <v/>
      </c>
      <c r="V143" s="96" t="str">
        <f>IF('Completed'!$C$142&lt;&gt;"",'Completed'!$C$142,"")</f>
        <v/>
      </c>
      <c r="W143" s="96" t="str">
        <f>IF('Completed'!$D$142&lt;&gt;"",'Completed'!$D$142,"")</f>
        <v/>
      </c>
      <c r="X143" s="96" t="str">
        <f>IF('Completed'!$E$142&lt;&gt;"",'Completed'!$E$142,"")</f>
        <v/>
      </c>
      <c r="Y143" s="96" t="str">
        <f>IF('Completed'!$F$142&lt;&gt;"",'Completed'!$F$142,"")</f>
        <v/>
      </c>
      <c r="Z143" s="110" t="str">
        <f>IF('Completed'!$G$142&lt;&gt;"",'Completed'!$G$142,"")</f>
        <v/>
      </c>
      <c r="AA143" s="120" t="str">
        <f>IF('Completed'!$H$142&lt;&gt;"",'Completed'!$H$142,"")</f>
        <v/>
      </c>
      <c r="AB143" s="97" t="str">
        <f>IF('Completed'!$I$142&lt;&gt;"",'Completed'!$I$142,"")</f>
        <v/>
      </c>
      <c r="AC143" s="97" t="str">
        <f>IF('Completed'!$J$142&lt;&gt;"",'Completed'!$J$142,"")</f>
        <v/>
      </c>
      <c r="AD143" s="111" t="str">
        <f>IF('Completed'!$K$142&lt;&gt;"",'Completed'!$K$142,"")</f>
        <v/>
      </c>
      <c r="AE143" s="111" t="str">
        <f>IF('Completed'!$L$142&lt;&gt;"",'Completed'!$L$142,"")</f>
        <v/>
      </c>
    </row>
    <row r="144" spans="10:31">
      <c r="J144" s="61" t="str">
        <f>IF(Backlog!$A$143&lt;&gt;"",Backlog!$A$143,"")</f>
        <v/>
      </c>
      <c r="K144" s="68" t="str">
        <f>IF(Backlog!$B$143&lt;&gt;"",Backlog!$B$143,"")</f>
        <v/>
      </c>
      <c r="L144" s="69" t="str">
        <f>IF(Backlog!$C$143&lt;&gt;"",Backlog!$C$143,"")</f>
        <v/>
      </c>
      <c r="N144" s="61" t="str">
        <f>IF('Completed'!$A$143&lt;&gt;"",'Completed'!$A$143,"")</f>
        <v/>
      </c>
      <c r="O144" s="68" t="str">
        <f>IF('Completed'!$B$143&lt;&gt;"",'Completed'!$B$143,"")</f>
        <v/>
      </c>
      <c r="P144" s="68" t="str">
        <f ca="1">IF($N$144&lt;&gt;"", INDIRECT("'Tracker'!"&amp;ADDRESS(MATCH($N$144, Tracker[Anime Name], 0) + 2, 3)), "")</f>
        <v/>
      </c>
      <c r="Q144" s="62" t="str">
        <f ca="1">IF($N$144&lt;&gt;"", INDIRECT("'Tracker'!"&amp;ADDRESS(MATCH($N$144, Tracker[Anime Name], 0) + 2, 4)), "")</f>
        <v/>
      </c>
      <c r="R144" s="62" t="str">
        <f ca="1">IF($N$144&lt;&gt;"", INDIRECT("'Tracker'!"&amp;ADDRESS(MATCH($N$144, Tracker[Anime Name], 0) + 2, 5)), "")</f>
        <v/>
      </c>
      <c r="S144" s="62" t="str">
        <f ca="1">IF($N$144&lt;&gt;"", INDIRECT("'Tracker'!"&amp;ADDRESS(MATCH($N$144, Tracker[Anime Name], 0) + 2, 6)), "")</f>
        <v/>
      </c>
      <c r="T144" s="62" t="str">
        <f ca="1">IF($N$144&lt;&gt;"", INDIRECT("'Tracker'!"&amp;ADDRESS(MATCH($N$144, Tracker[Anime Name], 0) + 2, 7)), "")</f>
        <v/>
      </c>
      <c r="U144" s="68" t="str">
        <f ca="1">IF($N$144&lt;&gt;"", INDIRECT("'Tracker'!"&amp;ADDRESS(MATCH($N$144, Tracker[Anime Name], 0) + 2, 8)), "")</f>
        <v/>
      </c>
      <c r="V144" s="96" t="str">
        <f>IF('Completed'!$C$143&lt;&gt;"",'Completed'!$C$143,"")</f>
        <v/>
      </c>
      <c r="W144" s="96" t="str">
        <f>IF('Completed'!$D$143&lt;&gt;"",'Completed'!$D$143,"")</f>
        <v/>
      </c>
      <c r="X144" s="96" t="str">
        <f>IF('Completed'!$E$143&lt;&gt;"",'Completed'!$E$143,"")</f>
        <v/>
      </c>
      <c r="Y144" s="96" t="str">
        <f>IF('Completed'!$F$143&lt;&gt;"",'Completed'!$F$143,"")</f>
        <v/>
      </c>
      <c r="Z144" s="110" t="str">
        <f>IF('Completed'!$G$143&lt;&gt;"",'Completed'!$G$143,"")</f>
        <v/>
      </c>
      <c r="AA144" s="120" t="str">
        <f>IF('Completed'!$H$143&lt;&gt;"",'Completed'!$H$143,"")</f>
        <v/>
      </c>
      <c r="AB144" s="97" t="str">
        <f>IF('Completed'!$I$143&lt;&gt;"",'Completed'!$I$143,"")</f>
        <v/>
      </c>
      <c r="AC144" s="97" t="str">
        <f>IF('Completed'!$J$143&lt;&gt;"",'Completed'!$J$143,"")</f>
        <v/>
      </c>
      <c r="AD144" s="111" t="str">
        <f>IF('Completed'!$K$143&lt;&gt;"",'Completed'!$K$143,"")</f>
        <v/>
      </c>
      <c r="AE144" s="111" t="str">
        <f>IF('Completed'!$L$143&lt;&gt;"",'Completed'!$L$143,"")</f>
        <v/>
      </c>
    </row>
    <row r="145" spans="10:31">
      <c r="J145" s="61" t="str">
        <f>IF(Backlog!$A$144&lt;&gt;"",Backlog!$A$144,"")</f>
        <v/>
      </c>
      <c r="K145" s="68" t="str">
        <f>IF(Backlog!$B$144&lt;&gt;"",Backlog!$B$144,"")</f>
        <v/>
      </c>
      <c r="L145" s="69" t="str">
        <f>IF(Backlog!$C$144&lt;&gt;"",Backlog!$C$144,"")</f>
        <v/>
      </c>
      <c r="N145" s="61" t="str">
        <f>IF('Completed'!$A$144&lt;&gt;"",'Completed'!$A$144,"")</f>
        <v/>
      </c>
      <c r="O145" s="68" t="str">
        <f>IF('Completed'!$B$144&lt;&gt;"",'Completed'!$B$144,"")</f>
        <v/>
      </c>
      <c r="P145" s="68" t="str">
        <f ca="1">IF($N$145&lt;&gt;"", INDIRECT("'Tracker'!"&amp;ADDRESS(MATCH($N$145, Tracker[Anime Name], 0) + 2, 3)), "")</f>
        <v/>
      </c>
      <c r="Q145" s="62" t="str">
        <f ca="1">IF($N$145&lt;&gt;"", INDIRECT("'Tracker'!"&amp;ADDRESS(MATCH($N$145, Tracker[Anime Name], 0) + 2, 4)), "")</f>
        <v/>
      </c>
      <c r="R145" s="62" t="str">
        <f ca="1">IF($N$145&lt;&gt;"", INDIRECT("'Tracker'!"&amp;ADDRESS(MATCH($N$145, Tracker[Anime Name], 0) + 2, 5)), "")</f>
        <v/>
      </c>
      <c r="S145" s="62" t="str">
        <f ca="1">IF($N$145&lt;&gt;"", INDIRECT("'Tracker'!"&amp;ADDRESS(MATCH($N$145, Tracker[Anime Name], 0) + 2, 6)), "")</f>
        <v/>
      </c>
      <c r="T145" s="62" t="str">
        <f ca="1">IF($N$145&lt;&gt;"", INDIRECT("'Tracker'!"&amp;ADDRESS(MATCH($N$145, Tracker[Anime Name], 0) + 2, 7)), "")</f>
        <v/>
      </c>
      <c r="U145" s="68" t="str">
        <f ca="1">IF($N$145&lt;&gt;"", INDIRECT("'Tracker'!"&amp;ADDRESS(MATCH($N$145, Tracker[Anime Name], 0) + 2, 8)), "")</f>
        <v/>
      </c>
      <c r="V145" s="96" t="str">
        <f>IF('Completed'!$C$144&lt;&gt;"",'Completed'!$C$144,"")</f>
        <v/>
      </c>
      <c r="W145" s="96" t="str">
        <f>IF('Completed'!$D$144&lt;&gt;"",'Completed'!$D$144,"")</f>
        <v/>
      </c>
      <c r="X145" s="96" t="str">
        <f>IF('Completed'!$E$144&lt;&gt;"",'Completed'!$E$144,"")</f>
        <v/>
      </c>
      <c r="Y145" s="96" t="str">
        <f>IF('Completed'!$F$144&lt;&gt;"",'Completed'!$F$144,"")</f>
        <v/>
      </c>
      <c r="Z145" s="110" t="str">
        <f>IF('Completed'!$G$144&lt;&gt;"",'Completed'!$G$144,"")</f>
        <v/>
      </c>
      <c r="AA145" s="120" t="str">
        <f>IF('Completed'!$H$144&lt;&gt;"",'Completed'!$H$144,"")</f>
        <v/>
      </c>
      <c r="AB145" s="97" t="str">
        <f>IF('Completed'!$I$144&lt;&gt;"",'Completed'!$I$144,"")</f>
        <v/>
      </c>
      <c r="AC145" s="97" t="str">
        <f>IF('Completed'!$J$144&lt;&gt;"",'Completed'!$J$144,"")</f>
        <v/>
      </c>
      <c r="AD145" s="111" t="str">
        <f>IF('Completed'!$K$144&lt;&gt;"",'Completed'!$K$144,"")</f>
        <v/>
      </c>
      <c r="AE145" s="111" t="str">
        <f>IF('Completed'!$L$144&lt;&gt;"",'Completed'!$L$144,"")</f>
        <v/>
      </c>
    </row>
    <row r="146" spans="10:31">
      <c r="J146" s="61" t="str">
        <f>IF(Backlog!$A$145&lt;&gt;"",Backlog!$A$145,"")</f>
        <v/>
      </c>
      <c r="K146" s="68" t="str">
        <f>IF(Backlog!$B$145&lt;&gt;"",Backlog!$B$145,"")</f>
        <v/>
      </c>
      <c r="L146" s="69" t="str">
        <f>IF(Backlog!$C$145&lt;&gt;"",Backlog!$C$145,"")</f>
        <v/>
      </c>
      <c r="N146" s="61" t="str">
        <f>IF('Completed'!$A$145&lt;&gt;"",'Completed'!$A$145,"")</f>
        <v/>
      </c>
      <c r="O146" s="68" t="str">
        <f>IF('Completed'!$B$145&lt;&gt;"",'Completed'!$B$145,"")</f>
        <v/>
      </c>
      <c r="P146" s="68" t="str">
        <f ca="1">IF($N$146&lt;&gt;"", INDIRECT("'Tracker'!"&amp;ADDRESS(MATCH($N$146, Tracker[Anime Name], 0) + 2, 3)), "")</f>
        <v/>
      </c>
      <c r="Q146" s="62" t="str">
        <f ca="1">IF($N$146&lt;&gt;"", INDIRECT("'Tracker'!"&amp;ADDRESS(MATCH($N$146, Tracker[Anime Name], 0) + 2, 4)), "")</f>
        <v/>
      </c>
      <c r="R146" s="62" t="str">
        <f ca="1">IF($N$146&lt;&gt;"", INDIRECT("'Tracker'!"&amp;ADDRESS(MATCH($N$146, Tracker[Anime Name], 0) + 2, 5)), "")</f>
        <v/>
      </c>
      <c r="S146" s="62" t="str">
        <f ca="1">IF($N$146&lt;&gt;"", INDIRECT("'Tracker'!"&amp;ADDRESS(MATCH($N$146, Tracker[Anime Name], 0) + 2, 6)), "")</f>
        <v/>
      </c>
      <c r="T146" s="62" t="str">
        <f ca="1">IF($N$146&lt;&gt;"", INDIRECT("'Tracker'!"&amp;ADDRESS(MATCH($N$146, Tracker[Anime Name], 0) + 2, 7)), "")</f>
        <v/>
      </c>
      <c r="U146" s="68" t="str">
        <f ca="1">IF($N$146&lt;&gt;"", INDIRECT("'Tracker'!"&amp;ADDRESS(MATCH($N$146, Tracker[Anime Name], 0) + 2, 8)), "")</f>
        <v/>
      </c>
      <c r="V146" s="96" t="str">
        <f>IF('Completed'!$C$145&lt;&gt;"",'Completed'!$C$145,"")</f>
        <v/>
      </c>
      <c r="W146" s="96" t="str">
        <f>IF('Completed'!$D$145&lt;&gt;"",'Completed'!$D$145,"")</f>
        <v/>
      </c>
      <c r="X146" s="96" t="str">
        <f>IF('Completed'!$E$145&lt;&gt;"",'Completed'!$E$145,"")</f>
        <v/>
      </c>
      <c r="Y146" s="96" t="str">
        <f>IF('Completed'!$F$145&lt;&gt;"",'Completed'!$F$145,"")</f>
        <v/>
      </c>
      <c r="Z146" s="110" t="str">
        <f>IF('Completed'!$G$145&lt;&gt;"",'Completed'!$G$145,"")</f>
        <v/>
      </c>
      <c r="AA146" s="120" t="str">
        <f>IF('Completed'!$H$145&lt;&gt;"",'Completed'!$H$145,"")</f>
        <v/>
      </c>
      <c r="AB146" s="97" t="str">
        <f>IF('Completed'!$I$145&lt;&gt;"",'Completed'!$I$145,"")</f>
        <v/>
      </c>
      <c r="AC146" s="97" t="str">
        <f>IF('Completed'!$J$145&lt;&gt;"",'Completed'!$J$145,"")</f>
        <v/>
      </c>
      <c r="AD146" s="111" t="str">
        <f>IF('Completed'!$K$145&lt;&gt;"",'Completed'!$K$145,"")</f>
        <v/>
      </c>
      <c r="AE146" s="111" t="str">
        <f>IF('Completed'!$L$145&lt;&gt;"",'Completed'!$L$145,"")</f>
        <v/>
      </c>
    </row>
    <row r="147" spans="10:31">
      <c r="J147" s="61" t="str">
        <f>IF(Backlog!$A$146&lt;&gt;"",Backlog!$A$146,"")</f>
        <v/>
      </c>
      <c r="K147" s="68" t="str">
        <f>IF(Backlog!$B$146&lt;&gt;"",Backlog!$B$146,"")</f>
        <v/>
      </c>
      <c r="L147" s="69" t="str">
        <f>IF(Backlog!$C$146&lt;&gt;"",Backlog!$C$146,"")</f>
        <v/>
      </c>
      <c r="N147" s="61" t="str">
        <f>IF('Completed'!$A$146&lt;&gt;"",'Completed'!$A$146,"")</f>
        <v/>
      </c>
      <c r="O147" s="68" t="str">
        <f>IF('Completed'!$B$146&lt;&gt;"",'Completed'!$B$146,"")</f>
        <v/>
      </c>
      <c r="P147" s="68" t="str">
        <f ca="1">IF($N$147&lt;&gt;"", INDIRECT("'Tracker'!"&amp;ADDRESS(MATCH($N$147, Tracker[Anime Name], 0) + 2, 3)), "")</f>
        <v/>
      </c>
      <c r="Q147" s="62" t="str">
        <f ca="1">IF($N$147&lt;&gt;"", INDIRECT("'Tracker'!"&amp;ADDRESS(MATCH($N$147, Tracker[Anime Name], 0) + 2, 4)), "")</f>
        <v/>
      </c>
      <c r="R147" s="62" t="str">
        <f ca="1">IF($N$147&lt;&gt;"", INDIRECT("'Tracker'!"&amp;ADDRESS(MATCH($N$147, Tracker[Anime Name], 0) + 2, 5)), "")</f>
        <v/>
      </c>
      <c r="S147" s="62" t="str">
        <f ca="1">IF($N$147&lt;&gt;"", INDIRECT("'Tracker'!"&amp;ADDRESS(MATCH($N$147, Tracker[Anime Name], 0) + 2, 6)), "")</f>
        <v/>
      </c>
      <c r="T147" s="62" t="str">
        <f ca="1">IF($N$147&lt;&gt;"", INDIRECT("'Tracker'!"&amp;ADDRESS(MATCH($N$147, Tracker[Anime Name], 0) + 2, 7)), "")</f>
        <v/>
      </c>
      <c r="U147" s="68" t="str">
        <f ca="1">IF($N$147&lt;&gt;"", INDIRECT("'Tracker'!"&amp;ADDRESS(MATCH($N$147, Tracker[Anime Name], 0) + 2, 8)), "")</f>
        <v/>
      </c>
      <c r="V147" s="96" t="str">
        <f>IF('Completed'!$C$146&lt;&gt;"",'Completed'!$C$146,"")</f>
        <v/>
      </c>
      <c r="W147" s="96" t="str">
        <f>IF('Completed'!$D$146&lt;&gt;"",'Completed'!$D$146,"")</f>
        <v/>
      </c>
      <c r="X147" s="96" t="str">
        <f>IF('Completed'!$E$146&lt;&gt;"",'Completed'!$E$146,"")</f>
        <v/>
      </c>
      <c r="Y147" s="96" t="str">
        <f>IF('Completed'!$F$146&lt;&gt;"",'Completed'!$F$146,"")</f>
        <v/>
      </c>
      <c r="Z147" s="110" t="str">
        <f>IF('Completed'!$G$146&lt;&gt;"",'Completed'!$G$146,"")</f>
        <v/>
      </c>
      <c r="AA147" s="120" t="str">
        <f>IF('Completed'!$H$146&lt;&gt;"",'Completed'!$H$146,"")</f>
        <v/>
      </c>
      <c r="AB147" s="97" t="str">
        <f>IF('Completed'!$I$146&lt;&gt;"",'Completed'!$I$146,"")</f>
        <v/>
      </c>
      <c r="AC147" s="97" t="str">
        <f>IF('Completed'!$J$146&lt;&gt;"",'Completed'!$J$146,"")</f>
        <v/>
      </c>
      <c r="AD147" s="111" t="str">
        <f>IF('Completed'!$K$146&lt;&gt;"",'Completed'!$K$146,"")</f>
        <v/>
      </c>
      <c r="AE147" s="111" t="str">
        <f>IF('Completed'!$L$146&lt;&gt;"",'Completed'!$L$146,"")</f>
        <v/>
      </c>
    </row>
    <row r="148" spans="10:31">
      <c r="J148" s="61" t="str">
        <f>IF(Backlog!$A$147&lt;&gt;"",Backlog!$A$147,"")</f>
        <v/>
      </c>
      <c r="K148" s="68" t="str">
        <f>IF(Backlog!$B$147&lt;&gt;"",Backlog!$B$147,"")</f>
        <v/>
      </c>
      <c r="L148" s="69" t="str">
        <f>IF(Backlog!$C$147&lt;&gt;"",Backlog!$C$147,"")</f>
        <v/>
      </c>
      <c r="N148" s="61" t="str">
        <f>IF('Completed'!$A$147&lt;&gt;"",'Completed'!$A$147,"")</f>
        <v/>
      </c>
      <c r="O148" s="68" t="str">
        <f>IF('Completed'!$B$147&lt;&gt;"",'Completed'!$B$147,"")</f>
        <v/>
      </c>
      <c r="P148" s="68" t="str">
        <f ca="1">IF($N$148&lt;&gt;"", INDIRECT("'Tracker'!"&amp;ADDRESS(MATCH($N$148, Tracker[Anime Name], 0) + 2, 3)), "")</f>
        <v/>
      </c>
      <c r="Q148" s="62" t="str">
        <f ca="1">IF($N$148&lt;&gt;"", INDIRECT("'Tracker'!"&amp;ADDRESS(MATCH($N$148, Tracker[Anime Name], 0) + 2, 4)), "")</f>
        <v/>
      </c>
      <c r="R148" s="62" t="str">
        <f ca="1">IF($N$148&lt;&gt;"", INDIRECT("'Tracker'!"&amp;ADDRESS(MATCH($N$148, Tracker[Anime Name], 0) + 2, 5)), "")</f>
        <v/>
      </c>
      <c r="S148" s="62" t="str">
        <f ca="1">IF($N$148&lt;&gt;"", INDIRECT("'Tracker'!"&amp;ADDRESS(MATCH($N$148, Tracker[Anime Name], 0) + 2, 6)), "")</f>
        <v/>
      </c>
      <c r="T148" s="62" t="str">
        <f ca="1">IF($N$148&lt;&gt;"", INDIRECT("'Tracker'!"&amp;ADDRESS(MATCH($N$148, Tracker[Anime Name], 0) + 2, 7)), "")</f>
        <v/>
      </c>
      <c r="U148" s="68" t="str">
        <f ca="1">IF($N$148&lt;&gt;"", INDIRECT("'Tracker'!"&amp;ADDRESS(MATCH($N$148, Tracker[Anime Name], 0) + 2, 8)), "")</f>
        <v/>
      </c>
      <c r="V148" s="96" t="str">
        <f>IF('Completed'!$C$147&lt;&gt;"",'Completed'!$C$147,"")</f>
        <v/>
      </c>
      <c r="W148" s="96" t="str">
        <f>IF('Completed'!$D$147&lt;&gt;"",'Completed'!$D$147,"")</f>
        <v/>
      </c>
      <c r="X148" s="96" t="str">
        <f>IF('Completed'!$E$147&lt;&gt;"",'Completed'!$E$147,"")</f>
        <v/>
      </c>
      <c r="Y148" s="96" t="str">
        <f>IF('Completed'!$F$147&lt;&gt;"",'Completed'!$F$147,"")</f>
        <v/>
      </c>
      <c r="Z148" s="110" t="str">
        <f>IF('Completed'!$G$147&lt;&gt;"",'Completed'!$G$147,"")</f>
        <v/>
      </c>
      <c r="AA148" s="120" t="str">
        <f>IF('Completed'!$H$147&lt;&gt;"",'Completed'!$H$147,"")</f>
        <v/>
      </c>
      <c r="AB148" s="97" t="str">
        <f>IF('Completed'!$I$147&lt;&gt;"",'Completed'!$I$147,"")</f>
        <v/>
      </c>
      <c r="AC148" s="97" t="str">
        <f>IF('Completed'!$J$147&lt;&gt;"",'Completed'!$J$147,"")</f>
        <v/>
      </c>
      <c r="AD148" s="111" t="str">
        <f>IF('Completed'!$K$147&lt;&gt;"",'Completed'!$K$147,"")</f>
        <v/>
      </c>
      <c r="AE148" s="111" t="str">
        <f>IF('Completed'!$L$147&lt;&gt;"",'Completed'!$L$147,"")</f>
        <v/>
      </c>
    </row>
    <row r="149" spans="10:31">
      <c r="J149" s="61" t="str">
        <f>IF(Backlog!$A$148&lt;&gt;"",Backlog!$A$148,"")</f>
        <v/>
      </c>
      <c r="K149" s="68" t="str">
        <f>IF(Backlog!$B$148&lt;&gt;"",Backlog!$B$148,"")</f>
        <v/>
      </c>
      <c r="L149" s="69" t="str">
        <f>IF(Backlog!$C$148&lt;&gt;"",Backlog!$C$148,"")</f>
        <v/>
      </c>
      <c r="N149" s="61" t="str">
        <f>IF('Completed'!$A$148&lt;&gt;"",'Completed'!$A$148,"")</f>
        <v/>
      </c>
      <c r="O149" s="68" t="str">
        <f>IF('Completed'!$B$148&lt;&gt;"",'Completed'!$B$148,"")</f>
        <v/>
      </c>
      <c r="P149" s="68" t="str">
        <f ca="1">IF($N$149&lt;&gt;"", INDIRECT("'Tracker'!"&amp;ADDRESS(MATCH($N$149, Tracker[Anime Name], 0) + 2, 3)), "")</f>
        <v/>
      </c>
      <c r="Q149" s="62" t="str">
        <f ca="1">IF($N$149&lt;&gt;"", INDIRECT("'Tracker'!"&amp;ADDRESS(MATCH($N$149, Tracker[Anime Name], 0) + 2, 4)), "")</f>
        <v/>
      </c>
      <c r="R149" s="62" t="str">
        <f ca="1">IF($N$149&lt;&gt;"", INDIRECT("'Tracker'!"&amp;ADDRESS(MATCH($N$149, Tracker[Anime Name], 0) + 2, 5)), "")</f>
        <v/>
      </c>
      <c r="S149" s="62" t="str">
        <f ca="1">IF($N$149&lt;&gt;"", INDIRECT("'Tracker'!"&amp;ADDRESS(MATCH($N$149, Tracker[Anime Name], 0) + 2, 6)), "")</f>
        <v/>
      </c>
      <c r="T149" s="62" t="str">
        <f ca="1">IF($N$149&lt;&gt;"", INDIRECT("'Tracker'!"&amp;ADDRESS(MATCH($N$149, Tracker[Anime Name], 0) + 2, 7)), "")</f>
        <v/>
      </c>
      <c r="U149" s="68" t="str">
        <f ca="1">IF($N$149&lt;&gt;"", INDIRECT("'Tracker'!"&amp;ADDRESS(MATCH($N$149, Tracker[Anime Name], 0) + 2, 8)), "")</f>
        <v/>
      </c>
      <c r="V149" s="96" t="str">
        <f>IF('Completed'!$C$148&lt;&gt;"",'Completed'!$C$148,"")</f>
        <v/>
      </c>
      <c r="W149" s="96" t="str">
        <f>IF('Completed'!$D$148&lt;&gt;"",'Completed'!$D$148,"")</f>
        <v/>
      </c>
      <c r="X149" s="96" t="str">
        <f>IF('Completed'!$E$148&lt;&gt;"",'Completed'!$E$148,"")</f>
        <v/>
      </c>
      <c r="Y149" s="96" t="str">
        <f>IF('Completed'!$F$148&lt;&gt;"",'Completed'!$F$148,"")</f>
        <v/>
      </c>
      <c r="Z149" s="110" t="str">
        <f>IF('Completed'!$G$148&lt;&gt;"",'Completed'!$G$148,"")</f>
        <v/>
      </c>
      <c r="AA149" s="120" t="str">
        <f>IF('Completed'!$H$148&lt;&gt;"",'Completed'!$H$148,"")</f>
        <v/>
      </c>
      <c r="AB149" s="97" t="str">
        <f>IF('Completed'!$I$148&lt;&gt;"",'Completed'!$I$148,"")</f>
        <v/>
      </c>
      <c r="AC149" s="97" t="str">
        <f>IF('Completed'!$J$148&lt;&gt;"",'Completed'!$J$148,"")</f>
        <v/>
      </c>
      <c r="AD149" s="111" t="str">
        <f>IF('Completed'!$K$148&lt;&gt;"",'Completed'!$K$148,"")</f>
        <v/>
      </c>
      <c r="AE149" s="111" t="str">
        <f>IF('Completed'!$L$148&lt;&gt;"",'Completed'!$L$148,"")</f>
        <v/>
      </c>
    </row>
    <row r="150" spans="10:31">
      <c r="J150" s="61" t="str">
        <f>IF(Backlog!$A$149&lt;&gt;"",Backlog!$A$149,"")</f>
        <v/>
      </c>
      <c r="K150" s="68" t="str">
        <f>IF(Backlog!$B$149&lt;&gt;"",Backlog!$B$149,"")</f>
        <v/>
      </c>
      <c r="L150" s="69" t="str">
        <f>IF(Backlog!$C$149&lt;&gt;"",Backlog!$C$149,"")</f>
        <v/>
      </c>
      <c r="N150" s="61" t="str">
        <f>IF('Completed'!$A$149&lt;&gt;"",'Completed'!$A$149,"")</f>
        <v/>
      </c>
      <c r="O150" s="68" t="str">
        <f>IF('Completed'!$B$149&lt;&gt;"",'Completed'!$B$149,"")</f>
        <v/>
      </c>
      <c r="P150" s="68" t="str">
        <f ca="1">IF($N$150&lt;&gt;"", INDIRECT("'Tracker'!"&amp;ADDRESS(MATCH($N$150, Tracker[Anime Name], 0) + 2, 3)), "")</f>
        <v/>
      </c>
      <c r="Q150" s="62" t="str">
        <f ca="1">IF($N$150&lt;&gt;"", INDIRECT("'Tracker'!"&amp;ADDRESS(MATCH($N$150, Tracker[Anime Name], 0) + 2, 4)), "")</f>
        <v/>
      </c>
      <c r="R150" s="62" t="str">
        <f ca="1">IF($N$150&lt;&gt;"", INDIRECT("'Tracker'!"&amp;ADDRESS(MATCH($N$150, Tracker[Anime Name], 0) + 2, 5)), "")</f>
        <v/>
      </c>
      <c r="S150" s="62" t="str">
        <f ca="1">IF($N$150&lt;&gt;"", INDIRECT("'Tracker'!"&amp;ADDRESS(MATCH($N$150, Tracker[Anime Name], 0) + 2, 6)), "")</f>
        <v/>
      </c>
      <c r="T150" s="62" t="str">
        <f ca="1">IF($N$150&lt;&gt;"", INDIRECT("'Tracker'!"&amp;ADDRESS(MATCH($N$150, Tracker[Anime Name], 0) + 2, 7)), "")</f>
        <v/>
      </c>
      <c r="U150" s="68" t="str">
        <f ca="1">IF($N$150&lt;&gt;"", INDIRECT("'Tracker'!"&amp;ADDRESS(MATCH($N$150, Tracker[Anime Name], 0) + 2, 8)), "")</f>
        <v/>
      </c>
      <c r="V150" s="96" t="str">
        <f>IF('Completed'!$C$149&lt;&gt;"",'Completed'!$C$149,"")</f>
        <v/>
      </c>
      <c r="W150" s="96" t="str">
        <f>IF('Completed'!$D$149&lt;&gt;"",'Completed'!$D$149,"")</f>
        <v/>
      </c>
      <c r="X150" s="96" t="str">
        <f>IF('Completed'!$E$149&lt;&gt;"",'Completed'!$E$149,"")</f>
        <v/>
      </c>
      <c r="Y150" s="96" t="str">
        <f>IF('Completed'!$F$149&lt;&gt;"",'Completed'!$F$149,"")</f>
        <v/>
      </c>
      <c r="Z150" s="110" t="str">
        <f>IF('Completed'!$G$149&lt;&gt;"",'Completed'!$G$149,"")</f>
        <v/>
      </c>
      <c r="AA150" s="120" t="str">
        <f>IF('Completed'!$H$149&lt;&gt;"",'Completed'!$H$149,"")</f>
        <v/>
      </c>
      <c r="AB150" s="97" t="str">
        <f>IF('Completed'!$I$149&lt;&gt;"",'Completed'!$I$149,"")</f>
        <v/>
      </c>
      <c r="AC150" s="97" t="str">
        <f>IF('Completed'!$J$149&lt;&gt;"",'Completed'!$J$149,"")</f>
        <v/>
      </c>
      <c r="AD150" s="111" t="str">
        <f>IF('Completed'!$K$149&lt;&gt;"",'Completed'!$K$149,"")</f>
        <v/>
      </c>
      <c r="AE150" s="111" t="str">
        <f>IF('Completed'!$L$149&lt;&gt;"",'Completed'!$L$149,"")</f>
        <v/>
      </c>
    </row>
    <row r="151" spans="10:31">
      <c r="J151" s="61" t="str">
        <f>IF(Backlog!$A$150&lt;&gt;"",Backlog!$A$150,"")</f>
        <v/>
      </c>
      <c r="K151" s="68" t="str">
        <f>IF(Backlog!$B$150&lt;&gt;"",Backlog!$B$150,"")</f>
        <v/>
      </c>
      <c r="L151" s="69" t="str">
        <f>IF(Backlog!$C$150&lt;&gt;"",Backlog!$C$150,"")</f>
        <v/>
      </c>
      <c r="N151" s="61" t="str">
        <f>IF('Completed'!$A$150&lt;&gt;"",'Completed'!$A$150,"")</f>
        <v/>
      </c>
      <c r="O151" s="68" t="str">
        <f>IF('Completed'!$B$150&lt;&gt;"",'Completed'!$B$150,"")</f>
        <v/>
      </c>
      <c r="P151" s="68" t="str">
        <f ca="1">IF($N$151&lt;&gt;"", INDIRECT("'Tracker'!"&amp;ADDRESS(MATCH($N$151, Tracker[Anime Name], 0) + 2, 3)), "")</f>
        <v/>
      </c>
      <c r="Q151" s="62" t="str">
        <f ca="1">IF($N$151&lt;&gt;"", INDIRECT("'Tracker'!"&amp;ADDRESS(MATCH($N$151, Tracker[Anime Name], 0) + 2, 4)), "")</f>
        <v/>
      </c>
      <c r="R151" s="62" t="str">
        <f ca="1">IF($N$151&lt;&gt;"", INDIRECT("'Tracker'!"&amp;ADDRESS(MATCH($N$151, Tracker[Anime Name], 0) + 2, 5)), "")</f>
        <v/>
      </c>
      <c r="S151" s="62" t="str">
        <f ca="1">IF($N$151&lt;&gt;"", INDIRECT("'Tracker'!"&amp;ADDRESS(MATCH($N$151, Tracker[Anime Name], 0) + 2, 6)), "")</f>
        <v/>
      </c>
      <c r="T151" s="62" t="str">
        <f ca="1">IF($N$151&lt;&gt;"", INDIRECT("'Tracker'!"&amp;ADDRESS(MATCH($N$151, Tracker[Anime Name], 0) + 2, 7)), "")</f>
        <v/>
      </c>
      <c r="U151" s="68" t="str">
        <f ca="1">IF($N$151&lt;&gt;"", INDIRECT("'Tracker'!"&amp;ADDRESS(MATCH($N$151, Tracker[Anime Name], 0) + 2, 8)), "")</f>
        <v/>
      </c>
      <c r="V151" s="96" t="str">
        <f>IF('Completed'!$C$150&lt;&gt;"",'Completed'!$C$150,"")</f>
        <v/>
      </c>
      <c r="W151" s="96" t="str">
        <f>IF('Completed'!$D$150&lt;&gt;"",'Completed'!$D$150,"")</f>
        <v/>
      </c>
      <c r="X151" s="96" t="str">
        <f>IF('Completed'!$E$150&lt;&gt;"",'Completed'!$E$150,"")</f>
        <v/>
      </c>
      <c r="Y151" s="96" t="str">
        <f>IF('Completed'!$F$150&lt;&gt;"",'Completed'!$F$150,"")</f>
        <v/>
      </c>
      <c r="Z151" s="110" t="str">
        <f>IF('Completed'!$G$150&lt;&gt;"",'Completed'!$G$150,"")</f>
        <v/>
      </c>
      <c r="AA151" s="120" t="str">
        <f>IF('Completed'!$H$150&lt;&gt;"",'Completed'!$H$150,"")</f>
        <v/>
      </c>
      <c r="AB151" s="97" t="str">
        <f>IF('Completed'!$I$150&lt;&gt;"",'Completed'!$I$150,"")</f>
        <v/>
      </c>
      <c r="AC151" s="97" t="str">
        <f>IF('Completed'!$J$150&lt;&gt;"",'Completed'!$J$150,"")</f>
        <v/>
      </c>
      <c r="AD151" s="111" t="str">
        <f>IF('Completed'!$K$150&lt;&gt;"",'Completed'!$K$150,"")</f>
        <v/>
      </c>
      <c r="AE151" s="111" t="str">
        <f>IF('Completed'!$L$150&lt;&gt;"",'Completed'!$L$150,"")</f>
        <v/>
      </c>
    </row>
    <row r="152" spans="10:31">
      <c r="J152" s="61" t="str">
        <f>IF(Backlog!$A$151&lt;&gt;"",Backlog!$A$151,"")</f>
        <v/>
      </c>
      <c r="K152" s="68" t="str">
        <f>IF(Backlog!$B$151&lt;&gt;"",Backlog!$B$151,"")</f>
        <v/>
      </c>
      <c r="L152" s="69" t="str">
        <f>IF(Backlog!$C$151&lt;&gt;"",Backlog!$C$151,"")</f>
        <v/>
      </c>
      <c r="N152" s="61" t="str">
        <f>IF('Completed'!$A$151&lt;&gt;"",'Completed'!$A$151,"")</f>
        <v/>
      </c>
      <c r="O152" s="68" t="str">
        <f>IF('Completed'!$B$151&lt;&gt;"",'Completed'!$B$151,"")</f>
        <v/>
      </c>
      <c r="P152" s="68" t="str">
        <f ca="1">IF($N$152&lt;&gt;"", INDIRECT("'Tracker'!"&amp;ADDRESS(MATCH($N$152, Tracker[Anime Name], 0) + 2, 3)), "")</f>
        <v/>
      </c>
      <c r="Q152" s="62" t="str">
        <f ca="1">IF($N$152&lt;&gt;"", INDIRECT("'Tracker'!"&amp;ADDRESS(MATCH($N$152, Tracker[Anime Name], 0) + 2, 4)), "")</f>
        <v/>
      </c>
      <c r="R152" s="62" t="str">
        <f ca="1">IF($N$152&lt;&gt;"", INDIRECT("'Tracker'!"&amp;ADDRESS(MATCH($N$152, Tracker[Anime Name], 0) + 2, 5)), "")</f>
        <v/>
      </c>
      <c r="S152" s="62" t="str">
        <f ca="1">IF($N$152&lt;&gt;"", INDIRECT("'Tracker'!"&amp;ADDRESS(MATCH($N$152, Tracker[Anime Name], 0) + 2, 6)), "")</f>
        <v/>
      </c>
      <c r="T152" s="62" t="str">
        <f ca="1">IF($N$152&lt;&gt;"", INDIRECT("'Tracker'!"&amp;ADDRESS(MATCH($N$152, Tracker[Anime Name], 0) + 2, 7)), "")</f>
        <v/>
      </c>
      <c r="U152" s="68" t="str">
        <f ca="1">IF($N$152&lt;&gt;"", INDIRECT("'Tracker'!"&amp;ADDRESS(MATCH($N$152, Tracker[Anime Name], 0) + 2, 8)), "")</f>
        <v/>
      </c>
      <c r="V152" s="96" t="str">
        <f>IF('Completed'!$C$151&lt;&gt;"",'Completed'!$C$151,"")</f>
        <v/>
      </c>
      <c r="W152" s="96" t="str">
        <f>IF('Completed'!$D$151&lt;&gt;"",'Completed'!$D$151,"")</f>
        <v/>
      </c>
      <c r="X152" s="96" t="str">
        <f>IF('Completed'!$E$151&lt;&gt;"",'Completed'!$E$151,"")</f>
        <v/>
      </c>
      <c r="Y152" s="96" t="str">
        <f>IF('Completed'!$F$151&lt;&gt;"",'Completed'!$F$151,"")</f>
        <v/>
      </c>
      <c r="Z152" s="110" t="str">
        <f>IF('Completed'!$G$151&lt;&gt;"",'Completed'!$G$151,"")</f>
        <v/>
      </c>
      <c r="AA152" s="120" t="str">
        <f>IF('Completed'!$H$151&lt;&gt;"",'Completed'!$H$151,"")</f>
        <v/>
      </c>
      <c r="AB152" s="97" t="str">
        <f>IF('Completed'!$I$151&lt;&gt;"",'Completed'!$I$151,"")</f>
        <v/>
      </c>
      <c r="AC152" s="97" t="str">
        <f>IF('Completed'!$J$151&lt;&gt;"",'Completed'!$J$151,"")</f>
        <v/>
      </c>
      <c r="AD152" s="111" t="str">
        <f>IF('Completed'!$K$151&lt;&gt;"",'Completed'!$K$151,"")</f>
        <v/>
      </c>
      <c r="AE152" s="111" t="str">
        <f>IF('Completed'!$L$151&lt;&gt;"",'Completed'!$L$151,"")</f>
        <v/>
      </c>
    </row>
    <row r="153" spans="10:31">
      <c r="J153" s="61" t="str">
        <f>IF(Backlog!$A$152&lt;&gt;"",Backlog!$A$152,"")</f>
        <v/>
      </c>
      <c r="K153" s="68" t="str">
        <f>IF(Backlog!$B$152&lt;&gt;"",Backlog!$B$152,"")</f>
        <v/>
      </c>
      <c r="L153" s="69" t="str">
        <f>IF(Backlog!$C$152&lt;&gt;"",Backlog!$C$152,"")</f>
        <v/>
      </c>
      <c r="N153" s="61" t="str">
        <f>IF('Completed'!$A$152&lt;&gt;"",'Completed'!$A$152,"")</f>
        <v/>
      </c>
      <c r="O153" s="68" t="str">
        <f>IF('Completed'!$B$152&lt;&gt;"",'Completed'!$B$152,"")</f>
        <v/>
      </c>
      <c r="P153" s="68" t="str">
        <f ca="1">IF($N$153&lt;&gt;"", INDIRECT("'Tracker'!"&amp;ADDRESS(MATCH($N$153, Tracker[Anime Name], 0) + 2, 3)), "")</f>
        <v/>
      </c>
      <c r="Q153" s="62" t="str">
        <f ca="1">IF($N$153&lt;&gt;"", INDIRECT("'Tracker'!"&amp;ADDRESS(MATCH($N$153, Tracker[Anime Name], 0) + 2, 4)), "")</f>
        <v/>
      </c>
      <c r="R153" s="62" t="str">
        <f ca="1">IF($N$153&lt;&gt;"", INDIRECT("'Tracker'!"&amp;ADDRESS(MATCH($N$153, Tracker[Anime Name], 0) + 2, 5)), "")</f>
        <v/>
      </c>
      <c r="S153" s="62" t="str">
        <f ca="1">IF($N$153&lt;&gt;"", INDIRECT("'Tracker'!"&amp;ADDRESS(MATCH($N$153, Tracker[Anime Name], 0) + 2, 6)), "")</f>
        <v/>
      </c>
      <c r="T153" s="62" t="str">
        <f ca="1">IF($N$153&lt;&gt;"", INDIRECT("'Tracker'!"&amp;ADDRESS(MATCH($N$153, Tracker[Anime Name], 0) + 2, 7)), "")</f>
        <v/>
      </c>
      <c r="U153" s="68" t="str">
        <f ca="1">IF($N$153&lt;&gt;"", INDIRECT("'Tracker'!"&amp;ADDRESS(MATCH($N$153, Tracker[Anime Name], 0) + 2, 8)), "")</f>
        <v/>
      </c>
      <c r="V153" s="96" t="str">
        <f>IF('Completed'!$C$152&lt;&gt;"",'Completed'!$C$152,"")</f>
        <v/>
      </c>
      <c r="W153" s="96" t="str">
        <f>IF('Completed'!$D$152&lt;&gt;"",'Completed'!$D$152,"")</f>
        <v/>
      </c>
      <c r="X153" s="96" t="str">
        <f>IF('Completed'!$E$152&lt;&gt;"",'Completed'!$E$152,"")</f>
        <v/>
      </c>
      <c r="Y153" s="96" t="str">
        <f>IF('Completed'!$F$152&lt;&gt;"",'Completed'!$F$152,"")</f>
        <v/>
      </c>
      <c r="Z153" s="110" t="str">
        <f>IF('Completed'!$G$152&lt;&gt;"",'Completed'!$G$152,"")</f>
        <v/>
      </c>
      <c r="AA153" s="120" t="str">
        <f>IF('Completed'!$H$152&lt;&gt;"",'Completed'!$H$152,"")</f>
        <v/>
      </c>
      <c r="AB153" s="97" t="str">
        <f>IF('Completed'!$I$152&lt;&gt;"",'Completed'!$I$152,"")</f>
        <v/>
      </c>
      <c r="AC153" s="97" t="str">
        <f>IF('Completed'!$J$152&lt;&gt;"",'Completed'!$J$152,"")</f>
        <v/>
      </c>
      <c r="AD153" s="111" t="str">
        <f>IF('Completed'!$K$152&lt;&gt;"",'Completed'!$K$152,"")</f>
        <v/>
      </c>
      <c r="AE153" s="111" t="str">
        <f>IF('Completed'!$L$152&lt;&gt;"",'Completed'!$L$152,"")</f>
        <v/>
      </c>
    </row>
    <row r="154" spans="10:31">
      <c r="J154" s="61" t="str">
        <f>IF(Backlog!$A$153&lt;&gt;"",Backlog!$A$153,"")</f>
        <v/>
      </c>
      <c r="K154" s="68" t="str">
        <f>IF(Backlog!$B$153&lt;&gt;"",Backlog!$B$153,"")</f>
        <v/>
      </c>
      <c r="L154" s="69" t="str">
        <f>IF(Backlog!$C$153&lt;&gt;"",Backlog!$C$153,"")</f>
        <v/>
      </c>
      <c r="N154" s="61" t="str">
        <f>IF('Completed'!$A$153&lt;&gt;"",'Completed'!$A$153,"")</f>
        <v/>
      </c>
      <c r="O154" s="68" t="str">
        <f>IF('Completed'!$B$153&lt;&gt;"",'Completed'!$B$153,"")</f>
        <v/>
      </c>
      <c r="P154" s="68" t="str">
        <f ca="1">IF($N$154&lt;&gt;"", INDIRECT("'Tracker'!"&amp;ADDRESS(MATCH($N$154, Tracker[Anime Name], 0) + 2, 3)), "")</f>
        <v/>
      </c>
      <c r="Q154" s="62" t="str">
        <f ca="1">IF($N$154&lt;&gt;"", INDIRECT("'Tracker'!"&amp;ADDRESS(MATCH($N$154, Tracker[Anime Name], 0) + 2, 4)), "")</f>
        <v/>
      </c>
      <c r="R154" s="62" t="str">
        <f ca="1">IF($N$154&lt;&gt;"", INDIRECT("'Tracker'!"&amp;ADDRESS(MATCH($N$154, Tracker[Anime Name], 0) + 2, 5)), "")</f>
        <v/>
      </c>
      <c r="S154" s="62" t="str">
        <f ca="1">IF($N$154&lt;&gt;"", INDIRECT("'Tracker'!"&amp;ADDRESS(MATCH($N$154, Tracker[Anime Name], 0) + 2, 6)), "")</f>
        <v/>
      </c>
      <c r="T154" s="62" t="str">
        <f ca="1">IF($N$154&lt;&gt;"", INDIRECT("'Tracker'!"&amp;ADDRESS(MATCH($N$154, Tracker[Anime Name], 0) + 2, 7)), "")</f>
        <v/>
      </c>
      <c r="U154" s="68" t="str">
        <f ca="1">IF($N$154&lt;&gt;"", INDIRECT("'Tracker'!"&amp;ADDRESS(MATCH($N$154, Tracker[Anime Name], 0) + 2, 8)), "")</f>
        <v/>
      </c>
      <c r="V154" s="96" t="str">
        <f>IF('Completed'!$C$153&lt;&gt;"",'Completed'!$C$153,"")</f>
        <v/>
      </c>
      <c r="W154" s="96" t="str">
        <f>IF('Completed'!$D$153&lt;&gt;"",'Completed'!$D$153,"")</f>
        <v/>
      </c>
      <c r="X154" s="96" t="str">
        <f>IF('Completed'!$E$153&lt;&gt;"",'Completed'!$E$153,"")</f>
        <v/>
      </c>
      <c r="Y154" s="96" t="str">
        <f>IF('Completed'!$F$153&lt;&gt;"",'Completed'!$F$153,"")</f>
        <v/>
      </c>
      <c r="Z154" s="110" t="str">
        <f>IF('Completed'!$G$153&lt;&gt;"",'Completed'!$G$153,"")</f>
        <v/>
      </c>
      <c r="AA154" s="120" t="str">
        <f>IF('Completed'!$H$153&lt;&gt;"",'Completed'!$H$153,"")</f>
        <v/>
      </c>
      <c r="AB154" s="97" t="str">
        <f>IF('Completed'!$I$153&lt;&gt;"",'Completed'!$I$153,"")</f>
        <v/>
      </c>
      <c r="AC154" s="97" t="str">
        <f>IF('Completed'!$J$153&lt;&gt;"",'Completed'!$J$153,"")</f>
        <v/>
      </c>
      <c r="AD154" s="111" t="str">
        <f>IF('Completed'!$K$153&lt;&gt;"",'Completed'!$K$153,"")</f>
        <v/>
      </c>
      <c r="AE154" s="111" t="str">
        <f>IF('Completed'!$L$153&lt;&gt;"",'Completed'!$L$153,"")</f>
        <v/>
      </c>
    </row>
    <row r="155" spans="10:31">
      <c r="J155" s="61" t="str">
        <f>IF(Backlog!$A$154&lt;&gt;"",Backlog!$A$154,"")</f>
        <v/>
      </c>
      <c r="K155" s="68" t="str">
        <f>IF(Backlog!$B$154&lt;&gt;"",Backlog!$B$154,"")</f>
        <v/>
      </c>
      <c r="L155" s="69" t="str">
        <f>IF(Backlog!$C$154&lt;&gt;"",Backlog!$C$154,"")</f>
        <v/>
      </c>
      <c r="N155" s="61" t="str">
        <f>IF('Completed'!$A$154&lt;&gt;"",'Completed'!$A$154,"")</f>
        <v/>
      </c>
      <c r="O155" s="68" t="str">
        <f>IF('Completed'!$B$154&lt;&gt;"",'Completed'!$B$154,"")</f>
        <v/>
      </c>
      <c r="P155" s="68" t="str">
        <f ca="1">IF($N$155&lt;&gt;"", INDIRECT("'Tracker'!"&amp;ADDRESS(MATCH($N$155, Tracker[Anime Name], 0) + 2, 3)), "")</f>
        <v/>
      </c>
      <c r="Q155" s="62" t="str">
        <f ca="1">IF($N$155&lt;&gt;"", INDIRECT("'Tracker'!"&amp;ADDRESS(MATCH($N$155, Tracker[Anime Name], 0) + 2, 4)), "")</f>
        <v/>
      </c>
      <c r="R155" s="62" t="str">
        <f ca="1">IF($N$155&lt;&gt;"", INDIRECT("'Tracker'!"&amp;ADDRESS(MATCH($N$155, Tracker[Anime Name], 0) + 2, 5)), "")</f>
        <v/>
      </c>
      <c r="S155" s="62" t="str">
        <f ca="1">IF($N$155&lt;&gt;"", INDIRECT("'Tracker'!"&amp;ADDRESS(MATCH($N$155, Tracker[Anime Name], 0) + 2, 6)), "")</f>
        <v/>
      </c>
      <c r="T155" s="62" t="str">
        <f ca="1">IF($N$155&lt;&gt;"", INDIRECT("'Tracker'!"&amp;ADDRESS(MATCH($N$155, Tracker[Anime Name], 0) + 2, 7)), "")</f>
        <v/>
      </c>
      <c r="U155" s="68" t="str">
        <f ca="1">IF($N$155&lt;&gt;"", INDIRECT("'Tracker'!"&amp;ADDRESS(MATCH($N$155, Tracker[Anime Name], 0) + 2, 8)), "")</f>
        <v/>
      </c>
      <c r="V155" s="96" t="str">
        <f>IF('Completed'!$C$154&lt;&gt;"",'Completed'!$C$154,"")</f>
        <v/>
      </c>
      <c r="W155" s="96" t="str">
        <f>IF('Completed'!$D$154&lt;&gt;"",'Completed'!$D$154,"")</f>
        <v/>
      </c>
      <c r="X155" s="96" t="str">
        <f>IF('Completed'!$E$154&lt;&gt;"",'Completed'!$E$154,"")</f>
        <v/>
      </c>
      <c r="Y155" s="96" t="str">
        <f>IF('Completed'!$F$154&lt;&gt;"",'Completed'!$F$154,"")</f>
        <v/>
      </c>
      <c r="Z155" s="110" t="str">
        <f>IF('Completed'!$G$154&lt;&gt;"",'Completed'!$G$154,"")</f>
        <v/>
      </c>
      <c r="AA155" s="120" t="str">
        <f>IF('Completed'!$H$154&lt;&gt;"",'Completed'!$H$154,"")</f>
        <v/>
      </c>
      <c r="AB155" s="97" t="str">
        <f>IF('Completed'!$I$154&lt;&gt;"",'Completed'!$I$154,"")</f>
        <v/>
      </c>
      <c r="AC155" s="97" t="str">
        <f>IF('Completed'!$J$154&lt;&gt;"",'Completed'!$J$154,"")</f>
        <v/>
      </c>
      <c r="AD155" s="111" t="str">
        <f>IF('Completed'!$K$154&lt;&gt;"",'Completed'!$K$154,"")</f>
        <v/>
      </c>
      <c r="AE155" s="111" t="str">
        <f>IF('Completed'!$L$154&lt;&gt;"",'Completed'!$L$154,"")</f>
        <v/>
      </c>
    </row>
    <row r="156" spans="10:31">
      <c r="J156" s="61" t="str">
        <f>IF(Backlog!$A$155&lt;&gt;"",Backlog!$A$155,"")</f>
        <v/>
      </c>
      <c r="K156" s="68" t="str">
        <f>IF(Backlog!$B$155&lt;&gt;"",Backlog!$B$155,"")</f>
        <v/>
      </c>
      <c r="L156" s="69" t="str">
        <f>IF(Backlog!$C$155&lt;&gt;"",Backlog!$C$155,"")</f>
        <v/>
      </c>
      <c r="N156" s="61" t="str">
        <f>IF('Completed'!$A$155&lt;&gt;"",'Completed'!$A$155,"")</f>
        <v/>
      </c>
      <c r="O156" s="68" t="str">
        <f>IF('Completed'!$B$155&lt;&gt;"",'Completed'!$B$155,"")</f>
        <v/>
      </c>
      <c r="P156" s="68" t="str">
        <f ca="1">IF($N$156&lt;&gt;"", INDIRECT("'Tracker'!"&amp;ADDRESS(MATCH($N$156, Tracker[Anime Name], 0) + 2, 3)), "")</f>
        <v/>
      </c>
      <c r="Q156" s="62" t="str">
        <f ca="1">IF($N$156&lt;&gt;"", INDIRECT("'Tracker'!"&amp;ADDRESS(MATCH($N$156, Tracker[Anime Name], 0) + 2, 4)), "")</f>
        <v/>
      </c>
      <c r="R156" s="62" t="str">
        <f ca="1">IF($N$156&lt;&gt;"", INDIRECT("'Tracker'!"&amp;ADDRESS(MATCH($N$156, Tracker[Anime Name], 0) + 2, 5)), "")</f>
        <v/>
      </c>
      <c r="S156" s="62" t="str">
        <f ca="1">IF($N$156&lt;&gt;"", INDIRECT("'Tracker'!"&amp;ADDRESS(MATCH($N$156, Tracker[Anime Name], 0) + 2, 6)), "")</f>
        <v/>
      </c>
      <c r="T156" s="62" t="str">
        <f ca="1">IF($N$156&lt;&gt;"", INDIRECT("'Tracker'!"&amp;ADDRESS(MATCH($N$156, Tracker[Anime Name], 0) + 2, 7)), "")</f>
        <v/>
      </c>
      <c r="U156" s="68" t="str">
        <f ca="1">IF($N$156&lt;&gt;"", INDIRECT("'Tracker'!"&amp;ADDRESS(MATCH($N$156, Tracker[Anime Name], 0) + 2, 8)), "")</f>
        <v/>
      </c>
      <c r="V156" s="96" t="str">
        <f>IF('Completed'!$C$155&lt;&gt;"",'Completed'!$C$155,"")</f>
        <v/>
      </c>
      <c r="W156" s="96" t="str">
        <f>IF('Completed'!$D$155&lt;&gt;"",'Completed'!$D$155,"")</f>
        <v/>
      </c>
      <c r="X156" s="96" t="str">
        <f>IF('Completed'!$E$155&lt;&gt;"",'Completed'!$E$155,"")</f>
        <v/>
      </c>
      <c r="Y156" s="96" t="str">
        <f>IF('Completed'!$F$155&lt;&gt;"",'Completed'!$F$155,"")</f>
        <v/>
      </c>
      <c r="Z156" s="110" t="str">
        <f>IF('Completed'!$G$155&lt;&gt;"",'Completed'!$G$155,"")</f>
        <v/>
      </c>
      <c r="AA156" s="120" t="str">
        <f>IF('Completed'!$H$155&lt;&gt;"",'Completed'!$H$155,"")</f>
        <v/>
      </c>
      <c r="AB156" s="97" t="str">
        <f>IF('Completed'!$I$155&lt;&gt;"",'Completed'!$I$155,"")</f>
        <v/>
      </c>
      <c r="AC156" s="97" t="str">
        <f>IF('Completed'!$J$155&lt;&gt;"",'Completed'!$J$155,"")</f>
        <v/>
      </c>
      <c r="AD156" s="111" t="str">
        <f>IF('Completed'!$K$155&lt;&gt;"",'Completed'!$K$155,"")</f>
        <v/>
      </c>
      <c r="AE156" s="111" t="str">
        <f>IF('Completed'!$L$155&lt;&gt;"",'Completed'!$L$155,"")</f>
        <v/>
      </c>
    </row>
    <row r="157" spans="10:31">
      <c r="J157" s="61" t="str">
        <f>IF(Backlog!$A$156&lt;&gt;"",Backlog!$A$156,"")</f>
        <v/>
      </c>
      <c r="K157" s="68" t="str">
        <f>IF(Backlog!$B$156&lt;&gt;"",Backlog!$B$156,"")</f>
        <v/>
      </c>
      <c r="L157" s="69" t="str">
        <f>IF(Backlog!$C$156&lt;&gt;"",Backlog!$C$156,"")</f>
        <v/>
      </c>
      <c r="N157" s="61" t="str">
        <f>IF('Completed'!$A$156&lt;&gt;"",'Completed'!$A$156,"")</f>
        <v/>
      </c>
      <c r="O157" s="68" t="str">
        <f>IF('Completed'!$B$156&lt;&gt;"",'Completed'!$B$156,"")</f>
        <v/>
      </c>
      <c r="P157" s="68" t="str">
        <f ca="1">IF($N$157&lt;&gt;"", INDIRECT("'Tracker'!"&amp;ADDRESS(MATCH($N$157, Tracker[Anime Name], 0) + 2, 3)), "")</f>
        <v/>
      </c>
      <c r="Q157" s="62" t="str">
        <f ca="1">IF($N$157&lt;&gt;"", INDIRECT("'Tracker'!"&amp;ADDRESS(MATCH($N$157, Tracker[Anime Name], 0) + 2, 4)), "")</f>
        <v/>
      </c>
      <c r="R157" s="62" t="str">
        <f ca="1">IF($N$157&lt;&gt;"", INDIRECT("'Tracker'!"&amp;ADDRESS(MATCH($N$157, Tracker[Anime Name], 0) + 2, 5)), "")</f>
        <v/>
      </c>
      <c r="S157" s="62" t="str">
        <f ca="1">IF($N$157&lt;&gt;"", INDIRECT("'Tracker'!"&amp;ADDRESS(MATCH($N$157, Tracker[Anime Name], 0) + 2, 6)), "")</f>
        <v/>
      </c>
      <c r="T157" s="62" t="str">
        <f ca="1">IF($N$157&lt;&gt;"", INDIRECT("'Tracker'!"&amp;ADDRESS(MATCH($N$157, Tracker[Anime Name], 0) + 2, 7)), "")</f>
        <v/>
      </c>
      <c r="U157" s="68" t="str">
        <f ca="1">IF($N$157&lt;&gt;"", INDIRECT("'Tracker'!"&amp;ADDRESS(MATCH($N$157, Tracker[Anime Name], 0) + 2, 8)), "")</f>
        <v/>
      </c>
      <c r="V157" s="96" t="str">
        <f>IF('Completed'!$C$156&lt;&gt;"",'Completed'!$C$156,"")</f>
        <v/>
      </c>
      <c r="W157" s="96" t="str">
        <f>IF('Completed'!$D$156&lt;&gt;"",'Completed'!$D$156,"")</f>
        <v/>
      </c>
      <c r="X157" s="96" t="str">
        <f>IF('Completed'!$E$156&lt;&gt;"",'Completed'!$E$156,"")</f>
        <v/>
      </c>
      <c r="Y157" s="96" t="str">
        <f>IF('Completed'!$F$156&lt;&gt;"",'Completed'!$F$156,"")</f>
        <v/>
      </c>
      <c r="Z157" s="110" t="str">
        <f>IF('Completed'!$G$156&lt;&gt;"",'Completed'!$G$156,"")</f>
        <v/>
      </c>
      <c r="AA157" s="120" t="str">
        <f>IF('Completed'!$H$156&lt;&gt;"",'Completed'!$H$156,"")</f>
        <v/>
      </c>
      <c r="AB157" s="97" t="str">
        <f>IF('Completed'!$I$156&lt;&gt;"",'Completed'!$I$156,"")</f>
        <v/>
      </c>
      <c r="AC157" s="97" t="str">
        <f>IF('Completed'!$J$156&lt;&gt;"",'Completed'!$J$156,"")</f>
        <v/>
      </c>
      <c r="AD157" s="111" t="str">
        <f>IF('Completed'!$K$156&lt;&gt;"",'Completed'!$K$156,"")</f>
        <v/>
      </c>
      <c r="AE157" s="111" t="str">
        <f>IF('Completed'!$L$156&lt;&gt;"",'Completed'!$L$156,"")</f>
        <v/>
      </c>
    </row>
    <row r="158" spans="10:31">
      <c r="J158" s="61" t="str">
        <f>IF(Backlog!$A$157&lt;&gt;"",Backlog!$A$157,"")</f>
        <v/>
      </c>
      <c r="K158" s="68" t="str">
        <f>IF(Backlog!$B$157&lt;&gt;"",Backlog!$B$157,"")</f>
        <v/>
      </c>
      <c r="L158" s="69" t="str">
        <f>IF(Backlog!$C$157&lt;&gt;"",Backlog!$C$157,"")</f>
        <v/>
      </c>
      <c r="N158" s="61" t="str">
        <f>IF('Completed'!$A$157&lt;&gt;"",'Completed'!$A$157,"")</f>
        <v/>
      </c>
      <c r="O158" s="68" t="str">
        <f>IF('Completed'!$B$157&lt;&gt;"",'Completed'!$B$157,"")</f>
        <v/>
      </c>
      <c r="P158" s="68" t="str">
        <f ca="1">IF($N$158&lt;&gt;"", INDIRECT("'Tracker'!"&amp;ADDRESS(MATCH($N$158, Tracker[Anime Name], 0) + 2, 3)), "")</f>
        <v/>
      </c>
      <c r="Q158" s="62" t="str">
        <f ca="1">IF($N$158&lt;&gt;"", INDIRECT("'Tracker'!"&amp;ADDRESS(MATCH($N$158, Tracker[Anime Name], 0) + 2, 4)), "")</f>
        <v/>
      </c>
      <c r="R158" s="62" t="str">
        <f ca="1">IF($N$158&lt;&gt;"", INDIRECT("'Tracker'!"&amp;ADDRESS(MATCH($N$158, Tracker[Anime Name], 0) + 2, 5)), "")</f>
        <v/>
      </c>
      <c r="S158" s="62" t="str">
        <f ca="1">IF($N$158&lt;&gt;"", INDIRECT("'Tracker'!"&amp;ADDRESS(MATCH($N$158, Tracker[Anime Name], 0) + 2, 6)), "")</f>
        <v/>
      </c>
      <c r="T158" s="62" t="str">
        <f ca="1">IF($N$158&lt;&gt;"", INDIRECT("'Tracker'!"&amp;ADDRESS(MATCH($N$158, Tracker[Anime Name], 0) + 2, 7)), "")</f>
        <v/>
      </c>
      <c r="U158" s="68" t="str">
        <f ca="1">IF($N$158&lt;&gt;"", INDIRECT("'Tracker'!"&amp;ADDRESS(MATCH($N$158, Tracker[Anime Name], 0) + 2, 8)), "")</f>
        <v/>
      </c>
      <c r="V158" s="96" t="str">
        <f>IF('Completed'!$C$157&lt;&gt;"",'Completed'!$C$157,"")</f>
        <v/>
      </c>
      <c r="W158" s="96" t="str">
        <f>IF('Completed'!$D$157&lt;&gt;"",'Completed'!$D$157,"")</f>
        <v/>
      </c>
      <c r="X158" s="96" t="str">
        <f>IF('Completed'!$E$157&lt;&gt;"",'Completed'!$E$157,"")</f>
        <v/>
      </c>
      <c r="Y158" s="96" t="str">
        <f>IF('Completed'!$F$157&lt;&gt;"",'Completed'!$F$157,"")</f>
        <v/>
      </c>
      <c r="Z158" s="110" t="str">
        <f>IF('Completed'!$G$157&lt;&gt;"",'Completed'!$G$157,"")</f>
        <v/>
      </c>
      <c r="AA158" s="120" t="str">
        <f>IF('Completed'!$H$157&lt;&gt;"",'Completed'!$H$157,"")</f>
        <v/>
      </c>
      <c r="AB158" s="97" t="str">
        <f>IF('Completed'!$I$157&lt;&gt;"",'Completed'!$I$157,"")</f>
        <v/>
      </c>
      <c r="AC158" s="97" t="str">
        <f>IF('Completed'!$J$157&lt;&gt;"",'Completed'!$J$157,"")</f>
        <v/>
      </c>
      <c r="AD158" s="111" t="str">
        <f>IF('Completed'!$K$157&lt;&gt;"",'Completed'!$K$157,"")</f>
        <v/>
      </c>
      <c r="AE158" s="111" t="str">
        <f>IF('Completed'!$L$157&lt;&gt;"",'Completed'!$L$157,"")</f>
        <v/>
      </c>
    </row>
    <row r="159" spans="10:31">
      <c r="J159" s="61" t="str">
        <f>IF(Backlog!$A$158&lt;&gt;"",Backlog!$A$158,"")</f>
        <v/>
      </c>
      <c r="K159" s="68" t="str">
        <f>IF(Backlog!$B$158&lt;&gt;"",Backlog!$B$158,"")</f>
        <v/>
      </c>
      <c r="L159" s="69" t="str">
        <f>IF(Backlog!$C$158&lt;&gt;"",Backlog!$C$158,"")</f>
        <v/>
      </c>
      <c r="N159" s="61" t="str">
        <f>IF('Completed'!$A$158&lt;&gt;"",'Completed'!$A$158,"")</f>
        <v/>
      </c>
      <c r="O159" s="68" t="str">
        <f>IF('Completed'!$B$158&lt;&gt;"",'Completed'!$B$158,"")</f>
        <v/>
      </c>
      <c r="P159" s="68" t="str">
        <f ca="1">IF($N$159&lt;&gt;"", INDIRECT("'Tracker'!"&amp;ADDRESS(MATCH($N$159, Tracker[Anime Name], 0) + 2, 3)), "")</f>
        <v/>
      </c>
      <c r="Q159" s="62" t="str">
        <f ca="1">IF($N$159&lt;&gt;"", INDIRECT("'Tracker'!"&amp;ADDRESS(MATCH($N$159, Tracker[Anime Name], 0) + 2, 4)), "")</f>
        <v/>
      </c>
      <c r="R159" s="62" t="str">
        <f ca="1">IF($N$159&lt;&gt;"", INDIRECT("'Tracker'!"&amp;ADDRESS(MATCH($N$159, Tracker[Anime Name], 0) + 2, 5)), "")</f>
        <v/>
      </c>
      <c r="S159" s="62" t="str">
        <f ca="1">IF($N$159&lt;&gt;"", INDIRECT("'Tracker'!"&amp;ADDRESS(MATCH($N$159, Tracker[Anime Name], 0) + 2, 6)), "")</f>
        <v/>
      </c>
      <c r="T159" s="62" t="str">
        <f ca="1">IF($N$159&lt;&gt;"", INDIRECT("'Tracker'!"&amp;ADDRESS(MATCH($N$159, Tracker[Anime Name], 0) + 2, 7)), "")</f>
        <v/>
      </c>
      <c r="U159" s="68" t="str">
        <f ca="1">IF($N$159&lt;&gt;"", INDIRECT("'Tracker'!"&amp;ADDRESS(MATCH($N$159, Tracker[Anime Name], 0) + 2, 8)), "")</f>
        <v/>
      </c>
      <c r="V159" s="96" t="str">
        <f>IF('Completed'!$C$158&lt;&gt;"",'Completed'!$C$158,"")</f>
        <v/>
      </c>
      <c r="W159" s="96" t="str">
        <f>IF('Completed'!$D$158&lt;&gt;"",'Completed'!$D$158,"")</f>
        <v/>
      </c>
      <c r="X159" s="96" t="str">
        <f>IF('Completed'!$E$158&lt;&gt;"",'Completed'!$E$158,"")</f>
        <v/>
      </c>
      <c r="Y159" s="96" t="str">
        <f>IF('Completed'!$F$158&lt;&gt;"",'Completed'!$F$158,"")</f>
        <v/>
      </c>
      <c r="Z159" s="110" t="str">
        <f>IF('Completed'!$G$158&lt;&gt;"",'Completed'!$G$158,"")</f>
        <v/>
      </c>
      <c r="AA159" s="120" t="str">
        <f>IF('Completed'!$H$158&lt;&gt;"",'Completed'!$H$158,"")</f>
        <v/>
      </c>
      <c r="AB159" s="97" t="str">
        <f>IF('Completed'!$I$158&lt;&gt;"",'Completed'!$I$158,"")</f>
        <v/>
      </c>
      <c r="AC159" s="97" t="str">
        <f>IF('Completed'!$J$158&lt;&gt;"",'Completed'!$J$158,"")</f>
        <v/>
      </c>
      <c r="AD159" s="111" t="str">
        <f>IF('Completed'!$K$158&lt;&gt;"",'Completed'!$K$158,"")</f>
        <v/>
      </c>
      <c r="AE159" s="111" t="str">
        <f>IF('Completed'!$L$158&lt;&gt;"",'Completed'!$L$158,"")</f>
        <v/>
      </c>
    </row>
    <row r="160" spans="10:31">
      <c r="J160" s="61" t="str">
        <f>IF(Backlog!$A$159&lt;&gt;"",Backlog!$A$159,"")</f>
        <v/>
      </c>
      <c r="K160" s="68" t="str">
        <f>IF(Backlog!$B$159&lt;&gt;"",Backlog!$B$159,"")</f>
        <v/>
      </c>
      <c r="L160" s="69" t="str">
        <f>IF(Backlog!$C$159&lt;&gt;"",Backlog!$C$159,"")</f>
        <v/>
      </c>
      <c r="N160" s="61" t="str">
        <f>IF('Completed'!$A$159&lt;&gt;"",'Completed'!$A$159,"")</f>
        <v/>
      </c>
      <c r="O160" s="68" t="str">
        <f>IF('Completed'!$B$159&lt;&gt;"",'Completed'!$B$159,"")</f>
        <v/>
      </c>
      <c r="P160" s="68" t="str">
        <f ca="1">IF($N$160&lt;&gt;"", INDIRECT("'Tracker'!"&amp;ADDRESS(MATCH($N$160, Tracker[Anime Name], 0) + 2, 3)), "")</f>
        <v/>
      </c>
      <c r="Q160" s="62" t="str">
        <f ca="1">IF($N$160&lt;&gt;"", INDIRECT("'Tracker'!"&amp;ADDRESS(MATCH($N$160, Tracker[Anime Name], 0) + 2, 4)), "")</f>
        <v/>
      </c>
      <c r="R160" s="62" t="str">
        <f ca="1">IF($N$160&lt;&gt;"", INDIRECT("'Tracker'!"&amp;ADDRESS(MATCH($N$160, Tracker[Anime Name], 0) + 2, 5)), "")</f>
        <v/>
      </c>
      <c r="S160" s="62" t="str">
        <f ca="1">IF($N$160&lt;&gt;"", INDIRECT("'Tracker'!"&amp;ADDRESS(MATCH($N$160, Tracker[Anime Name], 0) + 2, 6)), "")</f>
        <v/>
      </c>
      <c r="T160" s="62" t="str">
        <f ca="1">IF($N$160&lt;&gt;"", INDIRECT("'Tracker'!"&amp;ADDRESS(MATCH($N$160, Tracker[Anime Name], 0) + 2, 7)), "")</f>
        <v/>
      </c>
      <c r="U160" s="68" t="str">
        <f ca="1">IF($N$160&lt;&gt;"", INDIRECT("'Tracker'!"&amp;ADDRESS(MATCH($N$160, Tracker[Anime Name], 0) + 2, 8)), "")</f>
        <v/>
      </c>
      <c r="V160" s="96" t="str">
        <f>IF('Completed'!$C$159&lt;&gt;"",'Completed'!$C$159,"")</f>
        <v/>
      </c>
      <c r="W160" s="96" t="str">
        <f>IF('Completed'!$D$159&lt;&gt;"",'Completed'!$D$159,"")</f>
        <v/>
      </c>
      <c r="X160" s="96" t="str">
        <f>IF('Completed'!$E$159&lt;&gt;"",'Completed'!$E$159,"")</f>
        <v/>
      </c>
      <c r="Y160" s="96" t="str">
        <f>IF('Completed'!$F$159&lt;&gt;"",'Completed'!$F$159,"")</f>
        <v/>
      </c>
      <c r="Z160" s="110" t="str">
        <f>IF('Completed'!$G$159&lt;&gt;"",'Completed'!$G$159,"")</f>
        <v/>
      </c>
      <c r="AA160" s="120" t="str">
        <f>IF('Completed'!$H$159&lt;&gt;"",'Completed'!$H$159,"")</f>
        <v/>
      </c>
      <c r="AB160" s="97" t="str">
        <f>IF('Completed'!$I$159&lt;&gt;"",'Completed'!$I$159,"")</f>
        <v/>
      </c>
      <c r="AC160" s="97" t="str">
        <f>IF('Completed'!$J$159&lt;&gt;"",'Completed'!$J$159,"")</f>
        <v/>
      </c>
      <c r="AD160" s="111" t="str">
        <f>IF('Completed'!$K$159&lt;&gt;"",'Completed'!$K$159,"")</f>
        <v/>
      </c>
      <c r="AE160" s="111" t="str">
        <f>IF('Completed'!$L$159&lt;&gt;"",'Completed'!$L$159,"")</f>
        <v/>
      </c>
    </row>
    <row r="161" spans="10:31">
      <c r="J161" s="61" t="str">
        <f>IF(Backlog!$A$160&lt;&gt;"",Backlog!$A$160,"")</f>
        <v/>
      </c>
      <c r="K161" s="68" t="str">
        <f>IF(Backlog!$B$160&lt;&gt;"",Backlog!$B$160,"")</f>
        <v/>
      </c>
      <c r="L161" s="69" t="str">
        <f>IF(Backlog!$C$160&lt;&gt;"",Backlog!$C$160,"")</f>
        <v/>
      </c>
      <c r="N161" s="61" t="str">
        <f>IF('Completed'!$A$160&lt;&gt;"",'Completed'!$A$160,"")</f>
        <v/>
      </c>
      <c r="O161" s="68" t="str">
        <f>IF('Completed'!$B$160&lt;&gt;"",'Completed'!$B$160,"")</f>
        <v/>
      </c>
      <c r="P161" s="68" t="str">
        <f ca="1">IF($N$161&lt;&gt;"", INDIRECT("'Tracker'!"&amp;ADDRESS(MATCH($N$161, Tracker[Anime Name], 0) + 2, 3)), "")</f>
        <v/>
      </c>
      <c r="Q161" s="62" t="str">
        <f ca="1">IF($N$161&lt;&gt;"", INDIRECT("'Tracker'!"&amp;ADDRESS(MATCH($N$161, Tracker[Anime Name], 0) + 2, 4)), "")</f>
        <v/>
      </c>
      <c r="R161" s="62" t="str">
        <f ca="1">IF($N$161&lt;&gt;"", INDIRECT("'Tracker'!"&amp;ADDRESS(MATCH($N$161, Tracker[Anime Name], 0) + 2, 5)), "")</f>
        <v/>
      </c>
      <c r="S161" s="62" t="str">
        <f ca="1">IF($N$161&lt;&gt;"", INDIRECT("'Tracker'!"&amp;ADDRESS(MATCH($N$161, Tracker[Anime Name], 0) + 2, 6)), "")</f>
        <v/>
      </c>
      <c r="T161" s="62" t="str">
        <f ca="1">IF($N$161&lt;&gt;"", INDIRECT("'Tracker'!"&amp;ADDRESS(MATCH($N$161, Tracker[Anime Name], 0) + 2, 7)), "")</f>
        <v/>
      </c>
      <c r="U161" s="68" t="str">
        <f ca="1">IF($N$161&lt;&gt;"", INDIRECT("'Tracker'!"&amp;ADDRESS(MATCH($N$161, Tracker[Anime Name], 0) + 2, 8)), "")</f>
        <v/>
      </c>
      <c r="V161" s="96" t="str">
        <f>IF('Completed'!$C$160&lt;&gt;"",'Completed'!$C$160,"")</f>
        <v/>
      </c>
      <c r="W161" s="96" t="str">
        <f>IF('Completed'!$D$160&lt;&gt;"",'Completed'!$D$160,"")</f>
        <v/>
      </c>
      <c r="X161" s="96" t="str">
        <f>IF('Completed'!$E$160&lt;&gt;"",'Completed'!$E$160,"")</f>
        <v/>
      </c>
      <c r="Y161" s="96" t="str">
        <f>IF('Completed'!$F$160&lt;&gt;"",'Completed'!$F$160,"")</f>
        <v/>
      </c>
      <c r="Z161" s="110" t="str">
        <f>IF('Completed'!$G$160&lt;&gt;"",'Completed'!$G$160,"")</f>
        <v/>
      </c>
      <c r="AA161" s="120" t="str">
        <f>IF('Completed'!$H$160&lt;&gt;"",'Completed'!$H$160,"")</f>
        <v/>
      </c>
      <c r="AB161" s="97" t="str">
        <f>IF('Completed'!$I$160&lt;&gt;"",'Completed'!$I$160,"")</f>
        <v/>
      </c>
      <c r="AC161" s="97" t="str">
        <f>IF('Completed'!$J$160&lt;&gt;"",'Completed'!$J$160,"")</f>
        <v/>
      </c>
      <c r="AD161" s="111" t="str">
        <f>IF('Completed'!$K$160&lt;&gt;"",'Completed'!$K$160,"")</f>
        <v/>
      </c>
      <c r="AE161" s="111" t="str">
        <f>IF('Completed'!$L$160&lt;&gt;"",'Completed'!$L$160,"")</f>
        <v/>
      </c>
    </row>
    <row r="162" spans="10:31">
      <c r="J162" s="61" t="str">
        <f>IF(Backlog!$A$161&lt;&gt;"",Backlog!$A$161,"")</f>
        <v/>
      </c>
      <c r="K162" s="68" t="str">
        <f>IF(Backlog!$B$161&lt;&gt;"",Backlog!$B$161,"")</f>
        <v/>
      </c>
      <c r="L162" s="69" t="str">
        <f>IF(Backlog!$C$161&lt;&gt;"",Backlog!$C$161,"")</f>
        <v/>
      </c>
      <c r="N162" s="61" t="str">
        <f>IF('Completed'!$A$161&lt;&gt;"",'Completed'!$A$161,"")</f>
        <v/>
      </c>
      <c r="O162" s="68" t="str">
        <f>IF('Completed'!$B$161&lt;&gt;"",'Completed'!$B$161,"")</f>
        <v/>
      </c>
      <c r="P162" s="68" t="str">
        <f ca="1">IF($N$162&lt;&gt;"", INDIRECT("'Tracker'!"&amp;ADDRESS(MATCH($N$162, Tracker[Anime Name], 0) + 2, 3)), "")</f>
        <v/>
      </c>
      <c r="Q162" s="62" t="str">
        <f ca="1">IF($N$162&lt;&gt;"", INDIRECT("'Tracker'!"&amp;ADDRESS(MATCH($N$162, Tracker[Anime Name], 0) + 2, 4)), "")</f>
        <v/>
      </c>
      <c r="R162" s="62" t="str">
        <f ca="1">IF($N$162&lt;&gt;"", INDIRECT("'Tracker'!"&amp;ADDRESS(MATCH($N$162, Tracker[Anime Name], 0) + 2, 5)), "")</f>
        <v/>
      </c>
      <c r="S162" s="62" t="str">
        <f ca="1">IF($N$162&lt;&gt;"", INDIRECT("'Tracker'!"&amp;ADDRESS(MATCH($N$162, Tracker[Anime Name], 0) + 2, 6)), "")</f>
        <v/>
      </c>
      <c r="T162" s="62" t="str">
        <f ca="1">IF($N$162&lt;&gt;"", INDIRECT("'Tracker'!"&amp;ADDRESS(MATCH($N$162, Tracker[Anime Name], 0) + 2, 7)), "")</f>
        <v/>
      </c>
      <c r="U162" s="68" t="str">
        <f ca="1">IF($N$162&lt;&gt;"", INDIRECT("'Tracker'!"&amp;ADDRESS(MATCH($N$162, Tracker[Anime Name], 0) + 2, 8)), "")</f>
        <v/>
      </c>
      <c r="V162" s="96" t="str">
        <f>IF('Completed'!$C$161&lt;&gt;"",'Completed'!$C$161,"")</f>
        <v/>
      </c>
      <c r="W162" s="96" t="str">
        <f>IF('Completed'!$D$161&lt;&gt;"",'Completed'!$D$161,"")</f>
        <v/>
      </c>
      <c r="X162" s="96" t="str">
        <f>IF('Completed'!$E$161&lt;&gt;"",'Completed'!$E$161,"")</f>
        <v/>
      </c>
      <c r="Y162" s="96" t="str">
        <f>IF('Completed'!$F$161&lt;&gt;"",'Completed'!$F$161,"")</f>
        <v/>
      </c>
      <c r="Z162" s="110" t="str">
        <f>IF('Completed'!$G$161&lt;&gt;"",'Completed'!$G$161,"")</f>
        <v/>
      </c>
      <c r="AA162" s="120" t="str">
        <f>IF('Completed'!$H$161&lt;&gt;"",'Completed'!$H$161,"")</f>
        <v/>
      </c>
      <c r="AB162" s="97" t="str">
        <f>IF('Completed'!$I$161&lt;&gt;"",'Completed'!$I$161,"")</f>
        <v/>
      </c>
      <c r="AC162" s="97" t="str">
        <f>IF('Completed'!$J$161&lt;&gt;"",'Completed'!$J$161,"")</f>
        <v/>
      </c>
      <c r="AD162" s="111" t="str">
        <f>IF('Completed'!$K$161&lt;&gt;"",'Completed'!$K$161,"")</f>
        <v/>
      </c>
      <c r="AE162" s="111" t="str">
        <f>IF('Completed'!$L$161&lt;&gt;"",'Completed'!$L$161,"")</f>
        <v/>
      </c>
    </row>
    <row r="163" spans="10:31">
      <c r="J163" s="61" t="str">
        <f>IF(Backlog!$A$162&lt;&gt;"",Backlog!$A$162,"")</f>
        <v/>
      </c>
      <c r="K163" s="68" t="str">
        <f>IF(Backlog!$B$162&lt;&gt;"",Backlog!$B$162,"")</f>
        <v/>
      </c>
      <c r="L163" s="69" t="str">
        <f>IF(Backlog!$C$162&lt;&gt;"",Backlog!$C$162,"")</f>
        <v/>
      </c>
      <c r="N163" s="61" t="str">
        <f>IF('Completed'!$A$162&lt;&gt;"",'Completed'!$A$162,"")</f>
        <v/>
      </c>
      <c r="O163" s="68" t="str">
        <f>IF('Completed'!$B$162&lt;&gt;"",'Completed'!$B$162,"")</f>
        <v/>
      </c>
      <c r="P163" s="68" t="str">
        <f ca="1">IF($N$163&lt;&gt;"", INDIRECT("'Tracker'!"&amp;ADDRESS(MATCH($N$163, Tracker[Anime Name], 0) + 2, 3)), "")</f>
        <v/>
      </c>
      <c r="Q163" s="62" t="str">
        <f ca="1">IF($N$163&lt;&gt;"", INDIRECT("'Tracker'!"&amp;ADDRESS(MATCH($N$163, Tracker[Anime Name], 0) + 2, 4)), "")</f>
        <v/>
      </c>
      <c r="R163" s="62" t="str">
        <f ca="1">IF($N$163&lt;&gt;"", INDIRECT("'Tracker'!"&amp;ADDRESS(MATCH($N$163, Tracker[Anime Name], 0) + 2, 5)), "")</f>
        <v/>
      </c>
      <c r="S163" s="62" t="str">
        <f ca="1">IF($N$163&lt;&gt;"", INDIRECT("'Tracker'!"&amp;ADDRESS(MATCH($N$163, Tracker[Anime Name], 0) + 2, 6)), "")</f>
        <v/>
      </c>
      <c r="T163" s="62" t="str">
        <f ca="1">IF($N$163&lt;&gt;"", INDIRECT("'Tracker'!"&amp;ADDRESS(MATCH($N$163, Tracker[Anime Name], 0) + 2, 7)), "")</f>
        <v/>
      </c>
      <c r="U163" s="68" t="str">
        <f ca="1">IF($N$163&lt;&gt;"", INDIRECT("'Tracker'!"&amp;ADDRESS(MATCH($N$163, Tracker[Anime Name], 0) + 2, 8)), "")</f>
        <v/>
      </c>
      <c r="V163" s="96" t="str">
        <f>IF('Completed'!$C$162&lt;&gt;"",'Completed'!$C$162,"")</f>
        <v/>
      </c>
      <c r="W163" s="96" t="str">
        <f>IF('Completed'!$D$162&lt;&gt;"",'Completed'!$D$162,"")</f>
        <v/>
      </c>
      <c r="X163" s="96" t="str">
        <f>IF('Completed'!$E$162&lt;&gt;"",'Completed'!$E$162,"")</f>
        <v/>
      </c>
      <c r="Y163" s="96" t="str">
        <f>IF('Completed'!$F$162&lt;&gt;"",'Completed'!$F$162,"")</f>
        <v/>
      </c>
      <c r="Z163" s="110" t="str">
        <f>IF('Completed'!$G$162&lt;&gt;"",'Completed'!$G$162,"")</f>
        <v/>
      </c>
      <c r="AA163" s="120" t="str">
        <f>IF('Completed'!$H$162&lt;&gt;"",'Completed'!$H$162,"")</f>
        <v/>
      </c>
      <c r="AB163" s="97" t="str">
        <f>IF('Completed'!$I$162&lt;&gt;"",'Completed'!$I$162,"")</f>
        <v/>
      </c>
      <c r="AC163" s="97" t="str">
        <f>IF('Completed'!$J$162&lt;&gt;"",'Completed'!$J$162,"")</f>
        <v/>
      </c>
      <c r="AD163" s="111" t="str">
        <f>IF('Completed'!$K$162&lt;&gt;"",'Completed'!$K$162,"")</f>
        <v/>
      </c>
      <c r="AE163" s="111" t="str">
        <f>IF('Completed'!$L$162&lt;&gt;"",'Completed'!$L$162,"")</f>
        <v/>
      </c>
    </row>
    <row r="164" spans="10:31">
      <c r="J164" s="61" t="str">
        <f>IF(Backlog!$A$163&lt;&gt;"",Backlog!$A$163,"")</f>
        <v/>
      </c>
      <c r="K164" s="68" t="str">
        <f>IF(Backlog!$B$163&lt;&gt;"",Backlog!$B$163,"")</f>
        <v/>
      </c>
      <c r="L164" s="69" t="str">
        <f>IF(Backlog!$C$163&lt;&gt;"",Backlog!$C$163,"")</f>
        <v/>
      </c>
      <c r="N164" s="61" t="str">
        <f>IF('Completed'!$A$163&lt;&gt;"",'Completed'!$A$163,"")</f>
        <v/>
      </c>
      <c r="O164" s="68" t="str">
        <f>IF('Completed'!$B$163&lt;&gt;"",'Completed'!$B$163,"")</f>
        <v/>
      </c>
      <c r="P164" s="68" t="str">
        <f ca="1">IF($N$164&lt;&gt;"", INDIRECT("'Tracker'!"&amp;ADDRESS(MATCH($N$164, Tracker[Anime Name], 0) + 2, 3)), "")</f>
        <v/>
      </c>
      <c r="Q164" s="62" t="str">
        <f ca="1">IF($N$164&lt;&gt;"", INDIRECT("'Tracker'!"&amp;ADDRESS(MATCH($N$164, Tracker[Anime Name], 0) + 2, 4)), "")</f>
        <v/>
      </c>
      <c r="R164" s="62" t="str">
        <f ca="1">IF($N$164&lt;&gt;"", INDIRECT("'Tracker'!"&amp;ADDRESS(MATCH($N$164, Tracker[Anime Name], 0) + 2, 5)), "")</f>
        <v/>
      </c>
      <c r="S164" s="62" t="str">
        <f ca="1">IF($N$164&lt;&gt;"", INDIRECT("'Tracker'!"&amp;ADDRESS(MATCH($N$164, Tracker[Anime Name], 0) + 2, 6)), "")</f>
        <v/>
      </c>
      <c r="T164" s="62" t="str">
        <f ca="1">IF($N$164&lt;&gt;"", INDIRECT("'Tracker'!"&amp;ADDRESS(MATCH($N$164, Tracker[Anime Name], 0) + 2, 7)), "")</f>
        <v/>
      </c>
      <c r="U164" s="68" t="str">
        <f ca="1">IF($N$164&lt;&gt;"", INDIRECT("'Tracker'!"&amp;ADDRESS(MATCH($N$164, Tracker[Anime Name], 0) + 2, 8)), "")</f>
        <v/>
      </c>
      <c r="V164" s="96" t="str">
        <f>IF('Completed'!$C$163&lt;&gt;"",'Completed'!$C$163,"")</f>
        <v/>
      </c>
      <c r="W164" s="96" t="str">
        <f>IF('Completed'!$D$163&lt;&gt;"",'Completed'!$D$163,"")</f>
        <v/>
      </c>
      <c r="X164" s="96" t="str">
        <f>IF('Completed'!$E$163&lt;&gt;"",'Completed'!$E$163,"")</f>
        <v/>
      </c>
      <c r="Y164" s="96" t="str">
        <f>IF('Completed'!$F$163&lt;&gt;"",'Completed'!$F$163,"")</f>
        <v/>
      </c>
      <c r="Z164" s="110" t="str">
        <f>IF('Completed'!$G$163&lt;&gt;"",'Completed'!$G$163,"")</f>
        <v/>
      </c>
      <c r="AA164" s="120" t="str">
        <f>IF('Completed'!$H$163&lt;&gt;"",'Completed'!$H$163,"")</f>
        <v/>
      </c>
      <c r="AB164" s="97" t="str">
        <f>IF('Completed'!$I$163&lt;&gt;"",'Completed'!$I$163,"")</f>
        <v/>
      </c>
      <c r="AC164" s="97" t="str">
        <f>IF('Completed'!$J$163&lt;&gt;"",'Completed'!$J$163,"")</f>
        <v/>
      </c>
      <c r="AD164" s="111" t="str">
        <f>IF('Completed'!$K$163&lt;&gt;"",'Completed'!$K$163,"")</f>
        <v/>
      </c>
      <c r="AE164" s="111" t="str">
        <f>IF('Completed'!$L$163&lt;&gt;"",'Completed'!$L$163,"")</f>
        <v/>
      </c>
    </row>
    <row r="165" spans="10:31">
      <c r="J165" s="61" t="str">
        <f>IF(Backlog!$A$164&lt;&gt;"",Backlog!$A$164,"")</f>
        <v/>
      </c>
      <c r="K165" s="68" t="str">
        <f>IF(Backlog!$B$164&lt;&gt;"",Backlog!$B$164,"")</f>
        <v/>
      </c>
      <c r="L165" s="69" t="str">
        <f>IF(Backlog!$C$164&lt;&gt;"",Backlog!$C$164,"")</f>
        <v/>
      </c>
      <c r="N165" s="61" t="str">
        <f>IF('Completed'!$A$164&lt;&gt;"",'Completed'!$A$164,"")</f>
        <v/>
      </c>
      <c r="O165" s="68" t="str">
        <f>IF('Completed'!$B$164&lt;&gt;"",'Completed'!$B$164,"")</f>
        <v/>
      </c>
      <c r="P165" s="68" t="str">
        <f ca="1">IF($N$165&lt;&gt;"", INDIRECT("'Tracker'!"&amp;ADDRESS(MATCH($N$165, Tracker[Anime Name], 0) + 2, 3)), "")</f>
        <v/>
      </c>
      <c r="Q165" s="62" t="str">
        <f ca="1">IF($N$165&lt;&gt;"", INDIRECT("'Tracker'!"&amp;ADDRESS(MATCH($N$165, Tracker[Anime Name], 0) + 2, 4)), "")</f>
        <v/>
      </c>
      <c r="R165" s="62" t="str">
        <f ca="1">IF($N$165&lt;&gt;"", INDIRECT("'Tracker'!"&amp;ADDRESS(MATCH($N$165, Tracker[Anime Name], 0) + 2, 5)), "")</f>
        <v/>
      </c>
      <c r="S165" s="62" t="str">
        <f ca="1">IF($N$165&lt;&gt;"", INDIRECT("'Tracker'!"&amp;ADDRESS(MATCH($N$165, Tracker[Anime Name], 0) + 2, 6)), "")</f>
        <v/>
      </c>
      <c r="T165" s="62" t="str">
        <f ca="1">IF($N$165&lt;&gt;"", INDIRECT("'Tracker'!"&amp;ADDRESS(MATCH($N$165, Tracker[Anime Name], 0) + 2, 7)), "")</f>
        <v/>
      </c>
      <c r="U165" s="68" t="str">
        <f ca="1">IF($N$165&lt;&gt;"", INDIRECT("'Tracker'!"&amp;ADDRESS(MATCH($N$165, Tracker[Anime Name], 0) + 2, 8)), "")</f>
        <v/>
      </c>
      <c r="V165" s="96" t="str">
        <f>IF('Completed'!$C$164&lt;&gt;"",'Completed'!$C$164,"")</f>
        <v/>
      </c>
      <c r="W165" s="96" t="str">
        <f>IF('Completed'!$D$164&lt;&gt;"",'Completed'!$D$164,"")</f>
        <v/>
      </c>
      <c r="X165" s="96" t="str">
        <f>IF('Completed'!$E$164&lt;&gt;"",'Completed'!$E$164,"")</f>
        <v/>
      </c>
      <c r="Y165" s="96" t="str">
        <f>IF('Completed'!$F$164&lt;&gt;"",'Completed'!$F$164,"")</f>
        <v/>
      </c>
      <c r="Z165" s="110" t="str">
        <f>IF('Completed'!$G$164&lt;&gt;"",'Completed'!$G$164,"")</f>
        <v/>
      </c>
      <c r="AA165" s="120" t="str">
        <f>IF('Completed'!$H$164&lt;&gt;"",'Completed'!$H$164,"")</f>
        <v/>
      </c>
      <c r="AB165" s="97" t="str">
        <f>IF('Completed'!$I$164&lt;&gt;"",'Completed'!$I$164,"")</f>
        <v/>
      </c>
      <c r="AC165" s="97" t="str">
        <f>IF('Completed'!$J$164&lt;&gt;"",'Completed'!$J$164,"")</f>
        <v/>
      </c>
      <c r="AD165" s="111" t="str">
        <f>IF('Completed'!$K$164&lt;&gt;"",'Completed'!$K$164,"")</f>
        <v/>
      </c>
      <c r="AE165" s="111" t="str">
        <f>IF('Completed'!$L$164&lt;&gt;"",'Completed'!$L$164,"")</f>
        <v/>
      </c>
    </row>
    <row r="166" spans="10:31">
      <c r="J166" s="61" t="str">
        <f>IF(Backlog!$A$165&lt;&gt;"",Backlog!$A$165,"")</f>
        <v/>
      </c>
      <c r="K166" s="68" t="str">
        <f>IF(Backlog!$B$165&lt;&gt;"",Backlog!$B$165,"")</f>
        <v/>
      </c>
      <c r="L166" s="69" t="str">
        <f>IF(Backlog!$C$165&lt;&gt;"",Backlog!$C$165,"")</f>
        <v/>
      </c>
      <c r="N166" s="61" t="str">
        <f>IF('Completed'!$A$165&lt;&gt;"",'Completed'!$A$165,"")</f>
        <v/>
      </c>
      <c r="O166" s="68" t="str">
        <f>IF('Completed'!$B$165&lt;&gt;"",'Completed'!$B$165,"")</f>
        <v/>
      </c>
      <c r="P166" s="68" t="str">
        <f ca="1">IF($N$166&lt;&gt;"", INDIRECT("'Tracker'!"&amp;ADDRESS(MATCH($N$166, Tracker[Anime Name], 0) + 2, 3)), "")</f>
        <v/>
      </c>
      <c r="Q166" s="62" t="str">
        <f ca="1">IF($N$166&lt;&gt;"", INDIRECT("'Tracker'!"&amp;ADDRESS(MATCH($N$166, Tracker[Anime Name], 0) + 2, 4)), "")</f>
        <v/>
      </c>
      <c r="R166" s="62" t="str">
        <f ca="1">IF($N$166&lt;&gt;"", INDIRECT("'Tracker'!"&amp;ADDRESS(MATCH($N$166, Tracker[Anime Name], 0) + 2, 5)), "")</f>
        <v/>
      </c>
      <c r="S166" s="62" t="str">
        <f ca="1">IF($N$166&lt;&gt;"", INDIRECT("'Tracker'!"&amp;ADDRESS(MATCH($N$166, Tracker[Anime Name], 0) + 2, 6)), "")</f>
        <v/>
      </c>
      <c r="T166" s="62" t="str">
        <f ca="1">IF($N$166&lt;&gt;"", INDIRECT("'Tracker'!"&amp;ADDRESS(MATCH($N$166, Tracker[Anime Name], 0) + 2, 7)), "")</f>
        <v/>
      </c>
      <c r="U166" s="68" t="str">
        <f ca="1">IF($N$166&lt;&gt;"", INDIRECT("'Tracker'!"&amp;ADDRESS(MATCH($N$166, Tracker[Anime Name], 0) + 2, 8)), "")</f>
        <v/>
      </c>
      <c r="V166" s="96" t="str">
        <f>IF('Completed'!$C$165&lt;&gt;"",'Completed'!$C$165,"")</f>
        <v/>
      </c>
      <c r="W166" s="96" t="str">
        <f>IF('Completed'!$D$165&lt;&gt;"",'Completed'!$D$165,"")</f>
        <v/>
      </c>
      <c r="X166" s="96" t="str">
        <f>IF('Completed'!$E$165&lt;&gt;"",'Completed'!$E$165,"")</f>
        <v/>
      </c>
      <c r="Y166" s="96" t="str">
        <f>IF('Completed'!$F$165&lt;&gt;"",'Completed'!$F$165,"")</f>
        <v/>
      </c>
      <c r="Z166" s="110" t="str">
        <f>IF('Completed'!$G$165&lt;&gt;"",'Completed'!$G$165,"")</f>
        <v/>
      </c>
      <c r="AA166" s="120" t="str">
        <f>IF('Completed'!$H$165&lt;&gt;"",'Completed'!$H$165,"")</f>
        <v/>
      </c>
      <c r="AB166" s="97" t="str">
        <f>IF('Completed'!$I$165&lt;&gt;"",'Completed'!$I$165,"")</f>
        <v/>
      </c>
      <c r="AC166" s="97" t="str">
        <f>IF('Completed'!$J$165&lt;&gt;"",'Completed'!$J$165,"")</f>
        <v/>
      </c>
      <c r="AD166" s="111" t="str">
        <f>IF('Completed'!$K$165&lt;&gt;"",'Completed'!$K$165,"")</f>
        <v/>
      </c>
      <c r="AE166" s="111" t="str">
        <f>IF('Completed'!$L$165&lt;&gt;"",'Completed'!$L$165,"")</f>
        <v/>
      </c>
    </row>
    <row r="167" spans="10:31">
      <c r="J167" s="61" t="str">
        <f>IF(Backlog!$A$166&lt;&gt;"",Backlog!$A$166,"")</f>
        <v/>
      </c>
      <c r="K167" s="68" t="str">
        <f>IF(Backlog!$B$166&lt;&gt;"",Backlog!$B$166,"")</f>
        <v/>
      </c>
      <c r="L167" s="69" t="str">
        <f>IF(Backlog!$C$166&lt;&gt;"",Backlog!$C$166,"")</f>
        <v/>
      </c>
      <c r="N167" s="61" t="str">
        <f>IF('Completed'!$A$166&lt;&gt;"",'Completed'!$A$166,"")</f>
        <v/>
      </c>
      <c r="O167" s="68" t="str">
        <f>IF('Completed'!$B$166&lt;&gt;"",'Completed'!$B$166,"")</f>
        <v/>
      </c>
      <c r="P167" s="68" t="str">
        <f ca="1">IF($N$167&lt;&gt;"", INDIRECT("'Tracker'!"&amp;ADDRESS(MATCH($N$167, Tracker[Anime Name], 0) + 2, 3)), "")</f>
        <v/>
      </c>
      <c r="Q167" s="62" t="str">
        <f ca="1">IF($N$167&lt;&gt;"", INDIRECT("'Tracker'!"&amp;ADDRESS(MATCH($N$167, Tracker[Anime Name], 0) + 2, 4)), "")</f>
        <v/>
      </c>
      <c r="R167" s="62" t="str">
        <f ca="1">IF($N$167&lt;&gt;"", INDIRECT("'Tracker'!"&amp;ADDRESS(MATCH($N$167, Tracker[Anime Name], 0) + 2, 5)), "")</f>
        <v/>
      </c>
      <c r="S167" s="62" t="str">
        <f ca="1">IF($N$167&lt;&gt;"", INDIRECT("'Tracker'!"&amp;ADDRESS(MATCH($N$167, Tracker[Anime Name], 0) + 2, 6)), "")</f>
        <v/>
      </c>
      <c r="T167" s="62" t="str">
        <f ca="1">IF($N$167&lt;&gt;"", INDIRECT("'Tracker'!"&amp;ADDRESS(MATCH($N$167, Tracker[Anime Name], 0) + 2, 7)), "")</f>
        <v/>
      </c>
      <c r="U167" s="68" t="str">
        <f ca="1">IF($N$167&lt;&gt;"", INDIRECT("'Tracker'!"&amp;ADDRESS(MATCH($N$167, Tracker[Anime Name], 0) + 2, 8)), "")</f>
        <v/>
      </c>
      <c r="V167" s="96" t="str">
        <f>IF('Completed'!$C$166&lt;&gt;"",'Completed'!$C$166,"")</f>
        <v/>
      </c>
      <c r="W167" s="96" t="str">
        <f>IF('Completed'!$D$166&lt;&gt;"",'Completed'!$D$166,"")</f>
        <v/>
      </c>
      <c r="X167" s="96" t="str">
        <f>IF('Completed'!$E$166&lt;&gt;"",'Completed'!$E$166,"")</f>
        <v/>
      </c>
      <c r="Y167" s="96" t="str">
        <f>IF('Completed'!$F$166&lt;&gt;"",'Completed'!$F$166,"")</f>
        <v/>
      </c>
      <c r="Z167" s="110" t="str">
        <f>IF('Completed'!$G$166&lt;&gt;"",'Completed'!$G$166,"")</f>
        <v/>
      </c>
      <c r="AA167" s="120" t="str">
        <f>IF('Completed'!$H$166&lt;&gt;"",'Completed'!$H$166,"")</f>
        <v/>
      </c>
      <c r="AB167" s="97" t="str">
        <f>IF('Completed'!$I$166&lt;&gt;"",'Completed'!$I$166,"")</f>
        <v/>
      </c>
      <c r="AC167" s="97" t="str">
        <f>IF('Completed'!$J$166&lt;&gt;"",'Completed'!$J$166,"")</f>
        <v/>
      </c>
      <c r="AD167" s="111" t="str">
        <f>IF('Completed'!$K$166&lt;&gt;"",'Completed'!$K$166,"")</f>
        <v/>
      </c>
      <c r="AE167" s="111" t="str">
        <f>IF('Completed'!$L$166&lt;&gt;"",'Completed'!$L$166,"")</f>
        <v/>
      </c>
    </row>
    <row r="168" spans="10:31">
      <c r="J168" s="61" t="str">
        <f>IF(Backlog!$A$167&lt;&gt;"",Backlog!$A$167,"")</f>
        <v/>
      </c>
      <c r="K168" s="68" t="str">
        <f>IF(Backlog!$B$167&lt;&gt;"",Backlog!$B$167,"")</f>
        <v/>
      </c>
      <c r="L168" s="69" t="str">
        <f>IF(Backlog!$C$167&lt;&gt;"",Backlog!$C$167,"")</f>
        <v/>
      </c>
      <c r="N168" s="61" t="str">
        <f>IF('Completed'!$A$167&lt;&gt;"",'Completed'!$A$167,"")</f>
        <v/>
      </c>
      <c r="O168" s="68" t="str">
        <f>IF('Completed'!$B$167&lt;&gt;"",'Completed'!$B$167,"")</f>
        <v/>
      </c>
      <c r="P168" s="68" t="str">
        <f ca="1">IF($N$168&lt;&gt;"", INDIRECT("'Tracker'!"&amp;ADDRESS(MATCH($N$168, Tracker[Anime Name], 0) + 2, 3)), "")</f>
        <v/>
      </c>
      <c r="Q168" s="62" t="str">
        <f ca="1">IF($N$168&lt;&gt;"", INDIRECT("'Tracker'!"&amp;ADDRESS(MATCH($N$168, Tracker[Anime Name], 0) + 2, 4)), "")</f>
        <v/>
      </c>
      <c r="R168" s="62" t="str">
        <f ca="1">IF($N$168&lt;&gt;"", INDIRECT("'Tracker'!"&amp;ADDRESS(MATCH($N$168, Tracker[Anime Name], 0) + 2, 5)), "")</f>
        <v/>
      </c>
      <c r="S168" s="62" t="str">
        <f ca="1">IF($N$168&lt;&gt;"", INDIRECT("'Tracker'!"&amp;ADDRESS(MATCH($N$168, Tracker[Anime Name], 0) + 2, 6)), "")</f>
        <v/>
      </c>
      <c r="T168" s="62" t="str">
        <f ca="1">IF($N$168&lt;&gt;"", INDIRECT("'Tracker'!"&amp;ADDRESS(MATCH($N$168, Tracker[Anime Name], 0) + 2, 7)), "")</f>
        <v/>
      </c>
      <c r="U168" s="68" t="str">
        <f ca="1">IF($N$168&lt;&gt;"", INDIRECT("'Tracker'!"&amp;ADDRESS(MATCH($N$168, Tracker[Anime Name], 0) + 2, 8)), "")</f>
        <v/>
      </c>
      <c r="V168" s="96" t="str">
        <f>IF('Completed'!$C$167&lt;&gt;"",'Completed'!$C$167,"")</f>
        <v/>
      </c>
      <c r="W168" s="96" t="str">
        <f>IF('Completed'!$D$167&lt;&gt;"",'Completed'!$D$167,"")</f>
        <v/>
      </c>
      <c r="X168" s="96" t="str">
        <f>IF('Completed'!$E$167&lt;&gt;"",'Completed'!$E$167,"")</f>
        <v/>
      </c>
      <c r="Y168" s="96" t="str">
        <f>IF('Completed'!$F$167&lt;&gt;"",'Completed'!$F$167,"")</f>
        <v/>
      </c>
      <c r="Z168" s="110" t="str">
        <f>IF('Completed'!$G$167&lt;&gt;"",'Completed'!$G$167,"")</f>
        <v/>
      </c>
      <c r="AA168" s="120" t="str">
        <f>IF('Completed'!$H$167&lt;&gt;"",'Completed'!$H$167,"")</f>
        <v/>
      </c>
      <c r="AB168" s="97" t="str">
        <f>IF('Completed'!$I$167&lt;&gt;"",'Completed'!$I$167,"")</f>
        <v/>
      </c>
      <c r="AC168" s="97" t="str">
        <f>IF('Completed'!$J$167&lt;&gt;"",'Completed'!$J$167,"")</f>
        <v/>
      </c>
      <c r="AD168" s="111" t="str">
        <f>IF('Completed'!$K$167&lt;&gt;"",'Completed'!$K$167,"")</f>
        <v/>
      </c>
      <c r="AE168" s="111" t="str">
        <f>IF('Completed'!$L$167&lt;&gt;"",'Completed'!$L$167,"")</f>
        <v/>
      </c>
    </row>
    <row r="169" spans="10:31">
      <c r="J169" s="61" t="str">
        <f>IF(Backlog!$A$168&lt;&gt;"",Backlog!$A$168,"")</f>
        <v/>
      </c>
      <c r="K169" s="68" t="str">
        <f>IF(Backlog!$B$168&lt;&gt;"",Backlog!$B$168,"")</f>
        <v/>
      </c>
      <c r="L169" s="69" t="str">
        <f>IF(Backlog!$C$168&lt;&gt;"",Backlog!$C$168,"")</f>
        <v/>
      </c>
      <c r="N169" s="61" t="str">
        <f>IF('Completed'!$A$168&lt;&gt;"",'Completed'!$A$168,"")</f>
        <v/>
      </c>
      <c r="O169" s="68" t="str">
        <f>IF('Completed'!$B$168&lt;&gt;"",'Completed'!$B$168,"")</f>
        <v/>
      </c>
      <c r="P169" s="68" t="str">
        <f ca="1">IF($N$169&lt;&gt;"", INDIRECT("'Tracker'!"&amp;ADDRESS(MATCH($N$169, Tracker[Anime Name], 0) + 2, 3)), "")</f>
        <v/>
      </c>
      <c r="Q169" s="62" t="str">
        <f ca="1">IF($N$169&lt;&gt;"", INDIRECT("'Tracker'!"&amp;ADDRESS(MATCH($N$169, Tracker[Anime Name], 0) + 2, 4)), "")</f>
        <v/>
      </c>
      <c r="R169" s="62" t="str">
        <f ca="1">IF($N$169&lt;&gt;"", INDIRECT("'Tracker'!"&amp;ADDRESS(MATCH($N$169, Tracker[Anime Name], 0) + 2, 5)), "")</f>
        <v/>
      </c>
      <c r="S169" s="62" t="str">
        <f ca="1">IF($N$169&lt;&gt;"", INDIRECT("'Tracker'!"&amp;ADDRESS(MATCH($N$169, Tracker[Anime Name], 0) + 2, 6)), "")</f>
        <v/>
      </c>
      <c r="T169" s="62" t="str">
        <f ca="1">IF($N$169&lt;&gt;"", INDIRECT("'Tracker'!"&amp;ADDRESS(MATCH($N$169, Tracker[Anime Name], 0) + 2, 7)), "")</f>
        <v/>
      </c>
      <c r="U169" s="68" t="str">
        <f ca="1">IF($N$169&lt;&gt;"", INDIRECT("'Tracker'!"&amp;ADDRESS(MATCH($N$169, Tracker[Anime Name], 0) + 2, 8)), "")</f>
        <v/>
      </c>
      <c r="V169" s="96" t="str">
        <f>IF('Completed'!$C$168&lt;&gt;"",'Completed'!$C$168,"")</f>
        <v/>
      </c>
      <c r="W169" s="96" t="str">
        <f>IF('Completed'!$D$168&lt;&gt;"",'Completed'!$D$168,"")</f>
        <v/>
      </c>
      <c r="X169" s="96" t="str">
        <f>IF('Completed'!$E$168&lt;&gt;"",'Completed'!$E$168,"")</f>
        <v/>
      </c>
      <c r="Y169" s="96" t="str">
        <f>IF('Completed'!$F$168&lt;&gt;"",'Completed'!$F$168,"")</f>
        <v/>
      </c>
      <c r="Z169" s="110" t="str">
        <f>IF('Completed'!$G$168&lt;&gt;"",'Completed'!$G$168,"")</f>
        <v/>
      </c>
      <c r="AA169" s="120" t="str">
        <f>IF('Completed'!$H$168&lt;&gt;"",'Completed'!$H$168,"")</f>
        <v/>
      </c>
      <c r="AB169" s="97" t="str">
        <f>IF('Completed'!$I$168&lt;&gt;"",'Completed'!$I$168,"")</f>
        <v/>
      </c>
      <c r="AC169" s="97" t="str">
        <f>IF('Completed'!$J$168&lt;&gt;"",'Completed'!$J$168,"")</f>
        <v/>
      </c>
      <c r="AD169" s="111" t="str">
        <f>IF('Completed'!$K$168&lt;&gt;"",'Completed'!$K$168,"")</f>
        <v/>
      </c>
      <c r="AE169" s="111" t="str">
        <f>IF('Completed'!$L$168&lt;&gt;"",'Completed'!$L$168,"")</f>
        <v/>
      </c>
    </row>
    <row r="170" spans="10:31">
      <c r="J170" s="61" t="str">
        <f>IF(Backlog!$A$169&lt;&gt;"",Backlog!$A$169,"")</f>
        <v/>
      </c>
      <c r="K170" s="68" t="str">
        <f>IF(Backlog!$B$169&lt;&gt;"",Backlog!$B$169,"")</f>
        <v/>
      </c>
      <c r="L170" s="69" t="str">
        <f>IF(Backlog!$C$169&lt;&gt;"",Backlog!$C$169,"")</f>
        <v/>
      </c>
      <c r="N170" s="61" t="str">
        <f>IF('Completed'!$A$169&lt;&gt;"",'Completed'!$A$169,"")</f>
        <v/>
      </c>
      <c r="O170" s="68" t="str">
        <f>IF('Completed'!$B$169&lt;&gt;"",'Completed'!$B$169,"")</f>
        <v/>
      </c>
      <c r="P170" s="68" t="str">
        <f ca="1">IF($N$170&lt;&gt;"", INDIRECT("'Tracker'!"&amp;ADDRESS(MATCH($N$170, Tracker[Anime Name], 0) + 2, 3)), "")</f>
        <v/>
      </c>
      <c r="Q170" s="62" t="str">
        <f ca="1">IF($N$170&lt;&gt;"", INDIRECT("'Tracker'!"&amp;ADDRESS(MATCH($N$170, Tracker[Anime Name], 0) + 2, 4)), "")</f>
        <v/>
      </c>
      <c r="R170" s="62" t="str">
        <f ca="1">IF($N$170&lt;&gt;"", INDIRECT("'Tracker'!"&amp;ADDRESS(MATCH($N$170, Tracker[Anime Name], 0) + 2, 5)), "")</f>
        <v/>
      </c>
      <c r="S170" s="62" t="str">
        <f ca="1">IF($N$170&lt;&gt;"", INDIRECT("'Tracker'!"&amp;ADDRESS(MATCH($N$170, Tracker[Anime Name], 0) + 2, 6)), "")</f>
        <v/>
      </c>
      <c r="T170" s="62" t="str">
        <f ca="1">IF($N$170&lt;&gt;"", INDIRECT("'Tracker'!"&amp;ADDRESS(MATCH($N$170, Tracker[Anime Name], 0) + 2, 7)), "")</f>
        <v/>
      </c>
      <c r="U170" s="68" t="str">
        <f ca="1">IF($N$170&lt;&gt;"", INDIRECT("'Tracker'!"&amp;ADDRESS(MATCH($N$170, Tracker[Anime Name], 0) + 2, 8)), "")</f>
        <v/>
      </c>
      <c r="V170" s="96" t="str">
        <f>IF('Completed'!$C$169&lt;&gt;"",'Completed'!$C$169,"")</f>
        <v/>
      </c>
      <c r="W170" s="96" t="str">
        <f>IF('Completed'!$D$169&lt;&gt;"",'Completed'!$D$169,"")</f>
        <v/>
      </c>
      <c r="X170" s="96" t="str">
        <f>IF('Completed'!$E$169&lt;&gt;"",'Completed'!$E$169,"")</f>
        <v/>
      </c>
      <c r="Y170" s="96" t="str">
        <f>IF('Completed'!$F$169&lt;&gt;"",'Completed'!$F$169,"")</f>
        <v/>
      </c>
      <c r="Z170" s="110" t="str">
        <f>IF('Completed'!$G$169&lt;&gt;"",'Completed'!$G$169,"")</f>
        <v/>
      </c>
      <c r="AA170" s="120" t="str">
        <f>IF('Completed'!$H$169&lt;&gt;"",'Completed'!$H$169,"")</f>
        <v/>
      </c>
      <c r="AB170" s="97" t="str">
        <f>IF('Completed'!$I$169&lt;&gt;"",'Completed'!$I$169,"")</f>
        <v/>
      </c>
      <c r="AC170" s="97" t="str">
        <f>IF('Completed'!$J$169&lt;&gt;"",'Completed'!$J$169,"")</f>
        <v/>
      </c>
      <c r="AD170" s="111" t="str">
        <f>IF('Completed'!$K$169&lt;&gt;"",'Completed'!$K$169,"")</f>
        <v/>
      </c>
      <c r="AE170" s="111" t="str">
        <f>IF('Completed'!$L$169&lt;&gt;"",'Completed'!$L$169,"")</f>
        <v/>
      </c>
    </row>
    <row r="171" spans="10:31">
      <c r="J171" s="61" t="str">
        <f>IF(Backlog!$A$170&lt;&gt;"",Backlog!$A$170,"")</f>
        <v/>
      </c>
      <c r="K171" s="68" t="str">
        <f>IF(Backlog!$B$170&lt;&gt;"",Backlog!$B$170,"")</f>
        <v/>
      </c>
      <c r="L171" s="69" t="str">
        <f>IF(Backlog!$C$170&lt;&gt;"",Backlog!$C$170,"")</f>
        <v/>
      </c>
      <c r="N171" s="61" t="str">
        <f>IF('Completed'!$A$170&lt;&gt;"",'Completed'!$A$170,"")</f>
        <v/>
      </c>
      <c r="O171" s="68" t="str">
        <f>IF('Completed'!$B$170&lt;&gt;"",'Completed'!$B$170,"")</f>
        <v/>
      </c>
      <c r="P171" s="68" t="str">
        <f ca="1">IF($N$171&lt;&gt;"", INDIRECT("'Tracker'!"&amp;ADDRESS(MATCH($N$171, Tracker[Anime Name], 0) + 2, 3)), "")</f>
        <v/>
      </c>
      <c r="Q171" s="62" t="str">
        <f ca="1">IF($N$171&lt;&gt;"", INDIRECT("'Tracker'!"&amp;ADDRESS(MATCH($N$171, Tracker[Anime Name], 0) + 2, 4)), "")</f>
        <v/>
      </c>
      <c r="R171" s="62" t="str">
        <f ca="1">IF($N$171&lt;&gt;"", INDIRECT("'Tracker'!"&amp;ADDRESS(MATCH($N$171, Tracker[Anime Name], 0) + 2, 5)), "")</f>
        <v/>
      </c>
      <c r="S171" s="62" t="str">
        <f ca="1">IF($N$171&lt;&gt;"", INDIRECT("'Tracker'!"&amp;ADDRESS(MATCH($N$171, Tracker[Anime Name], 0) + 2, 6)), "")</f>
        <v/>
      </c>
      <c r="T171" s="62" t="str">
        <f ca="1">IF($N$171&lt;&gt;"", INDIRECT("'Tracker'!"&amp;ADDRESS(MATCH($N$171, Tracker[Anime Name], 0) + 2, 7)), "")</f>
        <v/>
      </c>
      <c r="U171" s="68" t="str">
        <f ca="1">IF($N$171&lt;&gt;"", INDIRECT("'Tracker'!"&amp;ADDRESS(MATCH($N$171, Tracker[Anime Name], 0) + 2, 8)), "")</f>
        <v/>
      </c>
      <c r="V171" s="96" t="str">
        <f>IF('Completed'!$C$170&lt;&gt;"",'Completed'!$C$170,"")</f>
        <v/>
      </c>
      <c r="W171" s="96" t="str">
        <f>IF('Completed'!$D$170&lt;&gt;"",'Completed'!$D$170,"")</f>
        <v/>
      </c>
      <c r="X171" s="96" t="str">
        <f>IF('Completed'!$E$170&lt;&gt;"",'Completed'!$E$170,"")</f>
        <v/>
      </c>
      <c r="Y171" s="96" t="str">
        <f>IF('Completed'!$F$170&lt;&gt;"",'Completed'!$F$170,"")</f>
        <v/>
      </c>
      <c r="Z171" s="110" t="str">
        <f>IF('Completed'!$G$170&lt;&gt;"",'Completed'!$G$170,"")</f>
        <v/>
      </c>
      <c r="AA171" s="120" t="str">
        <f>IF('Completed'!$H$170&lt;&gt;"",'Completed'!$H$170,"")</f>
        <v/>
      </c>
      <c r="AB171" s="97" t="str">
        <f>IF('Completed'!$I$170&lt;&gt;"",'Completed'!$I$170,"")</f>
        <v/>
      </c>
      <c r="AC171" s="97" t="str">
        <f>IF('Completed'!$J$170&lt;&gt;"",'Completed'!$J$170,"")</f>
        <v/>
      </c>
      <c r="AD171" s="111" t="str">
        <f>IF('Completed'!$K$170&lt;&gt;"",'Completed'!$K$170,"")</f>
        <v/>
      </c>
      <c r="AE171" s="111" t="str">
        <f>IF('Completed'!$L$170&lt;&gt;"",'Completed'!$L$170,"")</f>
        <v/>
      </c>
    </row>
    <row r="172" spans="10:31">
      <c r="J172" s="61" t="str">
        <f>IF(Backlog!$A$171&lt;&gt;"",Backlog!$A$171,"")</f>
        <v/>
      </c>
      <c r="K172" s="68" t="str">
        <f>IF(Backlog!$B$171&lt;&gt;"",Backlog!$B$171,"")</f>
        <v/>
      </c>
      <c r="L172" s="69" t="str">
        <f>IF(Backlog!$C$171&lt;&gt;"",Backlog!$C$171,"")</f>
        <v/>
      </c>
      <c r="N172" s="61" t="str">
        <f>IF('Completed'!$A$171&lt;&gt;"",'Completed'!$A$171,"")</f>
        <v/>
      </c>
      <c r="O172" s="68" t="str">
        <f>IF('Completed'!$B$171&lt;&gt;"",'Completed'!$B$171,"")</f>
        <v/>
      </c>
      <c r="P172" s="68" t="str">
        <f ca="1">IF($N$172&lt;&gt;"", INDIRECT("'Tracker'!"&amp;ADDRESS(MATCH($N$172, Tracker[Anime Name], 0) + 2, 3)), "")</f>
        <v/>
      </c>
      <c r="Q172" s="62" t="str">
        <f ca="1">IF($N$172&lt;&gt;"", INDIRECT("'Tracker'!"&amp;ADDRESS(MATCH($N$172, Tracker[Anime Name], 0) + 2, 4)), "")</f>
        <v/>
      </c>
      <c r="R172" s="62" t="str">
        <f ca="1">IF($N$172&lt;&gt;"", INDIRECT("'Tracker'!"&amp;ADDRESS(MATCH($N$172, Tracker[Anime Name], 0) + 2, 5)), "")</f>
        <v/>
      </c>
      <c r="S172" s="62" t="str">
        <f ca="1">IF($N$172&lt;&gt;"", INDIRECT("'Tracker'!"&amp;ADDRESS(MATCH($N$172, Tracker[Anime Name], 0) + 2, 6)), "")</f>
        <v/>
      </c>
      <c r="T172" s="62" t="str">
        <f ca="1">IF($N$172&lt;&gt;"", INDIRECT("'Tracker'!"&amp;ADDRESS(MATCH($N$172, Tracker[Anime Name], 0) + 2, 7)), "")</f>
        <v/>
      </c>
      <c r="U172" s="68" t="str">
        <f ca="1">IF($N$172&lt;&gt;"", INDIRECT("'Tracker'!"&amp;ADDRESS(MATCH($N$172, Tracker[Anime Name], 0) + 2, 8)), "")</f>
        <v/>
      </c>
      <c r="V172" s="96" t="str">
        <f>IF('Completed'!$C$171&lt;&gt;"",'Completed'!$C$171,"")</f>
        <v/>
      </c>
      <c r="W172" s="96" t="str">
        <f>IF('Completed'!$D$171&lt;&gt;"",'Completed'!$D$171,"")</f>
        <v/>
      </c>
      <c r="X172" s="96" t="str">
        <f>IF('Completed'!$E$171&lt;&gt;"",'Completed'!$E$171,"")</f>
        <v/>
      </c>
      <c r="Y172" s="96" t="str">
        <f>IF('Completed'!$F$171&lt;&gt;"",'Completed'!$F$171,"")</f>
        <v/>
      </c>
      <c r="Z172" s="110" t="str">
        <f>IF('Completed'!$G$171&lt;&gt;"",'Completed'!$G$171,"")</f>
        <v/>
      </c>
      <c r="AA172" s="120" t="str">
        <f>IF('Completed'!$H$171&lt;&gt;"",'Completed'!$H$171,"")</f>
        <v/>
      </c>
      <c r="AB172" s="97" t="str">
        <f>IF('Completed'!$I$171&lt;&gt;"",'Completed'!$I$171,"")</f>
        <v/>
      </c>
      <c r="AC172" s="97" t="str">
        <f>IF('Completed'!$J$171&lt;&gt;"",'Completed'!$J$171,"")</f>
        <v/>
      </c>
      <c r="AD172" s="111" t="str">
        <f>IF('Completed'!$K$171&lt;&gt;"",'Completed'!$K$171,"")</f>
        <v/>
      </c>
      <c r="AE172" s="111" t="str">
        <f>IF('Completed'!$L$171&lt;&gt;"",'Completed'!$L$171,"")</f>
        <v/>
      </c>
    </row>
    <row r="173" spans="10:31">
      <c r="J173" s="61" t="str">
        <f>IF(Backlog!$A$172&lt;&gt;"",Backlog!$A$172,"")</f>
        <v/>
      </c>
      <c r="K173" s="68" t="str">
        <f>IF(Backlog!$B$172&lt;&gt;"",Backlog!$B$172,"")</f>
        <v/>
      </c>
      <c r="L173" s="69" t="str">
        <f>IF(Backlog!$C$172&lt;&gt;"",Backlog!$C$172,"")</f>
        <v/>
      </c>
      <c r="N173" s="61" t="str">
        <f>IF('Completed'!$A$172&lt;&gt;"",'Completed'!$A$172,"")</f>
        <v/>
      </c>
      <c r="O173" s="68" t="str">
        <f>IF('Completed'!$B$172&lt;&gt;"",'Completed'!$B$172,"")</f>
        <v/>
      </c>
      <c r="P173" s="68" t="str">
        <f ca="1">IF($N$173&lt;&gt;"", INDIRECT("'Tracker'!"&amp;ADDRESS(MATCH($N$173, Tracker[Anime Name], 0) + 2, 3)), "")</f>
        <v/>
      </c>
      <c r="Q173" s="62" t="str">
        <f ca="1">IF($N$173&lt;&gt;"", INDIRECT("'Tracker'!"&amp;ADDRESS(MATCH($N$173, Tracker[Anime Name], 0) + 2, 4)), "")</f>
        <v/>
      </c>
      <c r="R173" s="62" t="str">
        <f ca="1">IF($N$173&lt;&gt;"", INDIRECT("'Tracker'!"&amp;ADDRESS(MATCH($N$173, Tracker[Anime Name], 0) + 2, 5)), "")</f>
        <v/>
      </c>
      <c r="S173" s="62" t="str">
        <f ca="1">IF($N$173&lt;&gt;"", INDIRECT("'Tracker'!"&amp;ADDRESS(MATCH($N$173, Tracker[Anime Name], 0) + 2, 6)), "")</f>
        <v/>
      </c>
      <c r="T173" s="62" t="str">
        <f ca="1">IF($N$173&lt;&gt;"", INDIRECT("'Tracker'!"&amp;ADDRESS(MATCH($N$173, Tracker[Anime Name], 0) + 2, 7)), "")</f>
        <v/>
      </c>
      <c r="U173" s="68" t="str">
        <f ca="1">IF($N$173&lt;&gt;"", INDIRECT("'Tracker'!"&amp;ADDRESS(MATCH($N$173, Tracker[Anime Name], 0) + 2, 8)), "")</f>
        <v/>
      </c>
      <c r="V173" s="96" t="str">
        <f>IF('Completed'!$C$172&lt;&gt;"",'Completed'!$C$172,"")</f>
        <v/>
      </c>
      <c r="W173" s="96" t="str">
        <f>IF('Completed'!$D$172&lt;&gt;"",'Completed'!$D$172,"")</f>
        <v/>
      </c>
      <c r="X173" s="96" t="str">
        <f>IF('Completed'!$E$172&lt;&gt;"",'Completed'!$E$172,"")</f>
        <v/>
      </c>
      <c r="Y173" s="96" t="str">
        <f>IF('Completed'!$F$172&lt;&gt;"",'Completed'!$F$172,"")</f>
        <v/>
      </c>
      <c r="Z173" s="110" t="str">
        <f>IF('Completed'!$G$172&lt;&gt;"",'Completed'!$G$172,"")</f>
        <v/>
      </c>
      <c r="AA173" s="120" t="str">
        <f>IF('Completed'!$H$172&lt;&gt;"",'Completed'!$H$172,"")</f>
        <v/>
      </c>
      <c r="AB173" s="97" t="str">
        <f>IF('Completed'!$I$172&lt;&gt;"",'Completed'!$I$172,"")</f>
        <v/>
      </c>
      <c r="AC173" s="97" t="str">
        <f>IF('Completed'!$J$172&lt;&gt;"",'Completed'!$J$172,"")</f>
        <v/>
      </c>
      <c r="AD173" s="111" t="str">
        <f>IF('Completed'!$K$172&lt;&gt;"",'Completed'!$K$172,"")</f>
        <v/>
      </c>
      <c r="AE173" s="111" t="str">
        <f>IF('Completed'!$L$172&lt;&gt;"",'Completed'!$L$172,"")</f>
        <v/>
      </c>
    </row>
    <row r="174" spans="10:31">
      <c r="J174" s="61" t="str">
        <f>IF(Backlog!$A$173&lt;&gt;"",Backlog!$A$173,"")</f>
        <v/>
      </c>
      <c r="K174" s="68" t="str">
        <f>IF(Backlog!$B$173&lt;&gt;"",Backlog!$B$173,"")</f>
        <v/>
      </c>
      <c r="L174" s="69" t="str">
        <f>IF(Backlog!$C$173&lt;&gt;"",Backlog!$C$173,"")</f>
        <v/>
      </c>
      <c r="N174" s="61" t="str">
        <f>IF('Completed'!$A$173&lt;&gt;"",'Completed'!$A$173,"")</f>
        <v/>
      </c>
      <c r="O174" s="68" t="str">
        <f>IF('Completed'!$B$173&lt;&gt;"",'Completed'!$B$173,"")</f>
        <v/>
      </c>
      <c r="P174" s="68" t="str">
        <f ca="1">IF($N$174&lt;&gt;"", INDIRECT("'Tracker'!"&amp;ADDRESS(MATCH($N$174, Tracker[Anime Name], 0) + 2, 3)), "")</f>
        <v/>
      </c>
      <c r="Q174" s="62" t="str">
        <f ca="1">IF($N$174&lt;&gt;"", INDIRECT("'Tracker'!"&amp;ADDRESS(MATCH($N$174, Tracker[Anime Name], 0) + 2, 4)), "")</f>
        <v/>
      </c>
      <c r="R174" s="62" t="str">
        <f ca="1">IF($N$174&lt;&gt;"", INDIRECT("'Tracker'!"&amp;ADDRESS(MATCH($N$174, Tracker[Anime Name], 0) + 2, 5)), "")</f>
        <v/>
      </c>
      <c r="S174" s="62" t="str">
        <f ca="1">IF($N$174&lt;&gt;"", INDIRECT("'Tracker'!"&amp;ADDRESS(MATCH($N$174, Tracker[Anime Name], 0) + 2, 6)), "")</f>
        <v/>
      </c>
      <c r="T174" s="62" t="str">
        <f ca="1">IF($N$174&lt;&gt;"", INDIRECT("'Tracker'!"&amp;ADDRESS(MATCH($N$174, Tracker[Anime Name], 0) + 2, 7)), "")</f>
        <v/>
      </c>
      <c r="U174" s="68" t="str">
        <f ca="1">IF($N$174&lt;&gt;"", INDIRECT("'Tracker'!"&amp;ADDRESS(MATCH($N$174, Tracker[Anime Name], 0) + 2, 8)), "")</f>
        <v/>
      </c>
      <c r="V174" s="96" t="str">
        <f>IF('Completed'!$C$173&lt;&gt;"",'Completed'!$C$173,"")</f>
        <v/>
      </c>
      <c r="W174" s="96" t="str">
        <f>IF('Completed'!$D$173&lt;&gt;"",'Completed'!$D$173,"")</f>
        <v/>
      </c>
      <c r="X174" s="96" t="str">
        <f>IF('Completed'!$E$173&lt;&gt;"",'Completed'!$E$173,"")</f>
        <v/>
      </c>
      <c r="Y174" s="96" t="str">
        <f>IF('Completed'!$F$173&lt;&gt;"",'Completed'!$F$173,"")</f>
        <v/>
      </c>
      <c r="Z174" s="110" t="str">
        <f>IF('Completed'!$G$173&lt;&gt;"",'Completed'!$G$173,"")</f>
        <v/>
      </c>
      <c r="AA174" s="120" t="str">
        <f>IF('Completed'!$H$173&lt;&gt;"",'Completed'!$H$173,"")</f>
        <v/>
      </c>
      <c r="AB174" s="97" t="str">
        <f>IF('Completed'!$I$173&lt;&gt;"",'Completed'!$I$173,"")</f>
        <v/>
      </c>
      <c r="AC174" s="97" t="str">
        <f>IF('Completed'!$J$173&lt;&gt;"",'Completed'!$J$173,"")</f>
        <v/>
      </c>
      <c r="AD174" s="111" t="str">
        <f>IF('Completed'!$K$173&lt;&gt;"",'Completed'!$K$173,"")</f>
        <v/>
      </c>
      <c r="AE174" s="111" t="str">
        <f>IF('Completed'!$L$173&lt;&gt;"",'Completed'!$L$173,"")</f>
        <v/>
      </c>
    </row>
    <row r="175" spans="10:31">
      <c r="J175" s="61" t="str">
        <f>IF(Backlog!$A$174&lt;&gt;"",Backlog!$A$174,"")</f>
        <v/>
      </c>
      <c r="K175" s="68" t="str">
        <f>IF(Backlog!$B$174&lt;&gt;"",Backlog!$B$174,"")</f>
        <v/>
      </c>
      <c r="L175" s="69" t="str">
        <f>IF(Backlog!$C$174&lt;&gt;"",Backlog!$C$174,"")</f>
        <v/>
      </c>
      <c r="N175" s="61" t="str">
        <f>IF('Completed'!$A$174&lt;&gt;"",'Completed'!$A$174,"")</f>
        <v/>
      </c>
      <c r="O175" s="68" t="str">
        <f>IF('Completed'!$B$174&lt;&gt;"",'Completed'!$B$174,"")</f>
        <v/>
      </c>
      <c r="P175" s="68" t="str">
        <f ca="1">IF($N$175&lt;&gt;"", INDIRECT("'Tracker'!"&amp;ADDRESS(MATCH($N$175, Tracker[Anime Name], 0) + 2, 3)), "")</f>
        <v/>
      </c>
      <c r="Q175" s="62" t="str">
        <f ca="1">IF($N$175&lt;&gt;"", INDIRECT("'Tracker'!"&amp;ADDRESS(MATCH($N$175, Tracker[Anime Name], 0) + 2, 4)), "")</f>
        <v/>
      </c>
      <c r="R175" s="62" t="str">
        <f ca="1">IF($N$175&lt;&gt;"", INDIRECT("'Tracker'!"&amp;ADDRESS(MATCH($N$175, Tracker[Anime Name], 0) + 2, 5)), "")</f>
        <v/>
      </c>
      <c r="S175" s="62" t="str">
        <f ca="1">IF($N$175&lt;&gt;"", INDIRECT("'Tracker'!"&amp;ADDRESS(MATCH($N$175, Tracker[Anime Name], 0) + 2, 6)), "")</f>
        <v/>
      </c>
      <c r="T175" s="62" t="str">
        <f ca="1">IF($N$175&lt;&gt;"", INDIRECT("'Tracker'!"&amp;ADDRESS(MATCH($N$175, Tracker[Anime Name], 0) + 2, 7)), "")</f>
        <v/>
      </c>
      <c r="U175" s="68" t="str">
        <f ca="1">IF($N$175&lt;&gt;"", INDIRECT("'Tracker'!"&amp;ADDRESS(MATCH($N$175, Tracker[Anime Name], 0) + 2, 8)), "")</f>
        <v/>
      </c>
      <c r="V175" s="96" t="str">
        <f>IF('Completed'!$C$174&lt;&gt;"",'Completed'!$C$174,"")</f>
        <v/>
      </c>
      <c r="W175" s="96" t="str">
        <f>IF('Completed'!$D$174&lt;&gt;"",'Completed'!$D$174,"")</f>
        <v/>
      </c>
      <c r="X175" s="96" t="str">
        <f>IF('Completed'!$E$174&lt;&gt;"",'Completed'!$E$174,"")</f>
        <v/>
      </c>
      <c r="Y175" s="96" t="str">
        <f>IF('Completed'!$F$174&lt;&gt;"",'Completed'!$F$174,"")</f>
        <v/>
      </c>
      <c r="Z175" s="110" t="str">
        <f>IF('Completed'!$G$174&lt;&gt;"",'Completed'!$G$174,"")</f>
        <v/>
      </c>
      <c r="AA175" s="120" t="str">
        <f>IF('Completed'!$H$174&lt;&gt;"",'Completed'!$H$174,"")</f>
        <v/>
      </c>
      <c r="AB175" s="97" t="str">
        <f>IF('Completed'!$I$174&lt;&gt;"",'Completed'!$I$174,"")</f>
        <v/>
      </c>
      <c r="AC175" s="97" t="str">
        <f>IF('Completed'!$J$174&lt;&gt;"",'Completed'!$J$174,"")</f>
        <v/>
      </c>
      <c r="AD175" s="111" t="str">
        <f>IF('Completed'!$K$174&lt;&gt;"",'Completed'!$K$174,"")</f>
        <v/>
      </c>
      <c r="AE175" s="111" t="str">
        <f>IF('Completed'!$L$174&lt;&gt;"",'Completed'!$L$174,"")</f>
        <v/>
      </c>
    </row>
    <row r="176" spans="10:31">
      <c r="J176" s="61" t="str">
        <f>IF(Backlog!$A$175&lt;&gt;"",Backlog!$A$175,"")</f>
        <v/>
      </c>
      <c r="K176" s="68" t="str">
        <f>IF(Backlog!$B$175&lt;&gt;"",Backlog!$B$175,"")</f>
        <v/>
      </c>
      <c r="L176" s="69" t="str">
        <f>IF(Backlog!$C$175&lt;&gt;"",Backlog!$C$175,"")</f>
        <v/>
      </c>
      <c r="N176" s="61" t="str">
        <f>IF('Completed'!$A$175&lt;&gt;"",'Completed'!$A$175,"")</f>
        <v/>
      </c>
      <c r="O176" s="68" t="str">
        <f>IF('Completed'!$B$175&lt;&gt;"",'Completed'!$B$175,"")</f>
        <v/>
      </c>
      <c r="P176" s="68" t="str">
        <f ca="1">IF($N$176&lt;&gt;"", INDIRECT("'Tracker'!"&amp;ADDRESS(MATCH($N$176, Tracker[Anime Name], 0) + 2, 3)), "")</f>
        <v/>
      </c>
      <c r="Q176" s="62" t="str">
        <f ca="1">IF($N$176&lt;&gt;"", INDIRECT("'Tracker'!"&amp;ADDRESS(MATCH($N$176, Tracker[Anime Name], 0) + 2, 4)), "")</f>
        <v/>
      </c>
      <c r="R176" s="62" t="str">
        <f ca="1">IF($N$176&lt;&gt;"", INDIRECT("'Tracker'!"&amp;ADDRESS(MATCH($N$176, Tracker[Anime Name], 0) + 2, 5)), "")</f>
        <v/>
      </c>
      <c r="S176" s="62" t="str">
        <f ca="1">IF($N$176&lt;&gt;"", INDIRECT("'Tracker'!"&amp;ADDRESS(MATCH($N$176, Tracker[Anime Name], 0) + 2, 6)), "")</f>
        <v/>
      </c>
      <c r="T176" s="62" t="str">
        <f ca="1">IF($N$176&lt;&gt;"", INDIRECT("'Tracker'!"&amp;ADDRESS(MATCH($N$176, Tracker[Anime Name], 0) + 2, 7)), "")</f>
        <v/>
      </c>
      <c r="U176" s="68" t="str">
        <f ca="1">IF($N$176&lt;&gt;"", INDIRECT("'Tracker'!"&amp;ADDRESS(MATCH($N$176, Tracker[Anime Name], 0) + 2, 8)), "")</f>
        <v/>
      </c>
      <c r="V176" s="96" t="str">
        <f>IF('Completed'!$C$175&lt;&gt;"",'Completed'!$C$175,"")</f>
        <v/>
      </c>
      <c r="W176" s="96" t="str">
        <f>IF('Completed'!$D$175&lt;&gt;"",'Completed'!$D$175,"")</f>
        <v/>
      </c>
      <c r="X176" s="96" t="str">
        <f>IF('Completed'!$E$175&lt;&gt;"",'Completed'!$E$175,"")</f>
        <v/>
      </c>
      <c r="Y176" s="96" t="str">
        <f>IF('Completed'!$F$175&lt;&gt;"",'Completed'!$F$175,"")</f>
        <v/>
      </c>
      <c r="Z176" s="110" t="str">
        <f>IF('Completed'!$G$175&lt;&gt;"",'Completed'!$G$175,"")</f>
        <v/>
      </c>
      <c r="AA176" s="120" t="str">
        <f>IF('Completed'!$H$175&lt;&gt;"",'Completed'!$H$175,"")</f>
        <v/>
      </c>
      <c r="AB176" s="97" t="str">
        <f>IF('Completed'!$I$175&lt;&gt;"",'Completed'!$I$175,"")</f>
        <v/>
      </c>
      <c r="AC176" s="97" t="str">
        <f>IF('Completed'!$J$175&lt;&gt;"",'Completed'!$J$175,"")</f>
        <v/>
      </c>
      <c r="AD176" s="111" t="str">
        <f>IF('Completed'!$K$175&lt;&gt;"",'Completed'!$K$175,"")</f>
        <v/>
      </c>
      <c r="AE176" s="111" t="str">
        <f>IF('Completed'!$L$175&lt;&gt;"",'Completed'!$L$175,"")</f>
        <v/>
      </c>
    </row>
    <row r="177" spans="10:31">
      <c r="J177" s="61" t="str">
        <f>IF(Backlog!$A$176&lt;&gt;"",Backlog!$A$176,"")</f>
        <v/>
      </c>
      <c r="K177" s="68" t="str">
        <f>IF(Backlog!$B$176&lt;&gt;"",Backlog!$B$176,"")</f>
        <v/>
      </c>
      <c r="L177" s="69" t="str">
        <f>IF(Backlog!$C$176&lt;&gt;"",Backlog!$C$176,"")</f>
        <v/>
      </c>
      <c r="N177" s="61" t="str">
        <f>IF('Completed'!$A$176&lt;&gt;"",'Completed'!$A$176,"")</f>
        <v/>
      </c>
      <c r="O177" s="68" t="str">
        <f>IF('Completed'!$B$176&lt;&gt;"",'Completed'!$B$176,"")</f>
        <v/>
      </c>
      <c r="P177" s="68" t="str">
        <f ca="1">IF($N$177&lt;&gt;"", INDIRECT("'Tracker'!"&amp;ADDRESS(MATCH($N$177, Tracker[Anime Name], 0) + 2, 3)), "")</f>
        <v/>
      </c>
      <c r="Q177" s="62" t="str">
        <f ca="1">IF($N$177&lt;&gt;"", INDIRECT("'Tracker'!"&amp;ADDRESS(MATCH($N$177, Tracker[Anime Name], 0) + 2, 4)), "")</f>
        <v/>
      </c>
      <c r="R177" s="62" t="str">
        <f ca="1">IF($N$177&lt;&gt;"", INDIRECT("'Tracker'!"&amp;ADDRESS(MATCH($N$177, Tracker[Anime Name], 0) + 2, 5)), "")</f>
        <v/>
      </c>
      <c r="S177" s="62" t="str">
        <f ca="1">IF($N$177&lt;&gt;"", INDIRECT("'Tracker'!"&amp;ADDRESS(MATCH($N$177, Tracker[Anime Name], 0) + 2, 6)), "")</f>
        <v/>
      </c>
      <c r="T177" s="62" t="str">
        <f ca="1">IF($N$177&lt;&gt;"", INDIRECT("'Tracker'!"&amp;ADDRESS(MATCH($N$177, Tracker[Anime Name], 0) + 2, 7)), "")</f>
        <v/>
      </c>
      <c r="U177" s="68" t="str">
        <f ca="1">IF($N$177&lt;&gt;"", INDIRECT("'Tracker'!"&amp;ADDRESS(MATCH($N$177, Tracker[Anime Name], 0) + 2, 8)), "")</f>
        <v/>
      </c>
      <c r="V177" s="96" t="str">
        <f>IF('Completed'!$C$176&lt;&gt;"",'Completed'!$C$176,"")</f>
        <v/>
      </c>
      <c r="W177" s="96" t="str">
        <f>IF('Completed'!$D$176&lt;&gt;"",'Completed'!$D$176,"")</f>
        <v/>
      </c>
      <c r="X177" s="96" t="str">
        <f>IF('Completed'!$E$176&lt;&gt;"",'Completed'!$E$176,"")</f>
        <v/>
      </c>
      <c r="Y177" s="96" t="str">
        <f>IF('Completed'!$F$176&lt;&gt;"",'Completed'!$F$176,"")</f>
        <v/>
      </c>
      <c r="Z177" s="110" t="str">
        <f>IF('Completed'!$G$176&lt;&gt;"",'Completed'!$G$176,"")</f>
        <v/>
      </c>
      <c r="AA177" s="120" t="str">
        <f>IF('Completed'!$H$176&lt;&gt;"",'Completed'!$H$176,"")</f>
        <v/>
      </c>
      <c r="AB177" s="97" t="str">
        <f>IF('Completed'!$I$176&lt;&gt;"",'Completed'!$I$176,"")</f>
        <v/>
      </c>
      <c r="AC177" s="97" t="str">
        <f>IF('Completed'!$J$176&lt;&gt;"",'Completed'!$J$176,"")</f>
        <v/>
      </c>
      <c r="AD177" s="111" t="str">
        <f>IF('Completed'!$K$176&lt;&gt;"",'Completed'!$K$176,"")</f>
        <v/>
      </c>
      <c r="AE177" s="111" t="str">
        <f>IF('Completed'!$L$176&lt;&gt;"",'Completed'!$L$176,"")</f>
        <v/>
      </c>
    </row>
    <row r="178" spans="10:31">
      <c r="J178" s="61" t="str">
        <f>IF(Backlog!$A$177&lt;&gt;"",Backlog!$A$177,"")</f>
        <v/>
      </c>
      <c r="K178" s="68" t="str">
        <f>IF(Backlog!$B$177&lt;&gt;"",Backlog!$B$177,"")</f>
        <v/>
      </c>
      <c r="L178" s="69" t="str">
        <f>IF(Backlog!$C$177&lt;&gt;"",Backlog!$C$177,"")</f>
        <v/>
      </c>
      <c r="N178" s="61" t="str">
        <f>IF('Completed'!$A$177&lt;&gt;"",'Completed'!$A$177,"")</f>
        <v/>
      </c>
      <c r="O178" s="68" t="str">
        <f>IF('Completed'!$B$177&lt;&gt;"",'Completed'!$B$177,"")</f>
        <v/>
      </c>
      <c r="P178" s="68" t="str">
        <f ca="1">IF($N$178&lt;&gt;"", INDIRECT("'Tracker'!"&amp;ADDRESS(MATCH($N$178, Tracker[Anime Name], 0) + 2, 3)), "")</f>
        <v/>
      </c>
      <c r="Q178" s="62" t="str">
        <f ca="1">IF($N$178&lt;&gt;"", INDIRECT("'Tracker'!"&amp;ADDRESS(MATCH($N$178, Tracker[Anime Name], 0) + 2, 4)), "")</f>
        <v/>
      </c>
      <c r="R178" s="62" t="str">
        <f ca="1">IF($N$178&lt;&gt;"", INDIRECT("'Tracker'!"&amp;ADDRESS(MATCH($N$178, Tracker[Anime Name], 0) + 2, 5)), "")</f>
        <v/>
      </c>
      <c r="S178" s="62" t="str">
        <f ca="1">IF($N$178&lt;&gt;"", INDIRECT("'Tracker'!"&amp;ADDRESS(MATCH($N$178, Tracker[Anime Name], 0) + 2, 6)), "")</f>
        <v/>
      </c>
      <c r="T178" s="62" t="str">
        <f ca="1">IF($N$178&lt;&gt;"", INDIRECT("'Tracker'!"&amp;ADDRESS(MATCH($N$178, Tracker[Anime Name], 0) + 2, 7)), "")</f>
        <v/>
      </c>
      <c r="U178" s="68" t="str">
        <f ca="1">IF($N$178&lt;&gt;"", INDIRECT("'Tracker'!"&amp;ADDRESS(MATCH($N$178, Tracker[Anime Name], 0) + 2, 8)), "")</f>
        <v/>
      </c>
      <c r="V178" s="96" t="str">
        <f>IF('Completed'!$C$177&lt;&gt;"",'Completed'!$C$177,"")</f>
        <v/>
      </c>
      <c r="W178" s="96" t="str">
        <f>IF('Completed'!$D$177&lt;&gt;"",'Completed'!$D$177,"")</f>
        <v/>
      </c>
      <c r="X178" s="96" t="str">
        <f>IF('Completed'!$E$177&lt;&gt;"",'Completed'!$E$177,"")</f>
        <v/>
      </c>
      <c r="Y178" s="96" t="str">
        <f>IF('Completed'!$F$177&lt;&gt;"",'Completed'!$F$177,"")</f>
        <v/>
      </c>
      <c r="Z178" s="110" t="str">
        <f>IF('Completed'!$G$177&lt;&gt;"",'Completed'!$G$177,"")</f>
        <v/>
      </c>
      <c r="AA178" s="120" t="str">
        <f>IF('Completed'!$H$177&lt;&gt;"",'Completed'!$H$177,"")</f>
        <v/>
      </c>
      <c r="AB178" s="97" t="str">
        <f>IF('Completed'!$I$177&lt;&gt;"",'Completed'!$I$177,"")</f>
        <v/>
      </c>
      <c r="AC178" s="97" t="str">
        <f>IF('Completed'!$J$177&lt;&gt;"",'Completed'!$J$177,"")</f>
        <v/>
      </c>
      <c r="AD178" s="111" t="str">
        <f>IF('Completed'!$K$177&lt;&gt;"",'Completed'!$K$177,"")</f>
        <v/>
      </c>
      <c r="AE178" s="111" t="str">
        <f>IF('Completed'!$L$177&lt;&gt;"",'Completed'!$L$177,"")</f>
        <v/>
      </c>
    </row>
    <row r="179" spans="10:31">
      <c r="J179" s="61" t="str">
        <f>IF(Backlog!$A$178&lt;&gt;"",Backlog!$A$178,"")</f>
        <v/>
      </c>
      <c r="K179" s="68" t="str">
        <f>IF(Backlog!$B$178&lt;&gt;"",Backlog!$B$178,"")</f>
        <v/>
      </c>
      <c r="L179" s="69" t="str">
        <f>IF(Backlog!$C$178&lt;&gt;"",Backlog!$C$178,"")</f>
        <v/>
      </c>
      <c r="N179" s="61" t="str">
        <f>IF('Completed'!$A$178&lt;&gt;"",'Completed'!$A$178,"")</f>
        <v/>
      </c>
      <c r="O179" s="68" t="str">
        <f>IF('Completed'!$B$178&lt;&gt;"",'Completed'!$B$178,"")</f>
        <v/>
      </c>
      <c r="P179" s="68" t="str">
        <f ca="1">IF($N$179&lt;&gt;"", INDIRECT("'Tracker'!"&amp;ADDRESS(MATCH($N$179, Tracker[Anime Name], 0) + 2, 3)), "")</f>
        <v/>
      </c>
      <c r="Q179" s="62" t="str">
        <f ca="1">IF($N$179&lt;&gt;"", INDIRECT("'Tracker'!"&amp;ADDRESS(MATCH($N$179, Tracker[Anime Name], 0) + 2, 4)), "")</f>
        <v/>
      </c>
      <c r="R179" s="62" t="str">
        <f ca="1">IF($N$179&lt;&gt;"", INDIRECT("'Tracker'!"&amp;ADDRESS(MATCH($N$179, Tracker[Anime Name], 0) + 2, 5)), "")</f>
        <v/>
      </c>
      <c r="S179" s="62" t="str">
        <f ca="1">IF($N$179&lt;&gt;"", INDIRECT("'Tracker'!"&amp;ADDRESS(MATCH($N$179, Tracker[Anime Name], 0) + 2, 6)), "")</f>
        <v/>
      </c>
      <c r="T179" s="62" t="str">
        <f ca="1">IF($N$179&lt;&gt;"", INDIRECT("'Tracker'!"&amp;ADDRESS(MATCH($N$179, Tracker[Anime Name], 0) + 2, 7)), "")</f>
        <v/>
      </c>
      <c r="U179" s="68" t="str">
        <f ca="1">IF($N$179&lt;&gt;"", INDIRECT("'Tracker'!"&amp;ADDRESS(MATCH($N$179, Tracker[Anime Name], 0) + 2, 8)), "")</f>
        <v/>
      </c>
      <c r="V179" s="96" t="str">
        <f>IF('Completed'!$C$178&lt;&gt;"",'Completed'!$C$178,"")</f>
        <v/>
      </c>
      <c r="W179" s="96" t="str">
        <f>IF('Completed'!$D$178&lt;&gt;"",'Completed'!$D$178,"")</f>
        <v/>
      </c>
      <c r="X179" s="96" t="str">
        <f>IF('Completed'!$E$178&lt;&gt;"",'Completed'!$E$178,"")</f>
        <v/>
      </c>
      <c r="Y179" s="96" t="str">
        <f>IF('Completed'!$F$178&lt;&gt;"",'Completed'!$F$178,"")</f>
        <v/>
      </c>
      <c r="Z179" s="110" t="str">
        <f>IF('Completed'!$G$178&lt;&gt;"",'Completed'!$G$178,"")</f>
        <v/>
      </c>
      <c r="AA179" s="120" t="str">
        <f>IF('Completed'!$H$178&lt;&gt;"",'Completed'!$H$178,"")</f>
        <v/>
      </c>
      <c r="AB179" s="97" t="str">
        <f>IF('Completed'!$I$178&lt;&gt;"",'Completed'!$I$178,"")</f>
        <v/>
      </c>
      <c r="AC179" s="97" t="str">
        <f>IF('Completed'!$J$178&lt;&gt;"",'Completed'!$J$178,"")</f>
        <v/>
      </c>
      <c r="AD179" s="111" t="str">
        <f>IF('Completed'!$K$178&lt;&gt;"",'Completed'!$K$178,"")</f>
        <v/>
      </c>
      <c r="AE179" s="111" t="str">
        <f>IF('Completed'!$L$178&lt;&gt;"",'Completed'!$L$178,"")</f>
        <v/>
      </c>
    </row>
    <row r="180" spans="10:31">
      <c r="J180" s="61" t="str">
        <f>IF(Backlog!$A$179&lt;&gt;"",Backlog!$A$179,"")</f>
        <v/>
      </c>
      <c r="K180" s="68" t="str">
        <f>IF(Backlog!$B$179&lt;&gt;"",Backlog!$B$179,"")</f>
        <v/>
      </c>
      <c r="L180" s="69" t="str">
        <f>IF(Backlog!$C$179&lt;&gt;"",Backlog!$C$179,"")</f>
        <v/>
      </c>
      <c r="N180" s="61" t="str">
        <f>IF('Completed'!$A$179&lt;&gt;"",'Completed'!$A$179,"")</f>
        <v/>
      </c>
      <c r="O180" s="68" t="str">
        <f>IF('Completed'!$B$179&lt;&gt;"",'Completed'!$B$179,"")</f>
        <v/>
      </c>
      <c r="P180" s="68" t="str">
        <f ca="1">IF($N$180&lt;&gt;"", INDIRECT("'Tracker'!"&amp;ADDRESS(MATCH($N$180, Tracker[Anime Name], 0) + 2, 3)), "")</f>
        <v/>
      </c>
      <c r="Q180" s="62" t="str">
        <f ca="1">IF($N$180&lt;&gt;"", INDIRECT("'Tracker'!"&amp;ADDRESS(MATCH($N$180, Tracker[Anime Name], 0) + 2, 4)), "")</f>
        <v/>
      </c>
      <c r="R180" s="62" t="str">
        <f ca="1">IF($N$180&lt;&gt;"", INDIRECT("'Tracker'!"&amp;ADDRESS(MATCH($N$180, Tracker[Anime Name], 0) + 2, 5)), "")</f>
        <v/>
      </c>
      <c r="S180" s="62" t="str">
        <f ca="1">IF($N$180&lt;&gt;"", INDIRECT("'Tracker'!"&amp;ADDRESS(MATCH($N$180, Tracker[Anime Name], 0) + 2, 6)), "")</f>
        <v/>
      </c>
      <c r="T180" s="62" t="str">
        <f ca="1">IF($N$180&lt;&gt;"", INDIRECT("'Tracker'!"&amp;ADDRESS(MATCH($N$180, Tracker[Anime Name], 0) + 2, 7)), "")</f>
        <v/>
      </c>
      <c r="U180" s="68" t="str">
        <f ca="1">IF($N$180&lt;&gt;"", INDIRECT("'Tracker'!"&amp;ADDRESS(MATCH($N$180, Tracker[Anime Name], 0) + 2, 8)), "")</f>
        <v/>
      </c>
      <c r="V180" s="96" t="str">
        <f>IF('Completed'!$C$179&lt;&gt;"",'Completed'!$C$179,"")</f>
        <v/>
      </c>
      <c r="W180" s="96" t="str">
        <f>IF('Completed'!$D$179&lt;&gt;"",'Completed'!$D$179,"")</f>
        <v/>
      </c>
      <c r="X180" s="96" t="str">
        <f>IF('Completed'!$E$179&lt;&gt;"",'Completed'!$E$179,"")</f>
        <v/>
      </c>
      <c r="Y180" s="96" t="str">
        <f>IF('Completed'!$F$179&lt;&gt;"",'Completed'!$F$179,"")</f>
        <v/>
      </c>
      <c r="Z180" s="110" t="str">
        <f>IF('Completed'!$G$179&lt;&gt;"",'Completed'!$G$179,"")</f>
        <v/>
      </c>
      <c r="AA180" s="120" t="str">
        <f>IF('Completed'!$H$179&lt;&gt;"",'Completed'!$H$179,"")</f>
        <v/>
      </c>
      <c r="AB180" s="97" t="str">
        <f>IF('Completed'!$I$179&lt;&gt;"",'Completed'!$I$179,"")</f>
        <v/>
      </c>
      <c r="AC180" s="97" t="str">
        <f>IF('Completed'!$J$179&lt;&gt;"",'Completed'!$J$179,"")</f>
        <v/>
      </c>
      <c r="AD180" s="111" t="str">
        <f>IF('Completed'!$K$179&lt;&gt;"",'Completed'!$K$179,"")</f>
        <v/>
      </c>
      <c r="AE180" s="111" t="str">
        <f>IF('Completed'!$L$179&lt;&gt;"",'Completed'!$L$179,"")</f>
        <v/>
      </c>
    </row>
    <row r="181" spans="10:31">
      <c r="J181" s="61" t="str">
        <f>IF(Backlog!$A$180&lt;&gt;"",Backlog!$A$180,"")</f>
        <v/>
      </c>
      <c r="K181" s="68" t="str">
        <f>IF(Backlog!$B$180&lt;&gt;"",Backlog!$B$180,"")</f>
        <v/>
      </c>
      <c r="L181" s="69" t="str">
        <f>IF(Backlog!$C$180&lt;&gt;"",Backlog!$C$180,"")</f>
        <v/>
      </c>
      <c r="N181" s="61" t="str">
        <f>IF('Completed'!$A$180&lt;&gt;"",'Completed'!$A$180,"")</f>
        <v/>
      </c>
      <c r="O181" s="68" t="str">
        <f>IF('Completed'!$B$180&lt;&gt;"",'Completed'!$B$180,"")</f>
        <v/>
      </c>
      <c r="P181" s="68" t="str">
        <f ca="1">IF($N$181&lt;&gt;"", INDIRECT("'Tracker'!"&amp;ADDRESS(MATCH($N$181, Tracker[Anime Name], 0) + 2, 3)), "")</f>
        <v/>
      </c>
      <c r="Q181" s="62" t="str">
        <f ca="1">IF($N$181&lt;&gt;"", INDIRECT("'Tracker'!"&amp;ADDRESS(MATCH($N$181, Tracker[Anime Name], 0) + 2, 4)), "")</f>
        <v/>
      </c>
      <c r="R181" s="62" t="str">
        <f ca="1">IF($N$181&lt;&gt;"", INDIRECT("'Tracker'!"&amp;ADDRESS(MATCH($N$181, Tracker[Anime Name], 0) + 2, 5)), "")</f>
        <v/>
      </c>
      <c r="S181" s="62" t="str">
        <f ca="1">IF($N$181&lt;&gt;"", INDIRECT("'Tracker'!"&amp;ADDRESS(MATCH($N$181, Tracker[Anime Name], 0) + 2, 6)), "")</f>
        <v/>
      </c>
      <c r="T181" s="62" t="str">
        <f ca="1">IF($N$181&lt;&gt;"", INDIRECT("'Tracker'!"&amp;ADDRESS(MATCH($N$181, Tracker[Anime Name], 0) + 2, 7)), "")</f>
        <v/>
      </c>
      <c r="U181" s="68" t="str">
        <f ca="1">IF($N$181&lt;&gt;"", INDIRECT("'Tracker'!"&amp;ADDRESS(MATCH($N$181, Tracker[Anime Name], 0) + 2, 8)), "")</f>
        <v/>
      </c>
      <c r="V181" s="96" t="str">
        <f>IF('Completed'!$C$180&lt;&gt;"",'Completed'!$C$180,"")</f>
        <v/>
      </c>
      <c r="W181" s="96" t="str">
        <f>IF('Completed'!$D$180&lt;&gt;"",'Completed'!$D$180,"")</f>
        <v/>
      </c>
      <c r="X181" s="96" t="str">
        <f>IF('Completed'!$E$180&lt;&gt;"",'Completed'!$E$180,"")</f>
        <v/>
      </c>
      <c r="Y181" s="96" t="str">
        <f>IF('Completed'!$F$180&lt;&gt;"",'Completed'!$F$180,"")</f>
        <v/>
      </c>
      <c r="Z181" s="110" t="str">
        <f>IF('Completed'!$G$180&lt;&gt;"",'Completed'!$G$180,"")</f>
        <v/>
      </c>
      <c r="AA181" s="120" t="str">
        <f>IF('Completed'!$H$180&lt;&gt;"",'Completed'!$H$180,"")</f>
        <v/>
      </c>
      <c r="AB181" s="97" t="str">
        <f>IF('Completed'!$I$180&lt;&gt;"",'Completed'!$I$180,"")</f>
        <v/>
      </c>
      <c r="AC181" s="97" t="str">
        <f>IF('Completed'!$J$180&lt;&gt;"",'Completed'!$J$180,"")</f>
        <v/>
      </c>
      <c r="AD181" s="111" t="str">
        <f>IF('Completed'!$K$180&lt;&gt;"",'Completed'!$K$180,"")</f>
        <v/>
      </c>
      <c r="AE181" s="111" t="str">
        <f>IF('Completed'!$L$180&lt;&gt;"",'Completed'!$L$180,"")</f>
        <v/>
      </c>
    </row>
    <row r="182" spans="10:31">
      <c r="J182" s="61" t="str">
        <f>IF(Backlog!$A$181&lt;&gt;"",Backlog!$A$181,"")</f>
        <v/>
      </c>
      <c r="K182" s="68" t="str">
        <f>IF(Backlog!$B$181&lt;&gt;"",Backlog!$B$181,"")</f>
        <v/>
      </c>
      <c r="L182" s="69" t="str">
        <f>IF(Backlog!$C$181&lt;&gt;"",Backlog!$C$181,"")</f>
        <v/>
      </c>
      <c r="N182" s="61" t="str">
        <f>IF('Completed'!$A$181&lt;&gt;"",'Completed'!$A$181,"")</f>
        <v/>
      </c>
      <c r="O182" s="68" t="str">
        <f>IF('Completed'!$B$181&lt;&gt;"",'Completed'!$B$181,"")</f>
        <v/>
      </c>
      <c r="P182" s="68" t="str">
        <f ca="1">IF($N$182&lt;&gt;"", INDIRECT("'Tracker'!"&amp;ADDRESS(MATCH($N$182, Tracker[Anime Name], 0) + 2, 3)), "")</f>
        <v/>
      </c>
      <c r="Q182" s="62" t="str">
        <f ca="1">IF($N$182&lt;&gt;"", INDIRECT("'Tracker'!"&amp;ADDRESS(MATCH($N$182, Tracker[Anime Name], 0) + 2, 4)), "")</f>
        <v/>
      </c>
      <c r="R182" s="62" t="str">
        <f ca="1">IF($N$182&lt;&gt;"", INDIRECT("'Tracker'!"&amp;ADDRESS(MATCH($N$182, Tracker[Anime Name], 0) + 2, 5)), "")</f>
        <v/>
      </c>
      <c r="S182" s="62" t="str">
        <f ca="1">IF($N$182&lt;&gt;"", INDIRECT("'Tracker'!"&amp;ADDRESS(MATCH($N$182, Tracker[Anime Name], 0) + 2, 6)), "")</f>
        <v/>
      </c>
      <c r="T182" s="62" t="str">
        <f ca="1">IF($N$182&lt;&gt;"", INDIRECT("'Tracker'!"&amp;ADDRESS(MATCH($N$182, Tracker[Anime Name], 0) + 2, 7)), "")</f>
        <v/>
      </c>
      <c r="U182" s="68" t="str">
        <f ca="1">IF($N$182&lt;&gt;"", INDIRECT("'Tracker'!"&amp;ADDRESS(MATCH($N$182, Tracker[Anime Name], 0) + 2, 8)), "")</f>
        <v/>
      </c>
      <c r="V182" s="96" t="str">
        <f>IF('Completed'!$C$181&lt;&gt;"",'Completed'!$C$181,"")</f>
        <v/>
      </c>
      <c r="W182" s="96" t="str">
        <f>IF('Completed'!$D$181&lt;&gt;"",'Completed'!$D$181,"")</f>
        <v/>
      </c>
      <c r="X182" s="96" t="str">
        <f>IF('Completed'!$E$181&lt;&gt;"",'Completed'!$E$181,"")</f>
        <v/>
      </c>
      <c r="Y182" s="96" t="str">
        <f>IF('Completed'!$F$181&lt;&gt;"",'Completed'!$F$181,"")</f>
        <v/>
      </c>
      <c r="Z182" s="110" t="str">
        <f>IF('Completed'!$G$181&lt;&gt;"",'Completed'!$G$181,"")</f>
        <v/>
      </c>
      <c r="AA182" s="120" t="str">
        <f>IF('Completed'!$H$181&lt;&gt;"",'Completed'!$H$181,"")</f>
        <v/>
      </c>
      <c r="AB182" s="97" t="str">
        <f>IF('Completed'!$I$181&lt;&gt;"",'Completed'!$I$181,"")</f>
        <v/>
      </c>
      <c r="AC182" s="97" t="str">
        <f>IF('Completed'!$J$181&lt;&gt;"",'Completed'!$J$181,"")</f>
        <v/>
      </c>
      <c r="AD182" s="111" t="str">
        <f>IF('Completed'!$K$181&lt;&gt;"",'Completed'!$K$181,"")</f>
        <v/>
      </c>
      <c r="AE182" s="111" t="str">
        <f>IF('Completed'!$L$181&lt;&gt;"",'Completed'!$L$181,"")</f>
        <v/>
      </c>
    </row>
    <row r="183" spans="10:31">
      <c r="J183" s="61" t="str">
        <f>IF(Backlog!$A$182&lt;&gt;"",Backlog!$A$182,"")</f>
        <v/>
      </c>
      <c r="K183" s="68" t="str">
        <f>IF(Backlog!$B$182&lt;&gt;"",Backlog!$B$182,"")</f>
        <v/>
      </c>
      <c r="L183" s="69" t="str">
        <f>IF(Backlog!$C$182&lt;&gt;"",Backlog!$C$182,"")</f>
        <v/>
      </c>
      <c r="N183" s="61" t="str">
        <f>IF('Completed'!$A$182&lt;&gt;"",'Completed'!$A$182,"")</f>
        <v/>
      </c>
      <c r="O183" s="68" t="str">
        <f>IF('Completed'!$B$182&lt;&gt;"",'Completed'!$B$182,"")</f>
        <v/>
      </c>
      <c r="P183" s="68" t="str">
        <f ca="1">IF($N$183&lt;&gt;"", INDIRECT("'Tracker'!"&amp;ADDRESS(MATCH($N$183, Tracker[Anime Name], 0) + 2, 3)), "")</f>
        <v/>
      </c>
      <c r="Q183" s="62" t="str">
        <f ca="1">IF($N$183&lt;&gt;"", INDIRECT("'Tracker'!"&amp;ADDRESS(MATCH($N$183, Tracker[Anime Name], 0) + 2, 4)), "")</f>
        <v/>
      </c>
      <c r="R183" s="62" t="str">
        <f ca="1">IF($N$183&lt;&gt;"", INDIRECT("'Tracker'!"&amp;ADDRESS(MATCH($N$183, Tracker[Anime Name], 0) + 2, 5)), "")</f>
        <v/>
      </c>
      <c r="S183" s="62" t="str">
        <f ca="1">IF($N$183&lt;&gt;"", INDIRECT("'Tracker'!"&amp;ADDRESS(MATCH($N$183, Tracker[Anime Name], 0) + 2, 6)), "")</f>
        <v/>
      </c>
      <c r="T183" s="62" t="str">
        <f ca="1">IF($N$183&lt;&gt;"", INDIRECT("'Tracker'!"&amp;ADDRESS(MATCH($N$183, Tracker[Anime Name], 0) + 2, 7)), "")</f>
        <v/>
      </c>
      <c r="U183" s="68" t="str">
        <f ca="1">IF($N$183&lt;&gt;"", INDIRECT("'Tracker'!"&amp;ADDRESS(MATCH($N$183, Tracker[Anime Name], 0) + 2, 8)), "")</f>
        <v/>
      </c>
      <c r="V183" s="96" t="str">
        <f>IF('Completed'!$C$182&lt;&gt;"",'Completed'!$C$182,"")</f>
        <v/>
      </c>
      <c r="W183" s="96" t="str">
        <f>IF('Completed'!$D$182&lt;&gt;"",'Completed'!$D$182,"")</f>
        <v/>
      </c>
      <c r="X183" s="96" t="str">
        <f>IF('Completed'!$E$182&lt;&gt;"",'Completed'!$E$182,"")</f>
        <v/>
      </c>
      <c r="Y183" s="96" t="str">
        <f>IF('Completed'!$F$182&lt;&gt;"",'Completed'!$F$182,"")</f>
        <v/>
      </c>
      <c r="Z183" s="110" t="str">
        <f>IF('Completed'!$G$182&lt;&gt;"",'Completed'!$G$182,"")</f>
        <v/>
      </c>
      <c r="AA183" s="120" t="str">
        <f>IF('Completed'!$H$182&lt;&gt;"",'Completed'!$H$182,"")</f>
        <v/>
      </c>
      <c r="AB183" s="97" t="str">
        <f>IF('Completed'!$I$182&lt;&gt;"",'Completed'!$I$182,"")</f>
        <v/>
      </c>
      <c r="AC183" s="97" t="str">
        <f>IF('Completed'!$J$182&lt;&gt;"",'Completed'!$J$182,"")</f>
        <v/>
      </c>
      <c r="AD183" s="111" t="str">
        <f>IF('Completed'!$K$182&lt;&gt;"",'Completed'!$K$182,"")</f>
        <v/>
      </c>
      <c r="AE183" s="111" t="str">
        <f>IF('Completed'!$L$182&lt;&gt;"",'Completed'!$L$182,"")</f>
        <v/>
      </c>
    </row>
    <row r="184" spans="10:31">
      <c r="J184" s="61" t="str">
        <f>IF(Backlog!$A$183&lt;&gt;"",Backlog!$A$183,"")</f>
        <v/>
      </c>
      <c r="K184" s="68" t="str">
        <f>IF(Backlog!$B$183&lt;&gt;"",Backlog!$B$183,"")</f>
        <v/>
      </c>
      <c r="L184" s="69" t="str">
        <f>IF(Backlog!$C$183&lt;&gt;"",Backlog!$C$183,"")</f>
        <v/>
      </c>
      <c r="N184" s="61" t="str">
        <f>IF('Completed'!$A$183&lt;&gt;"",'Completed'!$A$183,"")</f>
        <v/>
      </c>
      <c r="O184" s="68" t="str">
        <f>IF('Completed'!$B$183&lt;&gt;"",'Completed'!$B$183,"")</f>
        <v/>
      </c>
      <c r="P184" s="68" t="str">
        <f ca="1">IF($N$184&lt;&gt;"", INDIRECT("'Tracker'!"&amp;ADDRESS(MATCH($N$184, Tracker[Anime Name], 0) + 2, 3)), "")</f>
        <v/>
      </c>
      <c r="Q184" s="62" t="str">
        <f ca="1">IF($N$184&lt;&gt;"", INDIRECT("'Tracker'!"&amp;ADDRESS(MATCH($N$184, Tracker[Anime Name], 0) + 2, 4)), "")</f>
        <v/>
      </c>
      <c r="R184" s="62" t="str">
        <f ca="1">IF($N$184&lt;&gt;"", INDIRECT("'Tracker'!"&amp;ADDRESS(MATCH($N$184, Tracker[Anime Name], 0) + 2, 5)), "")</f>
        <v/>
      </c>
      <c r="S184" s="62" t="str">
        <f ca="1">IF($N$184&lt;&gt;"", INDIRECT("'Tracker'!"&amp;ADDRESS(MATCH($N$184, Tracker[Anime Name], 0) + 2, 6)), "")</f>
        <v/>
      </c>
      <c r="T184" s="62" t="str">
        <f ca="1">IF($N$184&lt;&gt;"", INDIRECT("'Tracker'!"&amp;ADDRESS(MATCH($N$184, Tracker[Anime Name], 0) + 2, 7)), "")</f>
        <v/>
      </c>
      <c r="U184" s="68" t="str">
        <f ca="1">IF($N$184&lt;&gt;"", INDIRECT("'Tracker'!"&amp;ADDRESS(MATCH($N$184, Tracker[Anime Name], 0) + 2, 8)), "")</f>
        <v/>
      </c>
      <c r="V184" s="96" t="str">
        <f>IF('Completed'!$C$183&lt;&gt;"",'Completed'!$C$183,"")</f>
        <v/>
      </c>
      <c r="W184" s="96" t="str">
        <f>IF('Completed'!$D$183&lt;&gt;"",'Completed'!$D$183,"")</f>
        <v/>
      </c>
      <c r="X184" s="96" t="str">
        <f>IF('Completed'!$E$183&lt;&gt;"",'Completed'!$E$183,"")</f>
        <v/>
      </c>
      <c r="Y184" s="96" t="str">
        <f>IF('Completed'!$F$183&lt;&gt;"",'Completed'!$F$183,"")</f>
        <v/>
      </c>
      <c r="Z184" s="110" t="str">
        <f>IF('Completed'!$G$183&lt;&gt;"",'Completed'!$G$183,"")</f>
        <v/>
      </c>
      <c r="AA184" s="120" t="str">
        <f>IF('Completed'!$H$183&lt;&gt;"",'Completed'!$H$183,"")</f>
        <v/>
      </c>
      <c r="AB184" s="97" t="str">
        <f>IF('Completed'!$I$183&lt;&gt;"",'Completed'!$I$183,"")</f>
        <v/>
      </c>
      <c r="AC184" s="97" t="str">
        <f>IF('Completed'!$J$183&lt;&gt;"",'Completed'!$J$183,"")</f>
        <v/>
      </c>
      <c r="AD184" s="111" t="str">
        <f>IF('Completed'!$K$183&lt;&gt;"",'Completed'!$K$183,"")</f>
        <v/>
      </c>
      <c r="AE184" s="111" t="str">
        <f>IF('Completed'!$L$183&lt;&gt;"",'Completed'!$L$183,"")</f>
        <v/>
      </c>
    </row>
    <row r="185" spans="10:31">
      <c r="J185" s="61" t="str">
        <f>IF(Backlog!$A$184&lt;&gt;"",Backlog!$A$184,"")</f>
        <v/>
      </c>
      <c r="K185" s="68" t="str">
        <f>IF(Backlog!$B$184&lt;&gt;"",Backlog!$B$184,"")</f>
        <v/>
      </c>
      <c r="L185" s="69" t="str">
        <f>IF(Backlog!$C$184&lt;&gt;"",Backlog!$C$184,"")</f>
        <v/>
      </c>
      <c r="N185" s="61" t="str">
        <f>IF('Completed'!$A$184&lt;&gt;"",'Completed'!$A$184,"")</f>
        <v/>
      </c>
      <c r="O185" s="68" t="str">
        <f>IF('Completed'!$B$184&lt;&gt;"",'Completed'!$B$184,"")</f>
        <v/>
      </c>
      <c r="P185" s="68" t="str">
        <f ca="1">IF($N$185&lt;&gt;"", INDIRECT("'Tracker'!"&amp;ADDRESS(MATCH($N$185, Tracker[Anime Name], 0) + 2, 3)), "")</f>
        <v/>
      </c>
      <c r="Q185" s="62" t="str">
        <f ca="1">IF($N$185&lt;&gt;"", INDIRECT("'Tracker'!"&amp;ADDRESS(MATCH($N$185, Tracker[Anime Name], 0) + 2, 4)), "")</f>
        <v/>
      </c>
      <c r="R185" s="62" t="str">
        <f ca="1">IF($N$185&lt;&gt;"", INDIRECT("'Tracker'!"&amp;ADDRESS(MATCH($N$185, Tracker[Anime Name], 0) + 2, 5)), "")</f>
        <v/>
      </c>
      <c r="S185" s="62" t="str">
        <f ca="1">IF($N$185&lt;&gt;"", INDIRECT("'Tracker'!"&amp;ADDRESS(MATCH($N$185, Tracker[Anime Name], 0) + 2, 6)), "")</f>
        <v/>
      </c>
      <c r="T185" s="62" t="str">
        <f ca="1">IF($N$185&lt;&gt;"", INDIRECT("'Tracker'!"&amp;ADDRESS(MATCH($N$185, Tracker[Anime Name], 0) + 2, 7)), "")</f>
        <v/>
      </c>
      <c r="U185" s="68" t="str">
        <f ca="1">IF($N$185&lt;&gt;"", INDIRECT("'Tracker'!"&amp;ADDRESS(MATCH($N$185, Tracker[Anime Name], 0) + 2, 8)), "")</f>
        <v/>
      </c>
      <c r="V185" s="96" t="str">
        <f>IF('Completed'!$C$184&lt;&gt;"",'Completed'!$C$184,"")</f>
        <v/>
      </c>
      <c r="W185" s="96" t="str">
        <f>IF('Completed'!$D$184&lt;&gt;"",'Completed'!$D$184,"")</f>
        <v/>
      </c>
      <c r="X185" s="96" t="str">
        <f>IF('Completed'!$E$184&lt;&gt;"",'Completed'!$E$184,"")</f>
        <v/>
      </c>
      <c r="Y185" s="96" t="str">
        <f>IF('Completed'!$F$184&lt;&gt;"",'Completed'!$F$184,"")</f>
        <v/>
      </c>
      <c r="Z185" s="110" t="str">
        <f>IF('Completed'!$G$184&lt;&gt;"",'Completed'!$G$184,"")</f>
        <v/>
      </c>
      <c r="AA185" s="120" t="str">
        <f>IF('Completed'!$H$184&lt;&gt;"",'Completed'!$H$184,"")</f>
        <v/>
      </c>
      <c r="AB185" s="97" t="str">
        <f>IF('Completed'!$I$184&lt;&gt;"",'Completed'!$I$184,"")</f>
        <v/>
      </c>
      <c r="AC185" s="97" t="str">
        <f>IF('Completed'!$J$184&lt;&gt;"",'Completed'!$J$184,"")</f>
        <v/>
      </c>
      <c r="AD185" s="111" t="str">
        <f>IF('Completed'!$K$184&lt;&gt;"",'Completed'!$K$184,"")</f>
        <v/>
      </c>
      <c r="AE185" s="111" t="str">
        <f>IF('Completed'!$L$184&lt;&gt;"",'Completed'!$L$184,"")</f>
        <v/>
      </c>
    </row>
    <row r="186" spans="10:31">
      <c r="J186" s="61" t="str">
        <f>IF(Backlog!$A$185&lt;&gt;"",Backlog!$A$185,"")</f>
        <v/>
      </c>
      <c r="K186" s="68" t="str">
        <f>IF(Backlog!$B$185&lt;&gt;"",Backlog!$B$185,"")</f>
        <v/>
      </c>
      <c r="L186" s="69" t="str">
        <f>IF(Backlog!$C$185&lt;&gt;"",Backlog!$C$185,"")</f>
        <v/>
      </c>
      <c r="N186" s="61" t="str">
        <f>IF('Completed'!$A$185&lt;&gt;"",'Completed'!$A$185,"")</f>
        <v/>
      </c>
      <c r="O186" s="68" t="str">
        <f>IF('Completed'!$B$185&lt;&gt;"",'Completed'!$B$185,"")</f>
        <v/>
      </c>
      <c r="P186" s="68" t="str">
        <f ca="1">IF($N$186&lt;&gt;"", INDIRECT("'Tracker'!"&amp;ADDRESS(MATCH($N$186, Tracker[Anime Name], 0) + 2, 3)), "")</f>
        <v/>
      </c>
      <c r="Q186" s="62" t="str">
        <f ca="1">IF($N$186&lt;&gt;"", INDIRECT("'Tracker'!"&amp;ADDRESS(MATCH($N$186, Tracker[Anime Name], 0) + 2, 4)), "")</f>
        <v/>
      </c>
      <c r="R186" s="62" t="str">
        <f ca="1">IF($N$186&lt;&gt;"", INDIRECT("'Tracker'!"&amp;ADDRESS(MATCH($N$186, Tracker[Anime Name], 0) + 2, 5)), "")</f>
        <v/>
      </c>
      <c r="S186" s="62" t="str">
        <f ca="1">IF($N$186&lt;&gt;"", INDIRECT("'Tracker'!"&amp;ADDRESS(MATCH($N$186, Tracker[Anime Name], 0) + 2, 6)), "")</f>
        <v/>
      </c>
      <c r="T186" s="62" t="str">
        <f ca="1">IF($N$186&lt;&gt;"", INDIRECT("'Tracker'!"&amp;ADDRESS(MATCH($N$186, Tracker[Anime Name], 0) + 2, 7)), "")</f>
        <v/>
      </c>
      <c r="U186" s="68" t="str">
        <f ca="1">IF($N$186&lt;&gt;"", INDIRECT("'Tracker'!"&amp;ADDRESS(MATCH($N$186, Tracker[Anime Name], 0) + 2, 8)), "")</f>
        <v/>
      </c>
      <c r="V186" s="96" t="str">
        <f>IF('Completed'!$C$185&lt;&gt;"",'Completed'!$C$185,"")</f>
        <v/>
      </c>
      <c r="W186" s="96" t="str">
        <f>IF('Completed'!$D$185&lt;&gt;"",'Completed'!$D$185,"")</f>
        <v/>
      </c>
      <c r="X186" s="96" t="str">
        <f>IF('Completed'!$E$185&lt;&gt;"",'Completed'!$E$185,"")</f>
        <v/>
      </c>
      <c r="Y186" s="96" t="str">
        <f>IF('Completed'!$F$185&lt;&gt;"",'Completed'!$F$185,"")</f>
        <v/>
      </c>
      <c r="Z186" s="110" t="str">
        <f>IF('Completed'!$G$185&lt;&gt;"",'Completed'!$G$185,"")</f>
        <v/>
      </c>
      <c r="AA186" s="120" t="str">
        <f>IF('Completed'!$H$185&lt;&gt;"",'Completed'!$H$185,"")</f>
        <v/>
      </c>
      <c r="AB186" s="97" t="str">
        <f>IF('Completed'!$I$185&lt;&gt;"",'Completed'!$I$185,"")</f>
        <v/>
      </c>
      <c r="AC186" s="97" t="str">
        <f>IF('Completed'!$J$185&lt;&gt;"",'Completed'!$J$185,"")</f>
        <v/>
      </c>
      <c r="AD186" s="111" t="str">
        <f>IF('Completed'!$K$185&lt;&gt;"",'Completed'!$K$185,"")</f>
        <v/>
      </c>
      <c r="AE186" s="111" t="str">
        <f>IF('Completed'!$L$185&lt;&gt;"",'Completed'!$L$185,"")</f>
        <v/>
      </c>
    </row>
    <row r="187" spans="10:31">
      <c r="J187" s="61" t="str">
        <f>IF(Backlog!$A$186&lt;&gt;"",Backlog!$A$186,"")</f>
        <v/>
      </c>
      <c r="K187" s="68" t="str">
        <f>IF(Backlog!$B$186&lt;&gt;"",Backlog!$B$186,"")</f>
        <v/>
      </c>
      <c r="L187" s="69" t="str">
        <f>IF(Backlog!$C$186&lt;&gt;"",Backlog!$C$186,"")</f>
        <v/>
      </c>
      <c r="N187" s="61" t="str">
        <f>IF('Completed'!$A$186&lt;&gt;"",'Completed'!$A$186,"")</f>
        <v/>
      </c>
      <c r="O187" s="68" t="str">
        <f>IF('Completed'!$B$186&lt;&gt;"",'Completed'!$B$186,"")</f>
        <v/>
      </c>
      <c r="P187" s="68" t="str">
        <f ca="1">IF($N$187&lt;&gt;"", INDIRECT("'Tracker'!"&amp;ADDRESS(MATCH($N$187, Tracker[Anime Name], 0) + 2, 3)), "")</f>
        <v/>
      </c>
      <c r="Q187" s="62" t="str">
        <f ca="1">IF($N$187&lt;&gt;"", INDIRECT("'Tracker'!"&amp;ADDRESS(MATCH($N$187, Tracker[Anime Name], 0) + 2, 4)), "")</f>
        <v/>
      </c>
      <c r="R187" s="62" t="str">
        <f ca="1">IF($N$187&lt;&gt;"", INDIRECT("'Tracker'!"&amp;ADDRESS(MATCH($N$187, Tracker[Anime Name], 0) + 2, 5)), "")</f>
        <v/>
      </c>
      <c r="S187" s="62" t="str">
        <f ca="1">IF($N$187&lt;&gt;"", INDIRECT("'Tracker'!"&amp;ADDRESS(MATCH($N$187, Tracker[Anime Name], 0) + 2, 6)), "")</f>
        <v/>
      </c>
      <c r="T187" s="62" t="str">
        <f ca="1">IF($N$187&lt;&gt;"", INDIRECT("'Tracker'!"&amp;ADDRESS(MATCH($N$187, Tracker[Anime Name], 0) + 2, 7)), "")</f>
        <v/>
      </c>
      <c r="U187" s="68" t="str">
        <f ca="1">IF($N$187&lt;&gt;"", INDIRECT("'Tracker'!"&amp;ADDRESS(MATCH($N$187, Tracker[Anime Name], 0) + 2, 8)), "")</f>
        <v/>
      </c>
      <c r="V187" s="96" t="str">
        <f>IF('Completed'!$C$186&lt;&gt;"",'Completed'!$C$186,"")</f>
        <v/>
      </c>
      <c r="W187" s="96" t="str">
        <f>IF('Completed'!$D$186&lt;&gt;"",'Completed'!$D$186,"")</f>
        <v/>
      </c>
      <c r="X187" s="96" t="str">
        <f>IF('Completed'!$E$186&lt;&gt;"",'Completed'!$E$186,"")</f>
        <v/>
      </c>
      <c r="Y187" s="96" t="str">
        <f>IF('Completed'!$F$186&lt;&gt;"",'Completed'!$F$186,"")</f>
        <v/>
      </c>
      <c r="Z187" s="110" t="str">
        <f>IF('Completed'!$G$186&lt;&gt;"",'Completed'!$G$186,"")</f>
        <v/>
      </c>
      <c r="AA187" s="120" t="str">
        <f>IF('Completed'!$H$186&lt;&gt;"",'Completed'!$H$186,"")</f>
        <v/>
      </c>
      <c r="AB187" s="97" t="str">
        <f>IF('Completed'!$I$186&lt;&gt;"",'Completed'!$I$186,"")</f>
        <v/>
      </c>
      <c r="AC187" s="97" t="str">
        <f>IF('Completed'!$J$186&lt;&gt;"",'Completed'!$J$186,"")</f>
        <v/>
      </c>
      <c r="AD187" s="111" t="str">
        <f>IF('Completed'!$K$186&lt;&gt;"",'Completed'!$K$186,"")</f>
        <v/>
      </c>
      <c r="AE187" s="111" t="str">
        <f>IF('Completed'!$L$186&lt;&gt;"",'Completed'!$L$186,"")</f>
        <v/>
      </c>
    </row>
    <row r="188" spans="10:31">
      <c r="J188" s="61" t="str">
        <f>IF(Backlog!$A$187&lt;&gt;"",Backlog!$A$187,"")</f>
        <v/>
      </c>
      <c r="K188" s="68" t="str">
        <f>IF(Backlog!$B$187&lt;&gt;"",Backlog!$B$187,"")</f>
        <v/>
      </c>
      <c r="L188" s="69" t="str">
        <f>IF(Backlog!$C$187&lt;&gt;"",Backlog!$C$187,"")</f>
        <v/>
      </c>
      <c r="N188" s="61" t="str">
        <f>IF('Completed'!$A$187&lt;&gt;"",'Completed'!$A$187,"")</f>
        <v/>
      </c>
      <c r="O188" s="68" t="str">
        <f>IF('Completed'!$B$187&lt;&gt;"",'Completed'!$B$187,"")</f>
        <v/>
      </c>
      <c r="P188" s="68" t="str">
        <f ca="1">IF($N$188&lt;&gt;"", INDIRECT("'Tracker'!"&amp;ADDRESS(MATCH($N$188, Tracker[Anime Name], 0) + 2, 3)), "")</f>
        <v/>
      </c>
      <c r="Q188" s="62" t="str">
        <f ca="1">IF($N$188&lt;&gt;"", INDIRECT("'Tracker'!"&amp;ADDRESS(MATCH($N$188, Tracker[Anime Name], 0) + 2, 4)), "")</f>
        <v/>
      </c>
      <c r="R188" s="62" t="str">
        <f ca="1">IF($N$188&lt;&gt;"", INDIRECT("'Tracker'!"&amp;ADDRESS(MATCH($N$188, Tracker[Anime Name], 0) + 2, 5)), "")</f>
        <v/>
      </c>
      <c r="S188" s="62" t="str">
        <f ca="1">IF($N$188&lt;&gt;"", INDIRECT("'Tracker'!"&amp;ADDRESS(MATCH($N$188, Tracker[Anime Name], 0) + 2, 6)), "")</f>
        <v/>
      </c>
      <c r="T188" s="62" t="str">
        <f ca="1">IF($N$188&lt;&gt;"", INDIRECT("'Tracker'!"&amp;ADDRESS(MATCH($N$188, Tracker[Anime Name], 0) + 2, 7)), "")</f>
        <v/>
      </c>
      <c r="U188" s="68" t="str">
        <f ca="1">IF($N$188&lt;&gt;"", INDIRECT("'Tracker'!"&amp;ADDRESS(MATCH($N$188, Tracker[Anime Name], 0) + 2, 8)), "")</f>
        <v/>
      </c>
      <c r="V188" s="96" t="str">
        <f>IF('Completed'!$C$187&lt;&gt;"",'Completed'!$C$187,"")</f>
        <v/>
      </c>
      <c r="W188" s="96" t="str">
        <f>IF('Completed'!$D$187&lt;&gt;"",'Completed'!$D$187,"")</f>
        <v/>
      </c>
      <c r="X188" s="96" t="str">
        <f>IF('Completed'!$E$187&lt;&gt;"",'Completed'!$E$187,"")</f>
        <v/>
      </c>
      <c r="Y188" s="96" t="str">
        <f>IF('Completed'!$F$187&lt;&gt;"",'Completed'!$F$187,"")</f>
        <v/>
      </c>
      <c r="Z188" s="110" t="str">
        <f>IF('Completed'!$G$187&lt;&gt;"",'Completed'!$G$187,"")</f>
        <v/>
      </c>
      <c r="AA188" s="120" t="str">
        <f>IF('Completed'!$H$187&lt;&gt;"",'Completed'!$H$187,"")</f>
        <v/>
      </c>
      <c r="AB188" s="97" t="str">
        <f>IF('Completed'!$I$187&lt;&gt;"",'Completed'!$I$187,"")</f>
        <v/>
      </c>
      <c r="AC188" s="97" t="str">
        <f>IF('Completed'!$J$187&lt;&gt;"",'Completed'!$J$187,"")</f>
        <v/>
      </c>
      <c r="AD188" s="111" t="str">
        <f>IF('Completed'!$K$187&lt;&gt;"",'Completed'!$K$187,"")</f>
        <v/>
      </c>
      <c r="AE188" s="111" t="str">
        <f>IF('Completed'!$L$187&lt;&gt;"",'Completed'!$L$187,"")</f>
        <v/>
      </c>
    </row>
    <row r="189" spans="10:31">
      <c r="J189" s="61" t="str">
        <f>IF(Backlog!$A$188&lt;&gt;"",Backlog!$A$188,"")</f>
        <v/>
      </c>
      <c r="K189" s="68" t="str">
        <f>IF(Backlog!$B$188&lt;&gt;"",Backlog!$B$188,"")</f>
        <v/>
      </c>
      <c r="L189" s="69" t="str">
        <f>IF(Backlog!$C$188&lt;&gt;"",Backlog!$C$188,"")</f>
        <v/>
      </c>
      <c r="N189" s="61" t="str">
        <f>IF('Completed'!$A$188&lt;&gt;"",'Completed'!$A$188,"")</f>
        <v/>
      </c>
      <c r="O189" s="68" t="str">
        <f>IF('Completed'!$B$188&lt;&gt;"",'Completed'!$B$188,"")</f>
        <v/>
      </c>
      <c r="P189" s="68" t="str">
        <f ca="1">IF($N$189&lt;&gt;"", INDIRECT("'Tracker'!"&amp;ADDRESS(MATCH($N$189, Tracker[Anime Name], 0) + 2, 3)), "")</f>
        <v/>
      </c>
      <c r="Q189" s="62" t="str">
        <f ca="1">IF($N$189&lt;&gt;"", INDIRECT("'Tracker'!"&amp;ADDRESS(MATCH($N$189, Tracker[Anime Name], 0) + 2, 4)), "")</f>
        <v/>
      </c>
      <c r="R189" s="62" t="str">
        <f ca="1">IF($N$189&lt;&gt;"", INDIRECT("'Tracker'!"&amp;ADDRESS(MATCH($N$189, Tracker[Anime Name], 0) + 2, 5)), "")</f>
        <v/>
      </c>
      <c r="S189" s="62" t="str">
        <f ca="1">IF($N$189&lt;&gt;"", INDIRECT("'Tracker'!"&amp;ADDRESS(MATCH($N$189, Tracker[Anime Name], 0) + 2, 6)), "")</f>
        <v/>
      </c>
      <c r="T189" s="62" t="str">
        <f ca="1">IF($N$189&lt;&gt;"", INDIRECT("'Tracker'!"&amp;ADDRESS(MATCH($N$189, Tracker[Anime Name], 0) + 2, 7)), "")</f>
        <v/>
      </c>
      <c r="U189" s="68" t="str">
        <f ca="1">IF($N$189&lt;&gt;"", INDIRECT("'Tracker'!"&amp;ADDRESS(MATCH($N$189, Tracker[Anime Name], 0) + 2, 8)), "")</f>
        <v/>
      </c>
      <c r="V189" s="96" t="str">
        <f>IF('Completed'!$C$188&lt;&gt;"",'Completed'!$C$188,"")</f>
        <v/>
      </c>
      <c r="W189" s="96" t="str">
        <f>IF('Completed'!$D$188&lt;&gt;"",'Completed'!$D$188,"")</f>
        <v/>
      </c>
      <c r="X189" s="96" t="str">
        <f>IF('Completed'!$E$188&lt;&gt;"",'Completed'!$E$188,"")</f>
        <v/>
      </c>
      <c r="Y189" s="96" t="str">
        <f>IF('Completed'!$F$188&lt;&gt;"",'Completed'!$F$188,"")</f>
        <v/>
      </c>
      <c r="Z189" s="110" t="str">
        <f>IF('Completed'!$G$188&lt;&gt;"",'Completed'!$G$188,"")</f>
        <v/>
      </c>
      <c r="AA189" s="120" t="str">
        <f>IF('Completed'!$H$188&lt;&gt;"",'Completed'!$H$188,"")</f>
        <v/>
      </c>
      <c r="AB189" s="97" t="str">
        <f>IF('Completed'!$I$188&lt;&gt;"",'Completed'!$I$188,"")</f>
        <v/>
      </c>
      <c r="AC189" s="97" t="str">
        <f>IF('Completed'!$J$188&lt;&gt;"",'Completed'!$J$188,"")</f>
        <v/>
      </c>
      <c r="AD189" s="111" t="str">
        <f>IF('Completed'!$K$188&lt;&gt;"",'Completed'!$K$188,"")</f>
        <v/>
      </c>
      <c r="AE189" s="111" t="str">
        <f>IF('Completed'!$L$188&lt;&gt;"",'Completed'!$L$188,"")</f>
        <v/>
      </c>
    </row>
    <row r="190" spans="10:31">
      <c r="J190" s="61" t="str">
        <f>IF(Backlog!$A$189&lt;&gt;"",Backlog!$A$189,"")</f>
        <v/>
      </c>
      <c r="K190" s="68" t="str">
        <f>IF(Backlog!$B$189&lt;&gt;"",Backlog!$B$189,"")</f>
        <v/>
      </c>
      <c r="L190" s="69" t="str">
        <f>IF(Backlog!$C$189&lt;&gt;"",Backlog!$C$189,"")</f>
        <v/>
      </c>
      <c r="N190" s="61" t="str">
        <f>IF('Completed'!$A$189&lt;&gt;"",'Completed'!$A$189,"")</f>
        <v/>
      </c>
      <c r="O190" s="68" t="str">
        <f>IF('Completed'!$B$189&lt;&gt;"",'Completed'!$B$189,"")</f>
        <v/>
      </c>
      <c r="P190" s="68" t="str">
        <f ca="1">IF($N$190&lt;&gt;"", INDIRECT("'Tracker'!"&amp;ADDRESS(MATCH($N$190, Tracker[Anime Name], 0) + 2, 3)), "")</f>
        <v/>
      </c>
      <c r="Q190" s="62" t="str">
        <f ca="1">IF($N$190&lt;&gt;"", INDIRECT("'Tracker'!"&amp;ADDRESS(MATCH($N$190, Tracker[Anime Name], 0) + 2, 4)), "")</f>
        <v/>
      </c>
      <c r="R190" s="62" t="str">
        <f ca="1">IF($N$190&lt;&gt;"", INDIRECT("'Tracker'!"&amp;ADDRESS(MATCH($N$190, Tracker[Anime Name], 0) + 2, 5)), "")</f>
        <v/>
      </c>
      <c r="S190" s="62" t="str">
        <f ca="1">IF($N$190&lt;&gt;"", INDIRECT("'Tracker'!"&amp;ADDRESS(MATCH($N$190, Tracker[Anime Name], 0) + 2, 6)), "")</f>
        <v/>
      </c>
      <c r="T190" s="62" t="str">
        <f ca="1">IF($N$190&lt;&gt;"", INDIRECT("'Tracker'!"&amp;ADDRESS(MATCH($N$190, Tracker[Anime Name], 0) + 2, 7)), "")</f>
        <v/>
      </c>
      <c r="U190" s="68" t="str">
        <f ca="1">IF($N$190&lt;&gt;"", INDIRECT("'Tracker'!"&amp;ADDRESS(MATCH($N$190, Tracker[Anime Name], 0) + 2, 8)), "")</f>
        <v/>
      </c>
      <c r="V190" s="96" t="str">
        <f>IF('Completed'!$C$189&lt;&gt;"",'Completed'!$C$189,"")</f>
        <v/>
      </c>
      <c r="W190" s="96" t="str">
        <f>IF('Completed'!$D$189&lt;&gt;"",'Completed'!$D$189,"")</f>
        <v/>
      </c>
      <c r="X190" s="96" t="str">
        <f>IF('Completed'!$E$189&lt;&gt;"",'Completed'!$E$189,"")</f>
        <v/>
      </c>
      <c r="Y190" s="96" t="str">
        <f>IF('Completed'!$F$189&lt;&gt;"",'Completed'!$F$189,"")</f>
        <v/>
      </c>
      <c r="Z190" s="110" t="str">
        <f>IF('Completed'!$G$189&lt;&gt;"",'Completed'!$G$189,"")</f>
        <v/>
      </c>
      <c r="AA190" s="120" t="str">
        <f>IF('Completed'!$H$189&lt;&gt;"",'Completed'!$H$189,"")</f>
        <v/>
      </c>
      <c r="AB190" s="97" t="str">
        <f>IF('Completed'!$I$189&lt;&gt;"",'Completed'!$I$189,"")</f>
        <v/>
      </c>
      <c r="AC190" s="97" t="str">
        <f>IF('Completed'!$J$189&lt;&gt;"",'Completed'!$J$189,"")</f>
        <v/>
      </c>
      <c r="AD190" s="111" t="str">
        <f>IF('Completed'!$K$189&lt;&gt;"",'Completed'!$K$189,"")</f>
        <v/>
      </c>
      <c r="AE190" s="111" t="str">
        <f>IF('Completed'!$L$189&lt;&gt;"",'Completed'!$L$189,"")</f>
        <v/>
      </c>
    </row>
    <row r="191" spans="10:31">
      <c r="J191" s="61" t="str">
        <f>IF(Backlog!$A$190&lt;&gt;"",Backlog!$A$190,"")</f>
        <v/>
      </c>
      <c r="K191" s="68" t="str">
        <f>IF(Backlog!$B$190&lt;&gt;"",Backlog!$B$190,"")</f>
        <v/>
      </c>
      <c r="L191" s="69" t="str">
        <f>IF(Backlog!$C$190&lt;&gt;"",Backlog!$C$190,"")</f>
        <v/>
      </c>
      <c r="N191" s="61" t="str">
        <f>IF('Completed'!$A$190&lt;&gt;"",'Completed'!$A$190,"")</f>
        <v/>
      </c>
      <c r="O191" s="68" t="str">
        <f>IF('Completed'!$B$190&lt;&gt;"",'Completed'!$B$190,"")</f>
        <v/>
      </c>
      <c r="P191" s="68" t="str">
        <f ca="1">IF($N$191&lt;&gt;"", INDIRECT("'Tracker'!"&amp;ADDRESS(MATCH($N$191, Tracker[Anime Name], 0) + 2, 3)), "")</f>
        <v/>
      </c>
      <c r="Q191" s="62" t="str">
        <f ca="1">IF($N$191&lt;&gt;"", INDIRECT("'Tracker'!"&amp;ADDRESS(MATCH($N$191, Tracker[Anime Name], 0) + 2, 4)), "")</f>
        <v/>
      </c>
      <c r="R191" s="62" t="str">
        <f ca="1">IF($N$191&lt;&gt;"", INDIRECT("'Tracker'!"&amp;ADDRESS(MATCH($N$191, Tracker[Anime Name], 0) + 2, 5)), "")</f>
        <v/>
      </c>
      <c r="S191" s="62" t="str">
        <f ca="1">IF($N$191&lt;&gt;"", INDIRECT("'Tracker'!"&amp;ADDRESS(MATCH($N$191, Tracker[Anime Name], 0) + 2, 6)), "")</f>
        <v/>
      </c>
      <c r="T191" s="62" t="str">
        <f ca="1">IF($N$191&lt;&gt;"", INDIRECT("'Tracker'!"&amp;ADDRESS(MATCH($N$191, Tracker[Anime Name], 0) + 2, 7)), "")</f>
        <v/>
      </c>
      <c r="U191" s="68" t="str">
        <f ca="1">IF($N$191&lt;&gt;"", INDIRECT("'Tracker'!"&amp;ADDRESS(MATCH($N$191, Tracker[Anime Name], 0) + 2, 8)), "")</f>
        <v/>
      </c>
      <c r="V191" s="96" t="str">
        <f>IF('Completed'!$C$190&lt;&gt;"",'Completed'!$C$190,"")</f>
        <v/>
      </c>
      <c r="W191" s="96" t="str">
        <f>IF('Completed'!$D$190&lt;&gt;"",'Completed'!$D$190,"")</f>
        <v/>
      </c>
      <c r="X191" s="96" t="str">
        <f>IF('Completed'!$E$190&lt;&gt;"",'Completed'!$E$190,"")</f>
        <v/>
      </c>
      <c r="Y191" s="96" t="str">
        <f>IF('Completed'!$F$190&lt;&gt;"",'Completed'!$F$190,"")</f>
        <v/>
      </c>
      <c r="Z191" s="110" t="str">
        <f>IF('Completed'!$G$190&lt;&gt;"",'Completed'!$G$190,"")</f>
        <v/>
      </c>
      <c r="AA191" s="120" t="str">
        <f>IF('Completed'!$H$190&lt;&gt;"",'Completed'!$H$190,"")</f>
        <v/>
      </c>
      <c r="AB191" s="97" t="str">
        <f>IF('Completed'!$I$190&lt;&gt;"",'Completed'!$I$190,"")</f>
        <v/>
      </c>
      <c r="AC191" s="97" t="str">
        <f>IF('Completed'!$J$190&lt;&gt;"",'Completed'!$J$190,"")</f>
        <v/>
      </c>
      <c r="AD191" s="111" t="str">
        <f>IF('Completed'!$K$190&lt;&gt;"",'Completed'!$K$190,"")</f>
        <v/>
      </c>
      <c r="AE191" s="111" t="str">
        <f>IF('Completed'!$L$190&lt;&gt;"",'Completed'!$L$190,"")</f>
        <v/>
      </c>
    </row>
    <row r="192" spans="10:31">
      <c r="J192" s="61" t="str">
        <f>IF(Backlog!$A$191&lt;&gt;"",Backlog!$A$191,"")</f>
        <v/>
      </c>
      <c r="K192" s="68" t="str">
        <f>IF(Backlog!$B$191&lt;&gt;"",Backlog!$B$191,"")</f>
        <v/>
      </c>
      <c r="L192" s="69" t="str">
        <f>IF(Backlog!$C$191&lt;&gt;"",Backlog!$C$191,"")</f>
        <v/>
      </c>
      <c r="N192" s="61" t="str">
        <f>IF('Completed'!$A$191&lt;&gt;"",'Completed'!$A$191,"")</f>
        <v/>
      </c>
      <c r="O192" s="68" t="str">
        <f>IF('Completed'!$B$191&lt;&gt;"",'Completed'!$B$191,"")</f>
        <v/>
      </c>
      <c r="P192" s="68" t="str">
        <f ca="1">IF($N$192&lt;&gt;"", INDIRECT("'Tracker'!"&amp;ADDRESS(MATCH($N$192, Tracker[Anime Name], 0) + 2, 3)), "")</f>
        <v/>
      </c>
      <c r="Q192" s="62" t="str">
        <f ca="1">IF($N$192&lt;&gt;"", INDIRECT("'Tracker'!"&amp;ADDRESS(MATCH($N$192, Tracker[Anime Name], 0) + 2, 4)), "")</f>
        <v/>
      </c>
      <c r="R192" s="62" t="str">
        <f ca="1">IF($N$192&lt;&gt;"", INDIRECT("'Tracker'!"&amp;ADDRESS(MATCH($N$192, Tracker[Anime Name], 0) + 2, 5)), "")</f>
        <v/>
      </c>
      <c r="S192" s="62" t="str">
        <f ca="1">IF($N$192&lt;&gt;"", INDIRECT("'Tracker'!"&amp;ADDRESS(MATCH($N$192, Tracker[Anime Name], 0) + 2, 6)), "")</f>
        <v/>
      </c>
      <c r="T192" s="62" t="str">
        <f ca="1">IF($N$192&lt;&gt;"", INDIRECT("'Tracker'!"&amp;ADDRESS(MATCH($N$192, Tracker[Anime Name], 0) + 2, 7)), "")</f>
        <v/>
      </c>
      <c r="U192" s="68" t="str">
        <f ca="1">IF($N$192&lt;&gt;"", INDIRECT("'Tracker'!"&amp;ADDRESS(MATCH($N$192, Tracker[Anime Name], 0) + 2, 8)), "")</f>
        <v/>
      </c>
      <c r="V192" s="96" t="str">
        <f>IF('Completed'!$C$191&lt;&gt;"",'Completed'!$C$191,"")</f>
        <v/>
      </c>
      <c r="W192" s="96" t="str">
        <f>IF('Completed'!$D$191&lt;&gt;"",'Completed'!$D$191,"")</f>
        <v/>
      </c>
      <c r="X192" s="96" t="str">
        <f>IF('Completed'!$E$191&lt;&gt;"",'Completed'!$E$191,"")</f>
        <v/>
      </c>
      <c r="Y192" s="96" t="str">
        <f>IF('Completed'!$F$191&lt;&gt;"",'Completed'!$F$191,"")</f>
        <v/>
      </c>
      <c r="Z192" s="110" t="str">
        <f>IF('Completed'!$G$191&lt;&gt;"",'Completed'!$G$191,"")</f>
        <v/>
      </c>
      <c r="AA192" s="120" t="str">
        <f>IF('Completed'!$H$191&lt;&gt;"",'Completed'!$H$191,"")</f>
        <v/>
      </c>
      <c r="AB192" s="97" t="str">
        <f>IF('Completed'!$I$191&lt;&gt;"",'Completed'!$I$191,"")</f>
        <v/>
      </c>
      <c r="AC192" s="97" t="str">
        <f>IF('Completed'!$J$191&lt;&gt;"",'Completed'!$J$191,"")</f>
        <v/>
      </c>
      <c r="AD192" s="111" t="str">
        <f>IF('Completed'!$K$191&lt;&gt;"",'Completed'!$K$191,"")</f>
        <v/>
      </c>
      <c r="AE192" s="111" t="str">
        <f>IF('Completed'!$L$191&lt;&gt;"",'Completed'!$L$191,"")</f>
        <v/>
      </c>
    </row>
    <row r="193" spans="10:31">
      <c r="J193" s="61" t="str">
        <f>IF(Backlog!$A$192&lt;&gt;"",Backlog!$A$192,"")</f>
        <v/>
      </c>
      <c r="K193" s="68" t="str">
        <f>IF(Backlog!$B$192&lt;&gt;"",Backlog!$B$192,"")</f>
        <v/>
      </c>
      <c r="L193" s="69" t="str">
        <f>IF(Backlog!$C$192&lt;&gt;"",Backlog!$C$192,"")</f>
        <v/>
      </c>
      <c r="N193" s="61" t="str">
        <f>IF('Completed'!$A$194&lt;&gt;"",'Completed'!$A$194,"")</f>
        <v/>
      </c>
      <c r="O193" s="68" t="str">
        <f>IF('Completed'!$B$194&lt;&gt;"",'Completed'!$B$194,"")</f>
        <v/>
      </c>
      <c r="P193" s="68" t="str">
        <f ca="1">IF($N$193&lt;&gt;"", INDIRECT("'Tracker'!"&amp;ADDRESS(MATCH($N$193, Tracker[Anime Name], 0) + 2, 3)), "")</f>
        <v/>
      </c>
      <c r="Q193" s="62" t="str">
        <f ca="1">IF($N$193&lt;&gt;"", INDIRECT("'Tracker'!"&amp;ADDRESS(MATCH($N$193, Tracker[Anime Name], 0) + 2, 4)), "")</f>
        <v/>
      </c>
      <c r="R193" s="62" t="str">
        <f ca="1">IF($N$193&lt;&gt;"", INDIRECT("'Tracker'!"&amp;ADDRESS(MATCH($N$193, Tracker[Anime Name], 0) + 2, 5)), "")</f>
        <v/>
      </c>
      <c r="S193" s="62" t="str">
        <f ca="1">IF($N$193&lt;&gt;"", INDIRECT("'Tracker'!"&amp;ADDRESS(MATCH($N$193, Tracker[Anime Name], 0) + 2, 6)), "")</f>
        <v/>
      </c>
      <c r="T193" s="62" t="str">
        <f ca="1">IF($N$193&lt;&gt;"", INDIRECT("'Tracker'!"&amp;ADDRESS(MATCH($N$193, Tracker[Anime Name], 0) + 2, 7)), "")</f>
        <v/>
      </c>
      <c r="U193" s="68" t="str">
        <f ca="1">IF($N$193&lt;&gt;"", INDIRECT("'Tracker'!"&amp;ADDRESS(MATCH($N$193, Tracker[Anime Name], 0) + 2, 8)), "")</f>
        <v/>
      </c>
      <c r="V193" s="96" t="str">
        <f>IF('Completed'!$C$194&lt;&gt;"",'Completed'!$C$194,"")</f>
        <v/>
      </c>
      <c r="W193" s="96" t="str">
        <f>IF('Completed'!$D$194&lt;&gt;"",'Completed'!$D$194,"")</f>
        <v/>
      </c>
      <c r="X193" s="96" t="str">
        <f>IF('Completed'!$E$194&lt;&gt;"",'Completed'!$E$194,"")</f>
        <v/>
      </c>
      <c r="Y193" s="96" t="str">
        <f>IF('Completed'!$F$194&lt;&gt;"",'Completed'!$F$194,"")</f>
        <v/>
      </c>
      <c r="Z193" s="110" t="str">
        <f>IF('Completed'!$G$194&lt;&gt;"",'Completed'!$G$194,"")</f>
        <v/>
      </c>
      <c r="AA193" s="120" t="str">
        <f>IF('Completed'!$H$194&lt;&gt;"",'Completed'!$H$194,"")</f>
        <v/>
      </c>
      <c r="AB193" s="97" t="str">
        <f>IF('Completed'!$I$194&lt;&gt;"",'Completed'!$I$194,"")</f>
        <v/>
      </c>
      <c r="AC193" s="97" t="str">
        <f>IF('Completed'!$J$194&lt;&gt;"",'Completed'!$J$194,"")</f>
        <v/>
      </c>
      <c r="AD193" s="111" t="str">
        <f>IF('Completed'!$K$194&lt;&gt;"",'Completed'!$K$194,"")</f>
        <v/>
      </c>
      <c r="AE193" s="111" t="str">
        <f>IF('Completed'!$L$194&lt;&gt;"",'Completed'!$L$194,"")</f>
        <v/>
      </c>
    </row>
    <row r="194" spans="10:31">
      <c r="J194" s="61" t="str">
        <f>IF(Backlog!$A$193&lt;&gt;"",Backlog!$A$193,"")</f>
        <v/>
      </c>
      <c r="K194" s="68" t="str">
        <f>IF(Backlog!$B$193&lt;&gt;"",Backlog!$B$193,"")</f>
        <v/>
      </c>
      <c r="L194" s="69" t="str">
        <f>IF(Backlog!$C$193&lt;&gt;"",Backlog!$C$193,"")</f>
        <v/>
      </c>
      <c r="N194" s="61" t="str">
        <f>IF('Completed'!$A$195&lt;&gt;"",'Completed'!$A$195,"")</f>
        <v/>
      </c>
      <c r="O194" s="68" t="str">
        <f>IF('Completed'!$B$195&lt;&gt;"",'Completed'!$B$195,"")</f>
        <v/>
      </c>
      <c r="P194" s="68" t="str">
        <f ca="1">IF($N$194&lt;&gt;"", INDIRECT("'Tracker'!"&amp;ADDRESS(MATCH($N$194, Tracker[Anime Name], 0) + 2, 3)), "")</f>
        <v/>
      </c>
      <c r="Q194" s="62" t="str">
        <f ca="1">IF($N$194&lt;&gt;"", INDIRECT("'Tracker'!"&amp;ADDRESS(MATCH($N$194, Tracker[Anime Name], 0) + 2, 4)), "")</f>
        <v/>
      </c>
      <c r="R194" s="62" t="str">
        <f ca="1">IF($N$194&lt;&gt;"", INDIRECT("'Tracker'!"&amp;ADDRESS(MATCH($N$194, Tracker[Anime Name], 0) + 2, 5)), "")</f>
        <v/>
      </c>
      <c r="S194" s="62" t="str">
        <f ca="1">IF($N$194&lt;&gt;"", INDIRECT("'Tracker'!"&amp;ADDRESS(MATCH($N$194, Tracker[Anime Name], 0) + 2, 6)), "")</f>
        <v/>
      </c>
      <c r="T194" s="62" t="str">
        <f ca="1">IF($N$194&lt;&gt;"", INDIRECT("'Tracker'!"&amp;ADDRESS(MATCH($N$194, Tracker[Anime Name], 0) + 2, 7)), "")</f>
        <v/>
      </c>
      <c r="U194" s="68" t="str">
        <f ca="1">IF($N$194&lt;&gt;"", INDIRECT("'Tracker'!"&amp;ADDRESS(MATCH($N$194, Tracker[Anime Name], 0) + 2, 8)), "")</f>
        <v/>
      </c>
      <c r="V194" s="96" t="str">
        <f>IF('Completed'!$C$195&lt;&gt;"",'Completed'!$C$195,"")</f>
        <v/>
      </c>
      <c r="W194" s="96" t="str">
        <f>IF('Completed'!$D$195&lt;&gt;"",'Completed'!$D$195,"")</f>
        <v/>
      </c>
      <c r="X194" s="96" t="str">
        <f>IF('Completed'!$E$195&lt;&gt;"",'Completed'!$E$195,"")</f>
        <v/>
      </c>
      <c r="Y194" s="96" t="str">
        <f>IF('Completed'!$F$195&lt;&gt;"",'Completed'!$F$195,"")</f>
        <v/>
      </c>
      <c r="Z194" s="110" t="str">
        <f>IF('Completed'!$G$195&lt;&gt;"",'Completed'!$G$195,"")</f>
        <v/>
      </c>
      <c r="AA194" s="120" t="str">
        <f>IF('Completed'!$H$195&lt;&gt;"",'Completed'!$H$195,"")</f>
        <v/>
      </c>
      <c r="AB194" s="97" t="str">
        <f>IF('Completed'!$I$195&lt;&gt;"",'Completed'!$I$195,"")</f>
        <v/>
      </c>
      <c r="AC194" s="97" t="str">
        <f>IF('Completed'!$J$195&lt;&gt;"",'Completed'!$J$195,"")</f>
        <v/>
      </c>
      <c r="AD194" s="111" t="str">
        <f>IF('Completed'!$K$195&lt;&gt;"",'Completed'!$K$195,"")</f>
        <v/>
      </c>
      <c r="AE194" s="111" t="str">
        <f>IF('Completed'!$L$195&lt;&gt;"",'Completed'!$L$195,"")</f>
        <v/>
      </c>
    </row>
    <row r="195" spans="10:31">
      <c r="J195" s="61" t="str">
        <f>IF(Backlog!$A$194&lt;&gt;"",Backlog!$A$194,"")</f>
        <v/>
      </c>
      <c r="K195" s="68" t="str">
        <f>IF(Backlog!$B$194&lt;&gt;"",Backlog!$B$194,"")</f>
        <v/>
      </c>
      <c r="L195" s="69" t="str">
        <f>IF(Backlog!$C$194&lt;&gt;"",Backlog!$C$194,"")</f>
        <v/>
      </c>
      <c r="N195" s="61" t="str">
        <f>IF('Completed'!$A$196&lt;&gt;"",'Completed'!$A$196,"")</f>
        <v/>
      </c>
      <c r="O195" s="68" t="str">
        <f>IF('Completed'!$B$196&lt;&gt;"",'Completed'!$B$196,"")</f>
        <v/>
      </c>
      <c r="P195" s="68" t="str">
        <f ca="1">IF($N$195&lt;&gt;"", INDIRECT("'Tracker'!"&amp;ADDRESS(MATCH($N$195, Tracker[Anime Name], 0) + 2, 3)), "")</f>
        <v/>
      </c>
      <c r="Q195" s="62" t="str">
        <f ca="1">IF($N$195&lt;&gt;"", INDIRECT("'Tracker'!"&amp;ADDRESS(MATCH($N$195, Tracker[Anime Name], 0) + 2, 4)), "")</f>
        <v/>
      </c>
      <c r="R195" s="62" t="str">
        <f ca="1">IF($N$195&lt;&gt;"", INDIRECT("'Tracker'!"&amp;ADDRESS(MATCH($N$195, Tracker[Anime Name], 0) + 2, 5)), "")</f>
        <v/>
      </c>
      <c r="S195" s="62" t="str">
        <f ca="1">IF($N$195&lt;&gt;"", INDIRECT("'Tracker'!"&amp;ADDRESS(MATCH($N$195, Tracker[Anime Name], 0) + 2, 6)), "")</f>
        <v/>
      </c>
      <c r="T195" s="62" t="str">
        <f ca="1">IF($N$195&lt;&gt;"", INDIRECT("'Tracker'!"&amp;ADDRESS(MATCH($N$195, Tracker[Anime Name], 0) + 2, 7)), "")</f>
        <v/>
      </c>
      <c r="U195" s="68" t="str">
        <f ca="1">IF($N$195&lt;&gt;"", INDIRECT("'Tracker'!"&amp;ADDRESS(MATCH($N$195, Tracker[Anime Name], 0) + 2, 8)), "")</f>
        <v/>
      </c>
      <c r="V195" s="96" t="str">
        <f>IF('Completed'!$C$196&lt;&gt;"",'Completed'!$C$196,"")</f>
        <v/>
      </c>
      <c r="W195" s="96" t="str">
        <f>IF('Completed'!$D$196&lt;&gt;"",'Completed'!$D$196,"")</f>
        <v/>
      </c>
      <c r="X195" s="96" t="str">
        <f>IF('Completed'!$E$196&lt;&gt;"",'Completed'!$E$196,"")</f>
        <v/>
      </c>
      <c r="Y195" s="96" t="str">
        <f>IF('Completed'!$F$196&lt;&gt;"",'Completed'!$F$196,"")</f>
        <v/>
      </c>
      <c r="Z195" s="110" t="str">
        <f>IF('Completed'!$G$196&lt;&gt;"",'Completed'!$G$196,"")</f>
        <v/>
      </c>
      <c r="AA195" s="120" t="str">
        <f>IF('Completed'!$H$196&lt;&gt;"",'Completed'!$H$196,"")</f>
        <v/>
      </c>
      <c r="AB195" s="97" t="str">
        <f>IF('Completed'!$I$196&lt;&gt;"",'Completed'!$I$196,"")</f>
        <v/>
      </c>
      <c r="AC195" s="97" t="str">
        <f>IF('Completed'!$J$196&lt;&gt;"",'Completed'!$J$196,"")</f>
        <v/>
      </c>
      <c r="AD195" s="111" t="str">
        <f>IF('Completed'!$K$196&lt;&gt;"",'Completed'!$K$196,"")</f>
        <v/>
      </c>
      <c r="AE195" s="111" t="str">
        <f>IF('Completed'!$L$196&lt;&gt;"",'Completed'!$L$196,"")</f>
        <v/>
      </c>
    </row>
  </sheetData>
  <sheetProtection algorithmName="SHA-512" hashValue="f2rRSL6Wv3MNVEQ4Ld/ugxfCbBx8Spe3hcwbRIQNepcnSm29vdCUA4/NJrEdLoUQCLeCpX7/w0I7iAlpjVH3TQ==" saltValue="YgSiT+np3/mndHuvPC2/wQ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</mergeCells>
  <conditionalFormatting sqref="A4">
    <cfRule type="expression" dxfId="58" priority="3">
      <formula>(($E4-$D4)=0)</formula>
    </cfRule>
    <cfRule type="expression" dxfId="57" priority="4">
      <formula>(($E4-$D4)&gt;0)</formula>
    </cfRule>
  </conditionalFormatting>
  <conditionalFormatting sqref="A5:A23">
    <cfRule type="expression" dxfId="56" priority="1">
      <formula>(($E5-$D5)=0)</formula>
    </cfRule>
    <cfRule type="expression" dxfId="5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4"/>
  <sheetViews>
    <sheetView showGridLines="0" workbookViewId="0">
      <selection activeCell="A3" sqref="A3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12" t="s">
        <v>523</v>
      </c>
      <c r="B1" s="213"/>
      <c r="C1" s="213"/>
      <c r="D1" s="213"/>
      <c r="E1" s="213"/>
      <c r="F1" s="213"/>
      <c r="G1" s="213"/>
      <c r="H1" s="214"/>
    </row>
    <row r="2" spans="1:8" ht="16.5">
      <c r="A2" s="47" t="s">
        <v>3</v>
      </c>
      <c r="B2" s="47" t="s">
        <v>197</v>
      </c>
      <c r="C2" s="47" t="s">
        <v>521</v>
      </c>
      <c r="D2" s="47" t="s">
        <v>315</v>
      </c>
      <c r="E2" s="47" t="s">
        <v>522</v>
      </c>
      <c r="F2" s="47" t="s">
        <v>114</v>
      </c>
      <c r="G2" s="47" t="s">
        <v>492</v>
      </c>
      <c r="H2" s="47" t="s">
        <v>576</v>
      </c>
    </row>
    <row r="3" spans="1:8" ht="16.5">
      <c r="A3" s="61" t="s">
        <v>388</v>
      </c>
      <c r="B3" s="68">
        <v>1</v>
      </c>
      <c r="C3" s="68">
        <v>26</v>
      </c>
      <c r="D3" s="62" t="s">
        <v>313</v>
      </c>
      <c r="E3" s="62" t="s">
        <v>544</v>
      </c>
      <c r="F3" s="119" t="s">
        <v>507</v>
      </c>
      <c r="G3" s="73" t="s">
        <v>616</v>
      </c>
      <c r="H3" s="168" t="s">
        <v>389</v>
      </c>
    </row>
    <row r="4" spans="1:8" ht="16.5">
      <c r="A4" s="61" t="s">
        <v>441</v>
      </c>
      <c r="B4" s="68">
        <v>1</v>
      </c>
      <c r="C4" s="68">
        <v>70</v>
      </c>
      <c r="D4" s="72" t="s">
        <v>163</v>
      </c>
      <c r="E4" s="72" t="s">
        <v>163</v>
      </c>
      <c r="F4" s="72" t="s">
        <v>163</v>
      </c>
      <c r="G4" s="75" t="s">
        <v>577</v>
      </c>
      <c r="H4" s="169" t="s">
        <v>163</v>
      </c>
    </row>
    <row r="5" spans="1:8" ht="16.5">
      <c r="A5" s="61" t="s">
        <v>277</v>
      </c>
      <c r="B5" s="68">
        <v>1</v>
      </c>
      <c r="C5" s="68">
        <v>13</v>
      </c>
      <c r="D5" s="62" t="s">
        <v>313</v>
      </c>
      <c r="E5" s="62" t="s">
        <v>540</v>
      </c>
      <c r="F5" s="62" t="s">
        <v>504</v>
      </c>
      <c r="G5" s="73" t="s">
        <v>620</v>
      </c>
      <c r="H5" s="168" t="s">
        <v>565</v>
      </c>
    </row>
    <row r="6" spans="1:8" ht="16.5">
      <c r="A6" s="61" t="s">
        <v>310</v>
      </c>
      <c r="B6" s="68">
        <v>1</v>
      </c>
      <c r="C6" s="68">
        <v>7</v>
      </c>
      <c r="D6" s="62" t="s">
        <v>316</v>
      </c>
      <c r="E6" s="62" t="s">
        <v>540</v>
      </c>
      <c r="F6" s="62" t="s">
        <v>504</v>
      </c>
      <c r="G6" s="73" t="s">
        <v>609</v>
      </c>
      <c r="H6" s="168" t="s">
        <v>363</v>
      </c>
    </row>
    <row r="7" spans="1:8" ht="16.5">
      <c r="A7" s="61" t="s">
        <v>311</v>
      </c>
      <c r="B7" s="68">
        <v>1</v>
      </c>
      <c r="C7" s="68">
        <v>26</v>
      </c>
      <c r="D7" s="62" t="s">
        <v>316</v>
      </c>
      <c r="E7" s="62" t="s">
        <v>545</v>
      </c>
      <c r="F7" s="62" t="s">
        <v>507</v>
      </c>
      <c r="G7" s="73" t="s">
        <v>592</v>
      </c>
      <c r="H7" s="168" t="s">
        <v>390</v>
      </c>
    </row>
    <row r="8" spans="1:8" ht="16.5">
      <c r="A8" s="56" t="s">
        <v>96</v>
      </c>
      <c r="B8" s="11">
        <v>5</v>
      </c>
      <c r="C8" s="11">
        <v>220</v>
      </c>
      <c r="D8" s="58" t="s">
        <v>163</v>
      </c>
      <c r="E8" s="72" t="s">
        <v>163</v>
      </c>
      <c r="F8" s="72" t="s">
        <v>163</v>
      </c>
      <c r="G8" s="75" t="s">
        <v>587</v>
      </c>
      <c r="H8" s="170" t="s">
        <v>506</v>
      </c>
    </row>
    <row r="9" spans="1:8" ht="16.5">
      <c r="A9" s="56" t="s">
        <v>160</v>
      </c>
      <c r="B9" s="11">
        <v>1</v>
      </c>
      <c r="C9" s="11">
        <v>26</v>
      </c>
      <c r="D9" s="57" t="s">
        <v>313</v>
      </c>
      <c r="E9" s="62" t="s">
        <v>546</v>
      </c>
      <c r="F9" s="62" t="s">
        <v>507</v>
      </c>
      <c r="G9" s="73" t="s">
        <v>619</v>
      </c>
      <c r="H9" s="171" t="s">
        <v>373</v>
      </c>
    </row>
    <row r="10" spans="1:8" ht="16.5">
      <c r="A10" s="61" t="s">
        <v>39</v>
      </c>
      <c r="B10" s="68">
        <v>1</v>
      </c>
      <c r="C10" s="68">
        <v>13</v>
      </c>
      <c r="D10" s="62" t="s">
        <v>313</v>
      </c>
      <c r="E10" s="62" t="s">
        <v>540</v>
      </c>
      <c r="F10" s="62" t="s">
        <v>504</v>
      </c>
      <c r="G10" s="73" t="s">
        <v>590</v>
      </c>
      <c r="H10" s="168" t="s">
        <v>355</v>
      </c>
    </row>
    <row r="11" spans="1:8" ht="16.5">
      <c r="A11" s="61" t="s">
        <v>19</v>
      </c>
      <c r="B11" s="68">
        <v>1</v>
      </c>
      <c r="C11" s="68">
        <v>24</v>
      </c>
      <c r="D11" s="72" t="s">
        <v>316</v>
      </c>
      <c r="E11" s="62" t="s">
        <v>548</v>
      </c>
      <c r="F11" s="62" t="s">
        <v>507</v>
      </c>
      <c r="G11" s="73" t="s">
        <v>614</v>
      </c>
      <c r="H11" s="169" t="s">
        <v>379</v>
      </c>
    </row>
    <row r="12" spans="1:8" ht="16.5">
      <c r="A12" s="61" t="s">
        <v>59</v>
      </c>
      <c r="B12" s="11">
        <v>1</v>
      </c>
      <c r="C12" s="68">
        <v>26</v>
      </c>
      <c r="D12" s="58" t="s">
        <v>313</v>
      </c>
      <c r="E12" s="62" t="s">
        <v>541</v>
      </c>
      <c r="F12" s="90" t="s">
        <v>504</v>
      </c>
      <c r="G12" s="73" t="s">
        <v>615</v>
      </c>
      <c r="H12" s="7" t="s">
        <v>378</v>
      </c>
    </row>
    <row r="13" spans="1:8" ht="16.5">
      <c r="A13" s="56" t="s">
        <v>105</v>
      </c>
      <c r="B13" s="11">
        <v>1</v>
      </c>
      <c r="C13" s="11">
        <v>13</v>
      </c>
      <c r="D13" s="57" t="s">
        <v>313</v>
      </c>
      <c r="E13" s="62" t="s">
        <v>545</v>
      </c>
      <c r="F13" s="62" t="s">
        <v>503</v>
      </c>
      <c r="G13" s="73" t="s">
        <v>615</v>
      </c>
      <c r="H13" s="171" t="s">
        <v>370</v>
      </c>
    </row>
    <row r="14" spans="1:8" ht="16.5">
      <c r="A14" s="56" t="s">
        <v>142</v>
      </c>
      <c r="B14" s="11">
        <v>1</v>
      </c>
      <c r="C14" s="11">
        <v>24</v>
      </c>
      <c r="D14" s="57" t="s">
        <v>313</v>
      </c>
      <c r="E14" s="62" t="s">
        <v>540</v>
      </c>
      <c r="F14" s="62" t="s">
        <v>504</v>
      </c>
      <c r="G14" s="73" t="s">
        <v>615</v>
      </c>
      <c r="H14" s="171" t="s">
        <v>363</v>
      </c>
    </row>
    <row r="15" spans="1:8" ht="16.5">
      <c r="A15" s="56" t="s">
        <v>302</v>
      </c>
      <c r="B15" s="11">
        <v>1</v>
      </c>
      <c r="C15" s="11">
        <v>24</v>
      </c>
      <c r="D15" s="57" t="s">
        <v>313</v>
      </c>
      <c r="E15" s="62" t="s">
        <v>540</v>
      </c>
      <c r="F15" s="62" t="s">
        <v>504</v>
      </c>
      <c r="G15" s="73" t="s">
        <v>608</v>
      </c>
      <c r="H15" s="171" t="s">
        <v>560</v>
      </c>
    </row>
    <row r="16" spans="1:8" ht="16.5">
      <c r="A16" s="61" t="s">
        <v>164</v>
      </c>
      <c r="B16" s="68">
        <v>1</v>
      </c>
      <c r="C16" s="68">
        <v>26</v>
      </c>
      <c r="D16" s="62" t="s">
        <v>313</v>
      </c>
      <c r="E16" s="62" t="s">
        <v>545</v>
      </c>
      <c r="F16" s="62" t="s">
        <v>507</v>
      </c>
      <c r="G16" s="73" t="s">
        <v>622</v>
      </c>
      <c r="H16" s="168" t="s">
        <v>382</v>
      </c>
    </row>
    <row r="17" spans="1:8" ht="16.5">
      <c r="A17" s="56" t="s">
        <v>364</v>
      </c>
      <c r="B17" s="11">
        <v>1</v>
      </c>
      <c r="C17" s="11">
        <v>28</v>
      </c>
      <c r="D17" s="57" t="s">
        <v>313</v>
      </c>
      <c r="E17" s="62" t="s">
        <v>540</v>
      </c>
      <c r="F17" s="62" t="s">
        <v>504</v>
      </c>
      <c r="G17" s="73" t="s">
        <v>622</v>
      </c>
      <c r="H17" s="171" t="s">
        <v>363</v>
      </c>
    </row>
    <row r="18" spans="1:8" ht="16.5">
      <c r="A18" s="61" t="s">
        <v>312</v>
      </c>
      <c r="B18" s="68">
        <v>1</v>
      </c>
      <c r="C18" s="68">
        <v>24</v>
      </c>
      <c r="D18" s="62" t="s">
        <v>313</v>
      </c>
      <c r="E18" s="62" t="s">
        <v>545</v>
      </c>
      <c r="F18" s="62" t="s">
        <v>507</v>
      </c>
      <c r="G18" s="73" t="s">
        <v>613</v>
      </c>
      <c r="H18" s="168" t="s">
        <v>386</v>
      </c>
    </row>
    <row r="19" spans="1:8" ht="16.5">
      <c r="A19" s="61" t="s">
        <v>283</v>
      </c>
      <c r="B19" s="68">
        <v>2</v>
      </c>
      <c r="C19" s="68">
        <v>12</v>
      </c>
      <c r="D19" s="72" t="s">
        <v>316</v>
      </c>
      <c r="E19" s="62" t="s">
        <v>540</v>
      </c>
      <c r="F19" s="62" t="s">
        <v>507</v>
      </c>
      <c r="G19" s="73" t="s">
        <v>613</v>
      </c>
      <c r="H19" s="169" t="s">
        <v>513</v>
      </c>
    </row>
    <row r="20" spans="1:8" ht="16.5">
      <c r="A20" s="61" t="s">
        <v>455</v>
      </c>
      <c r="B20" s="68">
        <v>1</v>
      </c>
      <c r="C20" s="68">
        <v>13</v>
      </c>
      <c r="D20" s="62" t="s">
        <v>316</v>
      </c>
      <c r="E20" s="62" t="s">
        <v>540</v>
      </c>
      <c r="F20" s="62" t="s">
        <v>504</v>
      </c>
      <c r="G20" s="73" t="s">
        <v>613</v>
      </c>
      <c r="H20" s="168" t="s">
        <v>355</v>
      </c>
    </row>
    <row r="21" spans="1:8" ht="16.5">
      <c r="A21" s="61" t="s">
        <v>53</v>
      </c>
      <c r="B21" s="68">
        <v>1</v>
      </c>
      <c r="C21" s="68">
        <v>24</v>
      </c>
      <c r="D21" s="62" t="s">
        <v>313</v>
      </c>
      <c r="E21" s="62" t="s">
        <v>540</v>
      </c>
      <c r="F21" s="62" t="s">
        <v>504</v>
      </c>
      <c r="G21" s="73" t="s">
        <v>604</v>
      </c>
      <c r="H21" s="168" t="s">
        <v>560</v>
      </c>
    </row>
    <row r="22" spans="1:8" ht="16.5">
      <c r="A22" s="61" t="s">
        <v>280</v>
      </c>
      <c r="B22" s="68">
        <v>1</v>
      </c>
      <c r="C22" s="68">
        <v>25</v>
      </c>
      <c r="D22" s="62" t="s">
        <v>313</v>
      </c>
      <c r="E22" s="62"/>
      <c r="F22" s="62" t="s">
        <v>504</v>
      </c>
      <c r="G22" s="73" t="s">
        <v>604</v>
      </c>
      <c r="H22" s="168" t="s">
        <v>557</v>
      </c>
    </row>
    <row r="23" spans="1:8" ht="16.5">
      <c r="A23" s="61" t="s">
        <v>48</v>
      </c>
      <c r="B23" s="68">
        <v>1</v>
      </c>
      <c r="C23" s="68">
        <v>12</v>
      </c>
      <c r="D23" s="62" t="s">
        <v>313</v>
      </c>
      <c r="E23" s="62" t="s">
        <v>540</v>
      </c>
      <c r="F23" s="62" t="s">
        <v>504</v>
      </c>
      <c r="G23" s="73" t="s">
        <v>612</v>
      </c>
      <c r="H23" s="168" t="s">
        <v>377</v>
      </c>
    </row>
    <row r="24" spans="1:8" ht="16.5">
      <c r="A24" s="61" t="s">
        <v>24</v>
      </c>
      <c r="B24" s="68">
        <v>1</v>
      </c>
      <c r="C24" s="68">
        <v>23</v>
      </c>
      <c r="D24" s="62" t="s">
        <v>313</v>
      </c>
      <c r="E24" s="62" t="s">
        <v>540</v>
      </c>
      <c r="F24" s="62" t="s">
        <v>503</v>
      </c>
      <c r="G24" s="73" t="s">
        <v>612</v>
      </c>
      <c r="H24" s="168" t="s">
        <v>512</v>
      </c>
    </row>
    <row r="25" spans="1:8" ht="16.5">
      <c r="A25" s="61" t="s">
        <v>282</v>
      </c>
      <c r="B25" s="68">
        <v>1</v>
      </c>
      <c r="C25" s="68">
        <v>26</v>
      </c>
      <c r="D25" s="62" t="s">
        <v>313</v>
      </c>
      <c r="E25" s="62" t="s">
        <v>540</v>
      </c>
      <c r="F25" s="62" t="s">
        <v>504</v>
      </c>
      <c r="G25" s="73" t="s">
        <v>594</v>
      </c>
      <c r="H25" s="168" t="s">
        <v>558</v>
      </c>
    </row>
    <row r="26" spans="1:8" ht="16.5">
      <c r="A26" s="61" t="s">
        <v>304</v>
      </c>
      <c r="B26" s="68">
        <v>1</v>
      </c>
      <c r="C26" s="68">
        <v>24</v>
      </c>
      <c r="D26" s="62" t="s">
        <v>313</v>
      </c>
      <c r="E26" s="62" t="s">
        <v>540</v>
      </c>
      <c r="F26" s="62" t="s">
        <v>504</v>
      </c>
      <c r="G26" s="73" t="s">
        <v>594</v>
      </c>
      <c r="H26" s="168" t="s">
        <v>559</v>
      </c>
    </row>
    <row r="27" spans="1:8" ht="16.5">
      <c r="A27" s="56" t="s">
        <v>190</v>
      </c>
      <c r="B27" s="11">
        <v>1</v>
      </c>
      <c r="C27" s="11">
        <v>24</v>
      </c>
      <c r="D27" s="57" t="s">
        <v>313</v>
      </c>
      <c r="E27" s="62" t="s">
        <v>540</v>
      </c>
      <c r="F27" s="62" t="s">
        <v>504</v>
      </c>
      <c r="G27" s="73" t="s">
        <v>594</v>
      </c>
      <c r="H27" s="171" t="s">
        <v>355</v>
      </c>
    </row>
    <row r="28" spans="1:8" ht="16.5">
      <c r="A28" s="56" t="s">
        <v>165</v>
      </c>
      <c r="B28" s="11">
        <v>1</v>
      </c>
      <c r="C28" s="11">
        <v>16</v>
      </c>
      <c r="D28" s="57" t="s">
        <v>316</v>
      </c>
      <c r="E28" s="62" t="s">
        <v>540</v>
      </c>
      <c r="F28" s="62" t="s">
        <v>504</v>
      </c>
      <c r="G28" s="73" t="s">
        <v>593</v>
      </c>
      <c r="H28" s="171" t="s">
        <v>572</v>
      </c>
    </row>
    <row r="29" spans="1:8" ht="16.5">
      <c r="A29" s="61" t="s">
        <v>511</v>
      </c>
      <c r="B29" s="68">
        <v>2</v>
      </c>
      <c r="C29" s="68">
        <v>12</v>
      </c>
      <c r="D29" s="62" t="s">
        <v>316</v>
      </c>
      <c r="E29" s="62" t="s">
        <v>540</v>
      </c>
      <c r="F29" s="62" t="s">
        <v>504</v>
      </c>
      <c r="G29" s="73" t="s">
        <v>593</v>
      </c>
      <c r="H29" s="168" t="s">
        <v>355</v>
      </c>
    </row>
    <row r="30" spans="1:8" ht="16.5">
      <c r="A30" s="56" t="s">
        <v>109</v>
      </c>
      <c r="B30" s="11">
        <v>1</v>
      </c>
      <c r="C30" s="11">
        <v>22</v>
      </c>
      <c r="D30" s="57" t="s">
        <v>313</v>
      </c>
      <c r="E30" s="62" t="s">
        <v>540</v>
      </c>
      <c r="F30" s="62" t="s">
        <v>504</v>
      </c>
      <c r="G30" s="73" t="s">
        <v>603</v>
      </c>
      <c r="H30" s="171" t="s">
        <v>574</v>
      </c>
    </row>
    <row r="31" spans="1:8" ht="16.5">
      <c r="A31" s="56" t="s">
        <v>194</v>
      </c>
      <c r="B31" s="11">
        <v>2</v>
      </c>
      <c r="C31" s="11">
        <v>24</v>
      </c>
      <c r="D31" s="57" t="s">
        <v>313</v>
      </c>
      <c r="E31" s="62" t="s">
        <v>540</v>
      </c>
      <c r="F31" s="62" t="s">
        <v>503</v>
      </c>
      <c r="G31" s="73" t="s">
        <v>603</v>
      </c>
      <c r="H31" s="171" t="s">
        <v>575</v>
      </c>
    </row>
    <row r="32" spans="1:8" ht="16.5">
      <c r="A32" s="56" t="s">
        <v>27</v>
      </c>
      <c r="B32" s="11">
        <v>1</v>
      </c>
      <c r="C32" s="11">
        <v>13</v>
      </c>
      <c r="D32" s="57" t="s">
        <v>316</v>
      </c>
      <c r="E32" s="62" t="s">
        <v>540</v>
      </c>
      <c r="F32" s="62" t="s">
        <v>504</v>
      </c>
      <c r="G32" s="73" t="s">
        <v>621</v>
      </c>
      <c r="H32" s="171" t="s">
        <v>558</v>
      </c>
    </row>
    <row r="33" spans="1:8" ht="16.5">
      <c r="A33" s="61" t="s">
        <v>21</v>
      </c>
      <c r="B33" s="68">
        <v>1</v>
      </c>
      <c r="C33" s="68">
        <v>12</v>
      </c>
      <c r="D33" s="62" t="s">
        <v>313</v>
      </c>
      <c r="E33" s="62" t="s">
        <v>540</v>
      </c>
      <c r="F33" s="62" t="s">
        <v>503</v>
      </c>
      <c r="G33" s="73" t="s">
        <v>605</v>
      </c>
      <c r="H33" s="168" t="s">
        <v>380</v>
      </c>
    </row>
    <row r="34" spans="1:8" ht="16.5">
      <c r="A34" s="61" t="s">
        <v>35</v>
      </c>
      <c r="B34" s="68">
        <v>1</v>
      </c>
      <c r="C34" s="68">
        <v>12</v>
      </c>
      <c r="D34" s="62" t="s">
        <v>313</v>
      </c>
      <c r="E34" s="62" t="s">
        <v>540</v>
      </c>
      <c r="F34" s="62" t="s">
        <v>504</v>
      </c>
      <c r="G34" s="73" t="s">
        <v>605</v>
      </c>
      <c r="H34" s="168" t="s">
        <v>363</v>
      </c>
    </row>
    <row r="35" spans="1:8" ht="16.5">
      <c r="A35" s="61" t="s">
        <v>281</v>
      </c>
      <c r="B35" s="68">
        <v>2</v>
      </c>
      <c r="C35" s="68">
        <v>25</v>
      </c>
      <c r="D35" s="62" t="s">
        <v>313</v>
      </c>
      <c r="E35" s="62"/>
      <c r="F35" s="62" t="s">
        <v>504</v>
      </c>
      <c r="G35" s="73" t="s">
        <v>605</v>
      </c>
      <c r="H35" s="169" t="s">
        <v>557</v>
      </c>
    </row>
    <row r="36" spans="1:8" ht="16.5">
      <c r="A36" s="61" t="s">
        <v>490</v>
      </c>
      <c r="B36" s="68">
        <v>3</v>
      </c>
      <c r="C36" s="68">
        <v>13</v>
      </c>
      <c r="D36" s="72" t="s">
        <v>163</v>
      </c>
      <c r="E36" s="62" t="s">
        <v>163</v>
      </c>
      <c r="F36" s="62" t="s">
        <v>163</v>
      </c>
      <c r="G36" s="73" t="s">
        <v>578</v>
      </c>
      <c r="H36" s="168" t="s">
        <v>163</v>
      </c>
    </row>
    <row r="37" spans="1:8" ht="16.5">
      <c r="A37" s="61" t="s">
        <v>510</v>
      </c>
      <c r="B37" s="68">
        <v>3</v>
      </c>
      <c r="C37" s="68">
        <v>12</v>
      </c>
      <c r="D37" s="62" t="s">
        <v>316</v>
      </c>
      <c r="E37" s="62" t="s">
        <v>540</v>
      </c>
      <c r="F37" s="62" t="s">
        <v>504</v>
      </c>
      <c r="G37" s="73" t="s">
        <v>578</v>
      </c>
      <c r="H37" s="168" t="s">
        <v>355</v>
      </c>
    </row>
    <row r="38" spans="1:8" ht="16.5">
      <c r="A38" s="56" t="s">
        <v>627</v>
      </c>
      <c r="B38" s="11">
        <v>2</v>
      </c>
      <c r="C38" s="11">
        <v>22</v>
      </c>
      <c r="D38" s="57" t="s">
        <v>313</v>
      </c>
      <c r="E38" s="62" t="s">
        <v>540</v>
      </c>
      <c r="F38" s="62" t="s">
        <v>504</v>
      </c>
      <c r="G38" s="73" t="s">
        <v>602</v>
      </c>
      <c r="H38" s="171" t="s">
        <v>355</v>
      </c>
    </row>
    <row r="39" spans="1:8" ht="16.5">
      <c r="A39" s="61" t="s">
        <v>284</v>
      </c>
      <c r="B39" s="68">
        <v>2</v>
      </c>
      <c r="C39" s="68">
        <v>11</v>
      </c>
      <c r="D39" s="62" t="s">
        <v>313</v>
      </c>
      <c r="E39" s="62" t="s">
        <v>540</v>
      </c>
      <c r="F39" s="62" t="s">
        <v>503</v>
      </c>
      <c r="G39" s="73" t="s">
        <v>602</v>
      </c>
      <c r="H39" s="168" t="s">
        <v>554</v>
      </c>
    </row>
    <row r="40" spans="1:8" ht="16.5">
      <c r="A40" s="56" t="s">
        <v>547</v>
      </c>
      <c r="B40" s="11">
        <v>1</v>
      </c>
      <c r="C40" s="11">
        <v>24</v>
      </c>
      <c r="D40" s="57" t="s">
        <v>313</v>
      </c>
      <c r="E40" s="62" t="s">
        <v>540</v>
      </c>
      <c r="F40" s="62" t="s">
        <v>504</v>
      </c>
      <c r="G40" s="73" t="s">
        <v>602</v>
      </c>
      <c r="H40" s="171" t="s">
        <v>560</v>
      </c>
    </row>
    <row r="41" spans="1:8" ht="16.5">
      <c r="A41" s="56" t="s">
        <v>188</v>
      </c>
      <c r="B41" s="11">
        <v>1</v>
      </c>
      <c r="C41" s="11">
        <v>25</v>
      </c>
      <c r="D41" s="57" t="s">
        <v>313</v>
      </c>
      <c r="E41" s="62" t="s">
        <v>540</v>
      </c>
      <c r="F41" s="62" t="s">
        <v>504</v>
      </c>
      <c r="G41" s="73" t="s">
        <v>602</v>
      </c>
      <c r="H41" s="171" t="s">
        <v>557</v>
      </c>
    </row>
    <row r="42" spans="1:8" ht="16.5">
      <c r="A42" s="61" t="s">
        <v>275</v>
      </c>
      <c r="B42" s="68">
        <v>1</v>
      </c>
      <c r="C42" s="68">
        <v>52</v>
      </c>
      <c r="D42" s="62" t="s">
        <v>313</v>
      </c>
      <c r="E42" s="62" t="s">
        <v>542</v>
      </c>
      <c r="F42" s="62" t="s">
        <v>507</v>
      </c>
      <c r="G42" s="73" t="s">
        <v>611</v>
      </c>
      <c r="H42" s="168" t="s">
        <v>374</v>
      </c>
    </row>
    <row r="43" spans="1:8" ht="16.5">
      <c r="A43" s="61" t="s">
        <v>349</v>
      </c>
      <c r="B43" s="68">
        <v>1</v>
      </c>
      <c r="C43" s="68">
        <v>26</v>
      </c>
      <c r="D43" s="72" t="s">
        <v>316</v>
      </c>
      <c r="E43" s="62" t="s">
        <v>540</v>
      </c>
      <c r="F43" s="72" t="s">
        <v>504</v>
      </c>
      <c r="G43" s="75" t="s">
        <v>611</v>
      </c>
      <c r="H43" s="168" t="s">
        <v>560</v>
      </c>
    </row>
    <row r="44" spans="1:8" ht="16.5">
      <c r="A44" s="61" t="s">
        <v>508</v>
      </c>
      <c r="B44" s="68">
        <v>2</v>
      </c>
      <c r="C44" s="68">
        <v>64</v>
      </c>
      <c r="D44" s="62" t="s">
        <v>316</v>
      </c>
      <c r="E44" s="62" t="s">
        <v>540</v>
      </c>
      <c r="F44" s="62" t="s">
        <v>503</v>
      </c>
      <c r="G44" s="73" t="s">
        <v>610</v>
      </c>
      <c r="H44" s="168" t="s">
        <v>376</v>
      </c>
    </row>
    <row r="45" spans="1:8" ht="16.5">
      <c r="A45" s="56" t="s">
        <v>143</v>
      </c>
      <c r="B45" s="11">
        <v>1</v>
      </c>
      <c r="C45" s="11">
        <v>13</v>
      </c>
      <c r="D45" s="57" t="s">
        <v>313</v>
      </c>
      <c r="E45" s="62" t="s">
        <v>540</v>
      </c>
      <c r="F45" s="62" t="s">
        <v>504</v>
      </c>
      <c r="G45" s="73" t="s">
        <v>610</v>
      </c>
      <c r="H45" s="171" t="s">
        <v>367</v>
      </c>
    </row>
    <row r="46" spans="1:8" ht="16.5">
      <c r="A46" s="56" t="s">
        <v>49</v>
      </c>
      <c r="B46" s="11">
        <v>1</v>
      </c>
      <c r="C46" s="11">
        <v>15</v>
      </c>
      <c r="D46" s="57" t="s">
        <v>313</v>
      </c>
      <c r="E46" s="62" t="s">
        <v>540</v>
      </c>
      <c r="F46" s="62" t="s">
        <v>504</v>
      </c>
      <c r="G46" s="73" t="s">
        <v>596</v>
      </c>
      <c r="H46" s="171" t="s">
        <v>555</v>
      </c>
    </row>
    <row r="47" spans="1:8" ht="16.5">
      <c r="A47" s="56" t="s">
        <v>33</v>
      </c>
      <c r="B47" s="11">
        <v>2</v>
      </c>
      <c r="C47" s="11">
        <v>12</v>
      </c>
      <c r="D47" s="57" t="s">
        <v>316</v>
      </c>
      <c r="E47" s="62" t="s">
        <v>540</v>
      </c>
      <c r="F47" s="62" t="s">
        <v>504</v>
      </c>
      <c r="G47" s="73" t="s">
        <v>596</v>
      </c>
      <c r="H47" s="171" t="s">
        <v>556</v>
      </c>
    </row>
    <row r="48" spans="1:8" ht="16.5">
      <c r="A48" s="61" t="s">
        <v>309</v>
      </c>
      <c r="B48" s="68">
        <v>1</v>
      </c>
      <c r="C48" s="68">
        <v>12</v>
      </c>
      <c r="D48" s="62" t="s">
        <v>316</v>
      </c>
      <c r="E48" s="62" t="s">
        <v>540</v>
      </c>
      <c r="F48" s="62" t="s">
        <v>504</v>
      </c>
      <c r="G48" s="73" t="s">
        <v>617</v>
      </c>
      <c r="H48" s="168" t="s">
        <v>573</v>
      </c>
    </row>
    <row r="49" spans="1:8" ht="16.5">
      <c r="A49" s="56" t="s">
        <v>296</v>
      </c>
      <c r="B49" s="11">
        <v>1</v>
      </c>
      <c r="C49" s="11">
        <v>13</v>
      </c>
      <c r="D49" s="57" t="s">
        <v>313</v>
      </c>
      <c r="E49" s="62" t="s">
        <v>540</v>
      </c>
      <c r="F49" s="62" t="s">
        <v>507</v>
      </c>
      <c r="G49" s="73" t="s">
        <v>617</v>
      </c>
      <c r="H49" s="171" t="s">
        <v>375</v>
      </c>
    </row>
    <row r="50" spans="1:8" ht="16.5">
      <c r="A50" s="56" t="s">
        <v>514</v>
      </c>
      <c r="B50" s="11">
        <v>1</v>
      </c>
      <c r="C50" s="11">
        <v>24</v>
      </c>
      <c r="D50" s="57" t="s">
        <v>313</v>
      </c>
      <c r="E50" s="62" t="s">
        <v>540</v>
      </c>
      <c r="F50" s="62" t="s">
        <v>504</v>
      </c>
      <c r="G50" s="73" t="s">
        <v>617</v>
      </c>
      <c r="H50" s="171" t="s">
        <v>363</v>
      </c>
    </row>
    <row r="51" spans="1:8" ht="16.5">
      <c r="A51" s="61" t="s">
        <v>538</v>
      </c>
      <c r="B51" s="68">
        <v>2</v>
      </c>
      <c r="C51" s="68">
        <v>12</v>
      </c>
      <c r="D51" s="72" t="s">
        <v>163</v>
      </c>
      <c r="E51" s="62" t="s">
        <v>163</v>
      </c>
      <c r="F51" s="62" t="s">
        <v>163</v>
      </c>
      <c r="G51" s="73" t="s">
        <v>583</v>
      </c>
      <c r="H51" s="168" t="s">
        <v>163</v>
      </c>
    </row>
    <row r="52" spans="1:8" ht="16.5">
      <c r="A52" s="61" t="s">
        <v>72</v>
      </c>
      <c r="B52" s="68">
        <v>1</v>
      </c>
      <c r="C52" s="68">
        <v>24</v>
      </c>
      <c r="D52" s="72" t="s">
        <v>163</v>
      </c>
      <c r="E52" s="62" t="s">
        <v>163</v>
      </c>
      <c r="F52" s="62" t="s">
        <v>163</v>
      </c>
      <c r="G52" s="73" t="s">
        <v>583</v>
      </c>
      <c r="H52" s="168" t="s">
        <v>163</v>
      </c>
    </row>
    <row r="53" spans="1:8" ht="16.5">
      <c r="A53" s="56" t="s">
        <v>85</v>
      </c>
      <c r="B53" s="11">
        <v>1</v>
      </c>
      <c r="C53" s="11">
        <v>13</v>
      </c>
      <c r="D53" s="57" t="s">
        <v>313</v>
      </c>
      <c r="E53" s="62" t="s">
        <v>541</v>
      </c>
      <c r="F53" s="62" t="s">
        <v>504</v>
      </c>
      <c r="G53" s="73" t="s">
        <v>583</v>
      </c>
      <c r="H53" s="171" t="s">
        <v>363</v>
      </c>
    </row>
    <row r="54" spans="1:8" ht="16.5">
      <c r="A54" s="56" t="s">
        <v>166</v>
      </c>
      <c r="B54" s="11">
        <v>1</v>
      </c>
      <c r="C54" s="11">
        <v>25</v>
      </c>
      <c r="D54" s="57" t="s">
        <v>316</v>
      </c>
      <c r="E54" s="62" t="s">
        <v>540</v>
      </c>
      <c r="F54" s="62" t="s">
        <v>504</v>
      </c>
      <c r="G54" s="73" t="s">
        <v>583</v>
      </c>
      <c r="H54" s="171" t="s">
        <v>557</v>
      </c>
    </row>
    <row r="55" spans="1:8" ht="16.5">
      <c r="A55" s="61" t="s">
        <v>306</v>
      </c>
      <c r="B55" s="68">
        <v>1</v>
      </c>
      <c r="C55" s="68">
        <v>12</v>
      </c>
      <c r="D55" s="62" t="s">
        <v>316</v>
      </c>
      <c r="E55" s="62" t="s">
        <v>540</v>
      </c>
      <c r="F55" s="62" t="s">
        <v>504</v>
      </c>
      <c r="G55" s="73" t="s">
        <v>583</v>
      </c>
      <c r="H55" s="168" t="s">
        <v>556</v>
      </c>
    </row>
    <row r="56" spans="1:8" ht="16.5">
      <c r="A56" s="61" t="s">
        <v>285</v>
      </c>
      <c r="B56" s="68">
        <v>3</v>
      </c>
      <c r="C56" s="68">
        <v>12</v>
      </c>
      <c r="D56" s="62" t="s">
        <v>313</v>
      </c>
      <c r="E56" s="62" t="s">
        <v>540</v>
      </c>
      <c r="F56" s="62" t="s">
        <v>503</v>
      </c>
      <c r="G56" s="73" t="s">
        <v>583</v>
      </c>
      <c r="H56" s="168" t="s">
        <v>367</v>
      </c>
    </row>
    <row r="57" spans="1:8" ht="16.5">
      <c r="A57" s="56" t="s">
        <v>225</v>
      </c>
      <c r="B57" s="11">
        <v>1</v>
      </c>
      <c r="C57" s="11">
        <v>13</v>
      </c>
      <c r="D57" s="57" t="s">
        <v>313</v>
      </c>
      <c r="E57" s="62" t="s">
        <v>540</v>
      </c>
      <c r="F57" s="62" t="s">
        <v>504</v>
      </c>
      <c r="G57" s="73" t="s">
        <v>583</v>
      </c>
      <c r="H57" s="171" t="s">
        <v>566</v>
      </c>
    </row>
    <row r="58" spans="1:8" ht="16.5">
      <c r="A58" s="56" t="s">
        <v>29</v>
      </c>
      <c r="B58" s="11">
        <v>1</v>
      </c>
      <c r="C58" s="11">
        <v>14</v>
      </c>
      <c r="D58" s="57" t="s">
        <v>313</v>
      </c>
      <c r="E58" s="62" t="s">
        <v>540</v>
      </c>
      <c r="F58" s="62" t="s">
        <v>504</v>
      </c>
      <c r="G58" s="73" t="s">
        <v>579</v>
      </c>
      <c r="H58" s="171" t="s">
        <v>355</v>
      </c>
    </row>
    <row r="59" spans="1:8" ht="16.5">
      <c r="A59" s="61" t="s">
        <v>167</v>
      </c>
      <c r="B59" s="68">
        <v>1</v>
      </c>
      <c r="C59" s="68">
        <v>27</v>
      </c>
      <c r="D59" s="62" t="s">
        <v>313</v>
      </c>
      <c r="E59" s="62" t="s">
        <v>540</v>
      </c>
      <c r="F59" s="62" t="s">
        <v>503</v>
      </c>
      <c r="G59" s="73" t="s">
        <v>579</v>
      </c>
      <c r="H59" s="168" t="s">
        <v>338</v>
      </c>
    </row>
    <row r="60" spans="1:8" ht="16.5">
      <c r="A60" s="56" t="s">
        <v>191</v>
      </c>
      <c r="B60" s="11">
        <v>2</v>
      </c>
      <c r="C60" s="11">
        <v>24</v>
      </c>
      <c r="D60" s="57" t="s">
        <v>313</v>
      </c>
      <c r="E60" s="62" t="s">
        <v>540</v>
      </c>
      <c r="F60" s="62" t="s">
        <v>504</v>
      </c>
      <c r="G60" s="73" t="s">
        <v>579</v>
      </c>
      <c r="H60" s="171" t="s">
        <v>363</v>
      </c>
    </row>
    <row r="61" spans="1:8" ht="16.5">
      <c r="A61" s="56" t="s">
        <v>28</v>
      </c>
      <c r="B61" s="11">
        <v>1</v>
      </c>
      <c r="C61" s="11">
        <v>11</v>
      </c>
      <c r="D61" s="57" t="s">
        <v>313</v>
      </c>
      <c r="E61" s="62" t="s">
        <v>540</v>
      </c>
      <c r="F61" s="62" t="s">
        <v>504</v>
      </c>
      <c r="G61" s="73" t="s">
        <v>579</v>
      </c>
      <c r="H61" s="171" t="s">
        <v>363</v>
      </c>
    </row>
    <row r="62" spans="1:8" ht="16.5">
      <c r="A62" s="61" t="s">
        <v>597</v>
      </c>
      <c r="B62" s="68">
        <v>1</v>
      </c>
      <c r="C62" s="68">
        <v>25</v>
      </c>
      <c r="D62" s="62" t="s">
        <v>316</v>
      </c>
      <c r="E62" s="62" t="s">
        <v>540</v>
      </c>
      <c r="F62" s="62" t="s">
        <v>503</v>
      </c>
      <c r="G62" s="73" t="s">
        <v>600</v>
      </c>
      <c r="H62" s="168" t="s">
        <v>420</v>
      </c>
    </row>
    <row r="63" spans="1:8" ht="16.5">
      <c r="A63" s="56" t="s">
        <v>175</v>
      </c>
      <c r="B63" s="11">
        <v>1</v>
      </c>
      <c r="C63" s="11">
        <v>16</v>
      </c>
      <c r="D63" s="57" t="s">
        <v>313</v>
      </c>
      <c r="E63" s="62" t="s">
        <v>540</v>
      </c>
      <c r="F63" s="62" t="s">
        <v>504</v>
      </c>
      <c r="G63" s="73" t="s">
        <v>600</v>
      </c>
      <c r="H63" s="171" t="s">
        <v>556</v>
      </c>
    </row>
    <row r="64" spans="1:8" ht="16.5">
      <c r="A64" s="56" t="s">
        <v>229</v>
      </c>
      <c r="B64" s="11">
        <v>1</v>
      </c>
      <c r="C64" s="11">
        <v>13</v>
      </c>
      <c r="D64" s="57" t="s">
        <v>313</v>
      </c>
      <c r="E64" s="62" t="s">
        <v>540</v>
      </c>
      <c r="F64" s="62" t="s">
        <v>504</v>
      </c>
      <c r="G64" s="73" t="s">
        <v>600</v>
      </c>
      <c r="H64" s="171" t="s">
        <v>481</v>
      </c>
    </row>
    <row r="65" spans="1:8" ht="16.5">
      <c r="A65" s="56" t="s">
        <v>98</v>
      </c>
      <c r="B65" s="11">
        <v>1</v>
      </c>
      <c r="C65" s="11">
        <v>12</v>
      </c>
      <c r="D65" s="57" t="s">
        <v>313</v>
      </c>
      <c r="E65" s="62" t="s">
        <v>540</v>
      </c>
      <c r="F65" s="62" t="s">
        <v>504</v>
      </c>
      <c r="G65" s="73" t="s">
        <v>600</v>
      </c>
      <c r="H65" s="171" t="s">
        <v>338</v>
      </c>
    </row>
    <row r="66" spans="1:8" ht="16.5">
      <c r="A66" s="61" t="s">
        <v>286</v>
      </c>
      <c r="B66" s="68">
        <v>2</v>
      </c>
      <c r="C66" s="68">
        <v>12</v>
      </c>
      <c r="D66" s="62" t="s">
        <v>313</v>
      </c>
      <c r="E66" s="62" t="s">
        <v>540</v>
      </c>
      <c r="F66" s="62" t="s">
        <v>504</v>
      </c>
      <c r="G66" s="73" t="s">
        <v>600</v>
      </c>
      <c r="H66" s="168" t="s">
        <v>381</v>
      </c>
    </row>
    <row r="67" spans="1:8" ht="16.5">
      <c r="A67" s="61" t="s">
        <v>32</v>
      </c>
      <c r="B67" s="68">
        <v>1</v>
      </c>
      <c r="C67" s="68">
        <v>12</v>
      </c>
      <c r="D67" s="62" t="s">
        <v>313</v>
      </c>
      <c r="E67" s="62" t="s">
        <v>540</v>
      </c>
      <c r="F67" s="62" t="s">
        <v>504</v>
      </c>
      <c r="G67" s="73" t="s">
        <v>600</v>
      </c>
      <c r="H67" s="168" t="s">
        <v>383</v>
      </c>
    </row>
    <row r="68" spans="1:8" ht="16.5">
      <c r="A68" s="56" t="s">
        <v>173</v>
      </c>
      <c r="B68" s="11">
        <v>2</v>
      </c>
      <c r="C68" s="11">
        <v>24</v>
      </c>
      <c r="D68" s="57" t="s">
        <v>313</v>
      </c>
      <c r="E68" s="62" t="s">
        <v>540</v>
      </c>
      <c r="F68" s="62" t="s">
        <v>504</v>
      </c>
      <c r="G68" s="73" t="s">
        <v>600</v>
      </c>
      <c r="H68" s="171" t="s">
        <v>569</v>
      </c>
    </row>
    <row r="69" spans="1:8" ht="16.5">
      <c r="A69" s="56" t="s">
        <v>37</v>
      </c>
      <c r="B69" s="11">
        <v>1</v>
      </c>
      <c r="C69" s="11">
        <v>12</v>
      </c>
      <c r="D69" s="57" t="s">
        <v>313</v>
      </c>
      <c r="E69" s="62" t="s">
        <v>540</v>
      </c>
      <c r="F69" s="62" t="s">
        <v>504</v>
      </c>
      <c r="G69" s="73" t="s">
        <v>600</v>
      </c>
      <c r="H69" s="171" t="s">
        <v>571</v>
      </c>
    </row>
    <row r="70" spans="1:8" ht="16.5">
      <c r="A70" s="56" t="s">
        <v>60</v>
      </c>
      <c r="B70" s="11">
        <v>1</v>
      </c>
      <c r="C70" s="11">
        <v>12</v>
      </c>
      <c r="D70" s="57" t="s">
        <v>316</v>
      </c>
      <c r="E70" s="62" t="s">
        <v>540</v>
      </c>
      <c r="F70" s="62" t="s">
        <v>504</v>
      </c>
      <c r="G70" s="73" t="s">
        <v>618</v>
      </c>
      <c r="H70" s="171" t="s">
        <v>355</v>
      </c>
    </row>
    <row r="71" spans="1:8" ht="16.5">
      <c r="A71" s="61" t="s">
        <v>288</v>
      </c>
      <c r="B71" s="68">
        <v>2</v>
      </c>
      <c r="C71" s="68">
        <v>12</v>
      </c>
      <c r="D71" s="72" t="s">
        <v>163</v>
      </c>
      <c r="E71" s="62" t="s">
        <v>163</v>
      </c>
      <c r="F71" s="62" t="s">
        <v>163</v>
      </c>
      <c r="G71" s="73" t="s">
        <v>586</v>
      </c>
      <c r="H71" s="168" t="s">
        <v>163</v>
      </c>
    </row>
    <row r="72" spans="1:8" ht="16.5">
      <c r="A72" s="56" t="s">
        <v>222</v>
      </c>
      <c r="B72" s="11">
        <v>1</v>
      </c>
      <c r="C72" s="11">
        <v>11</v>
      </c>
      <c r="D72" s="57" t="s">
        <v>313</v>
      </c>
      <c r="E72" s="62" t="s">
        <v>541</v>
      </c>
      <c r="F72" s="62" t="s">
        <v>504</v>
      </c>
      <c r="G72" s="73" t="s">
        <v>586</v>
      </c>
      <c r="H72" s="171" t="s">
        <v>355</v>
      </c>
    </row>
    <row r="73" spans="1:8" ht="16.5">
      <c r="A73" s="56" t="s">
        <v>189</v>
      </c>
      <c r="B73" s="11">
        <v>1</v>
      </c>
      <c r="C73" s="11">
        <v>26</v>
      </c>
      <c r="D73" s="57" t="s">
        <v>313</v>
      </c>
      <c r="E73" s="62" t="s">
        <v>541</v>
      </c>
      <c r="F73" s="62" t="s">
        <v>504</v>
      </c>
      <c r="G73" s="73" t="s">
        <v>586</v>
      </c>
      <c r="H73" s="171" t="s">
        <v>355</v>
      </c>
    </row>
    <row r="74" spans="1:8" ht="16.5">
      <c r="A74" s="61" t="s">
        <v>42</v>
      </c>
      <c r="B74" s="68">
        <v>1</v>
      </c>
      <c r="C74" s="68">
        <v>12</v>
      </c>
      <c r="D74" s="62" t="s">
        <v>316</v>
      </c>
      <c r="E74" s="62" t="s">
        <v>540</v>
      </c>
      <c r="F74" s="62" t="s">
        <v>504</v>
      </c>
      <c r="G74" s="73" t="s">
        <v>586</v>
      </c>
      <c r="H74" s="168" t="s">
        <v>556</v>
      </c>
    </row>
    <row r="75" spans="1:8" ht="16.5">
      <c r="A75" s="61" t="s">
        <v>276</v>
      </c>
      <c r="B75" s="68">
        <v>1</v>
      </c>
      <c r="C75" s="68">
        <v>12</v>
      </c>
      <c r="D75" s="62" t="s">
        <v>313</v>
      </c>
      <c r="E75" s="62" t="s">
        <v>540</v>
      </c>
      <c r="F75" s="62" t="s">
        <v>503</v>
      </c>
      <c r="G75" s="73" t="s">
        <v>586</v>
      </c>
      <c r="H75" s="168" t="s">
        <v>337</v>
      </c>
    </row>
    <row r="76" spans="1:8" ht="16.5">
      <c r="A76" s="56" t="s">
        <v>110</v>
      </c>
      <c r="B76" s="11">
        <v>1</v>
      </c>
      <c r="C76" s="11">
        <v>25</v>
      </c>
      <c r="D76" s="57" t="s">
        <v>313</v>
      </c>
      <c r="E76" s="62" t="s">
        <v>540</v>
      </c>
      <c r="F76" s="62" t="s">
        <v>504</v>
      </c>
      <c r="G76" s="73" t="s">
        <v>586</v>
      </c>
      <c r="H76" s="171" t="s">
        <v>481</v>
      </c>
    </row>
    <row r="77" spans="1:8" ht="16.5">
      <c r="A77" s="61" t="s">
        <v>287</v>
      </c>
      <c r="B77" s="68">
        <v>2</v>
      </c>
      <c r="C77" s="68">
        <v>12</v>
      </c>
      <c r="D77" s="62" t="s">
        <v>313</v>
      </c>
      <c r="E77" s="62" t="s">
        <v>540</v>
      </c>
      <c r="F77" s="62" t="s">
        <v>504</v>
      </c>
      <c r="G77" s="73" t="s">
        <v>586</v>
      </c>
      <c r="H77" s="168" t="s">
        <v>383</v>
      </c>
    </row>
    <row r="78" spans="1:8" ht="16.5">
      <c r="A78" s="56" t="s">
        <v>102</v>
      </c>
      <c r="B78" s="11">
        <v>1</v>
      </c>
      <c r="C78" s="11">
        <v>12</v>
      </c>
      <c r="D78" s="57" t="s">
        <v>313</v>
      </c>
      <c r="E78" s="62" t="s">
        <v>541</v>
      </c>
      <c r="F78" s="62" t="s">
        <v>504</v>
      </c>
      <c r="G78" s="73" t="s">
        <v>595</v>
      </c>
      <c r="H78" s="171" t="s">
        <v>355</v>
      </c>
    </row>
    <row r="79" spans="1:8" ht="16.5">
      <c r="A79" s="56" t="s">
        <v>80</v>
      </c>
      <c r="B79" s="11">
        <v>2</v>
      </c>
      <c r="C79" s="11">
        <v>13</v>
      </c>
      <c r="D79" s="57" t="s">
        <v>313</v>
      </c>
      <c r="E79" s="62" t="s">
        <v>540</v>
      </c>
      <c r="F79" s="62" t="s">
        <v>504</v>
      </c>
      <c r="G79" s="73" t="s">
        <v>595</v>
      </c>
      <c r="H79" s="171" t="s">
        <v>520</v>
      </c>
    </row>
    <row r="80" spans="1:8" ht="16.5">
      <c r="A80" s="56" t="s">
        <v>162</v>
      </c>
      <c r="B80" s="11">
        <v>1</v>
      </c>
      <c r="C80" s="11">
        <v>12</v>
      </c>
      <c r="D80" s="57" t="s">
        <v>313</v>
      </c>
      <c r="E80" s="62" t="s">
        <v>540</v>
      </c>
      <c r="F80" s="62" t="s">
        <v>504</v>
      </c>
      <c r="G80" s="73" t="s">
        <v>595</v>
      </c>
      <c r="H80" s="171" t="s">
        <v>564</v>
      </c>
    </row>
    <row r="81" spans="1:8" ht="16.5">
      <c r="A81" s="56" t="s">
        <v>193</v>
      </c>
      <c r="B81" s="11">
        <v>1</v>
      </c>
      <c r="C81" s="11">
        <v>26</v>
      </c>
      <c r="D81" s="57" t="s">
        <v>313</v>
      </c>
      <c r="E81" s="62" t="s">
        <v>540</v>
      </c>
      <c r="F81" s="62" t="s">
        <v>504</v>
      </c>
      <c r="G81" s="73" t="s">
        <v>595</v>
      </c>
      <c r="H81" s="171" t="s">
        <v>568</v>
      </c>
    </row>
    <row r="82" spans="1:8" ht="16.5">
      <c r="A82" s="61" t="s">
        <v>384</v>
      </c>
      <c r="B82" s="68">
        <v>1</v>
      </c>
      <c r="C82" s="68">
        <v>11</v>
      </c>
      <c r="D82" s="62" t="s">
        <v>313</v>
      </c>
      <c r="E82" s="62" t="s">
        <v>540</v>
      </c>
      <c r="F82" s="62" t="s">
        <v>504</v>
      </c>
      <c r="G82" s="73" t="s">
        <v>595</v>
      </c>
      <c r="H82" s="168" t="s">
        <v>385</v>
      </c>
    </row>
    <row r="83" spans="1:8" ht="16.5">
      <c r="A83" s="61" t="s">
        <v>598</v>
      </c>
      <c r="B83" s="68">
        <v>2</v>
      </c>
      <c r="C83" s="68">
        <v>24</v>
      </c>
      <c r="D83" s="72" t="s">
        <v>316</v>
      </c>
      <c r="E83" s="62" t="s">
        <v>540</v>
      </c>
      <c r="F83" s="72" t="s">
        <v>503</v>
      </c>
      <c r="G83" s="75" t="s">
        <v>582</v>
      </c>
      <c r="H83" s="169" t="s">
        <v>421</v>
      </c>
    </row>
    <row r="84" spans="1:8" ht="16.5">
      <c r="A84" s="56" t="s">
        <v>73</v>
      </c>
      <c r="B84" s="11">
        <v>1</v>
      </c>
      <c r="C84" s="11">
        <v>13</v>
      </c>
      <c r="D84" s="57" t="s">
        <v>313</v>
      </c>
      <c r="E84" s="62" t="s">
        <v>540</v>
      </c>
      <c r="F84" s="62" t="s">
        <v>504</v>
      </c>
      <c r="G84" s="73" t="s">
        <v>582</v>
      </c>
      <c r="H84" s="171" t="s">
        <v>556</v>
      </c>
    </row>
    <row r="85" spans="1:8" ht="16.5">
      <c r="A85" s="56" t="s">
        <v>150</v>
      </c>
      <c r="B85" s="11">
        <v>1</v>
      </c>
      <c r="C85" s="11">
        <v>25</v>
      </c>
      <c r="D85" s="57" t="s">
        <v>313</v>
      </c>
      <c r="E85" s="62" t="s">
        <v>540</v>
      </c>
      <c r="F85" s="62" t="s">
        <v>503</v>
      </c>
      <c r="G85" s="73" t="s">
        <v>582</v>
      </c>
      <c r="H85" s="171" t="s">
        <v>358</v>
      </c>
    </row>
    <row r="86" spans="1:8" ht="16.5">
      <c r="A86" s="61" t="s">
        <v>303</v>
      </c>
      <c r="B86" s="68">
        <v>2</v>
      </c>
      <c r="C86" s="68">
        <v>25</v>
      </c>
      <c r="D86" s="62" t="s">
        <v>313</v>
      </c>
      <c r="E86" s="62" t="s">
        <v>540</v>
      </c>
      <c r="F86" s="62" t="s">
        <v>504</v>
      </c>
      <c r="G86" s="73" t="s">
        <v>582</v>
      </c>
      <c r="H86" s="168" t="s">
        <v>337</v>
      </c>
    </row>
    <row r="87" spans="1:8" ht="16.5">
      <c r="A87" s="56" t="s">
        <v>278</v>
      </c>
      <c r="B87" s="11">
        <v>1</v>
      </c>
      <c r="C87" s="11">
        <v>26</v>
      </c>
      <c r="D87" s="57" t="s">
        <v>313</v>
      </c>
      <c r="E87" s="62" t="s">
        <v>540</v>
      </c>
      <c r="F87" s="62" t="s">
        <v>504</v>
      </c>
      <c r="G87" s="73" t="s">
        <v>582</v>
      </c>
      <c r="H87" s="171" t="s">
        <v>357</v>
      </c>
    </row>
    <row r="88" spans="1:8" ht="16.5">
      <c r="A88" s="56" t="s">
        <v>195</v>
      </c>
      <c r="B88" s="11">
        <v>3</v>
      </c>
      <c r="C88" s="11">
        <v>24</v>
      </c>
      <c r="D88" s="57" t="s">
        <v>313</v>
      </c>
      <c r="E88" s="62" t="s">
        <v>540</v>
      </c>
      <c r="F88" s="62" t="s">
        <v>504</v>
      </c>
      <c r="G88" s="73" t="s">
        <v>582</v>
      </c>
      <c r="H88" s="171" t="s">
        <v>355</v>
      </c>
    </row>
    <row r="89" spans="1:8" ht="16.5">
      <c r="A89" s="56" t="s">
        <v>95</v>
      </c>
      <c r="B89" s="11">
        <v>2</v>
      </c>
      <c r="C89" s="11">
        <v>12</v>
      </c>
      <c r="D89" s="57" t="s">
        <v>313</v>
      </c>
      <c r="E89" s="62" t="s">
        <v>540</v>
      </c>
      <c r="F89" s="62" t="s">
        <v>504</v>
      </c>
      <c r="G89" s="73" t="s">
        <v>582</v>
      </c>
      <c r="H89" s="171" t="s">
        <v>338</v>
      </c>
    </row>
    <row r="90" spans="1:8" ht="16.5">
      <c r="A90" s="61" t="s">
        <v>387</v>
      </c>
      <c r="B90" s="68">
        <v>1</v>
      </c>
      <c r="C90" s="68">
        <v>12</v>
      </c>
      <c r="D90" s="62" t="s">
        <v>313</v>
      </c>
      <c r="E90" s="62" t="s">
        <v>540</v>
      </c>
      <c r="F90" s="62" t="s">
        <v>503</v>
      </c>
      <c r="G90" s="73" t="s">
        <v>591</v>
      </c>
      <c r="H90" s="168" t="s">
        <v>366</v>
      </c>
    </row>
    <row r="91" spans="1:8" ht="16.5">
      <c r="A91" s="56" t="s">
        <v>368</v>
      </c>
      <c r="B91" s="11">
        <v>1</v>
      </c>
      <c r="C91" s="11">
        <v>8</v>
      </c>
      <c r="D91" s="57" t="s">
        <v>313</v>
      </c>
      <c r="E91" s="62" t="s">
        <v>540</v>
      </c>
      <c r="F91" s="62" t="s">
        <v>504</v>
      </c>
      <c r="G91" s="73" t="s">
        <v>591</v>
      </c>
      <c r="H91" s="171" t="s">
        <v>357</v>
      </c>
    </row>
    <row r="92" spans="1:8" ht="16.5">
      <c r="A92" s="56" t="s">
        <v>210</v>
      </c>
      <c r="B92" s="11">
        <v>1</v>
      </c>
      <c r="C92" s="11">
        <v>12</v>
      </c>
      <c r="D92" s="57" t="s">
        <v>313</v>
      </c>
      <c r="E92" s="62" t="s">
        <v>540</v>
      </c>
      <c r="F92" s="62" t="s">
        <v>504</v>
      </c>
      <c r="G92" s="73" t="s">
        <v>591</v>
      </c>
      <c r="H92" s="171" t="s">
        <v>361</v>
      </c>
    </row>
    <row r="93" spans="1:8" ht="16.5">
      <c r="A93" s="56" t="s">
        <v>87</v>
      </c>
      <c r="B93" s="11">
        <v>2</v>
      </c>
      <c r="C93" s="11">
        <v>11</v>
      </c>
      <c r="D93" s="57" t="s">
        <v>313</v>
      </c>
      <c r="E93" s="62" t="s">
        <v>540</v>
      </c>
      <c r="F93" s="62" t="s">
        <v>504</v>
      </c>
      <c r="G93" s="73" t="s">
        <v>591</v>
      </c>
      <c r="H93" s="171" t="s">
        <v>562</v>
      </c>
    </row>
    <row r="94" spans="1:8" ht="16.5">
      <c r="A94" s="61" t="s">
        <v>456</v>
      </c>
      <c r="B94" s="68">
        <v>4</v>
      </c>
      <c r="C94" s="68">
        <v>12</v>
      </c>
      <c r="D94" s="62" t="s">
        <v>316</v>
      </c>
      <c r="E94" s="62" t="s">
        <v>540</v>
      </c>
      <c r="F94" s="62" t="s">
        <v>504</v>
      </c>
      <c r="G94" s="73" t="s">
        <v>591</v>
      </c>
      <c r="H94" s="168" t="s">
        <v>355</v>
      </c>
    </row>
    <row r="95" spans="1:8" ht="16.5">
      <c r="A95" s="61" t="s">
        <v>671</v>
      </c>
      <c r="B95" s="68">
        <v>1</v>
      </c>
      <c r="C95" s="68">
        <v>24</v>
      </c>
      <c r="D95" s="62" t="s">
        <v>163</v>
      </c>
      <c r="E95" s="62" t="s">
        <v>163</v>
      </c>
      <c r="F95" s="62" t="s">
        <v>163</v>
      </c>
      <c r="G95" s="73" t="s">
        <v>588</v>
      </c>
      <c r="H95" s="168" t="s">
        <v>163</v>
      </c>
    </row>
    <row r="96" spans="1:8" ht="16.5">
      <c r="A96" s="61" t="s">
        <v>671</v>
      </c>
      <c r="B96" s="68">
        <v>1</v>
      </c>
      <c r="C96" s="68">
        <v>24</v>
      </c>
      <c r="D96" s="62" t="s">
        <v>163</v>
      </c>
      <c r="E96" s="62" t="s">
        <v>163</v>
      </c>
      <c r="F96" s="62" t="s">
        <v>163</v>
      </c>
      <c r="G96" s="73" t="s">
        <v>588</v>
      </c>
      <c r="H96" s="168" t="s">
        <v>163</v>
      </c>
    </row>
    <row r="97" spans="1:8" ht="16.5">
      <c r="A97" s="56" t="s">
        <v>89</v>
      </c>
      <c r="B97" s="11">
        <v>1</v>
      </c>
      <c r="C97" s="11">
        <v>13</v>
      </c>
      <c r="D97" s="57" t="s">
        <v>313</v>
      </c>
      <c r="E97" s="62" t="s">
        <v>540</v>
      </c>
      <c r="F97" s="62" t="s">
        <v>504</v>
      </c>
      <c r="G97" s="73" t="s">
        <v>588</v>
      </c>
      <c r="H97" s="171" t="s">
        <v>354</v>
      </c>
    </row>
    <row r="98" spans="1:8" ht="16.5">
      <c r="A98" s="56" t="s">
        <v>78</v>
      </c>
      <c r="B98" s="11">
        <v>1</v>
      </c>
      <c r="C98" s="11">
        <v>13</v>
      </c>
      <c r="D98" s="57" t="s">
        <v>313</v>
      </c>
      <c r="E98" s="62" t="s">
        <v>540</v>
      </c>
      <c r="F98" s="62" t="s">
        <v>503</v>
      </c>
      <c r="G98" s="73" t="s">
        <v>588</v>
      </c>
      <c r="H98" s="171" t="s">
        <v>362</v>
      </c>
    </row>
    <row r="99" spans="1:8" ht="16.5">
      <c r="A99" s="56" t="s">
        <v>196</v>
      </c>
      <c r="B99" s="11">
        <v>1</v>
      </c>
      <c r="C99" s="11">
        <v>22</v>
      </c>
      <c r="D99" s="57" t="s">
        <v>313</v>
      </c>
      <c r="E99" s="62" t="s">
        <v>540</v>
      </c>
      <c r="F99" s="62" t="s">
        <v>504</v>
      </c>
      <c r="G99" s="73" t="s">
        <v>588</v>
      </c>
      <c r="H99" s="171" t="s">
        <v>556</v>
      </c>
    </row>
    <row r="100" spans="1:8" ht="16.5">
      <c r="A100" s="56" t="s">
        <v>394</v>
      </c>
      <c r="B100" s="11">
        <v>1</v>
      </c>
      <c r="C100" s="11">
        <v>12</v>
      </c>
      <c r="D100" s="57" t="s">
        <v>316</v>
      </c>
      <c r="E100" s="62" t="s">
        <v>540</v>
      </c>
      <c r="F100" s="62" t="s">
        <v>505</v>
      </c>
      <c r="G100" s="73" t="s">
        <v>588</v>
      </c>
      <c r="H100" s="171" t="s">
        <v>358</v>
      </c>
    </row>
    <row r="101" spans="1:8" ht="16.5">
      <c r="A101" s="56" t="s">
        <v>442</v>
      </c>
      <c r="B101" s="11">
        <v>1</v>
      </c>
      <c r="C101" s="11">
        <v>26</v>
      </c>
      <c r="D101" s="57" t="s">
        <v>316</v>
      </c>
      <c r="E101" s="62" t="s">
        <v>540</v>
      </c>
      <c r="F101" s="62" t="s">
        <v>503</v>
      </c>
      <c r="G101" s="73" t="s">
        <v>588</v>
      </c>
      <c r="H101" s="171" t="s">
        <v>359</v>
      </c>
    </row>
    <row r="102" spans="1:8" ht="16.5">
      <c r="A102" s="56" t="s">
        <v>103</v>
      </c>
      <c r="B102" s="11">
        <v>2</v>
      </c>
      <c r="C102" s="11">
        <v>12</v>
      </c>
      <c r="D102" s="57" t="s">
        <v>313</v>
      </c>
      <c r="E102" s="62" t="s">
        <v>541</v>
      </c>
      <c r="F102" s="62" t="s">
        <v>504</v>
      </c>
      <c r="G102" s="73" t="s">
        <v>589</v>
      </c>
      <c r="H102" s="171" t="s">
        <v>355</v>
      </c>
    </row>
    <row r="103" spans="1:8" ht="16.5">
      <c r="A103" s="61" t="s">
        <v>308</v>
      </c>
      <c r="B103" s="68">
        <v>1</v>
      </c>
      <c r="C103" s="68">
        <v>16</v>
      </c>
      <c r="D103" s="72" t="s">
        <v>316</v>
      </c>
      <c r="E103" s="62" t="s">
        <v>540</v>
      </c>
      <c r="F103" s="72" t="s">
        <v>504</v>
      </c>
      <c r="G103" s="75" t="s">
        <v>589</v>
      </c>
      <c r="H103" s="168" t="s">
        <v>355</v>
      </c>
    </row>
    <row r="104" spans="1:8" ht="16.5">
      <c r="A104" s="56" t="s">
        <v>41</v>
      </c>
      <c r="B104" s="11">
        <v>1</v>
      </c>
      <c r="C104" s="11">
        <v>17</v>
      </c>
      <c r="D104" s="57" t="s">
        <v>313</v>
      </c>
      <c r="E104" s="62" t="s">
        <v>540</v>
      </c>
      <c r="F104" s="62" t="s">
        <v>504</v>
      </c>
      <c r="G104" s="73" t="s">
        <v>589</v>
      </c>
      <c r="H104" s="171" t="s">
        <v>550</v>
      </c>
    </row>
    <row r="105" spans="1:8" ht="16.5">
      <c r="A105" s="56" t="s">
        <v>567</v>
      </c>
      <c r="B105" s="11">
        <v>1</v>
      </c>
      <c r="C105" s="11">
        <v>25</v>
      </c>
      <c r="D105" s="57" t="s">
        <v>313</v>
      </c>
      <c r="E105" s="62" t="s">
        <v>540</v>
      </c>
      <c r="F105" s="62" t="s">
        <v>504</v>
      </c>
      <c r="G105" s="73" t="s">
        <v>589</v>
      </c>
      <c r="H105" s="171" t="s">
        <v>563</v>
      </c>
    </row>
    <row r="106" spans="1:8" ht="16.5">
      <c r="A106" s="61" t="s">
        <v>491</v>
      </c>
      <c r="B106" s="68">
        <v>4</v>
      </c>
      <c r="C106" s="68">
        <v>12</v>
      </c>
      <c r="D106" s="72" t="s">
        <v>163</v>
      </c>
      <c r="E106" s="62" t="s">
        <v>163</v>
      </c>
      <c r="F106" s="62" t="s">
        <v>163</v>
      </c>
      <c r="G106" s="73" t="s">
        <v>580</v>
      </c>
      <c r="H106" s="168" t="s">
        <v>163</v>
      </c>
    </row>
    <row r="107" spans="1:8" ht="16.5">
      <c r="A107" s="56" t="s">
        <v>106</v>
      </c>
      <c r="B107" s="11">
        <v>1</v>
      </c>
      <c r="C107" s="11">
        <v>12</v>
      </c>
      <c r="D107" s="58" t="s">
        <v>163</v>
      </c>
      <c r="E107" s="72" t="s">
        <v>163</v>
      </c>
      <c r="F107" s="72" t="s">
        <v>163</v>
      </c>
      <c r="G107" s="75" t="s">
        <v>580</v>
      </c>
      <c r="H107" s="170" t="s">
        <v>506</v>
      </c>
    </row>
    <row r="108" spans="1:8" ht="16.5">
      <c r="A108" s="61" t="s">
        <v>45</v>
      </c>
      <c r="B108" s="68">
        <v>1</v>
      </c>
      <c r="C108" s="68">
        <v>12</v>
      </c>
      <c r="D108" s="62" t="s">
        <v>313</v>
      </c>
      <c r="E108" s="62" t="s">
        <v>541</v>
      </c>
      <c r="F108" s="62" t="s">
        <v>504</v>
      </c>
      <c r="G108" s="73" t="s">
        <v>580</v>
      </c>
      <c r="H108" s="168" t="s">
        <v>518</v>
      </c>
    </row>
    <row r="109" spans="1:8" ht="16.5">
      <c r="A109" s="56" t="s">
        <v>51</v>
      </c>
      <c r="B109" s="11">
        <v>1</v>
      </c>
      <c r="C109" s="11">
        <v>13</v>
      </c>
      <c r="D109" s="57" t="s">
        <v>313</v>
      </c>
      <c r="E109" s="62" t="s">
        <v>541</v>
      </c>
      <c r="F109" s="62" t="s">
        <v>504</v>
      </c>
      <c r="G109" s="73" t="s">
        <v>580</v>
      </c>
      <c r="H109" s="171" t="s">
        <v>355</v>
      </c>
    </row>
    <row r="110" spans="1:8" ht="16.5">
      <c r="A110" s="56" t="s">
        <v>149</v>
      </c>
      <c r="B110" s="11">
        <v>1</v>
      </c>
      <c r="C110" s="11">
        <v>12</v>
      </c>
      <c r="D110" s="57" t="s">
        <v>313</v>
      </c>
      <c r="E110" s="62" t="s">
        <v>541</v>
      </c>
      <c r="F110" s="62" t="s">
        <v>504</v>
      </c>
      <c r="G110" s="73" t="s">
        <v>580</v>
      </c>
      <c r="H110" s="171" t="s">
        <v>355</v>
      </c>
    </row>
    <row r="111" spans="1:8" ht="16.5">
      <c r="A111" s="61" t="s">
        <v>599</v>
      </c>
      <c r="B111" s="68">
        <v>3</v>
      </c>
      <c r="C111" s="68">
        <v>25</v>
      </c>
      <c r="D111" s="62" t="s">
        <v>316</v>
      </c>
      <c r="E111" s="62" t="s">
        <v>540</v>
      </c>
      <c r="F111" s="62" t="s">
        <v>503</v>
      </c>
      <c r="G111" s="73" t="s">
        <v>580</v>
      </c>
      <c r="H111" s="168" t="s">
        <v>421</v>
      </c>
    </row>
    <row r="112" spans="1:8" ht="16.5">
      <c r="A112" s="56" t="s">
        <v>69</v>
      </c>
      <c r="B112" s="11">
        <v>1</v>
      </c>
      <c r="C112" s="11">
        <v>12</v>
      </c>
      <c r="D112" s="57" t="s">
        <v>313</v>
      </c>
      <c r="E112" s="62" t="s">
        <v>540</v>
      </c>
      <c r="F112" s="62" t="s">
        <v>503</v>
      </c>
      <c r="G112" s="73" t="s">
        <v>580</v>
      </c>
      <c r="H112" s="171" t="s">
        <v>553</v>
      </c>
    </row>
    <row r="113" spans="1:8" ht="16.5">
      <c r="A113" s="61" t="s">
        <v>454</v>
      </c>
      <c r="B113" s="68">
        <v>1</v>
      </c>
      <c r="C113" s="68">
        <v>22</v>
      </c>
      <c r="D113" s="62" t="s">
        <v>316</v>
      </c>
      <c r="E113" s="62" t="s">
        <v>540</v>
      </c>
      <c r="F113" s="62" t="s">
        <v>504</v>
      </c>
      <c r="G113" s="73" t="s">
        <v>580</v>
      </c>
      <c r="H113" s="168" t="s">
        <v>366</v>
      </c>
    </row>
    <row r="114" spans="1:8" ht="16.5">
      <c r="A114" s="56" t="s">
        <v>192</v>
      </c>
      <c r="B114" s="11">
        <v>1</v>
      </c>
      <c r="C114" s="11">
        <v>24</v>
      </c>
      <c r="D114" s="57" t="s">
        <v>313</v>
      </c>
      <c r="E114" s="51" t="s">
        <v>540</v>
      </c>
      <c r="F114" s="51" t="s">
        <v>504</v>
      </c>
      <c r="G114" s="91" t="s">
        <v>580</v>
      </c>
      <c r="H114" s="171" t="s">
        <v>563</v>
      </c>
    </row>
    <row r="115" spans="1:8" ht="16.5">
      <c r="A115" s="61" t="s">
        <v>77</v>
      </c>
      <c r="B115" s="68">
        <v>1</v>
      </c>
      <c r="C115" s="68">
        <v>25</v>
      </c>
      <c r="D115" s="72" t="s">
        <v>316</v>
      </c>
      <c r="E115" s="62" t="s">
        <v>540</v>
      </c>
      <c r="F115" s="72" t="s">
        <v>503</v>
      </c>
      <c r="G115" s="75" t="s">
        <v>580</v>
      </c>
      <c r="H115" s="168" t="s">
        <v>337</v>
      </c>
    </row>
    <row r="116" spans="1:8" ht="16.5">
      <c r="A116" s="61" t="s">
        <v>65</v>
      </c>
      <c r="B116" s="68">
        <v>1</v>
      </c>
      <c r="C116" s="68">
        <v>64</v>
      </c>
      <c r="D116" s="72" t="s">
        <v>163</v>
      </c>
      <c r="E116" s="62" t="s">
        <v>163</v>
      </c>
      <c r="F116" s="62" t="s">
        <v>163</v>
      </c>
      <c r="G116" s="73" t="s">
        <v>585</v>
      </c>
      <c r="H116" s="168" t="s">
        <v>163</v>
      </c>
    </row>
    <row r="117" spans="1:8" ht="16.5">
      <c r="A117" s="56" t="s">
        <v>561</v>
      </c>
      <c r="B117" s="11">
        <v>1</v>
      </c>
      <c r="C117" s="11">
        <v>4</v>
      </c>
      <c r="D117" s="57" t="s">
        <v>313</v>
      </c>
      <c r="E117" s="62" t="s">
        <v>541</v>
      </c>
      <c r="F117" s="62" t="s">
        <v>504</v>
      </c>
      <c r="G117" s="73" t="s">
        <v>585</v>
      </c>
      <c r="H117" s="171" t="s">
        <v>556</v>
      </c>
    </row>
    <row r="118" spans="1:8" ht="16.5">
      <c r="A118" s="56" t="s">
        <v>272</v>
      </c>
      <c r="B118" s="11">
        <v>2</v>
      </c>
      <c r="C118" s="11">
        <v>12</v>
      </c>
      <c r="D118" s="57" t="s">
        <v>313</v>
      </c>
      <c r="E118" s="62" t="s">
        <v>540</v>
      </c>
      <c r="F118" s="62" t="s">
        <v>503</v>
      </c>
      <c r="G118" s="73" t="s">
        <v>585</v>
      </c>
      <c r="H118" s="171" t="s">
        <v>365</v>
      </c>
    </row>
    <row r="119" spans="1:8" ht="16.5">
      <c r="A119" s="56" t="s">
        <v>227</v>
      </c>
      <c r="B119" s="11">
        <v>2</v>
      </c>
      <c r="C119" s="11">
        <v>25</v>
      </c>
      <c r="D119" s="57" t="s">
        <v>313</v>
      </c>
      <c r="E119" s="62" t="s">
        <v>540</v>
      </c>
      <c r="F119" s="62" t="s">
        <v>503</v>
      </c>
      <c r="G119" s="73" t="s">
        <v>585</v>
      </c>
      <c r="H119" s="171" t="s">
        <v>358</v>
      </c>
    </row>
    <row r="120" spans="1:8" ht="16.5">
      <c r="A120" s="61" t="s">
        <v>81</v>
      </c>
      <c r="B120" s="68">
        <v>1</v>
      </c>
      <c r="C120" s="68">
        <v>12</v>
      </c>
      <c r="D120" s="72" t="s">
        <v>316</v>
      </c>
      <c r="E120" s="62" t="s">
        <v>540</v>
      </c>
      <c r="F120" s="72" t="s">
        <v>504</v>
      </c>
      <c r="G120" s="75" t="s">
        <v>585</v>
      </c>
      <c r="H120" s="168" t="s">
        <v>355</v>
      </c>
    </row>
    <row r="121" spans="1:8" ht="16.5">
      <c r="A121" s="56" t="s">
        <v>43</v>
      </c>
      <c r="B121" s="11">
        <v>1</v>
      </c>
      <c r="C121" s="11">
        <v>13</v>
      </c>
      <c r="D121" s="57" t="s">
        <v>316</v>
      </c>
      <c r="E121" s="62" t="s">
        <v>540</v>
      </c>
      <c r="F121" s="62" t="s">
        <v>505</v>
      </c>
      <c r="G121" s="73" t="s">
        <v>585</v>
      </c>
      <c r="H121" s="171" t="s">
        <v>366</v>
      </c>
    </row>
    <row r="122" spans="1:8" ht="16.5">
      <c r="A122" s="56" t="s">
        <v>147</v>
      </c>
      <c r="B122" s="11">
        <v>1</v>
      </c>
      <c r="C122" s="11">
        <v>12</v>
      </c>
      <c r="D122" s="57" t="s">
        <v>313</v>
      </c>
      <c r="E122" s="62" t="s">
        <v>540</v>
      </c>
      <c r="F122" s="62" t="s">
        <v>503</v>
      </c>
      <c r="G122" s="73" t="s">
        <v>585</v>
      </c>
      <c r="H122" s="171" t="s">
        <v>358</v>
      </c>
    </row>
    <row r="123" spans="1:8" ht="16.5">
      <c r="A123" s="61" t="s">
        <v>509</v>
      </c>
      <c r="B123" s="68">
        <v>1</v>
      </c>
      <c r="C123" s="68">
        <v>13</v>
      </c>
      <c r="D123" s="72" t="s">
        <v>316</v>
      </c>
      <c r="E123" s="62" t="s">
        <v>540</v>
      </c>
      <c r="F123" s="72" t="s">
        <v>504</v>
      </c>
      <c r="G123" s="75" t="s">
        <v>585</v>
      </c>
      <c r="H123" s="168" t="s">
        <v>338</v>
      </c>
    </row>
    <row r="124" spans="1:8" ht="16.5">
      <c r="A124" s="56" t="s">
        <v>412</v>
      </c>
      <c r="B124" s="11">
        <v>1</v>
      </c>
      <c r="C124" s="11">
        <v>12</v>
      </c>
      <c r="D124" s="57" t="s">
        <v>313</v>
      </c>
      <c r="E124" s="62" t="s">
        <v>540</v>
      </c>
      <c r="F124" s="62" t="s">
        <v>503</v>
      </c>
      <c r="G124" s="73" t="s">
        <v>585</v>
      </c>
      <c r="H124" s="171" t="s">
        <v>338</v>
      </c>
    </row>
    <row r="125" spans="1:8" ht="16.5">
      <c r="A125" s="56" t="s">
        <v>46</v>
      </c>
      <c r="B125" s="11">
        <v>1</v>
      </c>
      <c r="C125" s="11">
        <v>12</v>
      </c>
      <c r="D125" s="57" t="s">
        <v>313</v>
      </c>
      <c r="E125" s="62" t="s">
        <v>540</v>
      </c>
      <c r="F125" s="62" t="s">
        <v>504</v>
      </c>
      <c r="G125" s="73" t="s">
        <v>585</v>
      </c>
      <c r="H125" s="171" t="s">
        <v>361</v>
      </c>
    </row>
    <row r="126" spans="1:8" ht="16.5">
      <c r="A126" s="61" t="s">
        <v>26</v>
      </c>
      <c r="B126" s="68">
        <v>1</v>
      </c>
      <c r="C126" s="68">
        <v>13</v>
      </c>
      <c r="D126" s="62" t="s">
        <v>313</v>
      </c>
      <c r="E126" s="62" t="s">
        <v>540</v>
      </c>
      <c r="F126" s="62" t="s">
        <v>503</v>
      </c>
      <c r="G126" s="73" t="s">
        <v>585</v>
      </c>
      <c r="H126" s="168" t="s">
        <v>358</v>
      </c>
    </row>
    <row r="127" spans="1:8" ht="16.5">
      <c r="A127" s="56" t="s">
        <v>100</v>
      </c>
      <c r="B127" s="11">
        <v>1</v>
      </c>
      <c r="C127" s="11">
        <v>12</v>
      </c>
      <c r="D127" s="57" t="s">
        <v>313</v>
      </c>
      <c r="E127" s="62" t="s">
        <v>540</v>
      </c>
      <c r="F127" s="62" t="s">
        <v>503</v>
      </c>
      <c r="G127" s="73" t="s">
        <v>585</v>
      </c>
      <c r="H127" s="171" t="s">
        <v>338</v>
      </c>
    </row>
    <row r="128" spans="1:8" ht="16.5">
      <c r="A128" s="56" t="s">
        <v>104</v>
      </c>
      <c r="B128" s="11">
        <v>1</v>
      </c>
      <c r="C128" s="11">
        <v>12</v>
      </c>
      <c r="D128" s="57" t="s">
        <v>313</v>
      </c>
      <c r="E128" s="62" t="s">
        <v>540</v>
      </c>
      <c r="F128" s="62" t="s">
        <v>503</v>
      </c>
      <c r="G128" s="73" t="s">
        <v>585</v>
      </c>
      <c r="H128" s="171" t="s">
        <v>365</v>
      </c>
    </row>
    <row r="129" spans="1:8" ht="16.5">
      <c r="A129" s="56" t="s">
        <v>172</v>
      </c>
      <c r="B129" s="11">
        <v>1</v>
      </c>
      <c r="C129" s="11">
        <v>13</v>
      </c>
      <c r="D129" s="57" t="s">
        <v>313</v>
      </c>
      <c r="E129" s="62" t="s">
        <v>541</v>
      </c>
      <c r="F129" s="62" t="s">
        <v>504</v>
      </c>
      <c r="G129" s="73" t="s">
        <v>607</v>
      </c>
      <c r="H129" s="171" t="s">
        <v>355</v>
      </c>
    </row>
    <row r="130" spans="1:8" ht="16.5">
      <c r="A130" s="56" t="s">
        <v>326</v>
      </c>
      <c r="B130" s="11">
        <v>2</v>
      </c>
      <c r="C130" s="11">
        <v>16</v>
      </c>
      <c r="D130" s="57" t="s">
        <v>313</v>
      </c>
      <c r="E130" s="62" t="s">
        <v>541</v>
      </c>
      <c r="F130" s="62" t="s">
        <v>504</v>
      </c>
      <c r="G130" s="73" t="s">
        <v>607</v>
      </c>
      <c r="H130" s="171" t="s">
        <v>563</v>
      </c>
    </row>
    <row r="131" spans="1:8" ht="16.5">
      <c r="A131" s="56" t="s">
        <v>221</v>
      </c>
      <c r="B131" s="11">
        <v>1</v>
      </c>
      <c r="C131" s="11">
        <v>10</v>
      </c>
      <c r="D131" s="62" t="s">
        <v>316</v>
      </c>
      <c r="E131" s="62" t="s">
        <v>543</v>
      </c>
      <c r="F131" s="62" t="s">
        <v>503</v>
      </c>
      <c r="G131" s="73" t="s">
        <v>607</v>
      </c>
      <c r="H131" s="171" t="s">
        <v>369</v>
      </c>
    </row>
    <row r="132" spans="1:8" ht="16.5">
      <c r="A132" s="56" t="s">
        <v>20</v>
      </c>
      <c r="B132" s="11">
        <v>1</v>
      </c>
      <c r="C132" s="11">
        <v>12</v>
      </c>
      <c r="D132" s="57" t="s">
        <v>313</v>
      </c>
      <c r="E132" s="62" t="s">
        <v>540</v>
      </c>
      <c r="F132" s="62" t="s">
        <v>503</v>
      </c>
      <c r="G132" s="73" t="s">
        <v>607</v>
      </c>
      <c r="H132" s="171" t="s">
        <v>359</v>
      </c>
    </row>
    <row r="133" spans="1:8" ht="16.5">
      <c r="A133" s="56" t="s">
        <v>157</v>
      </c>
      <c r="B133" s="11">
        <v>1</v>
      </c>
      <c r="C133" s="11">
        <v>13</v>
      </c>
      <c r="D133" s="57" t="s">
        <v>313</v>
      </c>
      <c r="E133" s="62" t="s">
        <v>540</v>
      </c>
      <c r="F133" s="62" t="s">
        <v>503</v>
      </c>
      <c r="G133" s="73" t="s">
        <v>607</v>
      </c>
      <c r="H133" s="171" t="s">
        <v>360</v>
      </c>
    </row>
    <row r="134" spans="1:8" ht="16.5">
      <c r="A134" s="61" t="s">
        <v>223</v>
      </c>
      <c r="B134" s="68">
        <v>1</v>
      </c>
      <c r="C134" s="68">
        <v>12</v>
      </c>
      <c r="D134" s="62" t="s">
        <v>316</v>
      </c>
      <c r="E134" s="62" t="s">
        <v>540</v>
      </c>
      <c r="F134" s="62" t="s">
        <v>503</v>
      </c>
      <c r="G134" s="73" t="s">
        <v>607</v>
      </c>
      <c r="H134" s="168" t="s">
        <v>338</v>
      </c>
    </row>
    <row r="135" spans="1:8" ht="16.5">
      <c r="A135" s="56" t="s">
        <v>13</v>
      </c>
      <c r="B135" s="11">
        <v>2</v>
      </c>
      <c r="C135" s="11">
        <v>12</v>
      </c>
      <c r="D135" s="57" t="s">
        <v>313</v>
      </c>
      <c r="E135" s="62" t="s">
        <v>540</v>
      </c>
      <c r="F135" s="62" t="s">
        <v>504</v>
      </c>
      <c r="G135" s="73" t="s">
        <v>607</v>
      </c>
      <c r="H135" s="171" t="s">
        <v>357</v>
      </c>
    </row>
    <row r="136" spans="1:8" ht="16.5">
      <c r="A136" s="56" t="s">
        <v>23</v>
      </c>
      <c r="B136" s="11">
        <v>1</v>
      </c>
      <c r="C136" s="11">
        <v>13</v>
      </c>
      <c r="D136" s="57" t="s">
        <v>313</v>
      </c>
      <c r="E136" s="62" t="s">
        <v>540</v>
      </c>
      <c r="F136" s="62" t="s">
        <v>504</v>
      </c>
      <c r="G136" s="73" t="s">
        <v>607</v>
      </c>
      <c r="H136" s="171" t="s">
        <v>338</v>
      </c>
    </row>
    <row r="137" spans="1:8" ht="16.5">
      <c r="A137" s="56" t="s">
        <v>170</v>
      </c>
      <c r="B137" s="11">
        <v>1</v>
      </c>
      <c r="C137" s="11">
        <v>13</v>
      </c>
      <c r="D137" s="57" t="s">
        <v>313</v>
      </c>
      <c r="E137" s="62" t="s">
        <v>540</v>
      </c>
      <c r="F137" s="62" t="s">
        <v>505</v>
      </c>
      <c r="G137" s="73" t="s">
        <v>607</v>
      </c>
      <c r="H137" s="171" t="s">
        <v>358</v>
      </c>
    </row>
    <row r="138" spans="1:8" ht="16.5">
      <c r="A138" s="56" t="s">
        <v>159</v>
      </c>
      <c r="B138" s="11">
        <v>1</v>
      </c>
      <c r="C138" s="11">
        <v>13</v>
      </c>
      <c r="D138" s="57" t="s">
        <v>313</v>
      </c>
      <c r="E138" s="62" t="s">
        <v>540</v>
      </c>
      <c r="F138" s="62" t="s">
        <v>503</v>
      </c>
      <c r="G138" s="73" t="s">
        <v>607</v>
      </c>
      <c r="H138" s="171" t="s">
        <v>358</v>
      </c>
    </row>
    <row r="139" spans="1:8" ht="16.5">
      <c r="A139" s="56" t="s">
        <v>18</v>
      </c>
      <c r="B139" s="11">
        <v>1</v>
      </c>
      <c r="C139" s="11">
        <v>12</v>
      </c>
      <c r="D139" s="57" t="s">
        <v>313</v>
      </c>
      <c r="E139" s="62" t="s">
        <v>540</v>
      </c>
      <c r="F139" s="62" t="s">
        <v>503</v>
      </c>
      <c r="G139" s="73" t="s">
        <v>607</v>
      </c>
      <c r="H139" s="171" t="s">
        <v>358</v>
      </c>
    </row>
    <row r="140" spans="1:8" ht="16.5">
      <c r="A140" s="56" t="s">
        <v>539</v>
      </c>
      <c r="B140" s="11">
        <v>1</v>
      </c>
      <c r="C140" s="11">
        <v>25</v>
      </c>
      <c r="D140" s="57" t="s">
        <v>316</v>
      </c>
      <c r="E140" s="62" t="s">
        <v>540</v>
      </c>
      <c r="F140" s="62" t="s">
        <v>504</v>
      </c>
      <c r="G140" s="73" t="s">
        <v>607</v>
      </c>
      <c r="H140" s="171" t="s">
        <v>563</v>
      </c>
    </row>
    <row r="141" spans="1:8" ht="16.5">
      <c r="A141" s="56" t="s">
        <v>515</v>
      </c>
      <c r="B141" s="11">
        <v>2</v>
      </c>
      <c r="C141" s="11">
        <v>24</v>
      </c>
      <c r="D141" s="57" t="s">
        <v>313</v>
      </c>
      <c r="E141" s="62" t="s">
        <v>540</v>
      </c>
      <c r="F141" s="62" t="s">
        <v>504</v>
      </c>
      <c r="G141" s="73" t="s">
        <v>607</v>
      </c>
      <c r="H141" s="171" t="s">
        <v>569</v>
      </c>
    </row>
    <row r="142" spans="1:8" ht="16.5">
      <c r="A142" s="56" t="s">
        <v>25</v>
      </c>
      <c r="B142" s="11">
        <v>1</v>
      </c>
      <c r="C142" s="11">
        <v>13</v>
      </c>
      <c r="D142" s="57" t="s">
        <v>313</v>
      </c>
      <c r="E142" s="62" t="s">
        <v>540</v>
      </c>
      <c r="F142" s="62" t="s">
        <v>504</v>
      </c>
      <c r="G142" s="73" t="s">
        <v>607</v>
      </c>
      <c r="H142" s="171" t="s">
        <v>570</v>
      </c>
    </row>
    <row r="143" spans="1:8" ht="16.5">
      <c r="A143" s="56" t="s">
        <v>169</v>
      </c>
      <c r="B143" s="11">
        <v>1</v>
      </c>
      <c r="C143" s="11">
        <v>12</v>
      </c>
      <c r="D143" s="57" t="s">
        <v>313</v>
      </c>
      <c r="E143" s="62" t="s">
        <v>540</v>
      </c>
      <c r="F143" s="62" t="s">
        <v>504</v>
      </c>
      <c r="G143" s="73" t="s">
        <v>607</v>
      </c>
      <c r="H143" s="171" t="s">
        <v>366</v>
      </c>
    </row>
    <row r="144" spans="1:8" ht="16.5">
      <c r="A144" s="56" t="s">
        <v>214</v>
      </c>
      <c r="B144" s="11">
        <v>1</v>
      </c>
      <c r="C144" s="11">
        <v>12</v>
      </c>
      <c r="D144" s="57" t="s">
        <v>313</v>
      </c>
      <c r="E144" s="62" t="s">
        <v>541</v>
      </c>
      <c r="F144" s="62" t="s">
        <v>504</v>
      </c>
      <c r="G144" s="73" t="s">
        <v>606</v>
      </c>
      <c r="H144" s="171" t="s">
        <v>366</v>
      </c>
    </row>
    <row r="145" spans="1:8" ht="16.5">
      <c r="A145" s="56" t="s">
        <v>211</v>
      </c>
      <c r="B145" s="11">
        <v>1</v>
      </c>
      <c r="C145" s="11">
        <v>12</v>
      </c>
      <c r="D145" s="57" t="s">
        <v>313</v>
      </c>
      <c r="E145" s="62" t="s">
        <v>541</v>
      </c>
      <c r="F145" s="62" t="s">
        <v>504</v>
      </c>
      <c r="G145" s="73" t="s">
        <v>606</v>
      </c>
      <c r="H145" s="171" t="s">
        <v>355</v>
      </c>
    </row>
    <row r="146" spans="1:8" ht="16.5">
      <c r="A146" s="56" t="s">
        <v>212</v>
      </c>
      <c r="B146" s="11">
        <v>2</v>
      </c>
      <c r="C146" s="11">
        <v>12</v>
      </c>
      <c r="D146" s="57" t="s">
        <v>313</v>
      </c>
      <c r="E146" s="62" t="s">
        <v>541</v>
      </c>
      <c r="F146" s="62" t="s">
        <v>504</v>
      </c>
      <c r="G146" s="73" t="s">
        <v>606</v>
      </c>
      <c r="H146" s="171" t="s">
        <v>519</v>
      </c>
    </row>
    <row r="147" spans="1:8" ht="16.5">
      <c r="A147" s="61" t="s">
        <v>325</v>
      </c>
      <c r="B147" s="68">
        <v>1</v>
      </c>
      <c r="C147" s="68">
        <v>12</v>
      </c>
      <c r="D147" s="72" t="s">
        <v>316</v>
      </c>
      <c r="E147" s="62" t="s">
        <v>540</v>
      </c>
      <c r="F147" s="72" t="s">
        <v>503</v>
      </c>
      <c r="G147" s="75" t="s">
        <v>606</v>
      </c>
      <c r="H147" s="168" t="s">
        <v>337</v>
      </c>
    </row>
    <row r="148" spans="1:8" ht="16.5">
      <c r="A148" s="56" t="s">
        <v>301</v>
      </c>
      <c r="B148" s="11">
        <v>1</v>
      </c>
      <c r="C148" s="11">
        <v>12</v>
      </c>
      <c r="D148" s="57" t="s">
        <v>313</v>
      </c>
      <c r="E148" s="62" t="s">
        <v>540</v>
      </c>
      <c r="F148" s="62" t="s">
        <v>503</v>
      </c>
      <c r="G148" s="73" t="s">
        <v>606</v>
      </c>
      <c r="H148" s="171" t="s">
        <v>358</v>
      </c>
    </row>
    <row r="149" spans="1:8" ht="16.5">
      <c r="A149" s="56" t="s">
        <v>179</v>
      </c>
      <c r="B149" s="11">
        <v>1</v>
      </c>
      <c r="C149" s="11">
        <v>12</v>
      </c>
      <c r="D149" s="57" t="s">
        <v>313</v>
      </c>
      <c r="E149" s="62" t="s">
        <v>540</v>
      </c>
      <c r="F149" s="62" t="s">
        <v>503</v>
      </c>
      <c r="G149" s="73" t="s">
        <v>606</v>
      </c>
      <c r="H149" s="171" t="s">
        <v>358</v>
      </c>
    </row>
    <row r="150" spans="1:8" ht="16.5">
      <c r="A150" s="56" t="s">
        <v>213</v>
      </c>
      <c r="B150" s="11">
        <v>1</v>
      </c>
      <c r="C150" s="11">
        <v>12</v>
      </c>
      <c r="D150" s="57" t="s">
        <v>313</v>
      </c>
      <c r="E150" s="62" t="s">
        <v>540</v>
      </c>
      <c r="F150" s="62" t="s">
        <v>505</v>
      </c>
      <c r="G150" s="73" t="s">
        <v>606</v>
      </c>
      <c r="H150" s="171" t="s">
        <v>358</v>
      </c>
    </row>
    <row r="151" spans="1:8" ht="16.5">
      <c r="A151" s="56" t="s">
        <v>215</v>
      </c>
      <c r="B151" s="11">
        <v>1</v>
      </c>
      <c r="C151" s="11">
        <v>13</v>
      </c>
      <c r="D151" s="57" t="s">
        <v>313</v>
      </c>
      <c r="E151" s="62" t="s">
        <v>540</v>
      </c>
      <c r="F151" s="62" t="s">
        <v>503</v>
      </c>
      <c r="G151" s="73" t="s">
        <v>606</v>
      </c>
      <c r="H151" s="171" t="s">
        <v>338</v>
      </c>
    </row>
    <row r="152" spans="1:8" ht="16.5">
      <c r="A152" s="56" t="s">
        <v>424</v>
      </c>
      <c r="B152" s="11">
        <v>2</v>
      </c>
      <c r="C152" s="11">
        <v>26</v>
      </c>
      <c r="D152" s="57" t="s">
        <v>313</v>
      </c>
      <c r="E152" s="62" t="s">
        <v>540</v>
      </c>
      <c r="F152" s="62" t="s">
        <v>503</v>
      </c>
      <c r="G152" s="73" t="s">
        <v>606</v>
      </c>
      <c r="H152" s="171" t="s">
        <v>358</v>
      </c>
    </row>
    <row r="153" spans="1:8" ht="16.5">
      <c r="A153" s="56" t="s">
        <v>217</v>
      </c>
      <c r="B153" s="11">
        <v>1</v>
      </c>
      <c r="C153" s="11">
        <v>13</v>
      </c>
      <c r="D153" s="57" t="s">
        <v>313</v>
      </c>
      <c r="E153" s="62" t="s">
        <v>540</v>
      </c>
      <c r="F153" s="62" t="s">
        <v>505</v>
      </c>
      <c r="G153" s="73" t="s">
        <v>606</v>
      </c>
      <c r="H153" s="171" t="s">
        <v>358</v>
      </c>
    </row>
    <row r="154" spans="1:8" ht="16.5">
      <c r="A154" s="61" t="s">
        <v>457</v>
      </c>
      <c r="B154" s="68">
        <v>1</v>
      </c>
      <c r="C154" s="68">
        <v>13</v>
      </c>
      <c r="D154" s="62" t="s">
        <v>316</v>
      </c>
      <c r="E154" s="62" t="s">
        <v>540</v>
      </c>
      <c r="F154" s="62" t="s">
        <v>503</v>
      </c>
      <c r="G154" s="73" t="s">
        <v>606</v>
      </c>
      <c r="H154" s="168" t="s">
        <v>436</v>
      </c>
    </row>
    <row r="155" spans="1:8" ht="16.5">
      <c r="A155" s="59" t="s">
        <v>218</v>
      </c>
      <c r="B155" s="11">
        <v>1</v>
      </c>
      <c r="C155" s="11">
        <v>12</v>
      </c>
      <c r="D155" s="57" t="s">
        <v>313</v>
      </c>
      <c r="E155" s="62" t="s">
        <v>540</v>
      </c>
      <c r="F155" s="62" t="s">
        <v>503</v>
      </c>
      <c r="G155" s="73" t="s">
        <v>606</v>
      </c>
      <c r="H155" s="171" t="s">
        <v>552</v>
      </c>
    </row>
    <row r="156" spans="1:8" ht="16.5">
      <c r="A156" s="61" t="s">
        <v>399</v>
      </c>
      <c r="B156" s="68">
        <v>1</v>
      </c>
      <c r="C156" s="68">
        <v>13</v>
      </c>
      <c r="D156" s="72" t="s">
        <v>163</v>
      </c>
      <c r="E156" s="62" t="s">
        <v>163</v>
      </c>
      <c r="F156" s="62" t="s">
        <v>163</v>
      </c>
      <c r="G156" s="73" t="s">
        <v>581</v>
      </c>
      <c r="H156" s="168" t="s">
        <v>163</v>
      </c>
    </row>
    <row r="157" spans="1:8" ht="16.5">
      <c r="A157" s="56" t="s">
        <v>341</v>
      </c>
      <c r="B157" s="11">
        <v>1</v>
      </c>
      <c r="C157" s="11">
        <v>12</v>
      </c>
      <c r="D157" s="57" t="s">
        <v>316</v>
      </c>
      <c r="E157" s="62" t="s">
        <v>540</v>
      </c>
      <c r="F157" s="62" t="s">
        <v>503</v>
      </c>
      <c r="G157" s="73" t="s">
        <v>581</v>
      </c>
      <c r="H157" s="171" t="s">
        <v>358</v>
      </c>
    </row>
    <row r="158" spans="1:8" ht="16.5">
      <c r="A158" s="56" t="s">
        <v>330</v>
      </c>
      <c r="B158" s="11">
        <v>1</v>
      </c>
      <c r="C158" s="11">
        <v>13</v>
      </c>
      <c r="D158" s="57" t="s">
        <v>313</v>
      </c>
      <c r="E158" s="62" t="s">
        <v>540</v>
      </c>
      <c r="F158" s="62" t="s">
        <v>505</v>
      </c>
      <c r="G158" s="73" t="s">
        <v>581</v>
      </c>
      <c r="H158" s="171" t="s">
        <v>358</v>
      </c>
    </row>
    <row r="159" spans="1:8" ht="16.5">
      <c r="A159" s="56" t="s">
        <v>329</v>
      </c>
      <c r="B159" s="11">
        <v>1</v>
      </c>
      <c r="C159" s="11">
        <v>24</v>
      </c>
      <c r="D159" s="57" t="s">
        <v>313</v>
      </c>
      <c r="E159" s="62" t="s">
        <v>540</v>
      </c>
      <c r="F159" s="62" t="s">
        <v>503</v>
      </c>
      <c r="G159" s="73" t="s">
        <v>581</v>
      </c>
      <c r="H159" s="171" t="s">
        <v>338</v>
      </c>
    </row>
    <row r="160" spans="1:8" ht="16.5">
      <c r="A160" s="56" t="s">
        <v>331</v>
      </c>
      <c r="B160" s="11">
        <v>1</v>
      </c>
      <c r="C160" s="11">
        <v>24</v>
      </c>
      <c r="D160" s="57" t="s">
        <v>316</v>
      </c>
      <c r="E160" s="62" t="s">
        <v>540</v>
      </c>
      <c r="F160" s="62" t="s">
        <v>503</v>
      </c>
      <c r="G160" s="73" t="s">
        <v>581</v>
      </c>
      <c r="H160" s="171" t="s">
        <v>358</v>
      </c>
    </row>
    <row r="161" spans="1:8" ht="16.5">
      <c r="A161" s="56" t="s">
        <v>328</v>
      </c>
      <c r="B161" s="11">
        <v>1</v>
      </c>
      <c r="C161" s="11">
        <v>12</v>
      </c>
      <c r="D161" s="57" t="s">
        <v>316</v>
      </c>
      <c r="E161" s="62" t="s">
        <v>540</v>
      </c>
      <c r="F161" s="62" t="s">
        <v>503</v>
      </c>
      <c r="G161" s="73" t="s">
        <v>581</v>
      </c>
      <c r="H161" s="171" t="s">
        <v>337</v>
      </c>
    </row>
    <row r="162" spans="1:8" ht="16.5">
      <c r="A162" s="56" t="s">
        <v>332</v>
      </c>
      <c r="B162" s="11">
        <v>1</v>
      </c>
      <c r="C162" s="11">
        <v>25</v>
      </c>
      <c r="D162" s="57" t="s">
        <v>316</v>
      </c>
      <c r="E162" s="62" t="s">
        <v>540</v>
      </c>
      <c r="F162" s="62" t="s">
        <v>503</v>
      </c>
      <c r="G162" s="73" t="s">
        <v>581</v>
      </c>
      <c r="H162" s="171" t="s">
        <v>358</v>
      </c>
    </row>
    <row r="163" spans="1:8" ht="16.5">
      <c r="A163" s="56" t="s">
        <v>336</v>
      </c>
      <c r="B163" s="11">
        <v>1</v>
      </c>
      <c r="C163" s="11">
        <v>13</v>
      </c>
      <c r="D163" s="57" t="s">
        <v>316</v>
      </c>
      <c r="E163" s="62" t="s">
        <v>540</v>
      </c>
      <c r="F163" s="62" t="s">
        <v>505</v>
      </c>
      <c r="G163" s="73" t="s">
        <v>581</v>
      </c>
      <c r="H163" s="171" t="s">
        <v>358</v>
      </c>
    </row>
    <row r="164" spans="1:8" ht="16.5">
      <c r="A164" s="56" t="s">
        <v>426</v>
      </c>
      <c r="B164" s="11">
        <v>1</v>
      </c>
      <c r="C164" s="11">
        <v>12</v>
      </c>
      <c r="D164" s="57" t="s">
        <v>316</v>
      </c>
      <c r="E164" s="62" t="s">
        <v>540</v>
      </c>
      <c r="F164" s="62" t="s">
        <v>503</v>
      </c>
      <c r="G164" s="73" t="s">
        <v>581</v>
      </c>
      <c r="H164" s="171" t="s">
        <v>358</v>
      </c>
    </row>
    <row r="165" spans="1:8" ht="16.5">
      <c r="A165" s="56" t="s">
        <v>342</v>
      </c>
      <c r="B165" s="11">
        <v>1</v>
      </c>
      <c r="C165" s="11">
        <v>10</v>
      </c>
      <c r="D165" s="57" t="s">
        <v>313</v>
      </c>
      <c r="E165" s="62" t="s">
        <v>540</v>
      </c>
      <c r="F165" s="62" t="s">
        <v>503</v>
      </c>
      <c r="G165" s="73" t="s">
        <v>581</v>
      </c>
      <c r="H165" s="171" t="s">
        <v>358</v>
      </c>
    </row>
    <row r="166" spans="1:8" ht="16.5">
      <c r="A166" s="78" t="s">
        <v>333</v>
      </c>
      <c r="B166" s="79">
        <v>1</v>
      </c>
      <c r="C166" s="79">
        <v>22</v>
      </c>
      <c r="D166" s="80" t="s">
        <v>316</v>
      </c>
      <c r="E166" s="51" t="s">
        <v>540</v>
      </c>
      <c r="F166" s="51" t="s">
        <v>503</v>
      </c>
      <c r="G166" s="91" t="s">
        <v>581</v>
      </c>
      <c r="H166" s="171" t="s">
        <v>358</v>
      </c>
    </row>
    <row r="167" spans="1:8" ht="16.5">
      <c r="A167" s="56" t="s">
        <v>334</v>
      </c>
      <c r="B167" s="11">
        <v>2</v>
      </c>
      <c r="C167" s="11">
        <v>12</v>
      </c>
      <c r="D167" s="57" t="s">
        <v>316</v>
      </c>
      <c r="E167" s="62" t="s">
        <v>540</v>
      </c>
      <c r="F167" s="62" t="s">
        <v>503</v>
      </c>
      <c r="G167" s="73" t="s">
        <v>581</v>
      </c>
      <c r="H167" s="171" t="s">
        <v>337</v>
      </c>
    </row>
    <row r="168" spans="1:8" ht="16.5">
      <c r="A168" s="61" t="s">
        <v>461</v>
      </c>
      <c r="B168" s="68">
        <v>1</v>
      </c>
      <c r="C168" s="68">
        <v>12</v>
      </c>
      <c r="D168" s="72" t="s">
        <v>163</v>
      </c>
      <c r="E168" s="72" t="s">
        <v>163</v>
      </c>
      <c r="F168" s="72" t="s">
        <v>163</v>
      </c>
      <c r="G168" s="73" t="s">
        <v>601</v>
      </c>
      <c r="H168" s="169" t="s">
        <v>163</v>
      </c>
    </row>
    <row r="169" spans="1:8" ht="16.5">
      <c r="A169" s="56" t="s">
        <v>410</v>
      </c>
      <c r="B169" s="11">
        <v>2</v>
      </c>
      <c r="C169" s="11">
        <v>12</v>
      </c>
      <c r="D169" s="57" t="s">
        <v>313</v>
      </c>
      <c r="E169" s="62" t="s">
        <v>540</v>
      </c>
      <c r="F169" s="62" t="s">
        <v>503</v>
      </c>
      <c r="G169" s="73" t="s">
        <v>601</v>
      </c>
      <c r="H169" s="171" t="s">
        <v>552</v>
      </c>
    </row>
    <row r="170" spans="1:8" ht="16.5">
      <c r="A170" s="56" t="s">
        <v>413</v>
      </c>
      <c r="B170" s="11">
        <v>1</v>
      </c>
      <c r="C170" s="11">
        <v>12</v>
      </c>
      <c r="D170" s="57" t="s">
        <v>316</v>
      </c>
      <c r="E170" s="62" t="s">
        <v>540</v>
      </c>
      <c r="F170" s="62" t="s">
        <v>503</v>
      </c>
      <c r="G170" s="73" t="s">
        <v>601</v>
      </c>
      <c r="H170" s="171" t="s">
        <v>436</v>
      </c>
    </row>
    <row r="171" spans="1:8" ht="16.5">
      <c r="A171" s="56" t="s">
        <v>415</v>
      </c>
      <c r="B171" s="11">
        <v>1</v>
      </c>
      <c r="C171" s="11">
        <v>10</v>
      </c>
      <c r="D171" s="57" t="s">
        <v>313</v>
      </c>
      <c r="E171" s="62" t="s">
        <v>540</v>
      </c>
      <c r="F171" s="62" t="s">
        <v>503</v>
      </c>
      <c r="G171" s="73" t="s">
        <v>601</v>
      </c>
      <c r="H171" s="171" t="s">
        <v>436</v>
      </c>
    </row>
    <row r="172" spans="1:8" ht="16.5">
      <c r="A172" s="61" t="s">
        <v>486</v>
      </c>
      <c r="B172" s="68">
        <v>1</v>
      </c>
      <c r="C172" s="68">
        <v>12</v>
      </c>
      <c r="D172" s="62" t="s">
        <v>316</v>
      </c>
      <c r="E172" s="62" t="s">
        <v>540</v>
      </c>
      <c r="F172" s="62" t="s">
        <v>503</v>
      </c>
      <c r="G172" s="73" t="s">
        <v>601</v>
      </c>
      <c r="H172" s="168" t="s">
        <v>371</v>
      </c>
    </row>
    <row r="173" spans="1:8" ht="16.5">
      <c r="A173" s="61" t="s">
        <v>409</v>
      </c>
      <c r="B173" s="11">
        <v>1</v>
      </c>
      <c r="C173" s="68">
        <v>20</v>
      </c>
      <c r="D173" s="57" t="s">
        <v>316</v>
      </c>
      <c r="E173" s="62" t="s">
        <v>540</v>
      </c>
      <c r="F173" s="89" t="s">
        <v>503</v>
      </c>
      <c r="G173" s="73" t="s">
        <v>601</v>
      </c>
      <c r="H173" s="165" t="s">
        <v>338</v>
      </c>
    </row>
    <row r="174" spans="1:8" ht="16.5">
      <c r="A174" s="56" t="s">
        <v>428</v>
      </c>
      <c r="B174" s="11">
        <v>1</v>
      </c>
      <c r="C174" s="11">
        <v>12</v>
      </c>
      <c r="D174" s="57" t="s">
        <v>316</v>
      </c>
      <c r="E174" s="62" t="s">
        <v>540</v>
      </c>
      <c r="F174" s="62" t="s">
        <v>503</v>
      </c>
      <c r="G174" s="73" t="s">
        <v>601</v>
      </c>
      <c r="H174" s="171" t="s">
        <v>338</v>
      </c>
    </row>
    <row r="175" spans="1:8" ht="16.5">
      <c r="A175" s="56" t="s">
        <v>411</v>
      </c>
      <c r="B175" s="11">
        <v>1</v>
      </c>
      <c r="C175" s="11">
        <v>12</v>
      </c>
      <c r="D175" s="57" t="s">
        <v>316</v>
      </c>
      <c r="E175" s="62" t="s">
        <v>540</v>
      </c>
      <c r="F175" s="62" t="s">
        <v>503</v>
      </c>
      <c r="G175" s="73" t="s">
        <v>601</v>
      </c>
      <c r="H175" s="171" t="s">
        <v>355</v>
      </c>
    </row>
    <row r="176" spans="1:8" ht="16.5">
      <c r="A176" s="78" t="s">
        <v>414</v>
      </c>
      <c r="B176" s="79">
        <v>1</v>
      </c>
      <c r="C176" s="79">
        <v>13</v>
      </c>
      <c r="D176" s="80" t="s">
        <v>316</v>
      </c>
      <c r="E176" s="51" t="s">
        <v>540</v>
      </c>
      <c r="F176" s="51" t="s">
        <v>505</v>
      </c>
      <c r="G176" s="91" t="s">
        <v>601</v>
      </c>
      <c r="H176" s="171" t="s">
        <v>358</v>
      </c>
    </row>
    <row r="177" spans="1:8" ht="16.5">
      <c r="A177" s="56" t="s">
        <v>437</v>
      </c>
      <c r="B177" s="11">
        <v>1</v>
      </c>
      <c r="C177" s="11">
        <v>12</v>
      </c>
      <c r="D177" s="57" t="s">
        <v>313</v>
      </c>
      <c r="E177" s="62" t="s">
        <v>540</v>
      </c>
      <c r="F177" s="62" t="s">
        <v>505</v>
      </c>
      <c r="G177" s="73" t="s">
        <v>601</v>
      </c>
      <c r="H177" s="171" t="s">
        <v>358</v>
      </c>
    </row>
    <row r="178" spans="1:8" ht="16.5">
      <c r="A178" s="56" t="s">
        <v>430</v>
      </c>
      <c r="B178" s="11">
        <v>1</v>
      </c>
      <c r="C178" s="11">
        <v>21</v>
      </c>
      <c r="D178" s="57" t="s">
        <v>316</v>
      </c>
      <c r="E178" s="62" t="s">
        <v>540</v>
      </c>
      <c r="F178" s="62" t="s">
        <v>503</v>
      </c>
      <c r="G178" s="73" t="s">
        <v>601</v>
      </c>
      <c r="H178" s="171" t="s">
        <v>436</v>
      </c>
    </row>
    <row r="179" spans="1:8" ht="16.5">
      <c r="A179" s="56" t="s">
        <v>433</v>
      </c>
      <c r="B179" s="11">
        <v>1</v>
      </c>
      <c r="C179" s="11">
        <v>12</v>
      </c>
      <c r="D179" s="57" t="s">
        <v>313</v>
      </c>
      <c r="E179" s="62" t="s">
        <v>540</v>
      </c>
      <c r="F179" s="62" t="s">
        <v>503</v>
      </c>
      <c r="G179" s="73" t="s">
        <v>601</v>
      </c>
      <c r="H179" s="171" t="s">
        <v>338</v>
      </c>
    </row>
    <row r="180" spans="1:8" ht="16.5">
      <c r="A180" s="61" t="s">
        <v>472</v>
      </c>
      <c r="B180" s="11">
        <v>1</v>
      </c>
      <c r="C180" s="68"/>
      <c r="D180" s="58" t="s">
        <v>163</v>
      </c>
      <c r="E180" s="72" t="s">
        <v>163</v>
      </c>
      <c r="F180" s="58" t="s">
        <v>503</v>
      </c>
      <c r="G180" s="73" t="s">
        <v>584</v>
      </c>
      <c r="H180" s="172" t="s">
        <v>163</v>
      </c>
    </row>
    <row r="181" spans="1:8" ht="16.5">
      <c r="A181" s="61" t="s">
        <v>464</v>
      </c>
      <c r="B181" s="68">
        <v>2</v>
      </c>
      <c r="C181" s="76">
        <v>10</v>
      </c>
      <c r="D181" s="72" t="s">
        <v>163</v>
      </c>
      <c r="E181" s="62" t="s">
        <v>163</v>
      </c>
      <c r="F181" s="62" t="s">
        <v>163</v>
      </c>
      <c r="G181" s="73" t="s">
        <v>584</v>
      </c>
      <c r="H181" s="168" t="s">
        <v>163</v>
      </c>
    </row>
    <row r="182" spans="1:8" ht="16.5">
      <c r="A182" s="61" t="s">
        <v>465</v>
      </c>
      <c r="B182" s="11">
        <v>1</v>
      </c>
      <c r="C182" s="68">
        <v>12</v>
      </c>
      <c r="D182" s="57" t="s">
        <v>316</v>
      </c>
      <c r="E182" s="62" t="s">
        <v>540</v>
      </c>
      <c r="F182" s="89" t="s">
        <v>505</v>
      </c>
      <c r="G182" s="73" t="s">
        <v>584</v>
      </c>
      <c r="H182" s="171" t="s">
        <v>358</v>
      </c>
    </row>
    <row r="183" spans="1:8" ht="16.5">
      <c r="A183" s="61" t="s">
        <v>466</v>
      </c>
      <c r="B183" s="11">
        <v>1</v>
      </c>
      <c r="C183" s="68"/>
      <c r="D183" s="57" t="s">
        <v>316</v>
      </c>
      <c r="E183" s="62" t="s">
        <v>540</v>
      </c>
      <c r="F183" s="89" t="s">
        <v>503</v>
      </c>
      <c r="G183" s="73" t="s">
        <v>584</v>
      </c>
      <c r="H183" s="165" t="s">
        <v>371</v>
      </c>
    </row>
    <row r="184" spans="1:8" ht="16.5">
      <c r="A184" s="61" t="s">
        <v>467</v>
      </c>
      <c r="B184" s="11">
        <v>1</v>
      </c>
      <c r="C184" s="68"/>
      <c r="D184" s="57" t="s">
        <v>316</v>
      </c>
      <c r="E184" s="62" t="s">
        <v>540</v>
      </c>
      <c r="F184" s="89" t="s">
        <v>503</v>
      </c>
      <c r="G184" s="73" t="s">
        <v>584</v>
      </c>
      <c r="H184" s="165" t="s">
        <v>481</v>
      </c>
    </row>
    <row r="185" spans="1:8" ht="16.5">
      <c r="A185" s="61" t="s">
        <v>468</v>
      </c>
      <c r="B185" s="11">
        <v>1</v>
      </c>
      <c r="C185" s="68">
        <v>12</v>
      </c>
      <c r="D185" s="57" t="s">
        <v>316</v>
      </c>
      <c r="E185" s="62" t="s">
        <v>540</v>
      </c>
      <c r="F185" s="89" t="s">
        <v>503</v>
      </c>
      <c r="G185" s="73" t="s">
        <v>584</v>
      </c>
      <c r="H185" s="165" t="s">
        <v>551</v>
      </c>
    </row>
    <row r="186" spans="1:8" ht="16.5">
      <c r="A186" s="61" t="s">
        <v>469</v>
      </c>
      <c r="B186" s="11">
        <v>1</v>
      </c>
      <c r="C186" s="68">
        <v>12</v>
      </c>
      <c r="D186" s="57" t="s">
        <v>316</v>
      </c>
      <c r="E186" s="62" t="s">
        <v>540</v>
      </c>
      <c r="F186" s="89" t="s">
        <v>503</v>
      </c>
      <c r="G186" s="73" t="s">
        <v>584</v>
      </c>
      <c r="H186" s="165" t="s">
        <v>360</v>
      </c>
    </row>
    <row r="187" spans="1:8" ht="16.5">
      <c r="A187" s="61" t="s">
        <v>470</v>
      </c>
      <c r="B187" s="11">
        <v>1</v>
      </c>
      <c r="C187" s="68">
        <v>12</v>
      </c>
      <c r="D187" s="57" t="s">
        <v>316</v>
      </c>
      <c r="E187" s="62" t="s">
        <v>540</v>
      </c>
      <c r="F187" s="89" t="s">
        <v>503</v>
      </c>
      <c r="G187" s="73" t="s">
        <v>584</v>
      </c>
      <c r="H187" s="165" t="s">
        <v>436</v>
      </c>
    </row>
    <row r="188" spans="1:8" ht="16.5">
      <c r="A188" s="61" t="s">
        <v>471</v>
      </c>
      <c r="B188" s="11">
        <v>1</v>
      </c>
      <c r="C188" s="68">
        <v>13</v>
      </c>
      <c r="D188" s="57" t="s">
        <v>316</v>
      </c>
      <c r="E188" s="62" t="s">
        <v>540</v>
      </c>
      <c r="F188" s="58" t="s">
        <v>503</v>
      </c>
      <c r="G188" s="73" t="s">
        <v>584</v>
      </c>
      <c r="H188" s="165" t="s">
        <v>371</v>
      </c>
    </row>
    <row r="189" spans="1:8" ht="16.5">
      <c r="A189" s="61" t="s">
        <v>480</v>
      </c>
      <c r="B189" s="11">
        <v>1</v>
      </c>
      <c r="C189" s="68">
        <v>12</v>
      </c>
      <c r="D189" s="57" t="s">
        <v>316</v>
      </c>
      <c r="E189" s="62" t="s">
        <v>540</v>
      </c>
      <c r="F189" s="89" t="s">
        <v>503</v>
      </c>
      <c r="G189" s="73" t="s">
        <v>584</v>
      </c>
      <c r="H189" s="165" t="s">
        <v>355</v>
      </c>
    </row>
    <row r="190" spans="1:8" ht="16.5">
      <c r="A190" s="61" t="s">
        <v>482</v>
      </c>
      <c r="B190" s="11">
        <v>1</v>
      </c>
      <c r="C190" s="68">
        <v>12</v>
      </c>
      <c r="D190" s="57" t="s">
        <v>316</v>
      </c>
      <c r="E190" s="62" t="s">
        <v>540</v>
      </c>
      <c r="F190" s="89" t="s">
        <v>503</v>
      </c>
      <c r="G190" s="73" t="s">
        <v>584</v>
      </c>
      <c r="H190" s="171" t="s">
        <v>358</v>
      </c>
    </row>
    <row r="191" spans="1:8" ht="16.5">
      <c r="A191" s="61" t="s">
        <v>473</v>
      </c>
      <c r="B191" s="11">
        <v>1</v>
      </c>
      <c r="C191" s="68">
        <v>12</v>
      </c>
      <c r="D191" s="57" t="s">
        <v>316</v>
      </c>
      <c r="E191" s="62" t="s">
        <v>540</v>
      </c>
      <c r="F191" s="89" t="s">
        <v>503</v>
      </c>
      <c r="G191" s="73" t="s">
        <v>584</v>
      </c>
      <c r="H191" s="165" t="s">
        <v>549</v>
      </c>
    </row>
    <row r="192" spans="1:8" ht="16.5">
      <c r="A192" s="61" t="s">
        <v>474</v>
      </c>
      <c r="B192" s="11">
        <v>1</v>
      </c>
      <c r="C192" s="68">
        <v>11</v>
      </c>
      <c r="D192" s="57" t="s">
        <v>316</v>
      </c>
      <c r="E192" s="62" t="s">
        <v>540</v>
      </c>
      <c r="F192" s="89" t="s">
        <v>503</v>
      </c>
      <c r="G192" s="73" t="s">
        <v>584</v>
      </c>
      <c r="H192" s="165" t="s">
        <v>481</v>
      </c>
    </row>
    <row r="193" spans="1:8" ht="16.5">
      <c r="A193" s="53" t="s">
        <v>485</v>
      </c>
      <c r="B193" s="79">
        <v>1</v>
      </c>
      <c r="C193" s="74">
        <v>11</v>
      </c>
      <c r="D193" s="80" t="s">
        <v>316</v>
      </c>
      <c r="E193" s="51" t="s">
        <v>540</v>
      </c>
      <c r="F193" s="176" t="s">
        <v>503</v>
      </c>
      <c r="G193" s="91" t="s">
        <v>584</v>
      </c>
      <c r="H193" s="178" t="s">
        <v>338</v>
      </c>
    </row>
    <row r="194" spans="1:8" ht="16.5">
      <c r="A194" s="53" t="s">
        <v>475</v>
      </c>
      <c r="B194" s="79">
        <v>1</v>
      </c>
      <c r="C194" s="74">
        <v>12</v>
      </c>
      <c r="D194" s="80" t="s">
        <v>316</v>
      </c>
      <c r="E194" s="51" t="s">
        <v>540</v>
      </c>
      <c r="F194" s="177" t="s">
        <v>503</v>
      </c>
      <c r="G194" s="91" t="s">
        <v>584</v>
      </c>
      <c r="H194" s="178" t="s">
        <v>371</v>
      </c>
    </row>
  </sheetData>
  <mergeCells count="1">
    <mergeCell ref="A1:H1"/>
  </mergeCells>
  <conditionalFormatting sqref="A100 A103:A104 A106:A109 A111:A112">
    <cfRule type="expression" dxfId="54" priority="20">
      <formula>NOT(($F100-$D100)=0)</formula>
    </cfRule>
  </conditionalFormatting>
  <conditionalFormatting sqref="A114">
    <cfRule type="expression" dxfId="53" priority="29">
      <formula>(($F114-$D114)=0)</formula>
    </cfRule>
    <cfRule type="expression" dxfId="52" priority="30">
      <formula>(($F114-$D114)&gt;0)</formula>
    </cfRule>
  </conditionalFormatting>
  <conditionalFormatting sqref="A177:A192">
    <cfRule type="expression" dxfId="51" priority="1">
      <formula>(($E177-$D177)=0)</formula>
    </cfRule>
    <cfRule type="expression" dxfId="50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4"/>
  <sheetViews>
    <sheetView showGridLines="0" workbookViewId="0">
      <selection activeCell="A3" sqref="A3"/>
    </sheetView>
  </sheetViews>
  <sheetFormatPr defaultRowHeight="16.5"/>
  <cols>
    <col min="1" max="1" width="48.140625" style="63" bestFit="1" customWidth="1"/>
    <col min="2" max="2" width="6.42578125" style="166" bestFit="1" customWidth="1"/>
    <col min="3" max="3" width="9.140625" style="167"/>
    <col min="4" max="16384" width="9.140625" style="63"/>
  </cols>
  <sheetData>
    <row r="1" spans="1:3">
      <c r="A1" s="215" t="s">
        <v>1</v>
      </c>
      <c r="B1" s="216"/>
      <c r="C1" s="216"/>
    </row>
    <row r="2" spans="1:3">
      <c r="A2" s="63" t="s">
        <v>3</v>
      </c>
      <c r="B2" s="166" t="s">
        <v>197</v>
      </c>
      <c r="C2" s="167" t="s">
        <v>4</v>
      </c>
    </row>
    <row r="3" spans="1:3">
      <c r="A3" s="81" t="s">
        <v>39</v>
      </c>
      <c r="B3" s="77">
        <v>1</v>
      </c>
      <c r="C3" s="174" t="s">
        <v>14</v>
      </c>
    </row>
    <row r="4" spans="1:3">
      <c r="A4" s="63" t="s">
        <v>387</v>
      </c>
      <c r="B4" s="166">
        <v>1</v>
      </c>
      <c r="C4" s="173" t="s">
        <v>14</v>
      </c>
    </row>
    <row r="5" spans="1:3">
      <c r="A5" s="63" t="s">
        <v>311</v>
      </c>
      <c r="B5" s="166">
        <v>1</v>
      </c>
      <c r="C5" s="173" t="s">
        <v>14</v>
      </c>
    </row>
    <row r="6" spans="1:3">
      <c r="A6" s="63" t="s">
        <v>398</v>
      </c>
      <c r="B6" s="166">
        <v>1</v>
      </c>
      <c r="C6" s="173" t="s">
        <v>14</v>
      </c>
    </row>
    <row r="7" spans="1:3">
      <c r="A7" s="63" t="s">
        <v>418</v>
      </c>
      <c r="B7" s="166">
        <v>2</v>
      </c>
      <c r="C7" s="173" t="s">
        <v>14</v>
      </c>
    </row>
    <row r="8" spans="1:3">
      <c r="A8" s="63" t="s">
        <v>419</v>
      </c>
      <c r="B8" s="166">
        <v>3</v>
      </c>
      <c r="C8" s="173" t="s">
        <v>14</v>
      </c>
    </row>
    <row r="9" spans="1:3">
      <c r="A9" s="63" t="s">
        <v>658</v>
      </c>
      <c r="B9" s="166">
        <v>1</v>
      </c>
      <c r="C9" s="173" t="s">
        <v>14</v>
      </c>
    </row>
    <row r="10" spans="1:3">
      <c r="A10" s="63" t="s">
        <v>659</v>
      </c>
      <c r="B10" s="166">
        <v>2</v>
      </c>
      <c r="C10" s="173" t="s">
        <v>14</v>
      </c>
    </row>
    <row r="11" spans="1:3">
      <c r="A11" s="63" t="s">
        <v>325</v>
      </c>
      <c r="B11" s="166">
        <v>1</v>
      </c>
      <c r="C11" s="173" t="s">
        <v>14</v>
      </c>
    </row>
    <row r="12" spans="1:3">
      <c r="A12" s="63" t="s">
        <v>660</v>
      </c>
      <c r="B12" s="166">
        <v>1</v>
      </c>
      <c r="C12" s="173" t="s">
        <v>14</v>
      </c>
    </row>
    <row r="13" spans="1:3">
      <c r="A13" s="63" t="s">
        <v>223</v>
      </c>
      <c r="B13" s="166">
        <v>1</v>
      </c>
      <c r="C13" s="173" t="s">
        <v>14</v>
      </c>
    </row>
    <row r="14" spans="1:3">
      <c r="A14" s="63" t="s">
        <v>304</v>
      </c>
      <c r="B14" s="166">
        <v>1</v>
      </c>
      <c r="C14" s="173" t="s">
        <v>14</v>
      </c>
    </row>
    <row r="15" spans="1:3">
      <c r="A15" s="63" t="s">
        <v>42</v>
      </c>
      <c r="B15" s="166">
        <v>1</v>
      </c>
      <c r="C15" s="173" t="s">
        <v>14</v>
      </c>
    </row>
    <row r="16" spans="1:3">
      <c r="A16" s="63" t="s">
        <v>303</v>
      </c>
      <c r="B16" s="166">
        <v>1</v>
      </c>
      <c r="C16" s="173" t="s">
        <v>14</v>
      </c>
    </row>
    <row r="17" spans="1:3">
      <c r="A17" s="63" t="s">
        <v>310</v>
      </c>
      <c r="B17" s="166">
        <v>1</v>
      </c>
      <c r="C17" s="173" t="s">
        <v>14</v>
      </c>
    </row>
    <row r="18" spans="1:3">
      <c r="A18" s="63" t="s">
        <v>508</v>
      </c>
      <c r="B18" s="166">
        <v>2</v>
      </c>
      <c r="C18" s="173" t="s">
        <v>14</v>
      </c>
    </row>
    <row r="19" spans="1:3">
      <c r="A19" s="63" t="s">
        <v>45</v>
      </c>
      <c r="B19" s="166">
        <v>1</v>
      </c>
      <c r="C19" s="173" t="s">
        <v>14</v>
      </c>
    </row>
    <row r="20" spans="1:3">
      <c r="A20" s="63" t="s">
        <v>81</v>
      </c>
      <c r="B20" s="166">
        <v>1</v>
      </c>
      <c r="C20" s="173" t="s">
        <v>14</v>
      </c>
    </row>
    <row r="21" spans="1:3">
      <c r="A21" s="63" t="s">
        <v>661</v>
      </c>
      <c r="B21" s="166">
        <v>1</v>
      </c>
      <c r="C21" s="173" t="s">
        <v>14</v>
      </c>
    </row>
    <row r="22" spans="1:3">
      <c r="A22" s="63" t="s">
        <v>48</v>
      </c>
      <c r="B22" s="166">
        <v>1</v>
      </c>
      <c r="C22" s="173" t="s">
        <v>14</v>
      </c>
    </row>
    <row r="23" spans="1:3">
      <c r="A23" s="63" t="s">
        <v>662</v>
      </c>
      <c r="B23" s="166">
        <v>1</v>
      </c>
      <c r="C23" s="173" t="s">
        <v>14</v>
      </c>
    </row>
    <row r="24" spans="1:3">
      <c r="A24" s="63" t="s">
        <v>19</v>
      </c>
      <c r="B24" s="166">
        <v>1</v>
      </c>
      <c r="C24" s="173" t="s">
        <v>14</v>
      </c>
    </row>
    <row r="25" spans="1:3">
      <c r="A25" s="63" t="s">
        <v>663</v>
      </c>
      <c r="B25" s="166">
        <v>2</v>
      </c>
      <c r="C25" s="173" t="s">
        <v>14</v>
      </c>
    </row>
    <row r="26" spans="1:3">
      <c r="A26" s="63" t="s">
        <v>308</v>
      </c>
      <c r="B26" s="166">
        <v>1</v>
      </c>
      <c r="C26" s="173" t="s">
        <v>14</v>
      </c>
    </row>
    <row r="27" spans="1:3">
      <c r="A27" s="63" t="s">
        <v>21</v>
      </c>
      <c r="B27" s="166">
        <v>1</v>
      </c>
      <c r="C27" s="173" t="s">
        <v>14</v>
      </c>
    </row>
    <row r="28" spans="1:3">
      <c r="A28" s="63" t="s">
        <v>167</v>
      </c>
      <c r="B28" s="166">
        <v>1</v>
      </c>
      <c r="C28" s="173" t="s">
        <v>14</v>
      </c>
    </row>
    <row r="29" spans="1:3">
      <c r="A29" s="63" t="s">
        <v>53</v>
      </c>
      <c r="B29" s="166">
        <v>1</v>
      </c>
      <c r="C29" s="173" t="s">
        <v>14</v>
      </c>
    </row>
    <row r="30" spans="1:3">
      <c r="A30" s="63" t="s">
        <v>306</v>
      </c>
      <c r="B30" s="166">
        <v>1</v>
      </c>
      <c r="C30" s="173" t="s">
        <v>14</v>
      </c>
    </row>
    <row r="31" spans="1:3">
      <c r="A31" s="63" t="s">
        <v>509</v>
      </c>
      <c r="B31" s="166">
        <v>1</v>
      </c>
      <c r="C31" s="173" t="s">
        <v>14</v>
      </c>
    </row>
    <row r="32" spans="1:3">
      <c r="A32" s="63" t="s">
        <v>388</v>
      </c>
      <c r="B32" s="166">
        <v>1</v>
      </c>
      <c r="C32" s="173" t="s">
        <v>14</v>
      </c>
    </row>
    <row r="33" spans="1:3">
      <c r="A33" s="63" t="s">
        <v>24</v>
      </c>
      <c r="B33" s="166">
        <v>1</v>
      </c>
      <c r="C33" s="173" t="s">
        <v>14</v>
      </c>
    </row>
    <row r="34" spans="1:3">
      <c r="A34" s="63" t="s">
        <v>664</v>
      </c>
      <c r="B34" s="166">
        <v>2</v>
      </c>
      <c r="C34" s="173" t="s">
        <v>14</v>
      </c>
    </row>
    <row r="35" spans="1:3">
      <c r="A35" s="63" t="s">
        <v>665</v>
      </c>
      <c r="B35" s="166">
        <v>3</v>
      </c>
      <c r="C35" s="173" t="s">
        <v>14</v>
      </c>
    </row>
    <row r="36" spans="1:3">
      <c r="A36" s="63" t="s">
        <v>309</v>
      </c>
      <c r="B36" s="166">
        <v>1</v>
      </c>
      <c r="C36" s="173" t="s">
        <v>14</v>
      </c>
    </row>
    <row r="37" spans="1:3">
      <c r="A37" s="63" t="s">
        <v>26</v>
      </c>
      <c r="B37" s="166">
        <v>1</v>
      </c>
      <c r="C37" s="173" t="s">
        <v>14</v>
      </c>
    </row>
    <row r="38" spans="1:3">
      <c r="A38" s="63" t="s">
        <v>454</v>
      </c>
      <c r="B38" s="166">
        <v>1</v>
      </c>
      <c r="C38" s="173" t="s">
        <v>14</v>
      </c>
    </row>
    <row r="39" spans="1:3">
      <c r="A39" s="63" t="s">
        <v>666</v>
      </c>
      <c r="B39" s="166">
        <v>1</v>
      </c>
      <c r="C39" s="173" t="s">
        <v>14</v>
      </c>
    </row>
    <row r="40" spans="1:3">
      <c r="A40" s="63" t="s">
        <v>77</v>
      </c>
      <c r="B40" s="166">
        <v>1</v>
      </c>
      <c r="C40" s="173" t="s">
        <v>14</v>
      </c>
    </row>
    <row r="41" spans="1:3">
      <c r="A41" s="63" t="s">
        <v>667</v>
      </c>
      <c r="B41" s="166">
        <v>2</v>
      </c>
      <c r="C41" s="173" t="s">
        <v>14</v>
      </c>
    </row>
    <row r="42" spans="1:3">
      <c r="A42" s="63" t="s">
        <v>164</v>
      </c>
      <c r="B42" s="166">
        <v>1</v>
      </c>
      <c r="C42" s="173" t="s">
        <v>14</v>
      </c>
    </row>
    <row r="43" spans="1:3">
      <c r="A43" s="63" t="s">
        <v>32</v>
      </c>
      <c r="B43" s="166">
        <v>1</v>
      </c>
      <c r="C43" s="173" t="s">
        <v>14</v>
      </c>
    </row>
    <row r="44" spans="1:3">
      <c r="A44" s="63" t="s">
        <v>668</v>
      </c>
      <c r="B44" s="166">
        <v>2</v>
      </c>
      <c r="C44" s="173" t="s">
        <v>14</v>
      </c>
    </row>
    <row r="45" spans="1:3">
      <c r="A45" s="63" t="s">
        <v>35</v>
      </c>
      <c r="B45" s="166">
        <v>1</v>
      </c>
      <c r="C45" s="173" t="s">
        <v>14</v>
      </c>
    </row>
    <row r="46" spans="1:3">
      <c r="A46" s="63" t="s">
        <v>457</v>
      </c>
      <c r="B46" s="166">
        <v>1</v>
      </c>
      <c r="C46" s="173" t="s">
        <v>14</v>
      </c>
    </row>
    <row r="47" spans="1:3">
      <c r="A47" s="63" t="s">
        <v>312</v>
      </c>
      <c r="B47" s="166">
        <v>1</v>
      </c>
      <c r="C47" s="173" t="s">
        <v>14</v>
      </c>
    </row>
    <row r="48" spans="1:3">
      <c r="A48" s="63" t="s">
        <v>349</v>
      </c>
      <c r="B48" s="166">
        <v>1</v>
      </c>
      <c r="C48" s="173" t="s">
        <v>14</v>
      </c>
    </row>
    <row r="49" spans="1:3">
      <c r="A49" s="63" t="s">
        <v>455</v>
      </c>
      <c r="B49" s="166">
        <v>1</v>
      </c>
      <c r="C49" s="173" t="s">
        <v>14</v>
      </c>
    </row>
    <row r="50" spans="1:3">
      <c r="A50" s="63" t="s">
        <v>456</v>
      </c>
      <c r="B50" s="166">
        <v>2</v>
      </c>
      <c r="C50" s="173" t="s">
        <v>14</v>
      </c>
    </row>
    <row r="51" spans="1:3">
      <c r="A51" s="63" t="s">
        <v>511</v>
      </c>
      <c r="B51" s="166">
        <v>3</v>
      </c>
      <c r="C51" s="173" t="s">
        <v>14</v>
      </c>
    </row>
    <row r="52" spans="1:3">
      <c r="A52" s="63" t="s">
        <v>510</v>
      </c>
      <c r="B52" s="166">
        <v>4</v>
      </c>
      <c r="C52" s="173" t="s">
        <v>14</v>
      </c>
    </row>
    <row r="53" spans="1:3">
      <c r="A53" s="81" t="s">
        <v>671</v>
      </c>
      <c r="B53" s="77">
        <v>1</v>
      </c>
      <c r="C53" s="173" t="s">
        <v>40</v>
      </c>
    </row>
    <row r="54" spans="1:3">
      <c r="A54" s="63" t="s">
        <v>441</v>
      </c>
      <c r="B54" s="166">
        <v>1</v>
      </c>
      <c r="C54" s="173" t="s">
        <v>40</v>
      </c>
    </row>
    <row r="55" spans="1:3">
      <c r="A55" s="63" t="s">
        <v>657</v>
      </c>
      <c r="B55" s="166">
        <v>2</v>
      </c>
      <c r="C55" s="173" t="s">
        <v>40</v>
      </c>
    </row>
    <row r="56" spans="1:3">
      <c r="A56" s="63" t="s">
        <v>490</v>
      </c>
      <c r="B56" s="166">
        <v>3</v>
      </c>
      <c r="C56" s="173" t="s">
        <v>40</v>
      </c>
    </row>
    <row r="57" spans="1:3">
      <c r="A57" s="63" t="s">
        <v>491</v>
      </c>
      <c r="B57" s="166">
        <v>4</v>
      </c>
      <c r="C57" s="173" t="s">
        <v>40</v>
      </c>
    </row>
    <row r="58" spans="1:3">
      <c r="A58" s="63" t="s">
        <v>399</v>
      </c>
      <c r="B58" s="166">
        <v>1</v>
      </c>
      <c r="C58" s="173" t="s">
        <v>40</v>
      </c>
    </row>
    <row r="59" spans="1:3">
      <c r="A59" s="63" t="s">
        <v>472</v>
      </c>
      <c r="B59" s="166">
        <v>1</v>
      </c>
      <c r="C59" s="173" t="s">
        <v>40</v>
      </c>
    </row>
    <row r="60" spans="1:3">
      <c r="A60" s="63" t="s">
        <v>464</v>
      </c>
      <c r="B60" s="166">
        <v>2</v>
      </c>
      <c r="C60" s="173" t="s">
        <v>40</v>
      </c>
    </row>
    <row r="61" spans="1:3">
      <c r="A61" s="63" t="s">
        <v>461</v>
      </c>
      <c r="B61" s="166">
        <v>1</v>
      </c>
      <c r="C61" s="173" t="s">
        <v>40</v>
      </c>
    </row>
    <row r="62" spans="1:3">
      <c r="A62" s="63" t="s">
        <v>65</v>
      </c>
      <c r="B62" s="166">
        <v>1</v>
      </c>
      <c r="C62" s="173" t="s">
        <v>40</v>
      </c>
    </row>
    <row r="63" spans="1:3">
      <c r="A63" s="63" t="s">
        <v>72</v>
      </c>
      <c r="B63" s="166">
        <v>1</v>
      </c>
      <c r="C63" s="175" t="s">
        <v>40</v>
      </c>
    </row>
    <row r="64" spans="1:3">
      <c r="A64" s="63" t="s">
        <v>669</v>
      </c>
      <c r="B64" s="166">
        <v>2</v>
      </c>
      <c r="C64" s="175" t="s">
        <v>40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7"/>
  <sheetViews>
    <sheetView showGridLines="0" workbookViewId="0">
      <selection activeCell="D24" sqref="D24"/>
    </sheetView>
  </sheetViews>
  <sheetFormatPr defaultRowHeight="15"/>
  <cols>
    <col min="1" max="1" width="42.85546875" style="6" customWidth="1"/>
    <col min="2" max="2" width="6.28515625" customWidth="1"/>
    <col min="3" max="7" width="7.7109375" customWidth="1"/>
    <col min="9" max="10" width="13.7109375" style="95" customWidth="1"/>
    <col min="11" max="11" width="23.140625" bestFit="1" customWidth="1"/>
    <col min="12" max="12" width="99.140625" style="7" bestFit="1" customWidth="1"/>
  </cols>
  <sheetData>
    <row r="1" spans="1:12" ht="16.5">
      <c r="A1" s="217" t="s">
        <v>2</v>
      </c>
      <c r="B1" s="218"/>
      <c r="C1" s="218"/>
      <c r="D1" s="218"/>
      <c r="E1" s="218"/>
      <c r="F1" s="218"/>
      <c r="G1" s="218"/>
      <c r="H1" s="218"/>
      <c r="I1" s="218"/>
      <c r="J1" s="218"/>
      <c r="K1" s="218"/>
      <c r="L1" s="218"/>
    </row>
    <row r="2" spans="1:12" ht="16.5">
      <c r="A2" s="47" t="s">
        <v>3</v>
      </c>
      <c r="B2" s="47" t="s">
        <v>197</v>
      </c>
      <c r="C2" s="47" t="s">
        <v>5</v>
      </c>
      <c r="D2" s="47" t="s">
        <v>6</v>
      </c>
      <c r="E2" s="47" t="s">
        <v>7</v>
      </c>
      <c r="F2" s="47" t="s">
        <v>8</v>
      </c>
      <c r="G2" s="47" t="s">
        <v>9</v>
      </c>
      <c r="H2" s="47" t="s">
        <v>10</v>
      </c>
      <c r="I2" s="94" t="s">
        <v>493</v>
      </c>
      <c r="J2" s="94" t="s">
        <v>623</v>
      </c>
      <c r="K2" s="47" t="s">
        <v>231</v>
      </c>
      <c r="L2" s="47" t="s">
        <v>12</v>
      </c>
    </row>
    <row r="3" spans="1:12" ht="16.5">
      <c r="A3" s="61" t="s">
        <v>43</v>
      </c>
      <c r="B3" s="68">
        <v>1</v>
      </c>
      <c r="C3" s="96">
        <v>11</v>
      </c>
      <c r="D3" s="96">
        <v>11</v>
      </c>
      <c r="E3" s="96">
        <v>0</v>
      </c>
      <c r="F3" s="96">
        <v>10</v>
      </c>
      <c r="G3" s="102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103">
        <f>IF('Vars and Stats'!$B$13="Y",10*(Completed[[#This Row],[Raw]]-'Vars and Stats'!$B$9)/'Vars and Stats'!$B$10, 10*Completed[[#This Row],[Raw]]/'Vars and Stats'!$B$8)</f>
        <v>10</v>
      </c>
      <c r="I3" s="97">
        <v>41290</v>
      </c>
      <c r="J3" s="97">
        <v>41352</v>
      </c>
      <c r="K3" s="98" t="s">
        <v>43</v>
      </c>
      <c r="L3" s="69"/>
    </row>
    <row r="4" spans="1:12" ht="16.5">
      <c r="A4" s="61" t="s">
        <v>394</v>
      </c>
      <c r="B4" s="68">
        <v>1</v>
      </c>
      <c r="C4" s="96">
        <v>9.5</v>
      </c>
      <c r="D4" s="96">
        <v>10</v>
      </c>
      <c r="E4" s="96">
        <v>3.5</v>
      </c>
      <c r="F4" s="96">
        <v>10</v>
      </c>
      <c r="G4" s="102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103">
        <f>IF('Vars and Stats'!$B$13="Y",10*(Completed[[#This Row],[Raw]]-'Vars and Stats'!$B$9)/'Vars and Stats'!$B$10, 10*Completed[[#This Row],[Raw]]/'Vars and Stats'!$B$8)</f>
        <v>9.4955439717504628</v>
      </c>
      <c r="I4" s="97">
        <v>41646</v>
      </c>
      <c r="J4" s="97">
        <v>41647</v>
      </c>
      <c r="K4" s="99" t="s">
        <v>434</v>
      </c>
      <c r="L4" s="69" t="s">
        <v>435</v>
      </c>
    </row>
    <row r="5" spans="1:12" ht="16.5">
      <c r="A5" s="61" t="s">
        <v>110</v>
      </c>
      <c r="B5" s="68">
        <v>1</v>
      </c>
      <c r="C5" s="96">
        <v>10</v>
      </c>
      <c r="D5" s="96">
        <v>9.5</v>
      </c>
      <c r="E5" s="96">
        <v>4</v>
      </c>
      <c r="F5" s="96">
        <v>10</v>
      </c>
      <c r="G5" s="102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103">
        <f>IF('Vars and Stats'!$B$13="Y",10*(Completed[[#This Row],[Raw]]-'Vars and Stats'!$B$9)/'Vars and Stats'!$B$10, 10*Completed[[#This Row],[Raw]]/'Vars and Stats'!$B$8)</f>
        <v>9.4703211703379839</v>
      </c>
      <c r="I5" s="97">
        <v>41270</v>
      </c>
      <c r="J5" s="97">
        <v>41279</v>
      </c>
      <c r="K5" s="99" t="s">
        <v>232</v>
      </c>
      <c r="L5" s="69" t="s">
        <v>445</v>
      </c>
    </row>
    <row r="6" spans="1:12" ht="16.5">
      <c r="A6" s="61" t="s">
        <v>165</v>
      </c>
      <c r="B6" s="68">
        <v>1</v>
      </c>
      <c r="C6" s="96">
        <v>10</v>
      </c>
      <c r="D6" s="96">
        <v>10</v>
      </c>
      <c r="E6" s="96">
        <v>3</v>
      </c>
      <c r="F6" s="96">
        <v>9.5</v>
      </c>
      <c r="G6" s="102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103">
        <f>IF('Vars and Stats'!$B$13="Y",10*(Completed[[#This Row],[Raw]]-'Vars and Stats'!$B$9)/'Vars and Stats'!$B$10, 10*Completed[[#This Row],[Raw]]/'Vars and Stats'!$B$8)</f>
        <v>9.2517235580965203</v>
      </c>
      <c r="I6" s="97">
        <v>41607</v>
      </c>
      <c r="J6" s="97">
        <v>41634</v>
      </c>
      <c r="K6" s="99" t="s">
        <v>400</v>
      </c>
      <c r="L6" s="69" t="s">
        <v>401</v>
      </c>
    </row>
    <row r="7" spans="1:12" ht="16.5">
      <c r="A7" s="61" t="s">
        <v>470</v>
      </c>
      <c r="B7" s="68">
        <v>1</v>
      </c>
      <c r="C7" s="96">
        <v>9</v>
      </c>
      <c r="D7" s="96">
        <v>9.5</v>
      </c>
      <c r="E7" s="96">
        <v>7</v>
      </c>
      <c r="F7" s="96">
        <v>9.5</v>
      </c>
      <c r="G7" s="115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116">
        <f>IF('Vars and Stats'!$B$13="Y",10*(Completed[[#This Row],[Raw]]-'Vars and Stats'!$B$9)/'Vars and Stats'!$B$10, 10*Completed[[#This Row],[Raw]]/'Vars and Stats'!$B$8)</f>
        <v>9.0818900285858408</v>
      </c>
      <c r="I7" s="90">
        <v>41749</v>
      </c>
      <c r="J7" s="97">
        <v>41815</v>
      </c>
      <c r="K7" s="99" t="s">
        <v>636</v>
      </c>
      <c r="L7" s="69" t="s">
        <v>637</v>
      </c>
    </row>
    <row r="8" spans="1:12" ht="16.5">
      <c r="A8" s="61" t="s">
        <v>28</v>
      </c>
      <c r="B8" s="68">
        <v>1</v>
      </c>
      <c r="C8" s="96">
        <v>10</v>
      </c>
      <c r="D8" s="96">
        <v>9</v>
      </c>
      <c r="E8" s="96">
        <v>5</v>
      </c>
      <c r="F8" s="96">
        <v>9.5</v>
      </c>
      <c r="G8" s="102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103">
        <f>IF('Vars and Stats'!$B$13="Y",10*(Completed[[#This Row],[Raw]]-'Vars and Stats'!$B$9)/'Vars and Stats'!$B$10, 10*Completed[[#This Row],[Raw]]/'Vars and Stats'!$B$8)</f>
        <v>9.0196737851017303</v>
      </c>
      <c r="I8" s="97">
        <v>41742</v>
      </c>
      <c r="J8" s="97">
        <v>41746</v>
      </c>
      <c r="K8" s="99" t="s">
        <v>477</v>
      </c>
      <c r="L8" s="69" t="s">
        <v>478</v>
      </c>
    </row>
    <row r="9" spans="1:12" ht="16.5">
      <c r="A9" s="61" t="s">
        <v>627</v>
      </c>
      <c r="B9" s="68">
        <v>2</v>
      </c>
      <c r="C9" s="96">
        <v>9.5</v>
      </c>
      <c r="D9" s="96">
        <v>10</v>
      </c>
      <c r="E9" s="96">
        <v>6</v>
      </c>
      <c r="F9" s="96">
        <v>9</v>
      </c>
      <c r="G9" s="102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103">
        <f>IF('Vars and Stats'!$B$13="Y",10*(Completed[[#This Row],[Raw]]-'Vars and Stats'!$B$9)/'Vars and Stats'!$B$10, 10*Completed[[#This Row],[Raw]]/'Vars and Stats'!$B$8)</f>
        <v>8.9860433832184299</v>
      </c>
      <c r="I9" s="97">
        <v>41293</v>
      </c>
      <c r="J9" s="97">
        <v>41294</v>
      </c>
      <c r="K9" s="99" t="s">
        <v>205</v>
      </c>
      <c r="L9" s="69" t="s">
        <v>22</v>
      </c>
    </row>
    <row r="10" spans="1:12" ht="16.5">
      <c r="A10" s="61" t="s">
        <v>166</v>
      </c>
      <c r="B10" s="68">
        <v>1</v>
      </c>
      <c r="C10" s="96">
        <v>10</v>
      </c>
      <c r="D10" s="96">
        <v>9</v>
      </c>
      <c r="E10" s="96">
        <v>4</v>
      </c>
      <c r="F10" s="96">
        <v>9.5</v>
      </c>
      <c r="G10" s="102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103">
        <f>IF('Vars and Stats'!$B$13="Y",10*(Completed[[#This Row],[Raw]]-'Vars and Stats'!$B$9)/'Vars and Stats'!$B$10, 10*Completed[[#This Row],[Raw]]/'Vars and Stats'!$B$8)</f>
        <v>8.9557760215234552</v>
      </c>
      <c r="I10" s="97">
        <v>41750</v>
      </c>
      <c r="J10" s="97">
        <v>41756</v>
      </c>
      <c r="K10" s="99" t="s">
        <v>487</v>
      </c>
      <c r="L10" s="69"/>
    </row>
    <row r="11" spans="1:12" ht="16.5">
      <c r="A11" s="61" t="s">
        <v>486</v>
      </c>
      <c r="B11" s="68">
        <v>1</v>
      </c>
      <c r="C11" s="96">
        <v>9</v>
      </c>
      <c r="D11" s="96">
        <v>9</v>
      </c>
      <c r="E11" s="96">
        <v>7.5</v>
      </c>
      <c r="F11" s="96">
        <v>9.5</v>
      </c>
      <c r="G11" s="115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116">
        <f>IF('Vars and Stats'!$B$13="Y",10*(Completed[[#This Row],[Raw]]-'Vars and Stats'!$B$9)/'Vars and Stats'!$B$10, 10*Completed[[#This Row],[Raw]]/'Vars and Stats'!$B$8)</f>
        <v>8.933916260299311</v>
      </c>
      <c r="I11" s="90">
        <v>41814</v>
      </c>
      <c r="J11" s="97">
        <v>41815</v>
      </c>
      <c r="K11" s="99" t="s">
        <v>633</v>
      </c>
      <c r="L11" s="69" t="s">
        <v>634</v>
      </c>
    </row>
    <row r="12" spans="1:12" ht="16.5">
      <c r="A12" s="61" t="s">
        <v>27</v>
      </c>
      <c r="B12" s="68">
        <v>1</v>
      </c>
      <c r="C12" s="96">
        <v>9</v>
      </c>
      <c r="D12" s="96">
        <v>9.5</v>
      </c>
      <c r="E12" s="96">
        <v>4.5</v>
      </c>
      <c r="F12" s="96">
        <v>9.5</v>
      </c>
      <c r="G12" s="102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103">
        <f>IF('Vars and Stats'!$B$13="Y",10*(Completed[[#This Row],[Raw]]-'Vars and Stats'!$B$9)/'Vars and Stats'!$B$10, 10*Completed[[#This Row],[Raw]]/'Vars and Stats'!$B$8)</f>
        <v>8.9221456196401565</v>
      </c>
      <c r="I12" s="97">
        <v>41357</v>
      </c>
      <c r="J12" s="97">
        <v>41357</v>
      </c>
      <c r="K12" s="99" t="s">
        <v>233</v>
      </c>
      <c r="L12" s="69"/>
    </row>
    <row r="13" spans="1:12" ht="16.5">
      <c r="A13" s="61" t="s">
        <v>195</v>
      </c>
      <c r="B13" s="68">
        <v>3</v>
      </c>
      <c r="C13" s="96">
        <v>10</v>
      </c>
      <c r="D13" s="96">
        <v>8.5</v>
      </c>
      <c r="E13" s="96">
        <v>6</v>
      </c>
      <c r="F13" s="96">
        <v>9.5</v>
      </c>
      <c r="G13" s="102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103">
        <f>IF('Vars and Stats'!$B$13="Y",10*(Completed[[#This Row],[Raw]]-'Vars and Stats'!$B$9)/'Vars and Stats'!$B$10, 10*Completed[[#This Row],[Raw]]/'Vars and Stats'!$B$8)</f>
        <v>8.9036488986043363</v>
      </c>
      <c r="I13" s="97">
        <v>41400</v>
      </c>
      <c r="J13" s="97">
        <v>41402</v>
      </c>
      <c r="K13" s="99" t="s">
        <v>200</v>
      </c>
      <c r="L13" s="81"/>
    </row>
    <row r="14" spans="1:12" ht="16.5">
      <c r="A14" s="61" t="s">
        <v>332</v>
      </c>
      <c r="B14" s="68">
        <v>1</v>
      </c>
      <c r="C14" s="96">
        <v>9</v>
      </c>
      <c r="D14" s="96">
        <v>9</v>
      </c>
      <c r="E14" s="96">
        <v>6.5</v>
      </c>
      <c r="F14" s="96">
        <v>9.5</v>
      </c>
      <c r="G14" s="102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103">
        <f>IF('Vars and Stats'!$B$13="Y",10*(Completed[[#This Row],[Raw]]-'Vars and Stats'!$B$9)/'Vars and Stats'!$B$10, 10*Completed[[#This Row],[Raw]]/'Vars and Stats'!$B$8)</f>
        <v>8.8700184967210376</v>
      </c>
      <c r="I14" s="97">
        <v>41555</v>
      </c>
      <c r="J14" s="97">
        <v>41720</v>
      </c>
      <c r="K14" s="99" t="s">
        <v>343</v>
      </c>
      <c r="L14" s="69" t="s">
        <v>450</v>
      </c>
    </row>
    <row r="15" spans="1:12" ht="16.5">
      <c r="A15" s="61" t="s">
        <v>149</v>
      </c>
      <c r="B15" s="68">
        <v>1</v>
      </c>
      <c r="C15" s="96">
        <v>9</v>
      </c>
      <c r="D15" s="96">
        <v>9.5</v>
      </c>
      <c r="E15" s="96">
        <v>6.5</v>
      </c>
      <c r="F15" s="96">
        <v>9</v>
      </c>
      <c r="G15" s="102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103">
        <f>IF('Vars and Stats'!$B$13="Y",10*(Completed[[#This Row],[Raw]]-'Vars and Stats'!$B$9)/'Vars and Stats'!$B$10, 10*Completed[[#This Row],[Raw]]/'Vars and Stats'!$B$8)</f>
        <v>8.7153186480578437</v>
      </c>
      <c r="I15" s="97">
        <v>41636</v>
      </c>
      <c r="J15" s="97">
        <v>41636</v>
      </c>
      <c r="K15" s="99" t="s">
        <v>422</v>
      </c>
      <c r="L15" s="69" t="s">
        <v>423</v>
      </c>
    </row>
    <row r="16" spans="1:12" ht="16.5">
      <c r="A16" s="61" t="s">
        <v>29</v>
      </c>
      <c r="B16" s="68">
        <v>1</v>
      </c>
      <c r="C16" s="96">
        <v>9</v>
      </c>
      <c r="D16" s="96">
        <v>9</v>
      </c>
      <c r="E16" s="96">
        <v>4</v>
      </c>
      <c r="F16" s="96">
        <v>9.5</v>
      </c>
      <c r="G16" s="102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103">
        <f>IF('Vars and Stats'!$B$13="Y",10*(Completed[[#This Row],[Raw]]-'Vars and Stats'!$B$9)/'Vars and Stats'!$B$10, 10*Completed[[#This Row],[Raw]]/'Vars and Stats'!$B$8)</f>
        <v>8.7102740877753533</v>
      </c>
      <c r="I16" s="97">
        <v>41295</v>
      </c>
      <c r="J16" s="97">
        <v>41300</v>
      </c>
      <c r="K16" s="99" t="s">
        <v>202</v>
      </c>
      <c r="L16" s="69" t="s">
        <v>30</v>
      </c>
    </row>
    <row r="17" spans="1:12" ht="16.5">
      <c r="A17" s="61" t="s">
        <v>475</v>
      </c>
      <c r="B17" s="68">
        <v>1</v>
      </c>
      <c r="C17" s="96">
        <v>10</v>
      </c>
      <c r="D17" s="96">
        <v>9</v>
      </c>
      <c r="E17" s="96">
        <v>5</v>
      </c>
      <c r="F17" s="96">
        <v>9</v>
      </c>
      <c r="G17" s="115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116">
        <f>IF('Vars and Stats'!$B$13="Y",10*(Completed[[#This Row],[Raw]]-'Vars and Stats'!$B$9)/'Vars and Stats'!$B$10, 10*Completed[[#This Row],[Raw]]/'Vars and Stats'!$B$8)</f>
        <v>8.6850512863628726</v>
      </c>
      <c r="I17" s="90">
        <v>41796</v>
      </c>
      <c r="J17" s="97">
        <v>41816</v>
      </c>
      <c r="K17" s="99" t="s">
        <v>642</v>
      </c>
      <c r="L17" s="69"/>
    </row>
    <row r="18" spans="1:12" ht="16.5">
      <c r="A18" s="61" t="s">
        <v>334</v>
      </c>
      <c r="B18" s="68">
        <v>2</v>
      </c>
      <c r="C18" s="96">
        <v>9</v>
      </c>
      <c r="D18" s="96">
        <v>9.5</v>
      </c>
      <c r="E18" s="96">
        <v>6</v>
      </c>
      <c r="F18" s="96">
        <v>9</v>
      </c>
      <c r="G18" s="102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103">
        <f>IF('Vars and Stats'!$B$13="Y",10*(Completed[[#This Row],[Raw]]-'Vars and Stats'!$B$9)/'Vars and Stats'!$B$10, 10*Completed[[#This Row],[Raw]]/'Vars and Stats'!$B$8)</f>
        <v>8.6833697662687044</v>
      </c>
      <c r="I18" s="97">
        <v>41553</v>
      </c>
      <c r="J18" s="97">
        <v>41632</v>
      </c>
      <c r="K18" s="99" t="s">
        <v>350</v>
      </c>
      <c r="L18" s="69"/>
    </row>
    <row r="19" spans="1:12" ht="16.5">
      <c r="A19" s="61" t="s">
        <v>142</v>
      </c>
      <c r="B19" s="68">
        <v>1</v>
      </c>
      <c r="C19" s="96">
        <v>9.5</v>
      </c>
      <c r="D19" s="96">
        <v>9</v>
      </c>
      <c r="E19" s="96">
        <v>6.5</v>
      </c>
      <c r="F19" s="96">
        <v>9</v>
      </c>
      <c r="G19" s="102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103">
        <f>IF('Vars and Stats'!$B$13="Y",10*(Completed[[#This Row],[Raw]]-'Vars and Stats'!$B$9)/'Vars and Stats'!$B$10, 10*Completed[[#This Row],[Raw]]/'Vars and Stats'!$B$8)</f>
        <v>8.6581469648562308</v>
      </c>
      <c r="I19" s="97">
        <v>41369</v>
      </c>
      <c r="J19" s="97">
        <v>41389</v>
      </c>
      <c r="K19" s="99" t="s">
        <v>200</v>
      </c>
      <c r="L19" s="69" t="s">
        <v>15</v>
      </c>
    </row>
    <row r="20" spans="1:12" ht="16.5">
      <c r="A20" s="61" t="s">
        <v>331</v>
      </c>
      <c r="B20" s="68">
        <v>1</v>
      </c>
      <c r="C20" s="96">
        <v>9</v>
      </c>
      <c r="D20" s="96">
        <v>8.5</v>
      </c>
      <c r="E20" s="96">
        <v>5</v>
      </c>
      <c r="F20" s="96">
        <v>9.5</v>
      </c>
      <c r="G20" s="102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103">
        <f>IF('Vars and Stats'!$B$13="Y",10*(Completed[[#This Row],[Raw]]-'Vars and Stats'!$B$9)/'Vars and Stats'!$B$10, 10*Completed[[#This Row],[Raw]]/'Vars and Stats'!$B$8)</f>
        <v>8.5942492012779557</v>
      </c>
      <c r="I20" s="97">
        <v>41555</v>
      </c>
      <c r="J20" s="97">
        <v>41726</v>
      </c>
      <c r="K20" s="99" t="s">
        <v>446</v>
      </c>
      <c r="L20" s="69" t="s">
        <v>447</v>
      </c>
    </row>
    <row r="21" spans="1:12" ht="16.5">
      <c r="A21" s="61" t="s">
        <v>150</v>
      </c>
      <c r="B21" s="68">
        <v>1</v>
      </c>
      <c r="C21" s="96">
        <v>9.5</v>
      </c>
      <c r="D21" s="96">
        <v>8.5</v>
      </c>
      <c r="E21" s="96">
        <v>3</v>
      </c>
      <c r="F21" s="96">
        <v>9.5</v>
      </c>
      <c r="G21" s="102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103">
        <f>IF('Vars and Stats'!$B$13="Y",10*(Completed[[#This Row],[Raw]]-'Vars and Stats'!$B$9)/'Vars and Stats'!$B$10, 10*Completed[[#This Row],[Raw]]/'Vars and Stats'!$B$8)</f>
        <v>8.5892046409954599</v>
      </c>
      <c r="I21" s="97">
        <v>41477</v>
      </c>
      <c r="J21" s="97">
        <v>41479</v>
      </c>
      <c r="K21" s="99" t="s">
        <v>236</v>
      </c>
      <c r="L21" s="69"/>
    </row>
    <row r="22" spans="1:12" ht="16.5">
      <c r="A22" s="61" t="s">
        <v>474</v>
      </c>
      <c r="B22" s="68">
        <v>1</v>
      </c>
      <c r="C22" s="96">
        <v>9.5</v>
      </c>
      <c r="D22" s="96">
        <v>8.5</v>
      </c>
      <c r="E22" s="96">
        <v>3</v>
      </c>
      <c r="F22" s="96">
        <v>9.5</v>
      </c>
      <c r="G22" s="115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116">
        <f>IF('Vars and Stats'!$B$13="Y",10*(Completed[[#This Row],[Raw]]-'Vars and Stats'!$B$9)/'Vars and Stats'!$B$10, 10*Completed[[#This Row],[Raw]]/'Vars and Stats'!$B$8)</f>
        <v>8.5892046409954599</v>
      </c>
      <c r="I22" s="164">
        <v>41750</v>
      </c>
      <c r="J22" s="97">
        <v>41817</v>
      </c>
      <c r="K22" s="98" t="s">
        <v>163</v>
      </c>
      <c r="L22" s="69" t="s">
        <v>643</v>
      </c>
    </row>
    <row r="23" spans="1:12" ht="16.5">
      <c r="A23" s="126" t="s">
        <v>473</v>
      </c>
      <c r="B23" s="127">
        <v>1</v>
      </c>
      <c r="C23" s="128">
        <v>9.5</v>
      </c>
      <c r="D23" s="128">
        <v>8.5</v>
      </c>
      <c r="E23" s="128">
        <v>7.5</v>
      </c>
      <c r="F23" s="128">
        <v>9</v>
      </c>
      <c r="G23" s="132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133">
        <f>IF('Vars and Stats'!$B$13="Y",10*(Completed[[#This Row],[Raw]]-'Vars and Stats'!$B$9)/'Vars and Stats'!$B$10, 10*Completed[[#This Row],[Raw]]/'Vars and Stats'!$B$8)</f>
        <v>8.5421220783588367</v>
      </c>
      <c r="I23" s="90">
        <v>41750</v>
      </c>
      <c r="J23" s="129">
        <v>41815</v>
      </c>
      <c r="K23" s="130" t="s">
        <v>641</v>
      </c>
      <c r="L23" s="131"/>
    </row>
    <row r="24" spans="1:12" ht="16.5">
      <c r="A24" s="61" t="s">
        <v>188</v>
      </c>
      <c r="B24" s="68">
        <v>1</v>
      </c>
      <c r="C24" s="96">
        <v>9</v>
      </c>
      <c r="D24" s="96">
        <v>9</v>
      </c>
      <c r="E24" s="96">
        <v>5.5</v>
      </c>
      <c r="F24" s="96">
        <v>9</v>
      </c>
      <c r="G24" s="102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103">
        <f>IF('Vars and Stats'!$B$13="Y",10*(Completed[[#This Row],[Raw]]-'Vars and Stats'!$B$9)/'Vars and Stats'!$B$10, 10*Completed[[#This Row],[Raw]]/'Vars and Stats'!$B$8)</f>
        <v>8.4714982344039012</v>
      </c>
      <c r="I24" s="97">
        <v>41280</v>
      </c>
      <c r="J24" s="97">
        <v>41281</v>
      </c>
      <c r="K24" s="99" t="s">
        <v>395</v>
      </c>
      <c r="L24" s="69"/>
    </row>
    <row r="25" spans="1:12" ht="16.5">
      <c r="A25" s="61" t="s">
        <v>227</v>
      </c>
      <c r="B25" s="68">
        <v>2</v>
      </c>
      <c r="C25" s="96">
        <v>9</v>
      </c>
      <c r="D25" s="96">
        <v>8.5</v>
      </c>
      <c r="E25" s="96">
        <v>3</v>
      </c>
      <c r="F25" s="96">
        <v>9.5</v>
      </c>
      <c r="G25" s="102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103">
        <f>IF('Vars and Stats'!$B$13="Y",10*(Completed[[#This Row],[Raw]]-'Vars and Stats'!$B$9)/'Vars and Stats'!$B$10, 10*Completed[[#This Row],[Raw]]/'Vars and Stats'!$B$8)</f>
        <v>8.4664536741214036</v>
      </c>
      <c r="I25" s="97">
        <v>41479</v>
      </c>
      <c r="J25" s="97">
        <v>41481</v>
      </c>
      <c r="K25" s="99" t="s">
        <v>236</v>
      </c>
      <c r="L25" s="69" t="s">
        <v>228</v>
      </c>
    </row>
    <row r="26" spans="1:12" ht="16.5">
      <c r="A26" s="61" t="s">
        <v>49</v>
      </c>
      <c r="B26" s="68">
        <v>1</v>
      </c>
      <c r="C26" s="96">
        <v>8.5</v>
      </c>
      <c r="D26" s="96">
        <v>9.5</v>
      </c>
      <c r="E26" s="96">
        <v>4.5</v>
      </c>
      <c r="F26" s="96">
        <v>9</v>
      </c>
      <c r="G26" s="102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103">
        <f>IF('Vars and Stats'!$B$13="Y",10*(Completed[[#This Row],[Raw]]-'Vars and Stats'!$B$9)/'Vars and Stats'!$B$10, 10*Completed[[#This Row],[Raw]]/'Vars and Stats'!$B$8)</f>
        <v>8.4647721540272425</v>
      </c>
      <c r="I26" s="97">
        <v>41304</v>
      </c>
      <c r="J26" s="97">
        <v>41312</v>
      </c>
      <c r="K26" s="99" t="s">
        <v>241</v>
      </c>
      <c r="L26" s="69" t="s">
        <v>50</v>
      </c>
    </row>
    <row r="27" spans="1:12" ht="16.5">
      <c r="A27" s="61" t="s">
        <v>301</v>
      </c>
      <c r="B27" s="68">
        <v>1</v>
      </c>
      <c r="C27" s="96">
        <v>9.5</v>
      </c>
      <c r="D27" s="96">
        <v>8.5</v>
      </c>
      <c r="E27" s="96">
        <v>6</v>
      </c>
      <c r="F27" s="96">
        <v>9</v>
      </c>
      <c r="G27" s="102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103">
        <f>IF('Vars and Stats'!$B$13="Y",10*(Completed[[#This Row],[Raw]]-'Vars and Stats'!$B$9)/'Vars and Stats'!$B$10, 10*Completed[[#This Row],[Raw]]/'Vars and Stats'!$B$8)</f>
        <v>8.446275432991424</v>
      </c>
      <c r="I27" s="97">
        <v>41562</v>
      </c>
      <c r="J27" s="97">
        <v>41574</v>
      </c>
      <c r="K27" s="99" t="s">
        <v>346</v>
      </c>
      <c r="L27" s="69" t="s">
        <v>347</v>
      </c>
    </row>
    <row r="28" spans="1:12" ht="16.5">
      <c r="A28" s="61" t="s">
        <v>302</v>
      </c>
      <c r="B28" s="68">
        <v>1</v>
      </c>
      <c r="C28" s="96">
        <v>9</v>
      </c>
      <c r="D28" s="96">
        <v>9</v>
      </c>
      <c r="E28" s="96">
        <v>5</v>
      </c>
      <c r="F28" s="96">
        <v>9</v>
      </c>
      <c r="G28" s="102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103">
        <f>IF('Vars and Stats'!$B$13="Y",10*(Completed[[#This Row],[Raw]]-'Vars and Stats'!$B$9)/'Vars and Stats'!$B$10, 10*Completed[[#This Row],[Raw]]/'Vars and Stats'!$B$8)</f>
        <v>8.4395493526147636</v>
      </c>
      <c r="I28" s="97">
        <v>41537</v>
      </c>
      <c r="J28" s="100">
        <v>41559</v>
      </c>
      <c r="K28" s="99" t="s">
        <v>339</v>
      </c>
      <c r="L28" s="69"/>
    </row>
    <row r="29" spans="1:12" ht="16.5">
      <c r="A29" s="61" t="s">
        <v>109</v>
      </c>
      <c r="B29" s="68">
        <v>1</v>
      </c>
      <c r="C29" s="96">
        <v>8</v>
      </c>
      <c r="D29" s="96">
        <v>9.5</v>
      </c>
      <c r="E29" s="96">
        <v>6</v>
      </c>
      <c r="F29" s="96">
        <v>9</v>
      </c>
      <c r="G29" s="102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103">
        <f>IF('Vars and Stats'!$B$13="Y",10*(Completed[[#This Row],[Raw]]-'Vars and Stats'!$B$9)/'Vars and Stats'!$B$10, 10*Completed[[#This Row],[Raw]]/'Vars and Stats'!$B$8)</f>
        <v>8.4378678325206025</v>
      </c>
      <c r="I29" s="97">
        <v>41286</v>
      </c>
      <c r="J29" s="97">
        <v>41292</v>
      </c>
      <c r="K29" s="99" t="s">
        <v>205</v>
      </c>
      <c r="L29" s="69"/>
    </row>
    <row r="30" spans="1:12" ht="16.5">
      <c r="A30" s="61" t="s">
        <v>539</v>
      </c>
      <c r="B30" s="68">
        <v>1</v>
      </c>
      <c r="C30" s="96">
        <v>10</v>
      </c>
      <c r="D30" s="96">
        <v>8</v>
      </c>
      <c r="E30" s="96">
        <v>1.5</v>
      </c>
      <c r="F30" s="96">
        <v>9.5</v>
      </c>
      <c r="G30" s="102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103">
        <f>IF('Vars and Stats'!$B$13="Y",10*(Completed[[#This Row],[Raw]]-'Vars and Stats'!$B$9)/'Vars and Stats'!$B$10, 10*Completed[[#This Row],[Raw]]/'Vars and Stats'!$B$8)</f>
        <v>8.4361863124264325</v>
      </c>
      <c r="I30" s="97">
        <v>41397</v>
      </c>
      <c r="J30" s="97">
        <v>41546</v>
      </c>
      <c r="K30" s="99" t="s">
        <v>327</v>
      </c>
      <c r="L30" s="69"/>
    </row>
    <row r="31" spans="1:12" ht="16.5">
      <c r="A31" s="61" t="s">
        <v>51</v>
      </c>
      <c r="B31" s="68">
        <v>1</v>
      </c>
      <c r="C31" s="96">
        <v>9</v>
      </c>
      <c r="D31" s="96">
        <v>9</v>
      </c>
      <c r="E31" s="96">
        <v>4.5</v>
      </c>
      <c r="F31" s="96">
        <v>9</v>
      </c>
      <c r="G31" s="102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103">
        <f>IF('Vars and Stats'!$B$13="Y",10*(Completed[[#This Row],[Raw]]-'Vars and Stats'!$B$9)/'Vars and Stats'!$B$10, 10*Completed[[#This Row],[Raw]]/'Vars and Stats'!$B$8)</f>
        <v>8.4076004708256278</v>
      </c>
      <c r="I31" s="97">
        <v>41645</v>
      </c>
      <c r="J31" s="97">
        <v>41645</v>
      </c>
      <c r="K31" s="99" t="s">
        <v>432</v>
      </c>
      <c r="L31" s="69" t="s">
        <v>431</v>
      </c>
    </row>
    <row r="32" spans="1:12" ht="16.5">
      <c r="A32" s="61" t="s">
        <v>25</v>
      </c>
      <c r="B32" s="68">
        <v>1</v>
      </c>
      <c r="C32" s="96">
        <v>8</v>
      </c>
      <c r="D32" s="96">
        <v>9.5</v>
      </c>
      <c r="E32" s="96">
        <v>5</v>
      </c>
      <c r="F32" s="96">
        <v>9</v>
      </c>
      <c r="G32" s="102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103">
        <f>IF('Vars and Stats'!$B$13="Y",10*(Completed[[#This Row],[Raw]]-'Vars and Stats'!$B$9)/'Vars and Stats'!$B$10, 10*Completed[[#This Row],[Raw]]/'Vars and Stats'!$B$8)</f>
        <v>8.3739700689423238</v>
      </c>
      <c r="I32" s="97">
        <v>41370</v>
      </c>
      <c r="J32" s="97">
        <v>41454</v>
      </c>
      <c r="K32" s="99" t="s">
        <v>237</v>
      </c>
      <c r="L32" s="69" t="s">
        <v>499</v>
      </c>
    </row>
    <row r="33" spans="1:12" ht="16.5">
      <c r="A33" s="61" t="s">
        <v>222</v>
      </c>
      <c r="B33" s="68">
        <v>1</v>
      </c>
      <c r="C33" s="96">
        <v>9.5</v>
      </c>
      <c r="D33" s="96">
        <v>8</v>
      </c>
      <c r="E33" s="96">
        <v>6</v>
      </c>
      <c r="F33" s="96">
        <v>9</v>
      </c>
      <c r="G33" s="102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103">
        <f>IF('Vars and Stats'!$B$13="Y",10*(Completed[[#This Row],[Raw]]-'Vars and Stats'!$B$9)/'Vars and Stats'!$B$10, 10*Completed[[#This Row],[Raw]]/'Vars and Stats'!$B$8)</f>
        <v>8.2663527829157566</v>
      </c>
      <c r="I33" s="97">
        <v>41530</v>
      </c>
      <c r="J33" s="97">
        <v>41532</v>
      </c>
      <c r="K33" s="99" t="s">
        <v>299</v>
      </c>
      <c r="L33" s="69" t="s">
        <v>300</v>
      </c>
    </row>
    <row r="34" spans="1:12" ht="16.5">
      <c r="A34" s="61" t="s">
        <v>33</v>
      </c>
      <c r="B34" s="68">
        <v>2</v>
      </c>
      <c r="C34" s="96">
        <v>8.5</v>
      </c>
      <c r="D34" s="96">
        <v>9</v>
      </c>
      <c r="E34" s="96">
        <v>4</v>
      </c>
      <c r="F34" s="96">
        <v>9</v>
      </c>
      <c r="G34" s="102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103">
        <f>IF('Vars and Stats'!$B$13="Y",10*(Completed[[#This Row],[Raw]]-'Vars and Stats'!$B$9)/'Vars and Stats'!$B$10, 10*Completed[[#This Row],[Raw]]/'Vars and Stats'!$B$8)</f>
        <v>8.2529006221624357</v>
      </c>
      <c r="I34" s="97">
        <v>41358</v>
      </c>
      <c r="J34" s="97">
        <v>41359</v>
      </c>
      <c r="K34" s="99" t="s">
        <v>234</v>
      </c>
      <c r="L34" s="69"/>
    </row>
    <row r="35" spans="1:12" ht="16.5">
      <c r="A35" s="61" t="s">
        <v>41</v>
      </c>
      <c r="B35" s="68">
        <v>1</v>
      </c>
      <c r="C35" s="96">
        <v>8.5</v>
      </c>
      <c r="D35" s="96">
        <v>9</v>
      </c>
      <c r="E35" s="96">
        <v>4</v>
      </c>
      <c r="F35" s="96">
        <v>9</v>
      </c>
      <c r="G35" s="102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103">
        <f>IF('Vars and Stats'!$B$13="Y",10*(Completed[[#This Row],[Raw]]-'Vars and Stats'!$B$9)/'Vars and Stats'!$B$10, 10*Completed[[#This Row],[Raw]]/'Vars and Stats'!$B$8)</f>
        <v>8.2529006221624357</v>
      </c>
      <c r="I35" s="97">
        <v>41328</v>
      </c>
      <c r="J35" s="97">
        <v>41329</v>
      </c>
      <c r="K35" s="99" t="s">
        <v>235</v>
      </c>
      <c r="L35" s="69"/>
    </row>
    <row r="36" spans="1:12" ht="16.5">
      <c r="A36" s="61" t="s">
        <v>217</v>
      </c>
      <c r="B36" s="68">
        <v>1</v>
      </c>
      <c r="C36" s="96">
        <v>8</v>
      </c>
      <c r="D36" s="96">
        <v>9</v>
      </c>
      <c r="E36" s="96">
        <v>5.5</v>
      </c>
      <c r="F36" s="96">
        <v>9</v>
      </c>
      <c r="G36" s="102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103">
        <f>IF('Vars and Stats'!$B$13="Y",10*(Completed[[#This Row],[Raw]]-'Vars and Stats'!$B$9)/'Vars and Stats'!$B$10, 10*Completed[[#This Row],[Raw]]/'Vars and Stats'!$B$8)</f>
        <v>8.2259963006557921</v>
      </c>
      <c r="I36" s="97">
        <v>41461</v>
      </c>
      <c r="J36" s="97">
        <v>41543</v>
      </c>
      <c r="K36" s="99" t="s">
        <v>323</v>
      </c>
      <c r="L36" s="69" t="s">
        <v>324</v>
      </c>
    </row>
    <row r="37" spans="1:12" ht="16.5">
      <c r="A37" s="61" t="s">
        <v>194</v>
      </c>
      <c r="B37" s="68">
        <v>2</v>
      </c>
      <c r="C37" s="96">
        <v>9</v>
      </c>
      <c r="D37" s="96">
        <v>9</v>
      </c>
      <c r="E37" s="96">
        <v>6.5</v>
      </c>
      <c r="F37" s="96">
        <v>8.5</v>
      </c>
      <c r="G37" s="102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103">
        <f>IF('Vars and Stats'!$B$13="Y",10*(Completed[[#This Row],[Raw]]-'Vars and Stats'!$B$9)/'Vars and Stats'!$B$10, 10*Completed[[#This Row],[Raw]]/'Vars and Stats'!$B$8)</f>
        <v>8.2007734992433168</v>
      </c>
      <c r="I37" s="97">
        <v>41395</v>
      </c>
      <c r="J37" s="97">
        <v>41400</v>
      </c>
      <c r="K37" s="99" t="s">
        <v>200</v>
      </c>
      <c r="L37" s="69" t="s">
        <v>524</v>
      </c>
    </row>
    <row r="38" spans="1:12" ht="16.5">
      <c r="A38" s="61" t="s">
        <v>426</v>
      </c>
      <c r="B38" s="68">
        <v>1</v>
      </c>
      <c r="C38" s="96">
        <v>4</v>
      </c>
      <c r="D38" s="96">
        <v>9</v>
      </c>
      <c r="E38" s="96">
        <v>9.5</v>
      </c>
      <c r="F38" s="96">
        <v>10</v>
      </c>
      <c r="G38" s="102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103">
        <f>IF('Vars and Stats'!$B$13="Y",10*(Completed[[#This Row],[Raw]]-'Vars and Stats'!$B$9)/'Vars and Stats'!$B$10, 10*Completed[[#This Row],[Raw]]/'Vars and Stats'!$B$8)</f>
        <v>8.1688246174541774</v>
      </c>
      <c r="I38" s="97">
        <v>41638</v>
      </c>
      <c r="J38" s="97">
        <v>41641</v>
      </c>
      <c r="K38" s="99" t="s">
        <v>427</v>
      </c>
      <c r="L38" s="69"/>
    </row>
    <row r="39" spans="1:12" ht="16.5">
      <c r="A39" s="61" t="s">
        <v>514</v>
      </c>
      <c r="B39" s="68">
        <v>1</v>
      </c>
      <c r="C39" s="96">
        <v>7.5</v>
      </c>
      <c r="D39" s="96">
        <v>9</v>
      </c>
      <c r="E39" s="96">
        <v>6</v>
      </c>
      <c r="F39" s="96">
        <v>9</v>
      </c>
      <c r="G39" s="102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103">
        <f>IF('Vars and Stats'!$B$13="Y",10*(Completed[[#This Row],[Raw]]-'Vars and Stats'!$B$9)/'Vars and Stats'!$B$10, 10*Completed[[#This Row],[Raw]]/'Vars and Stats'!$B$8)</f>
        <v>8.1351942155708752</v>
      </c>
      <c r="I39" s="97">
        <v>41436</v>
      </c>
      <c r="J39" s="97">
        <v>41438</v>
      </c>
      <c r="K39" s="99" t="s">
        <v>238</v>
      </c>
      <c r="L39" s="81"/>
    </row>
    <row r="40" spans="1:12" ht="16.5">
      <c r="A40" s="61" t="s">
        <v>89</v>
      </c>
      <c r="B40" s="68">
        <v>1</v>
      </c>
      <c r="C40" s="96">
        <v>5</v>
      </c>
      <c r="D40" s="96">
        <v>9</v>
      </c>
      <c r="E40" s="96">
        <v>10</v>
      </c>
      <c r="F40" s="96">
        <v>9.5</v>
      </c>
      <c r="G40" s="102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103">
        <f>IF('Vars and Stats'!$B$13="Y",10*(Completed[[#This Row],[Raw]]-'Vars and Stats'!$B$9)/'Vars and Stats'!$B$10, 10*Completed[[#This Row],[Raw]]/'Vars and Stats'!$B$8)</f>
        <v>8.1116529342525627</v>
      </c>
      <c r="I40" s="97">
        <v>41316</v>
      </c>
      <c r="J40" s="97">
        <v>41316</v>
      </c>
      <c r="K40" s="99" t="s">
        <v>261</v>
      </c>
      <c r="L40" s="69" t="s">
        <v>90</v>
      </c>
    </row>
    <row r="41" spans="1:12" ht="16.5">
      <c r="A41" s="61" t="s">
        <v>515</v>
      </c>
      <c r="B41" s="68">
        <v>2</v>
      </c>
      <c r="C41" s="96">
        <v>8.5</v>
      </c>
      <c r="D41" s="96">
        <v>8.5</v>
      </c>
      <c r="E41" s="96">
        <v>4.5</v>
      </c>
      <c r="F41" s="96">
        <v>9</v>
      </c>
      <c r="G41" s="102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103">
        <f>IF('Vars and Stats'!$B$13="Y",10*(Completed[[#This Row],[Raw]]-'Vars and Stats'!$B$9)/'Vars and Stats'!$B$10, 10*Completed[[#This Row],[Raw]]/'Vars and Stats'!$B$8)</f>
        <v>8.1049268538759023</v>
      </c>
      <c r="I41" s="97">
        <v>41473</v>
      </c>
      <c r="J41" s="97">
        <v>41546</v>
      </c>
      <c r="K41" s="99" t="s">
        <v>238</v>
      </c>
      <c r="L41" s="69"/>
    </row>
    <row r="42" spans="1:12" ht="16.5">
      <c r="A42" s="61" t="s">
        <v>278</v>
      </c>
      <c r="B42" s="68">
        <v>1</v>
      </c>
      <c r="C42" s="96">
        <v>9.5</v>
      </c>
      <c r="D42" s="96">
        <v>7.5</v>
      </c>
      <c r="E42" s="96">
        <v>5</v>
      </c>
      <c r="F42" s="96">
        <v>9</v>
      </c>
      <c r="G42" s="102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103">
        <f>IF('Vars and Stats'!$B$13="Y",10*(Completed[[#This Row],[Raw]]-'Vars and Stats'!$B$9)/'Vars and Stats'!$B$10, 10*Completed[[#This Row],[Raw]]/'Vars and Stats'!$B$8)</f>
        <v>8.0225323692618122</v>
      </c>
      <c r="I42" s="97">
        <v>41485</v>
      </c>
      <c r="J42" s="97">
        <v>41491</v>
      </c>
      <c r="K42" s="99" t="s">
        <v>279</v>
      </c>
      <c r="L42" s="69" t="s">
        <v>298</v>
      </c>
    </row>
    <row r="43" spans="1:12" ht="16.5">
      <c r="A43" s="61" t="s">
        <v>173</v>
      </c>
      <c r="B43" s="68">
        <v>2</v>
      </c>
      <c r="C43" s="96">
        <v>9</v>
      </c>
      <c r="D43" s="96">
        <v>8</v>
      </c>
      <c r="E43" s="96">
        <v>4</v>
      </c>
      <c r="F43" s="96">
        <v>9</v>
      </c>
      <c r="G43" s="102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103">
        <f>IF('Vars and Stats'!$B$13="Y",10*(Completed[[#This Row],[Raw]]-'Vars and Stats'!$B$9)/'Vars and Stats'!$B$10, 10*Completed[[#This Row],[Raw]]/'Vars and Stats'!$B$8)</f>
        <v>8.0158062888851518</v>
      </c>
      <c r="I43" s="97">
        <v>41468</v>
      </c>
      <c r="J43" s="97">
        <v>41470</v>
      </c>
      <c r="K43" s="99" t="s">
        <v>238</v>
      </c>
      <c r="L43" s="81" t="s">
        <v>226</v>
      </c>
    </row>
    <row r="44" spans="1:12" ht="16.5">
      <c r="A44" s="61" t="s">
        <v>23</v>
      </c>
      <c r="B44" s="68">
        <v>1</v>
      </c>
      <c r="C44" s="96">
        <v>8</v>
      </c>
      <c r="D44" s="96">
        <v>8.5</v>
      </c>
      <c r="E44" s="96">
        <v>5</v>
      </c>
      <c r="F44" s="96">
        <v>9</v>
      </c>
      <c r="G44" s="102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103">
        <f>IF('Vars and Stats'!$B$13="Y",10*(Completed[[#This Row],[Raw]]-'Vars and Stats'!$B$9)/'Vars and Stats'!$B$10, 10*Completed[[#This Row],[Raw]]/'Vars and Stats'!$B$8)</f>
        <v>8.0141247687909889</v>
      </c>
      <c r="I44" s="97">
        <v>41371</v>
      </c>
      <c r="J44" s="97">
        <v>41452</v>
      </c>
      <c r="K44" s="99" t="s">
        <v>243</v>
      </c>
      <c r="L44" s="69"/>
    </row>
    <row r="45" spans="1:12" ht="16.5">
      <c r="A45" s="61" t="s">
        <v>482</v>
      </c>
      <c r="B45" s="68">
        <v>1</v>
      </c>
      <c r="C45" s="96">
        <v>8.5</v>
      </c>
      <c r="D45" s="96">
        <v>9</v>
      </c>
      <c r="E45" s="96">
        <v>5.5</v>
      </c>
      <c r="F45" s="96">
        <v>8.5</v>
      </c>
      <c r="G45" s="115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116">
        <f>IF('Vars and Stats'!$B$13="Y",10*(Completed[[#This Row],[Raw]]-'Vars and Stats'!$B$9)/'Vars and Stats'!$B$10, 10*Completed[[#This Row],[Raw]]/'Vars and Stats'!$B$8)</f>
        <v>8.0141247687909889</v>
      </c>
      <c r="I45" s="97">
        <v>41785</v>
      </c>
      <c r="J45" s="97">
        <v>41818</v>
      </c>
      <c r="K45" s="99" t="s">
        <v>646</v>
      </c>
      <c r="L45" s="69" t="s">
        <v>645</v>
      </c>
    </row>
    <row r="46" spans="1:12" ht="16.5">
      <c r="A46" s="61" t="s">
        <v>468</v>
      </c>
      <c r="B46" s="68">
        <v>1</v>
      </c>
      <c r="C46" s="96">
        <v>4.5</v>
      </c>
      <c r="D46" s="96">
        <v>9</v>
      </c>
      <c r="E46" s="96">
        <v>10</v>
      </c>
      <c r="F46" s="96">
        <v>9.5</v>
      </c>
      <c r="G46" s="115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116">
        <f>IF('Vars and Stats'!$B$13="Y",10*(Completed[[#This Row],[Raw]]-'Vars and Stats'!$B$9)/'Vars and Stats'!$B$10, 10*Completed[[#This Row],[Raw]]/'Vars and Stats'!$B$8)</f>
        <v>7.9889019673785109</v>
      </c>
      <c r="I46" s="97">
        <v>41762</v>
      </c>
      <c r="J46" s="97">
        <v>41820</v>
      </c>
      <c r="K46" s="99" t="s">
        <v>648</v>
      </c>
      <c r="L46" s="69"/>
    </row>
    <row r="47" spans="1:12" ht="16.5">
      <c r="A47" s="61" t="s">
        <v>485</v>
      </c>
      <c r="B47" s="68">
        <v>1</v>
      </c>
      <c r="C47" s="96">
        <v>9</v>
      </c>
      <c r="D47" s="96">
        <v>8.5</v>
      </c>
      <c r="E47" s="96">
        <v>5.5</v>
      </c>
      <c r="F47" s="96">
        <v>8.5</v>
      </c>
      <c r="G47" s="115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116">
        <f>IF('Vars and Stats'!$B$13="Y",10*(Completed[[#This Row],[Raw]]-'Vars and Stats'!$B$9)/'Vars and Stats'!$B$10, 10*Completed[[#This Row],[Raw]]/'Vars and Stats'!$B$8)</f>
        <v>7.9569530855893724</v>
      </c>
      <c r="I47" s="100">
        <v>41786</v>
      </c>
      <c r="J47" s="97">
        <v>41812</v>
      </c>
      <c r="K47" s="99" t="s">
        <v>635</v>
      </c>
      <c r="L47" s="69"/>
    </row>
    <row r="48" spans="1:12" ht="16.5">
      <c r="A48" s="61" t="s">
        <v>192</v>
      </c>
      <c r="B48" s="68">
        <v>1</v>
      </c>
      <c r="C48" s="96">
        <v>8.5</v>
      </c>
      <c r="D48" s="96">
        <v>8</v>
      </c>
      <c r="E48" s="96">
        <v>5</v>
      </c>
      <c r="F48" s="96">
        <v>9</v>
      </c>
      <c r="G48" s="102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103">
        <f>IF('Vars and Stats'!$B$13="Y",10*(Completed[[#This Row],[Raw]]-'Vars and Stats'!$B$9)/'Vars and Stats'!$B$10, 10*Completed[[#This Row],[Raw]]/'Vars and Stats'!$B$8)</f>
        <v>7.9569530855893724</v>
      </c>
      <c r="I48" s="97">
        <v>41261</v>
      </c>
      <c r="J48" s="97">
        <v>41359</v>
      </c>
      <c r="K48" s="99" t="s">
        <v>203</v>
      </c>
      <c r="L48" s="81"/>
    </row>
    <row r="49" spans="1:12" ht="16.5">
      <c r="A49" s="61" t="s">
        <v>428</v>
      </c>
      <c r="B49" s="68">
        <v>1</v>
      </c>
      <c r="C49" s="96">
        <v>9</v>
      </c>
      <c r="D49" s="96">
        <v>8.5</v>
      </c>
      <c r="E49" s="96">
        <v>5</v>
      </c>
      <c r="F49" s="96">
        <v>8.5</v>
      </c>
      <c r="G49" s="102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103">
        <f>IF('Vars and Stats'!$B$13="Y",10*(Completed[[#This Row],[Raw]]-'Vars and Stats'!$B$9)/'Vars and Stats'!$B$10, 10*Completed[[#This Row],[Raw]]/'Vars and Stats'!$B$8)</f>
        <v>7.9250042038002348</v>
      </c>
      <c r="I49" s="97">
        <v>41647</v>
      </c>
      <c r="J49" s="97">
        <v>41726</v>
      </c>
      <c r="K49" s="99" t="s">
        <v>449</v>
      </c>
      <c r="L49" s="69"/>
    </row>
    <row r="50" spans="1:12" ht="16.5">
      <c r="A50" s="61" t="s">
        <v>191</v>
      </c>
      <c r="B50" s="68">
        <v>2</v>
      </c>
      <c r="C50" s="96">
        <v>6.5</v>
      </c>
      <c r="D50" s="96">
        <v>7.5</v>
      </c>
      <c r="E50" s="96">
        <v>9</v>
      </c>
      <c r="F50" s="96">
        <v>9.5</v>
      </c>
      <c r="G50" s="102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103">
        <f>IF('Vars and Stats'!$B$13="Y",10*(Completed[[#This Row],[Raw]]-'Vars and Stats'!$B$9)/'Vars and Stats'!$B$10, 10*Completed[[#This Row],[Raw]]/'Vars and Stats'!$B$8)</f>
        <v>7.8762401210694479</v>
      </c>
      <c r="I50" s="97">
        <v>41338</v>
      </c>
      <c r="J50" s="97">
        <v>41340</v>
      </c>
      <c r="K50" s="99" t="s">
        <v>208</v>
      </c>
      <c r="L50" s="69" t="s">
        <v>54</v>
      </c>
    </row>
    <row r="51" spans="1:12" ht="16.5">
      <c r="A51" s="61" t="s">
        <v>328</v>
      </c>
      <c r="B51" s="68">
        <v>1</v>
      </c>
      <c r="C51" s="96">
        <v>8.5</v>
      </c>
      <c r="D51" s="96">
        <v>8.5</v>
      </c>
      <c r="E51" s="96">
        <v>6</v>
      </c>
      <c r="F51" s="96">
        <v>8.5</v>
      </c>
      <c r="G51" s="102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103">
        <f>IF('Vars and Stats'!$B$13="Y",10*(Completed[[#This Row],[Raw]]-'Vars and Stats'!$B$9)/'Vars and Stats'!$B$10, 10*Completed[[#This Row],[Raw]]/'Vars and Stats'!$B$8)</f>
        <v>7.8661510005044573</v>
      </c>
      <c r="I51" s="97">
        <v>41550</v>
      </c>
      <c r="J51" s="97">
        <v>41628</v>
      </c>
      <c r="K51" s="99" t="s">
        <v>397</v>
      </c>
      <c r="L51" s="69" t="s">
        <v>500</v>
      </c>
    </row>
    <row r="52" spans="1:12" ht="16.5">
      <c r="A52" s="61" t="s">
        <v>190</v>
      </c>
      <c r="B52" s="68">
        <v>1</v>
      </c>
      <c r="C52" s="96">
        <v>4</v>
      </c>
      <c r="D52" s="96">
        <v>9</v>
      </c>
      <c r="E52" s="96">
        <v>10</v>
      </c>
      <c r="F52" s="96">
        <v>9.5</v>
      </c>
      <c r="G52" s="102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103">
        <f>IF('Vars and Stats'!$B$13="Y",10*(Completed[[#This Row],[Raw]]-'Vars and Stats'!$B$9)/'Vars and Stats'!$B$10, 10*Completed[[#This Row],[Raw]]/'Vars and Stats'!$B$8)</f>
        <v>7.8661510005044573</v>
      </c>
      <c r="I52" s="97">
        <v>41300</v>
      </c>
      <c r="J52" s="97">
        <v>41302</v>
      </c>
      <c r="K52" s="99" t="s">
        <v>260</v>
      </c>
      <c r="L52" s="69" t="s">
        <v>92</v>
      </c>
    </row>
    <row r="53" spans="1:12" ht="16.5">
      <c r="A53" s="61" t="s">
        <v>46</v>
      </c>
      <c r="B53" s="68">
        <v>1</v>
      </c>
      <c r="C53" s="96">
        <v>9</v>
      </c>
      <c r="D53" s="96">
        <v>8.5</v>
      </c>
      <c r="E53" s="96">
        <v>3</v>
      </c>
      <c r="F53" s="96">
        <v>8.5</v>
      </c>
      <c r="G53" s="102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103">
        <f>IF('Vars and Stats'!$B$13="Y",10*(Completed[[#This Row],[Raw]]-'Vars and Stats'!$B$9)/'Vars and Stats'!$B$10, 10*Completed[[#This Row],[Raw]]/'Vars and Stats'!$B$8)</f>
        <v>7.7972086766436846</v>
      </c>
      <c r="I53" s="97">
        <v>41411</v>
      </c>
      <c r="J53" s="97">
        <v>41413</v>
      </c>
      <c r="K53" s="99" t="s">
        <v>240</v>
      </c>
      <c r="L53" s="69"/>
    </row>
    <row r="54" spans="1:12" ht="16.5">
      <c r="A54" s="61" t="s">
        <v>272</v>
      </c>
      <c r="B54" s="68">
        <v>2</v>
      </c>
      <c r="C54" s="96">
        <v>9</v>
      </c>
      <c r="D54" s="96">
        <v>8</v>
      </c>
      <c r="E54" s="96">
        <v>5.5</v>
      </c>
      <c r="F54" s="96">
        <v>8.5</v>
      </c>
      <c r="G54" s="102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103">
        <f>IF('Vars and Stats'!$B$13="Y",10*(Completed[[#This Row],[Raw]]-'Vars and Stats'!$B$9)/'Vars and Stats'!$B$10, 10*Completed[[#This Row],[Raw]]/'Vars and Stats'!$B$8)</f>
        <v>7.7770304355137059</v>
      </c>
      <c r="I54" s="97">
        <v>41633</v>
      </c>
      <c r="J54" s="97">
        <v>41635</v>
      </c>
      <c r="K54" s="99" t="s">
        <v>416</v>
      </c>
      <c r="L54" s="69" t="s">
        <v>417</v>
      </c>
    </row>
    <row r="55" spans="1:12" ht="16.5">
      <c r="A55" s="61" t="s">
        <v>424</v>
      </c>
      <c r="B55" s="68">
        <v>2</v>
      </c>
      <c r="C55" s="96">
        <v>9</v>
      </c>
      <c r="D55" s="96">
        <v>8</v>
      </c>
      <c r="E55" s="96">
        <v>5.5</v>
      </c>
      <c r="F55" s="96">
        <v>8.5</v>
      </c>
      <c r="G55" s="102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103">
        <f>IF('Vars and Stats'!$B$13="Y",10*(Completed[[#This Row],[Raw]]-'Vars and Stats'!$B$9)/'Vars and Stats'!$B$10, 10*Completed[[#This Row],[Raw]]/'Vars and Stats'!$B$8)</f>
        <v>7.7770304355137059</v>
      </c>
      <c r="I55" s="97">
        <v>41461</v>
      </c>
      <c r="J55" s="97">
        <v>41638</v>
      </c>
      <c r="K55" s="99" t="s">
        <v>241</v>
      </c>
      <c r="L55" s="69" t="s">
        <v>425</v>
      </c>
    </row>
    <row r="56" spans="1:12" ht="16.5">
      <c r="A56" s="61" t="s">
        <v>547</v>
      </c>
      <c r="B56" s="68">
        <v>1</v>
      </c>
      <c r="C56" s="96">
        <v>8.5</v>
      </c>
      <c r="D56" s="96">
        <v>7.5</v>
      </c>
      <c r="E56" s="96">
        <v>5</v>
      </c>
      <c r="F56" s="96">
        <v>9</v>
      </c>
      <c r="G56" s="102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103">
        <f>IF('Vars and Stats'!$B$13="Y",10*(Completed[[#This Row],[Raw]]-'Vars and Stats'!$B$9)/'Vars and Stats'!$B$10, 10*Completed[[#This Row],[Raw]]/'Vars and Stats'!$B$8)</f>
        <v>7.7770304355137059</v>
      </c>
      <c r="I56" s="97">
        <v>41431</v>
      </c>
      <c r="J56" s="97">
        <v>41436</v>
      </c>
      <c r="K56" s="99" t="s">
        <v>238</v>
      </c>
      <c r="L56" s="69"/>
    </row>
    <row r="57" spans="1:12" ht="16.5">
      <c r="A57" s="61" t="s">
        <v>341</v>
      </c>
      <c r="B57" s="68">
        <v>1</v>
      </c>
      <c r="C57" s="96">
        <v>8.5</v>
      </c>
      <c r="D57" s="96">
        <v>9</v>
      </c>
      <c r="E57" s="96">
        <v>7</v>
      </c>
      <c r="F57" s="96">
        <v>8</v>
      </c>
      <c r="G57" s="102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103">
        <f>IF('Vars and Stats'!$B$13="Y",10*(Completed[[#This Row],[Raw]]-'Vars and Stats'!$B$9)/'Vars and Stats'!$B$10, 10*Completed[[#This Row],[Raw]]/'Vars and Stats'!$B$8)</f>
        <v>7.7753489154195394</v>
      </c>
      <c r="I57" s="97">
        <v>41555</v>
      </c>
      <c r="J57" s="97">
        <v>41631</v>
      </c>
      <c r="K57" s="99" t="s">
        <v>405</v>
      </c>
      <c r="L57" s="69" t="s">
        <v>406</v>
      </c>
    </row>
    <row r="58" spans="1:12" ht="16.5">
      <c r="A58" s="61" t="s">
        <v>409</v>
      </c>
      <c r="B58" s="68">
        <v>1</v>
      </c>
      <c r="C58" s="96">
        <v>8.5</v>
      </c>
      <c r="D58" s="96">
        <v>9</v>
      </c>
      <c r="E58" s="96">
        <v>7</v>
      </c>
      <c r="F58" s="96">
        <v>8</v>
      </c>
      <c r="G58" s="115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8" s="116">
        <f>IF('Vars and Stats'!$B$13="Y",10*(Completed[[#This Row],[Raw]]-'Vars and Stats'!$B$9)/'Vars and Stats'!$B$10, 10*Completed[[#This Row],[Raw]]/'Vars and Stats'!$B$8)</f>
        <v>7.7753489154195394</v>
      </c>
      <c r="I58" s="97">
        <v>41652</v>
      </c>
      <c r="J58" s="97">
        <v>41824</v>
      </c>
      <c r="K58" s="99" t="s">
        <v>676</v>
      </c>
      <c r="L58" s="69"/>
    </row>
    <row r="59" spans="1:12" ht="16.5">
      <c r="A59" s="61" t="s">
        <v>172</v>
      </c>
      <c r="B59" s="68">
        <v>1</v>
      </c>
      <c r="C59" s="96">
        <v>7</v>
      </c>
      <c r="D59" s="96">
        <v>8.5</v>
      </c>
      <c r="E59" s="96">
        <v>10</v>
      </c>
      <c r="F59" s="96">
        <v>8.5</v>
      </c>
      <c r="G59" s="102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9" s="103">
        <f>IF('Vars and Stats'!$B$13="Y",10*(Completed[[#This Row],[Raw]]-'Vars and Stats'!$B$9)/'Vars and Stats'!$B$10, 10*Completed[[#This Row],[Raw]]/'Vars and Stats'!$B$8)</f>
        <v>7.7534891541953899</v>
      </c>
      <c r="I59" s="97">
        <v>41378</v>
      </c>
      <c r="J59" s="97">
        <v>41454</v>
      </c>
      <c r="K59" s="99" t="s">
        <v>247</v>
      </c>
      <c r="L59" s="69"/>
    </row>
    <row r="60" spans="1:12" ht="16.5">
      <c r="A60" s="61" t="s">
        <v>196</v>
      </c>
      <c r="B60" s="68">
        <v>1</v>
      </c>
      <c r="C60" s="96">
        <v>9</v>
      </c>
      <c r="D60" s="96">
        <v>8</v>
      </c>
      <c r="E60" s="96">
        <v>5</v>
      </c>
      <c r="F60" s="96">
        <v>8.5</v>
      </c>
      <c r="G60" s="102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0" s="103">
        <f>IF('Vars and Stats'!$B$13="Y",10*(Completed[[#This Row],[Raw]]-'Vars and Stats'!$B$9)/'Vars and Stats'!$B$10, 10*Completed[[#This Row],[Raw]]/'Vars and Stats'!$B$8)</f>
        <v>7.7450815537245683</v>
      </c>
      <c r="I60" s="97">
        <v>41424</v>
      </c>
      <c r="J60" s="97">
        <v>41430</v>
      </c>
      <c r="K60" s="99" t="s">
        <v>239</v>
      </c>
      <c r="L60" s="69" t="s">
        <v>146</v>
      </c>
    </row>
    <row r="61" spans="1:12" ht="16.5">
      <c r="A61" s="61" t="s">
        <v>326</v>
      </c>
      <c r="B61" s="68">
        <v>2</v>
      </c>
      <c r="C61" s="96">
        <v>8.5</v>
      </c>
      <c r="D61" s="96">
        <v>8</v>
      </c>
      <c r="E61" s="96">
        <v>5.5</v>
      </c>
      <c r="F61" s="96">
        <v>8.5</v>
      </c>
      <c r="G61" s="102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103">
        <f>IF('Vars and Stats'!$B$13="Y",10*(Completed[[#This Row],[Raw]]-'Vars and Stats'!$B$9)/'Vars and Stats'!$B$10, 10*Completed[[#This Row],[Raw]]/'Vars and Stats'!$B$8)</f>
        <v>7.6542794686396505</v>
      </c>
      <c r="I61" s="97">
        <v>41370</v>
      </c>
      <c r="J61" s="97">
        <v>41512</v>
      </c>
      <c r="K61" s="99" t="s">
        <v>271</v>
      </c>
      <c r="L61" s="69"/>
    </row>
    <row r="62" spans="1:12" ht="16.5">
      <c r="A62" s="61" t="s">
        <v>60</v>
      </c>
      <c r="B62" s="68">
        <v>1</v>
      </c>
      <c r="C62" s="96">
        <v>9</v>
      </c>
      <c r="D62" s="96">
        <v>7.5</v>
      </c>
      <c r="E62" s="96">
        <v>5</v>
      </c>
      <c r="F62" s="96">
        <v>8.5</v>
      </c>
      <c r="G62" s="102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103">
        <f>IF('Vars and Stats'!$B$13="Y",10*(Completed[[#This Row],[Raw]]-'Vars and Stats'!$B$9)/'Vars and Stats'!$B$10, 10*Completed[[#This Row],[Raw]]/'Vars and Stats'!$B$8)</f>
        <v>7.5651589036488991</v>
      </c>
      <c r="I62" s="97">
        <v>41255</v>
      </c>
      <c r="J62" s="97">
        <v>41256</v>
      </c>
      <c r="K62" s="99" t="s">
        <v>242</v>
      </c>
      <c r="L62" s="69"/>
    </row>
    <row r="63" spans="1:12" ht="16.5">
      <c r="A63" s="61" t="s">
        <v>333</v>
      </c>
      <c r="B63" s="68">
        <v>1</v>
      </c>
      <c r="C63" s="96">
        <v>8.5</v>
      </c>
      <c r="D63" s="96">
        <v>8</v>
      </c>
      <c r="E63" s="96">
        <v>4</v>
      </c>
      <c r="F63" s="96">
        <v>8.5</v>
      </c>
      <c r="G63" s="102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103">
        <f>IF('Vars and Stats'!$B$13="Y",10*(Completed[[#This Row],[Raw]]-'Vars and Stats'!$B$9)/'Vars and Stats'!$B$10, 10*Completed[[#This Row],[Raw]]/'Vars and Stats'!$B$8)</f>
        <v>7.5584328232722369</v>
      </c>
      <c r="I63" s="97">
        <v>41562</v>
      </c>
      <c r="J63" s="97">
        <v>41728</v>
      </c>
      <c r="K63" s="99" t="s">
        <v>451</v>
      </c>
      <c r="L63" s="69" t="s">
        <v>452</v>
      </c>
    </row>
    <row r="64" spans="1:12" ht="16.5">
      <c r="A64" s="61" t="s">
        <v>469</v>
      </c>
      <c r="B64" s="68">
        <v>1</v>
      </c>
      <c r="C64" s="96">
        <v>8.5</v>
      </c>
      <c r="D64" s="96">
        <v>8</v>
      </c>
      <c r="E64" s="96">
        <v>3.5</v>
      </c>
      <c r="F64" s="96">
        <v>8.5</v>
      </c>
      <c r="G64" s="115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116">
        <f>IF('Vars and Stats'!$B$13="Y",10*(Completed[[#This Row],[Raw]]-'Vars and Stats'!$B$9)/'Vars and Stats'!$B$10, 10*Completed[[#This Row],[Raw]]/'Vars and Stats'!$B$8)</f>
        <v>7.5264839414831002</v>
      </c>
      <c r="I64" s="90">
        <v>41789</v>
      </c>
      <c r="J64" s="97">
        <v>41816</v>
      </c>
      <c r="K64" s="99" t="s">
        <v>638</v>
      </c>
      <c r="L64" s="69"/>
    </row>
    <row r="65" spans="1:12" ht="16.5">
      <c r="A65" s="61" t="s">
        <v>80</v>
      </c>
      <c r="B65" s="68">
        <v>2</v>
      </c>
      <c r="C65" s="96">
        <v>7</v>
      </c>
      <c r="D65" s="96">
        <v>8</v>
      </c>
      <c r="E65" s="96">
        <v>3.5</v>
      </c>
      <c r="F65" s="96">
        <v>9</v>
      </c>
      <c r="G65" s="102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103">
        <f>IF('Vars and Stats'!$B$13="Y",10*(Completed[[#This Row],[Raw]]-'Vars and Stats'!$B$9)/'Vars and Stats'!$B$10, 10*Completed[[#This Row],[Raw]]/'Vars and Stats'!$B$8)</f>
        <v>7.4928535395997988</v>
      </c>
      <c r="I65" s="97">
        <v>41354</v>
      </c>
      <c r="J65" s="97">
        <v>41355</v>
      </c>
      <c r="K65" s="99" t="s">
        <v>392</v>
      </c>
      <c r="L65" s="69"/>
    </row>
    <row r="66" spans="1:12" ht="16.5">
      <c r="A66" s="61" t="s">
        <v>430</v>
      </c>
      <c r="B66" s="68">
        <v>1</v>
      </c>
      <c r="C66" s="96">
        <v>5</v>
      </c>
      <c r="D66" s="96">
        <v>9</v>
      </c>
      <c r="E66" s="96">
        <v>5</v>
      </c>
      <c r="F66" s="96">
        <v>9</v>
      </c>
      <c r="G66" s="102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103">
        <f>IF('Vars and Stats'!$B$13="Y",10*(Completed[[#This Row],[Raw]]-'Vars and Stats'!$B$9)/'Vars and Stats'!$B$10, 10*Completed[[#This Row],[Raw]]/'Vars and Stats'!$B$8)</f>
        <v>7.457541617622331</v>
      </c>
      <c r="I66" s="97">
        <v>41648</v>
      </c>
      <c r="J66" s="97">
        <v>41785</v>
      </c>
      <c r="K66" s="99" t="s">
        <v>495</v>
      </c>
      <c r="L66" s="69"/>
    </row>
    <row r="67" spans="1:12" ht="16.5">
      <c r="A67" s="61" t="s">
        <v>193</v>
      </c>
      <c r="B67" s="68">
        <v>1</v>
      </c>
      <c r="C67" s="96">
        <v>6.5</v>
      </c>
      <c r="D67" s="96">
        <v>8.5</v>
      </c>
      <c r="E67" s="96">
        <v>6.5</v>
      </c>
      <c r="F67" s="96">
        <v>8.5</v>
      </c>
      <c r="G67" s="102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7" s="103">
        <f>IF('Vars and Stats'!$B$13="Y",10*(Completed[[#This Row],[Raw]]-'Vars and Stats'!$B$9)/'Vars and Stats'!$B$10, 10*Completed[[#This Row],[Raw]]/'Vars and Stats'!$B$8)</f>
        <v>7.4070960147973759</v>
      </c>
      <c r="I67" s="97">
        <v>41394</v>
      </c>
      <c r="J67" s="97">
        <v>41397</v>
      </c>
      <c r="K67" s="99" t="s">
        <v>249</v>
      </c>
      <c r="L67" s="81" t="s">
        <v>66</v>
      </c>
    </row>
    <row r="68" spans="1:12" ht="16.5">
      <c r="A68" s="61" t="s">
        <v>411</v>
      </c>
      <c r="B68" s="68">
        <v>1</v>
      </c>
      <c r="C68" s="96">
        <v>6.5</v>
      </c>
      <c r="D68" s="96">
        <v>8</v>
      </c>
      <c r="E68" s="96">
        <v>9</v>
      </c>
      <c r="F68" s="96">
        <v>8.5</v>
      </c>
      <c r="G68" s="102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8" s="103">
        <f>IF('Vars and Stats'!$B$13="Y",10*(Completed[[#This Row],[Raw]]-'Vars and Stats'!$B$9)/'Vars and Stats'!$B$10, 10*Completed[[#This Row],[Raw]]/'Vars and Stats'!$B$8)</f>
        <v>7.3869177736673945</v>
      </c>
      <c r="I68" s="97">
        <v>41650</v>
      </c>
      <c r="J68" s="97">
        <v>41733</v>
      </c>
      <c r="K68" s="99" t="s">
        <v>458</v>
      </c>
      <c r="L68" s="69"/>
    </row>
    <row r="69" spans="1:12" ht="16.5">
      <c r="A69" s="61" t="s">
        <v>225</v>
      </c>
      <c r="B69" s="68">
        <v>1</v>
      </c>
      <c r="C69" s="96">
        <v>8</v>
      </c>
      <c r="D69" s="96">
        <v>6.5</v>
      </c>
      <c r="E69" s="96">
        <v>6</v>
      </c>
      <c r="F69" s="96">
        <v>9</v>
      </c>
      <c r="G69" s="102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69" s="103">
        <f>IF('Vars and Stats'!$B$13="Y",10*(Completed[[#This Row],[Raw]]-'Vars and Stats'!$B$9)/'Vars and Stats'!$B$10, 10*Completed[[#This Row],[Raw]]/'Vars and Stats'!$B$8)</f>
        <v>7.3583319320665863</v>
      </c>
      <c r="I69" s="97">
        <v>41316</v>
      </c>
      <c r="J69" s="97">
        <v>41323</v>
      </c>
      <c r="K69" s="99" t="s">
        <v>246</v>
      </c>
      <c r="L69" s="69"/>
    </row>
    <row r="70" spans="1:12" ht="16.5">
      <c r="A70" s="61" t="s">
        <v>175</v>
      </c>
      <c r="B70" s="68">
        <v>1</v>
      </c>
      <c r="C70" s="96">
        <v>8</v>
      </c>
      <c r="D70" s="96">
        <v>8.5</v>
      </c>
      <c r="E70" s="96">
        <v>5</v>
      </c>
      <c r="F70" s="96">
        <v>8</v>
      </c>
      <c r="G70" s="102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0" s="103">
        <f>IF('Vars and Stats'!$B$13="Y",10*(Completed[[#This Row],[Raw]]-'Vars and Stats'!$B$9)/'Vars and Stats'!$B$10, 10*Completed[[#This Row],[Raw]]/'Vars and Stats'!$B$8)</f>
        <v>7.3448797713132672</v>
      </c>
      <c r="I70" s="97">
        <v>41360</v>
      </c>
      <c r="J70" s="97">
        <v>41363</v>
      </c>
      <c r="K70" s="99" t="s">
        <v>248</v>
      </c>
      <c r="L70" s="69" t="s">
        <v>181</v>
      </c>
    </row>
    <row r="71" spans="1:12" ht="16.5">
      <c r="A71" s="61" t="s">
        <v>73</v>
      </c>
      <c r="B71" s="68">
        <v>1</v>
      </c>
      <c r="C71" s="96">
        <v>7</v>
      </c>
      <c r="D71" s="96">
        <v>8</v>
      </c>
      <c r="E71" s="96">
        <v>5.5</v>
      </c>
      <c r="F71" s="96">
        <v>8.5</v>
      </c>
      <c r="G71" s="102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1" s="103">
        <f>IF('Vars and Stats'!$B$13="Y",10*(Completed[[#This Row],[Raw]]-'Vars and Stats'!$B$9)/'Vars and Stats'!$B$10, 10*Completed[[#This Row],[Raw]]/'Vars and Stats'!$B$8)</f>
        <v>7.2860265680174878</v>
      </c>
      <c r="I71" s="97">
        <v>41363</v>
      </c>
      <c r="J71" s="97">
        <v>41364</v>
      </c>
      <c r="K71" s="99" t="s">
        <v>274</v>
      </c>
      <c r="L71" s="69"/>
    </row>
    <row r="72" spans="1:12" ht="16.5">
      <c r="A72" s="61" t="s">
        <v>214</v>
      </c>
      <c r="B72" s="68">
        <v>1</v>
      </c>
      <c r="C72" s="96">
        <v>8.5</v>
      </c>
      <c r="D72" s="96">
        <v>7.5</v>
      </c>
      <c r="E72" s="96">
        <v>2.5</v>
      </c>
      <c r="F72" s="96">
        <v>8.5</v>
      </c>
      <c r="G72" s="102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2" s="103">
        <f>IF('Vars and Stats'!$B$13="Y",10*(Completed[[#This Row],[Raw]]-'Vars and Stats'!$B$9)/'Vars and Stats'!$B$10, 10*Completed[[#This Row],[Raw]]/'Vars and Stats'!$B$8)</f>
        <v>7.2826635278291567</v>
      </c>
      <c r="I72" s="97">
        <v>41459</v>
      </c>
      <c r="J72" s="97">
        <v>41543</v>
      </c>
      <c r="K72" s="99" t="s">
        <v>319</v>
      </c>
      <c r="L72" s="69" t="s">
        <v>647</v>
      </c>
    </row>
    <row r="73" spans="1:12" ht="16.5">
      <c r="A73" s="61" t="s">
        <v>143</v>
      </c>
      <c r="B73" s="68">
        <v>1</v>
      </c>
      <c r="C73" s="96">
        <v>6</v>
      </c>
      <c r="D73" s="96">
        <v>7</v>
      </c>
      <c r="E73" s="96">
        <v>9</v>
      </c>
      <c r="F73" s="96">
        <v>9</v>
      </c>
      <c r="G73" s="102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3" s="103">
        <f>IF('Vars and Stats'!$B$13="Y",10*(Completed[[#This Row],[Raw]]-'Vars and Stats'!$B$9)/'Vars and Stats'!$B$10, 10*Completed[[#This Row],[Raw]]/'Vars and Stats'!$B$8)</f>
        <v>7.2389440053808647</v>
      </c>
      <c r="I73" s="97">
        <v>41337</v>
      </c>
      <c r="J73" s="97">
        <v>41338</v>
      </c>
      <c r="K73" s="99" t="s">
        <v>208</v>
      </c>
      <c r="L73" s="69" t="s">
        <v>180</v>
      </c>
    </row>
    <row r="74" spans="1:12" ht="16.5">
      <c r="A74" s="61" t="s">
        <v>85</v>
      </c>
      <c r="B74" s="68">
        <v>1</v>
      </c>
      <c r="C74" s="96">
        <v>6.5</v>
      </c>
      <c r="D74" s="96">
        <v>7.5</v>
      </c>
      <c r="E74" s="96">
        <v>4</v>
      </c>
      <c r="F74" s="96">
        <v>9</v>
      </c>
      <c r="G74" s="102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4" s="103">
        <f>IF('Vars and Stats'!$B$13="Y",10*(Completed[[#This Row],[Raw]]-'Vars and Stats'!$B$9)/'Vars and Stats'!$B$10, 10*Completed[[#This Row],[Raw]]/'Vars and Stats'!$B$8)</f>
        <v>7.2221288044392118</v>
      </c>
      <c r="I74" s="97">
        <v>41347</v>
      </c>
      <c r="J74" s="97">
        <v>41354</v>
      </c>
      <c r="K74" s="179" t="s">
        <v>392</v>
      </c>
      <c r="L74" s="69"/>
    </row>
    <row r="75" spans="1:12" ht="16.5">
      <c r="A75" s="61" t="s">
        <v>212</v>
      </c>
      <c r="B75" s="68">
        <v>2</v>
      </c>
      <c r="C75" s="96">
        <v>7</v>
      </c>
      <c r="D75" s="96">
        <v>8</v>
      </c>
      <c r="E75" s="96">
        <v>9.5</v>
      </c>
      <c r="F75" s="96">
        <v>8</v>
      </c>
      <c r="G75" s="102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5" s="103">
        <f>IF('Vars and Stats'!$B$13="Y",10*(Completed[[#This Row],[Raw]]-'Vars and Stats'!$B$9)/'Vars and Stats'!$B$10, 10*Completed[[#This Row],[Raw]]/'Vars and Stats'!$B$8)</f>
        <v>7.2069951235917262</v>
      </c>
      <c r="I75" s="97">
        <v>41468</v>
      </c>
      <c r="J75" s="97">
        <v>41589</v>
      </c>
      <c r="K75" s="99" t="s">
        <v>207</v>
      </c>
      <c r="L75" s="69"/>
    </row>
    <row r="76" spans="1:12" ht="16.5">
      <c r="A76" s="61" t="s">
        <v>567</v>
      </c>
      <c r="B76" s="68">
        <v>1</v>
      </c>
      <c r="C76" s="96">
        <v>8</v>
      </c>
      <c r="D76" s="96">
        <v>8</v>
      </c>
      <c r="E76" s="96">
        <v>5</v>
      </c>
      <c r="F76" s="96">
        <v>8</v>
      </c>
      <c r="G76" s="102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6" s="103">
        <f>IF('Vars and Stats'!$B$13="Y",10*(Completed[[#This Row],[Raw]]-'Vars and Stats'!$B$9)/'Vars and Stats'!$B$10, 10*Completed[[#This Row],[Raw]]/'Vars and Stats'!$B$8)</f>
        <v>7.164957121237598</v>
      </c>
      <c r="I76" s="97">
        <v>41245</v>
      </c>
      <c r="J76" s="97">
        <v>41250</v>
      </c>
      <c r="K76" s="99" t="s">
        <v>273</v>
      </c>
      <c r="L76" s="69" t="s">
        <v>626</v>
      </c>
    </row>
    <row r="77" spans="1:12" ht="16.5">
      <c r="A77" s="61" t="s">
        <v>329</v>
      </c>
      <c r="B77" s="68">
        <v>1</v>
      </c>
      <c r="C77" s="96">
        <v>8</v>
      </c>
      <c r="D77" s="96">
        <v>8</v>
      </c>
      <c r="E77" s="96">
        <v>5</v>
      </c>
      <c r="F77" s="96">
        <v>8</v>
      </c>
      <c r="G77" s="102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103">
        <f>IF('Vars and Stats'!$B$13="Y",10*(Completed[[#This Row],[Raw]]-'Vars and Stats'!$B$9)/'Vars and Stats'!$B$10, 10*Completed[[#This Row],[Raw]]/'Vars and Stats'!$B$8)</f>
        <v>7.164957121237598</v>
      </c>
      <c r="I77" s="97">
        <v>41555</v>
      </c>
      <c r="J77" s="97">
        <v>41748</v>
      </c>
      <c r="K77" s="99" t="s">
        <v>479</v>
      </c>
      <c r="L77" s="69"/>
    </row>
    <row r="78" spans="1:12" ht="16.5">
      <c r="A78" s="61" t="s">
        <v>162</v>
      </c>
      <c r="B78" s="68">
        <v>1</v>
      </c>
      <c r="C78" s="96">
        <v>7.5</v>
      </c>
      <c r="D78" s="96">
        <v>7.5</v>
      </c>
      <c r="E78" s="96">
        <v>9.5</v>
      </c>
      <c r="F78" s="96">
        <v>8</v>
      </c>
      <c r="G78" s="102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8" s="103">
        <f>IF('Vars and Stats'!$B$13="Y",10*(Completed[[#This Row],[Raw]]-'Vars and Stats'!$B$9)/'Vars and Stats'!$B$10, 10*Completed[[#This Row],[Raw]]/'Vars and Stats'!$B$8)</f>
        <v>7.1498234403901124</v>
      </c>
      <c r="I78" s="97">
        <v>41453</v>
      </c>
      <c r="J78" s="97">
        <v>41456</v>
      </c>
      <c r="K78" s="99" t="s">
        <v>207</v>
      </c>
      <c r="L78" s="69"/>
    </row>
    <row r="79" spans="1:12" ht="16.5">
      <c r="A79" s="61" t="s">
        <v>415</v>
      </c>
      <c r="B79" s="68">
        <v>1</v>
      </c>
      <c r="C79" s="96">
        <v>7.5</v>
      </c>
      <c r="D79" s="96">
        <v>8</v>
      </c>
      <c r="E79" s="96">
        <v>6</v>
      </c>
      <c r="F79" s="96">
        <v>8</v>
      </c>
      <c r="G79" s="102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79" s="103">
        <f>IF('Vars and Stats'!$B$13="Y",10*(Completed[[#This Row],[Raw]]-'Vars and Stats'!$B$9)/'Vars and Stats'!$B$10, 10*Completed[[#This Row],[Raw]]/'Vars and Stats'!$B$8)</f>
        <v>7.1061039179418186</v>
      </c>
      <c r="I79" s="97">
        <v>41661</v>
      </c>
      <c r="J79" s="97">
        <v>41722</v>
      </c>
      <c r="K79" s="99" t="s">
        <v>448</v>
      </c>
      <c r="L79" s="69"/>
    </row>
    <row r="80" spans="1:12" ht="16.5">
      <c r="A80" s="61" t="s">
        <v>210</v>
      </c>
      <c r="B80" s="68">
        <v>1</v>
      </c>
      <c r="C80" s="96">
        <v>4</v>
      </c>
      <c r="D80" s="96">
        <v>8</v>
      </c>
      <c r="E80" s="96">
        <v>3</v>
      </c>
      <c r="F80" s="96">
        <v>9.5</v>
      </c>
      <c r="G80" s="102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0" s="103">
        <f>IF('Vars and Stats'!$B$13="Y",10*(Completed[[#This Row],[Raw]]-'Vars and Stats'!$B$9)/'Vars and Stats'!$B$10, 10*Completed[[#This Row],[Raw]]/'Vars and Stats'!$B$8)</f>
        <v>7.0590213553051964</v>
      </c>
      <c r="I80" s="97">
        <v>41443</v>
      </c>
      <c r="J80" s="97">
        <v>41444</v>
      </c>
      <c r="K80" s="99" t="s">
        <v>253</v>
      </c>
      <c r="L80" s="69"/>
    </row>
    <row r="81" spans="1:12" ht="16.5">
      <c r="A81" s="61" t="s">
        <v>37</v>
      </c>
      <c r="B81" s="68">
        <v>1</v>
      </c>
      <c r="C81" s="96">
        <v>7</v>
      </c>
      <c r="D81" s="96">
        <v>8</v>
      </c>
      <c r="E81" s="96">
        <v>7</v>
      </c>
      <c r="F81" s="96">
        <v>8</v>
      </c>
      <c r="G81" s="102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1" s="103">
        <f>IF('Vars and Stats'!$B$13="Y",10*(Completed[[#This Row],[Raw]]-'Vars and Stats'!$B$9)/'Vars and Stats'!$B$10, 10*Completed[[#This Row],[Raw]]/'Vars and Stats'!$B$8)</f>
        <v>7.0472507146460401</v>
      </c>
      <c r="I81" s="97">
        <v>41457</v>
      </c>
      <c r="J81" s="97">
        <v>41463</v>
      </c>
      <c r="K81" s="99" t="s">
        <v>206</v>
      </c>
      <c r="L81" s="69"/>
    </row>
    <row r="82" spans="1:12" ht="16.5">
      <c r="A82" s="61" t="s">
        <v>413</v>
      </c>
      <c r="B82" s="68">
        <v>1</v>
      </c>
      <c r="C82" s="96">
        <v>7.5</v>
      </c>
      <c r="D82" s="96">
        <v>8</v>
      </c>
      <c r="E82" s="96">
        <v>5</v>
      </c>
      <c r="F82" s="96">
        <v>8</v>
      </c>
      <c r="G82" s="102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2" s="103">
        <f>IF('Vars and Stats'!$B$13="Y",10*(Completed[[#This Row],[Raw]]-'Vars and Stats'!$B$9)/'Vars and Stats'!$B$10, 10*Completed[[#This Row],[Raw]]/'Vars and Stats'!$B$8)</f>
        <v>7.0422061543635452</v>
      </c>
      <c r="I82" s="97">
        <v>41648</v>
      </c>
      <c r="J82" s="97">
        <v>41746</v>
      </c>
      <c r="K82" s="99" t="s">
        <v>476</v>
      </c>
      <c r="L82" s="69"/>
    </row>
    <row r="83" spans="1:12" ht="16.5">
      <c r="A83" s="61" t="s">
        <v>211</v>
      </c>
      <c r="B83" s="68">
        <v>1</v>
      </c>
      <c r="C83" s="96">
        <v>3.5</v>
      </c>
      <c r="D83" s="96">
        <v>8</v>
      </c>
      <c r="E83" s="96">
        <v>9.5</v>
      </c>
      <c r="F83" s="96">
        <v>9</v>
      </c>
      <c r="G83" s="102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3" s="103">
        <f>IF('Vars and Stats'!$B$13="Y",10*(Completed[[#This Row],[Raw]]-'Vars and Stats'!$B$9)/'Vars and Stats'!$B$10, 10*Completed[[#This Row],[Raw]]/'Vars and Stats'!$B$8)</f>
        <v>7.0169833529510663</v>
      </c>
      <c r="I83" s="97">
        <v>41462</v>
      </c>
      <c r="J83" s="97">
        <v>41538</v>
      </c>
      <c r="K83" s="99" t="s">
        <v>307</v>
      </c>
      <c r="L83" s="69"/>
    </row>
    <row r="84" spans="1:12" ht="16.5">
      <c r="A84" s="61" t="s">
        <v>189</v>
      </c>
      <c r="B84" s="68">
        <v>1</v>
      </c>
      <c r="C84" s="96">
        <v>2</v>
      </c>
      <c r="D84" s="96">
        <v>8.5</v>
      </c>
      <c r="E84" s="96">
        <v>7</v>
      </c>
      <c r="F84" s="96">
        <v>9.5</v>
      </c>
      <c r="G84" s="102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4" s="103">
        <f>IF('Vars and Stats'!$B$13="Y",10*(Completed[[#This Row],[Raw]]-'Vars and Stats'!$B$9)/'Vars and Stats'!$B$10, 10*Completed[[#This Row],[Raw]]/'Vars and Stats'!$B$8)</f>
        <v>7.0035311921977463</v>
      </c>
      <c r="I84" s="97">
        <v>41291</v>
      </c>
      <c r="J84" s="97">
        <v>41298</v>
      </c>
      <c r="K84" s="99" t="s">
        <v>257</v>
      </c>
      <c r="L84" s="69" t="s">
        <v>101</v>
      </c>
    </row>
    <row r="85" spans="1:12" ht="16.5">
      <c r="A85" s="61" t="s">
        <v>330</v>
      </c>
      <c r="B85" s="68">
        <v>1</v>
      </c>
      <c r="C85" s="96">
        <v>8.5</v>
      </c>
      <c r="D85" s="96">
        <v>7.5</v>
      </c>
      <c r="E85" s="96">
        <v>2</v>
      </c>
      <c r="F85" s="96">
        <v>8</v>
      </c>
      <c r="G85" s="102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5" s="103">
        <f>IF('Vars and Stats'!$B$13="Y",10*(Completed[[#This Row],[Raw]]-'Vars and Stats'!$B$9)/'Vars and Stats'!$B$10, 10*Completed[[#This Row],[Raw]]/'Vars and Stats'!$B$8)</f>
        <v>6.9160921473011605</v>
      </c>
      <c r="I85" s="97">
        <v>41555</v>
      </c>
      <c r="J85" s="97">
        <v>41634</v>
      </c>
      <c r="K85" s="99" t="s">
        <v>403</v>
      </c>
      <c r="L85" s="69" t="s">
        <v>404</v>
      </c>
    </row>
    <row r="86" spans="1:12" ht="16.5">
      <c r="A86" s="61" t="s">
        <v>410</v>
      </c>
      <c r="B86" s="68">
        <v>2</v>
      </c>
      <c r="C86" s="96">
        <v>8</v>
      </c>
      <c r="D86" s="96">
        <v>8</v>
      </c>
      <c r="E86" s="96">
        <v>6</v>
      </c>
      <c r="F86" s="96">
        <v>7.5</v>
      </c>
      <c r="G86" s="102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6" s="103">
        <f>IF('Vars and Stats'!$B$13="Y",10*(Completed[[#This Row],[Raw]]-'Vars and Stats'!$B$9)/'Vars and Stats'!$B$10, 10*Completed[[#This Row],[Raw]]/'Vars and Stats'!$B$8)</f>
        <v>6.8942323860770145</v>
      </c>
      <c r="I86" s="97">
        <v>41648</v>
      </c>
      <c r="J86" s="97">
        <v>41730</v>
      </c>
      <c r="K86" s="122" t="s">
        <v>453</v>
      </c>
      <c r="L86" s="69"/>
    </row>
    <row r="87" spans="1:12" ht="16.5">
      <c r="A87" s="61" t="s">
        <v>69</v>
      </c>
      <c r="B87" s="68">
        <v>1</v>
      </c>
      <c r="C87" s="96">
        <v>8</v>
      </c>
      <c r="D87" s="96">
        <v>7</v>
      </c>
      <c r="E87" s="96">
        <v>6</v>
      </c>
      <c r="F87" s="96">
        <v>8</v>
      </c>
      <c r="G87" s="102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7" s="103">
        <f>IF('Vars and Stats'!$B$13="Y",10*(Completed[[#This Row],[Raw]]-'Vars and Stats'!$B$9)/'Vars and Stats'!$B$10, 10*Completed[[#This Row],[Raw]]/'Vars and Stats'!$B$8)</f>
        <v>6.8690095846645365</v>
      </c>
      <c r="I87" s="97">
        <v>41251</v>
      </c>
      <c r="J87" s="97">
        <v>41263</v>
      </c>
      <c r="K87" s="99" t="s">
        <v>264</v>
      </c>
      <c r="L87" s="69"/>
    </row>
    <row r="88" spans="1:12" ht="16.5">
      <c r="A88" s="61" t="s">
        <v>215</v>
      </c>
      <c r="B88" s="68">
        <v>1</v>
      </c>
      <c r="C88" s="96">
        <v>8</v>
      </c>
      <c r="D88" s="96">
        <v>8</v>
      </c>
      <c r="E88" s="96">
        <v>5.5</v>
      </c>
      <c r="F88" s="96">
        <v>7.5</v>
      </c>
      <c r="G88" s="102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8" s="103">
        <f>IF('Vars and Stats'!$B$13="Y",10*(Completed[[#This Row],[Raw]]-'Vars and Stats'!$B$9)/'Vars and Stats'!$B$10, 10*Completed[[#This Row],[Raw]]/'Vars and Stats'!$B$8)</f>
        <v>6.862283504287876</v>
      </c>
      <c r="I88" s="97">
        <v>41461</v>
      </c>
      <c r="J88" s="97">
        <v>41546</v>
      </c>
      <c r="K88" s="99" t="s">
        <v>391</v>
      </c>
      <c r="L88" s="69"/>
    </row>
    <row r="89" spans="1:12" ht="16.5">
      <c r="A89" s="61" t="s">
        <v>147</v>
      </c>
      <c r="B89" s="68">
        <v>1</v>
      </c>
      <c r="C89" s="96">
        <v>7</v>
      </c>
      <c r="D89" s="96">
        <v>7.5</v>
      </c>
      <c r="E89" s="96">
        <v>6.5</v>
      </c>
      <c r="F89" s="96">
        <v>8</v>
      </c>
      <c r="G89" s="102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89" s="103">
        <f>IF('Vars and Stats'!$B$13="Y",10*(Completed[[#This Row],[Raw]]-'Vars and Stats'!$B$9)/'Vars and Stats'!$B$10, 10*Completed[[#This Row],[Raw]]/'Vars and Stats'!$B$8)</f>
        <v>6.8353791827812342</v>
      </c>
      <c r="I89" s="97">
        <v>41430</v>
      </c>
      <c r="J89" s="97">
        <v>41431</v>
      </c>
      <c r="K89" s="98" t="s">
        <v>393</v>
      </c>
      <c r="L89" s="69" t="s">
        <v>148</v>
      </c>
    </row>
    <row r="90" spans="1:12" ht="16.5">
      <c r="A90" s="61" t="s">
        <v>368</v>
      </c>
      <c r="B90" s="68">
        <v>1</v>
      </c>
      <c r="C90" s="96">
        <v>7.5</v>
      </c>
      <c r="D90" s="96">
        <v>7.5</v>
      </c>
      <c r="E90" s="96">
        <v>3.5</v>
      </c>
      <c r="F90" s="96">
        <v>8</v>
      </c>
      <c r="G90" s="102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0" s="103">
        <f>IF('Vars and Stats'!$B$13="Y",10*(Completed[[#This Row],[Raw]]-'Vars and Stats'!$B$9)/'Vars and Stats'!$B$10, 10*Completed[[#This Row],[Raw]]/'Vars and Stats'!$B$8)</f>
        <v>6.7664368589204633</v>
      </c>
      <c r="I90" s="97">
        <v>41541</v>
      </c>
      <c r="J90" s="97">
        <v>41541</v>
      </c>
      <c r="K90" s="99" t="s">
        <v>318</v>
      </c>
      <c r="L90" s="69"/>
    </row>
    <row r="91" spans="1:12" ht="16.5">
      <c r="A91" s="61" t="s">
        <v>465</v>
      </c>
      <c r="B91" s="68">
        <v>1</v>
      </c>
      <c r="C91" s="96">
        <v>7.5</v>
      </c>
      <c r="D91" s="96">
        <v>8</v>
      </c>
      <c r="E91" s="96">
        <v>5.5</v>
      </c>
      <c r="F91" s="96">
        <v>7.5</v>
      </c>
      <c r="G91" s="115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1" s="116">
        <f>IF('Vars and Stats'!$B$13="Y",10*(Completed[[#This Row],[Raw]]-'Vars and Stats'!$B$9)/'Vars and Stats'!$B$10, 10*Completed[[#This Row],[Raw]]/'Vars and Stats'!$B$8)</f>
        <v>6.7395325374138233</v>
      </c>
      <c r="I91" s="89">
        <v>41759</v>
      </c>
      <c r="J91" s="97">
        <v>41812</v>
      </c>
      <c r="K91" s="99" t="s">
        <v>631</v>
      </c>
      <c r="L91" s="69" t="s">
        <v>632</v>
      </c>
    </row>
    <row r="92" spans="1:12" ht="16.5">
      <c r="A92" s="61" t="s">
        <v>414</v>
      </c>
      <c r="B92" s="68">
        <v>1</v>
      </c>
      <c r="C92" s="96">
        <v>5</v>
      </c>
      <c r="D92" s="96">
        <v>7</v>
      </c>
      <c r="E92" s="96">
        <v>4</v>
      </c>
      <c r="F92" s="96">
        <v>9</v>
      </c>
      <c r="G92" s="102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2" s="103">
        <f>IF('Vars and Stats'!$B$13="Y",10*(Completed[[#This Row],[Raw]]-'Vars and Stats'!$B$9)/'Vars and Stats'!$B$10, 10*Completed[[#This Row],[Raw]]/'Vars and Stats'!$B$8)</f>
        <v>6.6739532537413817</v>
      </c>
      <c r="I92" s="97">
        <v>41650</v>
      </c>
      <c r="J92" s="97">
        <v>41744</v>
      </c>
      <c r="K92" s="99" t="s">
        <v>460</v>
      </c>
      <c r="L92" s="69"/>
    </row>
    <row r="93" spans="1:12" ht="16.5">
      <c r="A93" s="61" t="s">
        <v>157</v>
      </c>
      <c r="B93" s="68">
        <v>1</v>
      </c>
      <c r="C93" s="96">
        <v>8</v>
      </c>
      <c r="D93" s="96">
        <v>7.5</v>
      </c>
      <c r="E93" s="96">
        <v>5</v>
      </c>
      <c r="F93" s="96">
        <v>7.5</v>
      </c>
      <c r="G93" s="102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3" s="103">
        <f>IF('Vars and Stats'!$B$13="Y",10*(Completed[[#This Row],[Raw]]-'Vars and Stats'!$B$9)/'Vars and Stats'!$B$10, 10*Completed[[#This Row],[Raw]]/'Vars and Stats'!$B$8)</f>
        <v>6.650411972423071</v>
      </c>
      <c r="I93" s="97">
        <v>41453</v>
      </c>
      <c r="J93" s="97">
        <v>41457</v>
      </c>
      <c r="K93" s="99" t="s">
        <v>263</v>
      </c>
      <c r="L93" s="69" t="s">
        <v>187</v>
      </c>
    </row>
    <row r="94" spans="1:12" ht="16.5">
      <c r="A94" s="61" t="s">
        <v>213</v>
      </c>
      <c r="B94" s="68">
        <v>1</v>
      </c>
      <c r="C94" s="96">
        <v>7</v>
      </c>
      <c r="D94" s="96">
        <v>7.5</v>
      </c>
      <c r="E94" s="96">
        <v>3.5</v>
      </c>
      <c r="F94" s="96">
        <v>8</v>
      </c>
      <c r="G94" s="102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4" s="103">
        <f>IF('Vars and Stats'!$B$13="Y",10*(Completed[[#This Row],[Raw]]-'Vars and Stats'!$B$9)/'Vars and Stats'!$B$10, 10*Completed[[#This Row],[Raw]]/'Vars and Stats'!$B$8)</f>
        <v>6.6436858920464097</v>
      </c>
      <c r="I94" s="97">
        <v>41465</v>
      </c>
      <c r="J94" s="97">
        <v>41543</v>
      </c>
      <c r="K94" s="99" t="s">
        <v>321</v>
      </c>
      <c r="L94" s="69" t="s">
        <v>320</v>
      </c>
    </row>
    <row r="95" spans="1:12" ht="16.5">
      <c r="A95" s="61" t="s">
        <v>179</v>
      </c>
      <c r="B95" s="68">
        <v>1</v>
      </c>
      <c r="C95" s="96">
        <v>6.5</v>
      </c>
      <c r="D95" s="96">
        <v>7.5</v>
      </c>
      <c r="E95" s="96">
        <v>5</v>
      </c>
      <c r="F95" s="96">
        <v>8</v>
      </c>
      <c r="G95" s="102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5" s="103">
        <f>IF('Vars and Stats'!$B$13="Y",10*(Completed[[#This Row],[Raw]]-'Vars and Stats'!$B$9)/'Vars and Stats'!$B$10, 10*Completed[[#This Row],[Raw]]/'Vars and Stats'!$B$8)</f>
        <v>6.6167815705397679</v>
      </c>
      <c r="I95" s="97">
        <v>41456</v>
      </c>
      <c r="J95" s="97">
        <v>41535</v>
      </c>
      <c r="K95" s="99" t="s">
        <v>305</v>
      </c>
      <c r="L95" s="69"/>
    </row>
    <row r="96" spans="1:12" ht="16.5">
      <c r="A96" s="61" t="s">
        <v>160</v>
      </c>
      <c r="B96" s="68">
        <v>1</v>
      </c>
      <c r="C96" s="96">
        <v>4</v>
      </c>
      <c r="D96" s="96">
        <v>8</v>
      </c>
      <c r="E96" s="96">
        <v>0</v>
      </c>
      <c r="F96" s="96">
        <v>9</v>
      </c>
      <c r="G96" s="102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6" s="103">
        <f>IF('Vars and Stats'!$B$13="Y",10*(Completed[[#This Row],[Raw]]-'Vars and Stats'!$B$9)/'Vars and Stats'!$B$10, 10*Completed[[#This Row],[Raw]]/'Vars and Stats'!$B$8)</f>
        <v>6.5327055658315123</v>
      </c>
      <c r="I96" s="97">
        <v>41450</v>
      </c>
      <c r="J96" s="97">
        <v>41452</v>
      </c>
      <c r="K96" s="99" t="s">
        <v>252</v>
      </c>
      <c r="L96" s="69" t="s">
        <v>161</v>
      </c>
    </row>
    <row r="97" spans="1:12" ht="16.5">
      <c r="A97" s="61" t="s">
        <v>412</v>
      </c>
      <c r="B97" s="68">
        <v>1</v>
      </c>
      <c r="C97" s="96">
        <v>6.5</v>
      </c>
      <c r="D97" s="96">
        <v>9</v>
      </c>
      <c r="E97" s="96">
        <v>5</v>
      </c>
      <c r="F97" s="96">
        <v>7</v>
      </c>
      <c r="G97" s="102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7" s="103">
        <f>IF('Vars and Stats'!$B$13="Y",10*(Completed[[#This Row],[Raw]]-'Vars and Stats'!$B$9)/'Vars and Stats'!$B$10, 10*Completed[[#This Row],[Raw]]/'Vars and Stats'!$B$8)</f>
        <v>6.4873045232890529</v>
      </c>
      <c r="I97" s="97">
        <v>41650</v>
      </c>
      <c r="J97" s="97">
        <v>41745</v>
      </c>
      <c r="K97" s="99" t="s">
        <v>462</v>
      </c>
      <c r="L97" s="69" t="s">
        <v>463</v>
      </c>
    </row>
    <row r="98" spans="1:12" ht="16.5">
      <c r="A98" s="61" t="s">
        <v>364</v>
      </c>
      <c r="B98" s="68">
        <v>1</v>
      </c>
      <c r="C98" s="96">
        <v>7.5</v>
      </c>
      <c r="D98" s="96">
        <v>7.5</v>
      </c>
      <c r="E98" s="96">
        <v>4</v>
      </c>
      <c r="F98" s="96">
        <v>7.5</v>
      </c>
      <c r="G98" s="102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8" s="103">
        <f>IF('Vars and Stats'!$B$13="Y",10*(Completed[[#This Row],[Raw]]-'Vars and Stats'!$B$9)/'Vars and Stats'!$B$10, 10*Completed[[#This Row],[Raw]]/'Vars and Stats'!$B$8)</f>
        <v>6.4637632419707414</v>
      </c>
      <c r="I98" s="97">
        <v>41330</v>
      </c>
      <c r="J98" s="97">
        <v>41346</v>
      </c>
      <c r="K98" s="99" t="s">
        <v>250</v>
      </c>
      <c r="L98" s="69" t="s">
        <v>83</v>
      </c>
    </row>
    <row r="99" spans="1:12" ht="16.5">
      <c r="A99" s="61" t="s">
        <v>433</v>
      </c>
      <c r="B99" s="68">
        <v>1</v>
      </c>
      <c r="C99" s="96">
        <v>7.5</v>
      </c>
      <c r="D99" s="96">
        <v>7.5</v>
      </c>
      <c r="E99" s="96">
        <v>3.5</v>
      </c>
      <c r="F99" s="96">
        <v>7.5</v>
      </c>
      <c r="G99" s="102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99" s="103">
        <f>IF('Vars and Stats'!$B$13="Y",10*(Completed[[#This Row],[Raw]]-'Vars and Stats'!$B$9)/'Vars and Stats'!$B$10, 10*Completed[[#This Row],[Raw]]/'Vars and Stats'!$B$8)</f>
        <v>6.4318143601816038</v>
      </c>
      <c r="I99" s="97">
        <v>41650</v>
      </c>
      <c r="J99" s="97">
        <v>41749</v>
      </c>
      <c r="K99" s="99" t="s">
        <v>483</v>
      </c>
      <c r="L99" s="69"/>
    </row>
    <row r="100" spans="1:12" ht="16.5">
      <c r="A100" s="61" t="s">
        <v>296</v>
      </c>
      <c r="B100" s="68">
        <v>1</v>
      </c>
      <c r="C100" s="96">
        <v>7</v>
      </c>
      <c r="D100" s="96">
        <v>7</v>
      </c>
      <c r="E100" s="96">
        <v>7.5</v>
      </c>
      <c r="F100" s="96">
        <v>7.5</v>
      </c>
      <c r="G100" s="102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0" s="103">
        <f>IF('Vars and Stats'!$B$13="Y",10*(Completed[[#This Row],[Raw]]-'Vars and Stats'!$B$9)/'Vars and Stats'!$B$10, 10*Completed[[#This Row],[Raw]]/'Vars and Stats'!$B$8)</f>
        <v>6.3847317975449807</v>
      </c>
      <c r="I100" s="97">
        <v>41496</v>
      </c>
      <c r="J100" s="97">
        <v>41512</v>
      </c>
      <c r="K100" s="99" t="s">
        <v>297</v>
      </c>
      <c r="L100" s="69" t="s">
        <v>497</v>
      </c>
    </row>
    <row r="101" spans="1:12" ht="16.5">
      <c r="A101" s="61" t="s">
        <v>78</v>
      </c>
      <c r="B101" s="68">
        <v>1</v>
      </c>
      <c r="C101" s="96">
        <v>6</v>
      </c>
      <c r="D101" s="96">
        <v>7</v>
      </c>
      <c r="E101" s="96">
        <v>6</v>
      </c>
      <c r="F101" s="96">
        <v>8</v>
      </c>
      <c r="G101" s="102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1" s="103">
        <f>IF('Vars and Stats'!$B$13="Y",10*(Completed[[#This Row],[Raw]]-'Vars and Stats'!$B$9)/'Vars and Stats'!$B$10, 10*Completed[[#This Row],[Raw]]/'Vars and Stats'!$B$8)</f>
        <v>6.3780057171683193</v>
      </c>
      <c r="I101" s="97">
        <v>41365</v>
      </c>
      <c r="J101" s="97">
        <v>41369</v>
      </c>
      <c r="K101" s="121" t="s">
        <v>245</v>
      </c>
      <c r="L101" s="69"/>
    </row>
    <row r="102" spans="1:12" ht="16.5">
      <c r="A102" s="61" t="s">
        <v>87</v>
      </c>
      <c r="B102" s="68">
        <v>2</v>
      </c>
      <c r="C102" s="96">
        <v>7</v>
      </c>
      <c r="D102" s="96">
        <v>7.5</v>
      </c>
      <c r="E102" s="96">
        <v>4.5</v>
      </c>
      <c r="F102" s="96">
        <v>7.5</v>
      </c>
      <c r="G102" s="102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2" s="103">
        <f>IF('Vars and Stats'!$B$13="Y",10*(Completed[[#This Row],[Raw]]-'Vars and Stats'!$B$9)/'Vars and Stats'!$B$10, 10*Completed[[#This Row],[Raw]]/'Vars and Stats'!$B$8)</f>
        <v>6.3729611568858235</v>
      </c>
      <c r="I102" s="97">
        <v>41345</v>
      </c>
      <c r="J102" s="97">
        <v>41350</v>
      </c>
      <c r="K102" s="99" t="s">
        <v>241</v>
      </c>
      <c r="L102" s="69"/>
    </row>
    <row r="103" spans="1:12" ht="16.5">
      <c r="A103" s="61" t="s">
        <v>169</v>
      </c>
      <c r="B103" s="68">
        <v>1</v>
      </c>
      <c r="C103" s="96">
        <v>4</v>
      </c>
      <c r="D103" s="96">
        <v>7</v>
      </c>
      <c r="E103" s="96">
        <v>8</v>
      </c>
      <c r="F103" s="96">
        <v>8.5</v>
      </c>
      <c r="G103" s="102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3" s="103">
        <f>IF('Vars and Stats'!$B$13="Y",10*(Completed[[#This Row],[Raw]]-'Vars and Stats'!$B$9)/'Vars and Stats'!$B$10, 10*Completed[[#This Row],[Raw]]/'Vars and Stats'!$B$8)</f>
        <v>6.3494198755675129</v>
      </c>
      <c r="I103" s="97">
        <v>41449</v>
      </c>
      <c r="J103" s="97">
        <v>41451</v>
      </c>
      <c r="K103" s="99" t="s">
        <v>255</v>
      </c>
      <c r="L103" s="69"/>
    </row>
    <row r="104" spans="1:12" ht="16.5">
      <c r="A104" s="61" t="s">
        <v>98</v>
      </c>
      <c r="B104" s="68">
        <v>1</v>
      </c>
      <c r="C104" s="96">
        <v>3</v>
      </c>
      <c r="D104" s="96">
        <v>8</v>
      </c>
      <c r="E104" s="96">
        <v>9</v>
      </c>
      <c r="F104" s="96">
        <v>8</v>
      </c>
      <c r="G104" s="102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4" s="103">
        <f>IF('Vars and Stats'!$B$13="Y",10*(Completed[[#This Row],[Raw]]-'Vars and Stats'!$B$9)/'Vars and Stats'!$B$10, 10*Completed[[#This Row],[Raw]]/'Vars and Stats'!$B$8)</f>
        <v>6.1930385068101561</v>
      </c>
      <c r="I104" s="97">
        <v>41288</v>
      </c>
      <c r="J104" s="97">
        <v>41288</v>
      </c>
      <c r="K104" s="99" t="s">
        <v>258</v>
      </c>
      <c r="L104" s="69"/>
    </row>
    <row r="105" spans="1:12" ht="16.5">
      <c r="A105" s="61" t="s">
        <v>96</v>
      </c>
      <c r="B105" s="68">
        <v>5</v>
      </c>
      <c r="C105" s="96">
        <v>7.5</v>
      </c>
      <c r="D105" s="96">
        <v>8</v>
      </c>
      <c r="E105" s="96">
        <v>0.5</v>
      </c>
      <c r="F105" s="96">
        <v>7</v>
      </c>
      <c r="G105" s="102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5" s="103">
        <f>IF('Vars and Stats'!$B$13="Y",10*(Completed[[#This Row],[Raw]]-'Vars and Stats'!$B$9)/'Vars and Stats'!$B$10, 10*Completed[[#This Row],[Raw]]/'Vars and Stats'!$B$8)</f>
        <v>6.0854212207835898</v>
      </c>
      <c r="I105" s="97">
        <v>41088</v>
      </c>
      <c r="J105" s="97">
        <v>41108</v>
      </c>
      <c r="K105" s="99" t="s">
        <v>262</v>
      </c>
      <c r="L105" s="69" t="s">
        <v>372</v>
      </c>
    </row>
    <row r="106" spans="1:12" ht="16.5">
      <c r="A106" s="101" t="s">
        <v>218</v>
      </c>
      <c r="B106" s="68">
        <v>1</v>
      </c>
      <c r="C106" s="96">
        <v>6.5</v>
      </c>
      <c r="D106" s="96">
        <v>7</v>
      </c>
      <c r="E106" s="96">
        <v>4.5</v>
      </c>
      <c r="F106" s="96">
        <v>7.5</v>
      </c>
      <c r="G106" s="102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6" s="103">
        <f>IF('Vars and Stats'!$B$13="Y",10*(Completed[[#This Row],[Raw]]-'Vars and Stats'!$B$9)/'Vars and Stats'!$B$10, 10*Completed[[#This Row],[Raw]]/'Vars and Stats'!$B$8)</f>
        <v>6.0702875399361016</v>
      </c>
      <c r="I106" s="97">
        <v>41464</v>
      </c>
      <c r="J106" s="97">
        <v>41543</v>
      </c>
      <c r="K106" s="99" t="s">
        <v>322</v>
      </c>
      <c r="L106" s="69"/>
    </row>
    <row r="107" spans="1:12" ht="16.5">
      <c r="A107" s="61" t="s">
        <v>229</v>
      </c>
      <c r="B107" s="68">
        <v>1</v>
      </c>
      <c r="C107" s="96">
        <v>5</v>
      </c>
      <c r="D107" s="96">
        <v>7</v>
      </c>
      <c r="E107" s="96">
        <v>4.5</v>
      </c>
      <c r="F107" s="96">
        <v>8</v>
      </c>
      <c r="G107" s="102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7" s="103">
        <f>IF('Vars and Stats'!$B$13="Y",10*(Completed[[#This Row],[Raw]]-'Vars and Stats'!$B$9)/'Vars and Stats'!$B$10, 10*Completed[[#This Row],[Raw]]/'Vars and Stats'!$B$8)</f>
        <v>6.0366571380527994</v>
      </c>
      <c r="I107" s="97">
        <v>41470</v>
      </c>
      <c r="J107" s="97">
        <v>41482</v>
      </c>
      <c r="K107" s="99" t="s">
        <v>259</v>
      </c>
      <c r="L107" s="69" t="s">
        <v>230</v>
      </c>
    </row>
    <row r="108" spans="1:12" ht="16.5">
      <c r="A108" s="61" t="s">
        <v>95</v>
      </c>
      <c r="B108" s="68">
        <v>2</v>
      </c>
      <c r="C108" s="96">
        <v>3.5</v>
      </c>
      <c r="D108" s="96">
        <v>8</v>
      </c>
      <c r="E108" s="96">
        <v>9</v>
      </c>
      <c r="F108" s="96">
        <v>7.5</v>
      </c>
      <c r="G108" s="102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8" s="103">
        <f>IF('Vars and Stats'!$B$13="Y",10*(Completed[[#This Row],[Raw]]-'Vars and Stats'!$B$9)/'Vars and Stats'!$B$10, 10*Completed[[#This Row],[Raw]]/'Vars and Stats'!$B$8)</f>
        <v>5.9811669749453493</v>
      </c>
      <c r="I108" s="97">
        <v>41289</v>
      </c>
      <c r="J108" s="97">
        <v>41289</v>
      </c>
      <c r="K108" s="99" t="s">
        <v>258</v>
      </c>
      <c r="L108" s="69"/>
    </row>
    <row r="109" spans="1:12" ht="16.5">
      <c r="A109" s="61" t="s">
        <v>13</v>
      </c>
      <c r="B109" s="68">
        <v>2</v>
      </c>
      <c r="C109" s="96">
        <v>5.5</v>
      </c>
      <c r="D109" s="96">
        <v>7</v>
      </c>
      <c r="E109" s="96">
        <v>6.5</v>
      </c>
      <c r="F109" s="96">
        <v>7.5</v>
      </c>
      <c r="G109" s="102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09" s="103">
        <f>IF('Vars and Stats'!$B$13="Y",10*(Completed[[#This Row],[Raw]]-'Vars and Stats'!$B$9)/'Vars and Stats'!$B$10, 10*Completed[[#This Row],[Raw]]/'Vars and Stats'!$B$8)</f>
        <v>5.9525811333445429</v>
      </c>
      <c r="I109" s="97">
        <v>41371</v>
      </c>
      <c r="J109" s="97">
        <v>41455</v>
      </c>
      <c r="K109" s="99" t="s">
        <v>245</v>
      </c>
      <c r="L109" s="69"/>
    </row>
    <row r="110" spans="1:12" ht="16.5">
      <c r="A110" s="61" t="s">
        <v>561</v>
      </c>
      <c r="B110" s="68">
        <v>1</v>
      </c>
      <c r="C110" s="96">
        <v>7</v>
      </c>
      <c r="D110" s="96">
        <v>6.5</v>
      </c>
      <c r="E110" s="96">
        <v>2.5</v>
      </c>
      <c r="F110" s="96">
        <v>7.5</v>
      </c>
      <c r="G110" s="102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0" s="103">
        <f>IF('Vars and Stats'!$B$13="Y",10*(Completed[[#This Row],[Raw]]-'Vars and Stats'!$B$9)/'Vars and Stats'!$B$10, 10*Completed[[#This Row],[Raw]]/'Vars and Stats'!$B$8)</f>
        <v>5.8853203295779384</v>
      </c>
      <c r="I110" s="97">
        <v>41465</v>
      </c>
      <c r="J110" s="97">
        <v>41465</v>
      </c>
      <c r="K110" s="99" t="s">
        <v>241</v>
      </c>
      <c r="L110" s="69" t="s">
        <v>488</v>
      </c>
    </row>
    <row r="111" spans="1:12" ht="16.5">
      <c r="A111" s="61" t="s">
        <v>159</v>
      </c>
      <c r="B111" s="68">
        <v>1</v>
      </c>
      <c r="C111" s="96">
        <v>6.5</v>
      </c>
      <c r="D111" s="96">
        <v>7</v>
      </c>
      <c r="E111" s="96">
        <v>6.5</v>
      </c>
      <c r="F111" s="96">
        <v>7</v>
      </c>
      <c r="G111" s="102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1" s="103">
        <f>IF('Vars and Stats'!$B$13="Y",10*(Completed[[#This Row],[Raw]]-'Vars and Stats'!$B$9)/'Vars and Stats'!$B$10, 10*Completed[[#This Row],[Raw]]/'Vars and Stats'!$B$8)</f>
        <v>5.8634605683537906</v>
      </c>
      <c r="I111" s="97">
        <v>41371</v>
      </c>
      <c r="J111" s="97">
        <v>41453</v>
      </c>
      <c r="K111" s="99" t="s">
        <v>251</v>
      </c>
      <c r="L111" s="69"/>
    </row>
    <row r="112" spans="1:12" ht="16.5">
      <c r="A112" s="61" t="s">
        <v>100</v>
      </c>
      <c r="B112" s="68">
        <v>1</v>
      </c>
      <c r="C112" s="96">
        <v>7</v>
      </c>
      <c r="D112" s="96">
        <v>7</v>
      </c>
      <c r="E112" s="96">
        <v>4.5</v>
      </c>
      <c r="F112" s="96">
        <v>7</v>
      </c>
      <c r="G112" s="102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2" s="103">
        <f>IF('Vars and Stats'!$B$13="Y",10*(Completed[[#This Row],[Raw]]-'Vars and Stats'!$B$9)/'Vars and Stats'!$B$10, 10*Completed[[#This Row],[Raw]]/'Vars and Stats'!$B$8)</f>
        <v>5.8584160080712957</v>
      </c>
      <c r="I112" s="97">
        <v>41292</v>
      </c>
      <c r="J112" s="97">
        <v>41369</v>
      </c>
      <c r="K112" s="99" t="s">
        <v>266</v>
      </c>
      <c r="L112" s="69"/>
    </row>
    <row r="113" spans="1:12" ht="16.5">
      <c r="A113" s="61" t="s">
        <v>18</v>
      </c>
      <c r="B113" s="68">
        <v>1</v>
      </c>
      <c r="C113" s="96">
        <v>7</v>
      </c>
      <c r="D113" s="96">
        <v>6</v>
      </c>
      <c r="E113" s="96">
        <v>4.5</v>
      </c>
      <c r="F113" s="96">
        <v>7.5</v>
      </c>
      <c r="G113" s="102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3" s="103">
        <f>IF('Vars and Stats'!$B$13="Y",10*(Completed[[#This Row],[Raw]]-'Vars and Stats'!$B$9)/'Vars and Stats'!$B$10, 10*Completed[[#This Row],[Raw]]/'Vars and Stats'!$B$8)</f>
        <v>5.8331932066588204</v>
      </c>
      <c r="I113" s="97">
        <v>41379</v>
      </c>
      <c r="J113" s="97">
        <v>41464</v>
      </c>
      <c r="K113" s="99" t="s">
        <v>265</v>
      </c>
      <c r="L113" s="69" t="s">
        <v>224</v>
      </c>
    </row>
    <row r="114" spans="1:12" ht="16.5">
      <c r="A114" s="61" t="s">
        <v>103</v>
      </c>
      <c r="B114" s="68">
        <v>2</v>
      </c>
      <c r="C114" s="96">
        <v>2</v>
      </c>
      <c r="D114" s="96">
        <v>7.5</v>
      </c>
      <c r="E114" s="96">
        <v>10</v>
      </c>
      <c r="F114" s="96">
        <v>8</v>
      </c>
      <c r="G114" s="102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4" s="103">
        <f>IF('Vars and Stats'!$B$13="Y",10*(Completed[[#This Row],[Raw]]-'Vars and Stats'!$B$9)/'Vars and Stats'!$B$10, 10*Completed[[#This Row],[Raw]]/'Vars and Stats'!$B$8)</f>
        <v>5.8315116865646539</v>
      </c>
      <c r="I114" s="97">
        <v>41229</v>
      </c>
      <c r="J114" s="97">
        <v>41230</v>
      </c>
      <c r="K114" s="99" t="s">
        <v>244</v>
      </c>
      <c r="L114" s="69"/>
    </row>
    <row r="115" spans="1:12" ht="16.5">
      <c r="A115" s="61" t="s">
        <v>437</v>
      </c>
      <c r="B115" s="74">
        <v>1</v>
      </c>
      <c r="C115" s="114">
        <v>5.5</v>
      </c>
      <c r="D115" s="114">
        <v>7</v>
      </c>
      <c r="E115" s="114">
        <v>4.5</v>
      </c>
      <c r="F115" s="114">
        <v>7.5</v>
      </c>
      <c r="G115" s="102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5" s="103">
        <f>IF('Vars and Stats'!$B$13="Y",10*(Completed[[#This Row],[Raw]]-'Vars and Stats'!$B$9)/'Vars and Stats'!$B$10, 10*Completed[[#This Row],[Raw]]/'Vars and Stats'!$B$8)</f>
        <v>5.8247856061879935</v>
      </c>
      <c r="I115" s="54">
        <v>41647</v>
      </c>
      <c r="J115" s="54">
        <v>41733</v>
      </c>
      <c r="K115" s="117" t="s">
        <v>459</v>
      </c>
      <c r="L115" s="118"/>
    </row>
    <row r="116" spans="1:12" ht="16.5">
      <c r="A116" s="53" t="s">
        <v>102</v>
      </c>
      <c r="B116" s="74">
        <v>1</v>
      </c>
      <c r="C116" s="114">
        <v>2</v>
      </c>
      <c r="D116" s="114">
        <v>7.5</v>
      </c>
      <c r="E116" s="114">
        <v>9.5</v>
      </c>
      <c r="F116" s="114">
        <v>8</v>
      </c>
      <c r="G116" s="102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6" s="103">
        <f>IF('Vars and Stats'!$B$13="Y",10*(Completed[[#This Row],[Raw]]-'Vars and Stats'!$B$9)/'Vars and Stats'!$B$10, 10*Completed[[#This Row],[Raw]]/'Vars and Stats'!$B$8)</f>
        <v>5.7995628047755172</v>
      </c>
      <c r="I116" s="97">
        <v>41228</v>
      </c>
      <c r="J116" s="54">
        <v>41229</v>
      </c>
      <c r="K116" s="117" t="s">
        <v>244</v>
      </c>
      <c r="L116" s="118"/>
    </row>
    <row r="117" spans="1:12" ht="16.5">
      <c r="A117" s="53" t="s">
        <v>336</v>
      </c>
      <c r="B117" s="74">
        <v>1</v>
      </c>
      <c r="C117" s="114">
        <v>5</v>
      </c>
      <c r="D117" s="114">
        <v>7.5</v>
      </c>
      <c r="E117" s="114">
        <v>7.5</v>
      </c>
      <c r="F117" s="114">
        <v>6.5</v>
      </c>
      <c r="G117" s="102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7" s="103">
        <f>IF('Vars and Stats'!$B$13="Y",10*(Completed[[#This Row],[Raw]]-'Vars and Stats'!$B$9)/'Vars and Stats'!$B$10, 10*Completed[[#This Row],[Raw]]/'Vars and Stats'!$B$8)</f>
        <v>5.4044055826467137</v>
      </c>
      <c r="I117" s="97">
        <v>41550</v>
      </c>
      <c r="J117" s="54">
        <v>41634</v>
      </c>
      <c r="K117" s="117" t="s">
        <v>336</v>
      </c>
      <c r="L117" s="118" t="s">
        <v>402</v>
      </c>
    </row>
    <row r="118" spans="1:12" ht="16.5">
      <c r="A118" s="53" t="s">
        <v>471</v>
      </c>
      <c r="B118" s="74">
        <v>1</v>
      </c>
      <c r="C118" s="114">
        <v>6</v>
      </c>
      <c r="D118" s="114">
        <v>7.5</v>
      </c>
      <c r="E118" s="114">
        <v>6</v>
      </c>
      <c r="F118" s="114">
        <v>6</v>
      </c>
      <c r="G118" s="115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8" s="116">
        <f>IF('Vars and Stats'!$B$13="Y",10*(Completed[[#This Row],[Raw]]-'Vars and Stats'!$B$9)/'Vars and Stats'!$B$10, 10*Completed[[#This Row],[Raw]]/'Vars and Stats'!$B$8)</f>
        <v>5.2194383722885487</v>
      </c>
      <c r="I118" s="54">
        <v>41796</v>
      </c>
      <c r="J118" s="54">
        <v>41820</v>
      </c>
      <c r="K118" s="117" t="s">
        <v>649</v>
      </c>
      <c r="L118" s="118" t="s">
        <v>650</v>
      </c>
    </row>
    <row r="119" spans="1:12" ht="16.5">
      <c r="A119" s="53" t="s">
        <v>170</v>
      </c>
      <c r="B119" s="74">
        <v>1</v>
      </c>
      <c r="C119" s="114">
        <v>3</v>
      </c>
      <c r="D119" s="114">
        <v>6.5</v>
      </c>
      <c r="E119" s="114">
        <v>6.5</v>
      </c>
      <c r="F119" s="114">
        <v>7.5</v>
      </c>
      <c r="G119" s="102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19" s="103">
        <f>IF('Vars and Stats'!$B$13="Y",10*(Completed[[#This Row],[Raw]]-'Vars and Stats'!$B$9)/'Vars and Stats'!$B$10, 10*Completed[[#This Row],[Raw]]/'Vars and Stats'!$B$8)</f>
        <v>5.1589036488986038</v>
      </c>
      <c r="I119" s="97">
        <v>41448</v>
      </c>
      <c r="J119" s="54">
        <v>41455</v>
      </c>
      <c r="K119" s="117" t="s">
        <v>254</v>
      </c>
      <c r="L119" s="118" t="s">
        <v>174</v>
      </c>
    </row>
    <row r="120" spans="1:12" ht="16.5">
      <c r="A120" s="53" t="s">
        <v>480</v>
      </c>
      <c r="B120" s="74">
        <v>1</v>
      </c>
      <c r="C120" s="114">
        <v>5</v>
      </c>
      <c r="D120" s="114">
        <v>6.5</v>
      </c>
      <c r="E120" s="114">
        <v>8</v>
      </c>
      <c r="F120" s="114">
        <v>6.5</v>
      </c>
      <c r="G120" s="115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0" s="116">
        <f>IF('Vars and Stats'!$B$13="Y",10*(Completed[[#This Row],[Raw]]-'Vars and Stats'!$B$9)/'Vars and Stats'!$B$10, 10*Completed[[#This Row],[Raw]]/'Vars and Stats'!$B$8)</f>
        <v>5.0765091642845146</v>
      </c>
      <c r="I120" s="97">
        <v>41785</v>
      </c>
      <c r="J120" s="54">
        <v>41814</v>
      </c>
      <c r="K120" s="117" t="s">
        <v>628</v>
      </c>
      <c r="L120" s="118"/>
    </row>
    <row r="121" spans="1:12" ht="16.5">
      <c r="A121" s="53" t="s">
        <v>342</v>
      </c>
      <c r="B121" s="74">
        <v>1</v>
      </c>
      <c r="C121" s="114">
        <v>6.5</v>
      </c>
      <c r="D121" s="114">
        <v>5.5</v>
      </c>
      <c r="E121" s="114">
        <v>7.5</v>
      </c>
      <c r="F121" s="114">
        <v>6.5</v>
      </c>
      <c r="G121" s="102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1" s="103">
        <f>IF('Vars and Stats'!$B$13="Y",10*(Completed[[#This Row],[Raw]]-'Vars and Stats'!$B$9)/'Vars and Stats'!$B$10, 10*Completed[[#This Row],[Raw]]/'Vars and Stats'!$B$8)</f>
        <v>5.0529678829662013</v>
      </c>
      <c r="I121" s="97">
        <v>41560</v>
      </c>
      <c r="J121" s="54">
        <v>41618</v>
      </c>
      <c r="K121" s="117" t="s">
        <v>396</v>
      </c>
      <c r="L121" s="118"/>
    </row>
    <row r="122" spans="1:12" ht="16.5">
      <c r="A122" s="53" t="s">
        <v>221</v>
      </c>
      <c r="B122" s="74">
        <v>1</v>
      </c>
      <c r="C122" s="114">
        <v>2.5</v>
      </c>
      <c r="D122" s="114">
        <v>7.5</v>
      </c>
      <c r="E122" s="114">
        <v>5.5</v>
      </c>
      <c r="F122" s="114">
        <v>6</v>
      </c>
      <c r="G122" s="102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2" s="103">
        <f>IF('Vars and Stats'!$B$13="Y",10*(Completed[[#This Row],[Raw]]-'Vars and Stats'!$B$9)/'Vars and Stats'!$B$10, 10*Completed[[#This Row],[Raw]]/'Vars and Stats'!$B$8)</f>
        <v>4.3282327223810331</v>
      </c>
      <c r="I122" s="97">
        <v>41488</v>
      </c>
      <c r="J122" s="54">
        <v>41492</v>
      </c>
      <c r="K122" s="117" t="s">
        <v>289</v>
      </c>
      <c r="L122" s="118" t="s">
        <v>498</v>
      </c>
    </row>
    <row r="123" spans="1:12" ht="16.5">
      <c r="A123" s="53" t="s">
        <v>104</v>
      </c>
      <c r="B123" s="74">
        <v>1</v>
      </c>
      <c r="C123" s="114">
        <v>5.5</v>
      </c>
      <c r="D123" s="114">
        <v>5.5</v>
      </c>
      <c r="E123" s="114">
        <v>5</v>
      </c>
      <c r="F123" s="114">
        <v>6</v>
      </c>
      <c r="G123" s="102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3" s="103">
        <f>IF('Vars and Stats'!$B$13="Y",10*(Completed[[#This Row],[Raw]]-'Vars and Stats'!$B$9)/'Vars and Stats'!$B$10, 10*Completed[[#This Row],[Raw]]/'Vars and Stats'!$B$8)</f>
        <v>4.3130990415335448</v>
      </c>
      <c r="I123" s="97">
        <v>41302</v>
      </c>
      <c r="J123" s="54">
        <v>41360</v>
      </c>
      <c r="K123" s="117" t="s">
        <v>256</v>
      </c>
      <c r="L123" s="118"/>
    </row>
    <row r="124" spans="1:12" ht="16.5">
      <c r="A124" s="53" t="s">
        <v>442</v>
      </c>
      <c r="B124" s="74">
        <v>1</v>
      </c>
      <c r="C124" s="114">
        <v>1.5</v>
      </c>
      <c r="D124" s="114">
        <v>5</v>
      </c>
      <c r="E124" s="114">
        <v>4</v>
      </c>
      <c r="F124" s="114">
        <v>6.5</v>
      </c>
      <c r="G124" s="102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4" s="103">
        <f>IF('Vars and Stats'!$B$13="Y",10*(Completed[[#This Row],[Raw]]-'Vars and Stats'!$B$9)/'Vars and Stats'!$B$10, 10*Completed[[#This Row],[Raw]]/'Vars and Stats'!$B$8)</f>
        <v>3.4218933916260297</v>
      </c>
      <c r="I124" s="54">
        <v>41705</v>
      </c>
      <c r="J124" s="54">
        <v>41705</v>
      </c>
      <c r="K124" s="117" t="s">
        <v>443</v>
      </c>
      <c r="L124" s="118" t="s">
        <v>444</v>
      </c>
    </row>
    <row r="125" spans="1:12" ht="16.5">
      <c r="A125" s="53" t="s">
        <v>105</v>
      </c>
      <c r="B125" s="74">
        <v>1</v>
      </c>
      <c r="C125" s="114">
        <v>3.5</v>
      </c>
      <c r="D125" s="114">
        <v>5.5</v>
      </c>
      <c r="E125" s="114">
        <v>6</v>
      </c>
      <c r="F125" s="114">
        <v>5</v>
      </c>
      <c r="G125" s="102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5" s="103">
        <f>IF('Vars and Stats'!$B$13="Y",10*(Completed[[#This Row],[Raw]]-'Vars and Stats'!$B$9)/'Vars and Stats'!$B$10, 10*Completed[[#This Row],[Raw]]/'Vars and Stats'!$B$8)</f>
        <v>3.2167479401378842</v>
      </c>
      <c r="I125" s="54">
        <v>40674</v>
      </c>
      <c r="J125" s="54">
        <v>40675</v>
      </c>
      <c r="K125" s="123" t="s">
        <v>163</v>
      </c>
      <c r="L125" s="118"/>
    </row>
    <row r="126" spans="1:12" ht="16.5">
      <c r="A126" s="53" t="s">
        <v>106</v>
      </c>
      <c r="B126" s="74">
        <v>1</v>
      </c>
      <c r="C126" s="114">
        <v>3</v>
      </c>
      <c r="D126" s="114">
        <v>2</v>
      </c>
      <c r="E126" s="114">
        <v>7</v>
      </c>
      <c r="F126" s="114">
        <v>3</v>
      </c>
      <c r="G126" s="102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6" s="103">
        <f>IF('Vars and Stats'!$B$13="Y",10*(Completed[[#This Row],[Raw]]-'Vars and Stats'!$B$9)/'Vars and Stats'!$B$10, 10*Completed[[#This Row],[Raw]]/'Vars and Stats'!$B$8)</f>
        <v>0.5599461913569862</v>
      </c>
      <c r="I126" s="54">
        <v>41254</v>
      </c>
      <c r="J126" s="54">
        <v>41264</v>
      </c>
      <c r="K126" s="117" t="s">
        <v>267</v>
      </c>
      <c r="L126" s="118"/>
    </row>
    <row r="127" spans="1:12" ht="16.5">
      <c r="A127" s="53" t="s">
        <v>20</v>
      </c>
      <c r="B127" s="74">
        <v>1</v>
      </c>
      <c r="C127" s="114">
        <v>1.5</v>
      </c>
      <c r="D127" s="114">
        <v>2</v>
      </c>
      <c r="E127" s="114">
        <v>4</v>
      </c>
      <c r="F127" s="114">
        <v>3</v>
      </c>
      <c r="G127" s="102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7" s="103">
        <f>IF('Vars and Stats'!$B$13="Y",10*(Completed[[#This Row],[Raw]]-'Vars and Stats'!$B$9)/'Vars and Stats'!$B$10, 10*Completed[[#This Row],[Raw]]/'Vars and Stats'!$B$8)</f>
        <v>0</v>
      </c>
      <c r="I127" s="54">
        <v>41355</v>
      </c>
      <c r="J127" s="54">
        <v>41451</v>
      </c>
      <c r="K127" s="117" t="s">
        <v>163</v>
      </c>
      <c r="L127" s="118" t="s">
        <v>168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A3" sqref="A3"/>
    </sheetView>
  </sheetViews>
  <sheetFormatPr defaultRowHeight="15"/>
  <cols>
    <col min="1" max="1" width="35.140625" style="6" customWidth="1"/>
    <col min="2" max="2" width="6.42578125" style="42" bestFit="1" customWidth="1"/>
    <col min="3" max="3" width="14.7109375" style="3" customWidth="1"/>
    <col min="4" max="4" width="15.7109375" style="7" customWidth="1"/>
  </cols>
  <sheetData>
    <row r="1" spans="1:4" ht="16.5">
      <c r="A1" s="217" t="s">
        <v>501</v>
      </c>
      <c r="B1" s="218"/>
      <c r="C1" s="218"/>
      <c r="D1" s="219"/>
    </row>
    <row r="2" spans="1:4" ht="16.5">
      <c r="A2" s="48" t="s">
        <v>3</v>
      </c>
      <c r="B2" s="60" t="s">
        <v>197</v>
      </c>
      <c r="C2" s="47" t="s">
        <v>494</v>
      </c>
      <c r="D2" s="49" t="s">
        <v>496</v>
      </c>
    </row>
    <row r="3" spans="1:4" ht="16.5">
      <c r="A3" s="61" t="s">
        <v>189</v>
      </c>
      <c r="B3" s="62">
        <v>1</v>
      </c>
      <c r="C3" s="52">
        <v>41483</v>
      </c>
      <c r="D3" s="52">
        <v>41484</v>
      </c>
    </row>
    <row r="4" spans="1:4" ht="16.5">
      <c r="A4" s="53" t="s">
        <v>43</v>
      </c>
      <c r="B4" s="51">
        <v>1</v>
      </c>
      <c r="C4" s="52">
        <v>41515</v>
      </c>
      <c r="D4" s="52">
        <v>41515</v>
      </c>
    </row>
    <row r="5" spans="1:4" ht="16.5">
      <c r="A5" s="53" t="s">
        <v>43</v>
      </c>
      <c r="B5" s="51">
        <v>1</v>
      </c>
      <c r="C5" s="52">
        <v>41608</v>
      </c>
      <c r="D5" s="52">
        <v>41973</v>
      </c>
    </row>
    <row r="6" spans="1:4" ht="16.5">
      <c r="A6" s="61" t="s">
        <v>165</v>
      </c>
      <c r="B6" s="62">
        <v>1</v>
      </c>
      <c r="C6" s="134">
        <v>41696</v>
      </c>
      <c r="D6" s="134">
        <v>41700</v>
      </c>
    </row>
    <row r="7" spans="1:4" ht="16.5">
      <c r="A7" s="53" t="s">
        <v>110</v>
      </c>
      <c r="B7" s="51">
        <v>1</v>
      </c>
      <c r="C7" s="52">
        <v>41706</v>
      </c>
      <c r="D7" s="52">
        <v>41714</v>
      </c>
    </row>
    <row r="8" spans="1:4" ht="16.5">
      <c r="A8" s="53" t="s">
        <v>210</v>
      </c>
      <c r="B8" s="51">
        <v>1</v>
      </c>
      <c r="C8" s="52">
        <v>41725</v>
      </c>
      <c r="D8" s="52">
        <v>41728</v>
      </c>
    </row>
    <row r="9" spans="1:4" ht="16.5">
      <c r="A9" s="78" t="s">
        <v>539</v>
      </c>
      <c r="B9" s="80">
        <v>1</v>
      </c>
      <c r="C9" s="50">
        <v>41731</v>
      </c>
      <c r="D9" s="50">
        <v>41737</v>
      </c>
    </row>
    <row r="10" spans="1:4" ht="16.5">
      <c r="A10" s="53" t="s">
        <v>160</v>
      </c>
      <c r="B10" s="51">
        <v>1</v>
      </c>
      <c r="C10" s="52">
        <v>41769</v>
      </c>
      <c r="D10" s="52">
        <v>41777</v>
      </c>
    </row>
    <row r="11" spans="1:4" ht="16.5">
      <c r="A11" s="53" t="s">
        <v>89</v>
      </c>
      <c r="B11" s="51">
        <v>1</v>
      </c>
      <c r="C11" s="52">
        <v>41789</v>
      </c>
      <c r="D11" s="52">
        <v>41792</v>
      </c>
    </row>
    <row r="12" spans="1:4" ht="16.5">
      <c r="A12" s="53" t="s">
        <v>25</v>
      </c>
      <c r="B12" s="51">
        <v>1</v>
      </c>
      <c r="C12" s="52">
        <v>41793</v>
      </c>
      <c r="D12" s="52">
        <v>41793</v>
      </c>
    </row>
    <row r="13" spans="1:4" ht="16.5">
      <c r="A13" s="53" t="s">
        <v>225</v>
      </c>
      <c r="B13" s="51">
        <v>1</v>
      </c>
      <c r="C13" s="52">
        <v>41794</v>
      </c>
      <c r="D13" s="52">
        <v>41795</v>
      </c>
    </row>
    <row r="14" spans="1:4" ht="16.5">
      <c r="A14" s="78" t="s">
        <v>85</v>
      </c>
      <c r="B14" s="80">
        <v>1</v>
      </c>
      <c r="C14" s="52">
        <v>41798</v>
      </c>
      <c r="D14" s="50"/>
    </row>
    <row r="15" spans="1:4" ht="16.5">
      <c r="A15" s="53" t="s">
        <v>196</v>
      </c>
      <c r="B15" s="51">
        <v>1</v>
      </c>
      <c r="C15" s="52">
        <v>41823</v>
      </c>
      <c r="D15" s="52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7" bestFit="1" customWidth="1"/>
    <col min="11" max="11" width="3.140625" customWidth="1"/>
  </cols>
  <sheetData>
    <row r="1" spans="1:8" ht="16.5">
      <c r="A1" s="212" t="s">
        <v>56</v>
      </c>
      <c r="B1" s="213"/>
      <c r="C1" s="213"/>
      <c r="D1" s="214"/>
      <c r="E1" s="2"/>
      <c r="F1" s="1"/>
      <c r="G1" s="1"/>
      <c r="H1" s="1"/>
    </row>
    <row r="2" spans="1:8" ht="16.5">
      <c r="A2" s="48" t="s">
        <v>3</v>
      </c>
      <c r="B2" s="47" t="s">
        <v>197</v>
      </c>
      <c r="C2" s="47" t="s">
        <v>407</v>
      </c>
      <c r="D2" s="124" t="s">
        <v>58</v>
      </c>
      <c r="E2" s="2"/>
      <c r="F2" s="1"/>
      <c r="G2" s="1"/>
      <c r="H2" s="1"/>
    </row>
    <row r="3" spans="1:8" ht="16.5">
      <c r="A3" s="11" t="s">
        <v>62</v>
      </c>
      <c r="B3" s="14">
        <v>15</v>
      </c>
      <c r="C3" s="11">
        <v>580</v>
      </c>
      <c r="D3" s="14" t="s">
        <v>639</v>
      </c>
      <c r="E3" s="2"/>
      <c r="F3" s="1"/>
      <c r="G3" s="1"/>
      <c r="H3" s="1"/>
    </row>
    <row r="4" spans="1:8" ht="16.5">
      <c r="A4" s="11" t="s">
        <v>64</v>
      </c>
      <c r="B4" s="14">
        <v>9</v>
      </c>
      <c r="C4" s="11">
        <v>178</v>
      </c>
      <c r="D4" s="14" t="s">
        <v>639</v>
      </c>
      <c r="E4" s="2"/>
      <c r="F4" s="1"/>
      <c r="G4" s="1"/>
      <c r="H4" s="1"/>
    </row>
    <row r="5" spans="1:8" ht="16.5">
      <c r="A5" s="11" t="s">
        <v>68</v>
      </c>
      <c r="B5" s="14">
        <v>1</v>
      </c>
      <c r="C5" s="11">
        <v>12</v>
      </c>
      <c r="D5" s="14" t="s">
        <v>639</v>
      </c>
      <c r="E5" s="2"/>
      <c r="F5" s="1"/>
      <c r="G5" s="1"/>
      <c r="H5" s="1"/>
    </row>
    <row r="6" spans="1:8" ht="16.5">
      <c r="A6" s="11" t="s">
        <v>71</v>
      </c>
      <c r="B6" s="14">
        <v>4</v>
      </c>
      <c r="C6" s="11">
        <v>175</v>
      </c>
      <c r="D6" s="14" t="s">
        <v>640</v>
      </c>
      <c r="E6" s="2"/>
      <c r="F6" s="1"/>
      <c r="G6" s="1"/>
      <c r="H6" s="1"/>
    </row>
    <row r="7" spans="1:8" ht="16.5">
      <c r="A7" s="11" t="s">
        <v>75</v>
      </c>
      <c r="B7" s="14">
        <v>1</v>
      </c>
      <c r="C7" s="11">
        <v>13</v>
      </c>
      <c r="D7" s="14" t="s">
        <v>76</v>
      </c>
      <c r="E7" s="2"/>
      <c r="F7" s="1"/>
      <c r="G7" s="1"/>
      <c r="H7" s="1"/>
    </row>
    <row r="8" spans="1:8" ht="16.5">
      <c r="A8" s="11" t="s">
        <v>268</v>
      </c>
      <c r="B8" s="14">
        <v>1</v>
      </c>
      <c r="C8" s="11">
        <v>3</v>
      </c>
      <c r="D8" s="14" t="s">
        <v>270</v>
      </c>
      <c r="E8" s="2"/>
      <c r="F8" s="1"/>
      <c r="G8" s="1"/>
      <c r="H8" s="1"/>
    </row>
    <row r="9" spans="1:8" ht="16.5">
      <c r="A9" s="79" t="s">
        <v>340</v>
      </c>
      <c r="B9" s="125">
        <v>1</v>
      </c>
      <c r="C9" s="79">
        <v>3</v>
      </c>
      <c r="D9" s="125" t="s">
        <v>348</v>
      </c>
      <c r="E9" s="2"/>
      <c r="F9" s="1"/>
      <c r="G9" s="1"/>
      <c r="H9" s="1"/>
    </row>
  </sheetData>
  <mergeCells count="1">
    <mergeCell ref="A1:D1"/>
  </mergeCells>
  <phoneticPr fontId="5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A10" sqref="A10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20" t="s">
        <v>111</v>
      </c>
      <c r="B1" s="221"/>
      <c r="C1" s="221"/>
      <c r="D1" s="221"/>
      <c r="E1" s="221"/>
      <c r="F1" s="221"/>
      <c r="G1" s="221"/>
      <c r="H1" s="221"/>
      <c r="I1" s="222"/>
    </row>
    <row r="2" spans="1:12" ht="15" customHeight="1">
      <c r="A2" s="212" t="s">
        <v>112</v>
      </c>
      <c r="B2" s="213"/>
      <c r="C2" s="214"/>
      <c r="D2" s="9"/>
      <c r="E2" s="212" t="s">
        <v>2</v>
      </c>
      <c r="F2" s="213"/>
      <c r="G2" s="213"/>
      <c r="H2" s="213"/>
      <c r="I2" s="214"/>
    </row>
    <row r="3" spans="1:12" ht="15" customHeight="1">
      <c r="A3" s="37" t="s">
        <v>113</v>
      </c>
      <c r="B3" s="37" t="s">
        <v>114</v>
      </c>
      <c r="C3" s="37" t="s">
        <v>4</v>
      </c>
      <c r="D3" s="9"/>
      <c r="E3" s="37" t="s">
        <v>113</v>
      </c>
      <c r="F3" s="37" t="s">
        <v>4</v>
      </c>
      <c r="G3" s="37" t="s">
        <v>114</v>
      </c>
      <c r="H3" s="38" t="s">
        <v>108</v>
      </c>
      <c r="I3" s="37" t="s">
        <v>11</v>
      </c>
    </row>
    <row r="4" spans="1:12" ht="15" customHeight="1">
      <c r="A4" s="10" t="s">
        <v>151</v>
      </c>
      <c r="B4" s="11" t="s">
        <v>115</v>
      </c>
      <c r="C4" s="12" t="s">
        <v>14</v>
      </c>
      <c r="D4" s="9"/>
      <c r="E4" s="10" t="s">
        <v>158</v>
      </c>
      <c r="F4" s="11" t="s">
        <v>14</v>
      </c>
      <c r="G4" s="11" t="s">
        <v>115</v>
      </c>
      <c r="H4" s="39">
        <v>9.81</v>
      </c>
      <c r="I4" s="40">
        <v>41446</v>
      </c>
    </row>
    <row r="5" spans="1:12" ht="15" customHeight="1">
      <c r="A5" s="10" t="s">
        <v>117</v>
      </c>
      <c r="B5" s="11" t="s">
        <v>115</v>
      </c>
      <c r="C5" s="12" t="s">
        <v>40</v>
      </c>
      <c r="D5" s="9"/>
      <c r="E5" s="10" t="s">
        <v>116</v>
      </c>
      <c r="F5" s="11" t="s">
        <v>14</v>
      </c>
      <c r="G5" s="11" t="s">
        <v>115</v>
      </c>
      <c r="H5" s="39">
        <v>9.56</v>
      </c>
      <c r="I5" s="40">
        <v>41356</v>
      </c>
    </row>
    <row r="6" spans="1:12" ht="15" customHeight="1">
      <c r="A6" s="10" t="s">
        <v>119</v>
      </c>
      <c r="B6" s="11" t="s">
        <v>115</v>
      </c>
      <c r="C6" s="12" t="s">
        <v>40</v>
      </c>
      <c r="D6" s="9"/>
      <c r="E6" s="10" t="s">
        <v>118</v>
      </c>
      <c r="F6" s="11" t="s">
        <v>14</v>
      </c>
      <c r="G6" s="11" t="s">
        <v>115</v>
      </c>
      <c r="H6" s="39">
        <v>9.5399999999999991</v>
      </c>
      <c r="I6" s="40">
        <v>41370</v>
      </c>
    </row>
    <row r="7" spans="1:12" ht="15" customHeight="1">
      <c r="A7" s="10" t="s">
        <v>673</v>
      </c>
      <c r="B7" s="11" t="s">
        <v>121</v>
      </c>
      <c r="C7" s="12" t="s">
        <v>40</v>
      </c>
      <c r="D7" s="9"/>
      <c r="E7" s="10" t="s">
        <v>120</v>
      </c>
      <c r="F7" s="11" t="s">
        <v>14</v>
      </c>
      <c r="G7" s="11" t="s">
        <v>115</v>
      </c>
      <c r="H7" s="39">
        <v>9.49</v>
      </c>
      <c r="I7" s="40">
        <v>41400</v>
      </c>
      <c r="L7" t="s">
        <v>489</v>
      </c>
    </row>
    <row r="8" spans="1:12" ht="15" customHeight="1">
      <c r="A8" s="10" t="s">
        <v>145</v>
      </c>
      <c r="B8" s="11" t="s">
        <v>128</v>
      </c>
      <c r="C8" s="12" t="s">
        <v>14</v>
      </c>
      <c r="D8" s="9"/>
      <c r="E8" s="10" t="s">
        <v>292</v>
      </c>
      <c r="F8" s="11" t="s">
        <v>295</v>
      </c>
      <c r="G8" s="11" t="s">
        <v>293</v>
      </c>
      <c r="H8" s="39">
        <v>9.35</v>
      </c>
      <c r="I8" s="40">
        <v>41507</v>
      </c>
    </row>
    <row r="9" spans="1:12" ht="15" customHeight="1">
      <c r="A9" s="10" t="s">
        <v>153</v>
      </c>
      <c r="B9" s="11" t="s">
        <v>115</v>
      </c>
      <c r="C9" s="12" t="s">
        <v>14</v>
      </c>
      <c r="D9" s="9"/>
      <c r="E9" s="10" t="s">
        <v>122</v>
      </c>
      <c r="F9" s="11" t="s">
        <v>14</v>
      </c>
      <c r="G9" s="11" t="s">
        <v>115</v>
      </c>
      <c r="H9" s="39">
        <v>9.1199999999999992</v>
      </c>
      <c r="I9" s="40">
        <v>41381</v>
      </c>
    </row>
    <row r="10" spans="1:12" ht="15" customHeight="1">
      <c r="A10" s="10" t="s">
        <v>154</v>
      </c>
      <c r="B10" s="11" t="s">
        <v>115</v>
      </c>
      <c r="C10" s="12" t="s">
        <v>14</v>
      </c>
      <c r="D10" s="9"/>
      <c r="E10" s="10" t="s">
        <v>123</v>
      </c>
      <c r="F10" s="11" t="s">
        <v>14</v>
      </c>
      <c r="G10" s="11" t="s">
        <v>115</v>
      </c>
      <c r="H10" s="39">
        <v>8.6199999999999992</v>
      </c>
      <c r="I10" s="40">
        <v>41355</v>
      </c>
    </row>
    <row r="11" spans="1:12" ht="15" customHeight="1">
      <c r="A11" s="10"/>
      <c r="B11" s="11"/>
      <c r="C11" s="12"/>
      <c r="D11" s="9"/>
      <c r="E11" s="10" t="s">
        <v>124</v>
      </c>
      <c r="F11" s="11" t="s">
        <v>125</v>
      </c>
      <c r="G11" s="11" t="s">
        <v>115</v>
      </c>
      <c r="H11" s="39">
        <v>8.59</v>
      </c>
      <c r="I11" s="40">
        <v>41294</v>
      </c>
    </row>
    <row r="12" spans="1:12" ht="15" customHeight="1">
      <c r="A12" s="10"/>
      <c r="B12" s="11"/>
      <c r="C12" s="12"/>
      <c r="D12" s="9"/>
      <c r="E12" s="10" t="s">
        <v>126</v>
      </c>
      <c r="F12" s="11" t="s">
        <v>14</v>
      </c>
      <c r="G12" s="11" t="s">
        <v>115</v>
      </c>
      <c r="H12" s="39">
        <v>7.21</v>
      </c>
      <c r="I12" s="40">
        <v>41372</v>
      </c>
    </row>
    <row r="13" spans="1:12" ht="15" customHeight="1">
      <c r="A13" s="10"/>
      <c r="B13" s="11"/>
      <c r="C13" s="12"/>
      <c r="D13" s="9"/>
      <c r="E13" s="41" t="s">
        <v>291</v>
      </c>
      <c r="F13" s="11" t="s">
        <v>294</v>
      </c>
      <c r="G13" s="11" t="s">
        <v>290</v>
      </c>
      <c r="H13" s="39">
        <v>9.56</v>
      </c>
      <c r="I13" s="40">
        <v>41499</v>
      </c>
    </row>
    <row r="14" spans="1:12" ht="15" customHeight="1">
      <c r="A14" s="10"/>
      <c r="B14" s="11"/>
      <c r="C14" s="12"/>
      <c r="D14" s="9"/>
      <c r="E14" s="10" t="s">
        <v>140</v>
      </c>
      <c r="F14" s="11" t="s">
        <v>14</v>
      </c>
      <c r="G14" s="11" t="s">
        <v>128</v>
      </c>
      <c r="H14" s="39">
        <v>9.32</v>
      </c>
      <c r="I14" s="40">
        <v>41387</v>
      </c>
    </row>
    <row r="15" spans="1:12" ht="15" customHeight="1">
      <c r="A15" s="10"/>
      <c r="B15" s="11"/>
      <c r="C15" s="12"/>
      <c r="D15" s="9"/>
      <c r="E15" s="10" t="s">
        <v>127</v>
      </c>
      <c r="F15" s="11" t="s">
        <v>14</v>
      </c>
      <c r="G15" s="11" t="s">
        <v>128</v>
      </c>
      <c r="H15" s="39">
        <v>9.2100000000000009</v>
      </c>
      <c r="I15" s="40">
        <v>41421</v>
      </c>
    </row>
    <row r="16" spans="1:12" ht="15" customHeight="1">
      <c r="A16" s="10"/>
      <c r="B16" s="11"/>
      <c r="C16" s="12"/>
      <c r="D16" s="9"/>
      <c r="E16" s="10" t="s">
        <v>152</v>
      </c>
      <c r="F16" s="11" t="s">
        <v>14</v>
      </c>
      <c r="G16" s="11" t="s">
        <v>128</v>
      </c>
      <c r="H16" s="39">
        <v>9.2100000000000009</v>
      </c>
      <c r="I16" s="40">
        <v>41446</v>
      </c>
    </row>
    <row r="17" spans="1:11" ht="15" customHeight="1">
      <c r="A17" s="10"/>
      <c r="B17" s="11"/>
      <c r="C17" s="12"/>
      <c r="D17" s="9"/>
      <c r="E17" s="10" t="s">
        <v>144</v>
      </c>
      <c r="F17" s="11" t="s">
        <v>14</v>
      </c>
      <c r="G17" s="11" t="s">
        <v>128</v>
      </c>
      <c r="H17" s="39">
        <v>9.17</v>
      </c>
      <c r="I17" s="40">
        <v>41411</v>
      </c>
    </row>
    <row r="18" spans="1:11" ht="15" customHeight="1">
      <c r="A18" s="10"/>
      <c r="B18" s="11"/>
      <c r="C18" s="12"/>
      <c r="D18" s="9"/>
      <c r="E18" s="10" t="s">
        <v>129</v>
      </c>
      <c r="F18" s="11" t="s">
        <v>14</v>
      </c>
      <c r="G18" s="11" t="s">
        <v>121</v>
      </c>
      <c r="H18" s="39">
        <v>9.6199999999999992</v>
      </c>
      <c r="I18" s="40">
        <v>41294</v>
      </c>
    </row>
    <row r="19" spans="1:11" ht="15" customHeight="1">
      <c r="A19" s="10"/>
      <c r="B19" s="11"/>
      <c r="C19" s="12"/>
      <c r="D19" s="9"/>
      <c r="E19" s="10" t="s">
        <v>130</v>
      </c>
      <c r="F19" s="11" t="s">
        <v>14</v>
      </c>
      <c r="G19" s="11" t="s">
        <v>121</v>
      </c>
      <c r="H19" s="39">
        <v>9.43</v>
      </c>
      <c r="I19" s="40">
        <v>41294</v>
      </c>
    </row>
    <row r="20" spans="1:11" ht="15" customHeight="1">
      <c r="A20" s="10"/>
      <c r="B20" s="11"/>
      <c r="C20" s="12"/>
      <c r="D20" s="9"/>
      <c r="E20" s="10" t="s">
        <v>131</v>
      </c>
      <c r="F20" s="11" t="s">
        <v>14</v>
      </c>
      <c r="G20" s="11" t="s">
        <v>121</v>
      </c>
      <c r="H20" s="39">
        <v>9.36</v>
      </c>
      <c r="I20" s="40">
        <v>41370</v>
      </c>
    </row>
    <row r="21" spans="1:11" ht="15" customHeight="1">
      <c r="A21" s="10"/>
      <c r="B21" s="11"/>
      <c r="C21" s="12"/>
      <c r="D21" s="9"/>
      <c r="E21" s="10" t="s">
        <v>132</v>
      </c>
      <c r="F21" s="11" t="s">
        <v>14</v>
      </c>
      <c r="G21" s="11" t="s">
        <v>121</v>
      </c>
      <c r="H21" s="39">
        <v>9.27</v>
      </c>
      <c r="I21" s="40">
        <v>41360</v>
      </c>
    </row>
    <row r="22" spans="1:11" ht="15" customHeight="1">
      <c r="A22" s="10"/>
      <c r="B22" s="11"/>
      <c r="C22" s="12"/>
      <c r="D22" s="9"/>
      <c r="E22" s="10" t="s">
        <v>133</v>
      </c>
      <c r="F22" s="11" t="s">
        <v>14</v>
      </c>
      <c r="G22" s="11" t="s">
        <v>121</v>
      </c>
      <c r="H22" s="39">
        <v>9.23</v>
      </c>
      <c r="I22" s="40">
        <v>41300</v>
      </c>
      <c r="K22" s="5"/>
    </row>
    <row r="23" spans="1:11" ht="15" customHeight="1">
      <c r="A23" s="10"/>
      <c r="B23" s="11"/>
      <c r="C23" s="12"/>
      <c r="D23" s="9"/>
      <c r="E23" s="10" t="s">
        <v>134</v>
      </c>
      <c r="F23" s="11" t="s">
        <v>14</v>
      </c>
      <c r="G23" s="11" t="s">
        <v>121</v>
      </c>
      <c r="H23" s="39">
        <v>9.0500000000000007</v>
      </c>
      <c r="I23" s="40">
        <v>41281</v>
      </c>
    </row>
    <row r="24" spans="1:11" ht="15" customHeight="1">
      <c r="A24" s="10"/>
      <c r="B24" s="11"/>
      <c r="C24" s="12"/>
      <c r="D24" s="9"/>
      <c r="E24" s="10" t="s">
        <v>135</v>
      </c>
      <c r="F24" s="11" t="s">
        <v>14</v>
      </c>
      <c r="G24" s="11" t="s">
        <v>121</v>
      </c>
      <c r="H24" s="39">
        <v>8.9700000000000006</v>
      </c>
      <c r="I24" s="40">
        <v>41302</v>
      </c>
    </row>
    <row r="25" spans="1:11" ht="15" customHeight="1">
      <c r="A25" s="10"/>
      <c r="B25" s="11"/>
      <c r="C25" s="12"/>
      <c r="D25" s="9"/>
      <c r="E25" s="10" t="s">
        <v>136</v>
      </c>
      <c r="F25" s="11" t="s">
        <v>14</v>
      </c>
      <c r="G25" s="11" t="s">
        <v>121</v>
      </c>
      <c r="H25" s="39">
        <v>8.9700000000000006</v>
      </c>
      <c r="I25" s="40">
        <v>41355</v>
      </c>
    </row>
    <row r="26" spans="1:11" ht="15" customHeight="1">
      <c r="A26" s="10"/>
      <c r="B26" s="11"/>
      <c r="C26" s="12"/>
      <c r="D26" s="9"/>
      <c r="E26" s="10" t="s">
        <v>137</v>
      </c>
      <c r="F26" s="11" t="s">
        <v>14</v>
      </c>
      <c r="G26" s="11" t="s">
        <v>121</v>
      </c>
      <c r="H26" s="39">
        <v>8.58</v>
      </c>
      <c r="I26" s="40">
        <v>41336</v>
      </c>
    </row>
    <row r="27" spans="1:11" ht="15" customHeight="1">
      <c r="A27" s="10"/>
      <c r="B27" s="11"/>
      <c r="C27" s="12"/>
      <c r="D27" s="9"/>
      <c r="E27" s="10" t="s">
        <v>155</v>
      </c>
      <c r="F27" s="11" t="s">
        <v>14</v>
      </c>
      <c r="G27" s="11" t="s">
        <v>121</v>
      </c>
      <c r="H27" s="39">
        <v>8.31</v>
      </c>
      <c r="I27" s="40">
        <v>41440</v>
      </c>
    </row>
    <row r="28" spans="1:11" ht="15" customHeight="1">
      <c r="A28" s="10"/>
      <c r="B28" s="11"/>
      <c r="C28" s="12"/>
      <c r="D28" s="9"/>
      <c r="E28" s="10" t="s">
        <v>171</v>
      </c>
      <c r="F28" s="11" t="s">
        <v>14</v>
      </c>
      <c r="G28" s="11" t="s">
        <v>121</v>
      </c>
      <c r="H28" s="39">
        <v>8.31</v>
      </c>
      <c r="I28" s="40">
        <v>41451</v>
      </c>
    </row>
    <row r="29" spans="1:11" ht="15" customHeight="1">
      <c r="A29" s="10"/>
      <c r="B29" s="11"/>
      <c r="C29" s="12"/>
      <c r="D29" s="9"/>
      <c r="E29" s="10" t="s">
        <v>220</v>
      </c>
      <c r="F29" s="11" t="s">
        <v>14</v>
      </c>
      <c r="G29" s="11" t="s">
        <v>121</v>
      </c>
      <c r="H29" s="39">
        <v>8.2799999999999994</v>
      </c>
      <c r="I29" s="40">
        <v>41462</v>
      </c>
    </row>
    <row r="30" spans="1:11" ht="15" customHeight="1">
      <c r="A30" s="10"/>
      <c r="B30" s="11"/>
      <c r="C30" s="12"/>
      <c r="D30" s="9"/>
      <c r="E30" s="10" t="s">
        <v>138</v>
      </c>
      <c r="F30" s="11" t="s">
        <v>14</v>
      </c>
      <c r="G30" s="11" t="s">
        <v>121</v>
      </c>
      <c r="H30" s="39">
        <v>8.1199999999999992</v>
      </c>
      <c r="I30" s="40">
        <v>41412</v>
      </c>
    </row>
    <row r="31" spans="1:11" ht="15" customHeight="1">
      <c r="A31" s="10"/>
      <c r="B31" s="11"/>
      <c r="C31" s="12"/>
      <c r="D31" s="9"/>
      <c r="E31" s="10" t="s">
        <v>219</v>
      </c>
      <c r="F31" s="11" t="s">
        <v>14</v>
      </c>
      <c r="G31" s="11" t="s">
        <v>121</v>
      </c>
      <c r="H31" s="39">
        <v>7.89</v>
      </c>
      <c r="I31" s="40">
        <v>41462</v>
      </c>
    </row>
    <row r="32" spans="1:11" ht="15" customHeight="1">
      <c r="A32" s="10"/>
      <c r="B32" s="11"/>
      <c r="C32" s="12"/>
      <c r="D32" s="9"/>
      <c r="E32" s="10" t="s">
        <v>139</v>
      </c>
      <c r="F32" s="11" t="s">
        <v>14</v>
      </c>
      <c r="G32" s="11" t="s">
        <v>121</v>
      </c>
      <c r="H32" s="39">
        <v>7.62</v>
      </c>
      <c r="I32" s="40">
        <v>41400</v>
      </c>
    </row>
    <row r="33" spans="1:9" ht="15" customHeight="1">
      <c r="A33" s="10"/>
      <c r="B33" s="11"/>
      <c r="C33" s="12"/>
      <c r="D33" s="9"/>
      <c r="E33" s="10" t="s">
        <v>317</v>
      </c>
      <c r="F33" s="11" t="s">
        <v>14</v>
      </c>
      <c r="G33" s="11" t="s">
        <v>115</v>
      </c>
      <c r="H33" s="39">
        <v>9.2100000000000009</v>
      </c>
      <c r="I33" s="40">
        <v>41543</v>
      </c>
    </row>
    <row r="34" spans="1:9" ht="15" customHeight="1">
      <c r="A34" s="10"/>
      <c r="B34" s="11"/>
      <c r="C34" s="12"/>
      <c r="D34" s="9"/>
      <c r="E34" s="10" t="s">
        <v>344</v>
      </c>
      <c r="F34" s="11" t="s">
        <v>14</v>
      </c>
      <c r="G34" s="11" t="s">
        <v>121</v>
      </c>
      <c r="H34" s="39">
        <v>9.24</v>
      </c>
      <c r="I34" s="40">
        <v>41563</v>
      </c>
    </row>
    <row r="35" spans="1:9" ht="15" customHeight="1">
      <c r="A35" s="10"/>
      <c r="B35" s="11"/>
      <c r="C35" s="12"/>
      <c r="D35" s="9"/>
      <c r="E35" s="10" t="s">
        <v>345</v>
      </c>
      <c r="F35" s="11" t="s">
        <v>14</v>
      </c>
      <c r="G35" s="11" t="s">
        <v>121</v>
      </c>
      <c r="H35" s="39">
        <v>7.15</v>
      </c>
      <c r="I35" s="40">
        <v>41563</v>
      </c>
    </row>
    <row r="36" spans="1:9" ht="15" customHeight="1">
      <c r="A36" s="10"/>
      <c r="B36" s="11"/>
      <c r="C36" s="12"/>
      <c r="D36" s="9"/>
      <c r="E36" s="10"/>
      <c r="F36" s="11"/>
      <c r="G36" s="11"/>
      <c r="H36" s="39"/>
      <c r="I36" s="40"/>
    </row>
    <row r="37" spans="1:9" ht="15" customHeight="1">
      <c r="A37" s="10"/>
      <c r="B37" s="11"/>
      <c r="C37" s="12"/>
      <c r="D37" s="9"/>
      <c r="E37" s="10"/>
      <c r="F37" s="11"/>
      <c r="G37" s="11"/>
      <c r="H37" s="39"/>
      <c r="I37" s="40"/>
    </row>
    <row r="38" spans="1:9" ht="15" customHeight="1">
      <c r="A38" s="10"/>
      <c r="B38" s="11"/>
      <c r="C38" s="12"/>
      <c r="D38" s="9"/>
      <c r="E38" s="10"/>
      <c r="F38" s="11"/>
      <c r="G38" s="11"/>
      <c r="H38" s="39"/>
      <c r="I38" s="40"/>
    </row>
    <row r="39" spans="1:9" ht="15" customHeight="1">
      <c r="A39" s="10"/>
      <c r="B39" s="11"/>
      <c r="C39" s="12"/>
      <c r="D39" s="9"/>
      <c r="E39" s="10"/>
      <c r="F39" s="11"/>
      <c r="G39" s="11"/>
      <c r="H39" s="39"/>
      <c r="I39" s="40"/>
    </row>
    <row r="40" spans="1:9" ht="15" customHeight="1">
      <c r="A40" s="10"/>
      <c r="B40" s="11"/>
      <c r="C40" s="12"/>
      <c r="D40" s="9"/>
      <c r="E40" s="10"/>
      <c r="F40" s="11"/>
      <c r="G40" s="11"/>
      <c r="H40" s="39"/>
      <c r="I40" s="40"/>
    </row>
    <row r="41" spans="1:9" ht="15" customHeight="1">
      <c r="A41" s="10"/>
      <c r="B41" s="11"/>
      <c r="C41" s="12"/>
      <c r="D41" s="9"/>
      <c r="E41" s="10"/>
      <c r="F41" s="11"/>
      <c r="G41" s="11"/>
      <c r="H41" s="39"/>
      <c r="I41" s="40"/>
    </row>
    <row r="42" spans="1:9" ht="15" customHeight="1">
      <c r="A42" s="10"/>
      <c r="B42" s="11"/>
      <c r="C42" s="12"/>
      <c r="D42" s="9"/>
      <c r="E42" s="10"/>
      <c r="F42" s="11"/>
      <c r="G42" s="11"/>
      <c r="H42" s="39"/>
      <c r="I42" s="40"/>
    </row>
    <row r="43" spans="1:9" ht="15" customHeight="1">
      <c r="A43" s="10"/>
      <c r="B43" s="11"/>
      <c r="C43" s="12"/>
      <c r="D43" s="9"/>
      <c r="E43" s="10"/>
      <c r="F43" s="11"/>
      <c r="G43" s="11"/>
      <c r="H43" s="39"/>
      <c r="I43" s="40"/>
    </row>
    <row r="44" spans="1:9" ht="15" customHeight="1">
      <c r="A44" s="10"/>
      <c r="B44" s="11"/>
      <c r="C44" s="12"/>
      <c r="D44" s="9"/>
      <c r="E44" s="10"/>
      <c r="F44" s="11"/>
      <c r="G44" s="11"/>
      <c r="H44" s="39"/>
      <c r="I44" s="40"/>
    </row>
    <row r="45" spans="1:9" ht="15" customHeight="1">
      <c r="A45" s="10"/>
      <c r="B45" s="11"/>
      <c r="C45" s="12"/>
      <c r="D45" s="9"/>
      <c r="E45" s="10"/>
      <c r="F45" s="11"/>
      <c r="G45" s="11"/>
      <c r="H45" s="39"/>
      <c r="I45" s="40"/>
    </row>
    <row r="46" spans="1:9" ht="15" customHeight="1">
      <c r="A46" s="10"/>
      <c r="B46" s="11"/>
      <c r="C46" s="12"/>
      <c r="D46" s="9"/>
      <c r="E46" s="10"/>
      <c r="F46" s="11"/>
      <c r="G46" s="11"/>
      <c r="H46" s="39"/>
      <c r="I46" s="40"/>
    </row>
    <row r="47" spans="1:9" ht="15" customHeight="1">
      <c r="A47" s="10"/>
      <c r="B47" s="11"/>
      <c r="C47" s="12"/>
      <c r="D47" s="9"/>
      <c r="E47" s="10"/>
      <c r="F47" s="11"/>
      <c r="G47" s="11"/>
      <c r="H47" s="39"/>
      <c r="I47" s="40"/>
    </row>
    <row r="48" spans="1:9" ht="15" customHeight="1">
      <c r="A48" s="10"/>
      <c r="B48" s="11"/>
      <c r="C48" s="12"/>
      <c r="D48" s="9"/>
      <c r="E48" s="10"/>
      <c r="F48" s="11"/>
      <c r="G48" s="11"/>
      <c r="H48" s="39"/>
      <c r="I48" s="40"/>
    </row>
    <row r="49" spans="1:9" ht="15" customHeight="1">
      <c r="A49" s="10"/>
      <c r="B49" s="11"/>
      <c r="C49" s="12"/>
      <c r="D49" s="9"/>
      <c r="E49" s="10"/>
      <c r="F49" s="11"/>
      <c r="G49" s="11"/>
      <c r="H49" s="39"/>
      <c r="I49" s="40"/>
    </row>
    <row r="50" spans="1:9" ht="15" customHeight="1">
      <c r="A50" s="10"/>
      <c r="B50" s="11"/>
      <c r="C50" s="12"/>
      <c r="D50" s="9"/>
      <c r="E50" s="10"/>
      <c r="F50" s="11"/>
      <c r="G50" s="11"/>
      <c r="H50" s="39"/>
      <c r="I50" s="40"/>
    </row>
    <row r="51" spans="1:9" ht="15" customHeight="1">
      <c r="A51" s="10"/>
      <c r="B51" s="11"/>
      <c r="C51" s="12"/>
      <c r="D51" s="9"/>
      <c r="E51" s="10"/>
      <c r="F51" s="11"/>
      <c r="G51" s="11"/>
      <c r="H51" s="39"/>
      <c r="I51" s="40"/>
    </row>
    <row r="52" spans="1:9" ht="15" customHeight="1">
      <c r="A52" s="10"/>
      <c r="B52" s="11"/>
      <c r="C52" s="12"/>
      <c r="D52" s="9"/>
      <c r="E52" s="10"/>
      <c r="F52" s="11"/>
      <c r="G52" s="11"/>
      <c r="H52" s="39"/>
      <c r="I52" s="40"/>
    </row>
    <row r="53" spans="1:9" ht="15" customHeight="1">
      <c r="A53" s="10"/>
      <c r="B53" s="11"/>
      <c r="C53" s="12"/>
      <c r="D53" s="9"/>
      <c r="E53" s="10"/>
      <c r="F53" s="11"/>
      <c r="G53" s="11"/>
      <c r="H53" s="39"/>
      <c r="I53" s="40"/>
    </row>
    <row r="54" spans="1:9" ht="15" customHeight="1">
      <c r="A54" s="10"/>
      <c r="B54" s="11"/>
      <c r="C54" s="12"/>
      <c r="D54" s="9"/>
      <c r="E54" s="10"/>
      <c r="F54" s="11"/>
      <c r="G54" s="11"/>
      <c r="H54" s="39"/>
      <c r="I54" s="40"/>
    </row>
    <row r="55" spans="1:9" ht="15" customHeight="1">
      <c r="A55" s="10"/>
      <c r="B55" s="11"/>
      <c r="C55" s="12"/>
      <c r="D55" s="9"/>
      <c r="E55" s="10"/>
      <c r="F55" s="11"/>
      <c r="G55" s="11"/>
      <c r="H55" s="39"/>
      <c r="I55" s="40"/>
    </row>
    <row r="56" spans="1:9" ht="15" customHeight="1">
      <c r="A56" s="10"/>
      <c r="B56" s="11"/>
      <c r="C56" s="12"/>
      <c r="D56" s="9"/>
      <c r="E56" s="10"/>
      <c r="F56" s="11"/>
      <c r="G56" s="11"/>
      <c r="H56" s="39"/>
      <c r="I56" s="40"/>
    </row>
    <row r="57" spans="1:9" ht="15" customHeight="1">
      <c r="A57" s="10"/>
      <c r="B57" s="11"/>
      <c r="C57" s="12"/>
      <c r="D57" s="9"/>
      <c r="E57" s="10"/>
      <c r="F57" s="11"/>
      <c r="G57" s="11"/>
      <c r="H57" s="39"/>
      <c r="I57" s="40"/>
    </row>
    <row r="58" spans="1:9" ht="15" customHeight="1">
      <c r="A58" s="10"/>
      <c r="B58" s="11"/>
      <c r="C58" s="12"/>
      <c r="D58" s="9"/>
      <c r="E58" s="10"/>
      <c r="F58" s="11"/>
      <c r="G58" s="11"/>
      <c r="H58" s="39"/>
      <c r="I58" s="40"/>
    </row>
    <row r="59" spans="1:9" ht="15" customHeight="1">
      <c r="A59" s="10"/>
      <c r="B59" s="11"/>
      <c r="C59" s="12"/>
      <c r="D59" s="9"/>
      <c r="E59" s="10"/>
      <c r="F59" s="11"/>
      <c r="G59" s="11"/>
      <c r="H59" s="39"/>
      <c r="I59" s="40"/>
    </row>
    <row r="60" spans="1:9" ht="15" customHeight="1">
      <c r="A60" s="10"/>
      <c r="B60" s="11"/>
      <c r="C60" s="12"/>
      <c r="D60" s="9"/>
      <c r="E60" s="10"/>
      <c r="F60" s="11"/>
      <c r="G60" s="11"/>
      <c r="H60" s="39"/>
      <c r="I60" s="40"/>
    </row>
    <row r="61" spans="1:9" ht="15" customHeight="1">
      <c r="A61" s="10"/>
      <c r="B61" s="11"/>
      <c r="C61" s="12"/>
      <c r="D61" s="9"/>
      <c r="E61" s="10"/>
      <c r="F61" s="11"/>
      <c r="G61" s="11"/>
      <c r="H61" s="39"/>
      <c r="I61" s="40"/>
    </row>
    <row r="62" spans="1:9" ht="15" customHeight="1">
      <c r="A62" s="10"/>
      <c r="B62" s="11"/>
      <c r="C62" s="12"/>
      <c r="D62" s="9"/>
      <c r="E62" s="10"/>
      <c r="F62" s="11"/>
      <c r="G62" s="11"/>
      <c r="H62" s="39"/>
      <c r="I62" s="40"/>
    </row>
    <row r="63" spans="1:9" ht="15" customHeight="1">
      <c r="A63" s="10"/>
      <c r="B63" s="11"/>
      <c r="C63" s="12"/>
      <c r="D63" s="9"/>
      <c r="E63" s="10"/>
      <c r="F63" s="11"/>
      <c r="G63" s="11"/>
      <c r="H63" s="39"/>
      <c r="I63" s="40"/>
    </row>
    <row r="64" spans="1:9" ht="15" customHeight="1">
      <c r="A64" s="10"/>
      <c r="B64" s="11"/>
      <c r="C64" s="12"/>
      <c r="D64" s="9"/>
      <c r="E64" s="10"/>
      <c r="F64" s="11"/>
      <c r="G64" s="11"/>
      <c r="H64" s="39"/>
      <c r="I64" s="40"/>
    </row>
    <row r="65" spans="1:9" ht="15" customHeight="1">
      <c r="A65" s="10"/>
      <c r="B65" s="11"/>
      <c r="C65" s="12"/>
      <c r="D65" s="9"/>
      <c r="E65" s="10"/>
      <c r="F65" s="11"/>
      <c r="G65" s="11"/>
      <c r="H65" s="39"/>
      <c r="I65" s="40"/>
    </row>
    <row r="66" spans="1:9" ht="15" customHeight="1">
      <c r="A66" s="10"/>
      <c r="B66" s="11"/>
      <c r="C66" s="12"/>
      <c r="D66" s="9"/>
      <c r="E66" s="10"/>
      <c r="F66" s="11"/>
      <c r="G66" s="11"/>
      <c r="H66" s="39"/>
      <c r="I66" s="40"/>
    </row>
    <row r="67" spans="1:9" ht="15" customHeight="1">
      <c r="A67" s="10"/>
      <c r="B67" s="11"/>
      <c r="C67" s="12"/>
      <c r="D67" s="9"/>
      <c r="E67" s="10"/>
      <c r="F67" s="11"/>
      <c r="G67" s="11"/>
      <c r="H67" s="39"/>
      <c r="I67" s="40"/>
    </row>
    <row r="68" spans="1:9" ht="15" customHeight="1">
      <c r="A68" s="10"/>
      <c r="B68" s="11"/>
      <c r="C68" s="12"/>
      <c r="D68" s="9"/>
      <c r="E68" s="10"/>
      <c r="F68" s="11"/>
      <c r="G68" s="11"/>
      <c r="H68" s="39"/>
      <c r="I68" s="40"/>
    </row>
    <row r="69" spans="1:9" ht="15" customHeight="1">
      <c r="A69" s="10"/>
      <c r="B69" s="11"/>
      <c r="C69" s="12"/>
      <c r="D69" s="9"/>
      <c r="E69" s="10"/>
      <c r="F69" s="11"/>
      <c r="G69" s="11"/>
      <c r="H69" s="39"/>
      <c r="I69" s="40"/>
    </row>
    <row r="70" spans="1:9" ht="15" customHeight="1">
      <c r="A70" s="10"/>
      <c r="B70" s="11"/>
      <c r="C70" s="12"/>
      <c r="D70" s="9"/>
      <c r="E70" s="10"/>
      <c r="F70" s="11"/>
      <c r="G70" s="11"/>
      <c r="H70" s="39"/>
      <c r="I70" s="40"/>
    </row>
    <row r="71" spans="1:9" ht="15" customHeight="1">
      <c r="A71" s="10"/>
      <c r="B71" s="11"/>
      <c r="C71" s="12"/>
      <c r="D71" s="9"/>
      <c r="E71" s="10"/>
      <c r="F71" s="11"/>
      <c r="G71" s="11"/>
      <c r="H71" s="39"/>
      <c r="I71" s="40"/>
    </row>
    <row r="72" spans="1:9" ht="15" customHeight="1">
      <c r="A72" s="10"/>
      <c r="B72" s="11"/>
      <c r="C72" s="12"/>
      <c r="D72" s="9"/>
      <c r="E72" s="10"/>
      <c r="F72" s="11"/>
      <c r="G72" s="11"/>
      <c r="H72" s="39"/>
      <c r="I72" s="40"/>
    </row>
    <row r="73" spans="1:9" ht="15" customHeight="1">
      <c r="A73" s="10"/>
      <c r="B73" s="11"/>
      <c r="C73" s="12"/>
      <c r="D73" s="9"/>
      <c r="E73" s="10"/>
      <c r="F73" s="11"/>
      <c r="G73" s="11"/>
      <c r="H73" s="39"/>
      <c r="I73" s="40"/>
    </row>
    <row r="74" spans="1:9" ht="15" customHeight="1">
      <c r="A74" s="10"/>
      <c r="B74" s="11"/>
      <c r="C74" s="12"/>
      <c r="D74" s="9"/>
      <c r="E74" s="10"/>
      <c r="F74" s="11"/>
      <c r="G74" s="11"/>
      <c r="H74" s="39"/>
      <c r="I74" s="40"/>
    </row>
    <row r="75" spans="1:9" ht="15" customHeight="1">
      <c r="A75" s="10"/>
      <c r="B75" s="11"/>
      <c r="C75" s="12"/>
      <c r="D75" s="9"/>
      <c r="E75" s="10"/>
      <c r="F75" s="11"/>
      <c r="G75" s="11"/>
      <c r="H75" s="39"/>
      <c r="I75" s="40"/>
    </row>
    <row r="76" spans="1:9" ht="15" customHeight="1">
      <c r="A76" s="10"/>
      <c r="B76" s="11"/>
      <c r="C76" s="12"/>
      <c r="D76" s="9"/>
      <c r="E76" s="10"/>
      <c r="F76" s="11"/>
      <c r="G76" s="11"/>
      <c r="H76" s="39"/>
      <c r="I76" s="40"/>
    </row>
    <row r="77" spans="1:9" ht="15" customHeight="1">
      <c r="A77" s="10"/>
      <c r="B77" s="11"/>
      <c r="C77" s="12"/>
      <c r="D77" s="9"/>
      <c r="E77" s="10"/>
      <c r="F77" s="11"/>
      <c r="G77" s="11"/>
      <c r="H77" s="39"/>
      <c r="I77" s="40"/>
    </row>
    <row r="78" spans="1:9" ht="15" customHeight="1">
      <c r="A78" s="10"/>
      <c r="B78" s="11"/>
      <c r="C78" s="12"/>
      <c r="D78" s="9"/>
      <c r="E78" s="10"/>
      <c r="F78" s="11"/>
      <c r="G78" s="11"/>
      <c r="H78" s="39"/>
      <c r="I78" s="40"/>
    </row>
    <row r="79" spans="1:9" ht="15" customHeight="1">
      <c r="A79" s="10"/>
      <c r="B79" s="11"/>
      <c r="C79" s="12"/>
      <c r="D79" s="9"/>
      <c r="E79" s="10"/>
      <c r="F79" s="11"/>
      <c r="G79" s="11"/>
      <c r="H79" s="39"/>
      <c r="I79" s="40"/>
    </row>
    <row r="80" spans="1:9" ht="15" customHeight="1">
      <c r="A80" s="10"/>
      <c r="B80" s="11"/>
      <c r="C80" s="12"/>
      <c r="D80" s="9"/>
      <c r="E80" s="10"/>
      <c r="F80" s="11"/>
      <c r="G80" s="11"/>
      <c r="H80" s="39"/>
      <c r="I80" s="40"/>
    </row>
    <row r="81" spans="1:9" ht="15" customHeight="1">
      <c r="A81" s="10"/>
      <c r="B81" s="11"/>
      <c r="C81" s="12"/>
      <c r="D81" s="9"/>
      <c r="E81" s="10"/>
      <c r="F81" s="11"/>
      <c r="G81" s="11"/>
      <c r="H81" s="39"/>
      <c r="I81" s="40"/>
    </row>
    <row r="82" spans="1:9" ht="15" customHeight="1">
      <c r="A82" s="10"/>
      <c r="B82" s="11"/>
      <c r="C82" s="12"/>
      <c r="D82" s="9"/>
      <c r="E82" s="10"/>
      <c r="F82" s="11"/>
      <c r="G82" s="11"/>
      <c r="H82" s="39"/>
      <c r="I82" s="40"/>
    </row>
    <row r="83" spans="1:9" ht="15" customHeight="1">
      <c r="A83" s="10"/>
      <c r="B83" s="11"/>
      <c r="C83" s="12"/>
      <c r="D83" s="9"/>
      <c r="E83" s="10"/>
      <c r="F83" s="11"/>
      <c r="G83" s="11"/>
      <c r="H83" s="39"/>
      <c r="I83" s="40"/>
    </row>
    <row r="84" spans="1:9" ht="15" customHeight="1">
      <c r="A84" s="10"/>
      <c r="B84" s="11"/>
      <c r="C84" s="12"/>
      <c r="D84" s="9"/>
      <c r="E84" s="10"/>
      <c r="F84" s="11"/>
      <c r="G84" s="11"/>
      <c r="H84" s="39"/>
      <c r="I84" s="40"/>
    </row>
    <row r="85" spans="1:9" ht="15" customHeight="1">
      <c r="A85" s="10"/>
      <c r="B85" s="11"/>
      <c r="C85" s="12"/>
      <c r="D85" s="9"/>
      <c r="E85" s="10"/>
      <c r="F85" s="11"/>
      <c r="G85" s="11"/>
      <c r="H85" s="39"/>
      <c r="I85" s="40"/>
    </row>
    <row r="86" spans="1:9" ht="15" customHeight="1">
      <c r="A86" s="10"/>
      <c r="B86" s="11"/>
      <c r="C86" s="12"/>
      <c r="D86" s="9"/>
      <c r="E86" s="10"/>
      <c r="F86" s="11"/>
      <c r="G86" s="11"/>
      <c r="H86" s="39"/>
      <c r="I86" s="40"/>
    </row>
    <row r="87" spans="1:9" ht="15" customHeight="1">
      <c r="A87" s="10"/>
      <c r="B87" s="11"/>
      <c r="C87" s="12"/>
      <c r="D87" s="9"/>
      <c r="E87" s="10"/>
      <c r="F87" s="11"/>
      <c r="G87" s="11"/>
      <c r="H87" s="39"/>
      <c r="I87" s="40"/>
    </row>
    <row r="88" spans="1:9" ht="15" customHeight="1">
      <c r="A88" s="10"/>
      <c r="B88" s="11"/>
      <c r="C88" s="12"/>
      <c r="D88" s="9"/>
      <c r="E88" s="10"/>
      <c r="F88" s="11"/>
      <c r="G88" s="11"/>
      <c r="H88" s="39"/>
      <c r="I88" s="40"/>
    </row>
    <row r="89" spans="1:9" ht="15" customHeight="1">
      <c r="A89" s="10"/>
      <c r="B89" s="11"/>
      <c r="C89" s="12"/>
      <c r="D89" s="9"/>
      <c r="E89" s="10"/>
      <c r="F89" s="11"/>
      <c r="G89" s="11"/>
      <c r="H89" s="39"/>
      <c r="I89" s="40"/>
    </row>
    <row r="90" spans="1:9" ht="15" customHeight="1">
      <c r="A90" s="10"/>
      <c r="B90" s="11"/>
      <c r="C90" s="12"/>
      <c r="D90" s="9"/>
      <c r="E90" s="10"/>
      <c r="F90" s="11"/>
      <c r="G90" s="11"/>
      <c r="H90" s="39"/>
      <c r="I90" s="40"/>
    </row>
    <row r="91" spans="1:9" ht="15" customHeight="1">
      <c r="A91" s="10"/>
      <c r="B91" s="11"/>
      <c r="C91" s="12"/>
      <c r="D91" s="9"/>
      <c r="E91" s="10"/>
      <c r="F91" s="11"/>
      <c r="G91" s="11"/>
      <c r="H91" s="39"/>
      <c r="I91" s="40"/>
    </row>
    <row r="92" spans="1:9" ht="15" customHeight="1">
      <c r="A92" s="10"/>
      <c r="B92" s="11"/>
      <c r="C92" s="12"/>
      <c r="D92" s="9"/>
      <c r="E92" s="10"/>
      <c r="F92" s="11"/>
      <c r="G92" s="11"/>
      <c r="H92" s="39"/>
      <c r="I92" s="40"/>
    </row>
    <row r="93" spans="1:9" ht="15" customHeight="1">
      <c r="A93" s="10"/>
      <c r="B93" s="11"/>
      <c r="C93" s="12"/>
      <c r="D93" s="9"/>
      <c r="E93" s="10"/>
      <c r="F93" s="11"/>
      <c r="G93" s="11"/>
      <c r="H93" s="39"/>
      <c r="I93" s="40"/>
    </row>
    <row r="94" spans="1:9" ht="15" customHeight="1">
      <c r="A94" s="10"/>
      <c r="B94" s="11"/>
      <c r="C94" s="12"/>
      <c r="D94" s="9"/>
      <c r="E94" s="10"/>
      <c r="F94" s="11"/>
      <c r="G94" s="11"/>
      <c r="H94" s="39"/>
      <c r="I94" s="40"/>
    </row>
    <row r="95" spans="1:9" ht="15" customHeight="1">
      <c r="A95" s="10"/>
      <c r="B95" s="11"/>
      <c r="C95" s="12"/>
      <c r="D95" s="9"/>
      <c r="E95" s="10"/>
      <c r="F95" s="11"/>
      <c r="G95" s="11"/>
      <c r="H95" s="39"/>
      <c r="I95" s="40"/>
    </row>
    <row r="96" spans="1:9" ht="15" customHeight="1">
      <c r="A96" s="10"/>
      <c r="B96" s="11"/>
      <c r="C96" s="12"/>
      <c r="D96" s="9"/>
      <c r="E96" s="10"/>
      <c r="F96" s="11"/>
      <c r="G96" s="11"/>
      <c r="H96" s="39"/>
      <c r="I96" s="40"/>
    </row>
    <row r="97" spans="1:9" ht="15" customHeight="1">
      <c r="A97" s="10"/>
      <c r="B97" s="11"/>
      <c r="C97" s="12"/>
      <c r="D97" s="9"/>
      <c r="E97" s="10"/>
      <c r="F97" s="11"/>
      <c r="G97" s="11"/>
      <c r="H97" s="39"/>
      <c r="I97" s="40"/>
    </row>
    <row r="98" spans="1:9" ht="15" customHeight="1">
      <c r="A98" s="10"/>
      <c r="B98" s="11"/>
      <c r="C98" s="12"/>
      <c r="D98" s="9"/>
      <c r="E98" s="10"/>
      <c r="F98" s="11"/>
      <c r="G98" s="11"/>
      <c r="H98" s="39"/>
      <c r="I98" s="40"/>
    </row>
    <row r="99" spans="1:9" ht="15" customHeight="1">
      <c r="A99" s="10"/>
      <c r="B99" s="11"/>
      <c r="C99" s="12"/>
      <c r="D99" s="9"/>
      <c r="E99" s="10"/>
      <c r="F99" s="11"/>
      <c r="G99" s="11"/>
      <c r="H99" s="39"/>
      <c r="I99" s="40"/>
    </row>
    <row r="100" spans="1:9" ht="15" customHeight="1">
      <c r="A100" s="10"/>
      <c r="B100" s="11"/>
      <c r="C100" s="12"/>
      <c r="D100" s="9"/>
      <c r="E100" s="10"/>
      <c r="F100" s="11"/>
      <c r="G100" s="11"/>
      <c r="H100" s="39"/>
      <c r="I100" s="40"/>
    </row>
    <row r="101" spans="1:9" ht="15" customHeight="1">
      <c r="A101" s="10"/>
      <c r="B101" s="11"/>
      <c r="C101" s="12"/>
      <c r="D101" s="9"/>
      <c r="E101" s="10"/>
      <c r="F101" s="11"/>
      <c r="G101" s="11"/>
      <c r="H101" s="39"/>
      <c r="I101" s="40"/>
    </row>
    <row r="102" spans="1:9" ht="15" customHeight="1">
      <c r="A102" s="10"/>
      <c r="B102" s="11"/>
      <c r="C102" s="12"/>
      <c r="D102" s="9"/>
      <c r="E102" s="10"/>
      <c r="F102" s="11"/>
      <c r="G102" s="11"/>
      <c r="H102" s="39"/>
      <c r="I102" s="40"/>
    </row>
    <row r="103" spans="1:9" ht="15" customHeight="1">
      <c r="A103" s="10"/>
      <c r="B103" s="11"/>
      <c r="C103" s="12"/>
      <c r="D103" s="9"/>
      <c r="E103" s="10"/>
      <c r="F103" s="11"/>
      <c r="G103" s="11"/>
      <c r="H103" s="39"/>
      <c r="I103" s="40"/>
    </row>
    <row r="104" spans="1:9" ht="15" customHeight="1">
      <c r="A104" s="10"/>
      <c r="B104" s="11"/>
      <c r="C104" s="12"/>
      <c r="D104" s="9"/>
      <c r="E104" s="10"/>
      <c r="F104" s="11"/>
      <c r="G104" s="11"/>
      <c r="H104" s="39"/>
      <c r="I104" s="40"/>
    </row>
    <row r="105" spans="1:9" ht="15" customHeight="1">
      <c r="A105" s="10"/>
      <c r="B105" s="11"/>
      <c r="C105" s="12"/>
      <c r="D105" s="9"/>
      <c r="E105" s="10"/>
      <c r="F105" s="11"/>
      <c r="G105" s="11"/>
      <c r="H105" s="39"/>
      <c r="I105" s="40"/>
    </row>
    <row r="106" spans="1:9" ht="15" customHeight="1">
      <c r="A106" s="10"/>
      <c r="B106" s="11"/>
      <c r="C106" s="12"/>
      <c r="D106" s="9"/>
      <c r="E106" s="10"/>
      <c r="F106" s="11"/>
      <c r="G106" s="11"/>
      <c r="H106" s="39"/>
      <c r="I106" s="40"/>
    </row>
    <row r="107" spans="1:9" ht="15" customHeight="1">
      <c r="A107" s="10"/>
      <c r="B107" s="11"/>
      <c r="C107" s="12"/>
      <c r="D107" s="9"/>
      <c r="E107" s="10"/>
      <c r="F107" s="11"/>
      <c r="G107" s="11"/>
      <c r="H107" s="39"/>
      <c r="I107" s="40"/>
    </row>
    <row r="108" spans="1:9" ht="15" customHeight="1">
      <c r="A108" s="10"/>
      <c r="B108" s="11"/>
      <c r="C108" s="12"/>
      <c r="D108" s="9"/>
      <c r="E108" s="10"/>
      <c r="F108" s="11"/>
      <c r="G108" s="11"/>
      <c r="H108" s="39"/>
      <c r="I108" s="40"/>
    </row>
    <row r="109" spans="1:9" ht="15" customHeight="1">
      <c r="A109" s="10"/>
      <c r="B109" s="11"/>
      <c r="C109" s="12"/>
      <c r="D109" s="9"/>
      <c r="E109" s="10"/>
      <c r="F109" s="11"/>
      <c r="G109" s="11"/>
      <c r="H109" s="39"/>
      <c r="I109" s="40"/>
    </row>
    <row r="110" spans="1:9" ht="15" customHeight="1">
      <c r="A110" s="10"/>
      <c r="B110" s="11"/>
      <c r="C110" s="12"/>
      <c r="D110" s="9"/>
      <c r="E110" s="10"/>
      <c r="F110" s="11"/>
      <c r="G110" s="11"/>
      <c r="H110" s="39"/>
      <c r="I110" s="40"/>
    </row>
    <row r="111" spans="1:9" ht="15" customHeight="1">
      <c r="A111" s="10"/>
      <c r="B111" s="11"/>
      <c r="C111" s="12"/>
      <c r="D111" s="9"/>
      <c r="E111" s="10"/>
      <c r="F111" s="11"/>
      <c r="G111" s="11"/>
      <c r="H111" s="39"/>
      <c r="I111" s="40"/>
    </row>
    <row r="112" spans="1:9" ht="15" customHeight="1">
      <c r="A112" s="10"/>
      <c r="B112" s="11"/>
      <c r="C112" s="12"/>
      <c r="D112" s="9"/>
      <c r="E112" s="10"/>
      <c r="F112" s="11"/>
      <c r="G112" s="11"/>
      <c r="H112" s="39"/>
      <c r="I112" s="40"/>
    </row>
    <row r="113" spans="1:9" ht="15" customHeight="1">
      <c r="A113" s="10"/>
      <c r="B113" s="11"/>
      <c r="C113" s="12"/>
      <c r="D113" s="9"/>
      <c r="E113" s="10"/>
      <c r="F113" s="11"/>
      <c r="G113" s="11"/>
      <c r="H113" s="39"/>
      <c r="I113" s="40"/>
    </row>
    <row r="114" spans="1:9" ht="15" customHeight="1">
      <c r="A114" s="10"/>
      <c r="B114" s="11"/>
      <c r="C114" s="12"/>
      <c r="D114" s="9"/>
      <c r="E114" s="10"/>
      <c r="F114" s="11"/>
      <c r="G114" s="11"/>
      <c r="H114" s="39"/>
      <c r="I114" s="40"/>
    </row>
    <row r="115" spans="1:9" ht="15" customHeight="1">
      <c r="A115" s="10"/>
      <c r="B115" s="11"/>
      <c r="C115" s="12"/>
      <c r="D115" s="9"/>
      <c r="E115" s="10"/>
      <c r="F115" s="11"/>
      <c r="G115" s="11"/>
      <c r="H115" s="39"/>
      <c r="I115" s="40"/>
    </row>
    <row r="116" spans="1:9" ht="15" customHeight="1">
      <c r="A116" s="10"/>
      <c r="B116" s="11"/>
      <c r="C116" s="12"/>
      <c r="D116" s="9"/>
      <c r="E116" s="10"/>
      <c r="F116" s="11"/>
      <c r="G116" s="11"/>
      <c r="H116" s="39"/>
      <c r="I116" s="40"/>
    </row>
    <row r="117" spans="1:9" ht="15" customHeight="1">
      <c r="A117" s="10"/>
      <c r="B117" s="11"/>
      <c r="C117" s="12"/>
      <c r="D117" s="9"/>
      <c r="E117" s="10"/>
      <c r="F117" s="11"/>
      <c r="G117" s="11"/>
      <c r="H117" s="39"/>
      <c r="I117" s="40"/>
    </row>
    <row r="118" spans="1:9" ht="15" customHeight="1">
      <c r="A118" s="10"/>
      <c r="B118" s="11"/>
      <c r="C118" s="12"/>
      <c r="D118" s="9"/>
      <c r="E118" s="10"/>
      <c r="F118" s="11"/>
      <c r="G118" s="11"/>
      <c r="H118" s="39"/>
      <c r="I118" s="40"/>
    </row>
    <row r="119" spans="1:9" ht="15" customHeight="1">
      <c r="A119" s="10"/>
      <c r="B119" s="11"/>
      <c r="C119" s="12"/>
      <c r="D119" s="9"/>
      <c r="E119" s="10"/>
      <c r="F119" s="11"/>
      <c r="G119" s="11"/>
      <c r="H119" s="39"/>
      <c r="I119" s="40"/>
    </row>
    <row r="120" spans="1:9" ht="15" customHeight="1">
      <c r="A120" s="10"/>
      <c r="B120" s="11"/>
      <c r="C120" s="12"/>
      <c r="D120" s="9"/>
      <c r="E120" s="10"/>
      <c r="F120" s="11"/>
      <c r="G120" s="11"/>
      <c r="H120" s="39"/>
      <c r="I120" s="40"/>
    </row>
    <row r="121" spans="1:9" ht="15" customHeight="1">
      <c r="A121" s="10"/>
      <c r="B121" s="11"/>
      <c r="C121" s="12"/>
      <c r="D121" s="9"/>
      <c r="E121" s="10"/>
      <c r="F121" s="11"/>
      <c r="G121" s="11"/>
      <c r="H121" s="39"/>
      <c r="I121" s="40"/>
    </row>
    <row r="122" spans="1:9" ht="15" customHeight="1">
      <c r="A122" s="10"/>
      <c r="B122" s="11"/>
      <c r="C122" s="12"/>
      <c r="D122" s="9"/>
      <c r="E122" s="10"/>
      <c r="F122" s="11"/>
      <c r="G122" s="11"/>
      <c r="H122" s="39"/>
      <c r="I122" s="40"/>
    </row>
    <row r="123" spans="1:9" ht="15" customHeight="1">
      <c r="A123" s="10"/>
      <c r="B123" s="11"/>
      <c r="C123" s="12"/>
      <c r="D123" s="9"/>
      <c r="E123" s="10"/>
      <c r="F123" s="11"/>
      <c r="G123" s="11"/>
      <c r="H123" s="39"/>
      <c r="I123" s="40"/>
    </row>
    <row r="124" spans="1:9" ht="15" customHeight="1">
      <c r="A124" s="10"/>
      <c r="B124" s="11"/>
      <c r="C124" s="12"/>
      <c r="D124" s="9"/>
      <c r="E124" s="10"/>
      <c r="F124" s="11"/>
      <c r="G124" s="11"/>
      <c r="H124" s="39"/>
      <c r="I124" s="40"/>
    </row>
    <row r="125" spans="1:9" ht="15" customHeight="1">
      <c r="A125" s="10"/>
      <c r="B125" s="11"/>
      <c r="C125" s="12"/>
      <c r="D125" s="9"/>
      <c r="E125" s="10"/>
      <c r="F125" s="11"/>
      <c r="G125" s="11"/>
      <c r="H125" s="39"/>
      <c r="I125" s="40"/>
    </row>
    <row r="126" spans="1:9" ht="15" customHeight="1">
      <c r="A126" s="10"/>
      <c r="B126" s="11"/>
      <c r="C126" s="12"/>
      <c r="D126" s="9"/>
      <c r="E126" s="10"/>
      <c r="F126" s="11"/>
      <c r="G126" s="11"/>
      <c r="H126" s="39"/>
      <c r="I126" s="40"/>
    </row>
    <row r="127" spans="1:9" ht="15" customHeight="1">
      <c r="A127" s="10"/>
      <c r="B127" s="11"/>
      <c r="C127" s="12"/>
      <c r="D127" s="9"/>
      <c r="E127" s="10"/>
      <c r="F127" s="11"/>
      <c r="G127" s="11"/>
      <c r="H127" s="39"/>
      <c r="I127" s="40"/>
    </row>
    <row r="128" spans="1:9" ht="15" customHeight="1">
      <c r="A128" s="10"/>
      <c r="B128" s="11"/>
      <c r="C128" s="12"/>
      <c r="D128" s="9"/>
      <c r="E128" s="10"/>
      <c r="F128" s="11"/>
      <c r="G128" s="11"/>
      <c r="H128" s="39"/>
      <c r="I128" s="40"/>
    </row>
    <row r="129" spans="1:9" ht="15" customHeight="1">
      <c r="A129" s="10"/>
      <c r="B129" s="11"/>
      <c r="C129" s="12"/>
      <c r="D129" s="9"/>
      <c r="E129" s="10"/>
      <c r="F129" s="11"/>
      <c r="G129" s="11"/>
      <c r="H129" s="39"/>
      <c r="I129" s="40"/>
    </row>
    <row r="130" spans="1:9" ht="15" customHeight="1">
      <c r="A130" s="10"/>
      <c r="B130" s="11"/>
      <c r="C130" s="12"/>
      <c r="D130" s="9"/>
      <c r="E130" s="10"/>
      <c r="F130" s="11"/>
      <c r="G130" s="11"/>
      <c r="H130" s="39"/>
      <c r="I130" s="40"/>
    </row>
    <row r="131" spans="1:9" ht="15" customHeight="1">
      <c r="A131" s="10"/>
      <c r="B131" s="11"/>
      <c r="C131" s="12"/>
      <c r="D131" s="9"/>
      <c r="E131" s="10"/>
      <c r="F131" s="11"/>
      <c r="G131" s="11"/>
      <c r="H131" s="39"/>
      <c r="I131" s="40"/>
    </row>
    <row r="132" spans="1:9" ht="15" customHeight="1">
      <c r="A132" s="10"/>
      <c r="B132" s="11"/>
      <c r="C132" s="12"/>
      <c r="D132" s="9"/>
      <c r="E132" s="10"/>
      <c r="F132" s="11"/>
      <c r="G132" s="11"/>
      <c r="H132" s="39"/>
      <c r="I132" s="40"/>
    </row>
    <row r="133" spans="1:9" ht="15" customHeight="1">
      <c r="A133" s="10"/>
      <c r="B133" s="11"/>
      <c r="C133" s="12"/>
      <c r="D133" s="9"/>
      <c r="E133" s="10"/>
      <c r="F133" s="11"/>
      <c r="G133" s="11"/>
      <c r="H133" s="39"/>
      <c r="I133" s="40"/>
    </row>
    <row r="134" spans="1:9" ht="15" customHeight="1">
      <c r="A134" s="10"/>
      <c r="B134" s="11"/>
      <c r="C134" s="12"/>
      <c r="D134" s="9"/>
      <c r="E134" s="10"/>
      <c r="F134" s="11"/>
      <c r="G134" s="11"/>
      <c r="H134" s="39"/>
      <c r="I134" s="40"/>
    </row>
    <row r="135" spans="1:9" ht="15" customHeight="1">
      <c r="A135" s="10"/>
      <c r="B135" s="11"/>
      <c r="C135" s="12"/>
      <c r="D135" s="9"/>
      <c r="E135" s="10"/>
      <c r="F135" s="11"/>
      <c r="G135" s="11"/>
      <c r="H135" s="39"/>
      <c r="I135" s="40"/>
    </row>
    <row r="136" spans="1:9" ht="15" customHeight="1">
      <c r="A136" s="10"/>
      <c r="B136" s="11"/>
      <c r="C136" s="12"/>
      <c r="D136" s="9"/>
      <c r="E136" s="10"/>
      <c r="F136" s="11"/>
      <c r="G136" s="11"/>
      <c r="H136" s="39"/>
      <c r="I136" s="40"/>
    </row>
    <row r="137" spans="1:9" ht="15" customHeight="1">
      <c r="A137" s="10"/>
      <c r="B137" s="11"/>
      <c r="C137" s="12"/>
      <c r="D137" s="9"/>
      <c r="E137" s="10"/>
      <c r="F137" s="11"/>
      <c r="G137" s="11"/>
      <c r="H137" s="39"/>
      <c r="I137" s="40"/>
    </row>
    <row r="138" spans="1:9" ht="15" customHeight="1">
      <c r="A138" s="10"/>
      <c r="B138" s="11"/>
      <c r="C138" s="12"/>
      <c r="D138" s="9"/>
      <c r="E138" s="10"/>
      <c r="F138" s="11"/>
      <c r="G138" s="11"/>
      <c r="H138" s="39"/>
      <c r="I138" s="40"/>
    </row>
    <row r="139" spans="1:9" ht="15" customHeight="1">
      <c r="A139" s="10"/>
      <c r="B139" s="11"/>
      <c r="C139" s="12"/>
      <c r="D139" s="9"/>
      <c r="E139" s="10"/>
      <c r="F139" s="11"/>
      <c r="G139" s="11"/>
      <c r="H139" s="39"/>
      <c r="I139" s="40"/>
    </row>
    <row r="140" spans="1:9" ht="15" customHeight="1">
      <c r="A140" s="10"/>
      <c r="B140" s="11"/>
      <c r="C140" s="12"/>
      <c r="D140" s="9"/>
      <c r="E140" s="10"/>
      <c r="F140" s="11"/>
      <c r="G140" s="11"/>
      <c r="H140" s="39"/>
      <c r="I140" s="40"/>
    </row>
    <row r="141" spans="1:9" ht="15" customHeight="1">
      <c r="A141" s="10"/>
      <c r="B141" s="11"/>
      <c r="C141" s="12"/>
      <c r="D141" s="9"/>
      <c r="E141" s="10"/>
      <c r="F141" s="11"/>
      <c r="G141" s="11"/>
      <c r="H141" s="39"/>
      <c r="I141" s="40"/>
    </row>
    <row r="142" spans="1:9" ht="15" customHeight="1">
      <c r="A142" s="10"/>
      <c r="B142" s="11"/>
      <c r="C142" s="12"/>
      <c r="D142" s="9"/>
      <c r="E142" s="10"/>
      <c r="F142" s="11"/>
      <c r="G142" s="11"/>
      <c r="H142" s="39"/>
      <c r="I142" s="40"/>
    </row>
    <row r="143" spans="1:9" ht="15" customHeight="1">
      <c r="A143" s="10"/>
      <c r="B143" s="11"/>
      <c r="C143" s="12"/>
      <c r="D143" s="9"/>
      <c r="E143" s="10"/>
      <c r="F143" s="11"/>
      <c r="G143" s="11"/>
      <c r="H143" s="39"/>
      <c r="I143" s="40"/>
    </row>
    <row r="144" spans="1:9" ht="15" customHeight="1">
      <c r="A144" s="10"/>
      <c r="B144" s="11"/>
      <c r="C144" s="12"/>
      <c r="D144" s="9"/>
      <c r="E144" s="10"/>
      <c r="F144" s="11"/>
      <c r="G144" s="11"/>
      <c r="H144" s="39"/>
      <c r="I144" s="40"/>
    </row>
    <row r="145" spans="1:9" ht="15" customHeight="1">
      <c r="A145" s="10"/>
      <c r="B145" s="11"/>
      <c r="C145" s="12"/>
      <c r="D145" s="9"/>
      <c r="E145" s="10"/>
      <c r="F145" s="11"/>
      <c r="G145" s="11"/>
      <c r="H145" s="39"/>
      <c r="I145" s="40"/>
    </row>
    <row r="146" spans="1:9" ht="15" customHeight="1">
      <c r="A146" s="10"/>
      <c r="B146" s="11"/>
      <c r="C146" s="12"/>
      <c r="D146" s="9"/>
      <c r="E146" s="10"/>
      <c r="F146" s="11"/>
      <c r="G146" s="11"/>
      <c r="H146" s="39"/>
      <c r="I146" s="40"/>
    </row>
    <row r="147" spans="1:9" ht="15" customHeight="1">
      <c r="A147" s="10"/>
      <c r="B147" s="11"/>
      <c r="C147" s="12"/>
      <c r="D147" s="9"/>
      <c r="E147" s="10"/>
      <c r="F147" s="11"/>
      <c r="G147" s="11"/>
      <c r="H147" s="39"/>
      <c r="I147" s="40"/>
    </row>
    <row r="148" spans="1:9" ht="15" customHeight="1">
      <c r="A148" s="10"/>
      <c r="B148" s="11"/>
      <c r="C148" s="12"/>
      <c r="D148" s="9"/>
      <c r="E148" s="10"/>
      <c r="F148" s="11"/>
      <c r="G148" s="11"/>
      <c r="H148" s="39"/>
      <c r="I148" s="40"/>
    </row>
    <row r="149" spans="1:9" ht="15" customHeight="1">
      <c r="A149" s="10"/>
      <c r="B149" s="11"/>
      <c r="C149" s="12"/>
      <c r="D149" s="9"/>
      <c r="E149" s="10"/>
      <c r="F149" s="11"/>
      <c r="G149" s="11"/>
      <c r="H149" s="39"/>
      <c r="I149" s="40"/>
    </row>
    <row r="150" spans="1:9" ht="15" customHeight="1">
      <c r="A150" s="10"/>
      <c r="B150" s="11"/>
      <c r="C150" s="12"/>
      <c r="D150" s="9"/>
      <c r="E150" s="10"/>
      <c r="F150" s="11"/>
      <c r="G150" s="11"/>
      <c r="H150" s="39"/>
      <c r="I150" s="40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5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4"/>
  <sheetViews>
    <sheetView showGridLines="0" workbookViewId="0">
      <selection activeCell="G28" sqref="G28"/>
    </sheetView>
  </sheetViews>
  <sheetFormatPr defaultRowHeight="16.5"/>
  <cols>
    <col min="1" max="1" width="48.7109375" style="70" customWidth="1"/>
    <col min="2" max="2" width="14.7109375" style="71" bestFit="1" customWidth="1"/>
    <col min="3" max="3" width="3.85546875" style="63" bestFit="1" customWidth="1"/>
    <col min="4" max="4" width="20.7109375" style="63" customWidth="1"/>
    <col min="5" max="5" width="30.5703125" style="63" customWidth="1"/>
    <col min="6" max="6" width="3.85546875" style="63" bestFit="1" customWidth="1"/>
    <col min="7" max="7" width="35.42578125" style="70" bestFit="1" customWidth="1"/>
    <col min="8" max="8" width="6.5703125" style="167" bestFit="1" customWidth="1"/>
    <col min="9" max="9" width="31.5703125" style="63" bestFit="1" customWidth="1"/>
    <col min="10" max="16384" width="9.140625" style="63"/>
  </cols>
  <sheetData>
    <row r="1" spans="1:8">
      <c r="A1" s="215" t="s">
        <v>352</v>
      </c>
      <c r="B1" s="216"/>
      <c r="C1" s="82" t="s">
        <v>693</v>
      </c>
      <c r="D1" s="194" t="s">
        <v>201</v>
      </c>
      <c r="E1" s="196"/>
      <c r="F1" s="63" t="s">
        <v>693</v>
      </c>
      <c r="G1" s="197" t="s">
        <v>687</v>
      </c>
      <c r="H1" s="198"/>
    </row>
    <row r="2" spans="1:8">
      <c r="A2" s="83" t="s">
        <v>531</v>
      </c>
      <c r="B2" s="84" t="s">
        <v>4</v>
      </c>
      <c r="D2" s="65" t="s">
        <v>107</v>
      </c>
      <c r="E2" s="65" t="s">
        <v>3</v>
      </c>
      <c r="G2" s="83" t="s">
        <v>3</v>
      </c>
      <c r="H2" s="66" t="s">
        <v>689</v>
      </c>
    </row>
    <row r="3" spans="1:8">
      <c r="A3" s="61" t="s">
        <v>351</v>
      </c>
      <c r="B3" s="69" t="s">
        <v>532</v>
      </c>
      <c r="D3" s="61" t="s">
        <v>200</v>
      </c>
      <c r="E3" s="69" t="s">
        <v>142</v>
      </c>
      <c r="G3" s="61" t="s">
        <v>677</v>
      </c>
      <c r="H3" s="69" t="s">
        <v>141</v>
      </c>
    </row>
    <row r="4" spans="1:8">
      <c r="A4" s="61" t="s">
        <v>353</v>
      </c>
      <c r="B4" s="69" t="s">
        <v>532</v>
      </c>
      <c r="D4" s="61" t="s">
        <v>206</v>
      </c>
      <c r="E4" s="69" t="s">
        <v>37</v>
      </c>
      <c r="G4" s="61" t="s">
        <v>678</v>
      </c>
      <c r="H4" s="69" t="s">
        <v>141</v>
      </c>
    </row>
    <row r="5" spans="1:8">
      <c r="A5" s="61" t="s">
        <v>534</v>
      </c>
      <c r="B5" s="69" t="s">
        <v>533</v>
      </c>
      <c r="D5" s="61" t="s">
        <v>205</v>
      </c>
      <c r="E5" s="69" t="s">
        <v>109</v>
      </c>
      <c r="F5" s="63" t="s">
        <v>198</v>
      </c>
      <c r="G5" s="61" t="s">
        <v>679</v>
      </c>
      <c r="H5" s="69" t="s">
        <v>688</v>
      </c>
    </row>
    <row r="6" spans="1:8">
      <c r="A6" s="61" t="s">
        <v>502</v>
      </c>
      <c r="B6" s="69" t="s">
        <v>532</v>
      </c>
      <c r="D6" s="61" t="s">
        <v>350</v>
      </c>
      <c r="E6" s="69" t="s">
        <v>334</v>
      </c>
      <c r="G6" s="61" t="s">
        <v>680</v>
      </c>
      <c r="H6" s="69" t="s">
        <v>688</v>
      </c>
    </row>
    <row r="7" spans="1:8">
      <c r="A7" s="61" t="s">
        <v>672</v>
      </c>
      <c r="B7" s="69" t="s">
        <v>533</v>
      </c>
      <c r="D7" s="61" t="s">
        <v>343</v>
      </c>
      <c r="E7" s="69" t="s">
        <v>332</v>
      </c>
      <c r="G7" s="61" t="s">
        <v>681</v>
      </c>
      <c r="H7" s="69" t="s">
        <v>141</v>
      </c>
    </row>
    <row r="8" spans="1:8">
      <c r="A8" s="61"/>
      <c r="B8" s="69"/>
      <c r="D8" s="61" t="s">
        <v>207</v>
      </c>
      <c r="E8" s="69" t="s">
        <v>162</v>
      </c>
      <c r="G8" s="61" t="s">
        <v>682</v>
      </c>
      <c r="H8" s="69" t="s">
        <v>141</v>
      </c>
    </row>
    <row r="9" spans="1:8">
      <c r="A9" s="61"/>
      <c r="B9" s="69"/>
      <c r="D9" s="61" t="s">
        <v>204</v>
      </c>
      <c r="E9" s="69" t="s">
        <v>156</v>
      </c>
      <c r="G9" s="61" t="s">
        <v>683</v>
      </c>
      <c r="H9" s="69" t="s">
        <v>141</v>
      </c>
    </row>
    <row r="10" spans="1:8">
      <c r="A10" s="61"/>
      <c r="B10" s="69"/>
      <c r="D10" s="61" t="s">
        <v>202</v>
      </c>
      <c r="E10" s="69" t="s">
        <v>29</v>
      </c>
      <c r="G10" s="61" t="s">
        <v>684</v>
      </c>
      <c r="H10" s="69" t="s">
        <v>141</v>
      </c>
    </row>
    <row r="11" spans="1:8">
      <c r="A11" s="61"/>
      <c r="B11" s="69"/>
      <c r="D11" s="87" t="s">
        <v>633</v>
      </c>
      <c r="E11" s="88" t="s">
        <v>486</v>
      </c>
      <c r="G11" s="61" t="s">
        <v>685</v>
      </c>
      <c r="H11" s="69" t="s">
        <v>141</v>
      </c>
    </row>
    <row r="12" spans="1:8">
      <c r="A12" s="61"/>
      <c r="B12" s="69"/>
      <c r="G12" s="61" t="s">
        <v>686</v>
      </c>
      <c r="H12" s="69" t="s">
        <v>688</v>
      </c>
    </row>
    <row r="13" spans="1:8">
      <c r="A13" s="61"/>
      <c r="B13" s="69"/>
      <c r="G13" s="61" t="s">
        <v>690</v>
      </c>
      <c r="H13" s="69" t="s">
        <v>141</v>
      </c>
    </row>
    <row r="14" spans="1:8">
      <c r="A14" s="61"/>
      <c r="B14" s="69"/>
      <c r="D14" s="85" t="s">
        <v>209</v>
      </c>
      <c r="E14" s="86">
        <v>1.4</v>
      </c>
      <c r="G14" s="61"/>
      <c r="H14" s="69"/>
    </row>
    <row r="15" spans="1:8">
      <c r="A15" s="61"/>
      <c r="B15" s="69"/>
      <c r="G15" s="61"/>
      <c r="H15" s="69"/>
    </row>
    <row r="16" spans="1:8">
      <c r="A16" s="61"/>
      <c r="B16" s="69"/>
      <c r="G16" s="61"/>
      <c r="H16" s="69"/>
    </row>
    <row r="17" spans="1:8">
      <c r="A17" s="61"/>
      <c r="B17" s="69"/>
      <c r="G17" s="61"/>
      <c r="H17" s="69"/>
    </row>
    <row r="18" spans="1:8">
      <c r="A18" s="61"/>
      <c r="B18" s="69"/>
      <c r="G18" s="61"/>
      <c r="H18" s="69"/>
    </row>
    <row r="19" spans="1:8">
      <c r="A19" s="61"/>
      <c r="B19" s="69"/>
      <c r="G19" s="61"/>
      <c r="H19" s="69"/>
    </row>
    <row r="20" spans="1:8">
      <c r="A20" s="61"/>
      <c r="B20" s="69"/>
      <c r="G20" s="61"/>
      <c r="H20" s="69"/>
    </row>
    <row r="21" spans="1:8">
      <c r="A21" s="61"/>
      <c r="B21" s="69"/>
      <c r="G21" s="61"/>
      <c r="H21" s="69"/>
    </row>
    <row r="22" spans="1:8">
      <c r="A22" s="61"/>
      <c r="B22" s="69"/>
      <c r="G22" s="61"/>
      <c r="H22" s="69"/>
    </row>
    <row r="23" spans="1:8">
      <c r="G23" s="180" t="s">
        <v>692</v>
      </c>
      <c r="H23" s="181">
        <f>COUNTA(G1:G22)-2</f>
        <v>11</v>
      </c>
    </row>
    <row r="24" spans="1:8">
      <c r="G24" s="182" t="s">
        <v>691</v>
      </c>
      <c r="H24" s="183">
        <f>COUNTIF(H1:H22, "Y")</f>
        <v>8</v>
      </c>
    </row>
  </sheetData>
  <mergeCells count="3">
    <mergeCell ref="D1:E1"/>
    <mergeCell ref="A1:B1"/>
    <mergeCell ref="G1:H1"/>
  </mergeCells>
  <phoneticPr fontId="5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showGridLines="0" workbookViewId="0">
      <selection activeCell="H20" sqref="H20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</cols>
  <sheetData>
    <row r="1" spans="1:5" ht="16.5">
      <c r="A1" s="217" t="s">
        <v>624</v>
      </c>
      <c r="B1" s="218"/>
      <c r="C1" s="218"/>
      <c r="D1" s="218"/>
      <c r="E1" s="218"/>
    </row>
    <row r="2" spans="1:5" ht="16.5">
      <c r="A2" s="13" t="s">
        <v>16</v>
      </c>
      <c r="B2" s="13" t="s">
        <v>17</v>
      </c>
      <c r="C2" t="s">
        <v>198</v>
      </c>
      <c r="D2" s="223" t="s">
        <v>82</v>
      </c>
      <c r="E2" s="224"/>
    </row>
    <row r="3" spans="1:5" ht="16.5">
      <c r="A3" s="15" t="s">
        <v>177</v>
      </c>
      <c r="B3" s="16">
        <v>0.36499999999999999</v>
      </c>
      <c r="D3" s="30" t="s">
        <v>84</v>
      </c>
      <c r="E3" s="31">
        <f>AVERAGE(Completed[Total])</f>
        <v>7.252651757188497</v>
      </c>
    </row>
    <row r="4" spans="1:5" ht="16.5">
      <c r="A4" s="17" t="s">
        <v>176</v>
      </c>
      <c r="B4" s="18">
        <v>0.53500000000000003</v>
      </c>
      <c r="D4" s="30" t="s">
        <v>86</v>
      </c>
      <c r="E4" s="31">
        <f>QUARTILE(Completed[Total], 0)</f>
        <v>0</v>
      </c>
    </row>
    <row r="5" spans="1:5" ht="16.5">
      <c r="A5" s="17" t="s">
        <v>7</v>
      </c>
      <c r="B5" s="18">
        <v>9.5000000000000001E-2</v>
      </c>
      <c r="D5" s="32" t="s">
        <v>88</v>
      </c>
      <c r="E5" s="33">
        <f>QUARTILE(Completed[Total], 1)</f>
        <v>6.5327055658315123</v>
      </c>
    </row>
    <row r="6" spans="1:5" ht="16.5">
      <c r="A6" s="19" t="s">
        <v>178</v>
      </c>
      <c r="B6" s="20">
        <f>SUM(B3:B5)</f>
        <v>0.995</v>
      </c>
      <c r="D6" s="32" t="s">
        <v>91</v>
      </c>
      <c r="E6" s="33">
        <f>QUARTILE(Completed[Total], 2)</f>
        <v>7.4928535395997988</v>
      </c>
    </row>
    <row r="7" spans="1:5" ht="16.5">
      <c r="A7" s="8"/>
      <c r="B7" s="8"/>
      <c r="D7" s="32" t="s">
        <v>93</v>
      </c>
      <c r="E7" s="33">
        <f>QUARTILE(Completed[Total], 3)</f>
        <v>8.2529006221624357</v>
      </c>
    </row>
    <row r="8" spans="1:5" ht="16.5">
      <c r="A8" s="21" t="s">
        <v>31</v>
      </c>
      <c r="B8" s="22">
        <f>MAX(Completed!G:G)</f>
        <v>9.9748743718592969</v>
      </c>
      <c r="D8" s="34" t="s">
        <v>94</v>
      </c>
      <c r="E8" s="35">
        <f>QUARTILE(Completed[Total], 4)</f>
        <v>10</v>
      </c>
    </row>
    <row r="9" spans="1:5" ht="16.5">
      <c r="A9" s="23" t="s">
        <v>34</v>
      </c>
      <c r="B9" s="24">
        <f>MIN(Completed!G:G)</f>
        <v>2.5037688442211055</v>
      </c>
      <c r="D9" s="32" t="s">
        <v>36</v>
      </c>
      <c r="E9" s="33">
        <f>E8-E4</f>
        <v>10</v>
      </c>
    </row>
    <row r="10" spans="1:5" ht="16.5">
      <c r="A10" s="23" t="s">
        <v>36</v>
      </c>
      <c r="B10" s="24">
        <f>B8-B9</f>
        <v>7.4711055276381915</v>
      </c>
      <c r="D10" s="32" t="s">
        <v>97</v>
      </c>
      <c r="E10" s="33">
        <f>E7-E5</f>
        <v>1.7201950563309234</v>
      </c>
    </row>
    <row r="11" spans="1:5" ht="16.5">
      <c r="A11" s="25" t="s">
        <v>38</v>
      </c>
      <c r="B11" s="26">
        <f>SUM(B3:B6)</f>
        <v>1.99</v>
      </c>
      <c r="D11" s="34" t="s">
        <v>99</v>
      </c>
      <c r="E11" s="35">
        <f>STDEV(Completed[Total])</f>
        <v>1.5270905989815948</v>
      </c>
    </row>
    <row r="12" spans="1:5" ht="16.5">
      <c r="A12" s="8"/>
      <c r="B12" s="8"/>
      <c r="D12" s="32" t="s">
        <v>186</v>
      </c>
      <c r="E12" s="104">
        <f ca="1">SUM('Main Page'!P4:P195)+SUM('Main Page'!D4:D23)+SUM(Dropped[Ep.])</f>
        <v>3161</v>
      </c>
    </row>
    <row r="13" spans="1:5" ht="16.5">
      <c r="A13" s="27" t="s">
        <v>44</v>
      </c>
      <c r="B13" s="36" t="s">
        <v>141</v>
      </c>
      <c r="D13" s="32" t="s">
        <v>184</v>
      </c>
      <c r="E13" s="104">
        <f ca="1">E12*24</f>
        <v>75864</v>
      </c>
    </row>
    <row r="14" spans="1:5" ht="16.5">
      <c r="A14" s="8"/>
      <c r="B14" s="8"/>
      <c r="D14" s="32" t="s">
        <v>185</v>
      </c>
      <c r="E14" s="105">
        <f ca="1">E13/60</f>
        <v>1264.4000000000001</v>
      </c>
    </row>
    <row r="15" spans="1:5" ht="16.5">
      <c r="A15" s="21" t="s">
        <v>47</v>
      </c>
      <c r="B15" s="22">
        <f>AVERAGE(Completed[Total])</f>
        <v>7.252651757188497</v>
      </c>
      <c r="D15" s="34" t="s">
        <v>183</v>
      </c>
      <c r="E15" s="35">
        <f ca="1">E14/24</f>
        <v>52.683333333333337</v>
      </c>
    </row>
    <row r="16" spans="1:5" ht="16.5">
      <c r="A16" s="23" t="s">
        <v>199</v>
      </c>
      <c r="B16" s="28">
        <f>COUNTIF(Completed[Total], "&gt;=9")</f>
        <v>6</v>
      </c>
      <c r="D16" s="44" t="s">
        <v>438</v>
      </c>
      <c r="E16" s="43">
        <f>COUNTIF(Tracker[Subber(s)], "&lt;&gt;--")</f>
        <v>179</v>
      </c>
    </row>
    <row r="17" spans="1:5" ht="16.5">
      <c r="A17" s="23" t="s">
        <v>52</v>
      </c>
      <c r="B17" s="28">
        <f>COUNTIF(Completed[Total],  "&gt;=8 ")-COUNTIF(Completed[Total],"&gt;=9")</f>
        <v>37</v>
      </c>
      <c r="D17" s="8"/>
      <c r="E17" s="8"/>
    </row>
    <row r="18" spans="1:5" ht="16.5">
      <c r="A18" s="23" t="s">
        <v>55</v>
      </c>
      <c r="B18" s="28">
        <f>COUNTIF(Completed[Total],  "&gt;=7")-COUNTIF(Completed[Total],"&gt;=8")</f>
        <v>39</v>
      </c>
      <c r="D18" s="92" t="s">
        <v>439</v>
      </c>
      <c r="E18" s="93"/>
    </row>
    <row r="19" spans="1:5" ht="16.5">
      <c r="A19" s="23" t="s">
        <v>57</v>
      </c>
      <c r="B19" s="28">
        <f>COUNTIF(Completed[Total],  "&gt;=6 ")-COUNTIF(Completed[Total],"&gt;=7")</f>
        <v>23</v>
      </c>
      <c r="D19" s="30" t="s">
        <v>356</v>
      </c>
      <c r="E19" s="45">
        <f>COUNTIF(Tracker[Subber(s)], "*Coalgirls*")</f>
        <v>35</v>
      </c>
    </row>
    <row r="20" spans="1:5" ht="16.5">
      <c r="A20" s="23" t="s">
        <v>61</v>
      </c>
      <c r="B20" s="28">
        <f>COUNTIF(Completed[Total],  "&gt;=5 ")-COUNTIF(Completed[Total],"&gt;=6")</f>
        <v>14</v>
      </c>
      <c r="D20" s="32" t="s">
        <v>358</v>
      </c>
      <c r="E20" s="46">
        <f>COUNTIF(Tracker[Subber(s)], "*HorribleSubs*")</f>
        <v>25</v>
      </c>
    </row>
    <row r="21" spans="1:5" ht="16.5">
      <c r="A21" s="23" t="s">
        <v>63</v>
      </c>
      <c r="B21" s="28">
        <f>COUNTIF(Completed[Total],  "&gt;=4 ")-COUNTIF(Completed[Total],"&gt;=5")</f>
        <v>2</v>
      </c>
      <c r="D21" s="32" t="s">
        <v>338</v>
      </c>
      <c r="E21" s="46">
        <f>COUNTIF(Tracker[Subber(s)], "*FFF*")</f>
        <v>18</v>
      </c>
    </row>
    <row r="22" spans="1:5" ht="16.5">
      <c r="A22" s="23" t="s">
        <v>67</v>
      </c>
      <c r="B22" s="28">
        <f>COUNTIF(Completed[Total],  "&gt;=3 ")-COUNTIF(Completed[Total],"&gt;=4")</f>
        <v>2</v>
      </c>
      <c r="D22" s="32" t="s">
        <v>355</v>
      </c>
      <c r="E22" s="46">
        <f>COUNTIF(Tracker[Subber(s)], "*Doki*")</f>
        <v>24</v>
      </c>
    </row>
    <row r="23" spans="1:5" ht="16.5">
      <c r="A23" s="23" t="s">
        <v>70</v>
      </c>
      <c r="B23" s="28">
        <f>COUNTIF(Completed[Total],  "&gt;=2")-COUNTIF(Completed[Total],"&gt;=3")</f>
        <v>0</v>
      </c>
      <c r="D23" s="32" t="s">
        <v>337</v>
      </c>
      <c r="E23" s="46">
        <f>COUNTIF(Tracker[Subber(s)], "*UTW*")</f>
        <v>12</v>
      </c>
    </row>
    <row r="24" spans="1:5" ht="16.5">
      <c r="A24" s="23" t="s">
        <v>74</v>
      </c>
      <c r="B24" s="28">
        <f>COUNTIF(Completed[Total],  "&gt;=1 ")-COUNTIF(Completed[Total],"&gt;=2")</f>
        <v>0</v>
      </c>
      <c r="D24" s="32" t="s">
        <v>363</v>
      </c>
      <c r="E24" s="46">
        <f>COUNTIF(Tracker[Subber(s)], "*Elysium*")</f>
        <v>8</v>
      </c>
    </row>
    <row r="25" spans="1:5" ht="16.5">
      <c r="A25" s="25" t="s">
        <v>79</v>
      </c>
      <c r="B25" s="29">
        <f>COUNTIF(Completed[Total],  "&gt;=0 ")-COUNTIF(Completed[Total],"&gt;=1")</f>
        <v>2</v>
      </c>
      <c r="D25" s="32" t="s">
        <v>365</v>
      </c>
      <c r="E25" s="46">
        <f>COUNTIF(Tracker[Subber(s)], "*Mazui*")</f>
        <v>11</v>
      </c>
    </row>
    <row r="26" spans="1:5" ht="16.5">
      <c r="D26" s="32" t="s">
        <v>371</v>
      </c>
      <c r="E26" s="46">
        <f>COUNTIF(Tracker[Subber(s)], "*Underwater*")</f>
        <v>5</v>
      </c>
    </row>
    <row r="27" spans="1:5" ht="16.5">
      <c r="A27" s="92" t="s">
        <v>516</v>
      </c>
      <c r="B27" s="93"/>
      <c r="D27" s="30" t="s">
        <v>440</v>
      </c>
      <c r="E27" s="45">
        <f>COUNTIFS(Tracker[Subber(s)], "&lt;&gt;*Coalgirls*", Tracker[Subber(s)], "&lt;&gt;*HorribleSubs*", Tracker[Subber(s)], "&lt;&gt;*FFF*",Tracker[Subber(s)], "&lt;&gt;*Doki*", Tracker[Subber(s)], "&lt;&gt;*UTW*", Tracker[Subber(s)], "&lt;&gt;*Elysium*", Tracker[Subber(s)], "&lt;&gt;*Mazui*", Tracker[Subber(s)], "&lt;&gt;*Underwater*") - COUNTIF(Tracker[Subber(s)], "--")</f>
        <v>58</v>
      </c>
    </row>
    <row r="28" spans="1:5" ht="16.5">
      <c r="A28" s="30" t="s">
        <v>504</v>
      </c>
      <c r="B28" s="46">
        <f>COUNTIF(Tracker[Type],A28)</f>
        <v>90</v>
      </c>
      <c r="D28" s="34" t="s">
        <v>625</v>
      </c>
      <c r="E28" s="55">
        <f>SUM(E19:E27)-E16</f>
        <v>17</v>
      </c>
    </row>
    <row r="29" spans="1:5" ht="16.5">
      <c r="A29" s="32" t="s">
        <v>503</v>
      </c>
      <c r="B29" s="46">
        <f>COUNTIF(Tracker[Type],A29)</f>
        <v>69</v>
      </c>
    </row>
    <row r="30" spans="1:5" ht="16.5">
      <c r="A30" s="32" t="s">
        <v>507</v>
      </c>
      <c r="B30" s="46">
        <f>COUNTIF(Tracker[Type],A30)</f>
        <v>9</v>
      </c>
    </row>
    <row r="31" spans="1:5" ht="16.5">
      <c r="A31" s="32" t="s">
        <v>505</v>
      </c>
      <c r="B31" s="46">
        <f>COUNTIF(Tracker[Type],A31)</f>
        <v>10</v>
      </c>
    </row>
    <row r="32" spans="1:5" ht="16.5">
      <c r="A32" s="44" t="s">
        <v>517</v>
      </c>
      <c r="B32" s="43">
        <f>COUNTIF(Tracker[Type],"--")</f>
        <v>14</v>
      </c>
    </row>
  </sheetData>
  <mergeCells count="2">
    <mergeCell ref="A1:E1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Movies and OVAs</vt:lpstr>
      <vt:lpstr>Misc Sheet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2014-07-05T07:45:00Z</dcterms:modified>
</cp:coreProperties>
</file>