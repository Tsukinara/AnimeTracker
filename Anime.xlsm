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H16" i="19"/>
  <c r="H10" i="19"/>
  <c r="G11" i="19"/>
  <c r="H7" i="19"/>
  <c r="G7" i="19"/>
  <c r="G14" i="19"/>
  <c r="H13" i="19"/>
  <c r="G15" i="19"/>
  <c r="G8" i="19"/>
  <c r="G4" i="19"/>
  <c r="G13" i="19"/>
  <c r="H4" i="19"/>
  <c r="G12" i="19"/>
  <c r="H9" i="19"/>
  <c r="H6" i="19"/>
  <c r="G16" i="19"/>
  <c r="G9" i="19"/>
  <c r="H11" i="19"/>
  <c r="G5" i="19"/>
  <c r="G6" i="19"/>
  <c r="H12" i="19"/>
  <c r="H8" i="19"/>
  <c r="H15" i="19"/>
  <c r="H14" i="19"/>
  <c r="G10" i="19"/>
  <c r="H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Q122" i="19"/>
  <c r="Q125" i="19"/>
  <c r="U124" i="19"/>
  <c r="U122" i="19"/>
  <c r="P125" i="19"/>
  <c r="U127" i="19"/>
  <c r="R125" i="19"/>
  <c r="T124" i="19"/>
  <c r="T125" i="19"/>
  <c r="P122" i="19"/>
  <c r="P126" i="19"/>
  <c r="R128" i="19"/>
  <c r="U128" i="19"/>
  <c r="Q126" i="19"/>
  <c r="P127" i="19"/>
  <c r="P124" i="19"/>
  <c r="S124" i="19"/>
  <c r="Q127" i="19"/>
  <c r="Q129" i="19"/>
  <c r="U129" i="19"/>
  <c r="S126" i="19"/>
  <c r="S125" i="19"/>
  <c r="P123" i="19"/>
  <c r="Q128" i="19"/>
  <c r="S129" i="19"/>
  <c r="S128" i="19"/>
  <c r="T123" i="19"/>
  <c r="T126" i="19"/>
  <c r="R126" i="19"/>
  <c r="P129" i="19"/>
  <c r="P128" i="19"/>
  <c r="R123" i="19"/>
  <c r="T129" i="19"/>
  <c r="R129" i="19"/>
  <c r="T128" i="19"/>
  <c r="T122" i="19"/>
  <c r="U125" i="19"/>
  <c r="R122" i="19"/>
  <c r="S123" i="19"/>
  <c r="R127" i="19"/>
  <c r="T127" i="19"/>
  <c r="Q123" i="19"/>
  <c r="S127" i="19"/>
  <c r="U123" i="19"/>
  <c r="U126" i="19"/>
  <c r="Q124" i="19"/>
  <c r="S122" i="19"/>
  <c r="R124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5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4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5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4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S4" i="19"/>
  <c r="Q35" i="19"/>
  <c r="U27" i="19"/>
  <c r="T86" i="19"/>
  <c r="U21" i="19"/>
  <c r="U65" i="19"/>
  <c r="P9" i="19"/>
  <c r="R80" i="19"/>
  <c r="Q77" i="19"/>
  <c r="R83" i="19"/>
  <c r="P17" i="19"/>
  <c r="R68" i="19"/>
  <c r="P23" i="19"/>
  <c r="S85" i="19"/>
  <c r="T57" i="19"/>
  <c r="T117" i="19"/>
  <c r="T95" i="19"/>
  <c r="Q61" i="19"/>
  <c r="Q105" i="19"/>
  <c r="R45" i="19"/>
  <c r="U121" i="19"/>
  <c r="R102" i="19"/>
  <c r="R93" i="19"/>
  <c r="T35" i="19"/>
  <c r="R79" i="19"/>
  <c r="R55" i="19"/>
  <c r="R6" i="19"/>
  <c r="Q65" i="19"/>
  <c r="R74" i="19"/>
  <c r="U13" i="19"/>
  <c r="P40" i="19"/>
  <c r="U107" i="19"/>
  <c r="S29" i="19"/>
  <c r="T81" i="19"/>
  <c r="T65" i="19"/>
  <c r="R96" i="19"/>
  <c r="R24" i="19"/>
  <c r="U92" i="19"/>
  <c r="Q98" i="19"/>
  <c r="U75" i="19"/>
  <c r="U25" i="19"/>
  <c r="S19" i="19"/>
  <c r="R86" i="19"/>
  <c r="R119" i="19"/>
  <c r="R27" i="19"/>
  <c r="R114" i="19"/>
  <c r="R8" i="19"/>
  <c r="S66" i="19"/>
  <c r="P71" i="19"/>
  <c r="R90" i="19"/>
  <c r="Q102" i="19"/>
  <c r="S108" i="19"/>
  <c r="T24" i="19"/>
  <c r="T43" i="19"/>
  <c r="U6" i="19"/>
  <c r="S24" i="19"/>
  <c r="R44" i="19"/>
  <c r="U111" i="19"/>
  <c r="P25" i="19"/>
  <c r="Q51" i="19"/>
  <c r="T105" i="19"/>
  <c r="S46" i="19"/>
  <c r="T42" i="19"/>
  <c r="T63" i="19"/>
  <c r="R75" i="19"/>
  <c r="S58" i="19"/>
  <c r="Q108" i="19"/>
  <c r="P95" i="19"/>
  <c r="Q7" i="19"/>
  <c r="U23" i="19"/>
  <c r="R106" i="19"/>
  <c r="P108" i="19"/>
  <c r="U105" i="19"/>
  <c r="U57" i="19"/>
  <c r="P48" i="19"/>
  <c r="P75" i="19"/>
  <c r="S72" i="19"/>
  <c r="Q47" i="19"/>
  <c r="U49" i="19"/>
  <c r="R78" i="19"/>
  <c r="Q72" i="19"/>
  <c r="Q68" i="19"/>
  <c r="P37" i="19"/>
  <c r="S113" i="19"/>
  <c r="R12" i="19"/>
  <c r="Q91" i="19"/>
  <c r="P35" i="19"/>
  <c r="R51" i="19"/>
  <c r="T8" i="19"/>
  <c r="T53" i="19"/>
  <c r="Q104" i="19"/>
  <c r="P110" i="19"/>
  <c r="S69" i="19"/>
  <c r="Q78" i="19"/>
  <c r="P81" i="19"/>
  <c r="U20" i="19"/>
  <c r="P68" i="19"/>
  <c r="R63" i="19"/>
  <c r="S41" i="19"/>
  <c r="S36" i="19"/>
  <c r="T78" i="19"/>
  <c r="Q19" i="19"/>
  <c r="U72" i="19"/>
  <c r="T39" i="19"/>
  <c r="Q89" i="19"/>
  <c r="S80" i="19"/>
  <c r="U97" i="19"/>
  <c r="P121" i="19"/>
  <c r="R58" i="19"/>
  <c r="R112" i="19"/>
  <c r="T32" i="19"/>
  <c r="R57" i="19"/>
  <c r="P22" i="19"/>
  <c r="S104" i="19"/>
  <c r="T88" i="19"/>
  <c r="Q54" i="19"/>
  <c r="T66" i="19"/>
  <c r="S49" i="19"/>
  <c r="P50" i="19"/>
  <c r="R54" i="19"/>
  <c r="S81" i="19"/>
  <c r="U94" i="19"/>
  <c r="U4" i="19"/>
  <c r="S91" i="19"/>
  <c r="S107" i="19"/>
  <c r="S42" i="19"/>
  <c r="Q26" i="19"/>
  <c r="Q16" i="19"/>
  <c r="S67" i="19"/>
  <c r="P12" i="19"/>
  <c r="S86" i="19"/>
  <c r="T70" i="19"/>
  <c r="Q117" i="19"/>
  <c r="S25" i="19"/>
  <c r="T89" i="19"/>
  <c r="Q33" i="19"/>
  <c r="R9" i="19"/>
  <c r="U110" i="19"/>
  <c r="Q12" i="19"/>
  <c r="S12" i="19"/>
  <c r="U58" i="19"/>
  <c r="T79" i="19"/>
  <c r="Q30" i="19"/>
  <c r="P93" i="19"/>
  <c r="R97" i="19"/>
  <c r="T60" i="19"/>
  <c r="Q53" i="19"/>
  <c r="S8" i="19"/>
  <c r="U89" i="19"/>
  <c r="P88" i="19"/>
  <c r="S120" i="19"/>
  <c r="U81" i="19"/>
  <c r="T41" i="19"/>
  <c r="U115" i="19"/>
  <c r="R23" i="19"/>
  <c r="R111" i="19"/>
  <c r="P51" i="19"/>
  <c r="S57" i="19"/>
  <c r="T17" i="19"/>
  <c r="R20" i="19"/>
  <c r="Q110" i="19"/>
  <c r="S60" i="19"/>
  <c r="P42" i="19"/>
  <c r="U36" i="19"/>
  <c r="U117" i="19"/>
  <c r="Q66" i="19"/>
  <c r="R40" i="19"/>
  <c r="R116" i="19"/>
  <c r="U10" i="19"/>
  <c r="T69" i="19"/>
  <c r="S16" i="19"/>
  <c r="Q109" i="19"/>
  <c r="U44" i="19"/>
  <c r="T48" i="19"/>
  <c r="S59" i="19"/>
  <c r="U45" i="19"/>
  <c r="R25" i="19"/>
  <c r="Q111" i="19"/>
  <c r="U30" i="19"/>
  <c r="S11" i="19"/>
  <c r="S92" i="19"/>
  <c r="U61" i="19"/>
  <c r="Q23" i="19"/>
  <c r="S99" i="19"/>
  <c r="R104" i="19"/>
  <c r="U48" i="19"/>
  <c r="S39" i="19"/>
  <c r="P73" i="19"/>
  <c r="U34" i="19"/>
  <c r="S38" i="19"/>
  <c r="R67" i="19"/>
  <c r="S52" i="19"/>
  <c r="P26" i="19"/>
  <c r="U14" i="19"/>
  <c r="P84" i="19"/>
  <c r="P98" i="19"/>
  <c r="Q28" i="19"/>
  <c r="P76" i="19"/>
  <c r="P57" i="19"/>
  <c r="S76" i="19"/>
  <c r="P11" i="19"/>
  <c r="R5" i="19"/>
  <c r="T82" i="19"/>
  <c r="P38" i="19"/>
  <c r="Q22" i="19"/>
  <c r="P67" i="19"/>
  <c r="P8" i="19"/>
  <c r="Q5" i="19"/>
  <c r="R87" i="19"/>
  <c r="T74" i="19"/>
  <c r="T119" i="19"/>
  <c r="P102" i="19"/>
  <c r="S78" i="19"/>
  <c r="T51" i="19"/>
  <c r="S75" i="19"/>
  <c r="R77" i="19"/>
  <c r="T54" i="19"/>
  <c r="U28" i="19"/>
  <c r="T93" i="19"/>
  <c r="Q41" i="19"/>
  <c r="Q9" i="19"/>
  <c r="T96" i="19"/>
  <c r="P82" i="19"/>
  <c r="R100" i="19"/>
  <c r="R99" i="19"/>
  <c r="U22" i="19"/>
  <c r="R120" i="19"/>
  <c r="P113" i="19"/>
  <c r="T71" i="19"/>
  <c r="T38" i="19"/>
  <c r="U31" i="19"/>
  <c r="P58" i="19"/>
  <c r="U85" i="19"/>
  <c r="U29" i="19"/>
  <c r="S9" i="19"/>
  <c r="U68" i="19"/>
  <c r="P70" i="19"/>
  <c r="S23" i="19"/>
  <c r="U62" i="19"/>
  <c r="P61" i="19"/>
  <c r="P62" i="19"/>
  <c r="R13" i="19"/>
  <c r="U69" i="19"/>
  <c r="P43" i="19"/>
  <c r="T15" i="19"/>
  <c r="Q59" i="19"/>
  <c r="S53" i="19"/>
  <c r="P92" i="19"/>
  <c r="R121" i="19"/>
  <c r="U56" i="19"/>
  <c r="S101" i="19"/>
  <c r="T40" i="19"/>
  <c r="R26" i="19"/>
  <c r="R4" i="19"/>
  <c r="U60" i="19"/>
  <c r="S114" i="19"/>
  <c r="Q42" i="19"/>
  <c r="Q24" i="19"/>
  <c r="S5" i="19"/>
  <c r="R15" i="19"/>
  <c r="P55" i="19"/>
  <c r="P96" i="19"/>
  <c r="R95" i="19"/>
  <c r="R48" i="19"/>
  <c r="S20" i="19"/>
  <c r="P10" i="19"/>
  <c r="Q85" i="19"/>
  <c r="S121" i="19"/>
  <c r="P65" i="19"/>
  <c r="Q34" i="19"/>
  <c r="S93" i="19"/>
  <c r="Q32" i="19"/>
  <c r="R39" i="19"/>
  <c r="P89" i="19"/>
  <c r="U9" i="19"/>
  <c r="Q8" i="19"/>
  <c r="R35" i="19"/>
  <c r="R53" i="19"/>
  <c r="U43" i="19"/>
  <c r="T67" i="19"/>
  <c r="T68" i="19"/>
  <c r="Q44" i="19"/>
  <c r="U88" i="19"/>
  <c r="S105" i="19"/>
  <c r="S30" i="19"/>
  <c r="U5" i="19"/>
  <c r="U54" i="19"/>
  <c r="P86" i="19"/>
  <c r="T31" i="19"/>
  <c r="S88" i="19"/>
  <c r="Q95" i="19"/>
  <c r="T111" i="19"/>
  <c r="P52" i="19"/>
  <c r="P85" i="19"/>
  <c r="T80" i="19"/>
  <c r="U95" i="19"/>
  <c r="Q119" i="19"/>
  <c r="T21" i="19"/>
  <c r="Q11" i="19"/>
  <c r="T84" i="19"/>
  <c r="T108" i="19"/>
  <c r="S50" i="19"/>
  <c r="P72" i="19"/>
  <c r="R81" i="19"/>
  <c r="P36" i="19"/>
  <c r="R43" i="19"/>
  <c r="P19" i="19"/>
  <c r="R113" i="19"/>
  <c r="R101" i="19"/>
  <c r="S117" i="19"/>
  <c r="S111" i="19"/>
  <c r="R47" i="19"/>
  <c r="Q38" i="19"/>
  <c r="S118" i="19"/>
  <c r="Q60" i="19"/>
  <c r="P77" i="19"/>
  <c r="T50" i="19"/>
  <c r="S17" i="19"/>
  <c r="P45" i="19"/>
  <c r="T97" i="19"/>
  <c r="T28" i="19"/>
  <c r="P106" i="19"/>
  <c r="S64" i="19"/>
  <c r="U78" i="19"/>
  <c r="P118" i="19"/>
  <c r="U73" i="19"/>
  <c r="T92" i="19"/>
  <c r="Q21" i="19"/>
  <c r="P15" i="19"/>
  <c r="R11" i="19"/>
  <c r="P21" i="19"/>
  <c r="R50" i="19"/>
  <c r="Q93" i="19"/>
  <c r="P41" i="19"/>
  <c r="U93" i="19"/>
  <c r="P32" i="19"/>
  <c r="S28" i="19"/>
  <c r="Q27" i="19"/>
  <c r="U50" i="19"/>
  <c r="U17" i="19"/>
  <c r="U7" i="19"/>
  <c r="Q18" i="19"/>
  <c r="U26" i="19"/>
  <c r="U35" i="19"/>
  <c r="R42" i="19"/>
  <c r="Q50" i="19"/>
  <c r="T76" i="19"/>
  <c r="Q76" i="19"/>
  <c r="R31" i="19"/>
  <c r="U64" i="19"/>
  <c r="U46" i="19"/>
  <c r="P30" i="19"/>
  <c r="S112" i="19"/>
  <c r="U32" i="19"/>
  <c r="Q79" i="19"/>
  <c r="R41" i="19"/>
  <c r="T120" i="19"/>
  <c r="T7" i="19"/>
  <c r="U108" i="19"/>
  <c r="U51" i="19"/>
  <c r="Q45" i="19"/>
  <c r="T5" i="19"/>
  <c r="U84" i="19"/>
  <c r="Q114" i="19"/>
  <c r="Q13" i="19"/>
  <c r="Q4" i="19"/>
  <c r="S27" i="19"/>
  <c r="Q36" i="19"/>
  <c r="P100" i="19"/>
  <c r="S77" i="19"/>
  <c r="P87" i="19"/>
  <c r="P109" i="19"/>
  <c r="S44" i="19"/>
  <c r="T83" i="19"/>
  <c r="U59" i="19"/>
  <c r="R70" i="19"/>
  <c r="U40" i="19"/>
  <c r="U91" i="19"/>
  <c r="R84" i="19"/>
  <c r="P4" i="19"/>
  <c r="T121" i="19"/>
  <c r="U42" i="19"/>
  <c r="U38" i="19"/>
  <c r="Q82" i="19"/>
  <c r="R38" i="19"/>
  <c r="T56" i="19"/>
  <c r="Q52" i="19"/>
  <c r="U101" i="19"/>
  <c r="R109" i="19"/>
  <c r="P13" i="19"/>
  <c r="Q14" i="19"/>
  <c r="R64" i="19"/>
  <c r="R89" i="19"/>
  <c r="R22" i="19"/>
  <c r="T61" i="19"/>
  <c r="P20" i="19"/>
  <c r="R33" i="19"/>
  <c r="T33" i="19"/>
  <c r="T91" i="19"/>
  <c r="T10" i="19"/>
  <c r="Q6" i="19"/>
  <c r="P31" i="19"/>
  <c r="T75" i="19"/>
  <c r="Q113" i="19"/>
  <c r="Q92" i="19"/>
  <c r="P114" i="19"/>
  <c r="S102" i="19"/>
  <c r="T29" i="19"/>
  <c r="P97" i="19"/>
  <c r="R91" i="19"/>
  <c r="U16" i="19"/>
  <c r="R73" i="19"/>
  <c r="T107" i="19"/>
  <c r="S90" i="19"/>
  <c r="S70" i="19"/>
  <c r="T110" i="19"/>
  <c r="R7" i="19"/>
  <c r="Q86" i="19"/>
  <c r="T118" i="19"/>
  <c r="U104" i="19"/>
  <c r="Q67" i="19"/>
  <c r="T59" i="19"/>
  <c r="S94" i="19"/>
  <c r="R108" i="19"/>
  <c r="T36" i="19"/>
  <c r="P66" i="19"/>
  <c r="S22" i="19"/>
  <c r="S87" i="19"/>
  <c r="T12" i="19"/>
  <c r="Q64" i="19"/>
  <c r="T49" i="19"/>
  <c r="R72" i="19"/>
  <c r="U11" i="19"/>
  <c r="T101" i="19"/>
  <c r="T106" i="19"/>
  <c r="R61" i="19"/>
  <c r="P79" i="19"/>
  <c r="P120" i="19"/>
  <c r="U83" i="19"/>
  <c r="S100" i="19"/>
  <c r="S43" i="19"/>
  <c r="P7" i="19"/>
  <c r="P104" i="19"/>
  <c r="R85" i="19"/>
  <c r="P54" i="19"/>
  <c r="S33" i="19"/>
  <c r="Q115" i="19"/>
  <c r="U74" i="19"/>
  <c r="R98" i="19"/>
  <c r="T73" i="19"/>
  <c r="T27" i="19"/>
  <c r="S21" i="19"/>
  <c r="S96" i="19"/>
  <c r="Q101" i="19"/>
  <c r="R46" i="19"/>
  <c r="Q81" i="19"/>
  <c r="S51" i="19"/>
  <c r="Q100" i="19"/>
  <c r="Q75" i="19"/>
  <c r="Q87" i="19"/>
  <c r="S7" i="19"/>
  <c r="Q88" i="19"/>
  <c r="P63" i="19"/>
  <c r="U70" i="19"/>
  <c r="T104" i="19"/>
  <c r="P94" i="19"/>
  <c r="Q121" i="19"/>
  <c r="T103" i="19"/>
  <c r="R18" i="19"/>
  <c r="Q58" i="19"/>
  <c r="U119" i="19"/>
  <c r="P27" i="19"/>
  <c r="T47" i="19"/>
  <c r="T109" i="19"/>
  <c r="P64" i="19"/>
  <c r="U120" i="19"/>
  <c r="S119" i="19"/>
  <c r="P59" i="19"/>
  <c r="S95" i="19"/>
  <c r="U77" i="19"/>
  <c r="T44" i="19"/>
  <c r="Q120" i="19"/>
  <c r="T94" i="19"/>
  <c r="Q57" i="19"/>
  <c r="S18" i="19"/>
  <c r="P14" i="19"/>
  <c r="P47" i="19"/>
  <c r="R103" i="19"/>
  <c r="Q107" i="19"/>
  <c r="T112" i="19"/>
  <c r="Q106" i="19"/>
  <c r="T85" i="19"/>
  <c r="U8" i="19"/>
  <c r="Q94" i="19"/>
  <c r="S89" i="19"/>
  <c r="U18" i="19"/>
  <c r="R115" i="19"/>
  <c r="P33" i="19"/>
  <c r="Q74" i="19"/>
  <c r="Q96" i="19"/>
  <c r="U39" i="19"/>
  <c r="P83" i="19"/>
  <c r="U66" i="19"/>
  <c r="S6" i="19"/>
  <c r="U86" i="19"/>
  <c r="T18" i="19"/>
  <c r="R14" i="19"/>
  <c r="S97" i="19"/>
  <c r="U100" i="19"/>
  <c r="S10" i="19"/>
  <c r="Q40" i="19"/>
  <c r="R65" i="19"/>
  <c r="S13" i="19"/>
  <c r="U87" i="19"/>
  <c r="T46" i="19"/>
  <c r="S31" i="19"/>
  <c r="Q118" i="19"/>
  <c r="P34" i="19"/>
  <c r="S65" i="19"/>
  <c r="P80" i="19"/>
  <c r="Q48" i="19"/>
  <c r="P46" i="19"/>
  <c r="R69" i="19"/>
  <c r="U118" i="19"/>
  <c r="T26" i="19"/>
  <c r="R92" i="19"/>
  <c r="Q70" i="19"/>
  <c r="T22" i="19"/>
  <c r="U47" i="19"/>
  <c r="P39" i="19"/>
  <c r="Q84" i="19"/>
  <c r="Q10" i="19"/>
  <c r="T87" i="19"/>
  <c r="P90" i="19"/>
  <c r="T77" i="19"/>
  <c r="S109" i="19"/>
  <c r="S37" i="19"/>
  <c r="S73" i="19"/>
  <c r="T114" i="19"/>
  <c r="U33" i="19"/>
  <c r="R82" i="19"/>
  <c r="T45" i="19"/>
  <c r="R94" i="19"/>
  <c r="T34" i="19"/>
  <c r="Q73" i="19"/>
  <c r="R21" i="19"/>
  <c r="S32" i="19"/>
  <c r="P16" i="19"/>
  <c r="P56" i="19"/>
  <c r="U96" i="19"/>
  <c r="R28" i="19"/>
  <c r="T116" i="19"/>
  <c r="R60" i="19"/>
  <c r="S82" i="19"/>
  <c r="R32" i="19"/>
  <c r="P107" i="19"/>
  <c r="U106" i="19"/>
  <c r="U71" i="19"/>
  <c r="P44" i="19"/>
  <c r="T90" i="19"/>
  <c r="S106" i="19"/>
  <c r="R117" i="19"/>
  <c r="T113" i="19"/>
  <c r="P28" i="19"/>
  <c r="S79" i="19"/>
  <c r="T16" i="19"/>
  <c r="T4" i="19"/>
  <c r="Q103" i="19"/>
  <c r="Q15" i="19"/>
  <c r="U82" i="19"/>
  <c r="R56" i="19"/>
  <c r="P78" i="19"/>
  <c r="T99" i="19"/>
  <c r="T98" i="19"/>
  <c r="R62" i="19"/>
  <c r="P103" i="19"/>
  <c r="T62" i="19"/>
  <c r="Q39" i="19"/>
  <c r="R17" i="19"/>
  <c r="Q112" i="19"/>
  <c r="Q20" i="19"/>
  <c r="Q37" i="19"/>
  <c r="T6" i="19"/>
  <c r="U103" i="19"/>
  <c r="T58" i="19"/>
  <c r="R36" i="19"/>
  <c r="U98" i="19"/>
  <c r="Q83" i="19"/>
  <c r="R110" i="19"/>
  <c r="U76" i="19"/>
  <c r="R37" i="19"/>
  <c r="U52" i="19"/>
  <c r="S47" i="19"/>
  <c r="Q56" i="19"/>
  <c r="R59" i="19"/>
  <c r="T30" i="19"/>
  <c r="U67" i="19"/>
  <c r="S71" i="19"/>
  <c r="P24" i="19"/>
  <c r="U114" i="19"/>
  <c r="P49" i="19"/>
  <c r="S54" i="19"/>
  <c r="T100" i="19"/>
  <c r="U53" i="19"/>
  <c r="U109" i="19"/>
  <c r="Q97" i="19"/>
  <c r="S48" i="19"/>
  <c r="S34" i="19"/>
  <c r="Q80" i="19"/>
  <c r="T115" i="19"/>
  <c r="Q29" i="19"/>
  <c r="T23" i="19"/>
  <c r="P111" i="19"/>
  <c r="T37" i="19"/>
  <c r="Q25" i="19"/>
  <c r="U113" i="19"/>
  <c r="P5" i="19"/>
  <c r="U90" i="19"/>
  <c r="R16" i="19"/>
  <c r="R10" i="19"/>
  <c r="S62" i="19"/>
  <c r="T20" i="19"/>
  <c r="S61" i="19"/>
  <c r="Q90" i="19"/>
  <c r="R107" i="19"/>
  <c r="Q63" i="19"/>
  <c r="P29" i="19"/>
  <c r="R105" i="19"/>
  <c r="T72" i="19"/>
  <c r="Q62" i="19"/>
  <c r="R34" i="19"/>
  <c r="P91" i="19"/>
  <c r="R88" i="19"/>
  <c r="U41" i="19"/>
  <c r="S116" i="19"/>
  <c r="P18" i="19"/>
  <c r="Q43" i="19"/>
  <c r="U112" i="19"/>
  <c r="P69" i="19"/>
  <c r="U12" i="19"/>
  <c r="U55" i="19"/>
  <c r="Q55" i="19"/>
  <c r="Q71" i="19"/>
  <c r="S35" i="19"/>
  <c r="P53" i="19"/>
  <c r="Q99" i="19"/>
  <c r="U116" i="19"/>
  <c r="S84" i="19"/>
  <c r="R71" i="19"/>
  <c r="U102" i="19"/>
  <c r="P101" i="19"/>
  <c r="P112" i="19"/>
  <c r="U19" i="19"/>
  <c r="R19" i="19"/>
  <c r="Q116" i="19"/>
  <c r="S74" i="19"/>
  <c r="S83" i="19"/>
  <c r="P105" i="19"/>
  <c r="S55" i="19"/>
  <c r="P115" i="19"/>
  <c r="S115" i="19"/>
  <c r="T102" i="19"/>
  <c r="S45" i="19"/>
  <c r="S110" i="19"/>
  <c r="T19" i="19"/>
  <c r="S40" i="19"/>
  <c r="T64" i="19"/>
  <c r="P6" i="19"/>
  <c r="S63" i="19"/>
  <c r="T9" i="19"/>
  <c r="Q46" i="19"/>
  <c r="P116" i="19"/>
  <c r="S15" i="19"/>
  <c r="S26" i="19"/>
  <c r="R66" i="19"/>
  <c r="R76" i="19"/>
  <c r="T14" i="19"/>
  <c r="P74" i="19"/>
  <c r="Q17" i="19"/>
  <c r="S98" i="19"/>
  <c r="U24" i="19"/>
  <c r="U79" i="19"/>
  <c r="P60" i="19"/>
  <c r="T13" i="19"/>
  <c r="R29" i="19"/>
  <c r="T55" i="19"/>
  <c r="R118" i="19"/>
  <c r="S68" i="19"/>
  <c r="P117" i="19"/>
  <c r="S103" i="19"/>
  <c r="R52" i="19"/>
  <c r="T25" i="19"/>
  <c r="T11" i="19"/>
  <c r="U99" i="19"/>
  <c r="P99" i="19"/>
  <c r="U37" i="19"/>
  <c r="Q69" i="19"/>
  <c r="P119" i="19"/>
  <c r="R30" i="19"/>
  <c r="T52" i="19"/>
  <c r="U63" i="19"/>
  <c r="Q49" i="19"/>
  <c r="U15" i="19"/>
  <c r="S56" i="19"/>
  <c r="Q31" i="19"/>
  <c r="U80" i="19"/>
  <c r="R49" i="19"/>
  <c r="S14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<sst xmlns="http://schemas.openxmlformats.org/spreadsheetml/2006/main" count="2047" uniqueCount="686">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</sst>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3" fillId="0" borderId="29" xfId="0" quotePrefix="1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80</c:v>
                </c:pt>
                <c:pt idx="2">
                  <c:v>10</c:v>
                </c:pt>
                <c:pt idx="3">
                  <c:v>11</c:v>
                </c:pt>
                <c:pt idx="4">
                  <c:v>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30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341555408"/>
        <c:axId val="-341559216"/>
      </c:barChart>
      <c:catAx>
        <c:axId val="-34155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1559216"/>
        <c:crosses val="autoZero"/>
        <c:auto val="1"/>
        <c:lblAlgn val="ctr"/>
        <c:lblOffset val="100"/>
        <c:noMultiLvlLbl val="0"/>
      </c:catAx>
      <c:valAx>
        <c:axId val="-3415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15554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341566288"/>
        <c:axId val="-341565744"/>
      </c:barChart>
      <c:catAx>
        <c:axId val="-34156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1565744"/>
        <c:crosses val="autoZero"/>
        <c:auto val="1"/>
        <c:lblAlgn val="ctr"/>
        <c:lblOffset val="100"/>
        <c:noMultiLvlLbl val="0"/>
      </c:catAx>
      <c:valAx>
        <c:axId val="-34156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3415662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164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74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1" totalsRowShown="0">
  <autoFilter ref="A2:H211"/>
  <sortState ref="A3:H211">
    <sortCondition ref="G3:G211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2" totalsRowShown="0" headerRowDxfId="52" dataDxfId="51">
  <autoFilter ref="A2:C72"/>
  <sortState ref="A3:C72">
    <sortCondition ref="C3:C72"/>
    <sortCondition ref="A3:A72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7" dataDxfId="46" tableBorderDxfId="45">
  <autoFilter ref="A2:L128"/>
  <sortState ref="A3:L128">
    <sortCondition descending="1" ref="H3:H128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2" dataDxfId="31" tableBorderDxfId="30">
  <autoFilter ref="A2:D16"/>
  <sortState ref="A3:D16">
    <sortCondition ref="C3:C16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3" dataDxfId="11" headerRowBorderDxfId="12" tableBorderDxfId="10">
  <autoFilter ref="D25:E35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12" sqref="A12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86" t="s">
        <v>470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4" t="s">
        <v>157</v>
      </c>
      <c r="J2" s="191" t="s">
        <v>468</v>
      </c>
      <c r="K2" s="192"/>
      <c r="L2" s="193"/>
      <c r="N2" s="188" t="s">
        <v>469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5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412</v>
      </c>
      <c r="B5" s="94" t="s">
        <v>375</v>
      </c>
      <c r="C5" s="95">
        <v>1</v>
      </c>
      <c r="D5" s="92">
        <v>17</v>
      </c>
      <c r="E5" s="92">
        <v>19</v>
      </c>
      <c r="F5" s="115">
        <v>41751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WhyNot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A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5">
        <f>IF(Completed!$G$4&lt;&gt;"",Completed!$G$4,"")</f>
        <v>9.5791457286432156</v>
      </c>
      <c r="AA5" s="75">
        <f>IF(Completed!$H$4&lt;&gt;"",Completed!$H$4,"")</f>
        <v>9.6032745591939523</v>
      </c>
      <c r="AB5" s="54">
        <f>IF(Completed!$I$4&lt;&gt;"",Completed!$I$4,"")</f>
        <v>41270</v>
      </c>
      <c r="AC5" s="54">
        <f>IF(Completed!$J$4&lt;&gt;"",Completed!$J$4,"")</f>
        <v>41279</v>
      </c>
      <c r="AD5" s="66" t="str">
        <f>IF(Completed!$K$4&lt;&gt;"",Completed!$K$4,"")</f>
        <v>Makise Kurisu</v>
      </c>
      <c r="AE5" s="66" t="str">
        <f>IF(Completed!$L$4&lt;&gt;"",Completed!$L$4,"")</f>
        <v>Good show, mostly accurate science, overall a good watch</v>
      </c>
    </row>
    <row r="6" spans="1:31">
      <c r="A6" s="90" t="s">
        <v>58</v>
      </c>
      <c r="B6" s="91" t="s">
        <v>124</v>
      </c>
      <c r="C6" s="92">
        <v>1</v>
      </c>
      <c r="D6" s="92">
        <v>17</v>
      </c>
      <c r="E6" s="92">
        <v>26</v>
      </c>
      <c r="F6" s="115">
        <v>41653</v>
      </c>
      <c r="G6" s="111" t="str">
        <f ca="1">IF($A6&lt;&gt;"", INDIRECT("'Tracker'!"&amp;ADDRESS(MATCH($A6, Tracker[Anime Name], 0) + 2, 4)), "")</f>
        <v>A</v>
      </c>
      <c r="H6" s="104" t="str">
        <f ca="1">IF($A6&lt;&gt;"", INDIRECT("'Tracker'!"&amp;ADDRESS(MATCH($A6, Tracker[Anime Name], 0) + 2, 8)), "")</f>
        <v>niizk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B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5">
        <f>IF(Completed!$G$5&lt;&gt;"",Completed!$G$5,"")</f>
        <v>9.4635678391959797</v>
      </c>
      <c r="AA6" s="75">
        <f>IF(Completed!$H$5&lt;&gt;"",Completed!$H$5,"")</f>
        <v>9.4874055415617118</v>
      </c>
      <c r="AB6" s="54">
        <f>IF(Completed!$I$5&lt;&gt;"",Completed!$I$5,"")</f>
        <v>41646</v>
      </c>
      <c r="AC6" s="54">
        <f>IF(Completed!$J$5&lt;&gt;"",Completed!$J$5,"")</f>
        <v>41647</v>
      </c>
      <c r="AD6" s="66" t="str">
        <f>IF(Completed!$K$5&lt;&gt;"",Completed!$K$5,"")</f>
        <v>Mukae Ritsuko</v>
      </c>
      <c r="AE6" s="66" t="str">
        <f>IF(Completed!$L$5&lt;&gt;"",Completed!$L$5,"")</f>
        <v>Even more accurate music than K-On!</v>
      </c>
    </row>
    <row r="7" spans="1:31">
      <c r="A7" s="90" t="s">
        <v>330</v>
      </c>
      <c r="B7" s="94" t="s">
        <v>124</v>
      </c>
      <c r="C7" s="95">
        <v>1</v>
      </c>
      <c r="D7" s="95">
        <v>2</v>
      </c>
      <c r="E7" s="95">
        <v>11</v>
      </c>
      <c r="F7" s="116">
        <v>41816</v>
      </c>
      <c r="G7" s="111" t="str">
        <f ca="1">IF($A7&lt;&gt;"", INDIRECT("'Tracker'!"&amp;ADDRESS(MATCH($A7, Tracker[Anime Name], 0) + 2, 4)), "")</f>
        <v>A</v>
      </c>
      <c r="H7" s="104" t="str">
        <f ca="1">IF($A7&lt;&gt;"", INDIRECT("'Tracker'!"&amp;ADDRESS(MATCH($A7, Tracker[Anime Name], 0) + 2, 8)), "")</f>
        <v>Zurako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638</v>
      </c>
      <c r="B8" s="91" t="s">
        <v>658</v>
      </c>
      <c r="C8" s="92">
        <v>1</v>
      </c>
      <c r="D8" s="92">
        <v>8</v>
      </c>
      <c r="E8" s="92">
        <v>8</v>
      </c>
      <c r="F8" s="115">
        <v>41828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Doki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668</v>
      </c>
      <c r="B9" s="93" t="s">
        <v>678</v>
      </c>
      <c r="C9" s="92">
        <v>1</v>
      </c>
      <c r="D9" s="92">
        <v>7</v>
      </c>
      <c r="E9" s="92">
        <v>7</v>
      </c>
      <c r="F9" s="115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FFF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626</v>
      </c>
      <c r="B10" s="94" t="s">
        <v>672</v>
      </c>
      <c r="C10" s="95">
        <v>1</v>
      </c>
      <c r="D10" s="92">
        <v>7</v>
      </c>
      <c r="E10" s="92">
        <v>7</v>
      </c>
      <c r="F10" s="115">
        <v>41831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636</v>
      </c>
      <c r="B11" s="94" t="s">
        <v>632</v>
      </c>
      <c r="C11" s="95">
        <v>1</v>
      </c>
      <c r="D11" s="92">
        <v>7</v>
      </c>
      <c r="E11" s="92">
        <v>7</v>
      </c>
      <c r="F11" s="115">
        <v>41832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623</v>
      </c>
      <c r="B12" s="91" t="s">
        <v>632</v>
      </c>
      <c r="C12" s="92">
        <v>2</v>
      </c>
      <c r="D12" s="92">
        <v>8</v>
      </c>
      <c r="E12" s="92">
        <v>8</v>
      </c>
      <c r="F12" s="114">
        <v>41826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624</v>
      </c>
      <c r="B13" s="93" t="s">
        <v>375</v>
      </c>
      <c r="C13" s="92">
        <v>2</v>
      </c>
      <c r="D13" s="92">
        <v>8</v>
      </c>
      <c r="E13" s="92">
        <v>8</v>
      </c>
      <c r="F13" s="115">
        <v>41837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HorribleSubs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618</v>
      </c>
      <c r="B14" s="94" t="s">
        <v>375</v>
      </c>
      <c r="C14" s="95">
        <v>2</v>
      </c>
      <c r="D14" s="92">
        <v>8</v>
      </c>
      <c r="E14" s="92">
        <v>8</v>
      </c>
      <c r="F14" s="115">
        <v>41827</v>
      </c>
      <c r="G14" s="111" t="str">
        <f ca="1">IF($A14&lt;&gt;"", INDIRECT("'Tracker'!"&amp;ADDRESS(MATCH($A14, Tracker[Anime Name], 0) + 2, 4)), "")</f>
        <v>A</v>
      </c>
      <c r="H14" s="104" t="str">
        <f ca="1">IF($A14&lt;&gt;"", INDIRECT("'Tracker'!"&amp;ADDRESS(MATCH($A14, Tracker[Anime Name], 0) + 2, 8)), "")</f>
        <v>WhyNot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619</v>
      </c>
      <c r="B15" s="94" t="s">
        <v>375</v>
      </c>
      <c r="C15" s="95">
        <v>1</v>
      </c>
      <c r="D15" s="92">
        <v>8</v>
      </c>
      <c r="E15" s="92">
        <v>8</v>
      </c>
      <c r="F15" s="115">
        <v>41831</v>
      </c>
      <c r="G15" s="111" t="str">
        <f ca="1">IF($A15&lt;&gt;"", INDIRECT("'Tracker'!"&amp;ADDRESS(MATCH($A15, Tracker[Anime Name], 0) + 2, 4)), "")</f>
        <v>B</v>
      </c>
      <c r="H15" s="104" t="str">
        <f ca="1">IF($A15&lt;&gt;"", INDIRECT("'Tracker'!"&amp;ADDRESS(MATCH($A15, Tracker[Anime Name], 0) + 2, 8)), "")</f>
        <v>Vivid, Watashi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9.0389447236180906</v>
      </c>
      <c r="AA15" s="75">
        <f>IF(Completed!$H$14&lt;&gt;"",Completed!$H$14,"")</f>
        <v>9.0617128463476053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 t="s">
        <v>685</v>
      </c>
      <c r="B16" s="96" t="s">
        <v>375</v>
      </c>
      <c r="C16" s="95">
        <v>1</v>
      </c>
      <c r="D16" s="95">
        <v>8</v>
      </c>
      <c r="E16" s="95">
        <v>8</v>
      </c>
      <c r="F16" s="116">
        <v>41862</v>
      </c>
      <c r="G16" s="111" t="str">
        <f ca="1">IF($A16&lt;&gt;"", INDIRECT("'Tracker'!"&amp;ADDRESS(MATCH($A16, Tracker[Anime Name], 0) + 2, 4)), "")</f>
        <v>B</v>
      </c>
      <c r="H16" s="104" t="str">
        <f ca="1">IF($A16&lt;&gt;"", INDIRECT("'Tracker'!"&amp;ADDRESS(MATCH($A16, Tracker[Anime Name], 0) + 2, 8)), "")</f>
        <v>HorribleSubs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194" t="s">
        <v>478</v>
      </c>
      <c r="D24" s="195"/>
      <c r="E24" s="195"/>
      <c r="F24" s="195"/>
      <c r="G24" s="196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7</v>
      </c>
      <c r="C25" s="203" t="s">
        <v>478</v>
      </c>
      <c r="D25" s="204"/>
      <c r="E25" s="204"/>
      <c r="F25" s="204"/>
      <c r="G25" s="205"/>
      <c r="H25" s="110">
        <f>B25*22/60</f>
        <v>2.5666666666666669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78" t="s">
        <v>471</v>
      </c>
      <c r="B26" s="179"/>
      <c r="C26" s="179"/>
      <c r="D26" s="179"/>
      <c r="E26" s="179"/>
      <c r="F26" s="179"/>
      <c r="G26" s="179"/>
      <c r="H26" s="18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81" t="s">
        <v>473</v>
      </c>
      <c r="C27" s="182"/>
      <c r="D27" s="182"/>
      <c r="E27" s="182"/>
      <c r="F27" s="182"/>
      <c r="G27" s="182"/>
      <c r="H27" s="18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84" t="s">
        <v>596</v>
      </c>
      <c r="B28" s="197"/>
      <c r="C28" s="197"/>
      <c r="D28" s="197"/>
      <c r="E28" s="197"/>
      <c r="F28" s="197"/>
      <c r="G28" s="197"/>
      <c r="H28" s="198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84" t="s">
        <v>612</v>
      </c>
      <c r="B30" s="197"/>
      <c r="C30" s="197"/>
      <c r="D30" s="197"/>
      <c r="E30" s="197"/>
      <c r="F30" s="197"/>
      <c r="G30" s="197"/>
      <c r="H30" s="198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84" t="s">
        <v>593</v>
      </c>
      <c r="B32" s="197"/>
      <c r="C32" s="197"/>
      <c r="D32" s="197"/>
      <c r="E32" s="197"/>
      <c r="F32" s="197"/>
      <c r="G32" s="197"/>
      <c r="H32" s="198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84" t="s">
        <v>594</v>
      </c>
      <c r="B34" s="197"/>
      <c r="C34" s="197"/>
      <c r="D34" s="197"/>
      <c r="E34" s="197"/>
      <c r="F34" s="197"/>
      <c r="G34" s="197"/>
      <c r="H34" s="198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84" t="s">
        <v>595</v>
      </c>
      <c r="B36" s="197"/>
      <c r="C36" s="197"/>
      <c r="D36" s="197"/>
      <c r="E36" s="197"/>
      <c r="F36" s="197"/>
      <c r="G36" s="197"/>
      <c r="H36" s="198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84" t="s">
        <v>597</v>
      </c>
      <c r="B38" s="197"/>
      <c r="C38" s="197"/>
      <c r="D38" s="197"/>
      <c r="E38" s="197"/>
      <c r="F38" s="197"/>
      <c r="G38" s="197"/>
      <c r="H38" s="198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84" t="s">
        <v>615</v>
      </c>
      <c r="B40" s="197"/>
      <c r="C40" s="197"/>
      <c r="D40" s="197"/>
      <c r="E40" s="197"/>
      <c r="F40" s="197"/>
      <c r="G40" s="197"/>
      <c r="H40" s="198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201" t="s">
        <v>616</v>
      </c>
      <c r="B42" s="197"/>
      <c r="C42" s="197"/>
      <c r="D42" s="197"/>
      <c r="E42" s="197"/>
      <c r="F42" s="197"/>
      <c r="G42" s="197"/>
      <c r="H42" s="198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Arakawa Under the Bridge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Bakumatsu Rock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Card Captor Sakura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DRAMAtical Murder</v>
      </c>
      <c r="K60" s="28">
        <f>IF(Backlog!$B$59&lt;&gt;"",Backlog!$B$59,"")</f>
        <v>1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☆☆☆</v>
      </c>
      <c r="K61" s="28">
        <f>IF(Backlog!$B$60&lt;&gt;"",Backlog!$B$60,"")</f>
        <v>2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365</v>
      </c>
      <c r="K62" s="28">
        <f>IF(Backlog!$B$61&lt;&gt;"",Backlog!$B$61,"")</f>
        <v>3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Hidamari Sketch x Honeycomb</v>
      </c>
      <c r="K63" s="28">
        <f>IF(Backlog!$B$62&lt;&gt;"",Backlog!$B$62,"")</f>
        <v>4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Joshiraku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Kyousougiga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Magi: The Labyrinth of Magic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Mahouka Koukou no Rettousei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Mushishi Zoku Shou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Nourin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Puchimas: Petit iDOLM@STER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>Seikon no Qwaser II</v>
      </c>
      <c r="K72" s="28">
        <f>IF(Backlog!$B$71&lt;&gt;"",Backlog!$B$71,"")</f>
        <v>2</v>
      </c>
      <c r="L72" s="29" t="str">
        <f>IF(Backlog!$C$71&lt;&gt;"",Backlog!$C$71,"")</f>
        <v>NA</v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>Uchouten Kazoku</v>
      </c>
      <c r="K73" s="28">
        <f>IF(Backlog!$B$72&lt;&gt;"",Backlog!$B$72,"")</f>
        <v>1</v>
      </c>
      <c r="L73" s="29" t="str">
        <f>IF(Backlog!$C$72&lt;&gt;"",Backlog!$C$72,"")</f>
        <v>NA</v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1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684</v>
      </c>
      <c r="B63" s="28">
        <v>1</v>
      </c>
      <c r="C63" s="28">
        <v>13</v>
      </c>
      <c r="D63" s="22" t="s">
        <v>124</v>
      </c>
      <c r="E63" s="22" t="s">
        <v>124</v>
      </c>
      <c r="F63" s="22" t="s">
        <v>124</v>
      </c>
      <c r="G63" s="33" t="s">
        <v>522</v>
      </c>
      <c r="H63" s="122" t="s">
        <v>124</v>
      </c>
    </row>
    <row r="64" spans="1:8" ht="16.5">
      <c r="A64" s="21" t="s">
        <v>540</v>
      </c>
      <c r="B64" s="28">
        <v>1</v>
      </c>
      <c r="C64" s="28">
        <v>25</v>
      </c>
      <c r="D64" s="22" t="s">
        <v>265</v>
      </c>
      <c r="E64" s="22" t="s">
        <v>483</v>
      </c>
      <c r="F64" s="22" t="s">
        <v>446</v>
      </c>
      <c r="G64" s="33" t="s">
        <v>543</v>
      </c>
      <c r="H64" s="122" t="s">
        <v>366</v>
      </c>
    </row>
    <row r="65" spans="1:8" ht="16.5">
      <c r="A65" s="17" t="s">
        <v>135</v>
      </c>
      <c r="B65" s="6">
        <v>1</v>
      </c>
      <c r="C65" s="6">
        <v>16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499</v>
      </c>
    </row>
    <row r="66" spans="1:8" ht="16.5">
      <c r="A66" s="17" t="s">
        <v>184</v>
      </c>
      <c r="B66" s="6">
        <v>1</v>
      </c>
      <c r="C66" s="6">
        <v>13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426</v>
      </c>
    </row>
    <row r="67" spans="1:8" ht="16.5">
      <c r="A67" s="17" t="s">
        <v>97</v>
      </c>
      <c r="B67" s="6">
        <v>1</v>
      </c>
      <c r="C67" s="6">
        <v>12</v>
      </c>
      <c r="D67" s="18" t="s">
        <v>262</v>
      </c>
      <c r="E67" s="22" t="s">
        <v>483</v>
      </c>
      <c r="F67" s="22" t="s">
        <v>447</v>
      </c>
      <c r="G67" s="33" t="s">
        <v>543</v>
      </c>
      <c r="H67" s="125" t="s">
        <v>286</v>
      </c>
    </row>
    <row r="68" spans="1:8" ht="16.5">
      <c r="A68" s="21" t="s">
        <v>241</v>
      </c>
      <c r="B68" s="28">
        <v>2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327</v>
      </c>
    </row>
    <row r="69" spans="1:8" ht="16.5">
      <c r="A69" s="21" t="s">
        <v>31</v>
      </c>
      <c r="B69" s="28">
        <v>1</v>
      </c>
      <c r="C69" s="28">
        <v>12</v>
      </c>
      <c r="D69" s="22" t="s">
        <v>262</v>
      </c>
      <c r="E69" s="22" t="s">
        <v>483</v>
      </c>
      <c r="F69" s="22" t="s">
        <v>447</v>
      </c>
      <c r="G69" s="33" t="s">
        <v>543</v>
      </c>
      <c r="H69" s="122" t="s">
        <v>329</v>
      </c>
    </row>
    <row r="70" spans="1:8" ht="16.5">
      <c r="A70" s="17" t="s">
        <v>133</v>
      </c>
      <c r="B70" s="6">
        <v>2</v>
      </c>
      <c r="C70" s="6">
        <v>24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512</v>
      </c>
    </row>
    <row r="71" spans="1:8" ht="16.5">
      <c r="A71" s="17" t="s">
        <v>36</v>
      </c>
      <c r="B71" s="6">
        <v>1</v>
      </c>
      <c r="C71" s="6">
        <v>12</v>
      </c>
      <c r="D71" s="18" t="s">
        <v>262</v>
      </c>
      <c r="E71" s="22" t="s">
        <v>483</v>
      </c>
      <c r="F71" s="22" t="s">
        <v>447</v>
      </c>
      <c r="G71" s="33" t="s">
        <v>543</v>
      </c>
      <c r="H71" s="125" t="s">
        <v>514</v>
      </c>
    </row>
    <row r="72" spans="1:8" ht="16.5">
      <c r="A72" s="17" t="s">
        <v>59</v>
      </c>
      <c r="B72" s="6">
        <v>1</v>
      </c>
      <c r="C72" s="6">
        <v>12</v>
      </c>
      <c r="D72" s="18" t="s">
        <v>265</v>
      </c>
      <c r="E72" s="22" t="s">
        <v>483</v>
      </c>
      <c r="F72" s="22" t="s">
        <v>447</v>
      </c>
      <c r="G72" s="33" t="s">
        <v>561</v>
      </c>
      <c r="H72" s="125" t="s">
        <v>301</v>
      </c>
    </row>
    <row r="73" spans="1:8" ht="16.5">
      <c r="A73" s="17" t="s">
        <v>177</v>
      </c>
      <c r="B73" s="6">
        <v>1</v>
      </c>
      <c r="C73" s="6">
        <v>11</v>
      </c>
      <c r="D73" s="18" t="s">
        <v>262</v>
      </c>
      <c r="E73" s="22" t="s">
        <v>484</v>
      </c>
      <c r="F73" s="22" t="s">
        <v>447</v>
      </c>
      <c r="G73" s="33" t="s">
        <v>529</v>
      </c>
      <c r="H73" s="125" t="s">
        <v>301</v>
      </c>
    </row>
    <row r="74" spans="1:8" ht="16.5">
      <c r="A74" s="21" t="s">
        <v>41</v>
      </c>
      <c r="B74" s="28">
        <v>1</v>
      </c>
      <c r="C74" s="28">
        <v>12</v>
      </c>
      <c r="D74" s="22" t="s">
        <v>265</v>
      </c>
      <c r="E74" s="22" t="s">
        <v>483</v>
      </c>
      <c r="F74" s="22" t="s">
        <v>447</v>
      </c>
      <c r="G74" s="33" t="s">
        <v>529</v>
      </c>
      <c r="H74" s="122" t="s">
        <v>499</v>
      </c>
    </row>
    <row r="75" spans="1:8" ht="16.5">
      <c r="A75" s="21" t="s">
        <v>231</v>
      </c>
      <c r="B75" s="28">
        <v>1</v>
      </c>
      <c r="C75" s="28">
        <v>12</v>
      </c>
      <c r="D75" s="22" t="s">
        <v>262</v>
      </c>
      <c r="E75" s="22" t="s">
        <v>483</v>
      </c>
      <c r="F75" s="22" t="s">
        <v>446</v>
      </c>
      <c r="G75" s="33" t="s">
        <v>529</v>
      </c>
      <c r="H75" s="122" t="s">
        <v>285</v>
      </c>
    </row>
    <row r="76" spans="1:8" ht="16.5">
      <c r="A76" s="17" t="s">
        <v>148</v>
      </c>
      <c r="B76" s="6">
        <v>1</v>
      </c>
      <c r="C76" s="6">
        <v>26</v>
      </c>
      <c r="D76" s="18" t="s">
        <v>262</v>
      </c>
      <c r="E76" s="22" t="s">
        <v>484</v>
      </c>
      <c r="F76" s="22" t="s">
        <v>447</v>
      </c>
      <c r="G76" s="33" t="s">
        <v>529</v>
      </c>
      <c r="H76" s="125" t="s">
        <v>301</v>
      </c>
    </row>
    <row r="77" spans="1:8" ht="16.5">
      <c r="A77" s="21" t="s">
        <v>243</v>
      </c>
      <c r="B77" s="28">
        <v>2</v>
      </c>
      <c r="C77" s="28">
        <v>12</v>
      </c>
      <c r="D77" s="32" t="s">
        <v>124</v>
      </c>
      <c r="E77" s="22" t="s">
        <v>124</v>
      </c>
      <c r="F77" s="22" t="s">
        <v>124</v>
      </c>
      <c r="G77" s="33" t="s">
        <v>529</v>
      </c>
      <c r="H77" s="122" t="s">
        <v>124</v>
      </c>
    </row>
    <row r="78" spans="1:8" ht="16.5">
      <c r="A78" s="17" t="s">
        <v>108</v>
      </c>
      <c r="B78" s="6">
        <v>1</v>
      </c>
      <c r="C78" s="6">
        <v>25</v>
      </c>
      <c r="D78" s="18" t="s">
        <v>262</v>
      </c>
      <c r="E78" s="22" t="s">
        <v>483</v>
      </c>
      <c r="F78" s="22" t="s">
        <v>447</v>
      </c>
      <c r="G78" s="33" t="s">
        <v>529</v>
      </c>
      <c r="H78" s="125" t="s">
        <v>426</v>
      </c>
    </row>
    <row r="79" spans="1:8" ht="16.5">
      <c r="A79" s="21" t="s">
        <v>242</v>
      </c>
      <c r="B79" s="28">
        <v>2</v>
      </c>
      <c r="C79" s="28">
        <v>12</v>
      </c>
      <c r="D79" s="22" t="s">
        <v>262</v>
      </c>
      <c r="E79" s="22" t="s">
        <v>483</v>
      </c>
      <c r="F79" s="22" t="s">
        <v>447</v>
      </c>
      <c r="G79" s="33" t="s">
        <v>529</v>
      </c>
      <c r="H79" s="122" t="s">
        <v>329</v>
      </c>
    </row>
    <row r="80" spans="1:8" ht="16.5">
      <c r="A80" s="17" t="s">
        <v>79</v>
      </c>
      <c r="B80" s="6">
        <v>2</v>
      </c>
      <c r="C80" s="6">
        <v>13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463</v>
      </c>
    </row>
    <row r="81" spans="1:8" ht="16.5">
      <c r="A81" s="17" t="s">
        <v>123</v>
      </c>
      <c r="B81" s="6">
        <v>1</v>
      </c>
      <c r="C81" s="6">
        <v>12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507</v>
      </c>
    </row>
    <row r="82" spans="1:8" ht="16.5">
      <c r="A82" s="17" t="s">
        <v>152</v>
      </c>
      <c r="B82" s="6">
        <v>1</v>
      </c>
      <c r="C82" s="6">
        <v>26</v>
      </c>
      <c r="D82" s="18" t="s">
        <v>262</v>
      </c>
      <c r="E82" s="22" t="s">
        <v>483</v>
      </c>
      <c r="F82" s="22" t="s">
        <v>447</v>
      </c>
      <c r="G82" s="33" t="s">
        <v>538</v>
      </c>
      <c r="H82" s="125" t="s">
        <v>511</v>
      </c>
    </row>
    <row r="83" spans="1:8" ht="16.5">
      <c r="A83" s="21" t="s">
        <v>330</v>
      </c>
      <c r="B83" s="28">
        <v>1</v>
      </c>
      <c r="C83" s="28">
        <v>11</v>
      </c>
      <c r="D83" s="22" t="s">
        <v>262</v>
      </c>
      <c r="E83" s="22" t="s">
        <v>483</v>
      </c>
      <c r="F83" s="22" t="s">
        <v>447</v>
      </c>
      <c r="G83" s="33" t="s">
        <v>538</v>
      </c>
      <c r="H83" s="122" t="s">
        <v>331</v>
      </c>
    </row>
    <row r="84" spans="1:8" ht="16.5">
      <c r="A84" s="17" t="s">
        <v>101</v>
      </c>
      <c r="B84" s="6">
        <v>1</v>
      </c>
      <c r="C84" s="6">
        <v>12</v>
      </c>
      <c r="D84" s="18" t="s">
        <v>262</v>
      </c>
      <c r="E84" s="22" t="s">
        <v>484</v>
      </c>
      <c r="F84" s="22" t="s">
        <v>447</v>
      </c>
      <c r="G84" s="33" t="s">
        <v>538</v>
      </c>
      <c r="H84" s="125" t="s">
        <v>301</v>
      </c>
    </row>
    <row r="85" spans="1:8" ht="16.5">
      <c r="A85" s="21" t="s">
        <v>541</v>
      </c>
      <c r="B85" s="28">
        <v>2</v>
      </c>
      <c r="C85" s="28">
        <v>24</v>
      </c>
      <c r="D85" s="32" t="s">
        <v>265</v>
      </c>
      <c r="E85" s="22" t="s">
        <v>483</v>
      </c>
      <c r="F85" s="32" t="s">
        <v>446</v>
      </c>
      <c r="G85" s="35" t="s">
        <v>525</v>
      </c>
      <c r="H85" s="123" t="s">
        <v>367</v>
      </c>
    </row>
    <row r="86" spans="1:8" ht="16.5">
      <c r="A86" s="17" t="s">
        <v>72</v>
      </c>
      <c r="B86" s="6">
        <v>1</v>
      </c>
      <c r="C86" s="6">
        <v>13</v>
      </c>
      <c r="D86" s="18" t="s">
        <v>262</v>
      </c>
      <c r="E86" s="22" t="s">
        <v>483</v>
      </c>
      <c r="F86" s="22" t="s">
        <v>447</v>
      </c>
      <c r="G86" s="33" t="s">
        <v>525</v>
      </c>
      <c r="H86" s="125" t="s">
        <v>499</v>
      </c>
    </row>
    <row r="87" spans="1:8" ht="16.5">
      <c r="A87" s="17" t="s">
        <v>117</v>
      </c>
      <c r="B87" s="6">
        <v>1</v>
      </c>
      <c r="C87" s="6">
        <v>25</v>
      </c>
      <c r="D87" s="18" t="s">
        <v>262</v>
      </c>
      <c r="E87" s="22" t="s">
        <v>483</v>
      </c>
      <c r="F87" s="22" t="s">
        <v>446</v>
      </c>
      <c r="G87" s="33" t="s">
        <v>525</v>
      </c>
      <c r="H87" s="125" t="s">
        <v>304</v>
      </c>
    </row>
    <row r="88" spans="1:8" ht="16.5">
      <c r="A88" s="21" t="s">
        <v>252</v>
      </c>
      <c r="B88" s="28">
        <v>2</v>
      </c>
      <c r="C88" s="28">
        <v>25</v>
      </c>
      <c r="D88" s="22" t="s">
        <v>262</v>
      </c>
      <c r="E88" s="22" t="s">
        <v>483</v>
      </c>
      <c r="F88" s="22" t="s">
        <v>447</v>
      </c>
      <c r="G88" s="33" t="s">
        <v>525</v>
      </c>
      <c r="H88" s="122" t="s">
        <v>285</v>
      </c>
    </row>
    <row r="89" spans="1:8" ht="16.5">
      <c r="A89" s="17" t="s">
        <v>233</v>
      </c>
      <c r="B89" s="6">
        <v>1</v>
      </c>
      <c r="C89" s="6">
        <v>26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303</v>
      </c>
    </row>
    <row r="90" spans="1:8" ht="16.5">
      <c r="A90" s="17" t="s">
        <v>154</v>
      </c>
      <c r="B90" s="6">
        <v>3</v>
      </c>
      <c r="C90" s="6">
        <v>24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301</v>
      </c>
    </row>
    <row r="91" spans="1:8" ht="16.5">
      <c r="A91" s="17" t="s">
        <v>94</v>
      </c>
      <c r="B91" s="6">
        <v>2</v>
      </c>
      <c r="C91" s="6">
        <v>12</v>
      </c>
      <c r="D91" s="18" t="s">
        <v>262</v>
      </c>
      <c r="E91" s="22" t="s">
        <v>483</v>
      </c>
      <c r="F91" s="22" t="s">
        <v>447</v>
      </c>
      <c r="G91" s="33" t="s">
        <v>525</v>
      </c>
      <c r="H91" s="125" t="s">
        <v>286</v>
      </c>
    </row>
    <row r="92" spans="1:8" ht="16.5">
      <c r="A92" s="21" t="s">
        <v>333</v>
      </c>
      <c r="B92" s="28">
        <v>1</v>
      </c>
      <c r="C92" s="28">
        <v>12</v>
      </c>
      <c r="D92" s="22" t="s">
        <v>262</v>
      </c>
      <c r="E92" s="22" t="s">
        <v>483</v>
      </c>
      <c r="F92" s="22" t="s">
        <v>446</v>
      </c>
      <c r="G92" s="33" t="s">
        <v>534</v>
      </c>
      <c r="H92" s="122" t="s">
        <v>312</v>
      </c>
    </row>
    <row r="93" spans="1:8" ht="16.5">
      <c r="A93" s="17" t="s">
        <v>314</v>
      </c>
      <c r="B93" s="6">
        <v>1</v>
      </c>
      <c r="C93" s="6">
        <v>8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303</v>
      </c>
    </row>
    <row r="94" spans="1:8" ht="16.5">
      <c r="A94" s="17" t="s">
        <v>167</v>
      </c>
      <c r="B94" s="6">
        <v>1</v>
      </c>
      <c r="C94" s="6">
        <v>12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307</v>
      </c>
    </row>
    <row r="95" spans="1:8" ht="16.5">
      <c r="A95" s="17" t="s">
        <v>86</v>
      </c>
      <c r="B95" s="6">
        <v>2</v>
      </c>
      <c r="C95" s="6">
        <v>11</v>
      </c>
      <c r="D95" s="18" t="s">
        <v>262</v>
      </c>
      <c r="E95" s="22" t="s">
        <v>483</v>
      </c>
      <c r="F95" s="22" t="s">
        <v>447</v>
      </c>
      <c r="G95" s="33" t="s">
        <v>534</v>
      </c>
      <c r="H95" s="125" t="s">
        <v>505</v>
      </c>
    </row>
    <row r="96" spans="1:8" ht="16.5">
      <c r="A96" s="21" t="s">
        <v>401</v>
      </c>
      <c r="B96" s="28">
        <v>4</v>
      </c>
      <c r="C96" s="28">
        <v>12</v>
      </c>
      <c r="D96" s="22" t="s">
        <v>265</v>
      </c>
      <c r="E96" s="22" t="s">
        <v>483</v>
      </c>
      <c r="F96" s="22" t="s">
        <v>447</v>
      </c>
      <c r="G96" s="33" t="s">
        <v>534</v>
      </c>
      <c r="H96" s="122" t="s">
        <v>301</v>
      </c>
    </row>
    <row r="97" spans="1:8" ht="16.5">
      <c r="A97" s="21" t="s">
        <v>613</v>
      </c>
      <c r="B97" s="28">
        <v>1</v>
      </c>
      <c r="C97" s="28">
        <v>24</v>
      </c>
      <c r="D97" s="22" t="s">
        <v>265</v>
      </c>
      <c r="E97" s="22" t="s">
        <v>483</v>
      </c>
      <c r="F97" s="22" t="s">
        <v>447</v>
      </c>
      <c r="G97" s="33" t="s">
        <v>531</v>
      </c>
      <c r="H97" s="122" t="s">
        <v>286</v>
      </c>
    </row>
    <row r="98" spans="1:8" ht="16.5">
      <c r="A98" s="17" t="s">
        <v>88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447</v>
      </c>
      <c r="G98" s="33" t="s">
        <v>531</v>
      </c>
      <c r="H98" s="125" t="s">
        <v>300</v>
      </c>
    </row>
    <row r="99" spans="1:8" ht="16.5">
      <c r="A99" s="17" t="s">
        <v>77</v>
      </c>
      <c r="B99" s="6">
        <v>1</v>
      </c>
      <c r="C99" s="6">
        <v>13</v>
      </c>
      <c r="D99" s="18" t="s">
        <v>262</v>
      </c>
      <c r="E99" s="22" t="s">
        <v>483</v>
      </c>
      <c r="F99" s="22" t="s">
        <v>446</v>
      </c>
      <c r="G99" s="33" t="s">
        <v>531</v>
      </c>
      <c r="H99" s="125" t="s">
        <v>308</v>
      </c>
    </row>
    <row r="100" spans="1:8" ht="16.5">
      <c r="A100" s="17" t="s">
        <v>155</v>
      </c>
      <c r="B100" s="6">
        <v>1</v>
      </c>
      <c r="C100" s="6">
        <v>22</v>
      </c>
      <c r="D100" s="18" t="s">
        <v>262</v>
      </c>
      <c r="E100" s="22" t="s">
        <v>483</v>
      </c>
      <c r="F100" s="22" t="s">
        <v>447</v>
      </c>
      <c r="G100" s="33" t="s">
        <v>531</v>
      </c>
      <c r="H100" s="125" t="s">
        <v>499</v>
      </c>
    </row>
    <row r="101" spans="1:8" ht="16.5">
      <c r="A101" s="17" t="s">
        <v>340</v>
      </c>
      <c r="B101" s="6">
        <v>1</v>
      </c>
      <c r="C101" s="6">
        <v>12</v>
      </c>
      <c r="D101" s="18" t="s">
        <v>265</v>
      </c>
      <c r="E101" s="22" t="s">
        <v>483</v>
      </c>
      <c r="F101" s="22" t="s">
        <v>448</v>
      </c>
      <c r="G101" s="33" t="s">
        <v>531</v>
      </c>
      <c r="H101" s="125" t="s">
        <v>304</v>
      </c>
    </row>
    <row r="102" spans="1:8" ht="16.5">
      <c r="A102" s="17" t="s">
        <v>387</v>
      </c>
      <c r="B102" s="6">
        <v>1</v>
      </c>
      <c r="C102" s="6">
        <v>26</v>
      </c>
      <c r="D102" s="18" t="s">
        <v>265</v>
      </c>
      <c r="E102" s="22" t="s">
        <v>483</v>
      </c>
      <c r="F102" s="22" t="s">
        <v>446</v>
      </c>
      <c r="G102" s="33" t="s">
        <v>531</v>
      </c>
      <c r="H102" s="125" t="s">
        <v>305</v>
      </c>
    </row>
    <row r="103" spans="1:8" ht="16.5">
      <c r="A103" s="21" t="s">
        <v>257</v>
      </c>
      <c r="B103" s="28">
        <v>1</v>
      </c>
      <c r="C103" s="28">
        <v>16</v>
      </c>
      <c r="D103" s="32" t="s">
        <v>265</v>
      </c>
      <c r="E103" s="22" t="s">
        <v>483</v>
      </c>
      <c r="F103" s="32" t="s">
        <v>447</v>
      </c>
      <c r="G103" s="35" t="s">
        <v>532</v>
      </c>
      <c r="H103" s="122" t="s">
        <v>301</v>
      </c>
    </row>
    <row r="104" spans="1:8" ht="16.5">
      <c r="A104" s="21" t="s">
        <v>682</v>
      </c>
      <c r="B104" s="28">
        <v>1</v>
      </c>
      <c r="C104" s="28">
        <v>13</v>
      </c>
      <c r="D104" s="22" t="s">
        <v>124</v>
      </c>
      <c r="E104" s="22" t="s">
        <v>124</v>
      </c>
      <c r="F104" s="22" t="s">
        <v>124</v>
      </c>
      <c r="G104" s="33" t="s">
        <v>532</v>
      </c>
      <c r="H104" s="122" t="s">
        <v>124</v>
      </c>
    </row>
    <row r="105" spans="1:8" ht="16.5">
      <c r="A105" s="17" t="s">
        <v>40</v>
      </c>
      <c r="B105" s="6">
        <v>1</v>
      </c>
      <c r="C105" s="6">
        <v>17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493</v>
      </c>
    </row>
    <row r="106" spans="1:8" ht="16.5">
      <c r="A106" s="17" t="s">
        <v>510</v>
      </c>
      <c r="B106" s="6">
        <v>1</v>
      </c>
      <c r="C106" s="6">
        <v>25</v>
      </c>
      <c r="D106" s="18" t="s">
        <v>262</v>
      </c>
      <c r="E106" s="22" t="s">
        <v>483</v>
      </c>
      <c r="F106" s="22" t="s">
        <v>447</v>
      </c>
      <c r="G106" s="33" t="s">
        <v>532</v>
      </c>
      <c r="H106" s="125" t="s">
        <v>506</v>
      </c>
    </row>
    <row r="107" spans="1:8" ht="16.5">
      <c r="A107" s="17" t="s">
        <v>102</v>
      </c>
      <c r="B107" s="6">
        <v>2</v>
      </c>
      <c r="C107" s="6">
        <v>12</v>
      </c>
      <c r="D107" s="18" t="s">
        <v>262</v>
      </c>
      <c r="E107" s="22" t="s">
        <v>484</v>
      </c>
      <c r="F107" s="22" t="s">
        <v>447</v>
      </c>
      <c r="G107" s="33" t="s">
        <v>532</v>
      </c>
      <c r="H107" s="125" t="s">
        <v>301</v>
      </c>
    </row>
    <row r="108" spans="1:8" ht="16.5">
      <c r="A108" s="21" t="s">
        <v>542</v>
      </c>
      <c r="B108" s="28">
        <v>3</v>
      </c>
      <c r="C108" s="28">
        <v>25</v>
      </c>
      <c r="D108" s="22" t="s">
        <v>265</v>
      </c>
      <c r="E108" s="22" t="s">
        <v>483</v>
      </c>
      <c r="F108" s="22" t="s">
        <v>446</v>
      </c>
      <c r="G108" s="33" t="s">
        <v>523</v>
      </c>
      <c r="H108" s="122" t="s">
        <v>367</v>
      </c>
    </row>
    <row r="109" spans="1:8" ht="16.5">
      <c r="A109" s="17" t="s">
        <v>68</v>
      </c>
      <c r="B109" s="6">
        <v>1</v>
      </c>
      <c r="C109" s="6">
        <v>12</v>
      </c>
      <c r="D109" s="18" t="s">
        <v>262</v>
      </c>
      <c r="E109" s="22" t="s">
        <v>483</v>
      </c>
      <c r="F109" s="22" t="s">
        <v>446</v>
      </c>
      <c r="G109" s="33" t="s">
        <v>523</v>
      </c>
      <c r="H109" s="125" t="s">
        <v>496</v>
      </c>
    </row>
    <row r="110" spans="1:8" ht="16.5">
      <c r="A110" s="21" t="s">
        <v>44</v>
      </c>
      <c r="B110" s="28">
        <v>1</v>
      </c>
      <c r="C110" s="28">
        <v>12</v>
      </c>
      <c r="D110" s="22" t="s">
        <v>262</v>
      </c>
      <c r="E110" s="22" t="s">
        <v>484</v>
      </c>
      <c r="F110" s="22" t="s">
        <v>447</v>
      </c>
      <c r="G110" s="33" t="s">
        <v>523</v>
      </c>
      <c r="H110" s="122" t="s">
        <v>461</v>
      </c>
    </row>
    <row r="111" spans="1:8" ht="16.5">
      <c r="A111" s="21" t="s">
        <v>434</v>
      </c>
      <c r="B111" s="28">
        <v>4</v>
      </c>
      <c r="C111" s="28">
        <v>12</v>
      </c>
      <c r="D111" s="32" t="s">
        <v>124</v>
      </c>
      <c r="E111" s="22" t="s">
        <v>124</v>
      </c>
      <c r="F111" s="22" t="s">
        <v>124</v>
      </c>
      <c r="G111" s="33" t="s">
        <v>523</v>
      </c>
      <c r="H111" s="122" t="s">
        <v>124</v>
      </c>
    </row>
    <row r="112" spans="1:8" ht="16.5">
      <c r="A112" s="17" t="s">
        <v>50</v>
      </c>
      <c r="B112" s="6">
        <v>1</v>
      </c>
      <c r="C112" s="6">
        <v>13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21" t="s">
        <v>683</v>
      </c>
      <c r="B113" s="28">
        <v>1</v>
      </c>
      <c r="C113" s="28">
        <v>25</v>
      </c>
      <c r="D113" s="22" t="s">
        <v>124</v>
      </c>
      <c r="E113" s="13" t="s">
        <v>124</v>
      </c>
      <c r="F113" s="13" t="s">
        <v>124</v>
      </c>
      <c r="G113" s="50" t="s">
        <v>523</v>
      </c>
      <c r="H113" s="122" t="s">
        <v>124</v>
      </c>
    </row>
    <row r="114" spans="1:8" ht="16.5">
      <c r="A114" s="17" t="s">
        <v>116</v>
      </c>
      <c r="B114" s="6">
        <v>1</v>
      </c>
      <c r="C114" s="6">
        <v>12</v>
      </c>
      <c r="D114" s="18" t="s">
        <v>262</v>
      </c>
      <c r="E114" s="22" t="s">
        <v>484</v>
      </c>
      <c r="F114" s="22" t="s">
        <v>447</v>
      </c>
      <c r="G114" s="33" t="s">
        <v>523</v>
      </c>
      <c r="H114" s="125" t="s">
        <v>301</v>
      </c>
    </row>
    <row r="115" spans="1:8" ht="16.5">
      <c r="A115" s="17" t="s">
        <v>105</v>
      </c>
      <c r="B115" s="6">
        <v>1</v>
      </c>
      <c r="C115" s="6">
        <v>12</v>
      </c>
      <c r="D115" s="19" t="s">
        <v>124</v>
      </c>
      <c r="E115" s="32" t="s">
        <v>124</v>
      </c>
      <c r="F115" s="32" t="s">
        <v>124</v>
      </c>
      <c r="G115" s="35" t="s">
        <v>523</v>
      </c>
      <c r="H115" s="124" t="s">
        <v>449</v>
      </c>
    </row>
    <row r="116" spans="1:8" ht="16.5">
      <c r="A116" s="21" t="s">
        <v>399</v>
      </c>
      <c r="B116" s="28">
        <v>1</v>
      </c>
      <c r="C116" s="28">
        <v>22</v>
      </c>
      <c r="D116" s="22" t="s">
        <v>265</v>
      </c>
      <c r="E116" s="22" t="s">
        <v>483</v>
      </c>
      <c r="F116" s="22" t="s">
        <v>447</v>
      </c>
      <c r="G116" s="33" t="s">
        <v>523</v>
      </c>
      <c r="H116" s="122" t="s">
        <v>312</v>
      </c>
    </row>
    <row r="117" spans="1:8" ht="16.5">
      <c r="A117" s="17" t="s">
        <v>151</v>
      </c>
      <c r="B117" s="6">
        <v>1</v>
      </c>
      <c r="C117" s="6">
        <v>24</v>
      </c>
      <c r="D117" s="18" t="s">
        <v>262</v>
      </c>
      <c r="E117" s="22" t="s">
        <v>483</v>
      </c>
      <c r="F117" s="22" t="s">
        <v>447</v>
      </c>
      <c r="G117" s="33" t="s">
        <v>523</v>
      </c>
      <c r="H117" s="125" t="s">
        <v>506</v>
      </c>
    </row>
    <row r="118" spans="1:8" ht="16.5">
      <c r="A118" s="21" t="s">
        <v>76</v>
      </c>
      <c r="B118" s="28">
        <v>1</v>
      </c>
      <c r="C118" s="28">
        <v>25</v>
      </c>
      <c r="D118" s="32" t="s">
        <v>265</v>
      </c>
      <c r="E118" s="22" t="s">
        <v>483</v>
      </c>
      <c r="F118" s="32" t="s">
        <v>446</v>
      </c>
      <c r="G118" s="35" t="s">
        <v>523</v>
      </c>
      <c r="H118" s="122" t="s">
        <v>285</v>
      </c>
    </row>
    <row r="119" spans="1:8" ht="16.5">
      <c r="A119" s="17" t="s">
        <v>227</v>
      </c>
      <c r="B119" s="6">
        <v>2</v>
      </c>
      <c r="C119" s="6">
        <v>12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311</v>
      </c>
    </row>
    <row r="120" spans="1:8" ht="16.5">
      <c r="A120" s="17" t="s">
        <v>182</v>
      </c>
      <c r="B120" s="6">
        <v>2</v>
      </c>
      <c r="C120" s="6">
        <v>25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5" t="s">
        <v>304</v>
      </c>
    </row>
    <row r="121" spans="1:8" ht="16.5">
      <c r="A121" s="21" t="s">
        <v>80</v>
      </c>
      <c r="B121" s="28">
        <v>1</v>
      </c>
      <c r="C121" s="28">
        <v>12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2" t="s">
        <v>301</v>
      </c>
    </row>
    <row r="122" spans="1:8" ht="16.5">
      <c r="A122" s="17" t="s">
        <v>42</v>
      </c>
      <c r="B122" s="6">
        <v>1</v>
      </c>
      <c r="C122" s="6">
        <v>13</v>
      </c>
      <c r="D122" s="18" t="s">
        <v>265</v>
      </c>
      <c r="E122" s="22" t="s">
        <v>483</v>
      </c>
      <c r="F122" s="22" t="s">
        <v>448</v>
      </c>
      <c r="G122" s="33" t="s">
        <v>528</v>
      </c>
      <c r="H122" s="125" t="s">
        <v>312</v>
      </c>
    </row>
    <row r="123" spans="1:8" ht="16.5">
      <c r="A123" s="17" t="s">
        <v>114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304</v>
      </c>
    </row>
    <row r="124" spans="1:8" ht="16.5">
      <c r="A124" s="21" t="s">
        <v>452</v>
      </c>
      <c r="B124" s="28">
        <v>1</v>
      </c>
      <c r="C124" s="28">
        <v>13</v>
      </c>
      <c r="D124" s="32" t="s">
        <v>265</v>
      </c>
      <c r="E124" s="22" t="s">
        <v>483</v>
      </c>
      <c r="F124" s="32" t="s">
        <v>447</v>
      </c>
      <c r="G124" s="35" t="s">
        <v>528</v>
      </c>
      <c r="H124" s="122" t="s">
        <v>286</v>
      </c>
    </row>
    <row r="125" spans="1:8" ht="16.5">
      <c r="A125" s="17" t="s">
        <v>358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446</v>
      </c>
      <c r="G125" s="33" t="s">
        <v>528</v>
      </c>
      <c r="H125" s="125" t="s">
        <v>286</v>
      </c>
    </row>
    <row r="126" spans="1:8" ht="16.5">
      <c r="A126" s="17" t="s">
        <v>45</v>
      </c>
      <c r="B126" s="6">
        <v>1</v>
      </c>
      <c r="C126" s="6">
        <v>12</v>
      </c>
      <c r="D126" s="18" t="s">
        <v>262</v>
      </c>
      <c r="E126" s="22" t="s">
        <v>483</v>
      </c>
      <c r="F126" s="22" t="s">
        <v>447</v>
      </c>
      <c r="G126" s="33" t="s">
        <v>528</v>
      </c>
      <c r="H126" s="125" t="s">
        <v>307</v>
      </c>
    </row>
    <row r="127" spans="1:8" ht="16.5">
      <c r="A127" s="17" t="s">
        <v>504</v>
      </c>
      <c r="B127" s="6">
        <v>1</v>
      </c>
      <c r="C127" s="6">
        <v>4</v>
      </c>
      <c r="D127" s="18" t="s">
        <v>262</v>
      </c>
      <c r="E127" s="22" t="s">
        <v>484</v>
      </c>
      <c r="F127" s="22" t="s">
        <v>447</v>
      </c>
      <c r="G127" s="33" t="s">
        <v>528</v>
      </c>
      <c r="H127" s="125" t="s">
        <v>499</v>
      </c>
    </row>
    <row r="128" spans="1:8" ht="16.5">
      <c r="A128" s="21" t="s">
        <v>25</v>
      </c>
      <c r="B128" s="28">
        <v>1</v>
      </c>
      <c r="C128" s="28">
        <v>13</v>
      </c>
      <c r="D128" s="22" t="s">
        <v>262</v>
      </c>
      <c r="E128" s="22" t="s">
        <v>483</v>
      </c>
      <c r="F128" s="22" t="s">
        <v>446</v>
      </c>
      <c r="G128" s="33" t="s">
        <v>528</v>
      </c>
      <c r="H128" s="122" t="s">
        <v>304</v>
      </c>
    </row>
    <row r="129" spans="1:8" ht="16.5">
      <c r="A129" s="21" t="s">
        <v>64</v>
      </c>
      <c r="B129" s="28">
        <v>1</v>
      </c>
      <c r="C129" s="28">
        <v>64</v>
      </c>
      <c r="D129" s="32" t="s">
        <v>124</v>
      </c>
      <c r="E129" s="22" t="s">
        <v>124</v>
      </c>
      <c r="F129" s="22" t="s">
        <v>124</v>
      </c>
      <c r="G129" s="33" t="s">
        <v>528</v>
      </c>
      <c r="H129" s="122" t="s">
        <v>124</v>
      </c>
    </row>
    <row r="130" spans="1:8" ht="16.5">
      <c r="A130" s="17" t="s">
        <v>99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286</v>
      </c>
    </row>
    <row r="131" spans="1:8" ht="16.5">
      <c r="A131" s="17" t="s">
        <v>103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528</v>
      </c>
      <c r="H131" s="125" t="s">
        <v>311</v>
      </c>
    </row>
    <row r="132" spans="1:8" ht="16.5">
      <c r="A132" s="21" t="s">
        <v>681</v>
      </c>
      <c r="B132" s="28">
        <v>1</v>
      </c>
      <c r="C132" s="28">
        <v>12</v>
      </c>
      <c r="D132" s="22" t="s">
        <v>124</v>
      </c>
      <c r="E132" s="22" t="s">
        <v>124</v>
      </c>
      <c r="F132" s="22" t="s">
        <v>124</v>
      </c>
      <c r="G132" s="33" t="s">
        <v>550</v>
      </c>
      <c r="H132" s="122" t="s">
        <v>124</v>
      </c>
    </row>
    <row r="133" spans="1:8" ht="16.5">
      <c r="A133" s="17" t="s">
        <v>19</v>
      </c>
      <c r="B133" s="6">
        <v>1</v>
      </c>
      <c r="C133" s="6">
        <v>12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305</v>
      </c>
    </row>
    <row r="134" spans="1:8" ht="16.5">
      <c r="A134" s="17" t="s">
        <v>119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446</v>
      </c>
      <c r="G134" s="33" t="s">
        <v>550</v>
      </c>
      <c r="H134" s="125" t="s">
        <v>306</v>
      </c>
    </row>
    <row r="135" spans="1:8" ht="16.5">
      <c r="A135" s="21" t="s">
        <v>178</v>
      </c>
      <c r="B135" s="28">
        <v>1</v>
      </c>
      <c r="C135" s="28">
        <v>12</v>
      </c>
      <c r="D135" s="22" t="s">
        <v>265</v>
      </c>
      <c r="E135" s="22" t="s">
        <v>483</v>
      </c>
      <c r="F135" s="22" t="s">
        <v>446</v>
      </c>
      <c r="G135" s="33" t="s">
        <v>550</v>
      </c>
      <c r="H135" s="122" t="s">
        <v>286</v>
      </c>
    </row>
    <row r="136" spans="1:8" ht="16.5">
      <c r="A136" s="17" t="s">
        <v>12</v>
      </c>
      <c r="B136" s="6">
        <v>2</v>
      </c>
      <c r="C136" s="6">
        <v>12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303</v>
      </c>
    </row>
    <row r="137" spans="1:8" ht="16.5">
      <c r="A137" s="17" t="s">
        <v>22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447</v>
      </c>
      <c r="G137" s="33" t="s">
        <v>550</v>
      </c>
      <c r="H137" s="125" t="s">
        <v>286</v>
      </c>
    </row>
    <row r="138" spans="1:8" ht="16.5">
      <c r="A138" s="17" t="s">
        <v>132</v>
      </c>
      <c r="B138" s="6">
        <v>1</v>
      </c>
      <c r="C138" s="6">
        <v>13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5" t="s">
        <v>301</v>
      </c>
    </row>
    <row r="139" spans="1:8" ht="16.5">
      <c r="A139" s="17" t="s">
        <v>176</v>
      </c>
      <c r="B139" s="6">
        <v>1</v>
      </c>
      <c r="C139" s="6">
        <v>10</v>
      </c>
      <c r="D139" s="22" t="s">
        <v>265</v>
      </c>
      <c r="E139" s="22" t="s">
        <v>486</v>
      </c>
      <c r="F139" s="22" t="s">
        <v>446</v>
      </c>
      <c r="G139" s="33" t="s">
        <v>550</v>
      </c>
      <c r="H139" s="125" t="s">
        <v>315</v>
      </c>
    </row>
    <row r="140" spans="1:8" ht="16.5">
      <c r="A140" s="17" t="s">
        <v>131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448</v>
      </c>
      <c r="G140" s="33" t="s">
        <v>550</v>
      </c>
      <c r="H140" s="125" t="s">
        <v>304</v>
      </c>
    </row>
    <row r="141" spans="1:8" ht="16.5">
      <c r="A141" s="17" t="s">
        <v>274</v>
      </c>
      <c r="B141" s="6">
        <v>2</v>
      </c>
      <c r="C141" s="6">
        <v>16</v>
      </c>
      <c r="D141" s="18" t="s">
        <v>262</v>
      </c>
      <c r="E141" s="22" t="s">
        <v>484</v>
      </c>
      <c r="F141" s="22" t="s">
        <v>447</v>
      </c>
      <c r="G141" s="33" t="s">
        <v>550</v>
      </c>
      <c r="H141" s="125" t="s">
        <v>506</v>
      </c>
    </row>
    <row r="142" spans="1:8" ht="16.5">
      <c r="A142" s="17" t="s">
        <v>120</v>
      </c>
      <c r="B142" s="6">
        <v>1</v>
      </c>
      <c r="C142" s="6">
        <v>13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17</v>
      </c>
      <c r="B143" s="6">
        <v>1</v>
      </c>
      <c r="C143" s="6">
        <v>12</v>
      </c>
      <c r="D143" s="18" t="s">
        <v>262</v>
      </c>
      <c r="E143" s="22" t="s">
        <v>483</v>
      </c>
      <c r="F143" s="22" t="s">
        <v>446</v>
      </c>
      <c r="G143" s="33" t="s">
        <v>550</v>
      </c>
      <c r="H143" s="125" t="s">
        <v>304</v>
      </c>
    </row>
    <row r="144" spans="1:8" ht="16.5">
      <c r="A144" s="17" t="s">
        <v>482</v>
      </c>
      <c r="B144" s="6">
        <v>1</v>
      </c>
      <c r="C144" s="6">
        <v>25</v>
      </c>
      <c r="D144" s="18" t="s">
        <v>265</v>
      </c>
      <c r="E144" s="22" t="s">
        <v>483</v>
      </c>
      <c r="F144" s="22" t="s">
        <v>447</v>
      </c>
      <c r="G144" s="33" t="s">
        <v>550</v>
      </c>
      <c r="H144" s="125" t="s">
        <v>506</v>
      </c>
    </row>
    <row r="145" spans="1:8" ht="16.5">
      <c r="A145" s="17" t="s">
        <v>458</v>
      </c>
      <c r="B145" s="6">
        <v>2</v>
      </c>
      <c r="C145" s="6">
        <v>24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512</v>
      </c>
    </row>
    <row r="146" spans="1:8" ht="16.5">
      <c r="A146" s="17" t="s">
        <v>24</v>
      </c>
      <c r="B146" s="6">
        <v>1</v>
      </c>
      <c r="C146" s="6">
        <v>13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513</v>
      </c>
    </row>
    <row r="147" spans="1:8" ht="16.5">
      <c r="A147" s="17" t="s">
        <v>130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447</v>
      </c>
      <c r="G147" s="33" t="s">
        <v>550</v>
      </c>
      <c r="H147" s="125" t="s">
        <v>312</v>
      </c>
    </row>
    <row r="148" spans="1:8" ht="16.5">
      <c r="A148" s="21" t="s">
        <v>273</v>
      </c>
      <c r="B148" s="28">
        <v>1</v>
      </c>
      <c r="C148" s="28">
        <v>12</v>
      </c>
      <c r="D148" s="32" t="s">
        <v>265</v>
      </c>
      <c r="E148" s="22" t="s">
        <v>483</v>
      </c>
      <c r="F148" s="32" t="s">
        <v>446</v>
      </c>
      <c r="G148" s="35" t="s">
        <v>549</v>
      </c>
      <c r="H148" s="122" t="s">
        <v>285</v>
      </c>
    </row>
    <row r="149" spans="1:8" ht="16.5">
      <c r="A149" s="17" t="s">
        <v>171</v>
      </c>
      <c r="B149" s="6">
        <v>1</v>
      </c>
      <c r="C149" s="6">
        <v>12</v>
      </c>
      <c r="D149" s="18" t="s">
        <v>262</v>
      </c>
      <c r="E149" s="22" t="s">
        <v>484</v>
      </c>
      <c r="F149" s="22" t="s">
        <v>447</v>
      </c>
      <c r="G149" s="33" t="s">
        <v>549</v>
      </c>
      <c r="H149" s="125" t="s">
        <v>312</v>
      </c>
    </row>
    <row r="150" spans="1:8" ht="16.5">
      <c r="A150" s="17" t="s">
        <v>250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139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5" t="s">
        <v>304</v>
      </c>
    </row>
    <row r="152" spans="1:8" ht="16.5">
      <c r="A152" s="17" t="s">
        <v>170</v>
      </c>
      <c r="B152" s="6">
        <v>1</v>
      </c>
      <c r="C152" s="6">
        <v>12</v>
      </c>
      <c r="D152" s="18" t="s">
        <v>262</v>
      </c>
      <c r="E152" s="22" t="s">
        <v>483</v>
      </c>
      <c r="F152" s="22" t="s">
        <v>448</v>
      </c>
      <c r="G152" s="33" t="s">
        <v>549</v>
      </c>
      <c r="H152" s="125" t="s">
        <v>304</v>
      </c>
    </row>
    <row r="153" spans="1:8" ht="16.5">
      <c r="A153" s="17" t="s">
        <v>168</v>
      </c>
      <c r="B153" s="6">
        <v>1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5" t="s">
        <v>301</v>
      </c>
    </row>
    <row r="154" spans="1:8" ht="16.5">
      <c r="A154" s="17" t="s">
        <v>172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286</v>
      </c>
    </row>
    <row r="155" spans="1:8" ht="16.5">
      <c r="A155" s="17" t="s">
        <v>370</v>
      </c>
      <c r="B155" s="6">
        <v>2</v>
      </c>
      <c r="C155" s="6">
        <v>26</v>
      </c>
      <c r="D155" s="18" t="s">
        <v>262</v>
      </c>
      <c r="E155" s="22" t="s">
        <v>483</v>
      </c>
      <c r="F155" s="22" t="s">
        <v>446</v>
      </c>
      <c r="G155" s="33" t="s">
        <v>549</v>
      </c>
      <c r="H155" s="125" t="s">
        <v>304</v>
      </c>
    </row>
    <row r="156" spans="1:8" ht="16.5">
      <c r="A156" s="17" t="s">
        <v>169</v>
      </c>
      <c r="B156" s="6">
        <v>2</v>
      </c>
      <c r="C156" s="6">
        <v>12</v>
      </c>
      <c r="D156" s="18" t="s">
        <v>262</v>
      </c>
      <c r="E156" s="22" t="s">
        <v>484</v>
      </c>
      <c r="F156" s="22" t="s">
        <v>447</v>
      </c>
      <c r="G156" s="33" t="s">
        <v>549</v>
      </c>
      <c r="H156" s="125" t="s">
        <v>462</v>
      </c>
    </row>
    <row r="157" spans="1:8" ht="16.5">
      <c r="A157" s="17" t="s">
        <v>174</v>
      </c>
      <c r="B157" s="6">
        <v>1</v>
      </c>
      <c r="C157" s="6">
        <v>13</v>
      </c>
      <c r="D157" s="18" t="s">
        <v>262</v>
      </c>
      <c r="E157" s="22" t="s">
        <v>483</v>
      </c>
      <c r="F157" s="22" t="s">
        <v>448</v>
      </c>
      <c r="G157" s="33" t="s">
        <v>549</v>
      </c>
      <c r="H157" s="125" t="s">
        <v>304</v>
      </c>
    </row>
    <row r="158" spans="1:8" ht="16.5">
      <c r="A158" s="21" t="s">
        <v>402</v>
      </c>
      <c r="B158" s="28">
        <v>1</v>
      </c>
      <c r="C158" s="28">
        <v>13</v>
      </c>
      <c r="D158" s="22" t="s">
        <v>265</v>
      </c>
      <c r="E158" s="22" t="s">
        <v>483</v>
      </c>
      <c r="F158" s="22" t="s">
        <v>446</v>
      </c>
      <c r="G158" s="33" t="s">
        <v>549</v>
      </c>
      <c r="H158" s="122" t="s">
        <v>382</v>
      </c>
    </row>
    <row r="159" spans="1:8" ht="16.5">
      <c r="A159" s="171" t="s">
        <v>175</v>
      </c>
      <c r="B159" s="6">
        <v>1</v>
      </c>
      <c r="C159" s="6">
        <v>12</v>
      </c>
      <c r="D159" s="18" t="s">
        <v>262</v>
      </c>
      <c r="E159" s="22" t="s">
        <v>483</v>
      </c>
      <c r="F159" s="22" t="s">
        <v>446</v>
      </c>
      <c r="G159" s="33" t="s">
        <v>549</v>
      </c>
      <c r="H159" s="125" t="s">
        <v>495</v>
      </c>
    </row>
    <row r="160" spans="1:8" ht="16.5">
      <c r="A160" s="17" t="s">
        <v>289</v>
      </c>
      <c r="B160" s="6">
        <v>1</v>
      </c>
      <c r="C160" s="6">
        <v>12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5" t="s">
        <v>304</v>
      </c>
    </row>
    <row r="161" spans="1:8" ht="16.5">
      <c r="A161" s="17" t="s">
        <v>278</v>
      </c>
      <c r="B161" s="6">
        <v>1</v>
      </c>
      <c r="C161" s="6">
        <v>13</v>
      </c>
      <c r="D161" s="18" t="s">
        <v>262</v>
      </c>
      <c r="E161" s="22" t="s">
        <v>483</v>
      </c>
      <c r="F161" s="22" t="s">
        <v>448</v>
      </c>
      <c r="G161" s="33" t="s">
        <v>524</v>
      </c>
      <c r="H161" s="125" t="s">
        <v>304</v>
      </c>
    </row>
    <row r="162" spans="1:8" ht="16.5">
      <c r="A162" s="17" t="s">
        <v>277</v>
      </c>
      <c r="B162" s="6">
        <v>1</v>
      </c>
      <c r="C162" s="6">
        <v>24</v>
      </c>
      <c r="D162" s="18" t="s">
        <v>262</v>
      </c>
      <c r="E162" s="22" t="s">
        <v>483</v>
      </c>
      <c r="F162" s="22" t="s">
        <v>446</v>
      </c>
      <c r="G162" s="33" t="s">
        <v>524</v>
      </c>
      <c r="H162" s="125" t="s">
        <v>286</v>
      </c>
    </row>
    <row r="163" spans="1:8" ht="16.5">
      <c r="A163" s="17" t="s">
        <v>279</v>
      </c>
      <c r="B163" s="6">
        <v>1</v>
      </c>
      <c r="C163" s="6">
        <v>24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304</v>
      </c>
    </row>
    <row r="164" spans="1:8" ht="16.5">
      <c r="A164" s="17" t="s">
        <v>276</v>
      </c>
      <c r="B164" s="6">
        <v>1</v>
      </c>
      <c r="C164" s="6">
        <v>12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285</v>
      </c>
    </row>
    <row r="165" spans="1:8" ht="16.5">
      <c r="A165" s="15" t="s">
        <v>345</v>
      </c>
      <c r="B165" s="34">
        <v>1</v>
      </c>
      <c r="C165" s="34">
        <v>13</v>
      </c>
      <c r="D165" s="170" t="s">
        <v>124</v>
      </c>
      <c r="E165" s="13" t="s">
        <v>124</v>
      </c>
      <c r="F165" s="13" t="s">
        <v>124</v>
      </c>
      <c r="G165" s="50" t="s">
        <v>524</v>
      </c>
      <c r="H165" s="122" t="s">
        <v>124</v>
      </c>
    </row>
    <row r="166" spans="1:8" ht="16.5">
      <c r="A166" s="17" t="s">
        <v>280</v>
      </c>
      <c r="B166" s="6">
        <v>1</v>
      </c>
      <c r="C166" s="6">
        <v>25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284</v>
      </c>
      <c r="B167" s="6">
        <v>1</v>
      </c>
      <c r="C167" s="6">
        <v>13</v>
      </c>
      <c r="D167" s="18" t="s">
        <v>265</v>
      </c>
      <c r="E167" s="22" t="s">
        <v>483</v>
      </c>
      <c r="F167" s="22" t="s">
        <v>448</v>
      </c>
      <c r="G167" s="33" t="s">
        <v>524</v>
      </c>
      <c r="H167" s="125" t="s">
        <v>304</v>
      </c>
    </row>
    <row r="168" spans="1:8" ht="16.5">
      <c r="A168" s="17" t="s">
        <v>372</v>
      </c>
      <c r="B168" s="6">
        <v>1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290</v>
      </c>
      <c r="B169" s="6">
        <v>1</v>
      </c>
      <c r="C169" s="6">
        <v>10</v>
      </c>
      <c r="D169" s="18" t="s">
        <v>262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281</v>
      </c>
      <c r="B170" s="6">
        <v>1</v>
      </c>
      <c r="C170" s="6">
        <v>22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304</v>
      </c>
    </row>
    <row r="171" spans="1:8" ht="16.5">
      <c r="A171" s="17" t="s">
        <v>282</v>
      </c>
      <c r="B171" s="6">
        <v>2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524</v>
      </c>
      <c r="H171" s="125" t="s">
        <v>285</v>
      </c>
    </row>
    <row r="172" spans="1:8" ht="16.5">
      <c r="A172" s="21" t="s">
        <v>402</v>
      </c>
      <c r="B172" s="28">
        <v>1</v>
      </c>
      <c r="C172" s="28">
        <v>13</v>
      </c>
      <c r="D172" s="22" t="s">
        <v>124</v>
      </c>
      <c r="E172" s="22" t="s">
        <v>124</v>
      </c>
      <c r="F172" s="22" t="s">
        <v>124</v>
      </c>
      <c r="G172" s="33" t="s">
        <v>524</v>
      </c>
      <c r="H172" s="122" t="s">
        <v>124</v>
      </c>
    </row>
    <row r="173" spans="1:8" ht="16.5">
      <c r="A173" s="17" t="s">
        <v>356</v>
      </c>
      <c r="B173" s="6">
        <v>2</v>
      </c>
      <c r="C173" s="6">
        <v>12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495</v>
      </c>
    </row>
    <row r="174" spans="1:8" ht="16.5">
      <c r="A174" s="17" t="s">
        <v>359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5" t="s">
        <v>382</v>
      </c>
    </row>
    <row r="175" spans="1:8" ht="16.5">
      <c r="A175" s="37" t="s">
        <v>361</v>
      </c>
      <c r="B175" s="38">
        <v>1</v>
      </c>
      <c r="C175" s="38">
        <v>10</v>
      </c>
      <c r="D175" s="39" t="s">
        <v>262</v>
      </c>
      <c r="E175" s="13" t="s">
        <v>483</v>
      </c>
      <c r="F175" s="13" t="s">
        <v>446</v>
      </c>
      <c r="G175" s="50" t="s">
        <v>544</v>
      </c>
      <c r="H175" s="125" t="s">
        <v>382</v>
      </c>
    </row>
    <row r="176" spans="1:8" ht="16.5">
      <c r="A176" s="21" t="s">
        <v>430</v>
      </c>
      <c r="B176" s="28">
        <v>1</v>
      </c>
      <c r="C176" s="28">
        <v>12</v>
      </c>
      <c r="D176" s="22" t="s">
        <v>265</v>
      </c>
      <c r="E176" s="22" t="s">
        <v>483</v>
      </c>
      <c r="F176" s="22" t="s">
        <v>446</v>
      </c>
      <c r="G176" s="33" t="s">
        <v>544</v>
      </c>
      <c r="H176" s="122" t="s">
        <v>317</v>
      </c>
    </row>
    <row r="177" spans="1:8" ht="16.5">
      <c r="A177" s="21" t="s">
        <v>355</v>
      </c>
      <c r="B177" s="6">
        <v>1</v>
      </c>
      <c r="C177" s="28">
        <v>20</v>
      </c>
      <c r="D177" s="18" t="s">
        <v>265</v>
      </c>
      <c r="E177" s="22" t="s">
        <v>483</v>
      </c>
      <c r="F177" s="48" t="s">
        <v>446</v>
      </c>
      <c r="G177" s="33" t="s">
        <v>544</v>
      </c>
      <c r="H177" s="119" t="s">
        <v>286</v>
      </c>
    </row>
    <row r="178" spans="1:8" ht="16.5">
      <c r="A178" s="17" t="s">
        <v>374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286</v>
      </c>
    </row>
    <row r="179" spans="1:8" ht="16.5">
      <c r="A179" s="21" t="s">
        <v>406</v>
      </c>
      <c r="B179" s="28">
        <v>1</v>
      </c>
      <c r="C179" s="28">
        <v>12</v>
      </c>
      <c r="D179" s="32" t="s">
        <v>124</v>
      </c>
      <c r="E179" s="32" t="s">
        <v>124</v>
      </c>
      <c r="F179" s="32" t="s">
        <v>124</v>
      </c>
      <c r="G179" s="33" t="s">
        <v>544</v>
      </c>
      <c r="H179" s="123" t="s">
        <v>124</v>
      </c>
    </row>
    <row r="180" spans="1:8" ht="16.5">
      <c r="A180" s="17" t="s">
        <v>357</v>
      </c>
      <c r="B180" s="6">
        <v>1</v>
      </c>
      <c r="C180" s="6">
        <v>12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301</v>
      </c>
    </row>
    <row r="181" spans="1:8" ht="16.5">
      <c r="A181" s="17" t="s">
        <v>360</v>
      </c>
      <c r="B181" s="6">
        <v>1</v>
      </c>
      <c r="C181" s="6">
        <v>13</v>
      </c>
      <c r="D181" s="18" t="s">
        <v>265</v>
      </c>
      <c r="E181" s="22" t="s">
        <v>483</v>
      </c>
      <c r="F181" s="22" t="s">
        <v>448</v>
      </c>
      <c r="G181" s="33" t="s">
        <v>544</v>
      </c>
      <c r="H181" s="125" t="s">
        <v>304</v>
      </c>
    </row>
    <row r="182" spans="1:8" ht="16.5">
      <c r="A182" s="17" t="s">
        <v>383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448</v>
      </c>
      <c r="G182" s="33" t="s">
        <v>544</v>
      </c>
      <c r="H182" s="125" t="s">
        <v>304</v>
      </c>
    </row>
    <row r="183" spans="1:8" ht="16.5">
      <c r="A183" s="17" t="s">
        <v>376</v>
      </c>
      <c r="B183" s="6">
        <v>1</v>
      </c>
      <c r="C183" s="6">
        <v>21</v>
      </c>
      <c r="D183" s="18" t="s">
        <v>265</v>
      </c>
      <c r="E183" s="22" t="s">
        <v>483</v>
      </c>
      <c r="F183" s="22" t="s">
        <v>446</v>
      </c>
      <c r="G183" s="33" t="s">
        <v>544</v>
      </c>
      <c r="H183" s="125" t="s">
        <v>382</v>
      </c>
    </row>
    <row r="184" spans="1:8" ht="16.5">
      <c r="A184" s="17" t="s">
        <v>379</v>
      </c>
      <c r="B184" s="6">
        <v>1</v>
      </c>
      <c r="C184" s="6">
        <v>12</v>
      </c>
      <c r="D184" s="18" t="s">
        <v>262</v>
      </c>
      <c r="E184" s="22" t="s">
        <v>483</v>
      </c>
      <c r="F184" s="22" t="s">
        <v>446</v>
      </c>
      <c r="G184" s="33" t="s">
        <v>544</v>
      </c>
      <c r="H184" s="125" t="s">
        <v>286</v>
      </c>
    </row>
    <row r="185" spans="1:8" ht="16.5">
      <c r="A185" s="21" t="s">
        <v>410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448</v>
      </c>
      <c r="G185" s="33" t="s">
        <v>527</v>
      </c>
      <c r="H185" s="125" t="s">
        <v>304</v>
      </c>
    </row>
    <row r="186" spans="1:8" ht="16.5">
      <c r="A186" s="21" t="s">
        <v>411</v>
      </c>
      <c r="B186" s="6">
        <v>1</v>
      </c>
      <c r="C186" s="28">
        <v>13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317</v>
      </c>
    </row>
    <row r="187" spans="1:8" ht="16.5">
      <c r="A187" s="21" t="s">
        <v>412</v>
      </c>
      <c r="B187" s="6">
        <v>1</v>
      </c>
      <c r="C187" s="28"/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426</v>
      </c>
    </row>
    <row r="188" spans="1:8" ht="16.5">
      <c r="A188" s="21" t="s">
        <v>413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494</v>
      </c>
    </row>
    <row r="189" spans="1:8" ht="16.5">
      <c r="A189" s="21" t="s">
        <v>414</v>
      </c>
      <c r="B189" s="6">
        <v>1</v>
      </c>
      <c r="C189" s="28">
        <v>12</v>
      </c>
      <c r="D189" s="18" t="s">
        <v>265</v>
      </c>
      <c r="E189" s="22" t="s">
        <v>483</v>
      </c>
      <c r="F189" s="48" t="s">
        <v>446</v>
      </c>
      <c r="G189" s="33" t="s">
        <v>527</v>
      </c>
      <c r="H189" s="119" t="s">
        <v>306</v>
      </c>
    </row>
    <row r="190" spans="1:8" ht="16.5">
      <c r="A190" s="21" t="s">
        <v>415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382</v>
      </c>
    </row>
    <row r="191" spans="1:8" ht="16.5">
      <c r="A191" s="21" t="s">
        <v>416</v>
      </c>
      <c r="B191" s="6">
        <v>1</v>
      </c>
      <c r="C191" s="28">
        <v>13</v>
      </c>
      <c r="D191" s="18" t="s">
        <v>265</v>
      </c>
      <c r="E191" s="22" t="s">
        <v>483</v>
      </c>
      <c r="F191" s="19" t="s">
        <v>446</v>
      </c>
      <c r="G191" s="33" t="s">
        <v>527</v>
      </c>
      <c r="H191" s="119" t="s">
        <v>317</v>
      </c>
    </row>
    <row r="192" spans="1:8" ht="16.5">
      <c r="A192" s="15" t="s">
        <v>417</v>
      </c>
      <c r="B192" s="38">
        <v>1</v>
      </c>
      <c r="C192" s="34"/>
      <c r="D192" s="173" t="s">
        <v>124</v>
      </c>
      <c r="E192" s="170" t="s">
        <v>124</v>
      </c>
      <c r="F192" s="173" t="s">
        <v>446</v>
      </c>
      <c r="G192" s="50" t="s">
        <v>527</v>
      </c>
      <c r="H192" s="177" t="s">
        <v>124</v>
      </c>
    </row>
    <row r="193" spans="1:8" ht="16.5">
      <c r="A193" s="15" t="s">
        <v>425</v>
      </c>
      <c r="B193" s="38">
        <v>1</v>
      </c>
      <c r="C193" s="34">
        <v>12</v>
      </c>
      <c r="D193" s="39" t="s">
        <v>265</v>
      </c>
      <c r="E193" s="13" t="s">
        <v>483</v>
      </c>
      <c r="F193" s="172" t="s">
        <v>446</v>
      </c>
      <c r="G193" s="50" t="s">
        <v>527</v>
      </c>
      <c r="H193" s="174" t="s">
        <v>301</v>
      </c>
    </row>
    <row r="194" spans="1:8" ht="16.5">
      <c r="A194" s="15" t="s">
        <v>427</v>
      </c>
      <c r="B194" s="38">
        <v>1</v>
      </c>
      <c r="C194" s="34">
        <v>12</v>
      </c>
      <c r="D194" s="39" t="s">
        <v>265</v>
      </c>
      <c r="E194" s="13" t="s">
        <v>483</v>
      </c>
      <c r="F194" s="172" t="s">
        <v>446</v>
      </c>
      <c r="G194" s="50" t="s">
        <v>527</v>
      </c>
      <c r="H194" s="176" t="s">
        <v>304</v>
      </c>
    </row>
    <row r="195" spans="1:8" ht="16.5">
      <c r="A195" s="15" t="s">
        <v>409</v>
      </c>
      <c r="B195" s="34">
        <v>2</v>
      </c>
      <c r="C195" s="175">
        <v>10</v>
      </c>
      <c r="D195" s="170" t="s">
        <v>124</v>
      </c>
      <c r="E195" s="13" t="s">
        <v>124</v>
      </c>
      <c r="F195" s="13" t="s">
        <v>124</v>
      </c>
      <c r="G195" s="50" t="s">
        <v>527</v>
      </c>
      <c r="H195" s="131" t="s">
        <v>124</v>
      </c>
    </row>
    <row r="196" spans="1:8" ht="16.5">
      <c r="A196" s="15" t="s">
        <v>418</v>
      </c>
      <c r="B196" s="38">
        <v>1</v>
      </c>
      <c r="C196" s="34">
        <v>12</v>
      </c>
      <c r="D196" s="39" t="s">
        <v>265</v>
      </c>
      <c r="E196" s="13" t="s">
        <v>483</v>
      </c>
      <c r="F196" s="172" t="s">
        <v>446</v>
      </c>
      <c r="G196" s="50" t="s">
        <v>527</v>
      </c>
      <c r="H196" s="174" t="s">
        <v>492</v>
      </c>
    </row>
    <row r="197" spans="1:8" ht="16.5">
      <c r="A197" s="15" t="s">
        <v>419</v>
      </c>
      <c r="B197" s="38">
        <v>1</v>
      </c>
      <c r="C197" s="34">
        <v>11</v>
      </c>
      <c r="D197" s="39" t="s">
        <v>265</v>
      </c>
      <c r="E197" s="13" t="s">
        <v>483</v>
      </c>
      <c r="F197" s="172" t="s">
        <v>446</v>
      </c>
      <c r="G197" s="50" t="s">
        <v>527</v>
      </c>
      <c r="H197" s="174" t="s">
        <v>426</v>
      </c>
    </row>
    <row r="198" spans="1:8" ht="16.5">
      <c r="A198" s="15" t="s">
        <v>429</v>
      </c>
      <c r="B198" s="38">
        <v>1</v>
      </c>
      <c r="C198" s="34">
        <v>11</v>
      </c>
      <c r="D198" s="39" t="s">
        <v>265</v>
      </c>
      <c r="E198" s="13" t="s">
        <v>483</v>
      </c>
      <c r="F198" s="172" t="s">
        <v>446</v>
      </c>
      <c r="G198" s="50" t="s">
        <v>527</v>
      </c>
      <c r="H198" s="174" t="s">
        <v>286</v>
      </c>
    </row>
    <row r="199" spans="1:8" ht="16.5">
      <c r="A199" s="15" t="s">
        <v>420</v>
      </c>
      <c r="B199" s="38">
        <v>1</v>
      </c>
      <c r="C199" s="34">
        <v>12</v>
      </c>
      <c r="D199" s="39" t="s">
        <v>265</v>
      </c>
      <c r="E199" s="13" t="s">
        <v>483</v>
      </c>
      <c r="F199" s="173" t="s">
        <v>446</v>
      </c>
      <c r="G199" s="50" t="s">
        <v>527</v>
      </c>
      <c r="H199" s="174" t="s">
        <v>317</v>
      </c>
    </row>
    <row r="200" spans="1:8" ht="16.5">
      <c r="A200" s="15" t="s">
        <v>619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1" t="s">
        <v>671</v>
      </c>
    </row>
    <row r="201" spans="1:8" ht="16.5">
      <c r="A201" s="15" t="s">
        <v>620</v>
      </c>
      <c r="B201" s="34">
        <v>1</v>
      </c>
      <c r="C201" s="34"/>
      <c r="D201" s="13" t="s">
        <v>265</v>
      </c>
      <c r="E201" s="13" t="s">
        <v>483</v>
      </c>
      <c r="F201" s="13" t="s">
        <v>448</v>
      </c>
      <c r="G201" s="50" t="s">
        <v>631</v>
      </c>
      <c r="H201" s="131" t="s">
        <v>304</v>
      </c>
    </row>
    <row r="202" spans="1:8" ht="16.5">
      <c r="A202" s="15" t="s">
        <v>621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1" t="s">
        <v>304</v>
      </c>
    </row>
    <row r="203" spans="1:8" ht="16.5">
      <c r="A203" s="15" t="s">
        <v>618</v>
      </c>
      <c r="B203" s="34">
        <v>2</v>
      </c>
      <c r="C203" s="34"/>
      <c r="D203" s="13" t="s">
        <v>262</v>
      </c>
      <c r="E203" s="13" t="s">
        <v>483</v>
      </c>
      <c r="F203" s="13" t="s">
        <v>446</v>
      </c>
      <c r="G203" s="50" t="s">
        <v>631</v>
      </c>
      <c r="H203" s="131" t="s">
        <v>426</v>
      </c>
    </row>
    <row r="204" spans="1:8" ht="16.5">
      <c r="A204" s="15" t="s">
        <v>638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1" t="s">
        <v>301</v>
      </c>
    </row>
    <row r="205" spans="1:8" ht="16.5">
      <c r="A205" s="15" t="s">
        <v>668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1" t="s">
        <v>286</v>
      </c>
    </row>
    <row r="206" spans="1:8" ht="16.5">
      <c r="A206" s="15" t="s">
        <v>679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1" t="s">
        <v>304</v>
      </c>
    </row>
    <row r="207" spans="1:8" ht="16.5">
      <c r="A207" s="15" t="s">
        <v>624</v>
      </c>
      <c r="B207" s="34">
        <v>2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1" t="s">
        <v>304</v>
      </c>
    </row>
    <row r="208" spans="1:8" ht="16.5">
      <c r="A208" s="15" t="s">
        <v>623</v>
      </c>
      <c r="B208" s="34">
        <v>2</v>
      </c>
      <c r="C208" s="34"/>
      <c r="D208" s="13" t="s">
        <v>262</v>
      </c>
      <c r="E208" s="13" t="s">
        <v>483</v>
      </c>
      <c r="F208" s="13" t="s">
        <v>446</v>
      </c>
      <c r="G208" s="50" t="s">
        <v>631</v>
      </c>
      <c r="H208" s="131" t="s">
        <v>286</v>
      </c>
    </row>
    <row r="209" spans="1:8" ht="16.5">
      <c r="A209" s="15" t="s">
        <v>636</v>
      </c>
      <c r="B209" s="34">
        <v>1</v>
      </c>
      <c r="C209" s="34"/>
      <c r="D209" s="13" t="s">
        <v>265</v>
      </c>
      <c r="E209" s="13" t="s">
        <v>483</v>
      </c>
      <c r="F209" s="13" t="s">
        <v>446</v>
      </c>
      <c r="G209" s="50" t="s">
        <v>631</v>
      </c>
      <c r="H209" s="131" t="s">
        <v>286</v>
      </c>
    </row>
    <row r="210" spans="1:8" ht="16.5">
      <c r="A210" s="15" t="s">
        <v>626</v>
      </c>
      <c r="B210" s="34">
        <v>1</v>
      </c>
      <c r="C210" s="34"/>
      <c r="D210" s="13" t="s">
        <v>265</v>
      </c>
      <c r="E210" s="13" t="s">
        <v>483</v>
      </c>
      <c r="F210" s="13" t="s">
        <v>446</v>
      </c>
      <c r="G210" s="50" t="s">
        <v>631</v>
      </c>
      <c r="H210" s="131" t="s">
        <v>286</v>
      </c>
    </row>
    <row r="211" spans="1:8" ht="16.5">
      <c r="A211" s="15" t="s">
        <v>685</v>
      </c>
      <c r="B211" s="34">
        <v>1</v>
      </c>
      <c r="C211" s="34"/>
      <c r="D211" s="13" t="s">
        <v>265</v>
      </c>
      <c r="E211" s="13" t="s">
        <v>483</v>
      </c>
      <c r="F211" s="13" t="s">
        <v>446</v>
      </c>
      <c r="G211" s="50" t="s">
        <v>631</v>
      </c>
      <c r="H211" s="131" t="s">
        <v>304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7" t="s">
        <v>13</v>
      </c>
    </row>
    <row r="4" spans="1:3">
      <c r="A4" s="40" t="s">
        <v>38</v>
      </c>
      <c r="B4" s="36">
        <v>1</v>
      </c>
      <c r="C4" s="126" t="s">
        <v>13</v>
      </c>
    </row>
    <row r="5" spans="1:3">
      <c r="A5" s="23" t="s">
        <v>333</v>
      </c>
      <c r="B5" s="120">
        <v>1</v>
      </c>
      <c r="C5" s="126" t="s">
        <v>13</v>
      </c>
    </row>
    <row r="6" spans="1:3">
      <c r="A6" s="23" t="s">
        <v>260</v>
      </c>
      <c r="B6" s="120">
        <v>1</v>
      </c>
      <c r="C6" s="126" t="s">
        <v>13</v>
      </c>
    </row>
    <row r="7" spans="1:3">
      <c r="A7" s="23" t="s">
        <v>344</v>
      </c>
      <c r="B7" s="120">
        <v>1</v>
      </c>
      <c r="C7" s="126" t="s">
        <v>13</v>
      </c>
    </row>
    <row r="8" spans="1:3">
      <c r="A8" s="23" t="s">
        <v>364</v>
      </c>
      <c r="B8" s="120">
        <v>2</v>
      </c>
      <c r="C8" s="126" t="s">
        <v>13</v>
      </c>
    </row>
    <row r="9" spans="1:3">
      <c r="A9" s="23" t="s">
        <v>365</v>
      </c>
      <c r="B9" s="120">
        <v>3</v>
      </c>
      <c r="C9" s="126" t="s">
        <v>13</v>
      </c>
    </row>
    <row r="10" spans="1:3">
      <c r="A10" s="23" t="s">
        <v>600</v>
      </c>
      <c r="B10" s="120">
        <v>1</v>
      </c>
      <c r="C10" s="126" t="s">
        <v>13</v>
      </c>
    </row>
    <row r="11" spans="1:3">
      <c r="A11" s="23" t="s">
        <v>601</v>
      </c>
      <c r="B11" s="120">
        <v>2</v>
      </c>
      <c r="C11" s="126" t="s">
        <v>13</v>
      </c>
    </row>
    <row r="12" spans="1:3">
      <c r="A12" s="23" t="s">
        <v>273</v>
      </c>
      <c r="B12" s="120">
        <v>1</v>
      </c>
      <c r="C12" s="126" t="s">
        <v>13</v>
      </c>
    </row>
    <row r="13" spans="1:3">
      <c r="A13" s="23" t="s">
        <v>602</v>
      </c>
      <c r="B13" s="120">
        <v>1</v>
      </c>
      <c r="C13" s="126" t="s">
        <v>13</v>
      </c>
    </row>
    <row r="14" spans="1:3">
      <c r="A14" s="23" t="s">
        <v>178</v>
      </c>
      <c r="B14" s="120">
        <v>1</v>
      </c>
      <c r="C14" s="126" t="s">
        <v>13</v>
      </c>
    </row>
    <row r="15" spans="1:3">
      <c r="A15" s="23" t="s">
        <v>253</v>
      </c>
      <c r="B15" s="120">
        <v>1</v>
      </c>
      <c r="C15" s="126" t="s">
        <v>13</v>
      </c>
    </row>
    <row r="16" spans="1:3">
      <c r="A16" s="23" t="s">
        <v>41</v>
      </c>
      <c r="B16" s="120">
        <v>1</v>
      </c>
      <c r="C16" s="126" t="s">
        <v>13</v>
      </c>
    </row>
    <row r="17" spans="1:3">
      <c r="A17" s="23" t="s">
        <v>252</v>
      </c>
      <c r="B17" s="120">
        <v>1</v>
      </c>
      <c r="C17" s="126" t="s">
        <v>13</v>
      </c>
    </row>
    <row r="18" spans="1:3">
      <c r="A18" s="23" t="s">
        <v>259</v>
      </c>
      <c r="B18" s="120">
        <v>1</v>
      </c>
      <c r="C18" s="126" t="s">
        <v>13</v>
      </c>
    </row>
    <row r="19" spans="1:3">
      <c r="A19" s="23" t="s">
        <v>451</v>
      </c>
      <c r="B19" s="120">
        <v>2</v>
      </c>
      <c r="C19" s="126" t="s">
        <v>13</v>
      </c>
    </row>
    <row r="20" spans="1:3">
      <c r="A20" s="23" t="s">
        <v>44</v>
      </c>
      <c r="B20" s="120">
        <v>1</v>
      </c>
      <c r="C20" s="126" t="s">
        <v>13</v>
      </c>
    </row>
    <row r="21" spans="1:3">
      <c r="A21" s="23" t="s">
        <v>80</v>
      </c>
      <c r="B21" s="120">
        <v>1</v>
      </c>
      <c r="C21" s="126" t="s">
        <v>13</v>
      </c>
    </row>
    <row r="22" spans="1:3">
      <c r="A22" s="23" t="s">
        <v>603</v>
      </c>
      <c r="B22" s="120">
        <v>1</v>
      </c>
      <c r="C22" s="126" t="s">
        <v>13</v>
      </c>
    </row>
    <row r="23" spans="1:3">
      <c r="A23" s="23" t="s">
        <v>47</v>
      </c>
      <c r="B23" s="120">
        <v>1</v>
      </c>
      <c r="C23" s="126" t="s">
        <v>13</v>
      </c>
    </row>
    <row r="24" spans="1:3">
      <c r="A24" s="23" t="s">
        <v>604</v>
      </c>
      <c r="B24" s="120">
        <v>1</v>
      </c>
      <c r="C24" s="126" t="s">
        <v>13</v>
      </c>
    </row>
    <row r="25" spans="1:3">
      <c r="A25" s="23" t="s">
        <v>18</v>
      </c>
      <c r="B25" s="120">
        <v>1</v>
      </c>
      <c r="C25" s="126" t="s">
        <v>13</v>
      </c>
    </row>
    <row r="26" spans="1:3">
      <c r="A26" s="23" t="s">
        <v>605</v>
      </c>
      <c r="B26" s="120">
        <v>2</v>
      </c>
      <c r="C26" s="126" t="s">
        <v>13</v>
      </c>
    </row>
    <row r="27" spans="1:3">
      <c r="A27" s="23" t="s">
        <v>257</v>
      </c>
      <c r="B27" s="120">
        <v>1</v>
      </c>
      <c r="C27" s="126" t="s">
        <v>13</v>
      </c>
    </row>
    <row r="28" spans="1:3">
      <c r="A28" s="23" t="s">
        <v>20</v>
      </c>
      <c r="B28" s="120">
        <v>1</v>
      </c>
      <c r="C28" s="126" t="s">
        <v>13</v>
      </c>
    </row>
    <row r="29" spans="1:3">
      <c r="A29" s="23" t="s">
        <v>128</v>
      </c>
      <c r="B29" s="120">
        <v>1</v>
      </c>
      <c r="C29" s="126" t="s">
        <v>13</v>
      </c>
    </row>
    <row r="30" spans="1:3">
      <c r="A30" s="23" t="s">
        <v>52</v>
      </c>
      <c r="B30" s="120">
        <v>1</v>
      </c>
      <c r="C30" s="126" t="s">
        <v>13</v>
      </c>
    </row>
    <row r="31" spans="1:3">
      <c r="A31" s="23" t="s">
        <v>255</v>
      </c>
      <c r="B31" s="120">
        <v>1</v>
      </c>
      <c r="C31" s="126" t="s">
        <v>13</v>
      </c>
    </row>
    <row r="32" spans="1:3">
      <c r="A32" s="40" t="s">
        <v>676</v>
      </c>
      <c r="B32" s="36">
        <v>1</v>
      </c>
      <c r="C32" s="126" t="s">
        <v>13</v>
      </c>
    </row>
    <row r="33" spans="1:3">
      <c r="A33" s="23" t="s">
        <v>452</v>
      </c>
      <c r="B33" s="120">
        <v>1</v>
      </c>
      <c r="C33" s="126" t="s">
        <v>13</v>
      </c>
    </row>
    <row r="34" spans="1:3">
      <c r="A34" s="23" t="s">
        <v>334</v>
      </c>
      <c r="B34" s="120">
        <v>1</v>
      </c>
      <c r="C34" s="126" t="s">
        <v>13</v>
      </c>
    </row>
    <row r="35" spans="1:3">
      <c r="A35" s="23" t="s">
        <v>23</v>
      </c>
      <c r="B35" s="120">
        <v>1</v>
      </c>
      <c r="C35" s="126" t="s">
        <v>13</v>
      </c>
    </row>
    <row r="36" spans="1:3">
      <c r="A36" s="23" t="s">
        <v>606</v>
      </c>
      <c r="B36" s="120">
        <v>2</v>
      </c>
      <c r="C36" s="126" t="s">
        <v>13</v>
      </c>
    </row>
    <row r="37" spans="1:3">
      <c r="A37" s="23" t="s">
        <v>607</v>
      </c>
      <c r="B37" s="120">
        <v>3</v>
      </c>
      <c r="C37" s="126" t="s">
        <v>13</v>
      </c>
    </row>
    <row r="38" spans="1:3">
      <c r="A38" s="23" t="s">
        <v>258</v>
      </c>
      <c r="B38" s="120">
        <v>1</v>
      </c>
      <c r="C38" s="126" t="s">
        <v>13</v>
      </c>
    </row>
    <row r="39" spans="1:3">
      <c r="A39" s="23" t="s">
        <v>25</v>
      </c>
      <c r="B39" s="120">
        <v>1</v>
      </c>
      <c r="C39" s="126" t="s">
        <v>13</v>
      </c>
    </row>
    <row r="40" spans="1:3">
      <c r="A40" s="23" t="s">
        <v>399</v>
      </c>
      <c r="B40" s="120">
        <v>1</v>
      </c>
      <c r="C40" s="126" t="s">
        <v>13</v>
      </c>
    </row>
    <row r="41" spans="1:3">
      <c r="A41" s="23" t="s">
        <v>608</v>
      </c>
      <c r="B41" s="120">
        <v>1</v>
      </c>
      <c r="C41" s="126" t="s">
        <v>13</v>
      </c>
    </row>
    <row r="42" spans="1:3">
      <c r="A42" s="23" t="s">
        <v>76</v>
      </c>
      <c r="B42" s="120">
        <v>1</v>
      </c>
      <c r="C42" s="126" t="s">
        <v>13</v>
      </c>
    </row>
    <row r="43" spans="1:3">
      <c r="A43" s="23" t="s">
        <v>609</v>
      </c>
      <c r="B43" s="120">
        <v>2</v>
      </c>
      <c r="C43" s="126" t="s">
        <v>13</v>
      </c>
    </row>
    <row r="44" spans="1:3">
      <c r="A44" s="23" t="s">
        <v>125</v>
      </c>
      <c r="B44" s="120">
        <v>1</v>
      </c>
      <c r="C44" s="126" t="s">
        <v>13</v>
      </c>
    </row>
    <row r="45" spans="1:3">
      <c r="A45" s="23" t="s">
        <v>31</v>
      </c>
      <c r="B45" s="120">
        <v>1</v>
      </c>
      <c r="C45" s="126" t="s">
        <v>13</v>
      </c>
    </row>
    <row r="46" spans="1:3">
      <c r="A46" s="23" t="s">
        <v>610</v>
      </c>
      <c r="B46" s="120">
        <v>2</v>
      </c>
      <c r="C46" s="126" t="s">
        <v>13</v>
      </c>
    </row>
    <row r="47" spans="1:3">
      <c r="A47" s="23" t="s">
        <v>34</v>
      </c>
      <c r="B47" s="120">
        <v>1</v>
      </c>
      <c r="C47" s="126" t="s">
        <v>13</v>
      </c>
    </row>
    <row r="48" spans="1:3">
      <c r="A48" s="23" t="s">
        <v>402</v>
      </c>
      <c r="B48" s="120">
        <v>1</v>
      </c>
      <c r="C48" s="126" t="s">
        <v>13</v>
      </c>
    </row>
    <row r="49" spans="1:3">
      <c r="A49" s="23" t="s">
        <v>261</v>
      </c>
      <c r="B49" s="120">
        <v>1</v>
      </c>
      <c r="C49" s="126" t="s">
        <v>13</v>
      </c>
    </row>
    <row r="50" spans="1:3">
      <c r="A50" s="23" t="s">
        <v>295</v>
      </c>
      <c r="B50" s="120">
        <v>1</v>
      </c>
      <c r="C50" s="126" t="s">
        <v>13</v>
      </c>
    </row>
    <row r="51" spans="1:3">
      <c r="A51" s="23" t="s">
        <v>400</v>
      </c>
      <c r="B51" s="120">
        <v>1</v>
      </c>
      <c r="C51" s="126" t="s">
        <v>13</v>
      </c>
    </row>
    <row r="52" spans="1:3">
      <c r="A52" s="23" t="s">
        <v>401</v>
      </c>
      <c r="B52" s="120">
        <v>2</v>
      </c>
      <c r="C52" s="126" t="s">
        <v>13</v>
      </c>
    </row>
    <row r="53" spans="1:3">
      <c r="A53" s="23" t="s">
        <v>454</v>
      </c>
      <c r="B53" s="120">
        <v>3</v>
      </c>
      <c r="C53" s="126" t="s">
        <v>13</v>
      </c>
    </row>
    <row r="54" spans="1:3">
      <c r="A54" s="23" t="s">
        <v>453</v>
      </c>
      <c r="B54" s="120">
        <v>4</v>
      </c>
      <c r="C54" s="126" t="s">
        <v>13</v>
      </c>
    </row>
    <row r="55" spans="1:3">
      <c r="A55" s="40" t="s">
        <v>681</v>
      </c>
      <c r="B55" s="36">
        <v>1</v>
      </c>
      <c r="C55" s="126" t="s">
        <v>39</v>
      </c>
    </row>
    <row r="56" spans="1:3">
      <c r="A56" s="40" t="s">
        <v>684</v>
      </c>
      <c r="B56" s="36">
        <v>1</v>
      </c>
      <c r="C56" s="126" t="s">
        <v>39</v>
      </c>
    </row>
    <row r="57" spans="1:3">
      <c r="A57" s="40" t="s">
        <v>620</v>
      </c>
      <c r="B57" s="36">
        <v>1</v>
      </c>
      <c r="C57" s="126" t="s">
        <v>39</v>
      </c>
    </row>
    <row r="58" spans="1:3">
      <c r="A58" s="23" t="s">
        <v>386</v>
      </c>
      <c r="B58" s="120">
        <v>1</v>
      </c>
      <c r="C58" s="126" t="s">
        <v>39</v>
      </c>
    </row>
    <row r="59" spans="1:3">
      <c r="A59" s="40" t="s">
        <v>621</v>
      </c>
      <c r="B59" s="36">
        <v>1</v>
      </c>
      <c r="C59" s="126" t="s">
        <v>39</v>
      </c>
    </row>
    <row r="60" spans="1:3">
      <c r="A60" s="23" t="s">
        <v>599</v>
      </c>
      <c r="B60" s="120">
        <v>2</v>
      </c>
      <c r="C60" s="126" t="s">
        <v>39</v>
      </c>
    </row>
    <row r="61" spans="1:3">
      <c r="A61" s="23" t="s">
        <v>433</v>
      </c>
      <c r="B61" s="120">
        <v>3</v>
      </c>
      <c r="C61" s="126" t="s">
        <v>39</v>
      </c>
    </row>
    <row r="62" spans="1:3">
      <c r="A62" s="23" t="s">
        <v>434</v>
      </c>
      <c r="B62" s="120">
        <v>4</v>
      </c>
      <c r="C62" s="126" t="s">
        <v>39</v>
      </c>
    </row>
    <row r="63" spans="1:3">
      <c r="A63" s="40" t="s">
        <v>682</v>
      </c>
      <c r="B63" s="36">
        <v>1</v>
      </c>
      <c r="C63" s="128" t="s">
        <v>39</v>
      </c>
    </row>
    <row r="64" spans="1:3">
      <c r="A64" s="23" t="s">
        <v>345</v>
      </c>
      <c r="B64" s="120">
        <v>1</v>
      </c>
      <c r="C64" s="128" t="s">
        <v>39</v>
      </c>
    </row>
    <row r="65" spans="1:3">
      <c r="A65" s="40" t="s">
        <v>683</v>
      </c>
      <c r="B65" s="36">
        <v>1</v>
      </c>
      <c r="C65" s="128" t="s">
        <v>39</v>
      </c>
    </row>
    <row r="66" spans="1:3">
      <c r="A66" s="23" t="s">
        <v>417</v>
      </c>
      <c r="B66" s="120">
        <v>1</v>
      </c>
      <c r="C66" s="128" t="s">
        <v>39</v>
      </c>
    </row>
    <row r="67" spans="1:3">
      <c r="A67" s="23" t="s">
        <v>409</v>
      </c>
      <c r="B67" s="120">
        <v>2</v>
      </c>
      <c r="C67" s="128" t="s">
        <v>39</v>
      </c>
    </row>
    <row r="68" spans="1:3">
      <c r="A68" s="23" t="s">
        <v>406</v>
      </c>
      <c r="B68" s="120">
        <v>1</v>
      </c>
      <c r="C68" s="128" t="s">
        <v>39</v>
      </c>
    </row>
    <row r="69" spans="1:3">
      <c r="A69" s="23" t="s">
        <v>64</v>
      </c>
      <c r="B69" s="120">
        <v>1</v>
      </c>
      <c r="C69" s="128" t="s">
        <v>39</v>
      </c>
    </row>
    <row r="70" spans="1:3">
      <c r="A70" s="23" t="s">
        <v>71</v>
      </c>
      <c r="B70" s="120">
        <v>1</v>
      </c>
      <c r="C70" s="128" t="s">
        <v>39</v>
      </c>
    </row>
    <row r="71" spans="1:3">
      <c r="A71" s="23" t="s">
        <v>611</v>
      </c>
      <c r="B71" s="120">
        <v>2</v>
      </c>
      <c r="C71" s="128" t="s">
        <v>39</v>
      </c>
    </row>
    <row r="72" spans="1:3">
      <c r="A72" s="40" t="s">
        <v>402</v>
      </c>
      <c r="B72" s="36">
        <v>1</v>
      </c>
      <c r="C72" s="128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9.6032745591939523</v>
      </c>
      <c r="I4" s="54">
        <v>41270</v>
      </c>
      <c r="J4" s="54">
        <v>41279</v>
      </c>
      <c r="K4" s="56" t="s">
        <v>187</v>
      </c>
      <c r="L4" s="29" t="s">
        <v>390</v>
      </c>
    </row>
    <row r="5" spans="1:12" ht="16.5">
      <c r="A5" s="21" t="s">
        <v>340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9.4874055415617118</v>
      </c>
      <c r="I5" s="54">
        <v>41646</v>
      </c>
      <c r="J5" s="54">
        <v>41647</v>
      </c>
      <c r="K5" s="56" t="s">
        <v>380</v>
      </c>
      <c r="L5" s="29" t="s">
        <v>381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9.0617128463476053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88" t="s">
        <v>159</v>
      </c>
      <c r="E1" s="190"/>
      <c r="F1" s="23" t="s">
        <v>630</v>
      </c>
      <c r="G1" s="188" t="s">
        <v>627</v>
      </c>
      <c r="H1" s="189"/>
      <c r="I1" s="190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4" t="s">
        <v>639</v>
      </c>
      <c r="H23" s="129">
        <f>COUNTA($G1:$G22)-2</f>
        <v>12</v>
      </c>
      <c r="I23" s="132">
        <f>H23*22/60</f>
        <v>4.4000000000000004</v>
      </c>
    </row>
    <row r="24" spans="1:9">
      <c r="G24" s="135" t="s">
        <v>640</v>
      </c>
      <c r="H24" s="130">
        <f>COUNTIF($H1:$H22, "Y")</f>
        <v>9</v>
      </c>
      <c r="I24" s="133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8" t="s">
        <v>567</v>
      </c>
      <c r="B1" s="189"/>
      <c r="C1" s="189"/>
      <c r="D1" s="189"/>
      <c r="E1" s="190"/>
    </row>
    <row r="2" spans="1:14">
      <c r="A2" s="137" t="s">
        <v>15</v>
      </c>
      <c r="B2" s="137" t="s">
        <v>16</v>
      </c>
      <c r="C2" s="23" t="s">
        <v>630</v>
      </c>
      <c r="D2" s="161" t="s">
        <v>644</v>
      </c>
      <c r="E2" s="162" t="s">
        <v>642</v>
      </c>
      <c r="F2" s="23" t="s">
        <v>630</v>
      </c>
      <c r="N2" s="23" t="s">
        <v>630</v>
      </c>
    </row>
    <row r="3" spans="1:14">
      <c r="A3" s="139" t="s">
        <v>137</v>
      </c>
      <c r="B3" s="140">
        <v>0.36499999999999999</v>
      </c>
      <c r="C3" s="166" t="s">
        <v>659</v>
      </c>
      <c r="D3" s="167" t="s">
        <v>302</v>
      </c>
      <c r="E3" s="168">
        <f>COUNTIF(Tracker[Subber(s)], "*Coalgirls*")</f>
        <v>35</v>
      </c>
      <c r="F3" s="166" t="str">
        <f>"*"&amp;Table3[[#This Row],[Subber Name]]&amp;"*"</f>
        <v>*Coalgirls*</v>
      </c>
    </row>
    <row r="4" spans="1:14">
      <c r="A4" s="143" t="s">
        <v>136</v>
      </c>
      <c r="B4" s="144">
        <v>0.53500000000000003</v>
      </c>
      <c r="C4" s="166" t="s">
        <v>646</v>
      </c>
      <c r="D4" s="169" t="s">
        <v>304</v>
      </c>
      <c r="E4" s="30">
        <f>COUNTIF(Tracker[Subber(s)], "*HorribleSubs*")</f>
        <v>30</v>
      </c>
      <c r="F4" s="166" t="str">
        <f>"*"&amp;Table3[[#This Row],[Subber Name]]&amp;"*"</f>
        <v>*HorribleSubs*</v>
      </c>
    </row>
    <row r="5" spans="1:14">
      <c r="A5" s="143" t="s">
        <v>7</v>
      </c>
      <c r="B5" s="144">
        <v>9.5000000000000001E-2</v>
      </c>
      <c r="C5" s="166" t="s">
        <v>647</v>
      </c>
      <c r="D5" s="169" t="s">
        <v>301</v>
      </c>
      <c r="E5" s="30">
        <f>COUNTIF(Tracker[Subber(s)], "*Doki*")</f>
        <v>25</v>
      </c>
      <c r="F5" s="166" t="str">
        <f>"*"&amp;Table3[[#This Row],[Subber Name]]&amp;"*"</f>
        <v>*Doki*</v>
      </c>
    </row>
    <row r="6" spans="1:14">
      <c r="A6" s="147" t="s">
        <v>138</v>
      </c>
      <c r="B6" s="148">
        <f>SUM(B3:B5)</f>
        <v>0.995</v>
      </c>
      <c r="C6" s="166" t="s">
        <v>648</v>
      </c>
      <c r="D6" s="169" t="s">
        <v>286</v>
      </c>
      <c r="E6" s="30">
        <f>COUNTIF(Tracker[Subber(s)], "*FFF*")</f>
        <v>23</v>
      </c>
      <c r="F6" s="166" t="str">
        <f>"*"&amp;Table3[[#This Row],[Subber Name]]&amp;"*"</f>
        <v>*FFF*</v>
      </c>
    </row>
    <row r="7" spans="1:14">
      <c r="A7" s="40"/>
      <c r="B7" s="40"/>
      <c r="C7" s="166" t="s">
        <v>649</v>
      </c>
      <c r="D7" s="169" t="s">
        <v>285</v>
      </c>
      <c r="E7" s="30">
        <f>COUNTIF(Tracker[Subber(s)], "*UTW*")</f>
        <v>12</v>
      </c>
      <c r="F7" s="166" t="str">
        <f>"*"&amp;Table3[[#This Row],[Subber Name]]&amp;"*"</f>
        <v>*UTW*</v>
      </c>
    </row>
    <row r="8" spans="1:14">
      <c r="A8" s="149" t="s">
        <v>30</v>
      </c>
      <c r="B8" s="150">
        <f>MAX(Completed!G:G)</f>
        <v>9.9748743718592969</v>
      </c>
      <c r="C8" s="166" t="s">
        <v>650</v>
      </c>
      <c r="D8" s="169" t="s">
        <v>311</v>
      </c>
      <c r="E8" s="30">
        <f>COUNTIF(Tracker[Subber(s)], "*Mazui*")</f>
        <v>11</v>
      </c>
      <c r="F8" s="166" t="str">
        <f>"*"&amp;Table3[[#This Row],[Subber Name]]&amp;"*"</f>
        <v>*Mazui*</v>
      </c>
    </row>
    <row r="9" spans="1:14">
      <c r="A9" s="153" t="s">
        <v>33</v>
      </c>
      <c r="B9" s="154">
        <f>MIN(Completed!G:G)</f>
        <v>2.5037688442211055</v>
      </c>
      <c r="C9" s="166" t="s">
        <v>651</v>
      </c>
      <c r="D9" s="169" t="s">
        <v>309</v>
      </c>
      <c r="E9" s="30">
        <f>COUNTIF(Tracker[Subber(s)], "*Elysium*")</f>
        <v>8</v>
      </c>
      <c r="F9" s="166" t="str">
        <f>"*"&amp;Table3[[#This Row],[Subber Name]]&amp;"*"</f>
        <v>*Elysium*</v>
      </c>
    </row>
    <row r="10" spans="1:14">
      <c r="A10" s="153" t="s">
        <v>35</v>
      </c>
      <c r="B10" s="154">
        <f>B8-B9</f>
        <v>7.4711055276381915</v>
      </c>
      <c r="C10" s="166" t="s">
        <v>652</v>
      </c>
      <c r="D10" s="169" t="s">
        <v>322</v>
      </c>
      <c r="E10" s="30">
        <f>COUNTIF(Tracker[Subber(s)], "*Eclipse*")</f>
        <v>7</v>
      </c>
      <c r="F10" s="166" t="str">
        <f>"*"&amp;Table3[[#This Row],[Subber Name]]&amp;"*"</f>
        <v>*Eclipse*</v>
      </c>
    </row>
    <row r="11" spans="1:14">
      <c r="A11" s="155" t="s">
        <v>37</v>
      </c>
      <c r="B11" s="156">
        <f>SUM(B3:B6)</f>
        <v>1.99</v>
      </c>
      <c r="C11" s="166" t="s">
        <v>653</v>
      </c>
      <c r="D11" s="167" t="s">
        <v>382</v>
      </c>
      <c r="E11" s="168">
        <f>COUNTIF(Tracker[Subber(s)], "*Vivid*")</f>
        <v>7</v>
      </c>
      <c r="F11" s="166" t="str">
        <f>"*"&amp;Table3[[#This Row],[Subber Name]]&amp;"*"</f>
        <v>*Vivid*</v>
      </c>
    </row>
    <row r="12" spans="1:14">
      <c r="A12" s="40"/>
      <c r="B12" s="40"/>
      <c r="C12" s="166" t="s">
        <v>654</v>
      </c>
      <c r="D12" s="169" t="s">
        <v>317</v>
      </c>
      <c r="E12" s="30">
        <f>COUNTIF(Tracker[Subber(s)], "*Underwater*")</f>
        <v>5</v>
      </c>
      <c r="F12" s="166" t="str">
        <f>"*"&amp;Table3[[#This Row],[Subber Name]]&amp;"*"</f>
        <v>*Underwater*</v>
      </c>
    </row>
    <row r="13" spans="1:14">
      <c r="A13" s="44" t="s">
        <v>43</v>
      </c>
      <c r="B13" s="158" t="s">
        <v>675</v>
      </c>
      <c r="D13" s="169" t="s">
        <v>320</v>
      </c>
      <c r="E13" s="30">
        <f>COUNTIF(Tracker[Subber(s)], "*gg*")</f>
        <v>5</v>
      </c>
      <c r="F13" s="166" t="str">
        <f>"*"&amp;Table3[[#This Row],[Subber Name]]&amp;"*"</f>
        <v>*gg*</v>
      </c>
    </row>
    <row r="14" spans="1:14">
      <c r="A14" s="44" t="s">
        <v>46</v>
      </c>
      <c r="B14" s="159">
        <f>AVERAGE(Completed[Total])</f>
        <v>7.9411958738155191</v>
      </c>
      <c r="D14" s="169" t="s">
        <v>426</v>
      </c>
      <c r="E14" s="30">
        <f>COUNTIF(Tracker[Subber(s)], "*WhyNot*")</f>
        <v>5</v>
      </c>
      <c r="F14" s="166" t="str">
        <f>"*"&amp;Table3[[#This Row],[Subber Name]]&amp;"*"</f>
        <v>*WhyNot*</v>
      </c>
    </row>
    <row r="16" spans="1:14">
      <c r="A16" s="214" t="s">
        <v>81</v>
      </c>
      <c r="B16" s="215"/>
      <c r="D16" s="149" t="s">
        <v>385</v>
      </c>
      <c r="E16" s="141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1" t="s">
        <v>83</v>
      </c>
      <c r="B17" s="142">
        <f>AVERAGE(Completed[Total])</f>
        <v>7.9411958738155191</v>
      </c>
      <c r="C17" s="166" t="s">
        <v>659</v>
      </c>
      <c r="D17" s="149" t="s">
        <v>661</v>
      </c>
      <c r="E17" s="141">
        <f>SUM($E$3:$E$10)+$E$16-$B$30</f>
        <v>21</v>
      </c>
    </row>
    <row r="18" spans="1:5">
      <c r="A18" s="141" t="s">
        <v>85</v>
      </c>
      <c r="B18" s="142">
        <f>QUARTILE(Completed[Total], 0)</f>
        <v>2.5100755667506296</v>
      </c>
      <c r="C18" s="166" t="s">
        <v>646</v>
      </c>
      <c r="D18" s="155" t="s">
        <v>662</v>
      </c>
      <c r="E18" s="151">
        <f>COUNTIF(Tracker[Subber(s)], "*,*")</f>
        <v>45</v>
      </c>
    </row>
    <row r="19" spans="1:5">
      <c r="A19" s="145" t="s">
        <v>87</v>
      </c>
      <c r="B19" s="146">
        <f>QUARTILE(Completed[Total], 1)</f>
        <v>7.4187657430730471</v>
      </c>
      <c r="C19" s="166" t="s">
        <v>647</v>
      </c>
    </row>
    <row r="20" spans="1:5">
      <c r="A20" s="145" t="s">
        <v>90</v>
      </c>
      <c r="B20" s="146">
        <f>QUARTILE(Completed[Total], 2)</f>
        <v>8.1089420654911848</v>
      </c>
      <c r="C20" s="166" t="s">
        <v>648</v>
      </c>
      <c r="D20" s="214" t="s">
        <v>663</v>
      </c>
      <c r="E20" s="215"/>
    </row>
    <row r="21" spans="1:5">
      <c r="A21" s="145" t="s">
        <v>92</v>
      </c>
      <c r="B21" s="146">
        <f>QUARTILE(Completed[Total], 3)</f>
        <v>8.6914357682619663</v>
      </c>
      <c r="C21" s="166" t="s">
        <v>649</v>
      </c>
      <c r="D21" s="141" t="s">
        <v>664</v>
      </c>
      <c r="E21" s="24">
        <f>COUNTIF(Tracker[Dr. '#], "A")</f>
        <v>117</v>
      </c>
    </row>
    <row r="22" spans="1:5">
      <c r="A22" s="151" t="s">
        <v>93</v>
      </c>
      <c r="B22" s="152">
        <f>QUARTILE(Completed[Total], 4)</f>
        <v>10</v>
      </c>
      <c r="C22" s="166" t="s">
        <v>650</v>
      </c>
      <c r="D22" s="145" t="s">
        <v>665</v>
      </c>
      <c r="E22" s="24">
        <f>COUNTIF(Tracker[Dr. '#], "B")</f>
        <v>74</v>
      </c>
    </row>
    <row r="23" spans="1:5">
      <c r="A23" s="145" t="s">
        <v>35</v>
      </c>
      <c r="B23" s="146">
        <f>B22-B18</f>
        <v>7.4899244332493708</v>
      </c>
      <c r="C23" s="166" t="s">
        <v>651</v>
      </c>
      <c r="D23" s="163" t="s">
        <v>666</v>
      </c>
      <c r="E23" s="164">
        <f>B30-SUM(E21:E22)</f>
        <v>2</v>
      </c>
    </row>
    <row r="24" spans="1:5">
      <c r="A24" s="145" t="s">
        <v>96</v>
      </c>
      <c r="B24" s="146">
        <f>B21-B19</f>
        <v>1.2726700251889191</v>
      </c>
      <c r="C24" s="166" t="s">
        <v>652</v>
      </c>
    </row>
    <row r="25" spans="1:5">
      <c r="A25" s="151" t="s">
        <v>98</v>
      </c>
      <c r="B25" s="152">
        <f>STDEV(Completed[Total])</f>
        <v>1.1368979553219987</v>
      </c>
      <c r="C25" s="166" t="s">
        <v>653</v>
      </c>
      <c r="D25" s="161" t="s">
        <v>645</v>
      </c>
      <c r="E25" s="162" t="s">
        <v>642</v>
      </c>
    </row>
    <row r="26" spans="1:5">
      <c r="A26" s="145" t="s">
        <v>667</v>
      </c>
      <c r="B26" s="157">
        <f ca="1">SUM('Main Page'!P4:P195)+SUM('Main Page'!D4:D23)+SUM(Dropped[Ep.])</f>
        <v>3231</v>
      </c>
      <c r="C26" s="166" t="s">
        <v>654</v>
      </c>
      <c r="D26" s="136" t="s">
        <v>643</v>
      </c>
      <c r="E26" s="165">
        <f>COUNTIF(Completed[Total], "&gt;=9")</f>
        <v>16</v>
      </c>
    </row>
    <row r="27" spans="1:5">
      <c r="A27" s="145" t="s">
        <v>144</v>
      </c>
      <c r="B27" s="157">
        <f ca="1">B26*24</f>
        <v>77544</v>
      </c>
      <c r="D27" s="136" t="s">
        <v>51</v>
      </c>
      <c r="E27" s="165">
        <f>COUNTIF(Completed[Total],  "&gt;=8 ")-COUNTIF(Completed[Total],"&gt;=9")</f>
        <v>53</v>
      </c>
    </row>
    <row r="28" spans="1:5">
      <c r="A28" s="145" t="s">
        <v>145</v>
      </c>
      <c r="B28" s="160">
        <f ca="1">B27/60</f>
        <v>1292.4000000000001</v>
      </c>
      <c r="D28" s="136" t="s">
        <v>54</v>
      </c>
      <c r="E28" s="165">
        <f>COUNTIF(Completed[Total],  "&gt;=7")-COUNTIF(Completed[Total],"&gt;=8")</f>
        <v>37</v>
      </c>
    </row>
    <row r="29" spans="1:5">
      <c r="A29" s="151" t="s">
        <v>143</v>
      </c>
      <c r="B29" s="152">
        <f ca="1">B28/24</f>
        <v>53.85</v>
      </c>
      <c r="D29" s="136" t="s">
        <v>56</v>
      </c>
      <c r="E29" s="165">
        <f>COUNTIF(Completed[Total],  "&gt;=6 ")-COUNTIF(Completed[Total],"&gt;=7")</f>
        <v>14</v>
      </c>
    </row>
    <row r="30" spans="1:5">
      <c r="A30" s="163" t="s">
        <v>384</v>
      </c>
      <c r="B30" s="164">
        <f>COUNTIF(Tracker[Subber(s)], "&lt;&gt;--")</f>
        <v>193</v>
      </c>
      <c r="D30" s="136" t="s">
        <v>60</v>
      </c>
      <c r="E30" s="165">
        <f>COUNTIF(Completed[Total],  "&gt;=5 ")-COUNTIF(Completed[Total],"&gt;=6")</f>
        <v>3</v>
      </c>
    </row>
    <row r="31" spans="1:5">
      <c r="D31" s="136" t="s">
        <v>62</v>
      </c>
      <c r="E31" s="165">
        <f>COUNTIF(Completed[Total],  "&gt;=4 ")-COUNTIF(Completed[Total],"&gt;=5")</f>
        <v>1</v>
      </c>
    </row>
    <row r="32" spans="1:5">
      <c r="D32" s="136" t="s">
        <v>66</v>
      </c>
      <c r="E32" s="165">
        <f>COUNTIF(Completed[Total],  "&gt;=3 ")-COUNTIF(Completed[Total],"&gt;=4")</f>
        <v>0</v>
      </c>
    </row>
    <row r="33" spans="4:5">
      <c r="D33" s="136" t="s">
        <v>69</v>
      </c>
      <c r="E33" s="165">
        <f>COUNTIF(Completed[Total],  "&gt;=2")-COUNTIF(Completed[Total],"&gt;=3")</f>
        <v>2</v>
      </c>
    </row>
    <row r="34" spans="4:5">
      <c r="D34" s="136" t="s">
        <v>73</v>
      </c>
      <c r="E34" s="165">
        <f>COUNTIF(Completed[Total],  "&gt;=1 ")-COUNTIF(Completed[Total],"&gt;=2")</f>
        <v>0</v>
      </c>
    </row>
    <row r="35" spans="4:5">
      <c r="D35" s="136" t="s">
        <v>78</v>
      </c>
      <c r="E35" s="165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1" t="s">
        <v>447</v>
      </c>
      <c r="E38" s="24">
        <f>COUNTIF(Tracker[Type],D38)</f>
        <v>91</v>
      </c>
    </row>
    <row r="39" spans="4:5">
      <c r="D39" s="145" t="s">
        <v>446</v>
      </c>
      <c r="E39" s="24">
        <f>COUNTIF(Tracker[Type],D39)</f>
        <v>80</v>
      </c>
    </row>
    <row r="40" spans="4:5">
      <c r="D40" s="145" t="s">
        <v>450</v>
      </c>
      <c r="E40" s="24">
        <f>COUNTIF(Tracker[Type],D40)</f>
        <v>10</v>
      </c>
    </row>
    <row r="41" spans="4:5">
      <c r="D41" s="145" t="s">
        <v>448</v>
      </c>
      <c r="E41" s="24">
        <f>COUNTIF(Tracker[Type],D41)</f>
        <v>11</v>
      </c>
    </row>
    <row r="42" spans="4:5">
      <c r="D42" s="163" t="s">
        <v>460</v>
      </c>
      <c r="E42" s="164">
        <f>COUNTIF(Tracker[Type],"--")</f>
        <v>17</v>
      </c>
    </row>
    <row r="44" spans="4:5">
      <c r="D44" s="214" t="s">
        <v>660</v>
      </c>
      <c r="E44" s="215"/>
    </row>
    <row r="45" spans="4:5">
      <c r="D45" s="141" t="s">
        <v>483</v>
      </c>
      <c r="E45" s="24">
        <f>COUNTIF(Tracker[Quality], "720p")</f>
        <v>164</v>
      </c>
    </row>
    <row r="46" spans="4:5">
      <c r="D46" s="145" t="s">
        <v>484</v>
      </c>
      <c r="E46" s="24">
        <f>COUNTIF(Tracker[Quality], "1080p")</f>
        <v>15</v>
      </c>
    </row>
    <row r="47" spans="4:5">
      <c r="D47" s="163" t="s">
        <v>385</v>
      </c>
      <c r="E47" s="164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8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2014-08-30T06:35:00Z</dcterms:modified>
</cp:coreProperties>
</file>