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11" i="19"/>
  <c r="H13" i="19"/>
  <c r="G13" i="19"/>
  <c r="H6" i="19"/>
  <c r="G5" i="19"/>
  <c r="H15" i="19"/>
  <c r="G7" i="19"/>
  <c r="G8" i="19"/>
  <c r="H12" i="19"/>
  <c r="G14" i="19"/>
  <c r="H9" i="19"/>
  <c r="H5" i="19"/>
  <c r="H7" i="19"/>
  <c r="G15" i="19"/>
  <c r="H4" i="19"/>
  <c r="G16" i="19"/>
  <c r="G6" i="19"/>
  <c r="H14" i="19"/>
  <c r="H16" i="19"/>
  <c r="G12" i="19"/>
  <c r="G10" i="19"/>
  <c r="G4" i="19"/>
  <c r="H8" i="19"/>
  <c r="G9" i="19"/>
  <c r="H10" i="19"/>
  <c r="H11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Q125" i="19"/>
  <c r="U127" i="19"/>
  <c r="P122" i="19"/>
  <c r="Q126" i="19"/>
  <c r="Q127" i="19"/>
  <c r="S125" i="19"/>
  <c r="S128" i="19"/>
  <c r="P129" i="19"/>
  <c r="R129" i="19"/>
  <c r="R122" i="19"/>
  <c r="Q123" i="19"/>
  <c r="Q124" i="19"/>
  <c r="U124" i="19"/>
  <c r="R125" i="19"/>
  <c r="P126" i="19"/>
  <c r="P127" i="19"/>
  <c r="Q129" i="19"/>
  <c r="P123" i="19"/>
  <c r="T123" i="19"/>
  <c r="P128" i="19"/>
  <c r="T128" i="19"/>
  <c r="S123" i="19"/>
  <c r="S127" i="19"/>
  <c r="S122" i="19"/>
  <c r="U122" i="19"/>
  <c r="T124" i="19"/>
  <c r="R128" i="19"/>
  <c r="P124" i="19"/>
  <c r="U129" i="19"/>
  <c r="Q128" i="19"/>
  <c r="T126" i="19"/>
  <c r="R123" i="19"/>
  <c r="T122" i="19"/>
  <c r="R127" i="19"/>
  <c r="U123" i="19"/>
  <c r="R124" i="19"/>
  <c r="Q122" i="19"/>
  <c r="P125" i="19"/>
  <c r="T125" i="19"/>
  <c r="U128" i="19"/>
  <c r="S124" i="19"/>
  <c r="S126" i="19"/>
  <c r="S129" i="19"/>
  <c r="R126" i="19"/>
  <c r="T129" i="19"/>
  <c r="U125" i="19"/>
  <c r="T127" i="19"/>
  <c r="U126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5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4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5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4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U27" i="19"/>
  <c r="P9" i="19"/>
  <c r="P17" i="19"/>
  <c r="T57" i="19"/>
  <c r="Q105" i="19"/>
  <c r="R93" i="19"/>
  <c r="R6" i="19"/>
  <c r="P40" i="19"/>
  <c r="T65" i="19"/>
  <c r="Q98" i="19"/>
  <c r="R86" i="19"/>
  <c r="R8" i="19"/>
  <c r="Q102" i="19"/>
  <c r="U6" i="19"/>
  <c r="P25" i="19"/>
  <c r="T42" i="19"/>
  <c r="Q108" i="19"/>
  <c r="R106" i="19"/>
  <c r="P48" i="19"/>
  <c r="U49" i="19"/>
  <c r="P37" i="19"/>
  <c r="P35" i="19"/>
  <c r="Q104" i="19"/>
  <c r="P81" i="19"/>
  <c r="S41" i="19"/>
  <c r="U72" i="19"/>
  <c r="U97" i="19"/>
  <c r="T32" i="19"/>
  <c r="T88" i="19"/>
  <c r="P50" i="19"/>
  <c r="U4" i="19"/>
  <c r="Q26" i="19"/>
  <c r="S86" i="19"/>
  <c r="T89" i="19"/>
  <c r="Q12" i="19"/>
  <c r="Q30" i="19"/>
  <c r="Q53" i="19"/>
  <c r="S120" i="19"/>
  <c r="R23" i="19"/>
  <c r="T17" i="19"/>
  <c r="P42" i="19"/>
  <c r="R40" i="19"/>
  <c r="S16" i="19"/>
  <c r="S59" i="19"/>
  <c r="U30" i="19"/>
  <c r="Q23" i="19"/>
  <c r="S39" i="19"/>
  <c r="R67" i="19"/>
  <c r="P84" i="19"/>
  <c r="P57" i="19"/>
  <c r="T82" i="19"/>
  <c r="P8" i="19"/>
  <c r="T119" i="19"/>
  <c r="S75" i="19"/>
  <c r="T93" i="19"/>
  <c r="P82" i="19"/>
  <c r="R120" i="19"/>
  <c r="U31" i="19"/>
  <c r="S9" i="19"/>
  <c r="U62" i="19"/>
  <c r="U69" i="19"/>
  <c r="S53" i="19"/>
  <c r="S101" i="19"/>
  <c r="U60" i="19"/>
  <c r="S5" i="19"/>
  <c r="R95" i="19"/>
  <c r="Q85" i="19"/>
  <c r="S93" i="19"/>
  <c r="U9" i="19"/>
  <c r="U43" i="19"/>
  <c r="U88" i="19"/>
  <c r="U54" i="19"/>
  <c r="Q95" i="19"/>
  <c r="T80" i="19"/>
  <c r="Q11" i="19"/>
  <c r="P72" i="19"/>
  <c r="P19" i="19"/>
  <c r="S111" i="19"/>
  <c r="Q60" i="19"/>
  <c r="P45" i="19"/>
  <c r="S64" i="19"/>
  <c r="T92" i="19"/>
  <c r="P21" i="19"/>
  <c r="U93" i="19"/>
  <c r="U50" i="19"/>
  <c r="U26" i="19"/>
  <c r="T76" i="19"/>
  <c r="U46" i="19"/>
  <c r="Q79" i="19"/>
  <c r="U108" i="19"/>
  <c r="U84" i="19"/>
  <c r="S27" i="19"/>
  <c r="P87" i="19"/>
  <c r="U59" i="19"/>
  <c r="R84" i="19"/>
  <c r="U38" i="19"/>
  <c r="Q52" i="19"/>
  <c r="Q14" i="19"/>
  <c r="T61" i="19"/>
  <c r="T91" i="19"/>
  <c r="T75" i="19"/>
  <c r="S102" i="19"/>
  <c r="U16" i="19"/>
  <c r="S70" i="19"/>
  <c r="T118" i="19"/>
  <c r="S94" i="19"/>
  <c r="S22" i="19"/>
  <c r="T49" i="19"/>
  <c r="T106" i="19"/>
  <c r="U83" i="19"/>
  <c r="P104" i="19"/>
  <c r="Q115" i="19"/>
  <c r="T27" i="19"/>
  <c r="R46" i="19"/>
  <c r="Q75" i="19"/>
  <c r="P63" i="19"/>
  <c r="Q121" i="19"/>
  <c r="U119" i="19"/>
  <c r="P64" i="19"/>
  <c r="T86" i="19"/>
  <c r="R80" i="19"/>
  <c r="R68" i="19"/>
  <c r="T117" i="19"/>
  <c r="R45" i="19"/>
  <c r="T35" i="19"/>
  <c r="Q65" i="19"/>
  <c r="U107" i="19"/>
  <c r="R96" i="19"/>
  <c r="U75" i="19"/>
  <c r="R119" i="19"/>
  <c r="S66" i="19"/>
  <c r="S108" i="19"/>
  <c r="S24" i="19"/>
  <c r="Q51" i="19"/>
  <c r="T63" i="19"/>
  <c r="P95" i="19"/>
  <c r="P108" i="19"/>
  <c r="P75" i="19"/>
  <c r="R78" i="19"/>
  <c r="S113" i="19"/>
  <c r="R51" i="19"/>
  <c r="P110" i="19"/>
  <c r="U20" i="19"/>
  <c r="S36" i="19"/>
  <c r="T39" i="19"/>
  <c r="P121" i="19"/>
  <c r="R57" i="19"/>
  <c r="Q54" i="19"/>
  <c r="R54" i="19"/>
  <c r="S91" i="19"/>
  <c r="Q16" i="19"/>
  <c r="T70" i="19"/>
  <c r="Q33" i="19"/>
  <c r="S12" i="19"/>
  <c r="P93" i="19"/>
  <c r="S8" i="19"/>
  <c r="U81" i="19"/>
  <c r="R111" i="19"/>
  <c r="R20" i="19"/>
  <c r="U36" i="19"/>
  <c r="R116" i="19"/>
  <c r="Q109" i="19"/>
  <c r="U45" i="19"/>
  <c r="S11" i="19"/>
  <c r="S99" i="19"/>
  <c r="P73" i="19"/>
  <c r="S52" i="19"/>
  <c r="P98" i="19"/>
  <c r="S76" i="19"/>
  <c r="P38" i="19"/>
  <c r="Q5" i="19"/>
  <c r="P102" i="19"/>
  <c r="R77" i="19"/>
  <c r="Q41" i="19"/>
  <c r="R100" i="19"/>
  <c r="P113" i="19"/>
  <c r="P58" i="19"/>
  <c r="U68" i="19"/>
  <c r="P61" i="19"/>
  <c r="P43" i="19"/>
  <c r="P92" i="19"/>
  <c r="T40" i="19"/>
  <c r="S114" i="19"/>
  <c r="R15" i="19"/>
  <c r="R48" i="19"/>
  <c r="S121" i="19"/>
  <c r="Q32" i="19"/>
  <c r="Q8" i="19"/>
  <c r="T67" i="19"/>
  <c r="S105" i="19"/>
  <c r="P86" i="19"/>
  <c r="T111" i="19"/>
  <c r="U95" i="19"/>
  <c r="T84" i="19"/>
  <c r="R81" i="19"/>
  <c r="R113" i="19"/>
  <c r="R47" i="19"/>
  <c r="P77" i="19"/>
  <c r="T97" i="19"/>
  <c r="U78" i="19"/>
  <c r="Q21" i="19"/>
  <c r="R50" i="19"/>
  <c r="P32" i="19"/>
  <c r="U17" i="19"/>
  <c r="U35" i="19"/>
  <c r="Q76" i="19"/>
  <c r="P30" i="19"/>
  <c r="R41" i="19"/>
  <c r="U51" i="19"/>
  <c r="Q114" i="19"/>
  <c r="Q36" i="19"/>
  <c r="P109" i="19"/>
  <c r="R70" i="19"/>
  <c r="P4" i="19"/>
  <c r="Q82" i="19"/>
  <c r="U101" i="19"/>
  <c r="R64" i="19"/>
  <c r="P20" i="19"/>
  <c r="T10" i="19"/>
  <c r="Q113" i="19"/>
  <c r="T29" i="19"/>
  <c r="R73" i="19"/>
  <c r="T110" i="19"/>
  <c r="U104" i="19"/>
  <c r="R108" i="19"/>
  <c r="S87" i="19"/>
  <c r="R72" i="19"/>
  <c r="R61" i="19"/>
  <c r="S100" i="19"/>
  <c r="R85" i="19"/>
  <c r="U74" i="19"/>
  <c r="S21" i="19"/>
  <c r="Q81" i="19"/>
  <c r="Q87" i="19"/>
  <c r="U70" i="19"/>
  <c r="T103" i="19"/>
  <c r="P27" i="19"/>
  <c r="U120" i="19"/>
  <c r="U77" i="19"/>
  <c r="Q57" i="19"/>
  <c r="R103" i="19"/>
  <c r="T85" i="19"/>
  <c r="U18" i="19"/>
  <c r="Q96" i="19"/>
  <c r="S4" i="19"/>
  <c r="U21" i="19"/>
  <c r="Q77" i="19"/>
  <c r="P23" i="19"/>
  <c r="T95" i="19"/>
  <c r="U121" i="19"/>
  <c r="R79" i="19"/>
  <c r="R74" i="19"/>
  <c r="S29" i="19"/>
  <c r="R24" i="19"/>
  <c r="U25" i="19"/>
  <c r="R27" i="19"/>
  <c r="P71" i="19"/>
  <c r="T24" i="19"/>
  <c r="R44" i="19"/>
  <c r="T105" i="19"/>
  <c r="R75" i="19"/>
  <c r="Q7" i="19"/>
  <c r="U105" i="19"/>
  <c r="S72" i="19"/>
  <c r="Q72" i="19"/>
  <c r="R12" i="19"/>
  <c r="T8" i="19"/>
  <c r="S69" i="19"/>
  <c r="P68" i="19"/>
  <c r="T78" i="19"/>
  <c r="Q89" i="19"/>
  <c r="R58" i="19"/>
  <c r="P22" i="19"/>
  <c r="T66" i="19"/>
  <c r="S81" i="19"/>
  <c r="S107" i="19"/>
  <c r="S67" i="19"/>
  <c r="Q117" i="19"/>
  <c r="R9" i="19"/>
  <c r="U58" i="19"/>
  <c r="R97" i="19"/>
  <c r="U89" i="19"/>
  <c r="T41" i="19"/>
  <c r="P51" i="19"/>
  <c r="Q110" i="19"/>
  <c r="U117" i="19"/>
  <c r="U10" i="19"/>
  <c r="U44" i="19"/>
  <c r="R25" i="19"/>
  <c r="S92" i="19"/>
  <c r="R104" i="19"/>
  <c r="U34" i="19"/>
  <c r="P26" i="19"/>
  <c r="Q28" i="19"/>
  <c r="P11" i="19"/>
  <c r="Q22" i="19"/>
  <c r="R87" i="19"/>
  <c r="S78" i="19"/>
  <c r="T54" i="19"/>
  <c r="Q9" i="19"/>
  <c r="R99" i="19"/>
  <c r="T71" i="19"/>
  <c r="U85" i="19"/>
  <c r="P70" i="19"/>
  <c r="P62" i="19"/>
  <c r="T15" i="19"/>
  <c r="R121" i="19"/>
  <c r="R26" i="19"/>
  <c r="Q42" i="19"/>
  <c r="P55" i="19"/>
  <c r="S20" i="19"/>
  <c r="P65" i="19"/>
  <c r="R39" i="19"/>
  <c r="R35" i="19"/>
  <c r="T68" i="19"/>
  <c r="S30" i="19"/>
  <c r="T31" i="19"/>
  <c r="P52" i="19"/>
  <c r="Q119" i="19"/>
  <c r="T108" i="19"/>
  <c r="P36" i="19"/>
  <c r="R101" i="19"/>
  <c r="Q38" i="19"/>
  <c r="T50" i="19"/>
  <c r="T28" i="19"/>
  <c r="P118" i="19"/>
  <c r="P15" i="19"/>
  <c r="Q93" i="19"/>
  <c r="S28" i="19"/>
  <c r="U7" i="19"/>
  <c r="R42" i="19"/>
  <c r="R31" i="19"/>
  <c r="S112" i="19"/>
  <c r="T120" i="19"/>
  <c r="Q45" i="19"/>
  <c r="Q13" i="19"/>
  <c r="P100" i="19"/>
  <c r="S44" i="19"/>
  <c r="U40" i="19"/>
  <c r="T121" i="19"/>
  <c r="R38" i="19"/>
  <c r="R109" i="19"/>
  <c r="R89" i="19"/>
  <c r="R33" i="19"/>
  <c r="Q6" i="19"/>
  <c r="Q92" i="19"/>
  <c r="P97" i="19"/>
  <c r="T107" i="19"/>
  <c r="R7" i="19"/>
  <c r="Q67" i="19"/>
  <c r="T36" i="19"/>
  <c r="T12" i="19"/>
  <c r="U11" i="19"/>
  <c r="P79" i="19"/>
  <c r="S43" i="19"/>
  <c r="P54" i="19"/>
  <c r="R98" i="19"/>
  <c r="S96" i="19"/>
  <c r="S51" i="19"/>
  <c r="S7" i="19"/>
  <c r="T104" i="19"/>
  <c r="R18" i="19"/>
  <c r="T47" i="19"/>
  <c r="S119" i="19"/>
  <c r="T44" i="19"/>
  <c r="S18" i="19"/>
  <c r="Q107" i="19"/>
  <c r="U8" i="19"/>
  <c r="R115" i="19"/>
  <c r="Q35" i="19"/>
  <c r="U65" i="19"/>
  <c r="R83" i="19"/>
  <c r="S85" i="19"/>
  <c r="Q61" i="19"/>
  <c r="R102" i="19"/>
  <c r="R55" i="19"/>
  <c r="U13" i="19"/>
  <c r="T81" i="19"/>
  <c r="U92" i="19"/>
  <c r="S19" i="19"/>
  <c r="R114" i="19"/>
  <c r="R90" i="19"/>
  <c r="T43" i="19"/>
  <c r="U111" i="19"/>
  <c r="S46" i="19"/>
  <c r="S58" i="19"/>
  <c r="U23" i="19"/>
  <c r="U57" i="19"/>
  <c r="Q47" i="19"/>
  <c r="Q68" i="19"/>
  <c r="Q91" i="19"/>
  <c r="T53" i="19"/>
  <c r="Q78" i="19"/>
  <c r="R63" i="19"/>
  <c r="Q19" i="19"/>
  <c r="S80" i="19"/>
  <c r="R112" i="19"/>
  <c r="S104" i="19"/>
  <c r="S49" i="19"/>
  <c r="U94" i="19"/>
  <c r="S42" i="19"/>
  <c r="P12" i="19"/>
  <c r="S25" i="19"/>
  <c r="U110" i="19"/>
  <c r="T79" i="19"/>
  <c r="T60" i="19"/>
  <c r="P88" i="19"/>
  <c r="U115" i="19"/>
  <c r="S57" i="19"/>
  <c r="S60" i="19"/>
  <c r="Q66" i="19"/>
  <c r="T69" i="19"/>
  <c r="T48" i="19"/>
  <c r="Q111" i="19"/>
  <c r="U61" i="19"/>
  <c r="U48" i="19"/>
  <c r="S38" i="19"/>
  <c r="U14" i="19"/>
  <c r="P76" i="19"/>
  <c r="R5" i="19"/>
  <c r="P67" i="19"/>
  <c r="T74" i="19"/>
  <c r="T51" i="19"/>
  <c r="U28" i="19"/>
  <c r="T96" i="19"/>
  <c r="U22" i="19"/>
  <c r="T38" i="19"/>
  <c r="U29" i="19"/>
  <c r="S23" i="19"/>
  <c r="R13" i="19"/>
  <c r="Q59" i="19"/>
  <c r="U56" i="19"/>
  <c r="R4" i="19"/>
  <c r="Q24" i="19"/>
  <c r="P96" i="19"/>
  <c r="P10" i="19"/>
  <c r="Q34" i="19"/>
  <c r="P89" i="19"/>
  <c r="R53" i="19"/>
  <c r="Q44" i="19"/>
  <c r="U5" i="19"/>
  <c r="S88" i="19"/>
  <c r="P85" i="19"/>
  <c r="T21" i="19"/>
  <c r="S50" i="19"/>
  <c r="R43" i="19"/>
  <c r="S117" i="19"/>
  <c r="S118" i="19"/>
  <c r="S17" i="19"/>
  <c r="P106" i="19"/>
  <c r="U73" i="19"/>
  <c r="R11" i="19"/>
  <c r="P41" i="19"/>
  <c r="Q27" i="19"/>
  <c r="Q18" i="19"/>
  <c r="Q50" i="19"/>
  <c r="U64" i="19"/>
  <c r="U32" i="19"/>
  <c r="T7" i="19"/>
  <c r="T5" i="19"/>
  <c r="Q4" i="19"/>
  <c r="S77" i="19"/>
  <c r="T83" i="19"/>
  <c r="U91" i="19"/>
  <c r="U42" i="19"/>
  <c r="T56" i="19"/>
  <c r="P13" i="19"/>
  <c r="R22" i="19"/>
  <c r="T33" i="19"/>
  <c r="P31" i="19"/>
  <c r="P114" i="19"/>
  <c r="R91" i="19"/>
  <c r="S90" i="19"/>
  <c r="Q86" i="19"/>
  <c r="T59" i="19"/>
  <c r="P66" i="19"/>
  <c r="Q64" i="19"/>
  <c r="T101" i="19"/>
  <c r="P120" i="19"/>
  <c r="P7" i="19"/>
  <c r="S33" i="19"/>
  <c r="T73" i="19"/>
  <c r="Q101" i="19"/>
  <c r="Q100" i="19"/>
  <c r="Q88" i="19"/>
  <c r="P94" i="19"/>
  <c r="Q58" i="19"/>
  <c r="T109" i="19"/>
  <c r="P59" i="19"/>
  <c r="Q120" i="19"/>
  <c r="P14" i="19"/>
  <c r="T112" i="19"/>
  <c r="Q94" i="19"/>
  <c r="P33" i="19"/>
  <c r="P83" i="19"/>
  <c r="T18" i="19"/>
  <c r="S95" i="19"/>
  <c r="S89" i="19"/>
  <c r="S6" i="19"/>
  <c r="U100" i="19"/>
  <c r="S13" i="19"/>
  <c r="Q118" i="19"/>
  <c r="Q48" i="19"/>
  <c r="T26" i="19"/>
  <c r="U47" i="19"/>
  <c r="T87" i="19"/>
  <c r="S37" i="19"/>
  <c r="R82" i="19"/>
  <c r="Q73" i="19"/>
  <c r="P56" i="19"/>
  <c r="R60" i="19"/>
  <c r="U106" i="19"/>
  <c r="S106" i="19"/>
  <c r="S79" i="19"/>
  <c r="Q15" i="19"/>
  <c r="T99" i="19"/>
  <c r="T62" i="19"/>
  <c r="Q20" i="19"/>
  <c r="T58" i="19"/>
  <c r="R110" i="19"/>
  <c r="S47" i="19"/>
  <c r="U67" i="19"/>
  <c r="P49" i="19"/>
  <c r="U109" i="19"/>
  <c r="Q80" i="19"/>
  <c r="P111" i="19"/>
  <c r="P5" i="19"/>
  <c r="S62" i="19"/>
  <c r="R107" i="19"/>
  <c r="T72" i="19"/>
  <c r="R88" i="19"/>
  <c r="Q43" i="19"/>
  <c r="U55" i="19"/>
  <c r="P53" i="19"/>
  <c r="R71" i="19"/>
  <c r="U19" i="19"/>
  <c r="S83" i="19"/>
  <c r="S115" i="19"/>
  <c r="T19" i="19"/>
  <c r="S63" i="19"/>
  <c r="S15" i="19"/>
  <c r="T14" i="19"/>
  <c r="U24" i="19"/>
  <c r="R29" i="19"/>
  <c r="P117" i="19"/>
  <c r="T11" i="19"/>
  <c r="Q69" i="19"/>
  <c r="U63" i="19"/>
  <c r="Q31" i="19"/>
  <c r="Q49" i="19"/>
  <c r="T94" i="19"/>
  <c r="Q74" i="19"/>
  <c r="U86" i="19"/>
  <c r="S10" i="19"/>
  <c r="U87" i="19"/>
  <c r="P34" i="19"/>
  <c r="P46" i="19"/>
  <c r="R92" i="19"/>
  <c r="P39" i="19"/>
  <c r="P90" i="19"/>
  <c r="S73" i="19"/>
  <c r="T45" i="19"/>
  <c r="R21" i="19"/>
  <c r="U96" i="19"/>
  <c r="S82" i="19"/>
  <c r="U71" i="19"/>
  <c r="R117" i="19"/>
  <c r="T16" i="19"/>
  <c r="U82" i="19"/>
  <c r="T98" i="19"/>
  <c r="Q39" i="19"/>
  <c r="Q37" i="19"/>
  <c r="R36" i="19"/>
  <c r="U76" i="19"/>
  <c r="Q56" i="19"/>
  <c r="S71" i="19"/>
  <c r="S54" i="19"/>
  <c r="Q97" i="19"/>
  <c r="T115" i="19"/>
  <c r="T37" i="19"/>
  <c r="U90" i="19"/>
  <c r="T20" i="19"/>
  <c r="Q63" i="19"/>
  <c r="Q62" i="19"/>
  <c r="U41" i="19"/>
  <c r="U112" i="19"/>
  <c r="Q55" i="19"/>
  <c r="Q99" i="19"/>
  <c r="U102" i="19"/>
  <c r="R19" i="19"/>
  <c r="P105" i="19"/>
  <c r="T102" i="19"/>
  <c r="S40" i="19"/>
  <c r="T9" i="19"/>
  <c r="S26" i="19"/>
  <c r="P74" i="19"/>
  <c r="U79" i="19"/>
  <c r="T55" i="19"/>
  <c r="S103" i="19"/>
  <c r="U99" i="19"/>
  <c r="P119" i="19"/>
  <c r="U80" i="19"/>
  <c r="P47" i="19"/>
  <c r="U39" i="19"/>
  <c r="R14" i="19"/>
  <c r="Q40" i="19"/>
  <c r="T46" i="19"/>
  <c r="S65" i="19"/>
  <c r="R69" i="19"/>
  <c r="Q70" i="19"/>
  <c r="Q84" i="19"/>
  <c r="T77" i="19"/>
  <c r="T114" i="19"/>
  <c r="R94" i="19"/>
  <c r="S32" i="19"/>
  <c r="R28" i="19"/>
  <c r="R32" i="19"/>
  <c r="P44" i="19"/>
  <c r="T113" i="19"/>
  <c r="T4" i="19"/>
  <c r="R56" i="19"/>
  <c r="R62" i="19"/>
  <c r="R17" i="19"/>
  <c r="T6" i="19"/>
  <c r="U98" i="19"/>
  <c r="R37" i="19"/>
  <c r="R59" i="19"/>
  <c r="P24" i="19"/>
  <c r="T100" i="19"/>
  <c r="S48" i="19"/>
  <c r="Q29" i="19"/>
  <c r="Q25" i="19"/>
  <c r="R16" i="19"/>
  <c r="S61" i="19"/>
  <c r="P29" i="19"/>
  <c r="R34" i="19"/>
  <c r="S116" i="19"/>
  <c r="P69" i="19"/>
  <c r="Q71" i="19"/>
  <c r="U116" i="19"/>
  <c r="P101" i="19"/>
  <c r="Q116" i="19"/>
  <c r="S55" i="19"/>
  <c r="S45" i="19"/>
  <c r="T64" i="19"/>
  <c r="Q46" i="19"/>
  <c r="R66" i="19"/>
  <c r="Q17" i="19"/>
  <c r="P60" i="19"/>
  <c r="R118" i="19"/>
  <c r="R52" i="19"/>
  <c r="P99" i="19"/>
  <c r="R30" i="19"/>
  <c r="U15" i="19"/>
  <c r="Q106" i="19"/>
  <c r="U66" i="19"/>
  <c r="S97" i="19"/>
  <c r="R65" i="19"/>
  <c r="S31" i="19"/>
  <c r="P80" i="19"/>
  <c r="U118" i="19"/>
  <c r="T22" i="19"/>
  <c r="Q10" i="19"/>
  <c r="S109" i="19"/>
  <c r="U33" i="19"/>
  <c r="T34" i="19"/>
  <c r="P16" i="19"/>
  <c r="T116" i="19"/>
  <c r="P107" i="19"/>
  <c r="T90" i="19"/>
  <c r="P28" i="19"/>
  <c r="Q103" i="19"/>
  <c r="P78" i="19"/>
  <c r="P103" i="19"/>
  <c r="Q112" i="19"/>
  <c r="U103" i="19"/>
  <c r="Q83" i="19"/>
  <c r="U52" i="19"/>
  <c r="T30" i="19"/>
  <c r="U114" i="19"/>
  <c r="U53" i="19"/>
  <c r="S34" i="19"/>
  <c r="T23" i="19"/>
  <c r="U113" i="19"/>
  <c r="R10" i="19"/>
  <c r="Q90" i="19"/>
  <c r="R105" i="19"/>
  <c r="P91" i="19"/>
  <c r="P18" i="19"/>
  <c r="U12" i="19"/>
  <c r="S35" i="19"/>
  <c r="S84" i="19"/>
  <c r="P112" i="19"/>
  <c r="S74" i="19"/>
  <c r="P115" i="19"/>
  <c r="S110" i="19"/>
  <c r="P6" i="19"/>
  <c r="P116" i="19"/>
  <c r="R76" i="19"/>
  <c r="S98" i="19"/>
  <c r="T13" i="19"/>
  <c r="S68" i="19"/>
  <c r="T25" i="19"/>
  <c r="U37" i="19"/>
  <c r="T52" i="19"/>
  <c r="S56" i="19"/>
  <c r="S14" i="19"/>
  <c r="R49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<sst xmlns="http://schemas.openxmlformats.org/spreadsheetml/2006/main" count="2047" uniqueCount="686">
  <si>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</si>
  <si>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</si>
  <si>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</si>
  <si>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</si>
  <si>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</si>
  <si>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</si>
  <si>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</si>
  <si>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</si>
  <si>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</si>
  <si>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</si>
  <si>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</si>
  <si>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</si>
  <si>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</si>
  <si>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</si>
  <si>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</si>
  <si>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</si>
  <si>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</si>
  <si>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</si>
  <si>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</si>
  <si>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</si>
  <si>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</si>
  <si>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</si>
  <si>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</si>
  <si>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</si>
  <si>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</si>
  <si>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</si>
  <si>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</si>
  <si>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</si>
  <si>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</si>
  <si>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</si>
  <si>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</si>
  <si>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</si>
  <si>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</si>
  <si>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</si>
  <si>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</si>
  <si>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</si>
  <si>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</si>
  <si>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</si>
  <si>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</si>
  <si>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</si>
  <si>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</si>
  <si>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</si>
  <si>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</si>
  <si>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</si>
  <si>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</si>
  <si>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</si>
  <si>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</si>
  <si>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</si>
  <si>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</si>
  <si>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</si>
  <si>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</si>
  <si>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</si>
  <si>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</si>
  <si>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</si>
  <si>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</si>
  <si>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</si>
  <si>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</si>
  <si>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</si>
  <si>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</si>
  <si>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</si>
  <si>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</si>
  <si>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</si>
  <si>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</si>
  <si>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</si>
  <si>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</si>
  <si>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</si>
  <si>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</si>
  <si>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</si>
  <si>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</si>
  <si>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</si>
  <si>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</si>
  <si>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</si>
  <si>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</si>
  <si>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</si>
  <si>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</si>
  <si>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</si>
  <si>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</si>
  <si>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</si>
  <si>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</si>
  <si>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</si>
  <si>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</si>
  <si>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</si>
  <si>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</si>
  <si>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</si>
  <si>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</si>
  <si>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</si>
  <si>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</si>
  <si>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</si>
  <si>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</si>
  <si>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</si>
  <si>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</si>
  <si>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</si>
  <si>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</si>
  <si>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</si>
  <si>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</si>
  <si>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</si>
  <si>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</si>
  <si>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</si>
  <si>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</si>
  <si>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</si>
  <si>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</si>
  <si>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</si>
  <si>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</si>
  <si>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</si>
  <si>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</si>
  <si>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</si>
  <si>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</si>
  <si>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</si>
  <si>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</si>
  <si>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</si>
  <si>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</si>
  <si>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</si>
  <si>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</si>
  <si>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</si>
  <si>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</si>
  <si>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</si>
  <si>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</si>
  <si>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</si>
  <si>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</si>
  <si>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</si>
  <si>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</si>
  <si>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</si>
  <si>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</si>
  <si>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</si>
  <si>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</si>
  <si>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</si>
  <si>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</si>
  <si>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</si>
  <si>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</si>
  <si>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</si>
  <si>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</si>
  <si>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</si>
  <si>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</si>
  <si>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</si>
  <si>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</si>
  <si>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</si>
  <si>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</si>
  <si>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</si>
  <si>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</si>
  <si>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</si>
  <si>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</si>
  <si>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</si>
  <si>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</si>
  <si>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</si>
  <si>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</si>
  <si>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</si>
  <si>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</si>
  <si>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</si>
  <si>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</si>
  <si>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</si>
  <si>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</si>
  <si>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</si>
  <si>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</si>
  <si>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</si>
  <si>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</si>
  <si>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</si>
  <si>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</si>
  <si>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</si>
  <si>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</si>
  <si>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</si>
  <si>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</si>
  <si>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</si>
  <si>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</si>
  <si>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</si>
  <si>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</si>
  <si>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</si>
  <si>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</si>
  <si>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</si>
  <si>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</si>
  <si>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</si>
  <si>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</si>
  <si>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</si>
  <si>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</si>
  <si>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</si>
  <si>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</si>
  <si>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</si>
  <si>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</si>
  <si>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</si>
  <si>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</si>
  <si>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</si>
  <si>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</si>
  <si>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</si>
  <si>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</si>
  <si>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</si>
  <si>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</si>
  <si>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</si>
  <si>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</si>
  <si>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</si>
  <si>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</si>
  <si>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</si>
  <si>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</si>
  <si>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</si>
  <si>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</si>
  <si>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</si>
  <si>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</si>
  <si>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</si>
  <si>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</si>
  <si>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</si>
  <si>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</si>
  <si>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</si>
  <si>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</si>
  <si>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</si>
  <si>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</si>
  <si>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</si>
  <si>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</si>
  <si>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</si>
  <si>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</si>
  <si>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</si>
  <si>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</si>
  <si>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</si>
  <si>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</si>
  <si>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</si>
  <si>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</si>
  <si>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</si>
  <si>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</si>
  <si>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</si>
  <si>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</si>
  <si>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</si>
  <si>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</si>
  <si>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</si>
  <si>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</si>
  <si>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</si>
  <si>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</si>
  <si>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</si>
  <si>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</si>
  <si>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</si>
  <si>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</si>
  <si>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</si>
  <si>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</si>
  <si>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</si>
  <si>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</si>
  <si>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</si>
  <si>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</si>
  <si>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</si>
  <si>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</si>
  <si>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</si>
  <si>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</si>
  <si>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</si>
  <si>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</si>
  <si>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</si>
  <si>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</si>
  <si>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</si>
  <si>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</si>
  <si>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</si>
  <si>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</si>
  <si>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</si>
  <si>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</si>
  <si>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</si>
  <si>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</si>
  <si>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</si>
  <si>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</si>
  <si>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</si>
  <si>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</si>
  <si>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</si>
  <si>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</si>
  <si>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</si>
  <si>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</si>
  <si>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</si>
  <si>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</si>
  <si>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</si>
  <si>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</si>
  <si>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</si>
  <si>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</si>
  <si>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</si>
  <si>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</si>
  <si>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</si>
  <si>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</si>
  <si>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</si>
  <si>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</si>
  <si>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</si>
  <si>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</si>
  <si>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</si>
  <si>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</si>
  <si>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</si>
  <si>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</si>
  <si>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</si>
  <si>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</si>
  <si>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</si>
  <si>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</si>
  <si>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</si>
  <si>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</si>
  <si>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</si>
  <si>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</si>
  <si>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</si>
  <si>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</si>
  <si>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</si>
  <si>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</si>
  <si>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</si>
  <si>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</si>
  <si>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</si>
  <si>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</si>
  <si>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</si>
  <si>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</si>
  <si>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</si>
  <si>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</si>
  <si>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</si>
  <si>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</si>
  <si>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</si>
  <si>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</si>
  <si>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</si>
  <si>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</si>
  <si>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</si>
  <si>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</si>
  <si>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</si>
  <si>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</si>
  <si>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</si>
  <si>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</si>
  <si>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</si>
  <si>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</si>
  <si>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</si>
  <si>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</si>
  <si>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</si>
  <si>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</si>
  <si>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</si>
  <si>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</si>
  <si>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</si>
  <si>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</si>
  <si>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</si>
  <si>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</si>
  <si>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</si>
  <si>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</si>
  <si>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</si>
  <si>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</si>
  <si>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</si>
  <si>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</si>
  <si>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</si>
  <si>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</si>
  <si>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</si>
  <si>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</si>
  <si>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</si>
  <si>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</si>
  <si>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</si>
  <si>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</si>
  <si>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</si>
  <si>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</si>
  <si>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</si>
  <si>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</si>
  <si>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</si>
  <si>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</si>
  <si>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</si>
  <si>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</si>
  <si>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</si>
  <si>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</si>
  <si>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</si>
  <si>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</si>
  <si>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</si>
  <si>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</si>
  <si>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</si>
  <si>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</si>
  <si>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</si>
  <si>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</si>
  <si>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</si>
  <si>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</si>
  <si>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</si>
  <si>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</si>
  <si>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</si>
  <si>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</si>
  <si>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</si>
  <si>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</si>
  <si>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</si>
  <si>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</si>
  <si>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</si>
  <si>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</si>
  <si>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</si>
  <si>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</si>
  <si>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</si>
  <si>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</si>
  <si>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</si>
  <si>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</si>
  <si>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</si>
  <si>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</si>
  <si>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</si>
  <si>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</si>
  <si>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</si>
  <si>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</si>
  <si>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</si>
  <si>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</si>
  <si>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</si>
  <si>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</si>
  <si>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</si>
  <si>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</si>
  <si>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</si>
  <si>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</si>
  <si>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</si>
  <si>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</si>
  <si>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</si>
  <si>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</si>
  <si>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</si>
  <si>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</si>
  <si>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</si>
  <si>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</si>
  <si>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</si>
  <si>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</si>
  <si>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</si>
  <si>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</si>
  <si>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</si>
  <si>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</si>
  <si>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</si>
  <si>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</si>
  <si>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</si>
  <si>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</si>
  <si>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</si>
  <si>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</si>
  <si>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</si>
  <si>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</si>
  <si>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</si>
  <si>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</si>
  <si>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</si>
  <si>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</si>
  <si>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</si>
  <si>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</si>
  <si>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</si>
  <si>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</si>
  <si>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</si>
  <si>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</si>
  <si>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</si>
  <si>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</si>
  <si>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</si>
  <si>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</si>
  <si>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</si>
  <si>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</si>
  <si>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</si>
  <si>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</si>
  <si>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</si>
  <si>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</si>
  <si>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</si>
  <si>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</si>
  <si>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</si>
  <si>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</si>
  <si>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</si>
  <si>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</si>
  <si>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</si>
  <si>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</si>
  <si>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</si>
  <si>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</si>
  <si>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</si>
  <si>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</si>
  <si>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</si>
  <si>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</si>
  <si>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</si>
  <si>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</si>
  <si>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</si>
  <si>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</si>
  <si>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</si>
  <si>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</si>
  <si>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</si>
  <si>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</si>
  <si>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</si>
  <si>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</si>
  <si>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</si>
  <si>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</si>
  <si>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</si>
  <si>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</si>
  <si>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</si>
  <si>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</si>
  <si>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</si>
  <si>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</si>
  <si>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</si>
  <si>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</si>
  <si>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</si>
  <si>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</si>
  <si>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</si>
  <si>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</si>
  <si>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</si>
  <si>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</si>
  <si>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</si>
  <si>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</si>
  <si>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</si>
  <si>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</si>
  <si>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</si>
  <si>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</si>
  <si>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</si>
  <si>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</si>
  <si>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</si>
  <si>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</si>
  <si>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</si>
  <si>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</si>
  <si>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</si>
  <si>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</si>
  <si>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</si>
  <si>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</si>
  <si>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</si>
  <si>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</si>
  <si>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</si>
  <si>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</si>
  <si>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</si>
  <si>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</si>
  <si>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</si>
  <si>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</si>
  <si>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</si>
  <si>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</si>
  <si>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</si>
  <si>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</si>
  <si>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</si>
  <si>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</si>
  <si>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</si>
  <si>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</si>
  <si>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</si>
  <si>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</si>
  <si>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</si>
  <si>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</si>
  <si>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</si>
  <si>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</si>
  <si>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</si>
  <si>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</si>
  <si>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</si>
  <si>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</si>
  <si>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</si>
  <si>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</si>
  <si>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</si>
  <si>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</si>
  <si>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</si>
  <si>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</si>
  <si>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</si>
  <si>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</si>
  <si>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</si>
  <si>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</si>
  <si>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</si>
  <si>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</si>
  <si>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</si>
  <si>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</si>
  <si>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</si>
  <si>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</si>
  <si>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</si>
  <si>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</si>
  <si>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</si>
  <si>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</si>
  <si>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</si>
  <si>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</si>
  <si>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</si>
  <si>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</si>
  <si>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</si>
  <si>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</si>
  <si>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</si>
  <si>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</si>
  <si>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</si>
  <si>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</si>
  <si>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</si>
  <si>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</si>
  <si>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</si>
  <si>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</si>
  <si>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</si>
  <si>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</si>
  <si>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</si>
  <si>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</si>
  <si>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</si>
  <si>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</si>
  <si>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</si>
  <si>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</si>
  <si>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</si>
  <si>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</si>
  <si>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</si>
  <si>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</si>
  <si>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</si>
  <si>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</si>
  <si>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</si>
  <si>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</si>
  <si>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</si>
  <si>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</si>
  <si>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</si>
  <si>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</si>
  <si>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</si>
  <si>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</si>
  <si>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</si>
  <si>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</si>
  <si>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</si>
  <si>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</si>
  <si>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</si>
  <si>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</si>
  <si>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</si>
  <si>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</si>
  <si>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</si>
  <si>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</si>
  <si>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</si>
  <si>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</si>
  <si>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</si>
  <si>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</si>
  <si>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</si>
  <si>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</si>
  <si>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</si>
  <si>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</si>
  <si>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</si>
  <si>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</si>
  <si>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</si>
  <si>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</si>
  <si>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</si>
  <si>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</si>
  <si>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</si>
  <si>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</si>
  <si>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</si>
  <si>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</si>
  <si>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</si>
  <si>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</si>
  <si>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</si>
  <si>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</si>
  <si>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</si>
  <si>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</si>
  <si>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</si>
  <si>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</si>
  <si>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</si>
  <si>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</si>
  <si>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</si>
  <si>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</si>
  <si>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</si>
  <si>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</si>
  <si>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</si>
  <si>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</si>
  <si>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</si>
  <si>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</si>
  <si>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</si>
  <si>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</si>
  <si>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</si>
  <si>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</si>
  <si>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</si>
  <si>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</si>
  <si>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</si>
  <si>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</si>
  <si>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</si>
  <si>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</si>
  <si>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</si>
  <si>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</si>
  <si>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</si>
  <si>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</si>
  <si>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</si>
  <si>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</si>
  <si>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</si>
  <si>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</si>
  <si>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</si>
  <si>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</si>
  <si>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</si>
  <si>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</si>
  <si>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</si>
  <si>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</si>
  <si>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</si>
  <si>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</si>
  <si>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</si>
  <si>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</si>
  <si>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</si>
  <si>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</si>
  <si>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</si>
  <si>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</si>
  <si>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</si>
  <si>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</si>
  <si>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</si>
  <si>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</si>
  <si>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</si>
  <si>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</si>
  <si>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</si>
  <si>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</si>
  <si>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</si>
  <si>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</si>
  <si>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</si>
  <si>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</si>
  <si>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</si>
  <si>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</si>
  <si>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</si>
  <si>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</si>
  <si>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</si>
  <si>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</si>
  <si>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</si>
  <si>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</si>
  <si>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</si>
  <si>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</si>
  <si>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</si>
  <si>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</si>
  <si>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</si>
  <si>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</si>
  <si>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</si>
  <si>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</si>
  <si>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</si>
  <si>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</si>
  <si>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</si>
  <si>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</si>
  <si>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</si>
  <si>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</si>
  <si>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</si>
  <si>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</si>
  <si>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</si>
  <si>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</si>
  <si>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</si>
  <si>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</si>
  <si>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</si>
  <si>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</si>
  <si>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</si>
  <si>
    <t>Arakawa Under the Bridge</t>
  </si>
  <si>
    <t>Gekkan Shoujo Nozaki-kun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</si>
</sst>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3" fillId="0" borderId="29" xfId="0" quotePrefix="1" applyFont="1" applyBorder="1"/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80</c:v>
                </c:pt>
                <c:pt idx="2">
                  <c:v>10</c:v>
                </c:pt>
                <c:pt idx="3">
                  <c:v>11</c:v>
                </c:pt>
                <c:pt idx="4">
                  <c:v>17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30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34966080"/>
        <c:axId val="-34965536"/>
      </c:barChart>
      <c:catAx>
        <c:axId val="-3496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34965536"/>
        <c:crosses val="autoZero"/>
        <c:auto val="1"/>
        <c:lblAlgn val="ctr"/>
        <c:lblOffset val="100"/>
        <c:noMultiLvlLbl val="0"/>
      </c:catAx>
      <c:valAx>
        <c:axId val="-3496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349660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34964448"/>
        <c:axId val="-34977504"/>
      </c:barChart>
      <c:catAx>
        <c:axId val="-3496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34977504"/>
        <c:crosses val="autoZero"/>
        <c:auto val="1"/>
        <c:lblAlgn val="ctr"/>
        <c:lblOffset val="100"/>
        <c:noMultiLvlLbl val="0"/>
      </c:catAx>
      <c:valAx>
        <c:axId val="-3497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349644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164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74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11" totalsRowShown="0">
  <autoFilter ref="A2:H211"/>
  <sortState ref="A3:H211">
    <sortCondition ref="G3:G211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2" totalsRowShown="0" headerRowDxfId="53" dataDxfId="52">
  <autoFilter ref="A2:C72"/>
  <sortState ref="A3:C72">
    <sortCondition ref="C3:C72"/>
    <sortCondition ref="A3:A72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3" dataDxfId="32" tableBorderDxfId="31">
  <autoFilter ref="A2:D16"/>
  <sortState ref="A3:D16">
    <sortCondition ref="C3:C16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A11" sqref="A11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95" t="s">
        <v>470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</row>
    <row r="2" spans="1:31">
      <c r="A2" s="189" t="s">
        <v>0</v>
      </c>
      <c r="B2" s="190"/>
      <c r="C2" s="190"/>
      <c r="D2" s="190"/>
      <c r="E2" s="190"/>
      <c r="F2" s="190"/>
      <c r="G2" s="190"/>
      <c r="H2" s="191"/>
      <c r="I2" s="24" t="s">
        <v>157</v>
      </c>
      <c r="J2" s="200" t="s">
        <v>468</v>
      </c>
      <c r="K2" s="201"/>
      <c r="L2" s="202"/>
      <c r="N2" s="197" t="s">
        <v>469</v>
      </c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9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668</v>
      </c>
      <c r="B4" s="93" t="s">
        <v>678</v>
      </c>
      <c r="C4" s="92">
        <v>1</v>
      </c>
      <c r="D4" s="92">
        <v>7</v>
      </c>
      <c r="E4" s="92">
        <v>10</v>
      </c>
      <c r="F4" s="115">
        <v>41837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FFF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IF('Completed'!$A$3&lt;&gt;"",'Completed'!$A$3,"")</f>
        <v>Inferno Cop</v>
      </c>
      <c r="O4" s="28">
        <f>IF('Completed'!$B$3&lt;&gt;"",'Completed'!$B$3,"")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IF('Completed'!$C$3&lt;&gt;"",'Completed'!$C$3,"")</f>
        <v>11</v>
      </c>
      <c r="W4" s="53">
        <f>IF('Completed'!$D$3&lt;&gt;"",'Completed'!$D$3,"")</f>
        <v>11</v>
      </c>
      <c r="X4" s="53">
        <f>IF('Completed'!$E$3&lt;&gt;"",'Completed'!$E$3,"")</f>
        <v>0</v>
      </c>
      <c r="Y4" s="53">
        <f>IF('Completed'!$F$3&lt;&gt;"",'Completed'!$F$3,"")</f>
        <v>10</v>
      </c>
      <c r="Z4" s="65">
        <f>IF('Completed'!$G$3&lt;&gt;"",'Completed'!$G$3,"")</f>
        <v>9.9748743718592969</v>
      </c>
      <c r="AA4" s="75">
        <f>IF('Completed'!$H$3&lt;&gt;"",'Completed'!$H$3,"")</f>
        <v>10</v>
      </c>
      <c r="AB4" s="54">
        <f>IF('Completed'!$I$3&lt;&gt;"",'Completed'!$I$3,"")</f>
        <v>41290</v>
      </c>
      <c r="AC4" s="54">
        <f>IF('Completed'!$J$3&lt;&gt;"",'Completed'!$J$3,"")</f>
        <v>41352</v>
      </c>
      <c r="AD4" s="66" t="str">
        <f>IF('Completed'!$K$3&lt;&gt;"",'Completed'!$K$3,"")</f>
        <v>Inferno Cop</v>
      </c>
      <c r="AE4" s="66" t="str">
        <f>IF('Completed'!$L$3&lt;&gt;"",'Completed'!$L$3,"")</f>
        <v/>
      </c>
    </row>
    <row r="5" spans="1:31">
      <c r="A5" s="90" t="s">
        <v>679</v>
      </c>
      <c r="B5" s="94" t="s">
        <v>680</v>
      </c>
      <c r="C5" s="95">
        <v>1</v>
      </c>
      <c r="D5" s="92">
        <v>0</v>
      </c>
      <c r="E5" s="92">
        <v>5</v>
      </c>
      <c r="F5" s="115">
        <v>41839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HorribleSubs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IF('Completed'!$A$4&lt;&gt;"",'Completed'!$A$4,"")</f>
        <v>Steins;Gate</v>
      </c>
      <c r="O5" s="28">
        <f>IF('Completed'!$B$4&lt;&gt;"",'Completed'!$B$4,"")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A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IF('Completed'!$C$4&lt;&gt;"",'Completed'!$C$4,"")</f>
        <v>10</v>
      </c>
      <c r="W5" s="53">
        <f>IF('Completed'!$D$4&lt;&gt;"",'Completed'!$D$4,"")</f>
        <v>9.5</v>
      </c>
      <c r="X5" s="53">
        <f>IF('Completed'!$E$4&lt;&gt;"",'Completed'!$E$4,"")</f>
        <v>4</v>
      </c>
      <c r="Y5" s="53">
        <f>IF('Completed'!$F$4&lt;&gt;"",'Completed'!$F$4,"")</f>
        <v>10</v>
      </c>
      <c r="Z5" s="65">
        <f>IF('Completed'!$G$4&lt;&gt;"",'Completed'!$G$4,"")</f>
        <v>9.5791457286432156</v>
      </c>
      <c r="AA5" s="75">
        <f>IF('Completed'!$H$4&lt;&gt;"",'Completed'!$H$4,"")</f>
        <v>9.6032745591939523</v>
      </c>
      <c r="AB5" s="54">
        <f>IF('Completed'!$I$4&lt;&gt;"",'Completed'!$I$4,"")</f>
        <v>41270</v>
      </c>
      <c r="AC5" s="54">
        <f>IF('Completed'!$J$4&lt;&gt;"",'Completed'!$J$4,"")</f>
        <v>41279</v>
      </c>
      <c r="AD5" s="66" t="str">
        <f>IF('Completed'!$K$4&lt;&gt;"",'Completed'!$K$4,"")</f>
        <v>Makise Kurisu</v>
      </c>
      <c r="AE5" s="66" t="str">
        <f>IF('Completed'!$L$4&lt;&gt;"",'Completed'!$L$4,"")</f>
        <v>Good show, mostly accurate science, overall a good watch</v>
      </c>
    </row>
    <row r="6" spans="1:31">
      <c r="A6" s="90" t="s">
        <v>626</v>
      </c>
      <c r="B6" s="94" t="s">
        <v>672</v>
      </c>
      <c r="C6" s="95">
        <v>1</v>
      </c>
      <c r="D6" s="92">
        <v>7</v>
      </c>
      <c r="E6" s="92">
        <v>10</v>
      </c>
      <c r="F6" s="115">
        <v>41831</v>
      </c>
      <c r="G6" s="111" t="str">
        <f ca="1">IF($A6&lt;&gt;"", INDIRECT("'Tracker'!"&amp;ADDRESS(MATCH($A6, Tracker[Anime Name], 0) + 2, 4)), "")</f>
        <v>B</v>
      </c>
      <c r="H6" s="104" t="str">
        <f ca="1">IF($A6&lt;&gt;"", INDIRECT("'Tracker'!"&amp;ADDRESS(MATCH($A6, Tracker[Anime Name], 0) + 2, 8)), "")</f>
        <v>FFF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IF('Completed'!$A$5&lt;&gt;"",'Completed'!$A$5,"")</f>
        <v>Sakamichi no Apollon</v>
      </c>
      <c r="O6" s="28">
        <f>IF('Completed'!$B$5&lt;&gt;"",'Completed'!$B$5,"")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B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IF('Completed'!$C$5&lt;&gt;"",'Completed'!$C$5,"")</f>
        <v>9.5</v>
      </c>
      <c r="W6" s="53">
        <f>IF('Completed'!$D$5&lt;&gt;"",'Completed'!$D$5,"")</f>
        <v>9.5</v>
      </c>
      <c r="X6" s="53">
        <f>IF('Completed'!$E$5&lt;&gt;"",'Completed'!$E$5,"")</f>
        <v>3.5</v>
      </c>
      <c r="Y6" s="53">
        <f>IF('Completed'!$F$5&lt;&gt;"",'Completed'!$F$5,"")</f>
        <v>10</v>
      </c>
      <c r="Z6" s="65">
        <f>IF('Completed'!$G$5&lt;&gt;"",'Completed'!$G$5,"")</f>
        <v>9.4635678391959797</v>
      </c>
      <c r="AA6" s="75">
        <f>IF('Completed'!$H$5&lt;&gt;"",'Completed'!$H$5,"")</f>
        <v>9.4874055415617118</v>
      </c>
      <c r="AB6" s="54">
        <f>IF('Completed'!$I$5&lt;&gt;"",'Completed'!$I$5,"")</f>
        <v>41646</v>
      </c>
      <c r="AC6" s="54">
        <f>IF('Completed'!$J$5&lt;&gt;"",'Completed'!$J$5,"")</f>
        <v>41647</v>
      </c>
      <c r="AD6" s="66" t="str">
        <f>IF('Completed'!$K$5&lt;&gt;"",'Completed'!$K$5,"")</f>
        <v>Mukae Ritsuko</v>
      </c>
      <c r="AE6" s="66" t="str">
        <f>IF('Completed'!$L$5&lt;&gt;"",'Completed'!$L$5,"")</f>
        <v>Even more accurate music than K-On!</v>
      </c>
    </row>
    <row r="7" spans="1:31">
      <c r="A7" s="90" t="s">
        <v>636</v>
      </c>
      <c r="B7" s="94" t="s">
        <v>632</v>
      </c>
      <c r="C7" s="95">
        <v>1</v>
      </c>
      <c r="D7" s="92">
        <v>7</v>
      </c>
      <c r="E7" s="92">
        <v>9</v>
      </c>
      <c r="F7" s="115">
        <v>41832</v>
      </c>
      <c r="G7" s="111" t="str">
        <f ca="1">IF($A7&lt;&gt;"", INDIRECT("'Tracker'!"&amp;ADDRESS(MATCH($A7, Tracker[Anime Name], 0) + 2, 4)), "")</f>
        <v>B</v>
      </c>
      <c r="H7" s="104" t="str">
        <f ca="1">IF($A7&lt;&gt;"", INDIRECT("'Tracker'!"&amp;ADDRESS(MATCH($A7, Tracker[Anime Name], 0) + 2, 8)), "")</f>
        <v>FFF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IF('Completed'!$A$6&lt;&gt;"",'Completed'!$A$6,"")</f>
        <v>Baccano!</v>
      </c>
      <c r="O7" s="28">
        <f>IF('Completed'!$B$6&lt;&gt;"",'Completed'!$B$6,"")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IF('Completed'!$C$6&lt;&gt;"",'Completed'!$C$6,"")</f>
        <v>10</v>
      </c>
      <c r="W7" s="53">
        <f>IF('Completed'!$D$6&lt;&gt;"",'Completed'!$D$6,"")</f>
        <v>10</v>
      </c>
      <c r="X7" s="53">
        <f>IF('Completed'!$E$6&lt;&gt;"",'Completed'!$E$6,"")</f>
        <v>3</v>
      </c>
      <c r="Y7" s="53">
        <f>IF('Completed'!$F$6&lt;&gt;"",'Completed'!$F$6,"")</f>
        <v>9.5</v>
      </c>
      <c r="Z7" s="65">
        <f>IF('Completed'!$G$6&lt;&gt;"",'Completed'!$G$6,"")</f>
        <v>9.4158291457286438</v>
      </c>
      <c r="AA7" s="75">
        <f>IF('Completed'!$H$6&lt;&gt;"",'Completed'!$H$6,"")</f>
        <v>9.4395465994962215</v>
      </c>
      <c r="AB7" s="54">
        <f>IF('Completed'!$I$6&lt;&gt;"",'Completed'!$I$6,"")</f>
        <v>41607</v>
      </c>
      <c r="AC7" s="54">
        <f>IF('Completed'!$J$6&lt;&gt;"",'Completed'!$J$6,"")</f>
        <v>41634</v>
      </c>
      <c r="AD7" s="66" t="str">
        <f>IF('Completed'!$K$6&lt;&gt;"",'Completed'!$K$6,"")</f>
        <v>Rachel</v>
      </c>
      <c r="AE7" s="66" t="str">
        <f>IF('Completed'!$L$6&lt;&gt;"",'Completed'!$L$6,"")</f>
        <v>One of the best written stories I've seen in a while</v>
      </c>
    </row>
    <row r="8" spans="1:31">
      <c r="A8" s="90" t="s">
        <v>412</v>
      </c>
      <c r="B8" s="94" t="s">
        <v>375</v>
      </c>
      <c r="C8" s="95">
        <v>1</v>
      </c>
      <c r="D8" s="92">
        <v>17</v>
      </c>
      <c r="E8" s="92">
        <v>19</v>
      </c>
      <c r="F8" s="115">
        <v>41751</v>
      </c>
      <c r="G8" s="111" t="str">
        <f ca="1">IF($A8&lt;&gt;"", INDIRECT("'Tracker'!"&amp;ADDRESS(MATCH($A8, Tracker[Anime Name], 0) + 2, 4)), "")</f>
        <v>B</v>
      </c>
      <c r="H8" s="104" t="str">
        <f ca="1">IF($A8&lt;&gt;"", INDIRECT("'Tracker'!"&amp;ADDRESS(MATCH($A8, Tracker[Anime Name], 0) + 2, 8)), "")</f>
        <v>WhyNot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IF('Completed'!$A$7&lt;&gt;"",'Completed'!$A$7,"")</f>
        <v>Isshuukan Friends</v>
      </c>
      <c r="O8" s="28">
        <f>IF('Completed'!$B$7&lt;&gt;"",'Completed'!$B$7,"")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IF('Completed'!$C$7&lt;&gt;"",'Completed'!$C$7,"")</f>
        <v>9</v>
      </c>
      <c r="W8" s="53">
        <f>IF('Completed'!$D$7&lt;&gt;"",'Completed'!$D$7,"")</f>
        <v>9.5</v>
      </c>
      <c r="X8" s="53">
        <f>IF('Completed'!$E$7&lt;&gt;"",'Completed'!$E$7,"")</f>
        <v>7</v>
      </c>
      <c r="Y8" s="53">
        <f>IF('Completed'!$F$7&lt;&gt;"",'Completed'!$F$7,"")</f>
        <v>9.5</v>
      </c>
      <c r="Z8" s="65">
        <f>IF('Completed'!$G$7&lt;&gt;"",'Completed'!$G$7,"")</f>
        <v>9.2889447236180906</v>
      </c>
      <c r="AA8" s="75">
        <f>IF('Completed'!$H$7&lt;&gt;"",'Completed'!$H$7,"")</f>
        <v>9.3123425692695196</v>
      </c>
      <c r="AB8" s="54">
        <f>IF('Completed'!$I$7&lt;&gt;"",'Completed'!$I$7,"")</f>
        <v>41749</v>
      </c>
      <c r="AC8" s="54">
        <f>IF('Completed'!$J$7&lt;&gt;"",'Completed'!$J$7,"")</f>
        <v>41815</v>
      </c>
      <c r="AD8" s="66" t="str">
        <f>IF('Completed'!$K$7&lt;&gt;"",'Completed'!$K$7,"")</f>
        <v>Fujimiya Kaori</v>
      </c>
      <c r="AE8" s="66" t="str">
        <f>IF('Completed'!$L$7&lt;&gt;"",'Completed'!$L$7,"")</f>
        <v>Saki and Fujimiya's mom are both great too</v>
      </c>
    </row>
    <row r="9" spans="1:31">
      <c r="A9" s="90" t="s">
        <v>624</v>
      </c>
      <c r="B9" s="93" t="s">
        <v>375</v>
      </c>
      <c r="C9" s="92">
        <v>2</v>
      </c>
      <c r="D9" s="92">
        <v>8</v>
      </c>
      <c r="E9" s="92">
        <v>10</v>
      </c>
      <c r="F9" s="115">
        <v>41837</v>
      </c>
      <c r="G9" s="111" t="str">
        <f ca="1">IF($A9&lt;&gt;"", INDIRECT("'Tracker'!"&amp;ADDRESS(MATCH($A9, Tracker[Anime Name], 0) + 2, 4)), "")</f>
        <v>B</v>
      </c>
      <c r="H9" s="104" t="str">
        <f ca="1">IF($A9&lt;&gt;"", INDIRECT("'Tracker'!"&amp;ADDRESS(MATCH($A9, Tracker[Anime Name], 0) + 2, 8)), "")</f>
        <v>HorribleSubs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IF('Completed'!$A$8&lt;&gt;"",'Completed'!$A$8,"")</f>
        <v>The Tatami Galaxy</v>
      </c>
      <c r="O9" s="28">
        <f>IF('Completed'!$B$8&lt;&gt;"",'Completed'!$B$8,"")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IF('Completed'!$C$8&lt;&gt;"",'Completed'!$C$8,"")</f>
        <v>10</v>
      </c>
      <c r="W9" s="53">
        <f>IF('Completed'!$D$8&lt;&gt;"",'Completed'!$D$8,"")</f>
        <v>9</v>
      </c>
      <c r="X9" s="53">
        <f>IF('Completed'!$E$8&lt;&gt;"",'Completed'!$E$8,"")</f>
        <v>5</v>
      </c>
      <c r="Y9" s="53">
        <f>IF('Completed'!$F$8&lt;&gt;"",'Completed'!$F$8,"")</f>
        <v>9.5</v>
      </c>
      <c r="Z9" s="65">
        <f>IF('Completed'!$G$8&lt;&gt;"",'Completed'!$G$8,"")</f>
        <v>9.2424623115577873</v>
      </c>
      <c r="AA9" s="75">
        <f>IF('Completed'!$H$8&lt;&gt;"",'Completed'!$H$8,"")</f>
        <v>9.2657430730478563</v>
      </c>
      <c r="AB9" s="54">
        <f>IF('Completed'!$I$8&lt;&gt;"",'Completed'!$I$8,"")</f>
        <v>41742</v>
      </c>
      <c r="AC9" s="54">
        <f>IF('Completed'!$J$8&lt;&gt;"",'Completed'!$J$8,"")</f>
        <v>41746</v>
      </c>
      <c r="AD9" s="66" t="str">
        <f>IF('Completed'!$K$8&lt;&gt;"",'Completed'!$K$8,"")</f>
        <v>Akashi</v>
      </c>
      <c r="AE9" s="66" t="str">
        <f>IF('Completed'!$L$8&lt;&gt;"",'Completed'!$L$8,"")</f>
        <v>Really well planned show</v>
      </c>
    </row>
    <row r="10" spans="1:31">
      <c r="A10" s="90" t="s">
        <v>618</v>
      </c>
      <c r="B10" s="94" t="s">
        <v>375</v>
      </c>
      <c r="C10" s="95">
        <v>2</v>
      </c>
      <c r="D10" s="92">
        <v>8</v>
      </c>
      <c r="E10" s="92">
        <v>10</v>
      </c>
      <c r="F10" s="115">
        <v>41827</v>
      </c>
      <c r="G10" s="111" t="str">
        <f ca="1">IF($A10&lt;&gt;"", INDIRECT("'Tracker'!"&amp;ADDRESS(MATCH($A10, Tracker[Anime Name], 0) + 2, 4)), "")</f>
        <v>A</v>
      </c>
      <c r="H10" s="104" t="str">
        <f ca="1">IF($A10&lt;&gt;"", INDIRECT("'Tracker'!"&amp;ADDRESS(MATCH($A10, Tracker[Anime Name], 0) + 2, 8)), "")</f>
        <v>WhyNot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IF('Completed'!$A$9&lt;&gt;"",'Completed'!$A$9,"")</f>
        <v>Clannad -After Story-</v>
      </c>
      <c r="O10" s="28">
        <f>IF('Completed'!$B$9&lt;&gt;"",'Completed'!$B$9,"")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IF('Completed'!$C$9&lt;&gt;"",'Completed'!$C$9,"")</f>
        <v>9.5</v>
      </c>
      <c r="W10" s="53">
        <f>IF('Completed'!$D$9&lt;&gt;"",'Completed'!$D$9,"")</f>
        <v>10</v>
      </c>
      <c r="X10" s="53">
        <f>IF('Completed'!$E$9&lt;&gt;"",'Completed'!$E$9,"")</f>
        <v>6</v>
      </c>
      <c r="Y10" s="53">
        <f>IF('Completed'!$F$9&lt;&gt;"",'Completed'!$F$9,"")</f>
        <v>9</v>
      </c>
      <c r="Z10" s="65">
        <f>IF('Completed'!$G$9&lt;&gt;"",'Completed'!$G$9,"")</f>
        <v>9.217336683417086</v>
      </c>
      <c r="AA10" s="75">
        <f>IF('Completed'!$H$9&lt;&gt;"",'Completed'!$H$9,"")</f>
        <v>9.2405541561712852</v>
      </c>
      <c r="AB10" s="54">
        <f>IF('Completed'!$I$9&lt;&gt;"",'Completed'!$I$9,"")</f>
        <v>41293</v>
      </c>
      <c r="AC10" s="54">
        <f>IF('Completed'!$J$9&lt;&gt;"",'Completed'!$J$9,"")</f>
        <v>41294</v>
      </c>
      <c r="AD10" s="66" t="str">
        <f>IF('Completed'!$K$9&lt;&gt;"",'Completed'!$K$9,"")</f>
        <v>Fujibayashi Kyou</v>
      </c>
      <c r="AE10" s="66" t="str">
        <f>IF('Completed'!$L$9&lt;&gt;"",'Completed'!$L$9,"")</f>
        <v>So many feels</v>
      </c>
    </row>
    <row r="11" spans="1:31">
      <c r="A11" s="90" t="s">
        <v>58</v>
      </c>
      <c r="B11" s="91" t="s">
        <v>124</v>
      </c>
      <c r="C11" s="92">
        <v>1</v>
      </c>
      <c r="D11" s="92">
        <v>17</v>
      </c>
      <c r="E11" s="92">
        <v>26</v>
      </c>
      <c r="F11" s="115">
        <v>41653</v>
      </c>
      <c r="G11" s="111" t="str">
        <f ca="1">IF($A11&lt;&gt;"", INDIRECT("'Tracker'!"&amp;ADDRESS(MATCH($A11, Tracker[Anime Name], 0) + 2, 4)), "")</f>
        <v>A</v>
      </c>
      <c r="H11" s="104" t="str">
        <f ca="1">IF($A11&lt;&gt;"", INDIRECT("'Tracker'!"&amp;ADDRESS(MATCH($A11, Tracker[Anime Name], 0) + 2, 8)), "")</f>
        <v>niizk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IF('Completed'!$A$10&lt;&gt;"",'Completed'!$A$10,"")</f>
        <v>Durarara!!</v>
      </c>
      <c r="O11" s="28">
        <f>IF('Completed'!$B$10&lt;&gt;"",'Completed'!$B$10,"")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IF('Completed'!$C$10&lt;&gt;"",'Completed'!$C$10,"")</f>
        <v>10</v>
      </c>
      <c r="W11" s="53">
        <f>IF('Completed'!$D$10&lt;&gt;"",'Completed'!$D$10,"")</f>
        <v>9</v>
      </c>
      <c r="X11" s="53">
        <f>IF('Completed'!$E$10&lt;&gt;"",'Completed'!$E$10,"")</f>
        <v>4</v>
      </c>
      <c r="Y11" s="53">
        <f>IF('Completed'!$F$10&lt;&gt;"",'Completed'!$F$10,"")</f>
        <v>9.5</v>
      </c>
      <c r="Z11" s="65">
        <f>IF('Completed'!$G$10&lt;&gt;"",'Completed'!$G$10,"")</f>
        <v>9.1947236180904515</v>
      </c>
      <c r="AA11" s="75">
        <f>IF('Completed'!$H$10&lt;&gt;"",'Completed'!$H$10,"")</f>
        <v>9.217884130982366</v>
      </c>
      <c r="AB11" s="54">
        <f>IF('Completed'!$I$10&lt;&gt;"",'Completed'!$I$10,"")</f>
        <v>41750</v>
      </c>
      <c r="AC11" s="54">
        <f>IF('Completed'!$J$10&lt;&gt;"",'Completed'!$J$10,"")</f>
        <v>41756</v>
      </c>
      <c r="AD11" s="66" t="str">
        <f>IF('Completed'!$K$10&lt;&gt;"",'Completed'!$K$10,"")</f>
        <v>Celty Sturluson</v>
      </c>
      <c r="AE11" s="66" t="str">
        <f>IF('Completed'!$L$10&lt;&gt;"",'Completed'!$L$10,"")</f>
        <v/>
      </c>
    </row>
    <row r="12" spans="1:31">
      <c r="A12" s="90" t="s">
        <v>330</v>
      </c>
      <c r="B12" s="94" t="s">
        <v>124</v>
      </c>
      <c r="C12" s="95">
        <v>1</v>
      </c>
      <c r="D12" s="95">
        <v>2</v>
      </c>
      <c r="E12" s="95">
        <v>11</v>
      </c>
      <c r="F12" s="116">
        <v>41816</v>
      </c>
      <c r="G12" s="111" t="str">
        <f ca="1">IF($A12&lt;&gt;"", INDIRECT("'Tracker'!"&amp;ADDRESS(MATCH($A12, Tracker[Anime Name], 0) + 2, 4)), "")</f>
        <v>A</v>
      </c>
      <c r="H12" s="104" t="str">
        <f ca="1">IF($A12&lt;&gt;"", INDIRECT("'Tracker'!"&amp;ADDRESS(MATCH($A12, Tracker[Anime Name], 0) + 2, 8)), "")</f>
        <v>Zurako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IF('Completed'!$A$11&lt;&gt;"",'Completed'!$A$11,"")</f>
        <v>Mikakunin no Shinkoukei</v>
      </c>
      <c r="O12" s="28">
        <f>IF('Completed'!$B$11&lt;&gt;"",'Completed'!$B$11,"")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IF('Completed'!$C$11&lt;&gt;"",'Completed'!$C$11,"")</f>
        <v>9</v>
      </c>
      <c r="W12" s="53">
        <f>IF('Completed'!$D$11&lt;&gt;"",'Completed'!$D$11,"")</f>
        <v>9</v>
      </c>
      <c r="X12" s="53">
        <f>IF('Completed'!$E$11&lt;&gt;"",'Completed'!$E$11,"")</f>
        <v>7.5</v>
      </c>
      <c r="Y12" s="53">
        <f>IF('Completed'!$F$11&lt;&gt;"",'Completed'!$F$11,"")</f>
        <v>9.5</v>
      </c>
      <c r="Z12" s="65">
        <f>IF('Completed'!$G$11&lt;&gt;"",'Completed'!$G$11,"")</f>
        <v>9.1783919597989954</v>
      </c>
      <c r="AA12" s="75">
        <f>IF('Completed'!$H$11&lt;&gt;"",'Completed'!$H$11,"")</f>
        <v>9.2015113350125937</v>
      </c>
      <c r="AB12" s="54">
        <f>IF('Completed'!$I$11&lt;&gt;"",'Completed'!$I$11,"")</f>
        <v>41814</v>
      </c>
      <c r="AC12" s="54">
        <f>IF('Completed'!$J$11&lt;&gt;"",'Completed'!$J$11,"")</f>
        <v>41815</v>
      </c>
      <c r="AD12" s="66" t="str">
        <f>IF('Completed'!$K$11&lt;&gt;"",'Completed'!$K$11,"")</f>
        <v>Yonomori Kobeni</v>
      </c>
      <c r="AE12" s="66" t="str">
        <f>IF('Completed'!$L$11&lt;&gt;"",'Completed'!$L$11,"")</f>
        <v>This show is good.</v>
      </c>
    </row>
    <row r="13" spans="1:31">
      <c r="A13" s="90" t="s">
        <v>638</v>
      </c>
      <c r="B13" s="91" t="s">
        <v>658</v>
      </c>
      <c r="C13" s="92">
        <v>1</v>
      </c>
      <c r="D13" s="92">
        <v>9</v>
      </c>
      <c r="E13" s="92">
        <v>9</v>
      </c>
      <c r="F13" s="115">
        <v>41828</v>
      </c>
      <c r="G13" s="111" t="str">
        <f ca="1">IF($A13&lt;&gt;"", INDIRECT("'Tracker'!"&amp;ADDRESS(MATCH($A13, Tracker[Anime Name], 0) + 2, 4)), "")</f>
        <v>B</v>
      </c>
      <c r="H13" s="104" t="str">
        <f ca="1">IF($A13&lt;&gt;"", INDIRECT("'Tracker'!"&amp;ADDRESS(MATCH($A13, Tracker[Anime Name], 0) + 2, 8)), "")</f>
        <v>Doki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IF('Completed'!$A$12&lt;&gt;"",'Completed'!$A$12,"")</f>
        <v>Spice and Wolf</v>
      </c>
      <c r="O13" s="28">
        <f>IF('Completed'!$B$12&lt;&gt;"",'Completed'!$B$12,"")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IF('Completed'!$C$12&lt;&gt;"",'Completed'!$C$12,"")</f>
        <v>9</v>
      </c>
      <c r="W13" s="53">
        <f>IF('Completed'!$D$12&lt;&gt;"",'Completed'!$D$12,"")</f>
        <v>9.5</v>
      </c>
      <c r="X13" s="53">
        <f>IF('Completed'!$E$12&lt;&gt;"",'Completed'!$E$12,"")</f>
        <v>4.5</v>
      </c>
      <c r="Y13" s="53">
        <f>IF('Completed'!$F$12&lt;&gt;"",'Completed'!$F$12,"")</f>
        <v>9.5</v>
      </c>
      <c r="Z13" s="65">
        <f>IF('Completed'!$G$12&lt;&gt;"",'Completed'!$G$12,"")</f>
        <v>9.1695979899497502</v>
      </c>
      <c r="AA13" s="75">
        <f>IF('Completed'!$H$12&lt;&gt;"",'Completed'!$H$12,"")</f>
        <v>9.1926952141057949</v>
      </c>
      <c r="AB13" s="54">
        <f>IF('Completed'!$I$12&lt;&gt;"",'Completed'!$I$12,"")</f>
        <v>41357</v>
      </c>
      <c r="AC13" s="54">
        <f>IF('Completed'!$J$12&lt;&gt;"",'Completed'!$J$12,"")</f>
        <v>41357</v>
      </c>
      <c r="AD13" s="66" t="str">
        <f>IF('Completed'!$K$12&lt;&gt;"",'Completed'!$K$12,"")</f>
        <v>Nora Adrendt</v>
      </c>
      <c r="AE13" s="66" t="str">
        <f>IF('Completed'!$L$12&lt;&gt;"",'Completed'!$L$12,"")</f>
        <v/>
      </c>
    </row>
    <row r="14" spans="1:31">
      <c r="A14" s="90" t="s">
        <v>623</v>
      </c>
      <c r="B14" s="91" t="s">
        <v>632</v>
      </c>
      <c r="C14" s="92">
        <v>2</v>
      </c>
      <c r="D14" s="92">
        <v>10</v>
      </c>
      <c r="E14" s="92">
        <v>10</v>
      </c>
      <c r="F14" s="114">
        <v>41826</v>
      </c>
      <c r="G14" s="111" t="str">
        <f ca="1">IF($A14&lt;&gt;"", INDIRECT("'Tracker'!"&amp;ADDRESS(MATCH($A14, Tracker[Anime Name], 0) + 2, 4)), "")</f>
        <v>A</v>
      </c>
      <c r="H14" s="104" t="str">
        <f ca="1">IF($A14&lt;&gt;"", INDIRECT("'Tracker'!"&amp;ADDRESS(MATCH($A14, Tracker[Anime Name], 0) + 2, 8)), "")</f>
        <v>FFF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IF('Completed'!$A$13&lt;&gt;"",'Completed'!$A$13,"")</f>
        <v>Shakugan no Shana Final</v>
      </c>
      <c r="O14" s="28">
        <f>IF('Completed'!$B$13&lt;&gt;"",'Completed'!$B$13,"")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IF('Completed'!$C$13&lt;&gt;"",'Completed'!$C$13,"")</f>
        <v>10</v>
      </c>
      <c r="W14" s="53">
        <f>IF('Completed'!$D$13&lt;&gt;"",'Completed'!$D$13,"")</f>
        <v>8.5</v>
      </c>
      <c r="X14" s="53">
        <f>IF('Completed'!$E$13&lt;&gt;"",'Completed'!$E$13,"")</f>
        <v>6</v>
      </c>
      <c r="Y14" s="53">
        <f>IF('Completed'!$F$13&lt;&gt;"",'Completed'!$F$13,"")</f>
        <v>9.5</v>
      </c>
      <c r="Z14" s="65">
        <f>IF('Completed'!$G$13&lt;&gt;"",'Completed'!$G$13,"")</f>
        <v>9.1557788944723608</v>
      </c>
      <c r="AA14" s="75">
        <f>IF('Completed'!$H$13&lt;&gt;"",'Completed'!$H$13,"")</f>
        <v>9.1788413098236763</v>
      </c>
      <c r="AB14" s="54">
        <f>IF('Completed'!$I$13&lt;&gt;"",'Completed'!$I$13,"")</f>
        <v>41400</v>
      </c>
      <c r="AC14" s="54">
        <f>IF('Completed'!$J$13&lt;&gt;"",'Completed'!$J$13,"")</f>
        <v>41402</v>
      </c>
      <c r="AD14" s="66" t="str">
        <f>IF('Completed'!$K$13&lt;&gt;"",'Completed'!$K$13,"")</f>
        <v>Shana</v>
      </c>
      <c r="AE14" s="66" t="str">
        <f>IF('Completed'!$L$13&lt;&gt;"",'Completed'!$L$13,"")</f>
        <v/>
      </c>
    </row>
    <row r="15" spans="1:31">
      <c r="A15" s="90" t="s">
        <v>619</v>
      </c>
      <c r="B15" s="94" t="s">
        <v>375</v>
      </c>
      <c r="C15" s="95">
        <v>1</v>
      </c>
      <c r="D15" s="92">
        <v>10</v>
      </c>
      <c r="E15" s="92">
        <v>10</v>
      </c>
      <c r="F15" s="115">
        <v>41831</v>
      </c>
      <c r="G15" s="111" t="str">
        <f ca="1">IF($A15&lt;&gt;"", INDIRECT("'Tracker'!"&amp;ADDRESS(MATCH($A15, Tracker[Anime Name], 0) + 2, 4)), "")</f>
        <v>B</v>
      </c>
      <c r="H15" s="104" t="str">
        <f ca="1">IF($A15&lt;&gt;"", INDIRECT("'Tracker'!"&amp;ADDRESS(MATCH($A15, Tracker[Anime Name], 0) + 2, 8)), "")</f>
        <v>Vivid, Watashi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IF('Completed'!$A$14&lt;&gt;"",'Completed'!$A$14,"")</f>
        <v>Log Horizon</v>
      </c>
      <c r="O15" s="28">
        <f>IF('Completed'!$B$14&lt;&gt;"",'Completed'!$B$14,"")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IF('Completed'!$C$14&lt;&gt;"",'Completed'!$C$14,"")</f>
        <v>8.5</v>
      </c>
      <c r="W15" s="53">
        <f>IF('Completed'!$D$14&lt;&gt;"",'Completed'!$D$14,"")</f>
        <v>9</v>
      </c>
      <c r="X15" s="53">
        <f>IF('Completed'!$E$14&lt;&gt;"",'Completed'!$E$14,"")</f>
        <v>6.5</v>
      </c>
      <c r="Y15" s="53">
        <f>IF('Completed'!$F$14&lt;&gt;"",'Completed'!$F$14,"")</f>
        <v>9.5</v>
      </c>
      <c r="Z15" s="65">
        <f>IF('Completed'!$G$14&lt;&gt;"",'Completed'!$G$14,"")</f>
        <v>9.0389447236180906</v>
      </c>
      <c r="AA15" s="75">
        <f>IF('Completed'!$H$14&lt;&gt;"",'Completed'!$H$14,"")</f>
        <v>9.0617128463476053</v>
      </c>
      <c r="AB15" s="54">
        <f>IF('Completed'!$I$14&lt;&gt;"",'Completed'!$I$14,"")</f>
        <v>41555</v>
      </c>
      <c r="AC15" s="54">
        <f>IF('Completed'!$J$14&lt;&gt;"",'Completed'!$J$14,"")</f>
        <v>41720</v>
      </c>
      <c r="AD15" s="66" t="str">
        <f>IF('Completed'!$K$14&lt;&gt;"",'Completed'!$K$14,"")</f>
        <v>Akatsuki</v>
      </c>
      <c r="AE15" s="66" t="str">
        <f>IF('Completed'!$L$14&lt;&gt;"",'Completed'!$L$14,"")</f>
        <v>Very well thought out world, good design</v>
      </c>
    </row>
    <row r="16" spans="1:31">
      <c r="A16" s="90" t="s">
        <v>685</v>
      </c>
      <c r="B16" s="96" t="s">
        <v>375</v>
      </c>
      <c r="C16" s="95">
        <v>1</v>
      </c>
      <c r="D16" s="95">
        <v>10</v>
      </c>
      <c r="E16" s="95">
        <v>10</v>
      </c>
      <c r="F16" s="116">
        <v>41862</v>
      </c>
      <c r="G16" s="111" t="str">
        <f ca="1">IF($A16&lt;&gt;"", INDIRECT("'Tracker'!"&amp;ADDRESS(MATCH($A16, Tracker[Anime Name], 0) + 2, 4)), "")</f>
        <v>B</v>
      </c>
      <c r="H16" s="104" t="str">
        <f ca="1">IF($A16&lt;&gt;"", INDIRECT("'Tracker'!"&amp;ADDRESS(MATCH($A16, Tracker[Anime Name], 0) + 2, 8)), "")</f>
        <v>HorribleSubs</v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IF('Completed'!$A$15&lt;&gt;"",'Completed'!$A$15,"")</f>
        <v>Oda Nobuna no Yabou</v>
      </c>
      <c r="O16" s="28">
        <f>IF('Completed'!$B$15&lt;&gt;"",'Completed'!$B$15,"")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IF('Completed'!$C$15&lt;&gt;"",'Completed'!$C$15,"")</f>
        <v>9</v>
      </c>
      <c r="W16" s="53">
        <f>IF('Completed'!$D$15&lt;&gt;"",'Completed'!$D$15,"")</f>
        <v>9.5</v>
      </c>
      <c r="X16" s="53">
        <f>IF('Completed'!$E$15&lt;&gt;"",'Completed'!$E$15,"")</f>
        <v>6.5</v>
      </c>
      <c r="Y16" s="53">
        <f>IF('Completed'!$F$15&lt;&gt;"",'Completed'!$F$15,"")</f>
        <v>9</v>
      </c>
      <c r="Z16" s="65">
        <f>IF('Completed'!$G$15&lt;&gt;"",'Completed'!$G$15,"")</f>
        <v>9.0150753768844218</v>
      </c>
      <c r="AA16" s="75">
        <f>IF('Completed'!$H$15&lt;&gt;"",'Completed'!$H$15,"")</f>
        <v>9.0377833753148611</v>
      </c>
      <c r="AB16" s="54">
        <f>IF('Completed'!$I$15&lt;&gt;"",'Completed'!$I$15,"")</f>
        <v>41636</v>
      </c>
      <c r="AC16" s="54">
        <f>IF('Completed'!$J$15&lt;&gt;"",'Completed'!$J$15,"")</f>
        <v>41636</v>
      </c>
      <c r="AD16" s="66" t="str">
        <f>IF('Completed'!$K$15&lt;&gt;"",'Completed'!$K$15,"")</f>
        <v>Takenaka Hanbei</v>
      </c>
      <c r="AE16" s="66" t="str">
        <f>IF('Completed'!$L$15&lt;&gt;"",'Completed'!$L$15,"")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IF('Completed'!$A$16&lt;&gt;"",'Completed'!$A$16,"")</f>
        <v>Angel Beats!</v>
      </c>
      <c r="O17" s="28">
        <f>IF('Completed'!$B$16&lt;&gt;"",'Completed'!$B$16,"")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IF('Completed'!$C$16&lt;&gt;"",'Completed'!$C$16,"")</f>
        <v>9</v>
      </c>
      <c r="W17" s="53">
        <f>IF('Completed'!$D$16&lt;&gt;"",'Completed'!$D$16,"")</f>
        <v>9</v>
      </c>
      <c r="X17" s="53">
        <f>IF('Completed'!$E$16&lt;&gt;"",'Completed'!$E$16,"")</f>
        <v>4</v>
      </c>
      <c r="Y17" s="53">
        <f>IF('Completed'!$F$16&lt;&gt;"",'Completed'!$F$16,"")</f>
        <v>9.5</v>
      </c>
      <c r="Z17" s="65">
        <f>IF('Completed'!$G$16&lt;&gt;"",'Completed'!$G$16,"")</f>
        <v>9.011306532663319</v>
      </c>
      <c r="AA17" s="75">
        <f>IF('Completed'!$H$16&lt;&gt;"",'Completed'!$H$16,"")</f>
        <v>9.0340050377833769</v>
      </c>
      <c r="AB17" s="54">
        <f>IF('Completed'!$I$16&lt;&gt;"",'Completed'!$I$16,"")</f>
        <v>41295</v>
      </c>
      <c r="AC17" s="54">
        <f>IF('Completed'!$J$16&lt;&gt;"",'Completed'!$J$16,"")</f>
        <v>41300</v>
      </c>
      <c r="AD17" s="66" t="str">
        <f>IF('Completed'!$K$16&lt;&gt;"",'Completed'!$K$16,"")</f>
        <v>Tachibana Kanade</v>
      </c>
      <c r="AE17" s="66" t="str">
        <f>IF('Completed'!$L$16&lt;&gt;"",'Completed'!$L$16,"")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IF('Completed'!$A$17&lt;&gt;"",'Completed'!$A$17,"")</f>
        <v>Sidonia no Kishi</v>
      </c>
      <c r="O18" s="28">
        <f>IF('Completed'!$B$17&lt;&gt;"",'Completed'!$B$17,"")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IF('Completed'!$C$17&lt;&gt;"",'Completed'!$C$17,"")</f>
        <v>10</v>
      </c>
      <c r="W18" s="53">
        <f>IF('Completed'!$D$17&lt;&gt;"",'Completed'!$D$17,"")</f>
        <v>9</v>
      </c>
      <c r="X18" s="53">
        <f>IF('Completed'!$E$17&lt;&gt;"",'Completed'!$E$17,"")</f>
        <v>5</v>
      </c>
      <c r="Y18" s="53">
        <f>IF('Completed'!$F$17&lt;&gt;"",'Completed'!$F$17,"")</f>
        <v>9</v>
      </c>
      <c r="Z18" s="65">
        <f>IF('Completed'!$G$17&lt;&gt;"",'Completed'!$G$17,"")</f>
        <v>8.9924623115577891</v>
      </c>
      <c r="AA18" s="75">
        <f>IF('Completed'!$H$17&lt;&gt;"",'Completed'!$H$17,"")</f>
        <v>9.0151133501259437</v>
      </c>
      <c r="AB18" s="54">
        <f>IF('Completed'!$I$17&lt;&gt;"",'Completed'!$I$17,"")</f>
        <v>41796</v>
      </c>
      <c r="AC18" s="54">
        <f>IF('Completed'!$J$17&lt;&gt;"",'Completed'!$J$17,"")</f>
        <v>41816</v>
      </c>
      <c r="AD18" s="66" t="s">
        <v>586</v>
      </c>
      <c r="AE18" s="66" t="str">
        <f>IF('Completed'!$L$17&lt;&gt;"",'Completed'!$L$17,"")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IF('Completed'!$A$18&lt;&gt;"",'Completed'!$A$18,"")</f>
        <v>White Album 2</v>
      </c>
      <c r="O19" s="28">
        <f>IF('Completed'!$B$18&lt;&gt;"",'Completed'!$B$18,"")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IF('Completed'!$C$18&lt;&gt;"",'Completed'!$C$18,"")</f>
        <v>9</v>
      </c>
      <c r="W19" s="53">
        <f>IF('Completed'!$D$18&lt;&gt;"",'Completed'!$D$18,"")</f>
        <v>9.5</v>
      </c>
      <c r="X19" s="53">
        <f>IF('Completed'!$E$18&lt;&gt;"",'Completed'!$E$18,"")</f>
        <v>6</v>
      </c>
      <c r="Y19" s="53">
        <f>IF('Completed'!$F$18&lt;&gt;"",'Completed'!$F$18,"")</f>
        <v>9</v>
      </c>
      <c r="Z19" s="65">
        <f>IF('Completed'!$G$18&lt;&gt;"",'Completed'!$G$18,"")</f>
        <v>8.991206030150753</v>
      </c>
      <c r="AA19" s="75">
        <f>IF('Completed'!$H$18&lt;&gt;"",'Completed'!$H$18,"")</f>
        <v>9.0138539042821133</v>
      </c>
      <c r="AB19" s="54">
        <f>IF('Completed'!$I$18&lt;&gt;"",'Completed'!$I$18,"")</f>
        <v>41553</v>
      </c>
      <c r="AC19" s="54">
        <f>IF('Completed'!$J$18&lt;&gt;"",'Completed'!$J$18,"")</f>
        <v>41632</v>
      </c>
      <c r="AD19" s="66" t="str">
        <f>IF('Completed'!$K$18&lt;&gt;"",'Completed'!$K$18,"")</f>
        <v>Touma Kazusa</v>
      </c>
      <c r="AE19" s="66" t="str">
        <f>IF('Completed'!$L$18&lt;&gt;"",'Completed'!$L$18,"")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IF('Completed'!$A$19&lt;&gt;"",'Completed'!$A$19,"")</f>
        <v>Shakugan no Shana</v>
      </c>
      <c r="O20" s="28">
        <f>IF('Completed'!$B$19&lt;&gt;"",'Completed'!$B$19,"")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IF('Completed'!$C$19&lt;&gt;"",'Completed'!$C$19,"")</f>
        <v>9.5</v>
      </c>
      <c r="W20" s="53">
        <f>IF('Completed'!$D$19&lt;&gt;"",'Completed'!$D$19,"")</f>
        <v>9</v>
      </c>
      <c r="X20" s="53">
        <f>IF('Completed'!$E$19&lt;&gt;"",'Completed'!$E$19,"")</f>
        <v>6.5</v>
      </c>
      <c r="Y20" s="53">
        <f>IF('Completed'!$F$19&lt;&gt;"",'Completed'!$F$19,"")</f>
        <v>9</v>
      </c>
      <c r="Z20" s="65">
        <f>IF('Completed'!$G$19&lt;&gt;"",'Completed'!$G$19,"")</f>
        <v>8.9723618090452266</v>
      </c>
      <c r="AA20" s="75">
        <f>IF('Completed'!$H$19&lt;&gt;"",'Completed'!$H$19,"")</f>
        <v>8.9949622166246854</v>
      </c>
      <c r="AB20" s="54">
        <f>IF('Completed'!$I$19&lt;&gt;"",'Completed'!$I$19,"")</f>
        <v>41369</v>
      </c>
      <c r="AC20" s="54">
        <f>IF('Completed'!$J$19&lt;&gt;"",'Completed'!$J$19,"")</f>
        <v>41389</v>
      </c>
      <c r="AD20" s="66" t="str">
        <f>IF('Completed'!$K$19&lt;&gt;"",'Completed'!$K$19,"")</f>
        <v>Shana</v>
      </c>
      <c r="AE20" s="66" t="str">
        <f>IF('Completed'!$L$19&lt;&gt;"",'Completed'!$L$19,"")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IF('Completed'!$A$20&lt;&gt;"",'Completed'!$A$20,"")</f>
        <v>Kill la Kill</v>
      </c>
      <c r="O21" s="28">
        <f>IF('Completed'!$B$20&lt;&gt;"",'Completed'!$B$20,"")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IF('Completed'!$C$20&lt;&gt;"",'Completed'!$C$20,"")</f>
        <v>9</v>
      </c>
      <c r="W21" s="53">
        <f>IF('Completed'!$D$20&lt;&gt;"",'Completed'!$D$20,"")</f>
        <v>8.5</v>
      </c>
      <c r="X21" s="53">
        <f>IF('Completed'!$E$20&lt;&gt;"",'Completed'!$E$20,"")</f>
        <v>5</v>
      </c>
      <c r="Y21" s="53">
        <f>IF('Completed'!$F$20&lt;&gt;"",'Completed'!$F$20,"")</f>
        <v>9.5</v>
      </c>
      <c r="Z21" s="65">
        <f>IF('Completed'!$G$20&lt;&gt;"",'Completed'!$G$20,"")</f>
        <v>8.9246231155778908</v>
      </c>
      <c r="AA21" s="75">
        <f>IF('Completed'!$H$20&lt;&gt;"",'Completed'!$H$20,"")</f>
        <v>8.9471032745591934</v>
      </c>
      <c r="AB21" s="54">
        <f>IF('Completed'!$I$20&lt;&gt;"",'Completed'!$I$20,"")</f>
        <v>41555</v>
      </c>
      <c r="AC21" s="54">
        <f>IF('Completed'!$J$20&lt;&gt;"",'Completed'!$J$20,"")</f>
        <v>41726</v>
      </c>
      <c r="AD21" s="66" t="str">
        <f>IF('Completed'!$K$20&lt;&gt;"",'Completed'!$K$20,"")</f>
        <v>Jakuzure Nonon</v>
      </c>
      <c r="AE21" s="66" t="str">
        <f>IF('Completed'!$L$20&lt;&gt;"",'Completed'!$L$20,"")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IF('Completed'!$A$21&lt;&gt;"",'Completed'!$A$21,"")</f>
        <v>Chihayafuru</v>
      </c>
      <c r="O22" s="28">
        <f>IF('Completed'!$B$21&lt;&gt;"",'Completed'!$B$21,"")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IF('Completed'!$C$21&lt;&gt;"",'Completed'!$C$21,"")</f>
        <v>9.5</v>
      </c>
      <c r="W22" s="53">
        <f>IF('Completed'!$D$21&lt;&gt;"",'Completed'!$D$21,"")</f>
        <v>8.5</v>
      </c>
      <c r="X22" s="53">
        <f>IF('Completed'!$E$21&lt;&gt;"",'Completed'!$E$21,"")</f>
        <v>3</v>
      </c>
      <c r="Y22" s="53">
        <f>IF('Completed'!$F$21&lt;&gt;"",'Completed'!$F$21,"")</f>
        <v>9.5</v>
      </c>
      <c r="Z22" s="65">
        <f>IF('Completed'!$G$21&lt;&gt;"",'Completed'!$G$21,"")</f>
        <v>8.9208542713567844</v>
      </c>
      <c r="AA22" s="75">
        <f>IF('Completed'!$H$21&lt;&gt;"",'Completed'!$H$21,"")</f>
        <v>8.9433249370277093</v>
      </c>
      <c r="AB22" s="54">
        <f>IF('Completed'!$I$21&lt;&gt;"",'Completed'!$I$21,"")</f>
        <v>41477</v>
      </c>
      <c r="AC22" s="54">
        <f>IF('Completed'!$J$21&lt;&gt;"",'Completed'!$J$21,"")</f>
        <v>41479</v>
      </c>
      <c r="AD22" s="66" t="str">
        <f>IF('Completed'!$K$21&lt;&gt;"",'Completed'!$K$21,"")</f>
        <v>Ayase Chihaya</v>
      </c>
      <c r="AE22" s="66" t="str">
        <f>IF('Completed'!$L$21&lt;&gt;"",'Completed'!$L$21,"")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IF('Completed'!$A$22&lt;&gt;"",'Completed'!$A$22,"")</f>
        <v>Ping Pong the Animation</v>
      </c>
      <c r="O23" s="28">
        <f>IF('Completed'!$B$22&lt;&gt;"",'Completed'!$B$22,"")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IF('Completed'!$C$22&lt;&gt;"",'Completed'!$C$22,"")</f>
        <v>9.5</v>
      </c>
      <c r="W23" s="53">
        <f>IF('Completed'!$D$22&lt;&gt;"",'Completed'!$D$22,"")</f>
        <v>8.5</v>
      </c>
      <c r="X23" s="53">
        <f>IF('Completed'!$E$22&lt;&gt;"",'Completed'!$E$22,"")</f>
        <v>3</v>
      </c>
      <c r="Y23" s="53">
        <f>IF('Completed'!$F$22&lt;&gt;"",'Completed'!$F$22,"")</f>
        <v>9.5</v>
      </c>
      <c r="Z23" s="65">
        <f>IF('Completed'!$G$22&lt;&gt;"",'Completed'!$G$22,"")</f>
        <v>8.9208542713567844</v>
      </c>
      <c r="AA23" s="75">
        <f>IF('Completed'!$H$22&lt;&gt;"",'Completed'!$H$22,"")</f>
        <v>8.9433249370277093</v>
      </c>
      <c r="AB23" s="54">
        <f>IF('Completed'!$I$22&lt;&gt;"",'Completed'!$I$22,"")</f>
        <v>41750</v>
      </c>
      <c r="AC23" s="54">
        <f>IF('Completed'!$J$22&lt;&gt;"",'Completed'!$J$22,"")</f>
        <v>41817</v>
      </c>
      <c r="AD23" s="66" t="str">
        <f>IF('Completed'!$K$22&lt;&gt;"",'Completed'!$K$22,"")</f>
        <v>--</v>
      </c>
      <c r="AE23" s="66" t="str">
        <f>IF('Completed'!$L$22&lt;&gt;"",'Completed'!$L$22,"")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18</v>
      </c>
      <c r="C24" s="203" t="s">
        <v>478</v>
      </c>
      <c r="D24" s="204"/>
      <c r="E24" s="204"/>
      <c r="F24" s="204"/>
      <c r="G24" s="205"/>
      <c r="H24" s="107">
        <f>B24*22/60</f>
        <v>6.6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IF('Completed'!$A$23&lt;&gt;"",'Completed'!$A$23,"")</f>
        <v>No Game No Life</v>
      </c>
      <c r="O24" s="28">
        <f>IF('Completed'!$B$23&lt;&gt;"",'Completed'!$B$23,"")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IF('Completed'!$C$23&lt;&gt;"",'Completed'!$C$23,"")</f>
        <v>9.5</v>
      </c>
      <c r="W24" s="53">
        <f>IF('Completed'!$D$23&lt;&gt;"",'Completed'!$D$23,"")</f>
        <v>8.5</v>
      </c>
      <c r="X24" s="53">
        <f>IF('Completed'!$E$23&lt;&gt;"",'Completed'!$E$23,"")</f>
        <v>7.5</v>
      </c>
      <c r="Y24" s="53">
        <f>IF('Completed'!$F$23&lt;&gt;"",'Completed'!$F$23,"")</f>
        <v>9</v>
      </c>
      <c r="Z24" s="65">
        <f>IF('Completed'!$G$23&lt;&gt;"",'Completed'!$G$23,"")</f>
        <v>8.8856783919598001</v>
      </c>
      <c r="AA24" s="75">
        <f>IF('Completed'!$H$23&lt;&gt;"",'Completed'!$H$23,"")</f>
        <v>8.9080604534005037</v>
      </c>
      <c r="AB24" s="54">
        <f>IF('Completed'!$I$23&lt;&gt;"",'Completed'!$I$23,"")</f>
        <v>41750</v>
      </c>
      <c r="AC24" s="54">
        <f>IF('Completed'!$J$23&lt;&gt;"",'Completed'!$J$23,"")</f>
        <v>41815</v>
      </c>
      <c r="AD24" s="66" t="str">
        <f>IF('Completed'!$K$23&lt;&gt;"",'Completed'!$K$23,"")</f>
        <v>Shiro</v>
      </c>
      <c r="AE24" s="66" t="str">
        <f>IF('Completed'!$L$23&lt;&gt;"",'Completed'!$L$23,"")</f>
        <v/>
      </c>
    </row>
    <row r="25" spans="1:31">
      <c r="A25" s="108" t="s">
        <v>480</v>
      </c>
      <c r="B25" s="109">
        <f>SUM(E4:E23)-SUM(D4:D23)-B24</f>
        <v>19</v>
      </c>
      <c r="C25" s="186" t="s">
        <v>478</v>
      </c>
      <c r="D25" s="187"/>
      <c r="E25" s="187"/>
      <c r="F25" s="187"/>
      <c r="G25" s="188"/>
      <c r="H25" s="110">
        <f>B25*22/60</f>
        <v>6.9666666666666668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IF('Completed'!$A$24&lt;&gt;"",'Completed'!$A$24,"")</f>
        <v>Toradora!</v>
      </c>
      <c r="O25" s="28">
        <f>IF('Completed'!$B$24&lt;&gt;"",'Completed'!$B$24,"")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IF('Completed'!$C$24&lt;&gt;"",'Completed'!$C$24,"")</f>
        <v>9</v>
      </c>
      <c r="W25" s="53">
        <f>IF('Completed'!$D$24&lt;&gt;"",'Completed'!$D$24,"")</f>
        <v>9</v>
      </c>
      <c r="X25" s="53">
        <f>IF('Completed'!$E$24&lt;&gt;"",'Completed'!$E$24,"")</f>
        <v>5.5</v>
      </c>
      <c r="Y25" s="53">
        <f>IF('Completed'!$F$24&lt;&gt;"",'Completed'!$F$24,"")</f>
        <v>9</v>
      </c>
      <c r="Z25" s="65">
        <f>IF('Completed'!$G$24&lt;&gt;"",'Completed'!$G$24,"")</f>
        <v>8.8329145728643219</v>
      </c>
      <c r="AA25" s="75">
        <f>IF('Completed'!$H$24&lt;&gt;"",'Completed'!$H$24,"")</f>
        <v>8.8551637279596989</v>
      </c>
      <c r="AB25" s="54">
        <f>IF('Completed'!$I$24&lt;&gt;"",'Completed'!$I$24,"")</f>
        <v>41280</v>
      </c>
      <c r="AC25" s="54">
        <f>IF('Completed'!$J$24&lt;&gt;"",'Completed'!$J$24,"")</f>
        <v>41281</v>
      </c>
      <c r="AD25" s="66" t="str">
        <f>IF('Completed'!$K$24&lt;&gt;"",'Completed'!$K$24,"")</f>
        <v>Aisaka Taiga</v>
      </c>
      <c r="AE25" s="66" t="str">
        <f>IF('Completed'!$L$24&lt;&gt;"",'Completed'!$L$24,"")</f>
        <v/>
      </c>
    </row>
    <row r="26" spans="1:31">
      <c r="A26" s="189" t="s">
        <v>471</v>
      </c>
      <c r="B26" s="190"/>
      <c r="C26" s="190"/>
      <c r="D26" s="190"/>
      <c r="E26" s="190"/>
      <c r="F26" s="190"/>
      <c r="G26" s="190"/>
      <c r="H26" s="191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IF('Completed'!$A$25&lt;&gt;"",'Completed'!$A$25,"")</f>
        <v>Chihayafuru S2</v>
      </c>
      <c r="O26" s="28">
        <f>IF('Completed'!$B$25&lt;&gt;"",'Completed'!$B$25,"")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IF('Completed'!$C$25&lt;&gt;"",'Completed'!$C$25,"")</f>
        <v>9</v>
      </c>
      <c r="W26" s="53">
        <f>IF('Completed'!$D$25&lt;&gt;"",'Completed'!$D$25,"")</f>
        <v>8.5</v>
      </c>
      <c r="X26" s="53">
        <f>IF('Completed'!$E$25&lt;&gt;"",'Completed'!$E$25,"")</f>
        <v>3</v>
      </c>
      <c r="Y26" s="53">
        <f>IF('Completed'!$F$25&lt;&gt;"",'Completed'!$F$25,"")</f>
        <v>9.5</v>
      </c>
      <c r="Z26" s="65">
        <f>IF('Completed'!$G$25&lt;&gt;"",'Completed'!$G$25,"")</f>
        <v>8.8291457286432156</v>
      </c>
      <c r="AA26" s="75">
        <f>IF('Completed'!$H$25&lt;&gt;"",'Completed'!$H$25,"")</f>
        <v>8.8513853904282094</v>
      </c>
      <c r="AB26" s="54">
        <f>IF('Completed'!$I$25&lt;&gt;"",'Completed'!$I$25,"")</f>
        <v>41479</v>
      </c>
      <c r="AC26" s="54">
        <f>IF('Completed'!$J$25&lt;&gt;"",'Completed'!$J$25,"")</f>
        <v>41481</v>
      </c>
      <c r="AD26" s="66" t="str">
        <f>IF('Completed'!$K$25&lt;&gt;"",'Completed'!$K$25,"")</f>
        <v>Ayase Chihaya</v>
      </c>
      <c r="AE26" s="66" t="str">
        <f>IF('Completed'!$L$25&lt;&gt;"",'Completed'!$L$25,"")</f>
        <v>A bit slower than the first season, but just as good. Needs a third season</v>
      </c>
    </row>
    <row r="27" spans="1:31" ht="16.5" customHeight="1">
      <c r="A27" s="97" t="s">
        <v>472</v>
      </c>
      <c r="B27" s="192" t="s">
        <v>473</v>
      </c>
      <c r="C27" s="193"/>
      <c r="D27" s="193"/>
      <c r="E27" s="193"/>
      <c r="F27" s="193"/>
      <c r="G27" s="193"/>
      <c r="H27" s="194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IF('Completed'!$A$26&lt;&gt;"",'Completed'!$A$26,"")</f>
        <v>Bakemonogatari</v>
      </c>
      <c r="O27" s="28">
        <f>IF('Completed'!$B$26&lt;&gt;"",'Completed'!$B$26,"")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IF('Completed'!$C$26&lt;&gt;"",'Completed'!$C$26,"")</f>
        <v>8.5</v>
      </c>
      <c r="W27" s="53">
        <f>IF('Completed'!$D$26&lt;&gt;"",'Completed'!$D$26,"")</f>
        <v>9.5</v>
      </c>
      <c r="X27" s="53">
        <f>IF('Completed'!$E$26&lt;&gt;"",'Completed'!$E$26,"")</f>
        <v>4.5</v>
      </c>
      <c r="Y27" s="53">
        <f>IF('Completed'!$F$26&lt;&gt;"",'Completed'!$F$26,"")</f>
        <v>9</v>
      </c>
      <c r="Z27" s="65">
        <f>IF('Completed'!$G$26&lt;&gt;"",'Completed'!$G$26,"")</f>
        <v>8.8278894472361831</v>
      </c>
      <c r="AA27" s="75">
        <f>IF('Completed'!$H$26&lt;&gt;"",'Completed'!$H$26,"")</f>
        <v>8.8501259445843843</v>
      </c>
      <c r="AB27" s="54">
        <f>IF('Completed'!$I$26&lt;&gt;"",'Completed'!$I$26,"")</f>
        <v>41304</v>
      </c>
      <c r="AC27" s="54">
        <f>IF('Completed'!$J$26&lt;&gt;"",'Completed'!$J$26,"")</f>
        <v>41312</v>
      </c>
      <c r="AD27" s="66" t="str">
        <f>IF('Completed'!$K$26&lt;&gt;"",'Completed'!$K$26,"")</f>
        <v>Oshino Shinobu</v>
      </c>
      <c r="AE27" s="66" t="str">
        <f>IF('Completed'!$L$26&lt;&gt;"",'Completed'!$L$26,"")</f>
        <v>Worth watching just for the OPs</v>
      </c>
    </row>
    <row r="28" spans="1:31" ht="16.5" customHeight="1">
      <c r="A28" s="178" t="s">
        <v>596</v>
      </c>
      <c r="B28" s="180"/>
      <c r="C28" s="180"/>
      <c r="D28" s="180"/>
      <c r="E28" s="180"/>
      <c r="F28" s="180"/>
      <c r="G28" s="180"/>
      <c r="H28" s="181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IF('Completed'!$A$27&lt;&gt;"",'Completed'!$A$27,"")</f>
        <v>Gatchaman Crowds</v>
      </c>
      <c r="O28" s="28">
        <f>IF('Completed'!$B$27&lt;&gt;"",'Completed'!$B$27,"")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IF('Completed'!$C$27&lt;&gt;"",'Completed'!$C$27,"")</f>
        <v>9.5</v>
      </c>
      <c r="W28" s="53">
        <f>IF('Completed'!$D$27&lt;&gt;"",'Completed'!$D$27,"")</f>
        <v>8.5</v>
      </c>
      <c r="X28" s="53">
        <f>IF('Completed'!$E$27&lt;&gt;"",'Completed'!$E$27,"")</f>
        <v>6</v>
      </c>
      <c r="Y28" s="53">
        <f>IF('Completed'!$F$27&lt;&gt;"",'Completed'!$F$27,"")</f>
        <v>9</v>
      </c>
      <c r="Z28" s="65">
        <f>IF('Completed'!$G$27&lt;&gt;"",'Completed'!$G$27,"")</f>
        <v>8.8140703517587937</v>
      </c>
      <c r="AA28" s="75">
        <f>IF('Completed'!$H$27&lt;&gt;"",'Completed'!$H$27,"")</f>
        <v>8.8362720403022657</v>
      </c>
      <c r="AB28" s="54">
        <f>IF('Completed'!$I$27&lt;&gt;"",'Completed'!$I$27,"")</f>
        <v>41562</v>
      </c>
      <c r="AC28" s="54">
        <f>IF('Completed'!$J$27&lt;&gt;"",'Completed'!$J$27,"")</f>
        <v>41574</v>
      </c>
      <c r="AD28" s="66" t="str">
        <f>IF('Completed'!$K$27&lt;&gt;"",'Completed'!$K$27,"")</f>
        <v>Utsutsu</v>
      </c>
      <c r="AE28" s="66" t="str">
        <f>IF('Completed'!$L$27&lt;&gt;"",'Completed'!$L$27,"")</f>
        <v>OST of the season, very nicely developed plot</v>
      </c>
    </row>
    <row r="29" spans="1:31" ht="16.5" customHeight="1">
      <c r="A29" s="179"/>
      <c r="B29" s="182"/>
      <c r="C29" s="182"/>
      <c r="D29" s="182"/>
      <c r="E29" s="182"/>
      <c r="F29" s="182"/>
      <c r="G29" s="182"/>
      <c r="H29" s="183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IF('Completed'!$A$28&lt;&gt;"",'Completed'!$A$28,"")</f>
        <v>Fate / Stay Night</v>
      </c>
      <c r="O29" s="28">
        <f>IF('Completed'!$B$28&lt;&gt;"",'Completed'!$B$28,"")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IF('Completed'!$C$28&lt;&gt;"",'Completed'!$C$28,"")</f>
        <v>9</v>
      </c>
      <c r="W29" s="53">
        <f>IF('Completed'!$D$28&lt;&gt;"",'Completed'!$D$28,"")</f>
        <v>9</v>
      </c>
      <c r="X29" s="53">
        <f>IF('Completed'!$E$28&lt;&gt;"",'Completed'!$E$28,"")</f>
        <v>5</v>
      </c>
      <c r="Y29" s="53">
        <f>IF('Completed'!$F$28&lt;&gt;"",'Completed'!$F$28,"")</f>
        <v>9</v>
      </c>
      <c r="Z29" s="65">
        <f>IF('Completed'!$G$28&lt;&gt;"",'Completed'!$G$28,"")</f>
        <v>8.8090452261306531</v>
      </c>
      <c r="AA29" s="75">
        <f>IF('Completed'!$H$28&lt;&gt;"",'Completed'!$H$28,"")</f>
        <v>8.8312342569269511</v>
      </c>
      <c r="AB29" s="54">
        <f>IF('Completed'!$I$28&lt;&gt;"",'Completed'!$I$28,"")</f>
        <v>41537</v>
      </c>
      <c r="AC29" s="54">
        <f>IF('Completed'!$J$28&lt;&gt;"",'Completed'!$J$28,"")</f>
        <v>41559</v>
      </c>
      <c r="AD29" s="66" t="str">
        <f>IF('Completed'!$K$28&lt;&gt;"",'Completed'!$K$28,"")</f>
        <v>Saber</v>
      </c>
      <c r="AE29" s="66" t="str">
        <f>IF('Completed'!$L$28&lt;&gt;"",'Completed'!$L$28,"")</f>
        <v/>
      </c>
    </row>
    <row r="30" spans="1:31" ht="16.5" customHeight="1">
      <c r="A30" s="178" t="s">
        <v>612</v>
      </c>
      <c r="B30" s="180"/>
      <c r="C30" s="180"/>
      <c r="D30" s="180"/>
      <c r="E30" s="180"/>
      <c r="F30" s="180"/>
      <c r="G30" s="180"/>
      <c r="H30" s="181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IF('Completed'!$A$29&lt;&gt;"",'Completed'!$A$29,"")</f>
        <v>Clannad</v>
      </c>
      <c r="O30" s="28">
        <f>IF('Completed'!$B$29&lt;&gt;"",'Completed'!$B$29,"")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IF('Completed'!$C$29&lt;&gt;"",'Completed'!$C$29,"")</f>
        <v>8</v>
      </c>
      <c r="W30" s="53">
        <f>IF('Completed'!$D$29&lt;&gt;"",'Completed'!$D$29,"")</f>
        <v>9.5</v>
      </c>
      <c r="X30" s="53">
        <f>IF('Completed'!$E$29&lt;&gt;"",'Completed'!$E$29,"")</f>
        <v>6</v>
      </c>
      <c r="Y30" s="53">
        <f>IF('Completed'!$F$29&lt;&gt;"",'Completed'!$F$29,"")</f>
        <v>9</v>
      </c>
      <c r="Z30" s="65">
        <f>IF('Completed'!$G$29&lt;&gt;"",'Completed'!$G$29,"")</f>
        <v>8.8077889447236206</v>
      </c>
      <c r="AA30" s="75">
        <f>IF('Completed'!$H$29&lt;&gt;"",'Completed'!$H$29,"")</f>
        <v>8.829974811083126</v>
      </c>
      <c r="AB30" s="54">
        <f>IF('Completed'!$I$29&lt;&gt;"",'Completed'!$I$29,"")</f>
        <v>41286</v>
      </c>
      <c r="AC30" s="54">
        <f>IF('Completed'!$J$29&lt;&gt;"",'Completed'!$J$29,"")</f>
        <v>41292</v>
      </c>
      <c r="AD30" s="66" t="str">
        <f>IF('Completed'!$K$29&lt;&gt;"",'Completed'!$K$29,"")</f>
        <v>Fujibayashi Kyou</v>
      </c>
      <c r="AE30" s="66" t="str">
        <f>IF('Completed'!$L$29&lt;&gt;"",'Completed'!$L$29,"")</f>
        <v/>
      </c>
    </row>
    <row r="31" spans="1:31" ht="15" customHeight="1">
      <c r="A31" s="179"/>
      <c r="B31" s="182"/>
      <c r="C31" s="182"/>
      <c r="D31" s="182"/>
      <c r="E31" s="182"/>
      <c r="F31" s="182"/>
      <c r="G31" s="182"/>
      <c r="H31" s="183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IF('Completed'!$A$30&lt;&gt;"",'Completed'!$A$30,"")</f>
        <v>Shingeki no Kyojin</v>
      </c>
      <c r="O31" s="28">
        <f>IF('Completed'!$B$30&lt;&gt;"",'Completed'!$B$30,"")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IF('Completed'!$C$30&lt;&gt;"",'Completed'!$C$30,"")</f>
        <v>10</v>
      </c>
      <c r="W31" s="53">
        <f>IF('Completed'!$D$30&lt;&gt;"",'Completed'!$D$30,"")</f>
        <v>8</v>
      </c>
      <c r="X31" s="53">
        <f>IF('Completed'!$E$30&lt;&gt;"",'Completed'!$E$30,"")</f>
        <v>1.5</v>
      </c>
      <c r="Y31" s="53">
        <f>IF('Completed'!$F$30&lt;&gt;"",'Completed'!$F$30,"")</f>
        <v>9.5</v>
      </c>
      <c r="Z31" s="65">
        <f>IF('Completed'!$G$30&lt;&gt;"",'Completed'!$G$30,"")</f>
        <v>8.8065326633165828</v>
      </c>
      <c r="AA31" s="75">
        <f>IF('Completed'!$H$30&lt;&gt;"",'Completed'!$H$30,"")</f>
        <v>8.8287153652392938</v>
      </c>
      <c r="AB31" s="54">
        <f>IF('Completed'!$I$30&lt;&gt;"",'Completed'!$I$30,"")</f>
        <v>41397</v>
      </c>
      <c r="AC31" s="54">
        <f>IF('Completed'!$J$30&lt;&gt;"",'Completed'!$J$30,"")</f>
        <v>41546</v>
      </c>
      <c r="AD31" s="66" t="str">
        <f>IF('Completed'!$K$30&lt;&gt;"",'Completed'!$K$30,"")</f>
        <v>Mikasa Ackerman</v>
      </c>
      <c r="AE31" s="66" t="str">
        <f>IF('Completed'!$L$30&lt;&gt;"",'Completed'!$L$30,"")</f>
        <v/>
      </c>
    </row>
    <row r="32" spans="1:31" ht="15" customHeight="1">
      <c r="A32" s="178" t="s">
        <v>593</v>
      </c>
      <c r="B32" s="180"/>
      <c r="C32" s="180"/>
      <c r="D32" s="180"/>
      <c r="E32" s="180"/>
      <c r="F32" s="180"/>
      <c r="G32" s="180"/>
      <c r="H32" s="181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IF('Completed'!$A$31&lt;&gt;"",'Completed'!$A$31,"")</f>
        <v>K</v>
      </c>
      <c r="O32" s="28">
        <f>IF('Completed'!$B$31&lt;&gt;"",'Completed'!$B$31,"")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IF('Completed'!$C$31&lt;&gt;"",'Completed'!$C$31,"")</f>
        <v>9</v>
      </c>
      <c r="W32" s="53">
        <f>IF('Completed'!$D$31&lt;&gt;"",'Completed'!$D$31,"")</f>
        <v>9</v>
      </c>
      <c r="X32" s="53">
        <f>IF('Completed'!$E$31&lt;&gt;"",'Completed'!$E$31,"")</f>
        <v>4.5</v>
      </c>
      <c r="Y32" s="53">
        <f>IF('Completed'!$F$31&lt;&gt;"",'Completed'!$F$31,"")</f>
        <v>9</v>
      </c>
      <c r="Z32" s="65">
        <f>IF('Completed'!$G$31&lt;&gt;"",'Completed'!$G$31,"")</f>
        <v>8.7851758793969861</v>
      </c>
      <c r="AA32" s="75">
        <f>IF('Completed'!$H$31&lt;&gt;"",'Completed'!$H$31,"")</f>
        <v>8.8073047858942068</v>
      </c>
      <c r="AB32" s="54">
        <f>IF('Completed'!$I$31&lt;&gt;"",'Completed'!$I$31,"")</f>
        <v>41645</v>
      </c>
      <c r="AC32" s="54">
        <f>IF('Completed'!$J$31&lt;&gt;"",'Completed'!$J$31,"")</f>
        <v>41645</v>
      </c>
      <c r="AD32" s="66" t="str">
        <f>IF('Completed'!$K$31&lt;&gt;"",'Completed'!$K$31,"")</f>
        <v>Kushina Anna</v>
      </c>
      <c r="AE32" s="66" t="str">
        <f>IF('Completed'!$L$31&lt;&gt;"",'Completed'!$L$31,"")</f>
        <v>Good graphics, good audio, decent plot</v>
      </c>
    </row>
    <row r="33" spans="1:31" ht="15" customHeight="1">
      <c r="A33" s="179"/>
      <c r="B33" s="182"/>
      <c r="C33" s="182"/>
      <c r="D33" s="182"/>
      <c r="E33" s="182"/>
      <c r="F33" s="182"/>
      <c r="G33" s="182"/>
      <c r="H33" s="183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IF('Completed'!$A$32&lt;&gt;"",'Completed'!$A$32,"")</f>
        <v>Yahari Ore no Seishun Rom Com wa Machigatteiru</v>
      </c>
      <c r="O33" s="28">
        <f>IF('Completed'!$B$32&lt;&gt;"",'Completed'!$B$32,"")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IF('Completed'!$C$32&lt;&gt;"",'Completed'!$C$32,"")</f>
        <v>8</v>
      </c>
      <c r="W33" s="53">
        <f>IF('Completed'!$D$32&lt;&gt;"",'Completed'!$D$32,"")</f>
        <v>9.5</v>
      </c>
      <c r="X33" s="53">
        <f>IF('Completed'!$E$32&lt;&gt;"",'Completed'!$E$32,"")</f>
        <v>5</v>
      </c>
      <c r="Y33" s="53">
        <f>IF('Completed'!$F$32&lt;&gt;"",'Completed'!$F$32,"")</f>
        <v>9</v>
      </c>
      <c r="Z33" s="65">
        <f>IF('Completed'!$G$32&lt;&gt;"",'Completed'!$G$32,"")</f>
        <v>8.7600502512562812</v>
      </c>
      <c r="AA33" s="75">
        <f>IF('Completed'!$H$32&lt;&gt;"",'Completed'!$H$32,"")</f>
        <v>8.7821158690176322</v>
      </c>
      <c r="AB33" s="54">
        <f>IF('Completed'!$I$32&lt;&gt;"",'Completed'!$I$32,"")</f>
        <v>41370</v>
      </c>
      <c r="AC33" s="54">
        <f>IF('Completed'!$J$32&lt;&gt;"",'Completed'!$J$32,"")</f>
        <v>41454</v>
      </c>
      <c r="AD33" s="66" t="str">
        <f>IF('Completed'!$K$32&lt;&gt;"",'Completed'!$K$32,"")</f>
        <v>Yukinoshita Yukino</v>
      </c>
      <c r="AE33" s="66" t="str">
        <f>IF('Completed'!$L$32&lt;&gt;"",'Completed'!$L$32,"")</f>
        <v>Watch it for 8man</v>
      </c>
    </row>
    <row r="34" spans="1:31" ht="15" customHeight="1">
      <c r="A34" s="178" t="s">
        <v>594</v>
      </c>
      <c r="B34" s="180"/>
      <c r="C34" s="180"/>
      <c r="D34" s="180"/>
      <c r="E34" s="180"/>
      <c r="F34" s="180"/>
      <c r="G34" s="180"/>
      <c r="H34" s="181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IF('Completed'!$A$33&lt;&gt;"",'Completed'!$A$33,"")</f>
        <v>Ano Hi Mita Hana no Namae wo Bokutachi wa Mada Shiranai</v>
      </c>
      <c r="O34" s="28">
        <f>IF('Completed'!$B$33&lt;&gt;"",'Completed'!$B$33,"")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IF('Completed'!$C$33&lt;&gt;"",'Completed'!$C$33,"")</f>
        <v>9.5</v>
      </c>
      <c r="W34" s="53">
        <f>IF('Completed'!$D$33&lt;&gt;"",'Completed'!$D$33,"")</f>
        <v>8</v>
      </c>
      <c r="X34" s="53">
        <f>IF('Completed'!$E$33&lt;&gt;"",'Completed'!$E$33,"")</f>
        <v>6</v>
      </c>
      <c r="Y34" s="53">
        <f>IF('Completed'!$F$33&lt;&gt;"",'Completed'!$F$33,"")</f>
        <v>9</v>
      </c>
      <c r="Z34" s="65">
        <f>IF('Completed'!$G$33&lt;&gt;"",'Completed'!$G$33,"")</f>
        <v>8.6796482412060314</v>
      </c>
      <c r="AA34" s="75">
        <f>IF('Completed'!$H$33&lt;&gt;"",'Completed'!$H$33,"")</f>
        <v>8.7015113350125954</v>
      </c>
      <c r="AB34" s="54">
        <f>IF('Completed'!$I$33&lt;&gt;"",'Completed'!$I$33,"")</f>
        <v>41530</v>
      </c>
      <c r="AC34" s="54">
        <f>IF('Completed'!$J$33&lt;&gt;"",'Completed'!$J$33,"")</f>
        <v>41532</v>
      </c>
      <c r="AD34" s="66" t="str">
        <f>IF('Completed'!$K$33&lt;&gt;"",'Completed'!$K$33,"")</f>
        <v>Tsurumi Chiriko</v>
      </c>
      <c r="AE34" s="66" t="str">
        <f>IF('Completed'!$L$33&lt;&gt;"",'Completed'!$L$33,"")</f>
        <v>Drama was a bit forced at the end, but it was nicely done overall</v>
      </c>
    </row>
    <row r="35" spans="1:31" ht="16.5" customHeight="1">
      <c r="A35" s="179"/>
      <c r="B35" s="182"/>
      <c r="C35" s="182"/>
      <c r="D35" s="182"/>
      <c r="E35" s="182"/>
      <c r="F35" s="182"/>
      <c r="G35" s="182"/>
      <c r="H35" s="183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IF('Completed'!$A$34&lt;&gt;"",'Completed'!$A$34,"")</f>
        <v>Spice and Wolf II</v>
      </c>
      <c r="O35" s="28">
        <f>IF('Completed'!$B$34&lt;&gt;"",'Completed'!$B$34,"")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IF('Completed'!$C$34&lt;&gt;"",'Completed'!$C$34,"")</f>
        <v>8.5</v>
      </c>
      <c r="W35" s="53">
        <f>IF('Completed'!$D$34&lt;&gt;"",'Completed'!$D$34,"")</f>
        <v>9</v>
      </c>
      <c r="X35" s="53">
        <f>IF('Completed'!$E$34&lt;&gt;"",'Completed'!$E$34,"")</f>
        <v>4</v>
      </c>
      <c r="Y35" s="53">
        <f>IF('Completed'!$F$34&lt;&gt;"",'Completed'!$F$34,"")</f>
        <v>9</v>
      </c>
      <c r="Z35" s="65">
        <f>IF('Completed'!$G$34&lt;&gt;"",'Completed'!$G$34,"")</f>
        <v>8.6695979899497502</v>
      </c>
      <c r="AA35" s="75">
        <f>IF('Completed'!$H$34&lt;&gt;"",'Completed'!$H$34,"")</f>
        <v>8.6914357682619663</v>
      </c>
      <c r="AB35" s="54">
        <f>IF('Completed'!$I$34&lt;&gt;"",'Completed'!$I$34,"")</f>
        <v>41358</v>
      </c>
      <c r="AC35" s="54">
        <f>IF('Completed'!$J$34&lt;&gt;"",'Completed'!$J$34,"")</f>
        <v>41359</v>
      </c>
      <c r="AD35" s="66" t="str">
        <f>IF('Completed'!$K$34&lt;&gt;"",'Completed'!$K$34,"")</f>
        <v>Holo</v>
      </c>
      <c r="AE35" s="66" t="str">
        <f>IF('Completed'!$L$34&lt;&gt;"",'Completed'!$L$34,"")</f>
        <v/>
      </c>
    </row>
    <row r="36" spans="1:31">
      <c r="A36" s="178" t="s">
        <v>595</v>
      </c>
      <c r="B36" s="180"/>
      <c r="C36" s="180"/>
      <c r="D36" s="180"/>
      <c r="E36" s="180"/>
      <c r="F36" s="180"/>
      <c r="G36" s="180"/>
      <c r="H36" s="181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IF('Completed'!$A$35&lt;&gt;"",'Completed'!$A$35,"")</f>
        <v>Kokoro Connect</v>
      </c>
      <c r="O36" s="28">
        <f>IF('Completed'!$B$35&lt;&gt;"",'Completed'!$B$35,"")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IF('Completed'!$C$35&lt;&gt;"",'Completed'!$C$35,"")</f>
        <v>8.5</v>
      </c>
      <c r="W36" s="53">
        <f>IF('Completed'!$D$35&lt;&gt;"",'Completed'!$D$35,"")</f>
        <v>9</v>
      </c>
      <c r="X36" s="53">
        <f>IF('Completed'!$E$35&lt;&gt;"",'Completed'!$E$35,"")</f>
        <v>4</v>
      </c>
      <c r="Y36" s="53">
        <f>IF('Completed'!$F$35&lt;&gt;"",'Completed'!$F$35,"")</f>
        <v>9</v>
      </c>
      <c r="Z36" s="65">
        <f>IF('Completed'!$G$35&lt;&gt;"",'Completed'!$G$35,"")</f>
        <v>8.6695979899497502</v>
      </c>
      <c r="AA36" s="75">
        <f>IF('Completed'!$H$35&lt;&gt;"",'Completed'!$H$35,"")</f>
        <v>8.6914357682619663</v>
      </c>
      <c r="AB36" s="54">
        <f>IF('Completed'!$I$35&lt;&gt;"",'Completed'!$I$35,"")</f>
        <v>41328</v>
      </c>
      <c r="AC36" s="54">
        <f>IF('Completed'!$J$35&lt;&gt;"",'Completed'!$J$35,"")</f>
        <v>41329</v>
      </c>
      <c r="AD36" s="66" t="str">
        <f>IF('Completed'!$K$35&lt;&gt;"",'Completed'!$K$35,"")</f>
        <v>Himeko Inaba</v>
      </c>
      <c r="AE36" s="66" t="str">
        <f>IF('Completed'!$L$35&lt;&gt;"",'Completed'!$L$35,"")</f>
        <v/>
      </c>
    </row>
    <row r="37" spans="1:31">
      <c r="A37" s="179"/>
      <c r="B37" s="182"/>
      <c r="C37" s="182"/>
      <c r="D37" s="182"/>
      <c r="E37" s="182"/>
      <c r="F37" s="182"/>
      <c r="G37" s="182"/>
      <c r="H37" s="183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IF('Completed'!$A$36&lt;&gt;"",'Completed'!$A$36,"")</f>
        <v>Servant x Service</v>
      </c>
      <c r="O37" s="28">
        <f>IF('Completed'!$B$36&lt;&gt;"",'Completed'!$B$36,"")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IF('Completed'!$C$36&lt;&gt;"",'Completed'!$C$36,"")</f>
        <v>8</v>
      </c>
      <c r="W37" s="53">
        <f>IF('Completed'!$D$36&lt;&gt;"",'Completed'!$D$36,"")</f>
        <v>9</v>
      </c>
      <c r="X37" s="53">
        <f>IF('Completed'!$E$36&lt;&gt;"",'Completed'!$E$36,"")</f>
        <v>5.5</v>
      </c>
      <c r="Y37" s="53">
        <f>IF('Completed'!$F$36&lt;&gt;"",'Completed'!$F$36,"")</f>
        <v>9</v>
      </c>
      <c r="Z37" s="65">
        <f>IF('Completed'!$G$36&lt;&gt;"",'Completed'!$G$36,"")</f>
        <v>8.6494974874371859</v>
      </c>
      <c r="AA37" s="75">
        <f>IF('Completed'!$H$36&lt;&gt;"",'Completed'!$H$36,"")</f>
        <v>8.6712846347607044</v>
      </c>
      <c r="AB37" s="54">
        <f>IF('Completed'!$I$36&lt;&gt;"",'Completed'!$I$36,"")</f>
        <v>41461</v>
      </c>
      <c r="AC37" s="54">
        <f>IF('Completed'!$J$36&lt;&gt;"",'Completed'!$J$36,"")</f>
        <v>41543</v>
      </c>
      <c r="AD37" s="66" t="str">
        <f>IF('Completed'!$K$36&lt;&gt;"",'Completed'!$K$36,"")</f>
        <v>Chihaya Megumi</v>
      </c>
      <c r="AE37" s="66" t="str">
        <f>IF('Completed'!$L$36&lt;&gt;"",'Completed'!$L$36,"")</f>
        <v>Funny, and not a HS drama - 9/10 would watch again</v>
      </c>
    </row>
    <row r="38" spans="1:31">
      <c r="A38" s="178" t="s">
        <v>597</v>
      </c>
      <c r="B38" s="180"/>
      <c r="C38" s="180"/>
      <c r="D38" s="180"/>
      <c r="E38" s="180"/>
      <c r="F38" s="180"/>
      <c r="G38" s="180"/>
      <c r="H38" s="181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IF('Completed'!$A$37&lt;&gt;"",'Completed'!$A$37,"")</f>
        <v>Shakugan no Shana Second</v>
      </c>
      <c r="O38" s="28">
        <f>IF('Completed'!$B$37&lt;&gt;"",'Completed'!$B$37,"")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IF('Completed'!$C$37&lt;&gt;"",'Completed'!$C$37,"")</f>
        <v>9</v>
      </c>
      <c r="W38" s="53">
        <f>IF('Completed'!$D$37&lt;&gt;"",'Completed'!$D$37,"")</f>
        <v>9</v>
      </c>
      <c r="X38" s="53">
        <f>IF('Completed'!$E$37&lt;&gt;"",'Completed'!$E$37,"")</f>
        <v>6.5</v>
      </c>
      <c r="Y38" s="53">
        <f>IF('Completed'!$F$37&lt;&gt;"",'Completed'!$F$37,"")</f>
        <v>8.5</v>
      </c>
      <c r="Z38" s="65">
        <f>IF('Completed'!$G$37&lt;&gt;"",'Completed'!$G$37,"")</f>
        <v>8.6306532663316595</v>
      </c>
      <c r="AA38" s="75">
        <f>IF('Completed'!$H$37&lt;&gt;"",'Completed'!$H$37,"")</f>
        <v>8.6523929471032766</v>
      </c>
      <c r="AB38" s="54">
        <f>IF('Completed'!$I$37&lt;&gt;"",'Completed'!$I$37,"")</f>
        <v>41395</v>
      </c>
      <c r="AC38" s="54">
        <f>IF('Completed'!$J$37&lt;&gt;"",'Completed'!$J$37,"")</f>
        <v>41400</v>
      </c>
      <c r="AD38" s="66" t="str">
        <f>IF('Completed'!$K$37&lt;&gt;"",'Completed'!$K$37,"")</f>
        <v>Shana</v>
      </c>
      <c r="AE38" s="66" t="str">
        <f>IF('Completed'!$L$37&lt;&gt;"",'Completed'!$L$37,"")</f>
        <v>TV is better than BDs</v>
      </c>
    </row>
    <row r="39" spans="1:31">
      <c r="A39" s="179"/>
      <c r="B39" s="182"/>
      <c r="C39" s="182"/>
      <c r="D39" s="182"/>
      <c r="E39" s="182"/>
      <c r="F39" s="182"/>
      <c r="G39" s="182"/>
      <c r="H39" s="183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IF('Completed'!$A$38&lt;&gt;"",'Completed'!$A$38,"")</f>
        <v>Non Non Biyori</v>
      </c>
      <c r="O39" s="28">
        <f>IF('Completed'!$B$38&lt;&gt;"",'Completed'!$B$38,"")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IF('Completed'!$C$38&lt;&gt;"",'Completed'!$C$38,"")</f>
        <v>4</v>
      </c>
      <c r="W39" s="53">
        <f>IF('Completed'!$D$38&lt;&gt;"",'Completed'!$D$38,"")</f>
        <v>9</v>
      </c>
      <c r="X39" s="53">
        <f>IF('Completed'!$E$38&lt;&gt;"",'Completed'!$E$38,"")</f>
        <v>9.5</v>
      </c>
      <c r="Y39" s="53">
        <f>IF('Completed'!$F$38&lt;&gt;"",'Completed'!$F$38,"")</f>
        <v>10</v>
      </c>
      <c r="Z39" s="65">
        <f>IF('Completed'!$G$38&lt;&gt;"",'Completed'!$G$38,"")</f>
        <v>8.6067839195979889</v>
      </c>
      <c r="AA39" s="75">
        <f>IF('Completed'!$H$38&lt;&gt;"",'Completed'!$H$38,"")</f>
        <v>8.628463476070527</v>
      </c>
      <c r="AB39" s="54">
        <f>IF('Completed'!$I$38&lt;&gt;"",'Completed'!$I$38,"")</f>
        <v>41638</v>
      </c>
      <c r="AC39" s="54">
        <f>IF('Completed'!$J$38&lt;&gt;"",'Completed'!$J$38,"")</f>
        <v>41641</v>
      </c>
      <c r="AD39" s="66" t="str">
        <f>IF('Completed'!$K$38&lt;&gt;"",'Completed'!$K$38,"")</f>
        <v>Miyauchi Renge</v>
      </c>
      <c r="AE39" s="66" t="str">
        <f>IF('Completed'!$L$38&lt;&gt;"",'Completed'!$L$38,"")</f>
        <v/>
      </c>
    </row>
    <row r="40" spans="1:31">
      <c r="A40" s="178" t="s">
        <v>615</v>
      </c>
      <c r="B40" s="180"/>
      <c r="C40" s="180"/>
      <c r="D40" s="180"/>
      <c r="E40" s="180"/>
      <c r="F40" s="180"/>
      <c r="G40" s="180"/>
      <c r="H40" s="181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IF('Completed'!$A$39&lt;&gt;"",'Completed'!$A$39,"")</f>
        <v>Toaru Kagaku no Railgun</v>
      </c>
      <c r="O40" s="28">
        <f>IF('Completed'!$B$39&lt;&gt;"",'Completed'!$B$39,"")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IF('Completed'!$C$39&lt;&gt;"",'Completed'!$C$39,"")</f>
        <v>7.5</v>
      </c>
      <c r="W40" s="53">
        <f>IF('Completed'!$D$39&lt;&gt;"",'Completed'!$D$39,"")</f>
        <v>9</v>
      </c>
      <c r="X40" s="53">
        <f>IF('Completed'!$E$39&lt;&gt;"",'Completed'!$E$39,"")</f>
        <v>6</v>
      </c>
      <c r="Y40" s="53">
        <f>IF('Completed'!$F$39&lt;&gt;"",'Completed'!$F$39,"")</f>
        <v>9</v>
      </c>
      <c r="Z40" s="65">
        <f>IF('Completed'!$G$39&lt;&gt;"",'Completed'!$G$39,"")</f>
        <v>8.5816582914572859</v>
      </c>
      <c r="AA40" s="75">
        <f>IF('Completed'!$H$39&lt;&gt;"",'Completed'!$H$39,"")</f>
        <v>8.6032745591939541</v>
      </c>
      <c r="AB40" s="54">
        <f>IF('Completed'!$I$39&lt;&gt;"",'Completed'!$I$39,"")</f>
        <v>41436</v>
      </c>
      <c r="AC40" s="54">
        <f>IF('Completed'!$J$39&lt;&gt;"",'Completed'!$J$39,"")</f>
        <v>41438</v>
      </c>
      <c r="AD40" s="66" t="str">
        <f>IF('Completed'!$K$39&lt;&gt;"",'Completed'!$K$39,"")</f>
        <v>Misaka Mikoto</v>
      </c>
      <c r="AE40" s="66" t="str">
        <f>IF('Completed'!$L$39&lt;&gt;"",'Completed'!$L$39,"")</f>
        <v/>
      </c>
    </row>
    <row r="41" spans="1:31">
      <c r="A41" s="179"/>
      <c r="B41" s="182"/>
      <c r="C41" s="182"/>
      <c r="D41" s="182"/>
      <c r="E41" s="182"/>
      <c r="F41" s="182"/>
      <c r="G41" s="182"/>
      <c r="H41" s="183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IF('Completed'!$A$40&lt;&gt;"",'Completed'!$A$40,"")</f>
        <v>Acchi Kocchi</v>
      </c>
      <c r="O41" s="28">
        <f>IF('Completed'!$B$40&lt;&gt;"",'Completed'!$B$40,"")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IF('Completed'!$C$40&lt;&gt;"",'Completed'!$C$40,"")</f>
        <v>5</v>
      </c>
      <c r="W41" s="53">
        <f>IF('Completed'!$D$40&lt;&gt;"",'Completed'!$D$40,"")</f>
        <v>9</v>
      </c>
      <c r="X41" s="53">
        <f>IF('Completed'!$E$40&lt;&gt;"",'Completed'!$E$40,"")</f>
        <v>10</v>
      </c>
      <c r="Y41" s="53">
        <f>IF('Completed'!$F$40&lt;&gt;"",'Completed'!$F$40,"")</f>
        <v>9.5</v>
      </c>
      <c r="Z41" s="65">
        <f>IF('Completed'!$G$40&lt;&gt;"",'Completed'!$G$40,"")</f>
        <v>8.5640703517587937</v>
      </c>
      <c r="AA41" s="75">
        <f>IF('Completed'!$H$40&lt;&gt;"",'Completed'!$H$40,"")</f>
        <v>8.5856423173803513</v>
      </c>
      <c r="AB41" s="54">
        <f>IF('Completed'!$I$40&lt;&gt;"",'Completed'!$I$40,"")</f>
        <v>41316</v>
      </c>
      <c r="AC41" s="54">
        <f>IF('Completed'!$J$40&lt;&gt;"",'Completed'!$J$40,"")</f>
        <v>41316</v>
      </c>
      <c r="AD41" s="66" t="str">
        <f>IF('Completed'!$K$40&lt;&gt;"",'Completed'!$K$40,"")</f>
        <v>Miniwa Tsumiki</v>
      </c>
      <c r="AE41" s="66" t="str">
        <f>IF('Completed'!$L$40&lt;&gt;"",'Completed'!$L$40,"")</f>
        <v>Like Lucky Star, but with 150% more moe</v>
      </c>
    </row>
    <row r="42" spans="1:31">
      <c r="A42" s="184" t="s">
        <v>616</v>
      </c>
      <c r="B42" s="180"/>
      <c r="C42" s="180"/>
      <c r="D42" s="180"/>
      <c r="E42" s="180"/>
      <c r="F42" s="180"/>
      <c r="G42" s="180"/>
      <c r="H42" s="181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IF('Completed'!$A$41&lt;&gt;"",'Completed'!$A$41,"")</f>
        <v>Toaru Kagaku no Railgun S</v>
      </c>
      <c r="O42" s="28">
        <f>IF('Completed'!$B$41&lt;&gt;"",'Completed'!$B$41,"")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IF('Completed'!$C$41&lt;&gt;"",'Completed'!$C$41,"")</f>
        <v>8.5</v>
      </c>
      <c r="W42" s="53">
        <f>IF('Completed'!$D$41&lt;&gt;"",'Completed'!$D$41,"")</f>
        <v>8.5</v>
      </c>
      <c r="X42" s="53">
        <f>IF('Completed'!$E$41&lt;&gt;"",'Completed'!$E$41,"")</f>
        <v>4.5</v>
      </c>
      <c r="Y42" s="53">
        <f>IF('Completed'!$F$41&lt;&gt;"",'Completed'!$F$41,"")</f>
        <v>9</v>
      </c>
      <c r="Z42" s="65">
        <f>IF('Completed'!$G$41&lt;&gt;"",'Completed'!$G$41,"")</f>
        <v>8.5590452261306531</v>
      </c>
      <c r="AA42" s="75">
        <f>IF('Completed'!$H$41&lt;&gt;"",'Completed'!$H$41,"")</f>
        <v>8.5806045340050368</v>
      </c>
      <c r="AB42" s="54">
        <f>IF('Completed'!$I$41&lt;&gt;"",'Completed'!$I$41,"")</f>
        <v>41473</v>
      </c>
      <c r="AC42" s="54">
        <f>IF('Completed'!$J$41&lt;&gt;"",'Completed'!$J$41,"")</f>
        <v>41546</v>
      </c>
      <c r="AD42" s="66" t="str">
        <f>IF('Completed'!$K$41&lt;&gt;"",'Completed'!$K$41,"")</f>
        <v>Misaka Mikoto</v>
      </c>
      <c r="AE42" s="66" t="str">
        <f>IF('Completed'!$L$41&lt;&gt;"",'Completed'!$L$41,"")</f>
        <v/>
      </c>
    </row>
    <row r="43" spans="1:31">
      <c r="A43" s="185"/>
      <c r="B43" s="182"/>
      <c r="C43" s="182"/>
      <c r="D43" s="182"/>
      <c r="E43" s="182"/>
      <c r="F43" s="182"/>
      <c r="G43" s="182"/>
      <c r="H43" s="183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IF('Completed'!$A$42&lt;&gt;"",'Completed'!$A$42,"")</f>
        <v>Mirai Nikki</v>
      </c>
      <c r="O43" s="28">
        <f>IF('Completed'!$B$42&lt;&gt;"",'Completed'!$B$42,"")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IF('Completed'!$C$42&lt;&gt;"",'Completed'!$C$42,"")</f>
        <v>9.5</v>
      </c>
      <c r="W43" s="53">
        <f>IF('Completed'!$D$42&lt;&gt;"",'Completed'!$D$42,"")</f>
        <v>7.5</v>
      </c>
      <c r="X43" s="53">
        <f>IF('Completed'!$E$42&lt;&gt;"",'Completed'!$E$42,"")</f>
        <v>5</v>
      </c>
      <c r="Y43" s="53">
        <f>IF('Completed'!$F$42&lt;&gt;"",'Completed'!$F$42,"")</f>
        <v>9</v>
      </c>
      <c r="Z43" s="65">
        <f>IF('Completed'!$G$42&lt;&gt;"",'Completed'!$G$42,"")</f>
        <v>8.4974874371859297</v>
      </c>
      <c r="AA43" s="75">
        <f>IF('Completed'!$H$42&lt;&gt;"",'Completed'!$H$42,"")</f>
        <v>8.5188916876574314</v>
      </c>
      <c r="AB43" s="54">
        <f>IF('Completed'!$I$42&lt;&gt;"",'Completed'!$I$42,"")</f>
        <v>41485</v>
      </c>
      <c r="AC43" s="54">
        <f>IF('Completed'!$J$42&lt;&gt;"",'Completed'!$J$42,"")</f>
        <v>41491</v>
      </c>
      <c r="AD43" s="66" t="str">
        <f>IF('Completed'!$K$42&lt;&gt;"",'Completed'!$K$42,"")</f>
        <v>Uryuu Minene v2</v>
      </c>
      <c r="AE43" s="66" t="str">
        <f>IF('Completed'!$L$42&lt;&gt;"",'Completed'!$L$42,"")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IF('Completed'!$A$43&lt;&gt;"",'Completed'!$A$43,"")</f>
        <v>Toaru Majutsu no Index II</v>
      </c>
      <c r="O44" s="28">
        <f>IF('Completed'!$B$43&lt;&gt;"",'Completed'!$B$43,"")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IF('Completed'!$C$43&lt;&gt;"",'Completed'!$C$43,"")</f>
        <v>9</v>
      </c>
      <c r="W44" s="53">
        <f>IF('Completed'!$D$43&lt;&gt;"",'Completed'!$D$43,"")</f>
        <v>8</v>
      </c>
      <c r="X44" s="53">
        <f>IF('Completed'!$E$43&lt;&gt;"",'Completed'!$E$43,"")</f>
        <v>4</v>
      </c>
      <c r="Y44" s="53">
        <f>IF('Completed'!$F$43&lt;&gt;"",'Completed'!$F$43,"")</f>
        <v>9</v>
      </c>
      <c r="Z44" s="65">
        <f>IF('Completed'!$G$43&lt;&gt;"",'Completed'!$G$43,"")</f>
        <v>8.4924623115577891</v>
      </c>
      <c r="AA44" s="75">
        <f>IF('Completed'!$H$43&lt;&gt;"",'Completed'!$H$43,"")</f>
        <v>8.5138539042821151</v>
      </c>
      <c r="AB44" s="54">
        <f>IF('Completed'!$I$43&lt;&gt;"",'Completed'!$I$43,"")</f>
        <v>41468</v>
      </c>
      <c r="AC44" s="54">
        <f>IF('Completed'!$J$43&lt;&gt;"",'Completed'!$J$43,"")</f>
        <v>41470</v>
      </c>
      <c r="AD44" s="66" t="str">
        <f>IF('Completed'!$K$43&lt;&gt;"",'Completed'!$K$43,"")</f>
        <v>Misaka Mikoto</v>
      </c>
      <c r="AE44" s="66" t="str">
        <f>IF('Completed'!$L$43&lt;&gt;"",'Completed'!$L$43,"")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IF('Completed'!$A$44&lt;&gt;"",'Completed'!$A$44,"")</f>
        <v>Hataraku Maou-sama</v>
      </c>
      <c r="O45" s="28">
        <f>IF('Completed'!$B$44&lt;&gt;"",'Completed'!$B$44,"")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IF('Completed'!$C$44&lt;&gt;"",'Completed'!$C$44,"")</f>
        <v>8</v>
      </c>
      <c r="W45" s="53">
        <f>IF('Completed'!$D$44&lt;&gt;"",'Completed'!$D$44,"")</f>
        <v>8.5</v>
      </c>
      <c r="X45" s="53">
        <f>IF('Completed'!$E$44&lt;&gt;"",'Completed'!$E$44,"")</f>
        <v>5</v>
      </c>
      <c r="Y45" s="53">
        <f>IF('Completed'!$F$44&lt;&gt;"",'Completed'!$F$44,"")</f>
        <v>9</v>
      </c>
      <c r="Z45" s="65">
        <f>IF('Completed'!$G$44&lt;&gt;"",'Completed'!$G$44,"")</f>
        <v>8.4912060301507548</v>
      </c>
      <c r="AA45" s="75">
        <f>IF('Completed'!$H$44&lt;&gt;"",'Completed'!$H$44,"")</f>
        <v>8.5125944584382882</v>
      </c>
      <c r="AB45" s="54">
        <f>IF('Completed'!$I$44&lt;&gt;"",'Completed'!$I$44,"")</f>
        <v>41371</v>
      </c>
      <c r="AC45" s="54">
        <f>IF('Completed'!$J$44&lt;&gt;"",'Completed'!$J$44,"")</f>
        <v>41452</v>
      </c>
      <c r="AD45" s="66" t="str">
        <f>IF('Completed'!$K$44&lt;&gt;"",'Completed'!$K$44,"")</f>
        <v>Kamazuki Suzuno</v>
      </c>
      <c r="AE45" s="66" t="str">
        <f>IF('Completed'!$L$44&lt;&gt;"",'Completed'!$L$44,"")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IF('Completed'!$A$45&lt;&gt;"",'Completed'!$A$45,"")</f>
        <v>Mekakucity Actors</v>
      </c>
      <c r="O46" s="28">
        <f>IF('Completed'!$B$45&lt;&gt;"",'Completed'!$B$45,"")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IF('Completed'!$C$45&lt;&gt;"",'Completed'!$C$45,"")</f>
        <v>8.5</v>
      </c>
      <c r="W46" s="53">
        <f>IF('Completed'!$D$45&lt;&gt;"",'Completed'!$D$45,"")</f>
        <v>9</v>
      </c>
      <c r="X46" s="53">
        <f>IF('Completed'!$E$45&lt;&gt;"",'Completed'!$E$45,"")</f>
        <v>5.5</v>
      </c>
      <c r="Y46" s="53">
        <f>IF('Completed'!$F$45&lt;&gt;"",'Completed'!$F$45,"")</f>
        <v>8.5</v>
      </c>
      <c r="Z46" s="65">
        <f>IF('Completed'!$G$45&lt;&gt;"",'Completed'!$G$45,"")</f>
        <v>8.4912060301507548</v>
      </c>
      <c r="AA46" s="75">
        <f>IF('Completed'!$H$45&lt;&gt;"",'Completed'!$H$45,"")</f>
        <v>8.5125944584382882</v>
      </c>
      <c r="AB46" s="54">
        <f>IF('Completed'!$I$45&lt;&gt;"",'Completed'!$I$45,"")</f>
        <v>41785</v>
      </c>
      <c r="AC46" s="54">
        <f>IF('Completed'!$J$45&lt;&gt;"",'Completed'!$J$45,"")</f>
        <v>41818</v>
      </c>
      <c r="AD46" s="66" t="str">
        <f>IF('Completed'!$K$45&lt;&gt;"",'Completed'!$K$45,"")</f>
        <v>Ene (Enomoto Takane)</v>
      </c>
      <c r="AE46" s="66" t="str">
        <f>IF('Completed'!$L$45&lt;&gt;"",'Completed'!$L$45,"")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IF('Completed'!$A$46&lt;&gt;"",'Completed'!$A$46,"")</f>
        <v>Gochuumon wa Usagi Desu ka?</v>
      </c>
      <c r="O47" s="28">
        <f>IF('Completed'!$B$46&lt;&gt;"",'Completed'!$B$46,"")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IF('Completed'!$C$46&lt;&gt;"",'Completed'!$C$46,"")</f>
        <v>4.5</v>
      </c>
      <c r="W47" s="53">
        <f>IF('Completed'!$D$46&lt;&gt;"",'Completed'!$D$46,"")</f>
        <v>9</v>
      </c>
      <c r="X47" s="53">
        <f>IF('Completed'!$E$46&lt;&gt;"",'Completed'!$E$46,"")</f>
        <v>10</v>
      </c>
      <c r="Y47" s="53">
        <f>IF('Completed'!$F$46&lt;&gt;"",'Completed'!$F$46,"")</f>
        <v>9.5</v>
      </c>
      <c r="Z47" s="65">
        <f>IF('Completed'!$G$46&lt;&gt;"",'Completed'!$G$46,"")</f>
        <v>8.4723618090452266</v>
      </c>
      <c r="AA47" s="75">
        <f>IF('Completed'!$H$46&lt;&gt;"",'Completed'!$H$46,"")</f>
        <v>8.4937027707808568</v>
      </c>
      <c r="AB47" s="54">
        <f>IF('Completed'!$I$46&lt;&gt;"",'Completed'!$I$46,"")</f>
        <v>41762</v>
      </c>
      <c r="AC47" s="54">
        <f>IF('Completed'!$J$46&lt;&gt;"",'Completed'!$J$46,"")</f>
        <v>41820</v>
      </c>
      <c r="AD47" s="66" t="str">
        <f>IF('Completed'!$K$46&lt;&gt;"",'Completed'!$K$46,"")</f>
        <v>Kafu Chino</v>
      </c>
      <c r="AE47" s="66" t="str">
        <f>IF('Completed'!$L$46&lt;&gt;"",'Completed'!$L$46,"")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IF('Completed'!$A$47&lt;&gt;"",'Completed'!$A$47,"")</f>
        <v>Ryuugajou Nanana no Maizoukin</v>
      </c>
      <c r="O48" s="28">
        <f>IF('Completed'!$B$47&lt;&gt;"",'Completed'!$B$47,"")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IF('Completed'!$C$47&lt;&gt;"",'Completed'!$C$47,"")</f>
        <v>9</v>
      </c>
      <c r="W48" s="53">
        <f>IF('Completed'!$D$47&lt;&gt;"",'Completed'!$D$47,"")</f>
        <v>8.5</v>
      </c>
      <c r="X48" s="53">
        <f>IF('Completed'!$E$47&lt;&gt;"",'Completed'!$E$47,"")</f>
        <v>5.5</v>
      </c>
      <c r="Y48" s="53">
        <f>IF('Completed'!$F$47&lt;&gt;"",'Completed'!$F$47,"")</f>
        <v>8.5</v>
      </c>
      <c r="Z48" s="65">
        <f>IF('Completed'!$G$47&lt;&gt;"",'Completed'!$G$47,"")</f>
        <v>8.4484924623115578</v>
      </c>
      <c r="AA48" s="75">
        <f>IF('Completed'!$H$47&lt;&gt;"",'Completed'!$H$47,"")</f>
        <v>8.4697732997481108</v>
      </c>
      <c r="AB48" s="54">
        <f>IF('Completed'!$I$47&lt;&gt;"",'Completed'!$I$47,"")</f>
        <v>41786</v>
      </c>
      <c r="AC48" s="54">
        <f>IF('Completed'!$J$47&lt;&gt;"",'Completed'!$J$47,"")</f>
        <v>41812</v>
      </c>
      <c r="AD48" s="66" t="str">
        <f>IF('Completed'!$K$47&lt;&gt;"",'Completed'!$K$47,"")</f>
        <v>Ryuugajou Nanana</v>
      </c>
      <c r="AE48" s="66" t="str">
        <f>IF('Completed'!$L$47&lt;&gt;"",'Completed'!$L$47,"")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IF('Completed'!$A$48&lt;&gt;"",'Completed'!$A$48,"")</f>
        <v>Sakurasou no Pet Na Kanojo</v>
      </c>
      <c r="O49" s="28">
        <f>IF('Completed'!$B$48&lt;&gt;"",'Completed'!$B$48,"")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IF('Completed'!$C$48&lt;&gt;"",'Completed'!$C$48,"")</f>
        <v>8.5</v>
      </c>
      <c r="W49" s="53">
        <f>IF('Completed'!$D$48&lt;&gt;"",'Completed'!$D$48,"")</f>
        <v>8</v>
      </c>
      <c r="X49" s="53">
        <f>IF('Completed'!$E$48&lt;&gt;"",'Completed'!$E$48,"")</f>
        <v>5</v>
      </c>
      <c r="Y49" s="53">
        <f>IF('Completed'!$F$48&lt;&gt;"",'Completed'!$F$48,"")</f>
        <v>9</v>
      </c>
      <c r="Z49" s="65">
        <f>IF('Completed'!$G$48&lt;&gt;"",'Completed'!$G$48,"")</f>
        <v>8.4484924623115578</v>
      </c>
      <c r="AA49" s="75">
        <f>IF('Completed'!$H$48&lt;&gt;"",'Completed'!$H$48,"")</f>
        <v>8.4697732997481108</v>
      </c>
      <c r="AB49" s="54">
        <f>IF('Completed'!$I$48&lt;&gt;"",'Completed'!$I$48,"")</f>
        <v>41261</v>
      </c>
      <c r="AC49" s="54">
        <f>IF('Completed'!$J$48&lt;&gt;"",'Completed'!$J$48,"")</f>
        <v>41359</v>
      </c>
      <c r="AD49" s="66" t="str">
        <f>IF('Completed'!$K$48&lt;&gt;"",'Completed'!$K$48,"")</f>
        <v>Shiina Mashiro</v>
      </c>
      <c r="AE49" s="66" t="str">
        <f>IF('Completed'!$L$48&lt;&gt;"",'Completed'!$L$48,"")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IF('Completed'!$A$49&lt;&gt;"",'Completed'!$A$49,"")</f>
        <v>Noragami</v>
      </c>
      <c r="O50" s="28">
        <f>IF('Completed'!$B$49&lt;&gt;"",'Completed'!$B$49,"")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IF('Completed'!$C$49&lt;&gt;"",'Completed'!$C$49,"")</f>
        <v>9</v>
      </c>
      <c r="W50" s="53">
        <f>IF('Completed'!$D$49&lt;&gt;"",'Completed'!$D$49,"")</f>
        <v>8.5</v>
      </c>
      <c r="X50" s="53">
        <f>IF('Completed'!$E$49&lt;&gt;"",'Completed'!$E$49,"")</f>
        <v>5</v>
      </c>
      <c r="Y50" s="53">
        <f>IF('Completed'!$F$49&lt;&gt;"",'Completed'!$F$49,"")</f>
        <v>8.5</v>
      </c>
      <c r="Z50" s="65">
        <f>IF('Completed'!$G$49&lt;&gt;"",'Completed'!$G$49,"")</f>
        <v>8.424623115577889</v>
      </c>
      <c r="AA50" s="75">
        <f>IF('Completed'!$H$49&lt;&gt;"",'Completed'!$H$49,"")</f>
        <v>8.4458438287153648</v>
      </c>
      <c r="AB50" s="54">
        <f>IF('Completed'!$I$49&lt;&gt;"",'Completed'!$I$49,"")</f>
        <v>41647</v>
      </c>
      <c r="AC50" s="54">
        <f>IF('Completed'!$J$49&lt;&gt;"",'Completed'!$J$49,"")</f>
        <v>41726</v>
      </c>
      <c r="AD50" s="66" t="str">
        <f>IF('Completed'!$K$49&lt;&gt;"",'Completed'!$K$49,"")</f>
        <v>Iki Hiyori</v>
      </c>
      <c r="AE50" s="66" t="str">
        <f>IF('Completed'!$L$49&lt;&gt;"",'Completed'!$L$49,"")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IF('Completed'!$A$50&lt;&gt;"",'Completed'!$A$50,"")</f>
        <v>K-On!!</v>
      </c>
      <c r="O51" s="28">
        <f>IF('Completed'!$B$50&lt;&gt;"",'Completed'!$B$50,"")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IF('Completed'!$C$50&lt;&gt;"",'Completed'!$C$50,"")</f>
        <v>6.5</v>
      </c>
      <c r="W51" s="53">
        <f>IF('Completed'!$D$50&lt;&gt;"",'Completed'!$D$50,"")</f>
        <v>7.5</v>
      </c>
      <c r="X51" s="53">
        <f>IF('Completed'!$E$50&lt;&gt;"",'Completed'!$E$50,"")</f>
        <v>9</v>
      </c>
      <c r="Y51" s="53">
        <f>IF('Completed'!$F$50&lt;&gt;"",'Completed'!$F$50,"")</f>
        <v>9.5</v>
      </c>
      <c r="Z51" s="65">
        <f>IF('Completed'!$G$50&lt;&gt;"",'Completed'!$G$50,"")</f>
        <v>8.3881909547738704</v>
      </c>
      <c r="AA51" s="75">
        <f>IF('Completed'!$H$50&lt;&gt;"",'Completed'!$H$50,"")</f>
        <v>8.4093198992443323</v>
      </c>
      <c r="AB51" s="54">
        <f>IF('Completed'!$I$50&lt;&gt;"",'Completed'!$I$50,"")</f>
        <v>41338</v>
      </c>
      <c r="AC51" s="54">
        <f>IF('Completed'!$J$50&lt;&gt;"",'Completed'!$J$50,"")</f>
        <v>41340</v>
      </c>
      <c r="AD51" s="66" t="str">
        <f>IF('Completed'!$K$50&lt;&gt;"",'Completed'!$K$50,"")</f>
        <v>Nakano Azusa</v>
      </c>
      <c r="AE51" s="66" t="str">
        <f>IF('Completed'!$L$50&lt;&gt;"",'Completed'!$L$50,"")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IF('Completed'!$A$51&lt;&gt;"",'Completed'!$A$51,"")</f>
        <v>Kyoukai no Kanata</v>
      </c>
      <c r="O52" s="28">
        <f>IF('Completed'!$B$51&lt;&gt;"",'Completed'!$B$51,"")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IF('Completed'!$C$51&lt;&gt;"",'Completed'!$C$51,"")</f>
        <v>8.5</v>
      </c>
      <c r="W52" s="53">
        <f>IF('Completed'!$D$51&lt;&gt;"",'Completed'!$D$51,"")</f>
        <v>8.5</v>
      </c>
      <c r="X52" s="53">
        <f>IF('Completed'!$E$51&lt;&gt;"",'Completed'!$E$51,"")</f>
        <v>6</v>
      </c>
      <c r="Y52" s="53">
        <f>IF('Completed'!$F$51&lt;&gt;"",'Completed'!$F$51,"")</f>
        <v>8.5</v>
      </c>
      <c r="Z52" s="65">
        <f>IF('Completed'!$G$51&lt;&gt;"",'Completed'!$G$51,"")</f>
        <v>8.3806532663316595</v>
      </c>
      <c r="AA52" s="75">
        <f>IF('Completed'!$H$51&lt;&gt;"",'Completed'!$H$51,"")</f>
        <v>8.4017632241813622</v>
      </c>
      <c r="AB52" s="54">
        <f>IF('Completed'!$I$51&lt;&gt;"",'Completed'!$I$51,"")</f>
        <v>41550</v>
      </c>
      <c r="AC52" s="54">
        <f>IF('Completed'!$J$51&lt;&gt;"",'Completed'!$J$51,"")</f>
        <v>41628</v>
      </c>
      <c r="AD52" s="66" t="str">
        <f>IF('Completed'!$K$51&lt;&gt;"",'Completed'!$K$51,"")</f>
        <v>Ai</v>
      </c>
      <c r="AE52" s="66" t="str">
        <f>IF('Completed'!$L$51&lt;&gt;"",'Completed'!$L$51,"")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IF('Completed'!$A$52&lt;&gt;"",'Completed'!$A$52,"")</f>
        <v>Lucky ★ Star</v>
      </c>
      <c r="O53" s="28">
        <f>IF('Completed'!$B$52&lt;&gt;"",'Completed'!$B$52,"")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IF('Completed'!$C$52&lt;&gt;"",'Completed'!$C$52,"")</f>
        <v>4</v>
      </c>
      <c r="W53" s="53">
        <f>IF('Completed'!$D$52&lt;&gt;"",'Completed'!$D$52,"")</f>
        <v>9</v>
      </c>
      <c r="X53" s="53">
        <f>IF('Completed'!$E$52&lt;&gt;"",'Completed'!$E$52,"")</f>
        <v>10</v>
      </c>
      <c r="Y53" s="53">
        <f>IF('Completed'!$F$52&lt;&gt;"",'Completed'!$F$52,"")</f>
        <v>9.5</v>
      </c>
      <c r="Z53" s="65">
        <f>IF('Completed'!$G$52&lt;&gt;"",'Completed'!$G$52,"")</f>
        <v>8.3806532663316595</v>
      </c>
      <c r="AA53" s="75">
        <f>IF('Completed'!$H$52&lt;&gt;"",'Completed'!$H$52,"")</f>
        <v>8.4017632241813622</v>
      </c>
      <c r="AB53" s="54">
        <f>IF('Completed'!$I$52&lt;&gt;"",'Completed'!$I$52,"")</f>
        <v>41300</v>
      </c>
      <c r="AC53" s="54">
        <f>IF('Completed'!$J$52&lt;&gt;"",'Completed'!$J$52,"")</f>
        <v>41302</v>
      </c>
      <c r="AD53" s="66" t="str">
        <f>IF('Completed'!$K$52&lt;&gt;"",'Completed'!$K$52,"")</f>
        <v>Hiiragi Kagami</v>
      </c>
      <c r="AE53" s="66" t="str">
        <f>IF('Completed'!$L$52&lt;&gt;"",'Completed'!$L$52,"")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IF('Completed'!$A$53&lt;&gt;"",'Completed'!$A$53,"")</f>
        <v>Maoyuu Maou Yuusha</v>
      </c>
      <c r="O54" s="28">
        <f>IF('Completed'!$B$53&lt;&gt;"",'Completed'!$B$53,"")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IF('Completed'!$C$53&lt;&gt;"",'Completed'!$C$53,"")</f>
        <v>9</v>
      </c>
      <c r="W54" s="53">
        <f>IF('Completed'!$D$53&lt;&gt;"",'Completed'!$D$53,"")</f>
        <v>8.5</v>
      </c>
      <c r="X54" s="53">
        <f>IF('Completed'!$E$53&lt;&gt;"",'Completed'!$E$53,"")</f>
        <v>3</v>
      </c>
      <c r="Y54" s="53">
        <f>IF('Completed'!$F$53&lt;&gt;"",'Completed'!$F$53,"")</f>
        <v>8.5</v>
      </c>
      <c r="Z54" s="65">
        <f>IF('Completed'!$G$53&lt;&gt;"",'Completed'!$G$53,"")</f>
        <v>8.3291457286432156</v>
      </c>
      <c r="AA54" s="75">
        <f>IF('Completed'!$H$53&lt;&gt;"",'Completed'!$H$53,"")</f>
        <v>8.3501259445843807</v>
      </c>
      <c r="AB54" s="54">
        <f>IF('Completed'!$I$53&lt;&gt;"",'Completed'!$I$53,"")</f>
        <v>41411</v>
      </c>
      <c r="AC54" s="54">
        <f>IF('Completed'!$J$53&lt;&gt;"",'Completed'!$J$53,"")</f>
        <v>41413</v>
      </c>
      <c r="AD54" s="66" t="str">
        <f>IF('Completed'!$K$53&lt;&gt;"",'Completed'!$K$53,"")</f>
        <v>Onna Mahoutsukai</v>
      </c>
      <c r="AE54" s="66" t="str">
        <f>IF('Completed'!$L$53&lt;&gt;"",'Completed'!$L$53,"")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IF('Completed'!$A$54&lt;&gt;"",'Completed'!$A$54,"")</f>
        <v>Boku wa Tomodachi ga Sukunai NEXT</v>
      </c>
      <c r="O55" s="28">
        <f>IF('Completed'!$B$54&lt;&gt;"",'Completed'!$B$54,"")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IF('Completed'!$C$54&lt;&gt;"",'Completed'!$C$54,"")</f>
        <v>9</v>
      </c>
      <c r="W55" s="53">
        <f>IF('Completed'!$D$54&lt;&gt;"",'Completed'!$D$54,"")</f>
        <v>8</v>
      </c>
      <c r="X55" s="53">
        <f>IF('Completed'!$E$54&lt;&gt;"",'Completed'!$E$54,"")</f>
        <v>5.5</v>
      </c>
      <c r="Y55" s="53">
        <f>IF('Completed'!$F$54&lt;&gt;"",'Completed'!$F$54,"")</f>
        <v>8.5</v>
      </c>
      <c r="Z55" s="65">
        <f>IF('Completed'!$G$54&lt;&gt;"",'Completed'!$G$54,"")</f>
        <v>8.3140703517587955</v>
      </c>
      <c r="AA55" s="75">
        <f>IF('Completed'!$H$54&lt;&gt;"",'Completed'!$H$54,"")</f>
        <v>8.3350125944584388</v>
      </c>
      <c r="AB55" s="54">
        <f>IF('Completed'!$I$54&lt;&gt;"",'Completed'!$I$54,"")</f>
        <v>41633</v>
      </c>
      <c r="AC55" s="54">
        <f>IF('Completed'!$J$54&lt;&gt;"",'Completed'!$J$54,"")</f>
        <v>41635</v>
      </c>
      <c r="AD55" s="66" t="str">
        <f>IF('Completed'!$K$54&lt;&gt;"",'Completed'!$K$54,"")</f>
        <v>Shiguma Rika</v>
      </c>
      <c r="AE55" s="66" t="str">
        <f>IF('Completed'!$L$54&lt;&gt;"",'Completed'!$L$54,"")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IF('Completed'!$A$55&lt;&gt;"",'Completed'!$A$55,"")</f>
        <v>Monogatari Series Season 2</v>
      </c>
      <c r="O56" s="28">
        <f>IF('Completed'!$B$55&lt;&gt;"",'Completed'!$B$55,"")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IF('Completed'!$C$55&lt;&gt;"",'Completed'!$C$55,"")</f>
        <v>9</v>
      </c>
      <c r="W56" s="53">
        <f>IF('Completed'!$D$55&lt;&gt;"",'Completed'!$D$55,"")</f>
        <v>8</v>
      </c>
      <c r="X56" s="53">
        <f>IF('Completed'!$E$55&lt;&gt;"",'Completed'!$E$55,"")</f>
        <v>5.5</v>
      </c>
      <c r="Y56" s="53">
        <f>IF('Completed'!$F$55&lt;&gt;"",'Completed'!$F$55,"")</f>
        <v>8.5</v>
      </c>
      <c r="Z56" s="65">
        <f>IF('Completed'!$G$55&lt;&gt;"",'Completed'!$G$55,"")</f>
        <v>8.3140703517587955</v>
      </c>
      <c r="AA56" s="75">
        <f>IF('Completed'!$H$55&lt;&gt;"",'Completed'!$H$55,"")</f>
        <v>8.3350125944584388</v>
      </c>
      <c r="AB56" s="54">
        <f>IF('Completed'!$I$55&lt;&gt;"",'Completed'!$I$55,"")</f>
        <v>41461</v>
      </c>
      <c r="AC56" s="54">
        <f>IF('Completed'!$J$55&lt;&gt;"",'Completed'!$J$55,"")</f>
        <v>41638</v>
      </c>
      <c r="AD56" s="66" t="str">
        <f>IF('Completed'!$K$55&lt;&gt;"",'Completed'!$K$55,"")</f>
        <v>Oshino Shinobu</v>
      </c>
      <c r="AE56" s="66" t="str">
        <f>IF('Completed'!$L$55&lt;&gt;"",'Completed'!$L$55,"")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Arakawa Under the Bridge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IF('Completed'!$A$56&lt;&gt;"",'Completed'!$A$56,"")</f>
        <v>Toaru Majutsu no Index</v>
      </c>
      <c r="O57" s="28">
        <f>IF('Completed'!$B$56&lt;&gt;"",'Completed'!$B$56,"")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IF('Completed'!$C$56&lt;&gt;"",'Completed'!$C$56,"")</f>
        <v>8.5</v>
      </c>
      <c r="W57" s="53">
        <f>IF('Completed'!$D$56&lt;&gt;"",'Completed'!$D$56,"")</f>
        <v>7.5</v>
      </c>
      <c r="X57" s="53">
        <f>IF('Completed'!$E$56&lt;&gt;"",'Completed'!$E$56,"")</f>
        <v>5</v>
      </c>
      <c r="Y57" s="53">
        <f>IF('Completed'!$F$56&lt;&gt;"",'Completed'!$F$56,"")</f>
        <v>9</v>
      </c>
      <c r="Z57" s="65">
        <f>IF('Completed'!$G$56&lt;&gt;"",'Completed'!$G$56,"")</f>
        <v>8.3140703517587955</v>
      </c>
      <c r="AA57" s="75">
        <f>IF('Completed'!$H$56&lt;&gt;"",'Completed'!$H$56,"")</f>
        <v>8.3350125944584388</v>
      </c>
      <c r="AB57" s="54">
        <f>IF('Completed'!$I$56&lt;&gt;"",'Completed'!$I$56,"")</f>
        <v>41431</v>
      </c>
      <c r="AC57" s="54">
        <f>IF('Completed'!$J$56&lt;&gt;"",'Completed'!$J$56,"")</f>
        <v>41436</v>
      </c>
      <c r="AD57" s="66" t="str">
        <f>IF('Completed'!$K$56&lt;&gt;"",'Completed'!$K$56,"")</f>
        <v>Misaka Mikoto</v>
      </c>
      <c r="AE57" s="66" t="str">
        <f>IF('Completed'!$L$56&lt;&gt;"",'Completed'!$L$56,"")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Bakumatsu Rock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IF('Completed'!$A$57&lt;&gt;"",'Completed'!$A$57,"")</f>
        <v>Nisekoi</v>
      </c>
      <c r="O58" s="28">
        <f>IF('Completed'!$B$57&lt;&gt;"",'Completed'!$B$57,"")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IF('Completed'!$C$57&lt;&gt;"",'Completed'!$C$57,"")</f>
        <v>8.5</v>
      </c>
      <c r="W58" s="53">
        <f>IF('Completed'!$D$57&lt;&gt;"",'Completed'!$D$57,"")</f>
        <v>9</v>
      </c>
      <c r="X58" s="53">
        <f>IF('Completed'!$E$57&lt;&gt;"",'Completed'!$E$57,"")</f>
        <v>7</v>
      </c>
      <c r="Y58" s="53">
        <f>IF('Completed'!$F$57&lt;&gt;"",'Completed'!$F$57,"")</f>
        <v>8</v>
      </c>
      <c r="Z58" s="65">
        <f>IF('Completed'!$G$57&lt;&gt;"",'Completed'!$G$57,"")</f>
        <v>8.3128140703517595</v>
      </c>
      <c r="AA58" s="75">
        <f>IF('Completed'!$H$57&lt;&gt;"",'Completed'!$H$57,"")</f>
        <v>8.3337531486146101</v>
      </c>
      <c r="AB58" s="54">
        <f>IF('Completed'!$I$57&lt;&gt;"",'Completed'!$I$57,"")</f>
        <v>41652</v>
      </c>
      <c r="AC58" s="54">
        <f>IF('Completed'!$J$57&lt;&gt;"",'Completed'!$J$57,"")</f>
        <v>41824</v>
      </c>
      <c r="AD58" s="66" t="str">
        <f>IF('Completed'!$K$57&lt;&gt;"",'Completed'!$K$57,"")</f>
        <v>Kirisaki Chitoge</v>
      </c>
      <c r="AE58" s="66" t="str">
        <f>IF('Completed'!$L$57&lt;&gt;"",'Completed'!$L$57,"")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Card Captor Sakura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IF('Completed'!$A$58&lt;&gt;"",'Completed'!$A$58,"")</f>
        <v>Hentai Ouji to Warawanai Neko</v>
      </c>
      <c r="O59" s="28">
        <f>IF('Completed'!$B$58&lt;&gt;"",'Completed'!$B$58,"")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IF('Completed'!$C$58&lt;&gt;"",'Completed'!$C$58,"")</f>
        <v>7</v>
      </c>
      <c r="W59" s="53">
        <f>IF('Completed'!$D$58&lt;&gt;"",'Completed'!$D$58,"")</f>
        <v>8.5</v>
      </c>
      <c r="X59" s="53">
        <f>IF('Completed'!$E$58&lt;&gt;"",'Completed'!$E$58,"")</f>
        <v>10</v>
      </c>
      <c r="Y59" s="53">
        <f>IF('Completed'!$F$58&lt;&gt;"",'Completed'!$F$58,"")</f>
        <v>8.5</v>
      </c>
      <c r="Z59" s="65">
        <f>IF('Completed'!$G$58&lt;&gt;"",'Completed'!$G$58,"")</f>
        <v>8.2964824120602998</v>
      </c>
      <c r="AA59" s="75">
        <f>IF('Completed'!$H$58&lt;&gt;"",'Completed'!$H$58,"")</f>
        <v>8.3173803526448342</v>
      </c>
      <c r="AB59" s="54">
        <f>IF('Completed'!$I$58&lt;&gt;"",'Completed'!$I$58,"")</f>
        <v>41378</v>
      </c>
      <c r="AC59" s="54">
        <f>IF('Completed'!$J$58&lt;&gt;"",'Completed'!$J$58,"")</f>
        <v>41454</v>
      </c>
      <c r="AD59" s="66" t="str">
        <f>IF('Completed'!$K$58&lt;&gt;"",'Completed'!$K$58,"")</f>
        <v>Tsutsukakushi Tsukiko</v>
      </c>
      <c r="AE59" s="66" t="str">
        <f>IF('Completed'!$L$58&lt;&gt;"",'Completed'!$L$58,"")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DRAMAtical Murder</v>
      </c>
      <c r="K60" s="28">
        <f>IF(Backlog!$B$59&lt;&gt;"",Backlog!$B$59,"")</f>
        <v>1</v>
      </c>
      <c r="L60" s="29" t="str">
        <f>IF(Backlog!$C$59&lt;&gt;"",Backlog!$C$59,"")</f>
        <v>NA</v>
      </c>
      <c r="N60" s="21" t="str">
        <f>IF('Completed'!$A$59&lt;&gt;"",'Completed'!$A$59,"")</f>
        <v>Hyouka</v>
      </c>
      <c r="O60" s="28">
        <f>IF('Completed'!$B$59&lt;&gt;"",'Completed'!$B$59,"")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IF('Completed'!$C$59&lt;&gt;"",'Completed'!$C$59,"")</f>
        <v>9</v>
      </c>
      <c r="W60" s="53">
        <f>IF('Completed'!$D$59&lt;&gt;"",'Completed'!$D$59,"")</f>
        <v>8</v>
      </c>
      <c r="X60" s="53">
        <f>IF('Completed'!$E$59&lt;&gt;"",'Completed'!$E$59,"")</f>
        <v>5</v>
      </c>
      <c r="Y60" s="53">
        <f>IF('Completed'!$F$59&lt;&gt;"",'Completed'!$F$59,"")</f>
        <v>8.5</v>
      </c>
      <c r="Z60" s="65">
        <f>IF('Completed'!$G$59&lt;&gt;"",'Completed'!$G$59,"")</f>
        <v>8.2902010050251267</v>
      </c>
      <c r="AA60" s="75">
        <f>IF('Completed'!$H$59&lt;&gt;"",'Completed'!$H$59,"")</f>
        <v>8.3110831234256928</v>
      </c>
      <c r="AB60" s="54">
        <f>IF('Completed'!$I$59&lt;&gt;"",'Completed'!$I$59,"")</f>
        <v>41424</v>
      </c>
      <c r="AC60" s="54">
        <f>IF('Completed'!$J$59&lt;&gt;"",'Completed'!$J$59,"")</f>
        <v>41430</v>
      </c>
      <c r="AD60" s="66" t="str">
        <f>IF('Completed'!$K$59&lt;&gt;"",'Completed'!$K$59,"")</f>
        <v>Eru Chitanda</v>
      </c>
      <c r="AE60" s="66" t="str">
        <f>IF('Completed'!$L$59&lt;&gt;"",'Completed'!$L$59,"")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☆☆☆</v>
      </c>
      <c r="K61" s="28">
        <f>IF(Backlog!$B$60&lt;&gt;"",Backlog!$B$60,"")</f>
        <v>2</v>
      </c>
      <c r="L61" s="29" t="str">
        <f>IF(Backlog!$C$60&lt;&gt;"",Backlog!$C$60,"")</f>
        <v>NA</v>
      </c>
      <c r="N61" s="21" t="str">
        <f>IF('Completed'!$A$60&lt;&gt;"",'Completed'!$A$60,"")</f>
        <v>Arpeggio of Blue Steel - Ars Nova</v>
      </c>
      <c r="O61" s="28">
        <f>IF('Completed'!$B$60&lt;&gt;"",'Completed'!$B$60,"")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IF('Completed'!$C$60&lt;&gt;"",'Completed'!$C$60,"")</f>
        <v>8.5</v>
      </c>
      <c r="W61" s="53">
        <f>IF('Completed'!$D$60&lt;&gt;"",'Completed'!$D$60,"")</f>
        <v>9</v>
      </c>
      <c r="X61" s="53">
        <f>IF('Completed'!$E$60&lt;&gt;"",'Completed'!$E$60,"")</f>
        <v>6.5</v>
      </c>
      <c r="Y61" s="53">
        <f>IF('Completed'!$F$60&lt;&gt;"",'Completed'!$F$60,"")</f>
        <v>8</v>
      </c>
      <c r="Z61" s="65">
        <f>IF('Completed'!$G$60&lt;&gt;"",'Completed'!$G$60,"")</f>
        <v>8.2889447236180906</v>
      </c>
      <c r="AA61" s="75">
        <f>IF('Completed'!$H$60&lt;&gt;"",'Completed'!$H$60,"")</f>
        <v>8.3098236775818624</v>
      </c>
      <c r="AB61" s="54">
        <f>IF('Completed'!$I$60&lt;&gt;"",'Completed'!$I$60,"")</f>
        <v>41555</v>
      </c>
      <c r="AC61" s="54">
        <f>IF('Completed'!$J$60&lt;&gt;"",'Completed'!$J$60,"")</f>
        <v>41631</v>
      </c>
      <c r="AD61" s="66" t="str">
        <f>IF('Completed'!$K$60&lt;&gt;"",'Completed'!$K$60,"")</f>
        <v>Iona</v>
      </c>
      <c r="AE61" s="66" t="str">
        <f>IF('Completed'!$L$60&lt;&gt;"",'Completed'!$L$60,"")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365</v>
      </c>
      <c r="K62" s="28">
        <f>IF(Backlog!$B$61&lt;&gt;"",Backlog!$B$61,"")</f>
        <v>3</v>
      </c>
      <c r="L62" s="29" t="str">
        <f>IF(Backlog!$C$61&lt;&gt;"",Backlog!$C$61,"")</f>
        <v>NA</v>
      </c>
      <c r="N62" s="21" t="str">
        <f>IF('Completed'!$A$61&lt;&gt;"",'Completed'!$A$61,"")</f>
        <v>Ore no Imouto ga Konna ni Kawaii Wake ga Nai.</v>
      </c>
      <c r="O62" s="28">
        <f>IF('Completed'!$B$61&lt;&gt;"",'Completed'!$B$61,"")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IF('Completed'!$C$61&lt;&gt;"",'Completed'!$C$61,"")</f>
        <v>8.5</v>
      </c>
      <c r="W62" s="53">
        <f>IF('Completed'!$D$61&lt;&gt;"",'Completed'!$D$61,"")</f>
        <v>8</v>
      </c>
      <c r="X62" s="53">
        <f>IF('Completed'!$E$61&lt;&gt;"",'Completed'!$E$61,"")</f>
        <v>5.5</v>
      </c>
      <c r="Y62" s="53">
        <f>IF('Completed'!$F$61&lt;&gt;"",'Completed'!$F$61,"")</f>
        <v>8.5</v>
      </c>
      <c r="Z62" s="65">
        <f>IF('Completed'!$G$61&lt;&gt;"",'Completed'!$G$61,"")</f>
        <v>8.2223618090452266</v>
      </c>
      <c r="AA62" s="75">
        <f>IF('Completed'!$H$61&lt;&gt;"",'Completed'!$H$61,"")</f>
        <v>8.2430730478589425</v>
      </c>
      <c r="AB62" s="54">
        <f>IF('Completed'!$I$61&lt;&gt;"",'Completed'!$I$61,"")</f>
        <v>41370</v>
      </c>
      <c r="AC62" s="54">
        <f>IF('Completed'!$J$61&lt;&gt;"",'Completed'!$J$61,"")</f>
        <v>41512</v>
      </c>
      <c r="AD62" s="66" t="str">
        <f>IF('Completed'!$K$61&lt;&gt;"",'Completed'!$K$61,"")</f>
        <v>Aragaki Ayase-tan</v>
      </c>
      <c r="AE62" s="66" t="str">
        <f>IF('Completed'!$L$61&lt;&gt;"",'Completed'!$L$61,"")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Hidamari Sketch x Honeycomb</v>
      </c>
      <c r="K63" s="28">
        <f>IF(Backlog!$B$62&lt;&gt;"",Backlog!$B$62,"")</f>
        <v>4</v>
      </c>
      <c r="L63" s="29" t="str">
        <f>IF(Backlog!$C$62&lt;&gt;"",Backlog!$C$62,"")</f>
        <v>NA</v>
      </c>
      <c r="N63" s="21" t="str">
        <f>IF('Completed'!$A$62&lt;&gt;"",'Completed'!$A$62,"")</f>
        <v>Puella Magi Madoka Magica</v>
      </c>
      <c r="O63" s="28">
        <f>IF('Completed'!$B$62&lt;&gt;"",'Completed'!$B$62,"")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IF('Completed'!$C$62&lt;&gt;"",'Completed'!$C$62,"")</f>
        <v>9</v>
      </c>
      <c r="W63" s="53">
        <f>IF('Completed'!$D$62&lt;&gt;"",'Completed'!$D$62,"")</f>
        <v>7.5</v>
      </c>
      <c r="X63" s="53">
        <f>IF('Completed'!$E$62&lt;&gt;"",'Completed'!$E$62,"")</f>
        <v>5</v>
      </c>
      <c r="Y63" s="53">
        <f>IF('Completed'!$F$62&lt;&gt;"",'Completed'!$F$62,"")</f>
        <v>8.5</v>
      </c>
      <c r="Z63" s="65">
        <f>IF('Completed'!$G$62&lt;&gt;"",'Completed'!$G$62,"")</f>
        <v>8.1557788944723626</v>
      </c>
      <c r="AA63" s="75">
        <f>IF('Completed'!$H$62&lt;&gt;"",'Completed'!$H$62,"")</f>
        <v>8.1763224181360208</v>
      </c>
      <c r="AB63" s="54">
        <f>IF('Completed'!$I$62&lt;&gt;"",'Completed'!$I$62,"")</f>
        <v>41255</v>
      </c>
      <c r="AC63" s="54">
        <f>IF('Completed'!$J$62&lt;&gt;"",'Completed'!$J$62,"")</f>
        <v>41256</v>
      </c>
      <c r="AD63" s="66" t="str">
        <f>IF('Completed'!$K$62&lt;&gt;"",'Completed'!$K$62,"")</f>
        <v>Akemi Homura</v>
      </c>
      <c r="AE63" s="66" t="str">
        <f>IF('Completed'!$L$62&lt;&gt;"",'Completed'!$L$62,"")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Joshiraku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IF('Completed'!$A$63&lt;&gt;"",'Completed'!$A$63,"")</f>
        <v>Samurai Flamenco</v>
      </c>
      <c r="O64" s="28">
        <f>IF('Completed'!$B$63&lt;&gt;"",'Completed'!$B$63,"")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IF('Completed'!$C$63&lt;&gt;"",'Completed'!$C$63,"")</f>
        <v>8.5</v>
      </c>
      <c r="W64" s="53">
        <f>IF('Completed'!$D$63&lt;&gt;"",'Completed'!$D$63,"")</f>
        <v>8</v>
      </c>
      <c r="X64" s="53">
        <f>IF('Completed'!$E$63&lt;&gt;"",'Completed'!$E$63,"")</f>
        <v>4</v>
      </c>
      <c r="Y64" s="53">
        <f>IF('Completed'!$F$63&lt;&gt;"",'Completed'!$F$63,"")</f>
        <v>8.5</v>
      </c>
      <c r="Z64" s="65">
        <f>IF('Completed'!$G$63&lt;&gt;"",'Completed'!$G$63,"")</f>
        <v>8.1507537688442202</v>
      </c>
      <c r="AA64" s="75">
        <f>IF('Completed'!$H$63&lt;&gt;"",'Completed'!$H$63,"")</f>
        <v>8.1712846347607044</v>
      </c>
      <c r="AB64" s="54">
        <f>IF('Completed'!$I$63&lt;&gt;"",'Completed'!$I$63,"")</f>
        <v>41562</v>
      </c>
      <c r="AC64" s="54">
        <f>IF('Completed'!$J$63&lt;&gt;"",'Completed'!$J$63,"")</f>
        <v>41728</v>
      </c>
      <c r="AD64" s="66" t="str">
        <f>IF('Completed'!$K$63&lt;&gt;"",'Completed'!$K$63,"")</f>
        <v>Ishihara Sumi</v>
      </c>
      <c r="AE64" s="66" t="str">
        <f>IF('Completed'!$L$63&lt;&gt;"",'Completed'!$L$63,"")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Kyousougiga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IF('Completed'!$A$64&lt;&gt;"",'Completed'!$A$64,"")</f>
        <v>Hitsugi no Chaika</v>
      </c>
      <c r="O65" s="28">
        <f>IF('Completed'!$B$64&lt;&gt;"",'Completed'!$B$64,"")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IF('Completed'!$C$64&lt;&gt;"",'Completed'!$C$64,"")</f>
        <v>8.5</v>
      </c>
      <c r="W65" s="53">
        <f>IF('Completed'!$D$64&lt;&gt;"",'Completed'!$D$64,"")</f>
        <v>8</v>
      </c>
      <c r="X65" s="53">
        <f>IF('Completed'!$E$64&lt;&gt;"",'Completed'!$E$64,"")</f>
        <v>3.5</v>
      </c>
      <c r="Y65" s="53">
        <f>IF('Completed'!$F$64&lt;&gt;"",'Completed'!$F$64,"")</f>
        <v>8.5</v>
      </c>
      <c r="Z65" s="65">
        <f>IF('Completed'!$G$64&lt;&gt;"",'Completed'!$G$64,"")</f>
        <v>8.1268844221105532</v>
      </c>
      <c r="AA65" s="75">
        <f>IF('Completed'!$H$64&lt;&gt;"",'Completed'!$H$64,"")</f>
        <v>8.1473551637279584</v>
      </c>
      <c r="AB65" s="54">
        <f>IF('Completed'!$I$64&lt;&gt;"",'Completed'!$I$64,"")</f>
        <v>41789</v>
      </c>
      <c r="AC65" s="54">
        <f>IF('Completed'!$J$64&lt;&gt;"",'Completed'!$J$64,"")</f>
        <v>41816</v>
      </c>
      <c r="AD65" s="66" t="str">
        <f>IF('Completed'!$K$64&lt;&gt;"",'Completed'!$K$64,"")</f>
        <v>Chaika</v>
      </c>
      <c r="AE65" s="66" t="str">
        <f>IF('Completed'!$L$64&lt;&gt;"",'Completed'!$L$64,"")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Magi: The Labyrinth of Magic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IF('Completed'!$A$65&lt;&gt;"",'Completed'!$A$65,"")</f>
        <v>Baka to Test to Shoukanjuu Ni!</v>
      </c>
      <c r="O66" s="28">
        <f>IF('Completed'!$B$65&lt;&gt;"",'Completed'!$B$65,"")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IF('Completed'!$C$65&lt;&gt;"",'Completed'!$C$65,"")</f>
        <v>7</v>
      </c>
      <c r="W66" s="53">
        <f>IF('Completed'!$D$65&lt;&gt;"",'Completed'!$D$65,"")</f>
        <v>8</v>
      </c>
      <c r="X66" s="53">
        <f>IF('Completed'!$E$65&lt;&gt;"",'Completed'!$E$65,"")</f>
        <v>3.5</v>
      </c>
      <c r="Y66" s="53">
        <f>IF('Completed'!$F$65&lt;&gt;"",'Completed'!$F$65,"")</f>
        <v>9</v>
      </c>
      <c r="Z66" s="65">
        <f>IF('Completed'!$G$65&lt;&gt;"",'Completed'!$G$65,"")</f>
        <v>8.1017587939698501</v>
      </c>
      <c r="AA66" s="75">
        <f>IF('Completed'!$H$65&lt;&gt;"",'Completed'!$H$65,"")</f>
        <v>8.1221662468513856</v>
      </c>
      <c r="AB66" s="54">
        <f>IF('Completed'!$I$65&lt;&gt;"",'Completed'!$I$65,"")</f>
        <v>41354</v>
      </c>
      <c r="AC66" s="54">
        <f>IF('Completed'!$J$65&lt;&gt;"",'Completed'!$J$65,"")</f>
        <v>41355</v>
      </c>
      <c r="AD66" s="66" t="str">
        <f>IF('Completed'!$K$65&lt;&gt;"",'Completed'!$K$65,"")</f>
        <v>Shimada Minami</v>
      </c>
      <c r="AE66" s="66" t="str">
        <f>IF('Completed'!$L$65&lt;&gt;"",'Completed'!$L$65,"")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Mahouka Koukou no Rettousei</v>
      </c>
      <c r="K67" s="28">
        <f>IF(Backlog!$B$66&lt;&gt;"",Backlog!$B$66,"")</f>
        <v>1</v>
      </c>
      <c r="L67" s="29" t="str">
        <f>IF(Backlog!$C$66&lt;&gt;"",Backlog!$C$66,"")</f>
        <v>NA</v>
      </c>
      <c r="N67" s="21" t="str">
        <f>IF('Completed'!$A$66&lt;&gt;"",'Completed'!$A$66,"")</f>
        <v>Tonari no Seki-kun</v>
      </c>
      <c r="O67" s="28">
        <f>IF('Completed'!$B$66&lt;&gt;"",'Completed'!$B$66,"")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IF('Completed'!$C$66&lt;&gt;"",'Completed'!$C$66,"")</f>
        <v>5</v>
      </c>
      <c r="W67" s="53">
        <f>IF('Completed'!$D$66&lt;&gt;"",'Completed'!$D$66,"")</f>
        <v>9</v>
      </c>
      <c r="X67" s="53">
        <f>IF('Completed'!$E$66&lt;&gt;"",'Completed'!$E$66,"")</f>
        <v>5</v>
      </c>
      <c r="Y67" s="53">
        <f>IF('Completed'!$F$66&lt;&gt;"",'Completed'!$F$66,"")</f>
        <v>9</v>
      </c>
      <c r="Z67" s="65">
        <f>IF('Completed'!$G$66&lt;&gt;"",'Completed'!$G$66,"")</f>
        <v>8.075376884422111</v>
      </c>
      <c r="AA67" s="75">
        <f>IF('Completed'!$H$66&lt;&gt;"",'Completed'!$H$66,"")</f>
        <v>8.0957178841309823</v>
      </c>
      <c r="AB67" s="54">
        <f>IF('Completed'!$I$66&lt;&gt;"",'Completed'!$I$66,"")</f>
        <v>41648</v>
      </c>
      <c r="AC67" s="54">
        <f>IF('Completed'!$J$66&lt;&gt;"",'Completed'!$J$66,"")</f>
        <v>41785</v>
      </c>
      <c r="AD67" s="66" t="str">
        <f>IF('Completed'!$K$66&lt;&gt;"",'Completed'!$K$66,"")</f>
        <v>Yokoi Rumi</v>
      </c>
      <c r="AE67" s="66" t="str">
        <f>IF('Completed'!$L$66&lt;&gt;"",'Completed'!$L$66,"")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Mushishi Zoku Shou</v>
      </c>
      <c r="K68" s="28">
        <f>IF(Backlog!$B$67&lt;&gt;"",Backlog!$B$67,"")</f>
        <v>2</v>
      </c>
      <c r="L68" s="29" t="str">
        <f>IF(Backlog!$C$67&lt;&gt;"",Backlog!$C$67,"")</f>
        <v>NA</v>
      </c>
      <c r="N68" s="21" t="str">
        <f>IF('Completed'!$A$67&lt;&gt;"",'Completed'!$A$67,"")</f>
        <v>Black Bullet</v>
      </c>
      <c r="O68" s="28">
        <f>IF('Completed'!$B$67&lt;&gt;"",'Completed'!$B$67,"")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IF('Completed'!$C$67&lt;&gt;"",'Completed'!$C$67,"")</f>
        <v>8</v>
      </c>
      <c r="W68" s="53">
        <f>IF('Completed'!$D$67&lt;&gt;"",'Completed'!$D$67,"")</f>
        <v>8.5</v>
      </c>
      <c r="X68" s="53">
        <f>IF('Completed'!$E$67&lt;&gt;"",'Completed'!$E$67,"")</f>
        <v>6</v>
      </c>
      <c r="Y68" s="53">
        <f>IF('Completed'!$F$67&lt;&gt;"",'Completed'!$F$67,"")</f>
        <v>8</v>
      </c>
      <c r="Z68" s="65">
        <f>IF('Completed'!$G$67&lt;&gt;"",'Completed'!$G$67,"")</f>
        <v>8.0389447236180906</v>
      </c>
      <c r="AA68" s="75">
        <f>IF('Completed'!$H$67&lt;&gt;"",'Completed'!$H$67,"")</f>
        <v>8.059193954659948</v>
      </c>
      <c r="AB68" s="54">
        <f>IF('Completed'!$I$67&lt;&gt;"",'Completed'!$I$67,"")</f>
        <v>41750</v>
      </c>
      <c r="AC68" s="54">
        <f>IF('Completed'!$J$67&lt;&gt;"",'Completed'!$J$67,"")</f>
        <v>41831</v>
      </c>
      <c r="AD68" s="66" t="str">
        <f>IF('Completed'!$K$67&lt;&gt;"",'Completed'!$K$67,"")</f>
        <v>Tina Sprout</v>
      </c>
      <c r="AE68" s="66" t="str">
        <f>IF('Completed'!$L$67&lt;&gt;"",'Completed'!$L$67,"")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Nourin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IF('Completed'!$A$68&lt;&gt;"",'Completed'!$A$68,"")</f>
        <v>The Idolm@ster</v>
      </c>
      <c r="O69" s="28">
        <f>IF('Completed'!$B$68&lt;&gt;"",'Completed'!$B$68,"")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IF('Completed'!$C$68&lt;&gt;"",'Completed'!$C$68,"")</f>
        <v>6.5</v>
      </c>
      <c r="W69" s="53">
        <f>IF('Completed'!$D$68&lt;&gt;"",'Completed'!$D$68,"")</f>
        <v>8.5</v>
      </c>
      <c r="X69" s="53">
        <f>IF('Completed'!$E$68&lt;&gt;"",'Completed'!$E$68,"")</f>
        <v>6.5</v>
      </c>
      <c r="Y69" s="53">
        <f>IF('Completed'!$F$68&lt;&gt;"",'Completed'!$F$68,"")</f>
        <v>8.5</v>
      </c>
      <c r="Z69" s="65">
        <f>IF('Completed'!$G$68&lt;&gt;"",'Completed'!$G$68,"")</f>
        <v>8.0376884422110546</v>
      </c>
      <c r="AA69" s="75">
        <f>IF('Completed'!$H$68&lt;&gt;"",'Completed'!$H$68,"")</f>
        <v>8.0579345088161194</v>
      </c>
      <c r="AB69" s="54">
        <f>IF('Completed'!$I$68&lt;&gt;"",'Completed'!$I$68,"")</f>
        <v>41394</v>
      </c>
      <c r="AC69" s="54">
        <f>IF('Completed'!$J$68&lt;&gt;"",'Completed'!$J$68,"")</f>
        <v>41397</v>
      </c>
      <c r="AD69" s="66" t="str">
        <f>IF('Completed'!$K$68&lt;&gt;"",'Completed'!$K$68,"")</f>
        <v>Hoshii Miki</v>
      </c>
      <c r="AE69" s="66" t="str">
        <f>IF('Completed'!$L$68&lt;&gt;"",'Completed'!$L$68,"")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Puchimas: Petit iDOLM@STER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IF('Completed'!$A$69&lt;&gt;"",'Completed'!$A$69,"")</f>
        <v>Sakura Trick</v>
      </c>
      <c r="O70" s="28">
        <f>IF('Completed'!$B$69&lt;&gt;"",'Completed'!$B$69,"")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IF('Completed'!$C$69&lt;&gt;"",'Completed'!$C$69,"")</f>
        <v>6.5</v>
      </c>
      <c r="W70" s="53">
        <f>IF('Completed'!$D$69&lt;&gt;"",'Completed'!$D$69,"")</f>
        <v>8</v>
      </c>
      <c r="X70" s="53">
        <f>IF('Completed'!$E$69&lt;&gt;"",'Completed'!$E$69,"")</f>
        <v>9</v>
      </c>
      <c r="Y70" s="53">
        <f>IF('Completed'!$F$69&lt;&gt;"",'Completed'!$F$69,"")</f>
        <v>8.5</v>
      </c>
      <c r="Z70" s="65">
        <f>IF('Completed'!$G$69&lt;&gt;"",'Completed'!$G$69,"")</f>
        <v>8.0226130653266328</v>
      </c>
      <c r="AA70" s="75">
        <f>IF('Completed'!$H$69&lt;&gt;"",'Completed'!$H$69,"")</f>
        <v>8.0428211586901757</v>
      </c>
      <c r="AB70" s="54">
        <f>IF('Completed'!$I$69&lt;&gt;"",'Completed'!$I$69,"")</f>
        <v>41650</v>
      </c>
      <c r="AC70" s="54">
        <f>IF('Completed'!$J$69&lt;&gt;"",'Completed'!$J$69,"")</f>
        <v>41733</v>
      </c>
      <c r="AD70" s="66" t="str">
        <f>IF('Completed'!$K$69&lt;&gt;"",'Completed'!$K$69,"")</f>
        <v>Minami Shizuku</v>
      </c>
      <c r="AE70" s="66" t="str">
        <f>IF('Completed'!$L$69&lt;&gt;"",'Completed'!$L$69,"")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>Seikon no Qwaser</v>
      </c>
      <c r="K71" s="28">
        <f>IF(Backlog!$B$70&lt;&gt;"",Backlog!$B$70,"")</f>
        <v>1</v>
      </c>
      <c r="L71" s="29" t="str">
        <f>IF(Backlog!$C$70&lt;&gt;"",Backlog!$C$70,"")</f>
        <v>NA</v>
      </c>
      <c r="N71" s="21" t="str">
        <f>IF('Completed'!$A$70&lt;&gt;"",'Completed'!$A$70,"")</f>
        <v>Sora no Woto</v>
      </c>
      <c r="O71" s="28">
        <f>IF('Completed'!$B$70&lt;&gt;"",'Completed'!$B$70,"")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IF('Completed'!$C$70&lt;&gt;"",'Completed'!$C$70,"")</f>
        <v>8</v>
      </c>
      <c r="W71" s="53">
        <f>IF('Completed'!$D$70&lt;&gt;"",'Completed'!$D$70,"")</f>
        <v>6.5</v>
      </c>
      <c r="X71" s="53">
        <f>IF('Completed'!$E$70&lt;&gt;"",'Completed'!$E$70,"")</f>
        <v>6</v>
      </c>
      <c r="Y71" s="53">
        <f>IF('Completed'!$F$70&lt;&gt;"",'Completed'!$F$70,"")</f>
        <v>9</v>
      </c>
      <c r="Z71" s="65">
        <f>IF('Completed'!$G$70&lt;&gt;"",'Completed'!$G$70,"")</f>
        <v>8.0012562814070343</v>
      </c>
      <c r="AA71" s="75">
        <f>IF('Completed'!$H$70&lt;&gt;"",'Completed'!$H$70,"")</f>
        <v>8.0214105793450869</v>
      </c>
      <c r="AB71" s="54">
        <f>IF('Completed'!$I$70&lt;&gt;"",'Completed'!$I$70,"")</f>
        <v>41316</v>
      </c>
      <c r="AC71" s="54">
        <f>IF('Completed'!$J$70&lt;&gt;"",'Completed'!$J$70,"")</f>
        <v>41323</v>
      </c>
      <c r="AD71" s="66" t="str">
        <f>IF('Completed'!$K$70&lt;&gt;"",'Completed'!$K$70,"")</f>
        <v>Noel Kannagi</v>
      </c>
      <c r="AE71" s="66" t="str">
        <f>IF('Completed'!$L$70&lt;&gt;"",'Completed'!$L$70,"")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>Seikon no Qwaser II</v>
      </c>
      <c r="K72" s="28">
        <f>IF(Backlog!$B$71&lt;&gt;"",Backlog!$B$71,"")</f>
        <v>2</v>
      </c>
      <c r="L72" s="29" t="str">
        <f>IF(Backlog!$C$71&lt;&gt;"",Backlog!$C$71,"")</f>
        <v>NA</v>
      </c>
      <c r="N72" s="21" t="str">
        <f>IF('Completed'!$A$71&lt;&gt;"",'Completed'!$A$71,"")</f>
        <v>Ore no Imouto ga Konna ni Kawaii Wake ga Nai</v>
      </c>
      <c r="O72" s="28">
        <f>IF('Completed'!$B$71&lt;&gt;"",'Completed'!$B$71,"")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IF('Completed'!$C$71&lt;&gt;"",'Completed'!$C$71,"")</f>
        <v>8</v>
      </c>
      <c r="W72" s="53">
        <f>IF('Completed'!$D$71&lt;&gt;"",'Completed'!$D$71,"")</f>
        <v>8.5</v>
      </c>
      <c r="X72" s="53">
        <f>IF('Completed'!$E$71&lt;&gt;"",'Completed'!$E$71,"")</f>
        <v>5</v>
      </c>
      <c r="Y72" s="53">
        <f>IF('Completed'!$F$71&lt;&gt;"",'Completed'!$F$71,"")</f>
        <v>8</v>
      </c>
      <c r="Z72" s="65">
        <f>IF('Completed'!$G$71&lt;&gt;"",'Completed'!$G$71,"")</f>
        <v>7.9912060301507539</v>
      </c>
      <c r="AA72" s="75">
        <f>IF('Completed'!$H$71&lt;&gt;"",'Completed'!$H$71,"")</f>
        <v>8.0113350125944578</v>
      </c>
      <c r="AB72" s="54">
        <f>IF('Completed'!$I$71&lt;&gt;"",'Completed'!$I$71,"")</f>
        <v>41360</v>
      </c>
      <c r="AC72" s="54">
        <f>IF('Completed'!$J$71&lt;&gt;"",'Completed'!$J$71,"")</f>
        <v>41363</v>
      </c>
      <c r="AD72" s="66" t="str">
        <f>IF('Completed'!$K$71&lt;&gt;"",'Completed'!$K$71,"")</f>
        <v>Kuroneko (Gokou Ruri)</v>
      </c>
      <c r="AE72" s="66" t="str">
        <f>IF('Completed'!$L$71&lt;&gt;"",'Completed'!$L$71,"")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>Uchouten Kazoku</v>
      </c>
      <c r="K73" s="28">
        <f>IF(Backlog!$B$72&lt;&gt;"",Backlog!$B$72,"")</f>
        <v>1</v>
      </c>
      <c r="L73" s="29" t="str">
        <f>IF(Backlog!$C$72&lt;&gt;"",Backlog!$C$72,"")</f>
        <v>NA</v>
      </c>
      <c r="N73" s="21" t="str">
        <f>IF('Completed'!$A$72&lt;&gt;"",'Completed'!$A$72,"")</f>
        <v>Boku wa Tomodachi ga Sukunai</v>
      </c>
      <c r="O73" s="28">
        <f>IF('Completed'!$B$72&lt;&gt;"",'Completed'!$B$72,"")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IF('Completed'!$C$72&lt;&gt;"",'Completed'!$C$72,"")</f>
        <v>7</v>
      </c>
      <c r="W73" s="53">
        <f>IF('Completed'!$D$72&lt;&gt;"",'Completed'!$D$72,"")</f>
        <v>8</v>
      </c>
      <c r="X73" s="53">
        <f>IF('Completed'!$E$72&lt;&gt;"",'Completed'!$E$72,"")</f>
        <v>5.5</v>
      </c>
      <c r="Y73" s="53">
        <f>IF('Completed'!$F$72&lt;&gt;"",'Completed'!$F$72,"")</f>
        <v>8.5</v>
      </c>
      <c r="Z73" s="65">
        <f>IF('Completed'!$G$72&lt;&gt;"",'Completed'!$G$72,"")</f>
        <v>7.9472361809045227</v>
      </c>
      <c r="AA73" s="75">
        <f>IF('Completed'!$H$72&lt;&gt;"",'Completed'!$H$72,"")</f>
        <v>7.9672544080604526</v>
      </c>
      <c r="AB73" s="54">
        <f>IF('Completed'!$I$72&lt;&gt;"",'Completed'!$I$72,"")</f>
        <v>41363</v>
      </c>
      <c r="AC73" s="54">
        <f>IF('Completed'!$J$72&lt;&gt;"",'Completed'!$J$72,"")</f>
        <v>41364</v>
      </c>
      <c r="AD73" s="66" t="str">
        <f>IF('Completed'!$K$72&lt;&gt;"",'Completed'!$K$72,"")</f>
        <v>Hasegawa Kobato</v>
      </c>
      <c r="AE73" s="66" t="str">
        <f>IF('Completed'!$L$72&lt;&gt;"",'Completed'!$L$72,"")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IF('Completed'!$A$73&lt;&gt;"",'Completed'!$A$73,"")</f>
        <v>Free!</v>
      </c>
      <c r="O74" s="28">
        <f>IF('Completed'!$B$73&lt;&gt;"",'Completed'!$B$73,"")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IF('Completed'!$C$73&lt;&gt;"",'Completed'!$C$73,"")</f>
        <v>8.5</v>
      </c>
      <c r="W74" s="53">
        <f>IF('Completed'!$D$73&lt;&gt;"",'Completed'!$D$73,"")</f>
        <v>7.5</v>
      </c>
      <c r="X74" s="53">
        <f>IF('Completed'!$E$73&lt;&gt;"",'Completed'!$E$73,"")</f>
        <v>2.5</v>
      </c>
      <c r="Y74" s="53">
        <f>IF('Completed'!$F$73&lt;&gt;"",'Completed'!$F$73,"")</f>
        <v>8.5</v>
      </c>
      <c r="Z74" s="65">
        <f>IF('Completed'!$G$73&lt;&gt;"",'Completed'!$G$73,"")</f>
        <v>7.9447236180904515</v>
      </c>
      <c r="AA74" s="75">
        <f>IF('Completed'!$H$73&lt;&gt;"",'Completed'!$H$73,"")</f>
        <v>7.9647355163727944</v>
      </c>
      <c r="AB74" s="54">
        <f>IF('Completed'!$I$73&lt;&gt;"",'Completed'!$I$73,"")</f>
        <v>41459</v>
      </c>
      <c r="AC74" s="54">
        <f>IF('Completed'!$J$73&lt;&gt;"",'Completed'!$J$73,"")</f>
        <v>41543</v>
      </c>
      <c r="AD74" s="66" t="str">
        <f>IF('Completed'!$K$73&lt;&gt;"",'Completed'!$K$73,"")</f>
        <v>Matsuoka Gou</v>
      </c>
      <c r="AE74" s="66" t="str">
        <f>IF('Completed'!$L$73&lt;&gt;"",'Completed'!$L$73,"")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IF('Completed'!$A$74&lt;&gt;"",'Completed'!$A$74,"")</f>
        <v>K-On!</v>
      </c>
      <c r="O75" s="28">
        <f>IF('Completed'!$B$74&lt;&gt;"",'Completed'!$B$74,"")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IF('Completed'!$C$74&lt;&gt;"",'Completed'!$C$74,"")</f>
        <v>6</v>
      </c>
      <c r="W75" s="53">
        <f>IF('Completed'!$D$74&lt;&gt;"",'Completed'!$D$74,"")</f>
        <v>7</v>
      </c>
      <c r="X75" s="53">
        <f>IF('Completed'!$E$74&lt;&gt;"",'Completed'!$E$74,"")</f>
        <v>9</v>
      </c>
      <c r="Y75" s="53">
        <f>IF('Completed'!$F$74&lt;&gt;"",'Completed'!$F$74,"")</f>
        <v>9</v>
      </c>
      <c r="Z75" s="65">
        <f>IF('Completed'!$G$74&lt;&gt;"",'Completed'!$G$74,"")</f>
        <v>7.9120603015075384</v>
      </c>
      <c r="AA75" s="75">
        <f>IF('Completed'!$H$74&lt;&gt;"",'Completed'!$H$74,"")</f>
        <v>7.9319899244332506</v>
      </c>
      <c r="AB75" s="54">
        <f>IF('Completed'!$I$74&lt;&gt;"",'Completed'!$I$74,"")</f>
        <v>41337</v>
      </c>
      <c r="AC75" s="54">
        <f>IF('Completed'!$J$74&lt;&gt;"",'Completed'!$J$74,"")</f>
        <v>41338</v>
      </c>
      <c r="AD75" s="66" t="str">
        <f>IF('Completed'!$K$74&lt;&gt;"",'Completed'!$K$74,"")</f>
        <v>Nakano Azusa</v>
      </c>
      <c r="AE75" s="66" t="str">
        <f>IF('Completed'!$L$74&lt;&gt;"",'Completed'!$L$74,"")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IF('Completed'!$A$75&lt;&gt;"",'Completed'!$A$75,"")</f>
        <v>Baka to Test to Shoukanjuu</v>
      </c>
      <c r="O76" s="28">
        <f>IF('Completed'!$B$75&lt;&gt;"",'Completed'!$B$75,"")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IF('Completed'!$C$75&lt;&gt;"",'Completed'!$C$75,"")</f>
        <v>6.5</v>
      </c>
      <c r="W76" s="53">
        <f>IF('Completed'!$D$75&lt;&gt;"",'Completed'!$D$75,"")</f>
        <v>7.5</v>
      </c>
      <c r="X76" s="53">
        <f>IF('Completed'!$E$75&lt;&gt;"",'Completed'!$E$75,"")</f>
        <v>4</v>
      </c>
      <c r="Y76" s="53">
        <f>IF('Completed'!$F$75&lt;&gt;"",'Completed'!$F$75,"")</f>
        <v>9</v>
      </c>
      <c r="Z76" s="65">
        <f>IF('Completed'!$G$75&lt;&gt;"",'Completed'!$G$75,"")</f>
        <v>7.8994974874371851</v>
      </c>
      <c r="AA76" s="75">
        <f>IF('Completed'!$H$75&lt;&gt;"",'Completed'!$H$75,"")</f>
        <v>7.9193954659949606</v>
      </c>
      <c r="AB76" s="54">
        <f>IF('Completed'!$I$75&lt;&gt;"",'Completed'!$I$75,"")</f>
        <v>41347</v>
      </c>
      <c r="AC76" s="54">
        <f>IF('Completed'!$J$75&lt;&gt;"",'Completed'!$J$75,"")</f>
        <v>41354</v>
      </c>
      <c r="AD76" s="66" t="str">
        <f>IF('Completed'!$K$75&lt;&gt;"",'Completed'!$K$75,"")</f>
        <v>Kirishima Shouko</v>
      </c>
      <c r="AE76" s="66" t="str">
        <f>IF('Completed'!$L$75&lt;&gt;"",'Completed'!$L$75,"")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IF('Completed'!$A$76&lt;&gt;"",'Completed'!$A$76,"")</f>
        <v>Ro-Kyu-Bu! SS</v>
      </c>
      <c r="O77" s="28">
        <f>IF('Completed'!$B$76&lt;&gt;"",'Completed'!$B$76,"")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IF('Completed'!$C$76&lt;&gt;"",'Completed'!$C$76,"")</f>
        <v>7</v>
      </c>
      <c r="W77" s="53">
        <f>IF('Completed'!$D$76&lt;&gt;"",'Completed'!$D$76,"")</f>
        <v>8</v>
      </c>
      <c r="X77" s="53">
        <f>IF('Completed'!$E$76&lt;&gt;"",'Completed'!$E$76,"")</f>
        <v>9.5</v>
      </c>
      <c r="Y77" s="53">
        <f>IF('Completed'!$F$76&lt;&gt;"",'Completed'!$F$76,"")</f>
        <v>8</v>
      </c>
      <c r="Z77" s="65">
        <f>IF('Completed'!$G$76&lt;&gt;"",'Completed'!$G$76,"")</f>
        <v>7.8881909547738696</v>
      </c>
      <c r="AA77" s="75">
        <f>IF('Completed'!$H$76&lt;&gt;"",'Completed'!$H$76,"")</f>
        <v>7.9080604534005046</v>
      </c>
      <c r="AB77" s="54">
        <f>IF('Completed'!$I$76&lt;&gt;"",'Completed'!$I$76,"")</f>
        <v>41468</v>
      </c>
      <c r="AC77" s="54">
        <f>IF('Completed'!$J$76&lt;&gt;"",'Completed'!$J$76,"")</f>
        <v>41589</v>
      </c>
      <c r="AD77" s="66" t="str">
        <f>IF('Completed'!$K$76&lt;&gt;"",'Completed'!$K$76,"")</f>
        <v>Hakamada Hinata</v>
      </c>
      <c r="AE77" s="66" t="str">
        <f>IF('Completed'!$L$76&lt;&gt;"",'Completed'!$L$76,"")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IF('Completed'!$A$77&lt;&gt;"",'Completed'!$A$77,"")</f>
        <v>Sword Art Online</v>
      </c>
      <c r="O78" s="28">
        <f>IF('Completed'!$B$77&lt;&gt;"",'Completed'!$B$77,"")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IF('Completed'!$C$77&lt;&gt;"",'Completed'!$C$77,"")</f>
        <v>8</v>
      </c>
      <c r="W78" s="53">
        <f>IF('Completed'!$D$77&lt;&gt;"",'Completed'!$D$77,"")</f>
        <v>8</v>
      </c>
      <c r="X78" s="53">
        <f>IF('Completed'!$E$77&lt;&gt;"",'Completed'!$E$77,"")</f>
        <v>5</v>
      </c>
      <c r="Y78" s="53">
        <f>IF('Completed'!$F$77&lt;&gt;"",'Completed'!$F$77,"")</f>
        <v>8</v>
      </c>
      <c r="Z78" s="65">
        <f>IF('Completed'!$G$77&lt;&gt;"",'Completed'!$G$77,"")</f>
        <v>7.8567839195979898</v>
      </c>
      <c r="AA78" s="75">
        <f>IF('Completed'!$H$77&lt;&gt;"",'Completed'!$H$77,"")</f>
        <v>7.8765743073047858</v>
      </c>
      <c r="AB78" s="54">
        <f>IF('Completed'!$I$77&lt;&gt;"",'Completed'!$I$77,"")</f>
        <v>41245</v>
      </c>
      <c r="AC78" s="54">
        <f>IF('Completed'!$J$77&lt;&gt;"",'Completed'!$J$77,"")</f>
        <v>41250</v>
      </c>
      <c r="AD78" s="66" t="str">
        <f>IF('Completed'!$K$77&lt;&gt;"",'Completed'!$K$77,"")</f>
        <v>Yuuki Asuna</v>
      </c>
      <c r="AE78" s="66" t="str">
        <f>IF('Completed'!$L$77&lt;&gt;"",'Completed'!$L$77,"")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IF('Completed'!$A$78&lt;&gt;"",'Completed'!$A$78,"")</f>
        <v>Golden Time</v>
      </c>
      <c r="O79" s="28">
        <f>IF('Completed'!$B$78&lt;&gt;"",'Completed'!$B$78,"")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IF('Completed'!$C$78&lt;&gt;"",'Completed'!$C$78,"")</f>
        <v>8</v>
      </c>
      <c r="W79" s="53">
        <f>IF('Completed'!$D$78&lt;&gt;"",'Completed'!$D$78,"")</f>
        <v>8</v>
      </c>
      <c r="X79" s="53">
        <f>IF('Completed'!$E$78&lt;&gt;"",'Completed'!$E$78,"")</f>
        <v>5</v>
      </c>
      <c r="Y79" s="53">
        <f>IF('Completed'!$F$78&lt;&gt;"",'Completed'!$F$78,"")</f>
        <v>8</v>
      </c>
      <c r="Z79" s="65">
        <f>IF('Completed'!$G$78&lt;&gt;"",'Completed'!$G$78,"")</f>
        <v>7.8567839195979898</v>
      </c>
      <c r="AA79" s="75">
        <f>IF('Completed'!$H$78&lt;&gt;"",'Completed'!$H$78,"")</f>
        <v>7.8765743073047858</v>
      </c>
      <c r="AB79" s="54">
        <f>IF('Completed'!$I$78&lt;&gt;"",'Completed'!$I$78,"")</f>
        <v>41555</v>
      </c>
      <c r="AC79" s="54">
        <f>IF('Completed'!$J$78&lt;&gt;"",'Completed'!$J$78,"")</f>
        <v>41748</v>
      </c>
      <c r="AD79" s="66" t="str">
        <f>IF('Completed'!$K$78&lt;&gt;"",'Completed'!$K$78,"")</f>
        <v>Hayashida Linda</v>
      </c>
      <c r="AE79" s="66" t="str">
        <f>IF('Completed'!$L$78&lt;&gt;"",'Completed'!$L$78,"")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IF('Completed'!$A$79&lt;&gt;"",'Completed'!$A$79,"")</f>
        <v>Ro-Kyu-Bu!</v>
      </c>
      <c r="O80" s="28">
        <f>IF('Completed'!$B$79&lt;&gt;"",'Completed'!$B$79,"")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IF('Completed'!$C$79&lt;&gt;"",'Completed'!$C$79,"")</f>
        <v>7.5</v>
      </c>
      <c r="W80" s="53">
        <f>IF('Completed'!$D$79&lt;&gt;"",'Completed'!$D$79,"")</f>
        <v>7.5</v>
      </c>
      <c r="X80" s="53">
        <f>IF('Completed'!$E$79&lt;&gt;"",'Completed'!$E$79,"")</f>
        <v>9.5</v>
      </c>
      <c r="Y80" s="53">
        <f>IF('Completed'!$F$79&lt;&gt;"",'Completed'!$F$79,"")</f>
        <v>8</v>
      </c>
      <c r="Z80" s="65">
        <f>IF('Completed'!$G$79&lt;&gt;"",'Completed'!$G$79,"")</f>
        <v>7.8454773869346734</v>
      </c>
      <c r="AA80" s="75">
        <f>IF('Completed'!$H$79&lt;&gt;"",'Completed'!$H$79,"")</f>
        <v>7.8652392947103271</v>
      </c>
      <c r="AB80" s="54">
        <f>IF('Completed'!$I$79&lt;&gt;"",'Completed'!$I$79,"")</f>
        <v>41453</v>
      </c>
      <c r="AC80" s="54">
        <f>IF('Completed'!$J$79&lt;&gt;"",'Completed'!$J$79,"")</f>
        <v>41456</v>
      </c>
      <c r="AD80" s="66" t="str">
        <f>IF('Completed'!$K$79&lt;&gt;"",'Completed'!$K$79,"")</f>
        <v>Hakamada Hinata</v>
      </c>
      <c r="AE80" s="66" t="str">
        <f>IF('Completed'!$L$79&lt;&gt;"",'Completed'!$L$79,"")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IF('Completed'!$A$80&lt;&gt;"",'Completed'!$A$80,"")</f>
        <v>Inari, Konkon, Koi Iroha.</v>
      </c>
      <c r="O81" s="28">
        <f>IF('Completed'!$B$80&lt;&gt;"",'Completed'!$B$80,"")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IF('Completed'!$C$80&lt;&gt;"",'Completed'!$C$80,"")</f>
        <v>7.5</v>
      </c>
      <c r="W81" s="53">
        <f>IF('Completed'!$D$80&lt;&gt;"",'Completed'!$D$80,"")</f>
        <v>8</v>
      </c>
      <c r="X81" s="53">
        <f>IF('Completed'!$E$80&lt;&gt;"",'Completed'!$E$80,"")</f>
        <v>6</v>
      </c>
      <c r="Y81" s="53">
        <f>IF('Completed'!$F$80&lt;&gt;"",'Completed'!$F$80,"")</f>
        <v>8</v>
      </c>
      <c r="Z81" s="65">
        <f>IF('Completed'!$G$80&lt;&gt;"",'Completed'!$G$80,"")</f>
        <v>7.8128140703517586</v>
      </c>
      <c r="AA81" s="75">
        <f>IF('Completed'!$H$80&lt;&gt;"",'Completed'!$H$80,"")</f>
        <v>7.8324937027707806</v>
      </c>
      <c r="AB81" s="54">
        <f>IF('Completed'!$I$80&lt;&gt;"",'Completed'!$I$80,"")</f>
        <v>41661</v>
      </c>
      <c r="AC81" s="54">
        <f>IF('Completed'!$J$80&lt;&gt;"",'Completed'!$J$80,"")</f>
        <v>41722</v>
      </c>
      <c r="AD81" s="66" t="str">
        <f>IF('Completed'!$K$80&lt;&gt;"",'Completed'!$K$80,"")</f>
        <v>Sanjou Keiko</v>
      </c>
      <c r="AE81" s="66" t="str">
        <f>IF('Completed'!$L$80&lt;&gt;"",'Completed'!$L$80,"")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IF('Completed'!$A$81&lt;&gt;"",'Completed'!$A$81,"")</f>
        <v>Danshi Koukousei no Nichijou</v>
      </c>
      <c r="O82" s="28">
        <f>IF('Completed'!$B$81&lt;&gt;"",'Completed'!$B$81,"")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IF('Completed'!$C$81&lt;&gt;"",'Completed'!$C$81,"")</f>
        <v>4</v>
      </c>
      <c r="W82" s="53">
        <f>IF('Completed'!$D$81&lt;&gt;"",'Completed'!$D$81,"")</f>
        <v>8</v>
      </c>
      <c r="X82" s="53">
        <f>IF('Completed'!$E$81&lt;&gt;"",'Completed'!$E$81,"")</f>
        <v>3</v>
      </c>
      <c r="Y82" s="53">
        <f>IF('Completed'!$F$81&lt;&gt;"",'Completed'!$F$81,"")</f>
        <v>9.5</v>
      </c>
      <c r="Z82" s="65">
        <f>IF('Completed'!$G$81&lt;&gt;"",'Completed'!$G$81,"")</f>
        <v>7.7776381909547743</v>
      </c>
      <c r="AA82" s="75">
        <f>IF('Completed'!$H$81&lt;&gt;"",'Completed'!$H$81,"")</f>
        <v>7.7972292191435759</v>
      </c>
      <c r="AB82" s="54">
        <f>IF('Completed'!$I$81&lt;&gt;"",'Completed'!$I$81,"")</f>
        <v>41443</v>
      </c>
      <c r="AC82" s="54">
        <f>IF('Completed'!$J$81&lt;&gt;"",'Completed'!$J$81,"")</f>
        <v>41444</v>
      </c>
      <c r="AD82" s="66" t="str">
        <f>IF('Completed'!$K$81&lt;&gt;"",'Completed'!$K$81,"")</f>
        <v>Literary Girl</v>
      </c>
      <c r="AE82" s="66" t="str">
        <f>IF('Completed'!$L$81&lt;&gt;"",'Completed'!$L$81,"")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IF('Completed'!$A$82&lt;&gt;"",'Completed'!$A$82,"")</f>
        <v>Yosuga no Sora</v>
      </c>
      <c r="O83" s="28">
        <f>IF('Completed'!$B$82&lt;&gt;"",'Completed'!$B$82,"")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IF('Completed'!$C$82&lt;&gt;"",'Completed'!$C$82,"")</f>
        <v>7</v>
      </c>
      <c r="W83" s="53">
        <f>IF('Completed'!$D$82&lt;&gt;"",'Completed'!$D$82,"")</f>
        <v>8</v>
      </c>
      <c r="X83" s="53">
        <f>IF('Completed'!$E$82&lt;&gt;"",'Completed'!$E$82,"")</f>
        <v>7</v>
      </c>
      <c r="Y83" s="53">
        <f>IF('Completed'!$F$82&lt;&gt;"",'Completed'!$F$82,"")</f>
        <v>8</v>
      </c>
      <c r="Z83" s="65">
        <f>IF('Completed'!$G$82&lt;&gt;"",'Completed'!$G$82,"")</f>
        <v>7.7688442211055282</v>
      </c>
      <c r="AA83" s="75">
        <f>IF('Completed'!$H$82&lt;&gt;"",'Completed'!$H$82,"")</f>
        <v>7.7884130982367754</v>
      </c>
      <c r="AB83" s="54">
        <f>IF('Completed'!$I$82&lt;&gt;"",'Completed'!$I$82,"")</f>
        <v>41457</v>
      </c>
      <c r="AC83" s="54">
        <f>IF('Completed'!$J$82&lt;&gt;"",'Completed'!$J$82,"")</f>
        <v>41463</v>
      </c>
      <c r="AD83" s="66" t="str">
        <f>IF('Completed'!$K$82&lt;&gt;"",'Completed'!$K$82,"")</f>
        <v>Kasugano Sora</v>
      </c>
      <c r="AE83" s="66" t="str">
        <f>IF('Completed'!$L$82&lt;&gt;"",'Completed'!$L$82,"")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IF('Completed'!$A$83&lt;&gt;"",'Completed'!$A$83,"")</f>
        <v>D-Frag!</v>
      </c>
      <c r="O84" s="28">
        <f>IF('Completed'!$B$83&lt;&gt;"",'Completed'!$B$83,"")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IF('Completed'!$C$83&lt;&gt;"",'Completed'!$C$83,"")</f>
        <v>7.5</v>
      </c>
      <c r="W84" s="53">
        <f>IF('Completed'!$D$83&lt;&gt;"",'Completed'!$D$83,"")</f>
        <v>8</v>
      </c>
      <c r="X84" s="53">
        <f>IF('Completed'!$E$83&lt;&gt;"",'Completed'!$E$83,"")</f>
        <v>5</v>
      </c>
      <c r="Y84" s="53">
        <f>IF('Completed'!$F$83&lt;&gt;"",'Completed'!$F$83,"")</f>
        <v>8</v>
      </c>
      <c r="Z84" s="65">
        <f>IF('Completed'!$G$83&lt;&gt;"",'Completed'!$G$83,"")</f>
        <v>7.7650753768844227</v>
      </c>
      <c r="AA84" s="75">
        <f>IF('Completed'!$H$83&lt;&gt;"",'Completed'!$H$83,"")</f>
        <v>7.7846347607052895</v>
      </c>
      <c r="AB84" s="54">
        <f>IF('Completed'!$I$83&lt;&gt;"",'Completed'!$I$83,"")</f>
        <v>41648</v>
      </c>
      <c r="AC84" s="54">
        <f>IF('Completed'!$J$83&lt;&gt;"",'Completed'!$J$83,"")</f>
        <v>41746</v>
      </c>
      <c r="AD84" s="66" t="str">
        <f>IF('Completed'!$K$83&lt;&gt;"",'Completed'!$K$83,"")</f>
        <v>Shibasaki Roka</v>
      </c>
      <c r="AE84" s="66" t="str">
        <f>IF('Completed'!$L$83&lt;&gt;"",'Completed'!$L$83,"")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IF('Completed'!$A$84&lt;&gt;"",'Completed'!$A$84,"")</f>
        <v>Kiniro Mosaic</v>
      </c>
      <c r="O85" s="28">
        <f>IF('Completed'!$B$84&lt;&gt;"",'Completed'!$B$84,"")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IF('Completed'!$C$84&lt;&gt;"",'Completed'!$C$84,"")</f>
        <v>3.5</v>
      </c>
      <c r="W85" s="53">
        <f>IF('Completed'!$D$84&lt;&gt;"",'Completed'!$D$84,"")</f>
        <v>8</v>
      </c>
      <c r="X85" s="53">
        <f>IF('Completed'!$E$84&lt;&gt;"",'Completed'!$E$84,"")</f>
        <v>9.5</v>
      </c>
      <c r="Y85" s="53">
        <f>IF('Completed'!$F$84&lt;&gt;"",'Completed'!$F$84,"")</f>
        <v>9</v>
      </c>
      <c r="Z85" s="65">
        <f>IF('Completed'!$G$84&lt;&gt;"",'Completed'!$G$84,"")</f>
        <v>7.7462311557788937</v>
      </c>
      <c r="AA85" s="75">
        <f>IF('Completed'!$H$84&lt;&gt;"",'Completed'!$H$84,"")</f>
        <v>7.765743073047858</v>
      </c>
      <c r="AB85" s="54">
        <f>IF('Completed'!$I$84&lt;&gt;"",'Completed'!$I$84,"")</f>
        <v>41462</v>
      </c>
      <c r="AC85" s="54">
        <f>IF('Completed'!$J$84&lt;&gt;"",'Completed'!$J$84,"")</f>
        <v>41538</v>
      </c>
      <c r="AD85" s="66" t="str">
        <f>IF('Completed'!$K$84&lt;&gt;"",'Completed'!$K$84,"")</f>
        <v>Komichi Aya</v>
      </c>
      <c r="AE85" s="66" t="str">
        <f>IF('Completed'!$L$84&lt;&gt;"",'Completed'!$L$84,"")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IF('Completed'!$A$85&lt;&gt;"",'Completed'!$A$85,"")</f>
        <v>Nichijou</v>
      </c>
      <c r="O86" s="28">
        <f>IF('Completed'!$B$85&lt;&gt;"",'Completed'!$B$85,"")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IF('Completed'!$C$85&lt;&gt;"",'Completed'!$C$85,"")</f>
        <v>2</v>
      </c>
      <c r="W86" s="53">
        <f>IF('Completed'!$D$85&lt;&gt;"",'Completed'!$D$85,"")</f>
        <v>8.5</v>
      </c>
      <c r="X86" s="53">
        <f>IF('Completed'!$E$85&lt;&gt;"",'Completed'!$E$85,"")</f>
        <v>7</v>
      </c>
      <c r="Y86" s="53">
        <f>IF('Completed'!$F$85&lt;&gt;"",'Completed'!$F$85,"")</f>
        <v>9.5</v>
      </c>
      <c r="Z86" s="65">
        <f>IF('Completed'!$G$85&lt;&gt;"",'Completed'!$G$85,"")</f>
        <v>7.7361809045226133</v>
      </c>
      <c r="AA86" s="75">
        <f>IF('Completed'!$H$85&lt;&gt;"",'Completed'!$H$85,"")</f>
        <v>7.7556675062972298</v>
      </c>
      <c r="AB86" s="54">
        <f>IF('Completed'!$I$85&lt;&gt;"",'Completed'!$I$85,"")</f>
        <v>41291</v>
      </c>
      <c r="AC86" s="54">
        <f>IF('Completed'!$J$85&lt;&gt;"",'Completed'!$J$85,"")</f>
        <v>41298</v>
      </c>
      <c r="AD86" s="66" t="str">
        <f>IF('Completed'!$K$85&lt;&gt;"",'Completed'!$K$85,"")</f>
        <v>Minakami Mai</v>
      </c>
      <c r="AE86" s="66" t="str">
        <f>IF('Completed'!$L$85&lt;&gt;"",'Completed'!$L$85,"")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IF('Completed'!$A$86&lt;&gt;"",'Completed'!$A$86,"")</f>
        <v>Coppelion</v>
      </c>
      <c r="O87" s="28">
        <f>IF('Completed'!$B$86&lt;&gt;"",'Completed'!$B$86,"")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IF('Completed'!$C$86&lt;&gt;"",'Completed'!$C$86,"")</f>
        <v>8.5</v>
      </c>
      <c r="W87" s="53">
        <f>IF('Completed'!$D$86&lt;&gt;"",'Completed'!$D$86,"")</f>
        <v>7.5</v>
      </c>
      <c r="X87" s="53">
        <f>IF('Completed'!$E$86&lt;&gt;"",'Completed'!$E$86,"")</f>
        <v>2</v>
      </c>
      <c r="Y87" s="53">
        <f>IF('Completed'!$F$86&lt;&gt;"",'Completed'!$F$86,"")</f>
        <v>8</v>
      </c>
      <c r="Z87" s="65">
        <f>IF('Completed'!$G$86&lt;&gt;"",'Completed'!$G$86,"")</f>
        <v>7.6708542713567844</v>
      </c>
      <c r="AA87" s="75">
        <f>IF('Completed'!$H$86&lt;&gt;"",'Completed'!$H$86,"")</f>
        <v>7.6901763224181368</v>
      </c>
      <c r="AB87" s="54">
        <f>IF('Completed'!$I$86&lt;&gt;"",'Completed'!$I$86,"")</f>
        <v>41555</v>
      </c>
      <c r="AC87" s="54">
        <f>IF('Completed'!$J$86&lt;&gt;"",'Completed'!$J$86,"")</f>
        <v>41634</v>
      </c>
      <c r="AD87" s="66" t="str">
        <f>IF('Completed'!$K$86&lt;&gt;"",'Completed'!$K$86,"")</f>
        <v>Nomura Taeko</v>
      </c>
      <c r="AE87" s="66" t="str">
        <f>IF('Completed'!$L$86&lt;&gt;"",'Completed'!$L$86,"")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IF('Completed'!$A$87&lt;&gt;"",'Completed'!$A$87,"")</f>
        <v>Chuunibyou demo Koi ga Shitai! Ren</v>
      </c>
      <c r="O88" s="28">
        <f>IF('Completed'!$B$87&lt;&gt;"",'Completed'!$B$87,"")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IF('Completed'!$C$87&lt;&gt;"",'Completed'!$C$87,"")</f>
        <v>8</v>
      </c>
      <c r="W88" s="53">
        <f>IF('Completed'!$D$87&lt;&gt;"",'Completed'!$D$87,"")</f>
        <v>8</v>
      </c>
      <c r="X88" s="53">
        <f>IF('Completed'!$E$87&lt;&gt;"",'Completed'!$E$87,"")</f>
        <v>6</v>
      </c>
      <c r="Y88" s="53">
        <f>IF('Completed'!$F$87&lt;&gt;"",'Completed'!$F$87,"")</f>
        <v>7.5</v>
      </c>
      <c r="Z88" s="65">
        <f>IF('Completed'!$G$87&lt;&gt;"",'Completed'!$G$87,"")</f>
        <v>7.6545226130653274</v>
      </c>
      <c r="AA88" s="75">
        <f>IF('Completed'!$H$87&lt;&gt;"",'Completed'!$H$87,"")</f>
        <v>7.6738035264483635</v>
      </c>
      <c r="AB88" s="54">
        <f>IF('Completed'!$I$87&lt;&gt;"",'Completed'!$I$87,"")</f>
        <v>41648</v>
      </c>
      <c r="AC88" s="54">
        <f>IF('Completed'!$J$87&lt;&gt;"",'Completed'!$J$87,"")</f>
        <v>41730</v>
      </c>
      <c r="AD88" s="66" t="str">
        <f>IF('Completed'!$K$87&lt;&gt;"",'Completed'!$K$87,"")</f>
        <v>Togashi Kuzuha</v>
      </c>
      <c r="AE88" s="66" t="str">
        <f>IF('Completed'!$L$87&lt;&gt;"",'Completed'!$L$87,"")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IF('Completed'!$A$88&lt;&gt;"",'Completed'!$A$88,"")</f>
        <v>Chuunibyou demo Koi ga Shitai!</v>
      </c>
      <c r="O89" s="28">
        <f>IF('Completed'!$B$88&lt;&gt;"",'Completed'!$B$88,"")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IF('Completed'!$C$88&lt;&gt;"",'Completed'!$C$88,"")</f>
        <v>8</v>
      </c>
      <c r="W89" s="53">
        <f>IF('Completed'!$D$88&lt;&gt;"",'Completed'!$D$88,"")</f>
        <v>7</v>
      </c>
      <c r="X89" s="53">
        <f>IF('Completed'!$E$88&lt;&gt;"",'Completed'!$E$88,"")</f>
        <v>6</v>
      </c>
      <c r="Y89" s="53">
        <f>IF('Completed'!$F$88&lt;&gt;"",'Completed'!$F$88,"")</f>
        <v>8</v>
      </c>
      <c r="Z89" s="65">
        <f>IF('Completed'!$G$88&lt;&gt;"",'Completed'!$G$88,"")</f>
        <v>7.6356783919597992</v>
      </c>
      <c r="AA89" s="75">
        <f>IF('Completed'!$H$88&lt;&gt;"",'Completed'!$H$88,"")</f>
        <v>7.6549118387909312</v>
      </c>
      <c r="AB89" s="54">
        <f>IF('Completed'!$I$88&lt;&gt;"",'Completed'!$I$88,"")</f>
        <v>41251</v>
      </c>
      <c r="AC89" s="54">
        <f>IF('Completed'!$J$88&lt;&gt;"",'Completed'!$J$88,"")</f>
        <v>41263</v>
      </c>
      <c r="AD89" s="66" t="str">
        <f>IF('Completed'!$K$88&lt;&gt;"",'Completed'!$K$88,"")</f>
        <v>Takanashi Touka</v>
      </c>
      <c r="AE89" s="66" t="str">
        <f>IF('Completed'!$L$88&lt;&gt;"",'Completed'!$L$88,"")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IF('Completed'!$A$89&lt;&gt;"",'Completed'!$A$89,"")</f>
        <v>Love Lab</v>
      </c>
      <c r="O90" s="28">
        <f>IF('Completed'!$B$89&lt;&gt;"",'Completed'!$B$89,"")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IF('Completed'!$C$89&lt;&gt;"",'Completed'!$C$89,"")</f>
        <v>8</v>
      </c>
      <c r="W90" s="53">
        <f>IF('Completed'!$D$89&lt;&gt;"",'Completed'!$D$89,"")</f>
        <v>8</v>
      </c>
      <c r="X90" s="53">
        <f>IF('Completed'!$E$89&lt;&gt;"",'Completed'!$E$89,"")</f>
        <v>5.5</v>
      </c>
      <c r="Y90" s="53">
        <f>IF('Completed'!$F$89&lt;&gt;"",'Completed'!$F$89,"")</f>
        <v>7.5</v>
      </c>
      <c r="Z90" s="65">
        <f>IF('Completed'!$G$89&lt;&gt;"",'Completed'!$G$89,"")</f>
        <v>7.6306532663316586</v>
      </c>
      <c r="AA90" s="75">
        <f>IF('Completed'!$H$89&lt;&gt;"",'Completed'!$H$89,"")</f>
        <v>7.6498740554156175</v>
      </c>
      <c r="AB90" s="54">
        <f>IF('Completed'!$I$89&lt;&gt;"",'Completed'!$I$89,"")</f>
        <v>41461</v>
      </c>
      <c r="AC90" s="54">
        <f>IF('Completed'!$J$89&lt;&gt;"",'Completed'!$J$89,"")</f>
        <v>41546</v>
      </c>
      <c r="AD90" s="66" t="str">
        <f>IF('Completed'!$K$89&lt;&gt;"",'Completed'!$K$89,"")</f>
        <v>Kurahashi Riko</v>
      </c>
      <c r="AE90" s="66" t="str">
        <f>IF('Completed'!$L$89&lt;&gt;"",'Completed'!$L$89,"")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IF('Completed'!$A$90&lt;&gt;"",'Completed'!$A$90,"")</f>
        <v>Kotoura-san</v>
      </c>
      <c r="O91" s="28">
        <f>IF('Completed'!$B$90&lt;&gt;"",'Completed'!$B$90,"")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IF('Completed'!$C$90&lt;&gt;"",'Completed'!$C$90,"")</f>
        <v>7</v>
      </c>
      <c r="W91" s="53">
        <f>IF('Completed'!$D$90&lt;&gt;"",'Completed'!$D$90,"")</f>
        <v>7.5</v>
      </c>
      <c r="X91" s="53">
        <f>IF('Completed'!$E$90&lt;&gt;"",'Completed'!$E$90,"")</f>
        <v>6.5</v>
      </c>
      <c r="Y91" s="53">
        <f>IF('Completed'!$F$90&lt;&gt;"",'Completed'!$F$90,"")</f>
        <v>8</v>
      </c>
      <c r="Z91" s="65">
        <f>IF('Completed'!$G$90&lt;&gt;"",'Completed'!$G$90,"")</f>
        <v>7.6105527638190953</v>
      </c>
      <c r="AA91" s="75">
        <f>IF('Completed'!$H$90&lt;&gt;"",'Completed'!$H$90,"")</f>
        <v>7.6297229219143565</v>
      </c>
      <c r="AB91" s="54">
        <f>IF('Completed'!$I$90&lt;&gt;"",'Completed'!$I$90,"")</f>
        <v>41430</v>
      </c>
      <c r="AC91" s="54">
        <f>IF('Completed'!$J$90&lt;&gt;"",'Completed'!$J$90,"")</f>
        <v>41431</v>
      </c>
      <c r="AD91" s="66" t="str">
        <f>IF('Completed'!$K$90&lt;&gt;"",'Completed'!$K$90,"")</f>
        <v>Haruka Kotoura</v>
      </c>
      <c r="AE91" s="66" t="str">
        <f>IF('Completed'!$L$90&lt;&gt;"",'Completed'!$L$90,"")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IF('Completed'!$A$91&lt;&gt;"",'Completed'!$A$91,"")</f>
        <v>Black ★ Rock Shooter</v>
      </c>
      <c r="O92" s="28">
        <f>IF('Completed'!$B$91&lt;&gt;"",'Completed'!$B$91,"")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IF('Completed'!$C$91&lt;&gt;"",'Completed'!$C$91,"")</f>
        <v>7.5</v>
      </c>
      <c r="W92" s="53">
        <f>IF('Completed'!$D$91&lt;&gt;"",'Completed'!$D$91,"")</f>
        <v>7.5</v>
      </c>
      <c r="X92" s="53">
        <f>IF('Completed'!$E$91&lt;&gt;"",'Completed'!$E$91,"")</f>
        <v>3.5</v>
      </c>
      <c r="Y92" s="53">
        <f>IF('Completed'!$F$91&lt;&gt;"",'Completed'!$F$91,"")</f>
        <v>8</v>
      </c>
      <c r="Z92" s="65">
        <f>IF('Completed'!$G$91&lt;&gt;"",'Completed'!$G$91,"")</f>
        <v>7.5590452261306531</v>
      </c>
      <c r="AA92" s="75">
        <f>IF('Completed'!$H$91&lt;&gt;"",'Completed'!$H$91,"")</f>
        <v>7.5780856423173795</v>
      </c>
      <c r="AB92" s="54">
        <f>IF('Completed'!$I$91&lt;&gt;"",'Completed'!$I$91,"")</f>
        <v>41541</v>
      </c>
      <c r="AC92" s="54">
        <f>IF('Completed'!$J$91&lt;&gt;"",'Completed'!$J$91,"")</f>
        <v>41541</v>
      </c>
      <c r="AD92" s="66" t="str">
        <f>IF('Completed'!$K$91&lt;&gt;"",'Completed'!$K$91,"")</f>
        <v>Black Rock Shooter</v>
      </c>
      <c r="AE92" s="66" t="str">
        <f>IF('Completed'!$L$91&lt;&gt;"",'Completed'!$L$91,"")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IF('Completed'!$A$92&lt;&gt;"",'Completed'!$A$92,"")</f>
        <v>Akuma no Riddle</v>
      </c>
      <c r="O93" s="28">
        <f>IF('Completed'!$B$92&lt;&gt;"",'Completed'!$B$92,"")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IF('Completed'!$C$92&lt;&gt;"",'Completed'!$C$92,"")</f>
        <v>7.5</v>
      </c>
      <c r="W93" s="53">
        <f>IF('Completed'!$D$92&lt;&gt;"",'Completed'!$D$92,"")</f>
        <v>8</v>
      </c>
      <c r="X93" s="53">
        <f>IF('Completed'!$E$92&lt;&gt;"",'Completed'!$E$92,"")</f>
        <v>5.5</v>
      </c>
      <c r="Y93" s="53">
        <f>IF('Completed'!$F$92&lt;&gt;"",'Completed'!$F$92,"")</f>
        <v>7.5</v>
      </c>
      <c r="Z93" s="65">
        <f>IF('Completed'!$G$92&lt;&gt;"",'Completed'!$G$92,"")</f>
        <v>7.5389447236180915</v>
      </c>
      <c r="AA93" s="75">
        <f>IF('Completed'!$H$92&lt;&gt;"",'Completed'!$H$92,"")</f>
        <v>7.5579345088161212</v>
      </c>
      <c r="AB93" s="54">
        <f>IF('Completed'!$I$92&lt;&gt;"",'Completed'!$I$92,"")</f>
        <v>41759</v>
      </c>
      <c r="AC93" s="54">
        <f>IF('Completed'!$J$92&lt;&gt;"",'Completed'!$J$92,"")</f>
        <v>41812</v>
      </c>
      <c r="AD93" s="66" t="str">
        <f>IF('Completed'!$K$92&lt;&gt;"",'Completed'!$K$92,"")</f>
        <v>Shutou Suzu</v>
      </c>
      <c r="AE93" s="66" t="str">
        <f>IF('Completed'!$L$92&lt;&gt;"",'Completed'!$L$92,"")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IF('Completed'!$A$93&lt;&gt;"",'Completed'!$A$93,"")</f>
        <v>Space ☆ Dandy</v>
      </c>
      <c r="O94" s="28">
        <f>IF('Completed'!$B$93&lt;&gt;"",'Completed'!$B$93,"")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IF('Completed'!$C$93&lt;&gt;"",'Completed'!$C$93,"")</f>
        <v>5</v>
      </c>
      <c r="W94" s="53">
        <f>IF('Completed'!$D$93&lt;&gt;"",'Completed'!$D$93,"")</f>
        <v>7</v>
      </c>
      <c r="X94" s="53">
        <f>IF('Completed'!$E$93&lt;&gt;"",'Completed'!$E$93,"")</f>
        <v>4</v>
      </c>
      <c r="Y94" s="53">
        <f>IF('Completed'!$F$93&lt;&gt;"",'Completed'!$F$93,"")</f>
        <v>9</v>
      </c>
      <c r="Z94" s="65">
        <f>IF('Completed'!$G$93&lt;&gt;"",'Completed'!$G$93,"")</f>
        <v>7.4899497487437188</v>
      </c>
      <c r="AA94" s="75">
        <f>IF('Completed'!$H$93&lt;&gt;"",'Completed'!$H$93,"")</f>
        <v>7.5088161209068005</v>
      </c>
      <c r="AB94" s="54">
        <f>IF('Completed'!$I$93&lt;&gt;"",'Completed'!$I$93,"")</f>
        <v>41650</v>
      </c>
      <c r="AC94" s="54">
        <f>IF('Completed'!$J$93&lt;&gt;"",'Completed'!$J$93,"")</f>
        <v>41744</v>
      </c>
      <c r="AD94" s="66" t="str">
        <f>IF('Completed'!$K$93&lt;&gt;"",'Completed'!$K$93,"")</f>
        <v>Adelie</v>
      </c>
      <c r="AE94" s="66" t="str">
        <f>IF('Completed'!$L$93&lt;&gt;"",'Completed'!$L$93,"")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IF('Completed'!$A$94&lt;&gt;"",'Completed'!$A$94,"")</f>
        <v>Dansai Bunri no Crime Edge</v>
      </c>
      <c r="O95" s="28">
        <f>IF('Completed'!$B$94&lt;&gt;"",'Completed'!$B$94,"")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IF('Completed'!$C$94&lt;&gt;"",'Completed'!$C$94,"")</f>
        <v>8</v>
      </c>
      <c r="W95" s="53">
        <f>IF('Completed'!$D$94&lt;&gt;"",'Completed'!$D$94,"")</f>
        <v>7.5</v>
      </c>
      <c r="X95" s="53">
        <f>IF('Completed'!$E$94&lt;&gt;"",'Completed'!$E$94,"")</f>
        <v>5</v>
      </c>
      <c r="Y95" s="53">
        <f>IF('Completed'!$F$94&lt;&gt;"",'Completed'!$F$94,"")</f>
        <v>7.5</v>
      </c>
      <c r="Z95" s="65">
        <f>IF('Completed'!$G$94&lt;&gt;"",'Completed'!$G$94,"")</f>
        <v>7.4723618090452266</v>
      </c>
      <c r="AA95" s="75">
        <f>IF('Completed'!$H$94&lt;&gt;"",'Completed'!$H$94,"")</f>
        <v>7.4911838790931986</v>
      </c>
      <c r="AB95" s="54">
        <f>IF('Completed'!$I$94&lt;&gt;"",'Completed'!$I$94,"")</f>
        <v>41453</v>
      </c>
      <c r="AC95" s="54">
        <f>IF('Completed'!$J$94&lt;&gt;"",'Completed'!$J$94,"")</f>
        <v>41457</v>
      </c>
      <c r="AD95" s="66" t="str">
        <f>IF('Completed'!$K$94&lt;&gt;"",'Completed'!$K$94,"")</f>
        <v>Mushanokouji Iwai</v>
      </c>
      <c r="AE95" s="66" t="str">
        <f>IF('Completed'!$L$94&lt;&gt;"",'Completed'!$L$94,"")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IF('Completed'!$A$95&lt;&gt;"",'Completed'!$A$95,"")</f>
        <v>Kami-sama no Inai Nichiyoubi</v>
      </c>
      <c r="O96" s="28">
        <f>IF('Completed'!$B$95&lt;&gt;"",'Completed'!$B$95,"")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IF('Completed'!$C$95&lt;&gt;"",'Completed'!$C$95,"")</f>
        <v>7</v>
      </c>
      <c r="W96" s="53">
        <f>IF('Completed'!$D$95&lt;&gt;"",'Completed'!$D$95,"")</f>
        <v>7.5</v>
      </c>
      <c r="X96" s="53">
        <f>IF('Completed'!$E$95&lt;&gt;"",'Completed'!$E$95,"")</f>
        <v>3.5</v>
      </c>
      <c r="Y96" s="53">
        <f>IF('Completed'!$F$95&lt;&gt;"",'Completed'!$F$95,"")</f>
        <v>8</v>
      </c>
      <c r="Z96" s="65">
        <f>IF('Completed'!$G$95&lt;&gt;"",'Completed'!$G$95,"")</f>
        <v>7.4673366834170851</v>
      </c>
      <c r="AA96" s="75">
        <f>IF('Completed'!$H$95&lt;&gt;"",'Completed'!$H$95,"")</f>
        <v>7.4861460957178831</v>
      </c>
      <c r="AB96" s="54">
        <f>IF('Completed'!$I$95&lt;&gt;"",'Completed'!$I$95,"")</f>
        <v>41465</v>
      </c>
      <c r="AC96" s="54">
        <f>IF('Completed'!$J$95&lt;&gt;"",'Completed'!$J$95,"")</f>
        <v>41543</v>
      </c>
      <c r="AD96" s="66" t="str">
        <f>IF('Completed'!$K$95&lt;&gt;"",'Completed'!$K$95,"")</f>
        <v>Ulla Euleus Hecmatika</v>
      </c>
      <c r="AE96" s="66" t="str">
        <f>IF('Completed'!$L$95&lt;&gt;"",'Completed'!$L$95,"")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IF('Completed'!$A$96&lt;&gt;"",'Completed'!$A$96,"")</f>
        <v>Inu to Hasami wa Tsukaiyou</v>
      </c>
      <c r="O97" s="28">
        <f>IF('Completed'!$B$96&lt;&gt;"",'Completed'!$B$96,"")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IF('Completed'!$C$96&lt;&gt;"",'Completed'!$C$96,"")</f>
        <v>6.5</v>
      </c>
      <c r="W97" s="53">
        <f>IF('Completed'!$D$96&lt;&gt;"",'Completed'!$D$96,"")</f>
        <v>7.5</v>
      </c>
      <c r="X97" s="53">
        <f>IF('Completed'!$E$96&lt;&gt;"",'Completed'!$E$96,"")</f>
        <v>5</v>
      </c>
      <c r="Y97" s="53">
        <f>IF('Completed'!$F$96&lt;&gt;"",'Completed'!$F$96,"")</f>
        <v>8</v>
      </c>
      <c r="Z97" s="65">
        <f>IF('Completed'!$G$96&lt;&gt;"",'Completed'!$G$96,"")</f>
        <v>7.4472361809045227</v>
      </c>
      <c r="AA97" s="75">
        <f>IF('Completed'!$H$96&lt;&gt;"",'Completed'!$H$96,"")</f>
        <v>7.465994962216624</v>
      </c>
      <c r="AB97" s="54">
        <f>IF('Completed'!$I$96&lt;&gt;"",'Completed'!$I$96,"")</f>
        <v>41456</v>
      </c>
      <c r="AC97" s="54">
        <f>IF('Completed'!$J$96&lt;&gt;"",'Completed'!$J$96,"")</f>
        <v>41535</v>
      </c>
      <c r="AD97" s="66" t="str">
        <f>IF('Completed'!$K$96&lt;&gt;"",'Completed'!$K$96,"")</f>
        <v>Himehagi Momiji</v>
      </c>
      <c r="AE97" s="66" t="str">
        <f>IF('Completed'!$L$96&lt;&gt;"",'Completed'!$L$96,"")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IF('Completed'!$A$97&lt;&gt;"",'Completed'!$A$97,"")</f>
        <v>Sakigake! Cromartie High School</v>
      </c>
      <c r="O98" s="28">
        <f>IF('Completed'!$B$97&lt;&gt;"",'Completed'!$B$97,"")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IF('Completed'!$C$97&lt;&gt;"",'Completed'!$C$97,"")</f>
        <v>4</v>
      </c>
      <c r="W98" s="53">
        <f>IF('Completed'!$D$97&lt;&gt;"",'Completed'!$D$97,"")</f>
        <v>8</v>
      </c>
      <c r="X98" s="53">
        <f>IF('Completed'!$E$97&lt;&gt;"",'Completed'!$E$97,"")</f>
        <v>0</v>
      </c>
      <c r="Y98" s="53">
        <f>IF('Completed'!$F$97&lt;&gt;"",'Completed'!$F$97,"")</f>
        <v>9</v>
      </c>
      <c r="Z98" s="65">
        <f>IF('Completed'!$G$97&lt;&gt;"",'Completed'!$G$97,"")</f>
        <v>7.3844221105527641</v>
      </c>
      <c r="AA98" s="75">
        <f>IF('Completed'!$H$97&lt;&gt;"",'Completed'!$H$97,"")</f>
        <v>7.4030226700251882</v>
      </c>
      <c r="AB98" s="54">
        <f>IF('Completed'!$I$97&lt;&gt;"",'Completed'!$I$97,"")</f>
        <v>41450</v>
      </c>
      <c r="AC98" s="54">
        <f>IF('Completed'!$J$97&lt;&gt;"",'Completed'!$J$97,"")</f>
        <v>41452</v>
      </c>
      <c r="AD98" s="66" t="str">
        <f>IF('Completed'!$K$97&lt;&gt;"",'Completed'!$K$97,"")</f>
        <v>Gorilla</v>
      </c>
      <c r="AE98" s="66" t="str">
        <f>IF('Completed'!$L$97&lt;&gt;"",'Completed'!$L$97,"")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IF('Completed'!$A$98&lt;&gt;"",'Completed'!$A$98,"")</f>
        <v>Mahou Sensou</v>
      </c>
      <c r="O99" s="28">
        <f>IF('Completed'!$B$98&lt;&gt;"",'Completed'!$B$98,"")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IF('Completed'!$C$98&lt;&gt;"",'Completed'!$C$98,"")</f>
        <v>6.5</v>
      </c>
      <c r="W99" s="53">
        <f>IF('Completed'!$D$98&lt;&gt;"",'Completed'!$D$98,"")</f>
        <v>9</v>
      </c>
      <c r="X99" s="53">
        <f>IF('Completed'!$E$98&lt;&gt;"",'Completed'!$E$98,"")</f>
        <v>5</v>
      </c>
      <c r="Y99" s="53">
        <f>IF('Completed'!$F$98&lt;&gt;"",'Completed'!$F$98,"")</f>
        <v>7</v>
      </c>
      <c r="Z99" s="65">
        <f>IF('Completed'!$G$98&lt;&gt;"",'Completed'!$G$98,"")</f>
        <v>7.3505025125628141</v>
      </c>
      <c r="AA99" s="75">
        <f>IF('Completed'!$H$98&lt;&gt;"",'Completed'!$H$98,"")</f>
        <v>7.3690176322418131</v>
      </c>
      <c r="AB99" s="54">
        <f>IF('Completed'!$I$98&lt;&gt;"",'Completed'!$I$98,"")</f>
        <v>41650</v>
      </c>
      <c r="AC99" s="54">
        <f>IF('Completed'!$J$98&lt;&gt;"",'Completed'!$J$98,"")</f>
        <v>41745</v>
      </c>
      <c r="AD99" s="66" t="str">
        <f>IF('Completed'!$K$98&lt;&gt;"",'Completed'!$K$98,"")</f>
        <v>Aiba Mui</v>
      </c>
      <c r="AE99" s="66" t="str">
        <f>IF('Completed'!$L$98&lt;&gt;"",'Completed'!$L$98,"")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IF('Completed'!$A$99&lt;&gt;"",'Completed'!$A$99,"")</f>
        <v>Suzumiya Haruhi no Yuuutsu</v>
      </c>
      <c r="O100" s="28">
        <f>IF('Completed'!$B$99&lt;&gt;"",'Completed'!$B$99,"")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IF('Completed'!$C$99&lt;&gt;"",'Completed'!$C$99,"")</f>
        <v>7.5</v>
      </c>
      <c r="W100" s="53">
        <f>IF('Completed'!$D$99&lt;&gt;"",'Completed'!$D$99,"")</f>
        <v>7.5</v>
      </c>
      <c r="X100" s="53">
        <f>IF('Completed'!$E$99&lt;&gt;"",'Completed'!$E$99,"")</f>
        <v>4</v>
      </c>
      <c r="Y100" s="53">
        <f>IF('Completed'!$F$99&lt;&gt;"",'Completed'!$F$99,"")</f>
        <v>7.5</v>
      </c>
      <c r="Z100" s="65">
        <f>IF('Completed'!$G$99&lt;&gt;"",'Completed'!$G$99,"")</f>
        <v>7.3329145728643219</v>
      </c>
      <c r="AA100" s="75">
        <f>IF('Completed'!$H$99&lt;&gt;"",'Completed'!$H$99,"")</f>
        <v>7.351385390428212</v>
      </c>
      <c r="AB100" s="54">
        <f>IF('Completed'!$I$99&lt;&gt;"",'Completed'!$I$99,"")</f>
        <v>41330</v>
      </c>
      <c r="AC100" s="54">
        <f>IF('Completed'!$J$99&lt;&gt;"",'Completed'!$J$99,"")</f>
        <v>41346</v>
      </c>
      <c r="AD100" s="66" t="str">
        <f>IF('Completed'!$K$99&lt;&gt;"",'Completed'!$K$99,"")</f>
        <v>Nagato Yuki</v>
      </c>
      <c r="AE100" s="66" t="str">
        <f>IF('Completed'!$L$99&lt;&gt;"",'Completed'!$L$99,"")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IF('Completed'!$A$100&lt;&gt;"",'Completed'!$A$100,"")</f>
        <v>Witch Craft Works</v>
      </c>
      <c r="O101" s="28">
        <f>IF('Completed'!$B$100&lt;&gt;"",'Completed'!$B$100,"")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IF('Completed'!$C$100&lt;&gt;"",'Completed'!$C$100,"")</f>
        <v>7.5</v>
      </c>
      <c r="W101" s="53">
        <f>IF('Completed'!$D$100&lt;&gt;"",'Completed'!$D$100,"")</f>
        <v>7.5</v>
      </c>
      <c r="X101" s="53">
        <f>IF('Completed'!$E$100&lt;&gt;"",'Completed'!$E$100,"")</f>
        <v>3.5</v>
      </c>
      <c r="Y101" s="53">
        <f>IF('Completed'!$F$100&lt;&gt;"",'Completed'!$F$100,"")</f>
        <v>7.5</v>
      </c>
      <c r="Z101" s="65">
        <f>IF('Completed'!$G$100&lt;&gt;"",'Completed'!$G$100,"")</f>
        <v>7.3090452261306531</v>
      </c>
      <c r="AA101" s="75">
        <f>IF('Completed'!$H$100&lt;&gt;"",'Completed'!$H$100,"")</f>
        <v>7.3274559193954651</v>
      </c>
      <c r="AB101" s="54">
        <f>IF('Completed'!$I$100&lt;&gt;"",'Completed'!$I$100,"")</f>
        <v>41650</v>
      </c>
      <c r="AC101" s="54">
        <f>IF('Completed'!$J$100&lt;&gt;"",'Completed'!$J$100,"")</f>
        <v>41749</v>
      </c>
      <c r="AD101" s="66" t="str">
        <f>IF('Completed'!$K$100&lt;&gt;"",'Completed'!$K$100,"")</f>
        <v>Kazari Rin</v>
      </c>
      <c r="AE101" s="66" t="str">
        <f>IF('Completed'!$L$100&lt;&gt;"",'Completed'!$L$100,"")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IF('Completed'!$A$101&lt;&gt;"",'Completed'!$A$101,"")</f>
        <v>Sora no Otoshimono</v>
      </c>
      <c r="O102" s="28">
        <f>IF('Completed'!$B$101&lt;&gt;"",'Completed'!$B$101,"")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IF('Completed'!$C$101&lt;&gt;"",'Completed'!$C$101,"")</f>
        <v>7</v>
      </c>
      <c r="W102" s="53">
        <f>IF('Completed'!$D$101&lt;&gt;"",'Completed'!$D$101,"")</f>
        <v>7</v>
      </c>
      <c r="X102" s="53">
        <f>IF('Completed'!$E$101&lt;&gt;"",'Completed'!$E$101,"")</f>
        <v>7.5</v>
      </c>
      <c r="Y102" s="53">
        <f>IF('Completed'!$F$101&lt;&gt;"",'Completed'!$F$101,"")</f>
        <v>7.5</v>
      </c>
      <c r="Z102" s="65">
        <f>IF('Completed'!$G$101&lt;&gt;"",'Completed'!$G$101,"")</f>
        <v>7.2738693467336688</v>
      </c>
      <c r="AA102" s="75">
        <f>IF('Completed'!$H$101&lt;&gt;"",'Completed'!$H$101,"")</f>
        <v>7.2921914357682622</v>
      </c>
      <c r="AB102" s="54">
        <f>IF('Completed'!$I$101&lt;&gt;"",'Completed'!$I$101,"")</f>
        <v>41496</v>
      </c>
      <c r="AC102" s="54">
        <f>IF('Completed'!$J$101&lt;&gt;"",'Completed'!$J$101,"")</f>
        <v>41512</v>
      </c>
      <c r="AD102" s="66" t="str">
        <f>IF('Completed'!$K$101&lt;&gt;"",'Completed'!$K$101,"")</f>
        <v>Nymph</v>
      </c>
      <c r="AE102" s="66" t="str">
        <f>IF('Completed'!$L$101&lt;&gt;"",'Completed'!$L$101,"")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IF('Completed'!$A$102&lt;&gt;"",'Completed'!$A$102,"")</f>
        <v>Haiyore! Nyaruko-san</v>
      </c>
      <c r="O103" s="28">
        <f>IF('Completed'!$B$102&lt;&gt;"",'Completed'!$B$102,"")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IF('Completed'!$C$102&lt;&gt;"",'Completed'!$C$102,"")</f>
        <v>6</v>
      </c>
      <c r="W103" s="53">
        <f>IF('Completed'!$D$102&lt;&gt;"",'Completed'!$D$102,"")</f>
        <v>7</v>
      </c>
      <c r="X103" s="53">
        <f>IF('Completed'!$E$102&lt;&gt;"",'Completed'!$E$102,"")</f>
        <v>6</v>
      </c>
      <c r="Y103" s="53">
        <f>IF('Completed'!$F$102&lt;&gt;"",'Completed'!$F$102,"")</f>
        <v>8</v>
      </c>
      <c r="Z103" s="65">
        <f>IF('Completed'!$G$102&lt;&gt;"",'Completed'!$G$102,"")</f>
        <v>7.2688442211055273</v>
      </c>
      <c r="AA103" s="75">
        <f>IF('Completed'!$H$102&lt;&gt;"",'Completed'!$H$102,"")</f>
        <v>7.2871536523929468</v>
      </c>
      <c r="AB103" s="54">
        <f>IF('Completed'!$I$102&lt;&gt;"",'Completed'!$I$102,"")</f>
        <v>41365</v>
      </c>
      <c r="AC103" s="54">
        <f>IF('Completed'!$J$102&lt;&gt;"",'Completed'!$J$102,"")</f>
        <v>41369</v>
      </c>
      <c r="AD103" s="66" t="str">
        <f>IF('Completed'!$K$102&lt;&gt;"",'Completed'!$K$102,"")</f>
        <v>Kuuko</v>
      </c>
      <c r="AE103" s="66" t="str">
        <f>IF('Completed'!$L$102&lt;&gt;"",'Completed'!$L$102,"")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IF('Completed'!$A$103&lt;&gt;"",'Completed'!$A$103,"")</f>
        <v>Nisemonogatari</v>
      </c>
      <c r="O104" s="28">
        <f>IF('Completed'!$B$103&lt;&gt;"",'Completed'!$B$103,"")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IF('Completed'!$C$103&lt;&gt;"",'Completed'!$C$103,"")</f>
        <v>7</v>
      </c>
      <c r="W104" s="53">
        <f>IF('Completed'!$D$103&lt;&gt;"",'Completed'!$D$103,"")</f>
        <v>7.5</v>
      </c>
      <c r="X104" s="53">
        <f>IF('Completed'!$E$103&lt;&gt;"",'Completed'!$E$103,"")</f>
        <v>4.5</v>
      </c>
      <c r="Y104" s="53">
        <f>IF('Completed'!$F$103&lt;&gt;"",'Completed'!$F$103,"")</f>
        <v>7.5</v>
      </c>
      <c r="Z104" s="65">
        <f>IF('Completed'!$G$103&lt;&gt;"",'Completed'!$G$103,"")</f>
        <v>7.2650753768844218</v>
      </c>
      <c r="AA104" s="75">
        <f>IF('Completed'!$H$103&lt;&gt;"",'Completed'!$H$103,"")</f>
        <v>7.2833753148614608</v>
      </c>
      <c r="AB104" s="54">
        <f>IF('Completed'!$I$103&lt;&gt;"",'Completed'!$I$103,"")</f>
        <v>41345</v>
      </c>
      <c r="AC104" s="54">
        <f>IF('Completed'!$J$103&lt;&gt;"",'Completed'!$J$103,"")</f>
        <v>41350</v>
      </c>
      <c r="AD104" s="66" t="str">
        <f>IF('Completed'!$K$103&lt;&gt;"",'Completed'!$K$103,"")</f>
        <v>Oshino Shinobu</v>
      </c>
      <c r="AE104" s="66" t="str">
        <f>IF('Completed'!$L$103&lt;&gt;"",'Completed'!$L$103,"")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IF('Completed'!$A$104&lt;&gt;"",'Completed'!$A$104,"")</f>
        <v>Yuyushiki</v>
      </c>
      <c r="O105" s="28">
        <f>IF('Completed'!$B$104&lt;&gt;"",'Completed'!$B$104,"")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IF('Completed'!$C$104&lt;&gt;"",'Completed'!$C$104,"")</f>
        <v>4</v>
      </c>
      <c r="W105" s="53">
        <f>IF('Completed'!$D$104&lt;&gt;"",'Completed'!$D$104,"")</f>
        <v>7</v>
      </c>
      <c r="X105" s="53">
        <f>IF('Completed'!$E$104&lt;&gt;"",'Completed'!$E$104,"")</f>
        <v>8</v>
      </c>
      <c r="Y105" s="53">
        <f>IF('Completed'!$F$104&lt;&gt;"",'Completed'!$F$104,"")</f>
        <v>8.5</v>
      </c>
      <c r="Z105" s="65">
        <f>IF('Completed'!$G$104&lt;&gt;"",'Completed'!$G$104,"")</f>
        <v>7.2474874371859297</v>
      </c>
      <c r="AA105" s="75">
        <f>IF('Completed'!$H$104&lt;&gt;"",'Completed'!$H$104,"")</f>
        <v>7.2657430730478589</v>
      </c>
      <c r="AB105" s="54">
        <f>IF('Completed'!$I$104&lt;&gt;"",'Completed'!$I$104,"")</f>
        <v>41449</v>
      </c>
      <c r="AC105" s="54">
        <f>IF('Completed'!$J$104&lt;&gt;"",'Completed'!$J$104,"")</f>
        <v>41451</v>
      </c>
      <c r="AD105" s="66" t="str">
        <f>IF('Completed'!$K$104&lt;&gt;"",'Completed'!$K$104,"")</f>
        <v>Hinata Yukari</v>
      </c>
      <c r="AE105" s="66" t="str">
        <f>IF('Completed'!$L$104&lt;&gt;"",'Completed'!$L$104,"")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IF('Completed'!$A$105&lt;&gt;"",'Completed'!$A$105,"")</f>
        <v>Shinryaku! Ika Musume</v>
      </c>
      <c r="O106" s="28">
        <f>IF('Completed'!$B$105&lt;&gt;"",'Completed'!$B$105,"")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IF('Completed'!$C$105&lt;&gt;"",'Completed'!$C$105,"")</f>
        <v>3</v>
      </c>
      <c r="W106" s="53">
        <f>IF('Completed'!$D$105&lt;&gt;"",'Completed'!$D$105,"")</f>
        <v>8</v>
      </c>
      <c r="X106" s="53">
        <f>IF('Completed'!$E$105&lt;&gt;"",'Completed'!$E$105,"")</f>
        <v>9</v>
      </c>
      <c r="Y106" s="53">
        <f>IF('Completed'!$F$105&lt;&gt;"",'Completed'!$F$105,"")</f>
        <v>8</v>
      </c>
      <c r="Z106" s="65">
        <f>IF('Completed'!$G$105&lt;&gt;"",'Completed'!$G$105,"")</f>
        <v>7.1306532663316586</v>
      </c>
      <c r="AA106" s="75">
        <f>IF('Completed'!$H$105&lt;&gt;"",'Completed'!$H$105,"")</f>
        <v>7.1486146095717888</v>
      </c>
      <c r="AB106" s="54">
        <f>IF('Completed'!$I$105&lt;&gt;"",'Completed'!$I$105,"")</f>
        <v>41288</v>
      </c>
      <c r="AC106" s="54">
        <f>IF('Completed'!$J$105&lt;&gt;"",'Completed'!$J$105,"")</f>
        <v>41288</v>
      </c>
      <c r="AD106" s="66" t="str">
        <f>IF('Completed'!$K$105&lt;&gt;"",'Completed'!$K$105,"")</f>
        <v>Aizawa Chizuru</v>
      </c>
      <c r="AE106" s="66" t="str">
        <f>IF('Completed'!$L$105&lt;&gt;"",'Completed'!$L$105,"")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IF('Completed'!$A$106&lt;&gt;"",'Completed'!$A$106,"")</f>
        <v>Naruto</v>
      </c>
      <c r="O107" s="28">
        <f>IF('Completed'!$B$106&lt;&gt;"",'Completed'!$B$106,"")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IF('Completed'!$C$106&lt;&gt;"",'Completed'!$C$106,"")</f>
        <v>7.5</v>
      </c>
      <c r="W107" s="53">
        <f>IF('Completed'!$D$106&lt;&gt;"",'Completed'!$D$106,"")</f>
        <v>8</v>
      </c>
      <c r="X107" s="53">
        <f>IF('Completed'!$E$106&lt;&gt;"",'Completed'!$E$106,"")</f>
        <v>0.5</v>
      </c>
      <c r="Y107" s="53">
        <f>IF('Completed'!$F$106&lt;&gt;"",'Completed'!$F$106,"")</f>
        <v>7</v>
      </c>
      <c r="Z107" s="65">
        <f>IF('Completed'!$G$106&lt;&gt;"",'Completed'!$G$106,"")</f>
        <v>7.0502512562814079</v>
      </c>
      <c r="AA107" s="75">
        <f>IF('Completed'!$H$106&lt;&gt;"",'Completed'!$H$106,"")</f>
        <v>7.0680100755667512</v>
      </c>
      <c r="AB107" s="54">
        <f>IF('Completed'!$I$106&lt;&gt;"",'Completed'!$I$106,"")</f>
        <v>41088</v>
      </c>
      <c r="AC107" s="54">
        <f>IF('Completed'!$J$106&lt;&gt;"",'Completed'!$J$106,"")</f>
        <v>41108</v>
      </c>
      <c r="AD107" s="66" t="str">
        <f>IF('Completed'!$K$106&lt;&gt;"",'Completed'!$K$106,"")</f>
        <v>Hyuuga Hinata</v>
      </c>
      <c r="AE107" s="66" t="str">
        <f>IF('Completed'!$L$106&lt;&gt;"",'Completed'!$L$106,"")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IF('Completed'!$A$107&lt;&gt;"",'Completed'!$A$107,"")</f>
        <v>Watashi ga Motenai no wa Dou Kangaetemo Omaera no Warui!</v>
      </c>
      <c r="O108" s="28">
        <f>IF('Completed'!$B$107&lt;&gt;"",'Completed'!$B$107,"")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IF('Completed'!$C$107&lt;&gt;"",'Completed'!$C$107,"")</f>
        <v>6.5</v>
      </c>
      <c r="W108" s="53">
        <f>IF('Completed'!$D$107&lt;&gt;"",'Completed'!$D$107,"")</f>
        <v>7</v>
      </c>
      <c r="X108" s="53">
        <f>IF('Completed'!$E$107&lt;&gt;"",'Completed'!$E$107,"")</f>
        <v>4.5</v>
      </c>
      <c r="Y108" s="53">
        <f>IF('Completed'!$F$107&lt;&gt;"",'Completed'!$F$107,"")</f>
        <v>7.5</v>
      </c>
      <c r="Z108" s="65">
        <f>IF('Completed'!$G$107&lt;&gt;"",'Completed'!$G$107,"")</f>
        <v>7.0389447236180906</v>
      </c>
      <c r="AA108" s="75">
        <f>IF('Completed'!$H$107&lt;&gt;"",'Completed'!$H$107,"")</f>
        <v>7.0566750629722916</v>
      </c>
      <c r="AB108" s="54">
        <f>IF('Completed'!$I$107&lt;&gt;"",'Completed'!$I$107,"")</f>
        <v>41464</v>
      </c>
      <c r="AC108" s="54">
        <f>IF('Completed'!$J$107&lt;&gt;"",'Completed'!$J$107,"")</f>
        <v>41543</v>
      </c>
      <c r="AD108" s="66" t="str">
        <f>IF('Completed'!$K$107&lt;&gt;"",'Completed'!$K$107,"")</f>
        <v>Kii</v>
      </c>
      <c r="AE108" s="66" t="str">
        <f>IF('Completed'!$L$107&lt;&gt;"",'Completed'!$L$107,"")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IF('Completed'!$A$108&lt;&gt;"",'Completed'!$A$108,"")</f>
        <v>Panty &amp; Stocking with Garterbelt</v>
      </c>
      <c r="O109" s="28">
        <f>IF('Completed'!$B$108&lt;&gt;"",'Completed'!$B$108,"")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IF('Completed'!$C$108&lt;&gt;"",'Completed'!$C$108,"")</f>
        <v>5</v>
      </c>
      <c r="W109" s="53">
        <f>IF('Completed'!$D$108&lt;&gt;"",'Completed'!$D$108,"")</f>
        <v>7</v>
      </c>
      <c r="X109" s="53">
        <f>IF('Completed'!$E$108&lt;&gt;"",'Completed'!$E$108,"")</f>
        <v>4.5</v>
      </c>
      <c r="Y109" s="53">
        <f>IF('Completed'!$F$108&lt;&gt;"",'Completed'!$F$108,"")</f>
        <v>8</v>
      </c>
      <c r="Z109" s="65">
        <f>IF('Completed'!$G$108&lt;&gt;"",'Completed'!$G$108,"")</f>
        <v>7.0138190954773867</v>
      </c>
      <c r="AA109" s="75">
        <f>IF('Completed'!$H$108&lt;&gt;"",'Completed'!$H$108,"")</f>
        <v>7.031486146095717</v>
      </c>
      <c r="AB109" s="54">
        <f>IF('Completed'!$I$108&lt;&gt;"",'Completed'!$I$108,"")</f>
        <v>41470</v>
      </c>
      <c r="AC109" s="54">
        <f>IF('Completed'!$J$108&lt;&gt;"",'Completed'!$J$108,"")</f>
        <v>41482</v>
      </c>
      <c r="AD109" s="66" t="str">
        <f>IF('Completed'!$K$108&lt;&gt;"",'Completed'!$K$108,"")</f>
        <v>Stocking Anarchy</v>
      </c>
      <c r="AE109" s="66" t="str">
        <f>IF('Completed'!$L$108&lt;&gt;"",'Completed'!$L$108,"")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IF('Completed'!$A$109&lt;&gt;"",'Completed'!$A$109,"")</f>
        <v>Shinryaku?! Ika Musume</v>
      </c>
      <c r="O110" s="28">
        <f>IF('Completed'!$B$109&lt;&gt;"",'Completed'!$B$109,"")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IF('Completed'!$C$109&lt;&gt;"",'Completed'!$C$109,"")</f>
        <v>3.5</v>
      </c>
      <c r="W110" s="53">
        <f>IF('Completed'!$D$109&lt;&gt;"",'Completed'!$D$109,"")</f>
        <v>8</v>
      </c>
      <c r="X110" s="53">
        <f>IF('Completed'!$E$109&lt;&gt;"",'Completed'!$E$109,"")</f>
        <v>9</v>
      </c>
      <c r="Y110" s="53">
        <f>IF('Completed'!$F$109&lt;&gt;"",'Completed'!$F$109,"")</f>
        <v>7.5</v>
      </c>
      <c r="Z110" s="65">
        <f>IF('Completed'!$G$109&lt;&gt;"",'Completed'!$G$109,"")</f>
        <v>6.9723618090452257</v>
      </c>
      <c r="AA110" s="75">
        <f>IF('Completed'!$H$109&lt;&gt;"",'Completed'!$H$109,"")</f>
        <v>6.98992443324937</v>
      </c>
      <c r="AB110" s="54">
        <f>IF('Completed'!$I$109&lt;&gt;"",'Completed'!$I$109,"")</f>
        <v>41289</v>
      </c>
      <c r="AC110" s="54">
        <f>IF('Completed'!$J$109&lt;&gt;"",'Completed'!$J$109,"")</f>
        <v>41289</v>
      </c>
      <c r="AD110" s="66" t="str">
        <f>IF('Completed'!$K$109&lt;&gt;"",'Completed'!$K$109,"")</f>
        <v>Aizawa Chizuru</v>
      </c>
      <c r="AE110" s="66" t="str">
        <f>IF('Completed'!$L$109&lt;&gt;"",'Completed'!$L$109,"")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IF('Completed'!$A$110&lt;&gt;"",'Completed'!$A$110,"")</f>
        <v>Haiyore! Nyaruko-san W</v>
      </c>
      <c r="O111" s="28">
        <f>IF('Completed'!$B$110&lt;&gt;"",'Completed'!$B$110,"")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IF('Completed'!$C$110&lt;&gt;"",'Completed'!$C$110,"")</f>
        <v>5.5</v>
      </c>
      <c r="W111" s="53">
        <f>IF('Completed'!$D$110&lt;&gt;"",'Completed'!$D$110,"")</f>
        <v>7</v>
      </c>
      <c r="X111" s="53">
        <f>IF('Completed'!$E$110&lt;&gt;"",'Completed'!$E$110,"")</f>
        <v>6.5</v>
      </c>
      <c r="Y111" s="53">
        <f>IF('Completed'!$F$110&lt;&gt;"",'Completed'!$F$110,"")</f>
        <v>7.5</v>
      </c>
      <c r="Z111" s="65">
        <f>IF('Completed'!$G$110&lt;&gt;"",'Completed'!$G$110,"")</f>
        <v>6.9510050251256281</v>
      </c>
      <c r="AA111" s="75">
        <f>IF('Completed'!$H$110&lt;&gt;"",'Completed'!$H$110,"")</f>
        <v>6.9685138539042812</v>
      </c>
      <c r="AB111" s="54">
        <f>IF('Completed'!$I$110&lt;&gt;"",'Completed'!$I$110,"")</f>
        <v>41371</v>
      </c>
      <c r="AC111" s="54">
        <f>IF('Completed'!$J$110&lt;&gt;"",'Completed'!$J$110,"")</f>
        <v>41455</v>
      </c>
      <c r="AD111" s="66" t="str">
        <f>IF('Completed'!$K$110&lt;&gt;"",'Completed'!$K$110,"")</f>
        <v>Kuuko</v>
      </c>
      <c r="AE111" s="66" t="str">
        <f>IF('Completed'!$L$110&lt;&gt;"",'Completed'!$L$110,"")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IF('Completed'!$A$111&lt;&gt;"",'Completed'!$A$111,"")</f>
        <v>Nekomonogatari Black</v>
      </c>
      <c r="O112" s="28">
        <f>IF('Completed'!$B$111&lt;&gt;"",'Completed'!$B$111,"")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IF('Completed'!$C$111&lt;&gt;"",'Completed'!$C$111,"")</f>
        <v>7</v>
      </c>
      <c r="W112" s="53">
        <f>IF('Completed'!$D$111&lt;&gt;"",'Completed'!$D$111,"")</f>
        <v>6.5</v>
      </c>
      <c r="X112" s="53">
        <f>IF('Completed'!$E$111&lt;&gt;"",'Completed'!$E$111,"")</f>
        <v>2.5</v>
      </c>
      <c r="Y112" s="53">
        <f>IF('Completed'!$F$111&lt;&gt;"",'Completed'!$F$111,"")</f>
        <v>7.5</v>
      </c>
      <c r="Z112" s="65">
        <f>IF('Completed'!$G$111&lt;&gt;"",'Completed'!$G$111,"")</f>
        <v>6.9007537688442211</v>
      </c>
      <c r="AA112" s="75">
        <f>IF('Completed'!$H$111&lt;&gt;"",'Completed'!$H$111,"")</f>
        <v>6.9181360201511337</v>
      </c>
      <c r="AB112" s="54">
        <f>IF('Completed'!$I$111&lt;&gt;"",'Completed'!$I$111,"")</f>
        <v>41465</v>
      </c>
      <c r="AC112" s="54">
        <f>IF('Completed'!$J$111&lt;&gt;"",'Completed'!$J$111,"")</f>
        <v>41465</v>
      </c>
      <c r="AD112" s="66" t="str">
        <f>IF('Completed'!$K$111&lt;&gt;"",'Completed'!$K$111,"")</f>
        <v>Oshino Shinobu</v>
      </c>
      <c r="AE112" s="66" t="str">
        <f>IF('Completed'!$L$111&lt;&gt;"",'Completed'!$L$111,"")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IF('Completed'!$A$112&lt;&gt;"",'Completed'!$A$112,"")</f>
        <v>Photokano</v>
      </c>
      <c r="O113" s="28">
        <f>IF('Completed'!$B$112&lt;&gt;"",'Completed'!$B$112,"")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IF('Completed'!$C$112&lt;&gt;"",'Completed'!$C$112,"")</f>
        <v>6.5</v>
      </c>
      <c r="W113" s="53">
        <f>IF('Completed'!$D$112&lt;&gt;"",'Completed'!$D$112,"")</f>
        <v>7</v>
      </c>
      <c r="X113" s="53">
        <f>IF('Completed'!$E$112&lt;&gt;"",'Completed'!$E$112,"")</f>
        <v>6.5</v>
      </c>
      <c r="Y113" s="53">
        <f>IF('Completed'!$F$112&lt;&gt;"",'Completed'!$F$112,"")</f>
        <v>7</v>
      </c>
      <c r="Z113" s="65">
        <f>IF('Completed'!$G$112&lt;&gt;"",'Completed'!$G$112,"")</f>
        <v>6.8844221105527632</v>
      </c>
      <c r="AA113" s="75">
        <f>IF('Completed'!$H$112&lt;&gt;"",'Completed'!$H$112,"")</f>
        <v>6.9017632241813596</v>
      </c>
      <c r="AB113" s="54">
        <f>IF('Completed'!$I$112&lt;&gt;"",'Completed'!$I$112,"")</f>
        <v>41371</v>
      </c>
      <c r="AC113" s="54">
        <f>IF('Completed'!$J$112&lt;&gt;"",'Completed'!$J$112,"")</f>
        <v>41453</v>
      </c>
      <c r="AD113" s="66" t="str">
        <f>IF('Completed'!$K$112&lt;&gt;"",'Completed'!$K$112,"")</f>
        <v>Sakura Mai</v>
      </c>
      <c r="AE113" s="66" t="str">
        <f>IF('Completed'!$L$112&lt;&gt;"",'Completed'!$L$112,"")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IF('Completed'!$A$113&lt;&gt;"",'Completed'!$A$113,"")</f>
        <v>Sasami-san @ Ganbaranai</v>
      </c>
      <c r="O114" s="28">
        <f>IF('Completed'!$B$113&lt;&gt;"",'Completed'!$B$113,"")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IF('Completed'!$C$113&lt;&gt;"",'Completed'!$C$113,"")</f>
        <v>7</v>
      </c>
      <c r="W114" s="53">
        <f>IF('Completed'!$D$113&lt;&gt;"",'Completed'!$D$113,"")</f>
        <v>7</v>
      </c>
      <c r="X114" s="53">
        <f>IF('Completed'!$E$113&lt;&gt;"",'Completed'!$E$113,"")</f>
        <v>4.5</v>
      </c>
      <c r="Y114" s="53">
        <f>IF('Completed'!$F$113&lt;&gt;"",'Completed'!$F$113,"")</f>
        <v>7</v>
      </c>
      <c r="Z114" s="65">
        <f>IF('Completed'!$G$113&lt;&gt;"",'Completed'!$G$113,"")</f>
        <v>6.8806532663316577</v>
      </c>
      <c r="AA114" s="75">
        <f>IF('Completed'!$H$113&lt;&gt;"",'Completed'!$H$113,"")</f>
        <v>6.8979848866498727</v>
      </c>
      <c r="AB114" s="54">
        <f>IF('Completed'!$I$113&lt;&gt;"",'Completed'!$I$113,"")</f>
        <v>41292</v>
      </c>
      <c r="AC114" s="54">
        <f>IF('Completed'!$J$113&lt;&gt;"",'Completed'!$J$113,"")</f>
        <v>41369</v>
      </c>
      <c r="AD114" s="66" t="str">
        <f>IF('Completed'!$K$113&lt;&gt;"",'Completed'!$K$113,"")</f>
        <v>Yagami Kagami</v>
      </c>
      <c r="AE114" s="66" t="str">
        <f>IF('Completed'!$L$113&lt;&gt;"",'Completed'!$L$113,"")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IF('Completed'!$A$114&lt;&gt;"",'Completed'!$A$114,"")</f>
        <v>Red Data Girl</v>
      </c>
      <c r="O115" s="28">
        <f>IF('Completed'!$B$114&lt;&gt;"",'Completed'!$B$114,"")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IF('Completed'!$C$114&lt;&gt;"",'Completed'!$C$114,"")</f>
        <v>7</v>
      </c>
      <c r="W115" s="53">
        <f>IF('Completed'!$D$114&lt;&gt;"",'Completed'!$D$114,"")</f>
        <v>6</v>
      </c>
      <c r="X115" s="53">
        <f>IF('Completed'!$E$114&lt;&gt;"",'Completed'!$E$114,"")</f>
        <v>4.5</v>
      </c>
      <c r="Y115" s="53">
        <f>IF('Completed'!$F$114&lt;&gt;"",'Completed'!$F$114,"")</f>
        <v>7.5</v>
      </c>
      <c r="Z115" s="65">
        <f>IF('Completed'!$G$114&lt;&gt;"",'Completed'!$G$114,"")</f>
        <v>6.8618090452261313</v>
      </c>
      <c r="AA115" s="75">
        <f>IF('Completed'!$H$114&lt;&gt;"",'Completed'!$H$114,"")</f>
        <v>6.879093198992444</v>
      </c>
      <c r="AB115" s="54">
        <f>IF('Completed'!$I$114&lt;&gt;"",'Completed'!$I$114,"")</f>
        <v>41379</v>
      </c>
      <c r="AC115" s="54">
        <f>IF('Completed'!$J$114&lt;&gt;"",'Completed'!$J$114,"")</f>
        <v>41464</v>
      </c>
      <c r="AD115" s="66" t="str">
        <f>IF('Completed'!$K$114&lt;&gt;"",'Completed'!$K$114,"")</f>
        <v>Himegami</v>
      </c>
      <c r="AE115" s="66" t="str">
        <f>IF('Completed'!$L$114&lt;&gt;"",'Completed'!$L$114,"")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IF('Completed'!$A$115&lt;&gt;"",'Completed'!$A$115,"")</f>
        <v>Yuru Yuri ♪♪</v>
      </c>
      <c r="O116" s="28">
        <f>IF('Completed'!$B$115&lt;&gt;"",'Completed'!$B$115,"")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IF('Completed'!$C$115&lt;&gt;"",'Completed'!$C$115,"")</f>
        <v>2</v>
      </c>
      <c r="W116" s="53">
        <f>IF('Completed'!$D$115&lt;&gt;"",'Completed'!$D$115,"")</f>
        <v>7.5</v>
      </c>
      <c r="X116" s="53">
        <f>IF('Completed'!$E$115&lt;&gt;"",'Completed'!$E$115,"")</f>
        <v>10</v>
      </c>
      <c r="Y116" s="53">
        <f>IF('Completed'!$F$115&lt;&gt;"",'Completed'!$F$115,"")</f>
        <v>8</v>
      </c>
      <c r="Z116" s="65">
        <f>IF('Completed'!$G$115&lt;&gt;"",'Completed'!$G$115,"")</f>
        <v>6.8605527638190953</v>
      </c>
      <c r="AA116" s="75">
        <f>IF('Completed'!$H$115&lt;&gt;"",'Completed'!$H$115,"")</f>
        <v>6.8778337531486136</v>
      </c>
      <c r="AB116" s="54">
        <f>IF('Completed'!$I$115&lt;&gt;"",'Completed'!$I$115,"")</f>
        <v>41229</v>
      </c>
      <c r="AC116" s="54">
        <f>IF('Completed'!$J$115&lt;&gt;"",'Completed'!$J$115,"")</f>
        <v>41230</v>
      </c>
      <c r="AD116" s="66" t="str">
        <f>IF('Completed'!$K$115&lt;&gt;"",'Completed'!$K$115,"")</f>
        <v>Funami Yui</v>
      </c>
      <c r="AE116" s="66" t="str">
        <f>IF('Completed'!$L$115&lt;&gt;"",'Completed'!$L$115,"")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IF('Completed'!$A$116&lt;&gt;"",'Completed'!$A$116,"")</f>
        <v>Super Sonico the Animation</v>
      </c>
      <c r="O117" s="28">
        <f>IF('Completed'!$B$116&lt;&gt;"",'Completed'!$B$116,"")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IF('Completed'!$C$116&lt;&gt;"",'Completed'!$C$116,"")</f>
        <v>5.5</v>
      </c>
      <c r="W117" s="53">
        <f>IF('Completed'!$D$116&lt;&gt;"",'Completed'!$D$116,"")</f>
        <v>7</v>
      </c>
      <c r="X117" s="53">
        <f>IF('Completed'!$E$116&lt;&gt;"",'Completed'!$E$116,"")</f>
        <v>4.5</v>
      </c>
      <c r="Y117" s="53">
        <f>IF('Completed'!$F$116&lt;&gt;"",'Completed'!$F$116,"")</f>
        <v>7.5</v>
      </c>
      <c r="Z117" s="65">
        <f>IF('Completed'!$G$116&lt;&gt;"",'Completed'!$G$116,"")</f>
        <v>6.8555276381909547</v>
      </c>
      <c r="AA117" s="75">
        <f>IF('Completed'!$H$116&lt;&gt;"",'Completed'!$H$116,"")</f>
        <v>6.8727959697732999</v>
      </c>
      <c r="AB117" s="54">
        <f>IF('Completed'!$I$116&lt;&gt;"",'Completed'!$I$116,"")</f>
        <v>41647</v>
      </c>
      <c r="AC117" s="54">
        <f>IF('Completed'!$J$116&lt;&gt;"",'Completed'!$J$116,"")</f>
        <v>41733</v>
      </c>
      <c r="AD117" s="66" t="str">
        <f>IF('Completed'!$K$116&lt;&gt;"",'Completed'!$K$116,"")</f>
        <v>Leila</v>
      </c>
      <c r="AE117" s="66" t="str">
        <f>IF('Completed'!$L$116&lt;&gt;"",'Completed'!$L$116,"")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IF('Completed'!$A$117&lt;&gt;"",'Completed'!$A$117,"")</f>
        <v>Yuru Yuri</v>
      </c>
      <c r="O118" s="28">
        <f>IF('Completed'!$B$117&lt;&gt;"",'Completed'!$B$117,"")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IF('Completed'!$C$117&lt;&gt;"",'Completed'!$C$117,"")</f>
        <v>2</v>
      </c>
      <c r="W118" s="53">
        <f>IF('Completed'!$D$117&lt;&gt;"",'Completed'!$D$117,"")</f>
        <v>7.5</v>
      </c>
      <c r="X118" s="53">
        <f>IF('Completed'!$E$117&lt;&gt;"",'Completed'!$E$117,"")</f>
        <v>9.5</v>
      </c>
      <c r="Y118" s="53">
        <f>IF('Completed'!$F$117&lt;&gt;"",'Completed'!$F$117,"")</f>
        <v>8</v>
      </c>
      <c r="Z118" s="65">
        <f>IF('Completed'!$G$117&lt;&gt;"",'Completed'!$G$117,"")</f>
        <v>6.8366834170854274</v>
      </c>
      <c r="AA118" s="75">
        <f>IF('Completed'!$H$117&lt;&gt;"",'Completed'!$H$117,"")</f>
        <v>6.8539042821158693</v>
      </c>
      <c r="AB118" s="54">
        <f>IF('Completed'!$I$117&lt;&gt;"",'Completed'!$I$117,"")</f>
        <v>41228</v>
      </c>
      <c r="AC118" s="54">
        <f>IF('Completed'!$J$117&lt;&gt;"",'Completed'!$J$117,"")</f>
        <v>41229</v>
      </c>
      <c r="AD118" s="66" t="str">
        <f>IF('Completed'!$K$117&lt;&gt;"",'Completed'!$K$117,"")</f>
        <v>Funami Yui</v>
      </c>
      <c r="AE118" s="66" t="str">
        <f>IF('Completed'!$L$117&lt;&gt;"",'Completed'!$L$117,"")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IF('Completed'!$A$118&lt;&gt;"",'Completed'!$A$118,"")</f>
        <v>Miss Monochrome</v>
      </c>
      <c r="O119" s="28">
        <f>IF('Completed'!$B$118&lt;&gt;"",'Completed'!$B$118,"")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IF('Completed'!$C$118&lt;&gt;"",'Completed'!$C$118,"")</f>
        <v>5</v>
      </c>
      <c r="W119" s="53">
        <f>IF('Completed'!$D$118&lt;&gt;"",'Completed'!$D$118,"")</f>
        <v>7.5</v>
      </c>
      <c r="X119" s="53">
        <f>IF('Completed'!$E$118&lt;&gt;"",'Completed'!$E$118,"")</f>
        <v>7.5</v>
      </c>
      <c r="Y119" s="53">
        <f>IF('Completed'!$F$118&lt;&gt;"",'Completed'!$F$118,"")</f>
        <v>6.5</v>
      </c>
      <c r="Z119" s="65">
        <f>IF('Completed'!$G$118&lt;&gt;"",'Completed'!$G$118,"")</f>
        <v>6.5414572864321618</v>
      </c>
      <c r="AA119" s="75">
        <f>IF('Completed'!$H$118&lt;&gt;"",'Completed'!$H$118,"")</f>
        <v>6.5579345088161212</v>
      </c>
      <c r="AB119" s="54">
        <f>IF('Completed'!$I$118&lt;&gt;"",'Completed'!$I$118,"")</f>
        <v>41550</v>
      </c>
      <c r="AC119" s="54">
        <f>IF('Completed'!$J$118&lt;&gt;"",'Completed'!$J$118,"")</f>
        <v>41634</v>
      </c>
      <c r="AD119" s="66" t="str">
        <f>IF('Completed'!$K$118&lt;&gt;"",'Completed'!$K$118,"")</f>
        <v>Miss Monochrome</v>
      </c>
      <c r="AE119" s="66" t="str">
        <f>IF('Completed'!$L$118&lt;&gt;"",'Completed'!$L$118,"")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IF('Completed'!$A$119&lt;&gt;"",'Completed'!$A$119,"")</f>
        <v>Kanojo no Flag wo Oraretara</v>
      </c>
      <c r="O120" s="28">
        <f>IF('Completed'!$B$119&lt;&gt;"",'Completed'!$B$119,"")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IF('Completed'!$C$119&lt;&gt;"",'Completed'!$C$119,"")</f>
        <v>6</v>
      </c>
      <c r="W120" s="53">
        <f>IF('Completed'!$D$119&lt;&gt;"",'Completed'!$D$119,"")</f>
        <v>7.5</v>
      </c>
      <c r="X120" s="53">
        <f>IF('Completed'!$E$119&lt;&gt;"",'Completed'!$E$119,"")</f>
        <v>6</v>
      </c>
      <c r="Y120" s="53">
        <f>IF('Completed'!$F$119&lt;&gt;"",'Completed'!$F$119,"")</f>
        <v>6</v>
      </c>
      <c r="Z120" s="65">
        <f>IF('Completed'!$G$119&lt;&gt;"",'Completed'!$G$119,"")</f>
        <v>6.4032663316582914</v>
      </c>
      <c r="AA120" s="75">
        <f>IF('Completed'!$H$119&lt;&gt;"",'Completed'!$H$119,"")</f>
        <v>6.4193954659949615</v>
      </c>
      <c r="AB120" s="54">
        <f>IF('Completed'!$I$119&lt;&gt;"",'Completed'!$I$119,"")</f>
        <v>41796</v>
      </c>
      <c r="AC120" s="54">
        <f>IF('Completed'!$J$119&lt;&gt;"",'Completed'!$J$119,"")</f>
        <v>41820</v>
      </c>
      <c r="AD120" s="66" t="str">
        <f>IF('Completed'!$K$119&lt;&gt;"",'Completed'!$K$119,"")</f>
        <v>Nanami Bladefield</v>
      </c>
      <c r="AE120" s="66" t="str">
        <f>IF('Completed'!$L$119&lt;&gt;"",'Completed'!$L$119,"")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IF('Completed'!$A$120&lt;&gt;"",'Completed'!$A$120,"")</f>
        <v>Namiuchigiwa no Muromi-san</v>
      </c>
      <c r="O121" s="28">
        <f>IF('Completed'!$B$120&lt;&gt;"",'Completed'!$B$120,"")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IF('Completed'!$C$120&lt;&gt;"",'Completed'!$C$120,"")</f>
        <v>3</v>
      </c>
      <c r="W121" s="53">
        <f>IF('Completed'!$D$120&lt;&gt;"",'Completed'!$D$120,"")</f>
        <v>6.5</v>
      </c>
      <c r="X121" s="53">
        <f>IF('Completed'!$E$120&lt;&gt;"",'Completed'!$E$120,"")</f>
        <v>6.5</v>
      </c>
      <c r="Y121" s="53">
        <f>IF('Completed'!$F$120&lt;&gt;"",'Completed'!$F$120,"")</f>
        <v>7.5</v>
      </c>
      <c r="Z121" s="65">
        <f>IF('Completed'!$G$120&lt;&gt;"",'Completed'!$G$120,"")</f>
        <v>6.358040201005025</v>
      </c>
      <c r="AA121" s="75">
        <f>IF('Completed'!$H$120&lt;&gt;"",'Completed'!$H$120,"")</f>
        <v>6.3740554156171276</v>
      </c>
      <c r="AB121" s="54">
        <f>IF('Completed'!$I$120&lt;&gt;"",'Completed'!$I$120,"")</f>
        <v>41448</v>
      </c>
      <c r="AC121" s="54">
        <f>IF('Completed'!$J$120&lt;&gt;"",'Completed'!$J$120,"")</f>
        <v>41455</v>
      </c>
      <c r="AD121" s="66" t="str">
        <f>IF('Completed'!$K$120&lt;&gt;"",'Completed'!$K$120,"")</f>
        <v>Levia-san</v>
      </c>
      <c r="AE121" s="66" t="str">
        <f>IF('Completed'!$L$120&lt;&gt;"",'Completed'!$L$120,"")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IF('Completed'!$A$121&lt;&gt;"",'Completed'!$A$121,"")</f>
        <v>Mangaka-san to Assistant-san to</v>
      </c>
      <c r="O122" s="28">
        <f>IF('Completed'!$B$121&lt;&gt;"",'Completed'!$B$121,"")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IF('Completed'!$C$121&lt;&gt;"",'Completed'!$C$121,"")</f>
        <v>5</v>
      </c>
      <c r="W122" s="53">
        <f>IF('Completed'!$D$121&lt;&gt;"",'Completed'!$D$121,"")</f>
        <v>6.5</v>
      </c>
      <c r="X122" s="53">
        <f>IF('Completed'!$E$121&lt;&gt;"",'Completed'!$E$121,"")</f>
        <v>8</v>
      </c>
      <c r="Y122" s="53">
        <f>IF('Completed'!$F$121&lt;&gt;"",'Completed'!$F$121,"")</f>
        <v>6.5</v>
      </c>
      <c r="Z122" s="65">
        <f>IF('Completed'!$G$121&lt;&gt;"",'Completed'!$G$121,"")</f>
        <v>6.2964824120603025</v>
      </c>
      <c r="AA122" s="75">
        <f>IF('Completed'!$H$121&lt;&gt;"",'Completed'!$H$121,"")</f>
        <v>6.3123425692695223</v>
      </c>
      <c r="AB122" s="54">
        <f>IF('Completed'!$I$121&lt;&gt;"",'Completed'!$I$121,"")</f>
        <v>41785</v>
      </c>
      <c r="AC122" s="54">
        <f>IF('Completed'!$J$121&lt;&gt;"",'Completed'!$J$121,"")</f>
        <v>41814</v>
      </c>
      <c r="AD122" s="66" t="str">
        <f>IF('Completed'!$K$121&lt;&gt;"",'Completed'!$K$121,"")</f>
        <v>Sahoto Ashisu</v>
      </c>
      <c r="AE122" s="66" t="str">
        <f>IF('Completed'!$L$121&lt;&gt;"",'Completed'!$L$121,"")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IF('Completed'!$A$122&lt;&gt;"",'Completed'!$A$122,"")</f>
        <v>Ore no Nounai Sentakushi ga, Gakuen Love Comedy wo Zenryoku de Jama Shiteiru</v>
      </c>
      <c r="O123" s="28">
        <f>IF('Completed'!$B$122&lt;&gt;"",'Completed'!$B$122,"")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IF('Completed'!$C$122&lt;&gt;"",'Completed'!$C$122,"")</f>
        <v>6.5</v>
      </c>
      <c r="W123" s="53">
        <f>IF('Completed'!$D$122&lt;&gt;"",'Completed'!$D$122,"")</f>
        <v>5.5</v>
      </c>
      <c r="X123" s="53">
        <f>IF('Completed'!$E$122&lt;&gt;"",'Completed'!$E$122,"")</f>
        <v>7.5</v>
      </c>
      <c r="Y123" s="53">
        <f>IF('Completed'!$F$122&lt;&gt;"",'Completed'!$F$122,"")</f>
        <v>6.5</v>
      </c>
      <c r="Z123" s="65">
        <f>IF('Completed'!$G$122&lt;&gt;"",'Completed'!$G$122,"")</f>
        <v>6.2788944723618094</v>
      </c>
      <c r="AA123" s="75">
        <f>IF('Completed'!$H$122&lt;&gt;"",'Completed'!$H$122,"")</f>
        <v>6.2947103274559195</v>
      </c>
      <c r="AB123" s="54">
        <f>IF('Completed'!$I$122&lt;&gt;"",'Completed'!$I$122,"")</f>
        <v>41560</v>
      </c>
      <c r="AC123" s="54">
        <f>IF('Completed'!$J$122&lt;&gt;"",'Completed'!$J$122,"")</f>
        <v>41618</v>
      </c>
      <c r="AD123" s="66" t="str">
        <f>IF('Completed'!$K$122&lt;&gt;"",'Completed'!$K$122,"")</f>
        <v>Chocolat</v>
      </c>
      <c r="AE123" s="66" t="str">
        <f>IF('Completed'!$L$122&lt;&gt;"",'Completed'!$L$122,"")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IF('Completed'!$A$123&lt;&gt;"",'Completed'!$A$123,"")</f>
        <v>Miyakawa-ke no Kuufuku</v>
      </c>
      <c r="O124" s="28">
        <f>IF('Completed'!$B$123&lt;&gt;"",'Completed'!$B$123,"")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IF('Completed'!$C$123&lt;&gt;"",'Completed'!$C$123,"")</f>
        <v>2.5</v>
      </c>
      <c r="W124" s="53">
        <f>IF('Completed'!$D$123&lt;&gt;"",'Completed'!$D$123,"")</f>
        <v>7.5</v>
      </c>
      <c r="X124" s="53">
        <f>IF('Completed'!$E$123&lt;&gt;"",'Completed'!$E$123,"")</f>
        <v>5.5</v>
      </c>
      <c r="Y124" s="53">
        <f>IF('Completed'!$F$123&lt;&gt;"",'Completed'!$F$123,"")</f>
        <v>6</v>
      </c>
      <c r="Z124" s="65">
        <f>IF('Completed'!$G$123&lt;&gt;"",'Completed'!$G$123,"")</f>
        <v>5.7374371859296485</v>
      </c>
      <c r="AA124" s="75">
        <f>IF('Completed'!$H$123&lt;&gt;"",'Completed'!$H$123,"")</f>
        <v>5.751889168765743</v>
      </c>
      <c r="AB124" s="54">
        <f>IF('Completed'!$I$123&lt;&gt;"",'Completed'!$I$123,"")</f>
        <v>41488</v>
      </c>
      <c r="AC124" s="54">
        <f>IF('Completed'!$J$123&lt;&gt;"",'Completed'!$J$123,"")</f>
        <v>41492</v>
      </c>
      <c r="AD124" s="66" t="str">
        <f>IF('Completed'!$K$123&lt;&gt;"",'Completed'!$K$123,"")</f>
        <v>Miyakawa Hikage</v>
      </c>
      <c r="AE124" s="66" t="str">
        <f>IF('Completed'!$L$123&lt;&gt;"",'Completed'!$L$123,"")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IF('Completed'!$A$124&lt;&gt;"",'Completed'!$A$124,"")</f>
        <v>Tamako Market</v>
      </c>
      <c r="O125" s="28">
        <f>IF('Completed'!$B$124&lt;&gt;"",'Completed'!$B$124,"")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IF('Completed'!$C$124&lt;&gt;"",'Completed'!$C$124,"")</f>
        <v>5.5</v>
      </c>
      <c r="W125" s="53">
        <f>IF('Completed'!$D$124&lt;&gt;"",'Completed'!$D$124,"")</f>
        <v>5.5</v>
      </c>
      <c r="X125" s="53">
        <f>IF('Completed'!$E$124&lt;&gt;"",'Completed'!$E$124,"")</f>
        <v>5</v>
      </c>
      <c r="Y125" s="53">
        <f>IF('Completed'!$F$124&lt;&gt;"",'Completed'!$F$124,"")</f>
        <v>6</v>
      </c>
      <c r="Z125" s="65">
        <f>IF('Completed'!$G$124&lt;&gt;"",'Completed'!$G$124,"")</f>
        <v>5.7261306532663312</v>
      </c>
      <c r="AA125" s="75">
        <f>IF('Completed'!$H$124&lt;&gt;"",'Completed'!$H$124,"")</f>
        <v>5.7405541561712843</v>
      </c>
      <c r="AB125" s="54">
        <f>IF('Completed'!$I$124&lt;&gt;"",'Completed'!$I$124,"")</f>
        <v>41302</v>
      </c>
      <c r="AC125" s="54">
        <f>IF('Completed'!$J$124&lt;&gt;"",'Completed'!$J$124,"")</f>
        <v>41360</v>
      </c>
      <c r="AD125" s="66" t="str">
        <f>IF('Completed'!$K$124&lt;&gt;"",'Completed'!$K$124,"")</f>
        <v>Makino Kanna</v>
      </c>
      <c r="AE125" s="66" t="str">
        <f>IF('Completed'!$L$124&lt;&gt;"",'Completed'!$L$124,"")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IF('Completed'!$A$125&lt;&gt;"",'Completed'!$A$125,"")</f>
        <v>Shiba Inuko-san</v>
      </c>
      <c r="O126" s="28">
        <f>IF('Completed'!$B$125&lt;&gt;"",'Completed'!$B$125,"")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IF('Completed'!$C$125&lt;&gt;"",'Completed'!$C$125,"")</f>
        <v>1.5</v>
      </c>
      <c r="W126" s="53">
        <f>IF('Completed'!$D$125&lt;&gt;"",'Completed'!$D$125,"")</f>
        <v>5</v>
      </c>
      <c r="X126" s="53">
        <f>IF('Completed'!$E$125&lt;&gt;"",'Completed'!$E$125,"")</f>
        <v>4</v>
      </c>
      <c r="Y126" s="53">
        <f>IF('Completed'!$F$125&lt;&gt;"",'Completed'!$F$125,"")</f>
        <v>6.5</v>
      </c>
      <c r="Z126" s="65">
        <f>IF('Completed'!$G$125&lt;&gt;"",'Completed'!$G$125,"")</f>
        <v>5.0603015075376883</v>
      </c>
      <c r="AA126" s="75">
        <f>IF('Completed'!$H$125&lt;&gt;"",'Completed'!$H$125,"")</f>
        <v>5.0730478589420649</v>
      </c>
      <c r="AB126" s="54">
        <f>IF('Completed'!$I$125&lt;&gt;"",'Completed'!$I$125,"")</f>
        <v>41705</v>
      </c>
      <c r="AC126" s="54">
        <f>IF('Completed'!$J$125&lt;&gt;"",'Completed'!$J$125,"")</f>
        <v>41705</v>
      </c>
      <c r="AD126" s="66" t="str">
        <f>IF('Completed'!$K$125&lt;&gt;"",'Completed'!$K$125,"")</f>
        <v>Ishibashi Chako</v>
      </c>
      <c r="AE126" s="66" t="str">
        <f>IF('Completed'!$L$125&lt;&gt;"",'Completed'!$L$125,"")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IF('Completed'!$A$126&lt;&gt;"",'Completed'!$A$126,"")</f>
        <v>Oku-sama wa Joushikousei</v>
      </c>
      <c r="O127" s="28">
        <f>IF('Completed'!$B$126&lt;&gt;"",'Completed'!$B$126,"")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IF('Completed'!$C$126&lt;&gt;"",'Completed'!$C$126,"")</f>
        <v>3.5</v>
      </c>
      <c r="W127" s="53">
        <f>IF('Completed'!$D$126&lt;&gt;"",'Completed'!$D$126,"")</f>
        <v>5.5</v>
      </c>
      <c r="X127" s="53">
        <f>IF('Completed'!$E$126&lt;&gt;"",'Completed'!$E$126,"")</f>
        <v>6</v>
      </c>
      <c r="Y127" s="53">
        <f>IF('Completed'!$F$126&lt;&gt;"",'Completed'!$F$126,"")</f>
        <v>5</v>
      </c>
      <c r="Z127" s="65">
        <f>IF('Completed'!$G$126&lt;&gt;"",'Completed'!$G$126,"")</f>
        <v>4.9070351758793969</v>
      </c>
      <c r="AA127" s="75">
        <f>IF('Completed'!$H$126&lt;&gt;"",'Completed'!$H$126,"")</f>
        <v>4.9193954659949615</v>
      </c>
      <c r="AB127" s="54">
        <f>IF('Completed'!$I$126&lt;&gt;"",'Completed'!$I$126,"")</f>
        <v>40674</v>
      </c>
      <c r="AC127" s="54">
        <f>IF('Completed'!$J$126&lt;&gt;"",'Completed'!$J$126,"")</f>
        <v>40675</v>
      </c>
      <c r="AD127" s="66" t="str">
        <f>IF('Completed'!$K$126&lt;&gt;"",'Completed'!$K$126,"")</f>
        <v>--</v>
      </c>
      <c r="AE127" s="66" t="str">
        <f>IF('Completed'!$L$126&lt;&gt;"",'Completed'!$L$126,"")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IF('Completed'!$A$127&lt;&gt;"",'Completed'!$A$127,"")</f>
        <v>Onii-chan dakedo Ai sae Areba Kankeinai yone!</v>
      </c>
      <c r="O128" s="28">
        <f>IF('Completed'!$B$127&lt;&gt;"",'Completed'!$B$127,"")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IF('Completed'!$C$127&lt;&gt;"",'Completed'!$C$127,"")</f>
        <v>3</v>
      </c>
      <c r="W128" s="53">
        <f>IF('Completed'!$D$127&lt;&gt;"",'Completed'!$D$127,"")</f>
        <v>2</v>
      </c>
      <c r="X128" s="53">
        <f>IF('Completed'!$E$127&lt;&gt;"",'Completed'!$E$127,"")</f>
        <v>7</v>
      </c>
      <c r="Y128" s="53">
        <f>IF('Completed'!$F$127&lt;&gt;"",'Completed'!$F$127,"")</f>
        <v>3</v>
      </c>
      <c r="Z128" s="65">
        <f>IF('Completed'!$G$127&lt;&gt;"",'Completed'!$G$127,"")</f>
        <v>2.9221105527638187</v>
      </c>
      <c r="AA128" s="75">
        <f>IF('Completed'!$H$127&lt;&gt;"",'Completed'!$H$127,"")</f>
        <v>2.9294710327455915</v>
      </c>
      <c r="AB128" s="54">
        <f>IF('Completed'!$I$127&lt;&gt;"",'Completed'!$I$127,"")</f>
        <v>41254</v>
      </c>
      <c r="AC128" s="54">
        <f>IF('Completed'!$J$127&lt;&gt;"",'Completed'!$J$127,"")</f>
        <v>41264</v>
      </c>
      <c r="AD128" s="66" t="str">
        <f>IF('Completed'!$K$127&lt;&gt;"",'Completed'!$K$127,"")</f>
        <v>Sawatari Ginbei</v>
      </c>
      <c r="AE128" s="66" t="str">
        <f>IF('Completed'!$L$127&lt;&gt;"",'Completed'!$L$127,"")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IF('Completed'!$A$128&lt;&gt;"",'Completed'!$A$128,"")</f>
        <v>Cyclops Shoujo Saipu</v>
      </c>
      <c r="O129" s="28">
        <f>IF('Completed'!$B$128&lt;&gt;"",'Completed'!$B$128,"")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IF('Completed'!$C$128&lt;&gt;"",'Completed'!$C$128,"")</f>
        <v>1.5</v>
      </c>
      <c r="W129" s="53">
        <f>IF('Completed'!$D$128&lt;&gt;"",'Completed'!$D$128,"")</f>
        <v>2</v>
      </c>
      <c r="X129" s="53">
        <f>IF('Completed'!$E$128&lt;&gt;"",'Completed'!$E$128,"")</f>
        <v>4</v>
      </c>
      <c r="Y129" s="53">
        <f>IF('Completed'!$F$128&lt;&gt;"",'Completed'!$F$128,"")</f>
        <v>3</v>
      </c>
      <c r="Z129" s="65">
        <f>IF('Completed'!$G$128&lt;&gt;"",'Completed'!$G$128,"")</f>
        <v>2.5037688442211055</v>
      </c>
      <c r="AA129" s="75">
        <f>IF('Completed'!$H$128&lt;&gt;"",'Completed'!$H$128,"")</f>
        <v>2.5100755667506296</v>
      </c>
      <c r="AB129" s="54">
        <f>IF('Completed'!$I$128&lt;&gt;"",'Completed'!$I$128,"")</f>
        <v>41355</v>
      </c>
      <c r="AC129" s="54">
        <f>IF('Completed'!$J$128&lt;&gt;"",'Completed'!$J$128,"")</f>
        <v>41451</v>
      </c>
      <c r="AD129" s="66" t="str">
        <f>IF('Completed'!$K$128&lt;&gt;"",'Completed'!$K$128,"")</f>
        <v>--</v>
      </c>
      <c r="AE129" s="66" t="str">
        <f>IF('Completed'!$L$128&lt;&gt;"",'Completed'!$L$128,"")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IF('Completed'!$A$129&lt;&gt;"",'Completed'!$A$129,"")</f>
        <v/>
      </c>
      <c r="O130" s="28" t="str">
        <f>IF('Completed'!$B$129&lt;&gt;"",'Completed'!$B$129,"")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IF('Completed'!$C$129&lt;&gt;"",'Completed'!$C$129,"")</f>
        <v/>
      </c>
      <c r="W130" s="53" t="str">
        <f>IF('Completed'!$D$129&lt;&gt;"",'Completed'!$D$129,"")</f>
        <v/>
      </c>
      <c r="X130" s="53" t="str">
        <f>IF('Completed'!$E$129&lt;&gt;"",'Completed'!$E$129,"")</f>
        <v/>
      </c>
      <c r="Y130" s="53" t="str">
        <f>IF('Completed'!$F$129&lt;&gt;"",'Completed'!$F$129,"")</f>
        <v/>
      </c>
      <c r="Z130" s="65" t="str">
        <f>IF('Completed'!$G$129&lt;&gt;"",'Completed'!$G$129,"")</f>
        <v/>
      </c>
      <c r="AA130" s="75" t="str">
        <f>IF('Completed'!$H$129&lt;&gt;"",'Completed'!$H$129,"")</f>
        <v/>
      </c>
      <c r="AB130" s="54" t="str">
        <f>IF('Completed'!$I$129&lt;&gt;"",'Completed'!$I$129,"")</f>
        <v/>
      </c>
      <c r="AC130" s="54" t="str">
        <f>IF('Completed'!$J$129&lt;&gt;"",'Completed'!$J$129,"")</f>
        <v/>
      </c>
      <c r="AD130" s="66" t="str">
        <f>IF('Completed'!$K$129&lt;&gt;"",'Completed'!$K$129,"")</f>
        <v/>
      </c>
      <c r="AE130" s="66" t="str">
        <f>IF('Completed'!$L$129&lt;&gt;"",'Completed'!$L$129,"")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IF('Completed'!$A$130&lt;&gt;"",'Completed'!$A$130,"")</f>
        <v/>
      </c>
      <c r="O131" s="28" t="str">
        <f>IF('Completed'!$B$130&lt;&gt;"",'Completed'!$B$130,"")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IF('Completed'!$C$130&lt;&gt;"",'Completed'!$C$130,"")</f>
        <v/>
      </c>
      <c r="W131" s="53" t="str">
        <f>IF('Completed'!$D$130&lt;&gt;"",'Completed'!$D$130,"")</f>
        <v/>
      </c>
      <c r="X131" s="53" t="str">
        <f>IF('Completed'!$E$130&lt;&gt;"",'Completed'!$E$130,"")</f>
        <v/>
      </c>
      <c r="Y131" s="53" t="str">
        <f>IF('Completed'!$F$130&lt;&gt;"",'Completed'!$F$130,"")</f>
        <v/>
      </c>
      <c r="Z131" s="65" t="str">
        <f>IF('Completed'!$G$130&lt;&gt;"",'Completed'!$G$130,"")</f>
        <v/>
      </c>
      <c r="AA131" s="75" t="str">
        <f>IF('Completed'!$H$130&lt;&gt;"",'Completed'!$H$130,"")</f>
        <v/>
      </c>
      <c r="AB131" s="54" t="str">
        <f>IF('Completed'!$I$130&lt;&gt;"",'Completed'!$I$130,"")</f>
        <v/>
      </c>
      <c r="AC131" s="54" t="str">
        <f>IF('Completed'!$J$130&lt;&gt;"",'Completed'!$J$130,"")</f>
        <v/>
      </c>
      <c r="AD131" s="66" t="str">
        <f>IF('Completed'!$K$130&lt;&gt;"",'Completed'!$K$130,"")</f>
        <v/>
      </c>
      <c r="AE131" s="66" t="str">
        <f>IF('Completed'!$L$130&lt;&gt;"",'Completed'!$L$130,"")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IF('Completed'!$A$131&lt;&gt;"",'Completed'!$A$131,"")</f>
        <v/>
      </c>
      <c r="O132" s="28" t="str">
        <f>IF('Completed'!$B$131&lt;&gt;"",'Completed'!$B$131,"")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IF('Completed'!$C$131&lt;&gt;"",'Completed'!$C$131,"")</f>
        <v/>
      </c>
      <c r="W132" s="53" t="str">
        <f>IF('Completed'!$D$131&lt;&gt;"",'Completed'!$D$131,"")</f>
        <v/>
      </c>
      <c r="X132" s="53" t="str">
        <f>IF('Completed'!$E$131&lt;&gt;"",'Completed'!$E$131,"")</f>
        <v/>
      </c>
      <c r="Y132" s="53" t="str">
        <f>IF('Completed'!$F$131&lt;&gt;"",'Completed'!$F$131,"")</f>
        <v/>
      </c>
      <c r="Z132" s="65" t="str">
        <f>IF('Completed'!$G$131&lt;&gt;"",'Completed'!$G$131,"")</f>
        <v/>
      </c>
      <c r="AA132" s="75" t="str">
        <f>IF('Completed'!$H$131&lt;&gt;"",'Completed'!$H$131,"")</f>
        <v/>
      </c>
      <c r="AB132" s="54" t="str">
        <f>IF('Completed'!$I$131&lt;&gt;"",'Completed'!$I$131,"")</f>
        <v/>
      </c>
      <c r="AC132" s="54" t="str">
        <f>IF('Completed'!$J$131&lt;&gt;"",'Completed'!$J$131,"")</f>
        <v/>
      </c>
      <c r="AD132" s="66" t="str">
        <f>IF('Completed'!$K$131&lt;&gt;"",'Completed'!$K$131,"")</f>
        <v/>
      </c>
      <c r="AE132" s="66" t="str">
        <f>IF('Completed'!$L$131&lt;&gt;"",'Completed'!$L$131,"")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IF('Completed'!$A$132&lt;&gt;"",'Completed'!$A$132,"")</f>
        <v/>
      </c>
      <c r="O133" s="28" t="str">
        <f>IF('Completed'!$B$132&lt;&gt;"",'Completed'!$B$132,"")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IF('Completed'!$C$132&lt;&gt;"",'Completed'!$C$132,"")</f>
        <v/>
      </c>
      <c r="W133" s="53" t="str">
        <f>IF('Completed'!$D$132&lt;&gt;"",'Completed'!$D$132,"")</f>
        <v/>
      </c>
      <c r="X133" s="53" t="str">
        <f>IF('Completed'!$E$132&lt;&gt;"",'Completed'!$E$132,"")</f>
        <v/>
      </c>
      <c r="Y133" s="53" t="str">
        <f>IF('Completed'!$F$132&lt;&gt;"",'Completed'!$F$132,"")</f>
        <v/>
      </c>
      <c r="Z133" s="65" t="str">
        <f>IF('Completed'!$G$132&lt;&gt;"",'Completed'!$G$132,"")</f>
        <v/>
      </c>
      <c r="AA133" s="75" t="str">
        <f>IF('Completed'!$H$132&lt;&gt;"",'Completed'!$H$132,"")</f>
        <v/>
      </c>
      <c r="AB133" s="54" t="str">
        <f>IF('Completed'!$I$132&lt;&gt;"",'Completed'!$I$132,"")</f>
        <v/>
      </c>
      <c r="AC133" s="54" t="str">
        <f>IF('Completed'!$J$132&lt;&gt;"",'Completed'!$J$132,"")</f>
        <v/>
      </c>
      <c r="AD133" s="66" t="str">
        <f>IF('Completed'!$K$132&lt;&gt;"",'Completed'!$K$132,"")</f>
        <v/>
      </c>
      <c r="AE133" s="66" t="str">
        <f>IF('Completed'!$L$132&lt;&gt;"",'Completed'!$L$132,"")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IF('Completed'!$A$133&lt;&gt;"",'Completed'!$A$133,"")</f>
        <v/>
      </c>
      <c r="O134" s="28" t="str">
        <f>IF('Completed'!$B$133&lt;&gt;"",'Completed'!$B$133,"")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IF('Completed'!$C$133&lt;&gt;"",'Completed'!$C$133,"")</f>
        <v/>
      </c>
      <c r="W134" s="53" t="str">
        <f>IF('Completed'!$D$133&lt;&gt;"",'Completed'!$D$133,"")</f>
        <v/>
      </c>
      <c r="X134" s="53" t="str">
        <f>IF('Completed'!$E$133&lt;&gt;"",'Completed'!$E$133,"")</f>
        <v/>
      </c>
      <c r="Y134" s="53" t="str">
        <f>IF('Completed'!$F$133&lt;&gt;"",'Completed'!$F$133,"")</f>
        <v/>
      </c>
      <c r="Z134" s="65" t="str">
        <f>IF('Completed'!$G$133&lt;&gt;"",'Completed'!$G$133,"")</f>
        <v/>
      </c>
      <c r="AA134" s="75" t="str">
        <f>IF('Completed'!$H$133&lt;&gt;"",'Completed'!$H$133,"")</f>
        <v/>
      </c>
      <c r="AB134" s="54" t="str">
        <f>IF('Completed'!$I$133&lt;&gt;"",'Completed'!$I$133,"")</f>
        <v/>
      </c>
      <c r="AC134" s="54" t="str">
        <f>IF('Completed'!$J$133&lt;&gt;"",'Completed'!$J$133,"")</f>
        <v/>
      </c>
      <c r="AD134" s="66" t="str">
        <f>IF('Completed'!$K$133&lt;&gt;"",'Completed'!$K$133,"")</f>
        <v/>
      </c>
      <c r="AE134" s="66" t="str">
        <f>IF('Completed'!$L$133&lt;&gt;"",'Completed'!$L$133,"")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IF('Completed'!$A$134&lt;&gt;"",'Completed'!$A$134,"")</f>
        <v/>
      </c>
      <c r="O135" s="28" t="str">
        <f>IF('Completed'!$B$134&lt;&gt;"",'Completed'!$B$134,"")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IF('Completed'!$C$134&lt;&gt;"",'Completed'!$C$134,"")</f>
        <v/>
      </c>
      <c r="W135" s="53" t="str">
        <f>IF('Completed'!$D$134&lt;&gt;"",'Completed'!$D$134,"")</f>
        <v/>
      </c>
      <c r="X135" s="53" t="str">
        <f>IF('Completed'!$E$134&lt;&gt;"",'Completed'!$E$134,"")</f>
        <v/>
      </c>
      <c r="Y135" s="53" t="str">
        <f>IF('Completed'!$F$134&lt;&gt;"",'Completed'!$F$134,"")</f>
        <v/>
      </c>
      <c r="Z135" s="65" t="str">
        <f>IF('Completed'!$G$134&lt;&gt;"",'Completed'!$G$134,"")</f>
        <v/>
      </c>
      <c r="AA135" s="75" t="str">
        <f>IF('Completed'!$H$134&lt;&gt;"",'Completed'!$H$134,"")</f>
        <v/>
      </c>
      <c r="AB135" s="54" t="str">
        <f>IF('Completed'!$I$134&lt;&gt;"",'Completed'!$I$134,"")</f>
        <v/>
      </c>
      <c r="AC135" s="54" t="str">
        <f>IF('Completed'!$J$134&lt;&gt;"",'Completed'!$J$134,"")</f>
        <v/>
      </c>
      <c r="AD135" s="66" t="str">
        <f>IF('Completed'!$K$134&lt;&gt;"",'Completed'!$K$134,"")</f>
        <v/>
      </c>
      <c r="AE135" s="66" t="str">
        <f>IF('Completed'!$L$134&lt;&gt;"",'Completed'!$L$134,"")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IF('Completed'!$A$135&lt;&gt;"",'Completed'!$A$135,"")</f>
        <v/>
      </c>
      <c r="O136" s="28" t="str">
        <f>IF('Completed'!$B$135&lt;&gt;"",'Completed'!$B$135,"")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IF('Completed'!$C$135&lt;&gt;"",'Completed'!$C$135,"")</f>
        <v/>
      </c>
      <c r="W136" s="53" t="str">
        <f>IF('Completed'!$D$135&lt;&gt;"",'Completed'!$D$135,"")</f>
        <v/>
      </c>
      <c r="X136" s="53" t="str">
        <f>IF('Completed'!$E$135&lt;&gt;"",'Completed'!$E$135,"")</f>
        <v/>
      </c>
      <c r="Y136" s="53" t="str">
        <f>IF('Completed'!$F$135&lt;&gt;"",'Completed'!$F$135,"")</f>
        <v/>
      </c>
      <c r="Z136" s="65" t="str">
        <f>IF('Completed'!$G$135&lt;&gt;"",'Completed'!$G$135,"")</f>
        <v/>
      </c>
      <c r="AA136" s="75" t="str">
        <f>IF('Completed'!$H$135&lt;&gt;"",'Completed'!$H$135,"")</f>
        <v/>
      </c>
      <c r="AB136" s="54" t="str">
        <f>IF('Completed'!$I$135&lt;&gt;"",'Completed'!$I$135,"")</f>
        <v/>
      </c>
      <c r="AC136" s="54" t="str">
        <f>IF('Completed'!$J$135&lt;&gt;"",'Completed'!$J$135,"")</f>
        <v/>
      </c>
      <c r="AD136" s="66" t="str">
        <f>IF('Completed'!$K$135&lt;&gt;"",'Completed'!$K$135,"")</f>
        <v/>
      </c>
      <c r="AE136" s="66" t="str">
        <f>IF('Completed'!$L$135&lt;&gt;"",'Completed'!$L$135,"")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IF('Completed'!$A$136&lt;&gt;"",'Completed'!$A$136,"")</f>
        <v/>
      </c>
      <c r="O137" s="28" t="str">
        <f>IF('Completed'!$B$136&lt;&gt;"",'Completed'!$B$136,"")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IF('Completed'!$C$136&lt;&gt;"",'Completed'!$C$136,"")</f>
        <v/>
      </c>
      <c r="W137" s="53" t="str">
        <f>IF('Completed'!$D$136&lt;&gt;"",'Completed'!$D$136,"")</f>
        <v/>
      </c>
      <c r="X137" s="53" t="str">
        <f>IF('Completed'!$E$136&lt;&gt;"",'Completed'!$E$136,"")</f>
        <v/>
      </c>
      <c r="Y137" s="53" t="str">
        <f>IF('Completed'!$F$136&lt;&gt;"",'Completed'!$F$136,"")</f>
        <v/>
      </c>
      <c r="Z137" s="65" t="str">
        <f>IF('Completed'!$G$136&lt;&gt;"",'Completed'!$G$136,"")</f>
        <v/>
      </c>
      <c r="AA137" s="75" t="str">
        <f>IF('Completed'!$H$136&lt;&gt;"",'Completed'!$H$136,"")</f>
        <v/>
      </c>
      <c r="AB137" s="54" t="str">
        <f>IF('Completed'!$I$136&lt;&gt;"",'Completed'!$I$136,"")</f>
        <v/>
      </c>
      <c r="AC137" s="54" t="str">
        <f>IF('Completed'!$J$136&lt;&gt;"",'Completed'!$J$136,"")</f>
        <v/>
      </c>
      <c r="AD137" s="66" t="str">
        <f>IF('Completed'!$K$136&lt;&gt;"",'Completed'!$K$136,"")</f>
        <v/>
      </c>
      <c r="AE137" s="66" t="str">
        <f>IF('Completed'!$L$136&lt;&gt;"",'Completed'!$L$136,"")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IF('Completed'!$A$137&lt;&gt;"",'Completed'!$A$137,"")</f>
        <v/>
      </c>
      <c r="O138" s="28" t="str">
        <f>IF('Completed'!$B$137&lt;&gt;"",'Completed'!$B$137,"")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IF('Completed'!$C$137&lt;&gt;"",'Completed'!$C$137,"")</f>
        <v/>
      </c>
      <c r="W138" s="53" t="str">
        <f>IF('Completed'!$D$137&lt;&gt;"",'Completed'!$D$137,"")</f>
        <v/>
      </c>
      <c r="X138" s="53" t="str">
        <f>IF('Completed'!$E$137&lt;&gt;"",'Completed'!$E$137,"")</f>
        <v/>
      </c>
      <c r="Y138" s="53" t="str">
        <f>IF('Completed'!$F$137&lt;&gt;"",'Completed'!$F$137,"")</f>
        <v/>
      </c>
      <c r="Z138" s="65" t="str">
        <f>IF('Completed'!$G$137&lt;&gt;"",'Completed'!$G$137,"")</f>
        <v/>
      </c>
      <c r="AA138" s="75" t="str">
        <f>IF('Completed'!$H$137&lt;&gt;"",'Completed'!$H$137,"")</f>
        <v/>
      </c>
      <c r="AB138" s="54" t="str">
        <f>IF('Completed'!$I$137&lt;&gt;"",'Completed'!$I$137,"")</f>
        <v/>
      </c>
      <c r="AC138" s="54" t="str">
        <f>IF('Completed'!$J$137&lt;&gt;"",'Completed'!$J$137,"")</f>
        <v/>
      </c>
      <c r="AD138" s="66" t="str">
        <f>IF('Completed'!$K$137&lt;&gt;"",'Completed'!$K$137,"")</f>
        <v/>
      </c>
      <c r="AE138" s="66" t="str">
        <f>IF('Completed'!$L$137&lt;&gt;"",'Completed'!$L$137,"")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IF('Completed'!$A$138&lt;&gt;"",'Completed'!$A$138,"")</f>
        <v/>
      </c>
      <c r="O139" s="28" t="str">
        <f>IF('Completed'!$B$138&lt;&gt;"",'Completed'!$B$138,"")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IF('Completed'!$C$138&lt;&gt;"",'Completed'!$C$138,"")</f>
        <v/>
      </c>
      <c r="W139" s="53" t="str">
        <f>IF('Completed'!$D$138&lt;&gt;"",'Completed'!$D$138,"")</f>
        <v/>
      </c>
      <c r="X139" s="53" t="str">
        <f>IF('Completed'!$E$138&lt;&gt;"",'Completed'!$E$138,"")</f>
        <v/>
      </c>
      <c r="Y139" s="53" t="str">
        <f>IF('Completed'!$F$138&lt;&gt;"",'Completed'!$F$138,"")</f>
        <v/>
      </c>
      <c r="Z139" s="65" t="str">
        <f>IF('Completed'!$G$138&lt;&gt;"",'Completed'!$G$138,"")</f>
        <v/>
      </c>
      <c r="AA139" s="75" t="str">
        <f>IF('Completed'!$H$138&lt;&gt;"",'Completed'!$H$138,"")</f>
        <v/>
      </c>
      <c r="AB139" s="54" t="str">
        <f>IF('Completed'!$I$138&lt;&gt;"",'Completed'!$I$138,"")</f>
        <v/>
      </c>
      <c r="AC139" s="54" t="str">
        <f>IF('Completed'!$J$138&lt;&gt;"",'Completed'!$J$138,"")</f>
        <v/>
      </c>
      <c r="AD139" s="66" t="str">
        <f>IF('Completed'!$K$138&lt;&gt;"",'Completed'!$K$138,"")</f>
        <v/>
      </c>
      <c r="AE139" s="66" t="str">
        <f>IF('Completed'!$L$138&lt;&gt;"",'Completed'!$L$138,"")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IF('Completed'!$A$139&lt;&gt;"",'Completed'!$A$139,"")</f>
        <v/>
      </c>
      <c r="O140" s="28" t="str">
        <f>IF('Completed'!$B$139&lt;&gt;"",'Completed'!$B$139,"")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IF('Completed'!$C$139&lt;&gt;"",'Completed'!$C$139,"")</f>
        <v/>
      </c>
      <c r="W140" s="53" t="str">
        <f>IF('Completed'!$D$139&lt;&gt;"",'Completed'!$D$139,"")</f>
        <v/>
      </c>
      <c r="X140" s="53" t="str">
        <f>IF('Completed'!$E$139&lt;&gt;"",'Completed'!$E$139,"")</f>
        <v/>
      </c>
      <c r="Y140" s="53" t="str">
        <f>IF('Completed'!$F$139&lt;&gt;"",'Completed'!$F$139,"")</f>
        <v/>
      </c>
      <c r="Z140" s="65" t="str">
        <f>IF('Completed'!$G$139&lt;&gt;"",'Completed'!$G$139,"")</f>
        <v/>
      </c>
      <c r="AA140" s="75" t="str">
        <f>IF('Completed'!$H$139&lt;&gt;"",'Completed'!$H$139,"")</f>
        <v/>
      </c>
      <c r="AB140" s="54" t="str">
        <f>IF('Completed'!$I$139&lt;&gt;"",'Completed'!$I$139,"")</f>
        <v/>
      </c>
      <c r="AC140" s="54" t="str">
        <f>IF('Completed'!$J$139&lt;&gt;"",'Completed'!$J$139,"")</f>
        <v/>
      </c>
      <c r="AD140" s="66" t="str">
        <f>IF('Completed'!$K$139&lt;&gt;"",'Completed'!$K$139,"")</f>
        <v/>
      </c>
      <c r="AE140" s="66" t="str">
        <f>IF('Completed'!$L$139&lt;&gt;"",'Completed'!$L$139,"")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IF('Completed'!$A$140&lt;&gt;"",'Completed'!$A$140,"")</f>
        <v/>
      </c>
      <c r="O141" s="28" t="str">
        <f>IF('Completed'!$B$140&lt;&gt;"",'Completed'!$B$140,"")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IF('Completed'!$C$140&lt;&gt;"",'Completed'!$C$140,"")</f>
        <v/>
      </c>
      <c r="W141" s="53" t="str">
        <f>IF('Completed'!$D$140&lt;&gt;"",'Completed'!$D$140,"")</f>
        <v/>
      </c>
      <c r="X141" s="53" t="str">
        <f>IF('Completed'!$E$140&lt;&gt;"",'Completed'!$E$140,"")</f>
        <v/>
      </c>
      <c r="Y141" s="53" t="str">
        <f>IF('Completed'!$F$140&lt;&gt;"",'Completed'!$F$140,"")</f>
        <v/>
      </c>
      <c r="Z141" s="65" t="str">
        <f>IF('Completed'!$G$140&lt;&gt;"",'Completed'!$G$140,"")</f>
        <v/>
      </c>
      <c r="AA141" s="75" t="str">
        <f>IF('Completed'!$H$140&lt;&gt;"",'Completed'!$H$140,"")</f>
        <v/>
      </c>
      <c r="AB141" s="54" t="str">
        <f>IF('Completed'!$I$140&lt;&gt;"",'Completed'!$I$140,"")</f>
        <v/>
      </c>
      <c r="AC141" s="54" t="str">
        <f>IF('Completed'!$J$140&lt;&gt;"",'Completed'!$J$140,"")</f>
        <v/>
      </c>
      <c r="AD141" s="66" t="str">
        <f>IF('Completed'!$K$140&lt;&gt;"",'Completed'!$K$140,"")</f>
        <v/>
      </c>
      <c r="AE141" s="66" t="str">
        <f>IF('Completed'!$L$140&lt;&gt;"",'Completed'!$L$140,"")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IF('Completed'!$A$141&lt;&gt;"",'Completed'!$A$141,"")</f>
        <v/>
      </c>
      <c r="O142" s="28" t="str">
        <f>IF('Completed'!$B$141&lt;&gt;"",'Completed'!$B$141,"")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IF('Completed'!$C$141&lt;&gt;"",'Completed'!$C$141,"")</f>
        <v/>
      </c>
      <c r="W142" s="53" t="str">
        <f>IF('Completed'!$D$141&lt;&gt;"",'Completed'!$D$141,"")</f>
        <v/>
      </c>
      <c r="X142" s="53" t="str">
        <f>IF('Completed'!$E$141&lt;&gt;"",'Completed'!$E$141,"")</f>
        <v/>
      </c>
      <c r="Y142" s="53" t="str">
        <f>IF('Completed'!$F$141&lt;&gt;"",'Completed'!$F$141,"")</f>
        <v/>
      </c>
      <c r="Z142" s="65" t="str">
        <f>IF('Completed'!$G$141&lt;&gt;"",'Completed'!$G$141,"")</f>
        <v/>
      </c>
      <c r="AA142" s="75" t="str">
        <f>IF('Completed'!$H$141&lt;&gt;"",'Completed'!$H$141,"")</f>
        <v/>
      </c>
      <c r="AB142" s="54" t="str">
        <f>IF('Completed'!$I$141&lt;&gt;"",'Completed'!$I$141,"")</f>
        <v/>
      </c>
      <c r="AC142" s="54" t="str">
        <f>IF('Completed'!$J$141&lt;&gt;"",'Completed'!$J$141,"")</f>
        <v/>
      </c>
      <c r="AD142" s="66" t="str">
        <f>IF('Completed'!$K$141&lt;&gt;"",'Completed'!$K$141,"")</f>
        <v/>
      </c>
      <c r="AE142" s="66" t="str">
        <f>IF('Completed'!$L$141&lt;&gt;"",'Completed'!$L$141,"")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IF('Completed'!$A$142&lt;&gt;"",'Completed'!$A$142,"")</f>
        <v/>
      </c>
      <c r="O143" s="28" t="str">
        <f>IF('Completed'!$B$142&lt;&gt;"",'Completed'!$B$142,"")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IF('Completed'!$C$142&lt;&gt;"",'Completed'!$C$142,"")</f>
        <v/>
      </c>
      <c r="W143" s="53" t="str">
        <f>IF('Completed'!$D$142&lt;&gt;"",'Completed'!$D$142,"")</f>
        <v/>
      </c>
      <c r="X143" s="53" t="str">
        <f>IF('Completed'!$E$142&lt;&gt;"",'Completed'!$E$142,"")</f>
        <v/>
      </c>
      <c r="Y143" s="53" t="str">
        <f>IF('Completed'!$F$142&lt;&gt;"",'Completed'!$F$142,"")</f>
        <v/>
      </c>
      <c r="Z143" s="65" t="str">
        <f>IF('Completed'!$G$142&lt;&gt;"",'Completed'!$G$142,"")</f>
        <v/>
      </c>
      <c r="AA143" s="75" t="str">
        <f>IF('Completed'!$H$142&lt;&gt;"",'Completed'!$H$142,"")</f>
        <v/>
      </c>
      <c r="AB143" s="54" t="str">
        <f>IF('Completed'!$I$142&lt;&gt;"",'Completed'!$I$142,"")</f>
        <v/>
      </c>
      <c r="AC143" s="54" t="str">
        <f>IF('Completed'!$J$142&lt;&gt;"",'Completed'!$J$142,"")</f>
        <v/>
      </c>
      <c r="AD143" s="66" t="str">
        <f>IF('Completed'!$K$142&lt;&gt;"",'Completed'!$K$142,"")</f>
        <v/>
      </c>
      <c r="AE143" s="66" t="str">
        <f>IF('Completed'!$L$142&lt;&gt;"",'Completed'!$L$142,"")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IF('Completed'!$A$143&lt;&gt;"",'Completed'!$A$143,"")</f>
        <v/>
      </c>
      <c r="O144" s="28" t="str">
        <f>IF('Completed'!$B$143&lt;&gt;"",'Completed'!$B$143,"")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IF('Completed'!$C$143&lt;&gt;"",'Completed'!$C$143,"")</f>
        <v/>
      </c>
      <c r="W144" s="53" t="str">
        <f>IF('Completed'!$D$143&lt;&gt;"",'Completed'!$D$143,"")</f>
        <v/>
      </c>
      <c r="X144" s="53" t="str">
        <f>IF('Completed'!$E$143&lt;&gt;"",'Completed'!$E$143,"")</f>
        <v/>
      </c>
      <c r="Y144" s="53" t="str">
        <f>IF('Completed'!$F$143&lt;&gt;"",'Completed'!$F$143,"")</f>
        <v/>
      </c>
      <c r="Z144" s="65" t="str">
        <f>IF('Completed'!$G$143&lt;&gt;"",'Completed'!$G$143,"")</f>
        <v/>
      </c>
      <c r="AA144" s="75" t="str">
        <f>IF('Completed'!$H$143&lt;&gt;"",'Completed'!$H$143,"")</f>
        <v/>
      </c>
      <c r="AB144" s="54" t="str">
        <f>IF('Completed'!$I$143&lt;&gt;"",'Completed'!$I$143,"")</f>
        <v/>
      </c>
      <c r="AC144" s="54" t="str">
        <f>IF('Completed'!$J$143&lt;&gt;"",'Completed'!$J$143,"")</f>
        <v/>
      </c>
      <c r="AD144" s="66" t="str">
        <f>IF('Completed'!$K$143&lt;&gt;"",'Completed'!$K$143,"")</f>
        <v/>
      </c>
      <c r="AE144" s="66" t="str">
        <f>IF('Completed'!$L$143&lt;&gt;"",'Completed'!$L$143,"")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IF('Completed'!$A$144&lt;&gt;"",'Completed'!$A$144,"")</f>
        <v/>
      </c>
      <c r="O145" s="28" t="str">
        <f>IF('Completed'!$B$144&lt;&gt;"",'Completed'!$B$144,"")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IF('Completed'!$C$144&lt;&gt;"",'Completed'!$C$144,"")</f>
        <v/>
      </c>
      <c r="W145" s="53" t="str">
        <f>IF('Completed'!$D$144&lt;&gt;"",'Completed'!$D$144,"")</f>
        <v/>
      </c>
      <c r="X145" s="53" t="str">
        <f>IF('Completed'!$E$144&lt;&gt;"",'Completed'!$E$144,"")</f>
        <v/>
      </c>
      <c r="Y145" s="53" t="str">
        <f>IF('Completed'!$F$144&lt;&gt;"",'Completed'!$F$144,"")</f>
        <v/>
      </c>
      <c r="Z145" s="65" t="str">
        <f>IF('Completed'!$G$144&lt;&gt;"",'Completed'!$G$144,"")</f>
        <v/>
      </c>
      <c r="AA145" s="75" t="str">
        <f>IF('Completed'!$H$144&lt;&gt;"",'Completed'!$H$144,"")</f>
        <v/>
      </c>
      <c r="AB145" s="54" t="str">
        <f>IF('Completed'!$I$144&lt;&gt;"",'Completed'!$I$144,"")</f>
        <v/>
      </c>
      <c r="AC145" s="54" t="str">
        <f>IF('Completed'!$J$144&lt;&gt;"",'Completed'!$J$144,"")</f>
        <v/>
      </c>
      <c r="AD145" s="66" t="str">
        <f>IF('Completed'!$K$144&lt;&gt;"",'Completed'!$K$144,"")</f>
        <v/>
      </c>
      <c r="AE145" s="66" t="str">
        <f>IF('Completed'!$L$144&lt;&gt;"",'Completed'!$L$144,"")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IF('Completed'!$A$145&lt;&gt;"",'Completed'!$A$145,"")</f>
        <v/>
      </c>
      <c r="O146" s="28" t="str">
        <f>IF('Completed'!$B$145&lt;&gt;"",'Completed'!$B$145,"")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IF('Completed'!$C$145&lt;&gt;"",'Completed'!$C$145,"")</f>
        <v/>
      </c>
      <c r="W146" s="53" t="str">
        <f>IF('Completed'!$D$145&lt;&gt;"",'Completed'!$D$145,"")</f>
        <v/>
      </c>
      <c r="X146" s="53" t="str">
        <f>IF('Completed'!$E$145&lt;&gt;"",'Completed'!$E$145,"")</f>
        <v/>
      </c>
      <c r="Y146" s="53" t="str">
        <f>IF('Completed'!$F$145&lt;&gt;"",'Completed'!$F$145,"")</f>
        <v/>
      </c>
      <c r="Z146" s="65" t="str">
        <f>IF('Completed'!$G$145&lt;&gt;"",'Completed'!$G$145,"")</f>
        <v/>
      </c>
      <c r="AA146" s="75" t="str">
        <f>IF('Completed'!$H$145&lt;&gt;"",'Completed'!$H$145,"")</f>
        <v/>
      </c>
      <c r="AB146" s="54" t="str">
        <f>IF('Completed'!$I$145&lt;&gt;"",'Completed'!$I$145,"")</f>
        <v/>
      </c>
      <c r="AC146" s="54" t="str">
        <f>IF('Completed'!$J$145&lt;&gt;"",'Completed'!$J$145,"")</f>
        <v/>
      </c>
      <c r="AD146" s="66" t="str">
        <f>IF('Completed'!$K$145&lt;&gt;"",'Completed'!$K$145,"")</f>
        <v/>
      </c>
      <c r="AE146" s="66" t="str">
        <f>IF('Completed'!$L$145&lt;&gt;"",'Completed'!$L$145,"")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IF('Completed'!$A$146&lt;&gt;"",'Completed'!$A$146,"")</f>
        <v/>
      </c>
      <c r="O147" s="28" t="str">
        <f>IF('Completed'!$B$146&lt;&gt;"",'Completed'!$B$146,"")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IF('Completed'!$C$146&lt;&gt;"",'Completed'!$C$146,"")</f>
        <v/>
      </c>
      <c r="W147" s="53" t="str">
        <f>IF('Completed'!$D$146&lt;&gt;"",'Completed'!$D$146,"")</f>
        <v/>
      </c>
      <c r="X147" s="53" t="str">
        <f>IF('Completed'!$E$146&lt;&gt;"",'Completed'!$E$146,"")</f>
        <v/>
      </c>
      <c r="Y147" s="53" t="str">
        <f>IF('Completed'!$F$146&lt;&gt;"",'Completed'!$F$146,"")</f>
        <v/>
      </c>
      <c r="Z147" s="65" t="str">
        <f>IF('Completed'!$G$146&lt;&gt;"",'Completed'!$G$146,"")</f>
        <v/>
      </c>
      <c r="AA147" s="75" t="str">
        <f>IF('Completed'!$H$146&lt;&gt;"",'Completed'!$H$146,"")</f>
        <v/>
      </c>
      <c r="AB147" s="54" t="str">
        <f>IF('Completed'!$I$146&lt;&gt;"",'Completed'!$I$146,"")</f>
        <v/>
      </c>
      <c r="AC147" s="54" t="str">
        <f>IF('Completed'!$J$146&lt;&gt;"",'Completed'!$J$146,"")</f>
        <v/>
      </c>
      <c r="AD147" s="66" t="str">
        <f>IF('Completed'!$K$146&lt;&gt;"",'Completed'!$K$146,"")</f>
        <v/>
      </c>
      <c r="AE147" s="66" t="str">
        <f>IF('Completed'!$L$146&lt;&gt;"",'Completed'!$L$146,"")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IF('Completed'!$A$147&lt;&gt;"",'Completed'!$A$147,"")</f>
        <v/>
      </c>
      <c r="O148" s="28" t="str">
        <f>IF('Completed'!$B$147&lt;&gt;"",'Completed'!$B$147,"")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IF('Completed'!$C$147&lt;&gt;"",'Completed'!$C$147,"")</f>
        <v/>
      </c>
      <c r="W148" s="53" t="str">
        <f>IF('Completed'!$D$147&lt;&gt;"",'Completed'!$D$147,"")</f>
        <v/>
      </c>
      <c r="X148" s="53" t="str">
        <f>IF('Completed'!$E$147&lt;&gt;"",'Completed'!$E$147,"")</f>
        <v/>
      </c>
      <c r="Y148" s="53" t="str">
        <f>IF('Completed'!$F$147&lt;&gt;"",'Completed'!$F$147,"")</f>
        <v/>
      </c>
      <c r="Z148" s="65" t="str">
        <f>IF('Completed'!$G$147&lt;&gt;"",'Completed'!$G$147,"")</f>
        <v/>
      </c>
      <c r="AA148" s="75" t="str">
        <f>IF('Completed'!$H$147&lt;&gt;"",'Completed'!$H$147,"")</f>
        <v/>
      </c>
      <c r="AB148" s="54" t="str">
        <f>IF('Completed'!$I$147&lt;&gt;"",'Completed'!$I$147,"")</f>
        <v/>
      </c>
      <c r="AC148" s="54" t="str">
        <f>IF('Completed'!$J$147&lt;&gt;"",'Completed'!$J$147,"")</f>
        <v/>
      </c>
      <c r="AD148" s="66" t="str">
        <f>IF('Completed'!$K$147&lt;&gt;"",'Completed'!$K$147,"")</f>
        <v/>
      </c>
      <c r="AE148" s="66" t="str">
        <f>IF('Completed'!$L$147&lt;&gt;"",'Completed'!$L$147,"")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IF('Completed'!$A$148&lt;&gt;"",'Completed'!$A$148,"")</f>
        <v/>
      </c>
      <c r="O149" s="28" t="str">
        <f>IF('Completed'!$B$148&lt;&gt;"",'Completed'!$B$148,"")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IF('Completed'!$C$148&lt;&gt;"",'Completed'!$C$148,"")</f>
        <v/>
      </c>
      <c r="W149" s="53" t="str">
        <f>IF('Completed'!$D$148&lt;&gt;"",'Completed'!$D$148,"")</f>
        <v/>
      </c>
      <c r="X149" s="53" t="str">
        <f>IF('Completed'!$E$148&lt;&gt;"",'Completed'!$E$148,"")</f>
        <v/>
      </c>
      <c r="Y149" s="53" t="str">
        <f>IF('Completed'!$F$148&lt;&gt;"",'Completed'!$F$148,"")</f>
        <v/>
      </c>
      <c r="Z149" s="65" t="str">
        <f>IF('Completed'!$G$148&lt;&gt;"",'Completed'!$G$148,"")</f>
        <v/>
      </c>
      <c r="AA149" s="75" t="str">
        <f>IF('Completed'!$H$148&lt;&gt;"",'Completed'!$H$148,"")</f>
        <v/>
      </c>
      <c r="AB149" s="54" t="str">
        <f>IF('Completed'!$I$148&lt;&gt;"",'Completed'!$I$148,"")</f>
        <v/>
      </c>
      <c r="AC149" s="54" t="str">
        <f>IF('Completed'!$J$148&lt;&gt;"",'Completed'!$J$148,"")</f>
        <v/>
      </c>
      <c r="AD149" s="66" t="str">
        <f>IF('Completed'!$K$148&lt;&gt;"",'Completed'!$K$148,"")</f>
        <v/>
      </c>
      <c r="AE149" s="66" t="str">
        <f>IF('Completed'!$L$148&lt;&gt;"",'Completed'!$L$148,"")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IF('Completed'!$A$149&lt;&gt;"",'Completed'!$A$149,"")</f>
        <v/>
      </c>
      <c r="O150" s="28" t="str">
        <f>IF('Completed'!$B$149&lt;&gt;"",'Completed'!$B$149,"")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IF('Completed'!$C$149&lt;&gt;"",'Completed'!$C$149,"")</f>
        <v/>
      </c>
      <c r="W150" s="53" t="str">
        <f>IF('Completed'!$D$149&lt;&gt;"",'Completed'!$D$149,"")</f>
        <v/>
      </c>
      <c r="X150" s="53" t="str">
        <f>IF('Completed'!$E$149&lt;&gt;"",'Completed'!$E$149,"")</f>
        <v/>
      </c>
      <c r="Y150" s="53" t="str">
        <f>IF('Completed'!$F$149&lt;&gt;"",'Completed'!$F$149,"")</f>
        <v/>
      </c>
      <c r="Z150" s="65" t="str">
        <f>IF('Completed'!$G$149&lt;&gt;"",'Completed'!$G$149,"")</f>
        <v/>
      </c>
      <c r="AA150" s="75" t="str">
        <f>IF('Completed'!$H$149&lt;&gt;"",'Completed'!$H$149,"")</f>
        <v/>
      </c>
      <c r="AB150" s="54" t="str">
        <f>IF('Completed'!$I$149&lt;&gt;"",'Completed'!$I$149,"")</f>
        <v/>
      </c>
      <c r="AC150" s="54" t="str">
        <f>IF('Completed'!$J$149&lt;&gt;"",'Completed'!$J$149,"")</f>
        <v/>
      </c>
      <c r="AD150" s="66" t="str">
        <f>IF('Completed'!$K$149&lt;&gt;"",'Completed'!$K$149,"")</f>
        <v/>
      </c>
      <c r="AE150" s="66" t="str">
        <f>IF('Completed'!$L$149&lt;&gt;"",'Completed'!$L$149,"")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IF('Completed'!$A$150&lt;&gt;"",'Completed'!$A$150,"")</f>
        <v/>
      </c>
      <c r="O151" s="28" t="str">
        <f>IF('Completed'!$B$150&lt;&gt;"",'Completed'!$B$150,"")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IF('Completed'!$C$150&lt;&gt;"",'Completed'!$C$150,"")</f>
        <v/>
      </c>
      <c r="W151" s="53" t="str">
        <f>IF('Completed'!$D$150&lt;&gt;"",'Completed'!$D$150,"")</f>
        <v/>
      </c>
      <c r="X151" s="53" t="str">
        <f>IF('Completed'!$E$150&lt;&gt;"",'Completed'!$E$150,"")</f>
        <v/>
      </c>
      <c r="Y151" s="53" t="str">
        <f>IF('Completed'!$F$150&lt;&gt;"",'Completed'!$F$150,"")</f>
        <v/>
      </c>
      <c r="Z151" s="65" t="str">
        <f>IF('Completed'!$G$150&lt;&gt;"",'Completed'!$G$150,"")</f>
        <v/>
      </c>
      <c r="AA151" s="75" t="str">
        <f>IF('Completed'!$H$150&lt;&gt;"",'Completed'!$H$150,"")</f>
        <v/>
      </c>
      <c r="AB151" s="54" t="str">
        <f>IF('Completed'!$I$150&lt;&gt;"",'Completed'!$I$150,"")</f>
        <v/>
      </c>
      <c r="AC151" s="54" t="str">
        <f>IF('Completed'!$J$150&lt;&gt;"",'Completed'!$J$150,"")</f>
        <v/>
      </c>
      <c r="AD151" s="66" t="str">
        <f>IF('Completed'!$K$150&lt;&gt;"",'Completed'!$K$150,"")</f>
        <v/>
      </c>
      <c r="AE151" s="66" t="str">
        <f>IF('Completed'!$L$150&lt;&gt;"",'Completed'!$L$150,"")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IF('Completed'!$A$151&lt;&gt;"",'Completed'!$A$151,"")</f>
        <v/>
      </c>
      <c r="O152" s="28" t="str">
        <f>IF('Completed'!$B$151&lt;&gt;"",'Completed'!$B$151,"")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IF('Completed'!$C$151&lt;&gt;"",'Completed'!$C$151,"")</f>
        <v/>
      </c>
      <c r="W152" s="53" t="str">
        <f>IF('Completed'!$D$151&lt;&gt;"",'Completed'!$D$151,"")</f>
        <v/>
      </c>
      <c r="X152" s="53" t="str">
        <f>IF('Completed'!$E$151&lt;&gt;"",'Completed'!$E$151,"")</f>
        <v/>
      </c>
      <c r="Y152" s="53" t="str">
        <f>IF('Completed'!$F$151&lt;&gt;"",'Completed'!$F$151,"")</f>
        <v/>
      </c>
      <c r="Z152" s="65" t="str">
        <f>IF('Completed'!$G$151&lt;&gt;"",'Completed'!$G$151,"")</f>
        <v/>
      </c>
      <c r="AA152" s="75" t="str">
        <f>IF('Completed'!$H$151&lt;&gt;"",'Completed'!$H$151,"")</f>
        <v/>
      </c>
      <c r="AB152" s="54" t="str">
        <f>IF('Completed'!$I$151&lt;&gt;"",'Completed'!$I$151,"")</f>
        <v/>
      </c>
      <c r="AC152" s="54" t="str">
        <f>IF('Completed'!$J$151&lt;&gt;"",'Completed'!$J$151,"")</f>
        <v/>
      </c>
      <c r="AD152" s="66" t="str">
        <f>IF('Completed'!$K$151&lt;&gt;"",'Completed'!$K$151,"")</f>
        <v/>
      </c>
      <c r="AE152" s="66" t="str">
        <f>IF('Completed'!$L$151&lt;&gt;"",'Completed'!$L$151,"")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IF('Completed'!$A$152&lt;&gt;"",'Completed'!$A$152,"")</f>
        <v/>
      </c>
      <c r="O153" s="28" t="str">
        <f>IF('Completed'!$B$152&lt;&gt;"",'Completed'!$B$152,"")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IF('Completed'!$C$152&lt;&gt;"",'Completed'!$C$152,"")</f>
        <v/>
      </c>
      <c r="W153" s="53" t="str">
        <f>IF('Completed'!$D$152&lt;&gt;"",'Completed'!$D$152,"")</f>
        <v/>
      </c>
      <c r="X153" s="53" t="str">
        <f>IF('Completed'!$E$152&lt;&gt;"",'Completed'!$E$152,"")</f>
        <v/>
      </c>
      <c r="Y153" s="53" t="str">
        <f>IF('Completed'!$F$152&lt;&gt;"",'Completed'!$F$152,"")</f>
        <v/>
      </c>
      <c r="Z153" s="65" t="str">
        <f>IF('Completed'!$G$152&lt;&gt;"",'Completed'!$G$152,"")</f>
        <v/>
      </c>
      <c r="AA153" s="75" t="str">
        <f>IF('Completed'!$H$152&lt;&gt;"",'Completed'!$H$152,"")</f>
        <v/>
      </c>
      <c r="AB153" s="54" t="str">
        <f>IF('Completed'!$I$152&lt;&gt;"",'Completed'!$I$152,"")</f>
        <v/>
      </c>
      <c r="AC153" s="54" t="str">
        <f>IF('Completed'!$J$152&lt;&gt;"",'Completed'!$J$152,"")</f>
        <v/>
      </c>
      <c r="AD153" s="66" t="str">
        <f>IF('Completed'!$K$152&lt;&gt;"",'Completed'!$K$152,"")</f>
        <v/>
      </c>
      <c r="AE153" s="66" t="str">
        <f>IF('Completed'!$L$152&lt;&gt;"",'Completed'!$L$152,"")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IF('Completed'!$A$153&lt;&gt;"",'Completed'!$A$153,"")</f>
        <v/>
      </c>
      <c r="O154" s="28" t="str">
        <f>IF('Completed'!$B$153&lt;&gt;"",'Completed'!$B$153,"")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IF('Completed'!$C$153&lt;&gt;"",'Completed'!$C$153,"")</f>
        <v/>
      </c>
      <c r="W154" s="53" t="str">
        <f>IF('Completed'!$D$153&lt;&gt;"",'Completed'!$D$153,"")</f>
        <v/>
      </c>
      <c r="X154" s="53" t="str">
        <f>IF('Completed'!$E$153&lt;&gt;"",'Completed'!$E$153,"")</f>
        <v/>
      </c>
      <c r="Y154" s="53" t="str">
        <f>IF('Completed'!$F$153&lt;&gt;"",'Completed'!$F$153,"")</f>
        <v/>
      </c>
      <c r="Z154" s="65" t="str">
        <f>IF('Completed'!$G$153&lt;&gt;"",'Completed'!$G$153,"")</f>
        <v/>
      </c>
      <c r="AA154" s="75" t="str">
        <f>IF('Completed'!$H$153&lt;&gt;"",'Completed'!$H$153,"")</f>
        <v/>
      </c>
      <c r="AB154" s="54" t="str">
        <f>IF('Completed'!$I$153&lt;&gt;"",'Completed'!$I$153,"")</f>
        <v/>
      </c>
      <c r="AC154" s="54" t="str">
        <f>IF('Completed'!$J$153&lt;&gt;"",'Completed'!$J$153,"")</f>
        <v/>
      </c>
      <c r="AD154" s="66" t="str">
        <f>IF('Completed'!$K$153&lt;&gt;"",'Completed'!$K$153,"")</f>
        <v/>
      </c>
      <c r="AE154" s="66" t="str">
        <f>IF('Completed'!$L$153&lt;&gt;"",'Completed'!$L$153,"")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IF('Completed'!$A$154&lt;&gt;"",'Completed'!$A$154,"")</f>
        <v/>
      </c>
      <c r="O155" s="28" t="str">
        <f>IF('Completed'!$B$154&lt;&gt;"",'Completed'!$B$154,"")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IF('Completed'!$C$154&lt;&gt;"",'Completed'!$C$154,"")</f>
        <v/>
      </c>
      <c r="W155" s="53" t="str">
        <f>IF('Completed'!$D$154&lt;&gt;"",'Completed'!$D$154,"")</f>
        <v/>
      </c>
      <c r="X155" s="53" t="str">
        <f>IF('Completed'!$E$154&lt;&gt;"",'Completed'!$E$154,"")</f>
        <v/>
      </c>
      <c r="Y155" s="53" t="str">
        <f>IF('Completed'!$F$154&lt;&gt;"",'Completed'!$F$154,"")</f>
        <v/>
      </c>
      <c r="Z155" s="65" t="str">
        <f>IF('Completed'!$G$154&lt;&gt;"",'Completed'!$G$154,"")</f>
        <v/>
      </c>
      <c r="AA155" s="75" t="str">
        <f>IF('Completed'!$H$154&lt;&gt;"",'Completed'!$H$154,"")</f>
        <v/>
      </c>
      <c r="AB155" s="54" t="str">
        <f>IF('Completed'!$I$154&lt;&gt;"",'Completed'!$I$154,"")</f>
        <v/>
      </c>
      <c r="AC155" s="54" t="str">
        <f>IF('Completed'!$J$154&lt;&gt;"",'Completed'!$J$154,"")</f>
        <v/>
      </c>
      <c r="AD155" s="66" t="str">
        <f>IF('Completed'!$K$154&lt;&gt;"",'Completed'!$K$154,"")</f>
        <v/>
      </c>
      <c r="AE155" s="66" t="str">
        <f>IF('Completed'!$L$154&lt;&gt;"",'Completed'!$L$154,"")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IF('Completed'!$A$155&lt;&gt;"",'Completed'!$A$155,"")</f>
        <v/>
      </c>
      <c r="O156" s="28" t="str">
        <f>IF('Completed'!$B$155&lt;&gt;"",'Completed'!$B$155,"")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IF('Completed'!$C$155&lt;&gt;"",'Completed'!$C$155,"")</f>
        <v/>
      </c>
      <c r="W156" s="53" t="str">
        <f>IF('Completed'!$D$155&lt;&gt;"",'Completed'!$D$155,"")</f>
        <v/>
      </c>
      <c r="X156" s="53" t="str">
        <f>IF('Completed'!$E$155&lt;&gt;"",'Completed'!$E$155,"")</f>
        <v/>
      </c>
      <c r="Y156" s="53" t="str">
        <f>IF('Completed'!$F$155&lt;&gt;"",'Completed'!$F$155,"")</f>
        <v/>
      </c>
      <c r="Z156" s="65" t="str">
        <f>IF('Completed'!$G$155&lt;&gt;"",'Completed'!$G$155,"")</f>
        <v/>
      </c>
      <c r="AA156" s="75" t="str">
        <f>IF('Completed'!$H$155&lt;&gt;"",'Completed'!$H$155,"")</f>
        <v/>
      </c>
      <c r="AB156" s="54" t="str">
        <f>IF('Completed'!$I$155&lt;&gt;"",'Completed'!$I$155,"")</f>
        <v/>
      </c>
      <c r="AC156" s="54" t="str">
        <f>IF('Completed'!$J$155&lt;&gt;"",'Completed'!$J$155,"")</f>
        <v/>
      </c>
      <c r="AD156" s="66" t="str">
        <f>IF('Completed'!$K$155&lt;&gt;"",'Completed'!$K$155,"")</f>
        <v/>
      </c>
      <c r="AE156" s="66" t="str">
        <f>IF('Completed'!$L$155&lt;&gt;"",'Completed'!$L$155,"")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IF('Completed'!$A$156&lt;&gt;"",'Completed'!$A$156,"")</f>
        <v/>
      </c>
      <c r="O157" s="28" t="str">
        <f>IF('Completed'!$B$156&lt;&gt;"",'Completed'!$B$156,"")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IF('Completed'!$C$156&lt;&gt;"",'Completed'!$C$156,"")</f>
        <v/>
      </c>
      <c r="W157" s="53" t="str">
        <f>IF('Completed'!$D$156&lt;&gt;"",'Completed'!$D$156,"")</f>
        <v/>
      </c>
      <c r="X157" s="53" t="str">
        <f>IF('Completed'!$E$156&lt;&gt;"",'Completed'!$E$156,"")</f>
        <v/>
      </c>
      <c r="Y157" s="53" t="str">
        <f>IF('Completed'!$F$156&lt;&gt;"",'Completed'!$F$156,"")</f>
        <v/>
      </c>
      <c r="Z157" s="65" t="str">
        <f>IF('Completed'!$G$156&lt;&gt;"",'Completed'!$G$156,"")</f>
        <v/>
      </c>
      <c r="AA157" s="75" t="str">
        <f>IF('Completed'!$H$156&lt;&gt;"",'Completed'!$H$156,"")</f>
        <v/>
      </c>
      <c r="AB157" s="54" t="str">
        <f>IF('Completed'!$I$156&lt;&gt;"",'Completed'!$I$156,"")</f>
        <v/>
      </c>
      <c r="AC157" s="54" t="str">
        <f>IF('Completed'!$J$156&lt;&gt;"",'Completed'!$J$156,"")</f>
        <v/>
      </c>
      <c r="AD157" s="66" t="str">
        <f>IF('Completed'!$K$156&lt;&gt;"",'Completed'!$K$156,"")</f>
        <v/>
      </c>
      <c r="AE157" s="66" t="str">
        <f>IF('Completed'!$L$156&lt;&gt;"",'Completed'!$L$156,"")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IF('Completed'!$A$157&lt;&gt;"",'Completed'!$A$157,"")</f>
        <v/>
      </c>
      <c r="O158" s="28" t="str">
        <f>IF('Completed'!$B$157&lt;&gt;"",'Completed'!$B$157,"")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IF('Completed'!$C$157&lt;&gt;"",'Completed'!$C$157,"")</f>
        <v/>
      </c>
      <c r="W158" s="53" t="str">
        <f>IF('Completed'!$D$157&lt;&gt;"",'Completed'!$D$157,"")</f>
        <v/>
      </c>
      <c r="X158" s="53" t="str">
        <f>IF('Completed'!$E$157&lt;&gt;"",'Completed'!$E$157,"")</f>
        <v/>
      </c>
      <c r="Y158" s="53" t="str">
        <f>IF('Completed'!$F$157&lt;&gt;"",'Completed'!$F$157,"")</f>
        <v/>
      </c>
      <c r="Z158" s="65" t="str">
        <f>IF('Completed'!$G$157&lt;&gt;"",'Completed'!$G$157,"")</f>
        <v/>
      </c>
      <c r="AA158" s="75" t="str">
        <f>IF('Completed'!$H$157&lt;&gt;"",'Completed'!$H$157,"")</f>
        <v/>
      </c>
      <c r="AB158" s="54" t="str">
        <f>IF('Completed'!$I$157&lt;&gt;"",'Completed'!$I$157,"")</f>
        <v/>
      </c>
      <c r="AC158" s="54" t="str">
        <f>IF('Completed'!$J$157&lt;&gt;"",'Completed'!$J$157,"")</f>
        <v/>
      </c>
      <c r="AD158" s="66" t="str">
        <f>IF('Completed'!$K$157&lt;&gt;"",'Completed'!$K$157,"")</f>
        <v/>
      </c>
      <c r="AE158" s="66" t="str">
        <f>IF('Completed'!$L$157&lt;&gt;"",'Completed'!$L$157,"")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IF('Completed'!$A$158&lt;&gt;"",'Completed'!$A$158,"")</f>
        <v/>
      </c>
      <c r="O159" s="28" t="str">
        <f>IF('Completed'!$B$158&lt;&gt;"",'Completed'!$B$158,"")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IF('Completed'!$C$158&lt;&gt;"",'Completed'!$C$158,"")</f>
        <v/>
      </c>
      <c r="W159" s="53" t="str">
        <f>IF('Completed'!$D$158&lt;&gt;"",'Completed'!$D$158,"")</f>
        <v/>
      </c>
      <c r="X159" s="53" t="str">
        <f>IF('Completed'!$E$158&lt;&gt;"",'Completed'!$E$158,"")</f>
        <v/>
      </c>
      <c r="Y159" s="53" t="str">
        <f>IF('Completed'!$F$158&lt;&gt;"",'Completed'!$F$158,"")</f>
        <v/>
      </c>
      <c r="Z159" s="65" t="str">
        <f>IF('Completed'!$G$158&lt;&gt;"",'Completed'!$G$158,"")</f>
        <v/>
      </c>
      <c r="AA159" s="75" t="str">
        <f>IF('Completed'!$H$158&lt;&gt;"",'Completed'!$H$158,"")</f>
        <v/>
      </c>
      <c r="AB159" s="54" t="str">
        <f>IF('Completed'!$I$158&lt;&gt;"",'Completed'!$I$158,"")</f>
        <v/>
      </c>
      <c r="AC159" s="54" t="str">
        <f>IF('Completed'!$J$158&lt;&gt;"",'Completed'!$J$158,"")</f>
        <v/>
      </c>
      <c r="AD159" s="66" t="str">
        <f>IF('Completed'!$K$158&lt;&gt;"",'Completed'!$K$158,"")</f>
        <v/>
      </c>
      <c r="AE159" s="66" t="str">
        <f>IF('Completed'!$L$158&lt;&gt;"",'Completed'!$L$158,"")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IF('Completed'!$A$159&lt;&gt;"",'Completed'!$A$159,"")</f>
        <v/>
      </c>
      <c r="O160" s="28" t="str">
        <f>IF('Completed'!$B$159&lt;&gt;"",'Completed'!$B$159,"")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IF('Completed'!$C$159&lt;&gt;"",'Completed'!$C$159,"")</f>
        <v/>
      </c>
      <c r="W160" s="53" t="str">
        <f>IF('Completed'!$D$159&lt;&gt;"",'Completed'!$D$159,"")</f>
        <v/>
      </c>
      <c r="X160" s="53" t="str">
        <f>IF('Completed'!$E$159&lt;&gt;"",'Completed'!$E$159,"")</f>
        <v/>
      </c>
      <c r="Y160" s="53" t="str">
        <f>IF('Completed'!$F$159&lt;&gt;"",'Completed'!$F$159,"")</f>
        <v/>
      </c>
      <c r="Z160" s="65" t="str">
        <f>IF('Completed'!$G$159&lt;&gt;"",'Completed'!$G$159,"")</f>
        <v/>
      </c>
      <c r="AA160" s="75" t="str">
        <f>IF('Completed'!$H$159&lt;&gt;"",'Completed'!$H$159,"")</f>
        <v/>
      </c>
      <c r="AB160" s="54" t="str">
        <f>IF('Completed'!$I$159&lt;&gt;"",'Completed'!$I$159,"")</f>
        <v/>
      </c>
      <c r="AC160" s="54" t="str">
        <f>IF('Completed'!$J$159&lt;&gt;"",'Completed'!$J$159,"")</f>
        <v/>
      </c>
      <c r="AD160" s="66" t="str">
        <f>IF('Completed'!$K$159&lt;&gt;"",'Completed'!$K$159,"")</f>
        <v/>
      </c>
      <c r="AE160" s="66" t="str">
        <f>IF('Completed'!$L$159&lt;&gt;"",'Completed'!$L$159,"")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IF('Completed'!$A$160&lt;&gt;"",'Completed'!$A$160,"")</f>
        <v/>
      </c>
      <c r="O161" s="28" t="str">
        <f>IF('Completed'!$B$160&lt;&gt;"",'Completed'!$B$160,"")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IF('Completed'!$C$160&lt;&gt;"",'Completed'!$C$160,"")</f>
        <v/>
      </c>
      <c r="W161" s="53" t="str">
        <f>IF('Completed'!$D$160&lt;&gt;"",'Completed'!$D$160,"")</f>
        <v/>
      </c>
      <c r="X161" s="53" t="str">
        <f>IF('Completed'!$E$160&lt;&gt;"",'Completed'!$E$160,"")</f>
        <v/>
      </c>
      <c r="Y161" s="53" t="str">
        <f>IF('Completed'!$F$160&lt;&gt;"",'Completed'!$F$160,"")</f>
        <v/>
      </c>
      <c r="Z161" s="65" t="str">
        <f>IF('Completed'!$G$160&lt;&gt;"",'Completed'!$G$160,"")</f>
        <v/>
      </c>
      <c r="AA161" s="75" t="str">
        <f>IF('Completed'!$H$160&lt;&gt;"",'Completed'!$H$160,"")</f>
        <v/>
      </c>
      <c r="AB161" s="54" t="str">
        <f>IF('Completed'!$I$160&lt;&gt;"",'Completed'!$I$160,"")</f>
        <v/>
      </c>
      <c r="AC161" s="54" t="str">
        <f>IF('Completed'!$J$160&lt;&gt;"",'Completed'!$J$160,"")</f>
        <v/>
      </c>
      <c r="AD161" s="66" t="str">
        <f>IF('Completed'!$K$160&lt;&gt;"",'Completed'!$K$160,"")</f>
        <v/>
      </c>
      <c r="AE161" s="66" t="str">
        <f>IF('Completed'!$L$160&lt;&gt;"",'Completed'!$L$160,"")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IF('Completed'!$A$161&lt;&gt;"",'Completed'!$A$161,"")</f>
        <v/>
      </c>
      <c r="O162" s="28" t="str">
        <f>IF('Completed'!$B$161&lt;&gt;"",'Completed'!$B$161,"")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IF('Completed'!$C$161&lt;&gt;"",'Completed'!$C$161,"")</f>
        <v/>
      </c>
      <c r="W162" s="53" t="str">
        <f>IF('Completed'!$D$161&lt;&gt;"",'Completed'!$D$161,"")</f>
        <v/>
      </c>
      <c r="X162" s="53" t="str">
        <f>IF('Completed'!$E$161&lt;&gt;"",'Completed'!$E$161,"")</f>
        <v/>
      </c>
      <c r="Y162" s="53" t="str">
        <f>IF('Completed'!$F$161&lt;&gt;"",'Completed'!$F$161,"")</f>
        <v/>
      </c>
      <c r="Z162" s="65" t="str">
        <f>IF('Completed'!$G$161&lt;&gt;"",'Completed'!$G$161,"")</f>
        <v/>
      </c>
      <c r="AA162" s="75" t="str">
        <f>IF('Completed'!$H$161&lt;&gt;"",'Completed'!$H$161,"")</f>
        <v/>
      </c>
      <c r="AB162" s="54" t="str">
        <f>IF('Completed'!$I$161&lt;&gt;"",'Completed'!$I$161,"")</f>
        <v/>
      </c>
      <c r="AC162" s="54" t="str">
        <f>IF('Completed'!$J$161&lt;&gt;"",'Completed'!$J$161,"")</f>
        <v/>
      </c>
      <c r="AD162" s="66" t="str">
        <f>IF('Completed'!$K$161&lt;&gt;"",'Completed'!$K$161,"")</f>
        <v/>
      </c>
      <c r="AE162" s="66" t="str">
        <f>IF('Completed'!$L$161&lt;&gt;"",'Completed'!$L$161,"")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IF('Completed'!$A$162&lt;&gt;"",'Completed'!$A$162,"")</f>
        <v/>
      </c>
      <c r="O163" s="28" t="str">
        <f>IF('Completed'!$B$162&lt;&gt;"",'Completed'!$B$162,"")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IF('Completed'!$C$162&lt;&gt;"",'Completed'!$C$162,"")</f>
        <v/>
      </c>
      <c r="W163" s="53" t="str">
        <f>IF('Completed'!$D$162&lt;&gt;"",'Completed'!$D$162,"")</f>
        <v/>
      </c>
      <c r="X163" s="53" t="str">
        <f>IF('Completed'!$E$162&lt;&gt;"",'Completed'!$E$162,"")</f>
        <v/>
      </c>
      <c r="Y163" s="53" t="str">
        <f>IF('Completed'!$F$162&lt;&gt;"",'Completed'!$F$162,"")</f>
        <v/>
      </c>
      <c r="Z163" s="65" t="str">
        <f>IF('Completed'!$G$162&lt;&gt;"",'Completed'!$G$162,"")</f>
        <v/>
      </c>
      <c r="AA163" s="75" t="str">
        <f>IF('Completed'!$H$162&lt;&gt;"",'Completed'!$H$162,"")</f>
        <v/>
      </c>
      <c r="AB163" s="54" t="str">
        <f>IF('Completed'!$I$162&lt;&gt;"",'Completed'!$I$162,"")</f>
        <v/>
      </c>
      <c r="AC163" s="54" t="str">
        <f>IF('Completed'!$J$162&lt;&gt;"",'Completed'!$J$162,"")</f>
        <v/>
      </c>
      <c r="AD163" s="66" t="str">
        <f>IF('Completed'!$K$162&lt;&gt;"",'Completed'!$K$162,"")</f>
        <v/>
      </c>
      <c r="AE163" s="66" t="str">
        <f>IF('Completed'!$L$162&lt;&gt;"",'Completed'!$L$162,"")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IF('Completed'!$A$163&lt;&gt;"",'Completed'!$A$163,"")</f>
        <v/>
      </c>
      <c r="O164" s="28" t="str">
        <f>IF('Completed'!$B$163&lt;&gt;"",'Completed'!$B$163,"")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IF('Completed'!$C$163&lt;&gt;"",'Completed'!$C$163,"")</f>
        <v/>
      </c>
      <c r="W164" s="53" t="str">
        <f>IF('Completed'!$D$163&lt;&gt;"",'Completed'!$D$163,"")</f>
        <v/>
      </c>
      <c r="X164" s="53" t="str">
        <f>IF('Completed'!$E$163&lt;&gt;"",'Completed'!$E$163,"")</f>
        <v/>
      </c>
      <c r="Y164" s="53" t="str">
        <f>IF('Completed'!$F$163&lt;&gt;"",'Completed'!$F$163,"")</f>
        <v/>
      </c>
      <c r="Z164" s="65" t="str">
        <f>IF('Completed'!$G$163&lt;&gt;"",'Completed'!$G$163,"")</f>
        <v/>
      </c>
      <c r="AA164" s="75" t="str">
        <f>IF('Completed'!$H$163&lt;&gt;"",'Completed'!$H$163,"")</f>
        <v/>
      </c>
      <c r="AB164" s="54" t="str">
        <f>IF('Completed'!$I$163&lt;&gt;"",'Completed'!$I$163,"")</f>
        <v/>
      </c>
      <c r="AC164" s="54" t="str">
        <f>IF('Completed'!$J$163&lt;&gt;"",'Completed'!$J$163,"")</f>
        <v/>
      </c>
      <c r="AD164" s="66" t="str">
        <f>IF('Completed'!$K$163&lt;&gt;"",'Completed'!$K$163,"")</f>
        <v/>
      </c>
      <c r="AE164" s="66" t="str">
        <f>IF('Completed'!$L$163&lt;&gt;"",'Completed'!$L$163,"")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IF('Completed'!$A$164&lt;&gt;"",'Completed'!$A$164,"")</f>
        <v/>
      </c>
      <c r="O165" s="28" t="str">
        <f>IF('Completed'!$B$164&lt;&gt;"",'Completed'!$B$164,"")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IF('Completed'!$C$164&lt;&gt;"",'Completed'!$C$164,"")</f>
        <v/>
      </c>
      <c r="W165" s="53" t="str">
        <f>IF('Completed'!$D$164&lt;&gt;"",'Completed'!$D$164,"")</f>
        <v/>
      </c>
      <c r="X165" s="53" t="str">
        <f>IF('Completed'!$E$164&lt;&gt;"",'Completed'!$E$164,"")</f>
        <v/>
      </c>
      <c r="Y165" s="53" t="str">
        <f>IF('Completed'!$F$164&lt;&gt;"",'Completed'!$F$164,"")</f>
        <v/>
      </c>
      <c r="Z165" s="65" t="str">
        <f>IF('Completed'!$G$164&lt;&gt;"",'Completed'!$G$164,"")</f>
        <v/>
      </c>
      <c r="AA165" s="75" t="str">
        <f>IF('Completed'!$H$164&lt;&gt;"",'Completed'!$H$164,"")</f>
        <v/>
      </c>
      <c r="AB165" s="54" t="str">
        <f>IF('Completed'!$I$164&lt;&gt;"",'Completed'!$I$164,"")</f>
        <v/>
      </c>
      <c r="AC165" s="54" t="str">
        <f>IF('Completed'!$J$164&lt;&gt;"",'Completed'!$J$164,"")</f>
        <v/>
      </c>
      <c r="AD165" s="66" t="str">
        <f>IF('Completed'!$K$164&lt;&gt;"",'Completed'!$K$164,"")</f>
        <v/>
      </c>
      <c r="AE165" s="66" t="str">
        <f>IF('Completed'!$L$164&lt;&gt;"",'Completed'!$L$164,"")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IF('Completed'!$A$165&lt;&gt;"",'Completed'!$A$165,"")</f>
        <v/>
      </c>
      <c r="O166" s="28" t="str">
        <f>IF('Completed'!$B$165&lt;&gt;"",'Completed'!$B$165,"")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IF('Completed'!$C$165&lt;&gt;"",'Completed'!$C$165,"")</f>
        <v/>
      </c>
      <c r="W166" s="53" t="str">
        <f>IF('Completed'!$D$165&lt;&gt;"",'Completed'!$D$165,"")</f>
        <v/>
      </c>
      <c r="X166" s="53" t="str">
        <f>IF('Completed'!$E$165&lt;&gt;"",'Completed'!$E$165,"")</f>
        <v/>
      </c>
      <c r="Y166" s="53" t="str">
        <f>IF('Completed'!$F$165&lt;&gt;"",'Completed'!$F$165,"")</f>
        <v/>
      </c>
      <c r="Z166" s="65" t="str">
        <f>IF('Completed'!$G$165&lt;&gt;"",'Completed'!$G$165,"")</f>
        <v/>
      </c>
      <c r="AA166" s="75" t="str">
        <f>IF('Completed'!$H$165&lt;&gt;"",'Completed'!$H$165,"")</f>
        <v/>
      </c>
      <c r="AB166" s="54" t="str">
        <f>IF('Completed'!$I$165&lt;&gt;"",'Completed'!$I$165,"")</f>
        <v/>
      </c>
      <c r="AC166" s="54" t="str">
        <f>IF('Completed'!$J$165&lt;&gt;"",'Completed'!$J$165,"")</f>
        <v/>
      </c>
      <c r="AD166" s="66" t="str">
        <f>IF('Completed'!$K$165&lt;&gt;"",'Completed'!$K$165,"")</f>
        <v/>
      </c>
      <c r="AE166" s="66" t="str">
        <f>IF('Completed'!$L$165&lt;&gt;"",'Completed'!$L$165,"")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IF('Completed'!$A$166&lt;&gt;"",'Completed'!$A$166,"")</f>
        <v/>
      </c>
      <c r="O167" s="28" t="str">
        <f>IF('Completed'!$B$166&lt;&gt;"",'Completed'!$B$166,"")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IF('Completed'!$C$166&lt;&gt;"",'Completed'!$C$166,"")</f>
        <v/>
      </c>
      <c r="W167" s="53" t="str">
        <f>IF('Completed'!$D$166&lt;&gt;"",'Completed'!$D$166,"")</f>
        <v/>
      </c>
      <c r="X167" s="53" t="str">
        <f>IF('Completed'!$E$166&lt;&gt;"",'Completed'!$E$166,"")</f>
        <v/>
      </c>
      <c r="Y167" s="53" t="str">
        <f>IF('Completed'!$F$166&lt;&gt;"",'Completed'!$F$166,"")</f>
        <v/>
      </c>
      <c r="Z167" s="65" t="str">
        <f>IF('Completed'!$G$166&lt;&gt;"",'Completed'!$G$166,"")</f>
        <v/>
      </c>
      <c r="AA167" s="75" t="str">
        <f>IF('Completed'!$H$166&lt;&gt;"",'Completed'!$H$166,"")</f>
        <v/>
      </c>
      <c r="AB167" s="54" t="str">
        <f>IF('Completed'!$I$166&lt;&gt;"",'Completed'!$I$166,"")</f>
        <v/>
      </c>
      <c r="AC167" s="54" t="str">
        <f>IF('Completed'!$J$166&lt;&gt;"",'Completed'!$J$166,"")</f>
        <v/>
      </c>
      <c r="AD167" s="66" t="str">
        <f>IF('Completed'!$K$166&lt;&gt;"",'Completed'!$K$166,"")</f>
        <v/>
      </c>
      <c r="AE167" s="66" t="str">
        <f>IF('Completed'!$L$166&lt;&gt;"",'Completed'!$L$166,"")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IF('Completed'!$A$167&lt;&gt;"",'Completed'!$A$167,"")</f>
        <v/>
      </c>
      <c r="O168" s="28" t="str">
        <f>IF('Completed'!$B$167&lt;&gt;"",'Completed'!$B$167,"")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IF('Completed'!$C$167&lt;&gt;"",'Completed'!$C$167,"")</f>
        <v/>
      </c>
      <c r="W168" s="53" t="str">
        <f>IF('Completed'!$D$167&lt;&gt;"",'Completed'!$D$167,"")</f>
        <v/>
      </c>
      <c r="X168" s="53" t="str">
        <f>IF('Completed'!$E$167&lt;&gt;"",'Completed'!$E$167,"")</f>
        <v/>
      </c>
      <c r="Y168" s="53" t="str">
        <f>IF('Completed'!$F$167&lt;&gt;"",'Completed'!$F$167,"")</f>
        <v/>
      </c>
      <c r="Z168" s="65" t="str">
        <f>IF('Completed'!$G$167&lt;&gt;"",'Completed'!$G$167,"")</f>
        <v/>
      </c>
      <c r="AA168" s="75" t="str">
        <f>IF('Completed'!$H$167&lt;&gt;"",'Completed'!$H$167,"")</f>
        <v/>
      </c>
      <c r="AB168" s="54" t="str">
        <f>IF('Completed'!$I$167&lt;&gt;"",'Completed'!$I$167,"")</f>
        <v/>
      </c>
      <c r="AC168" s="54" t="str">
        <f>IF('Completed'!$J$167&lt;&gt;"",'Completed'!$J$167,"")</f>
        <v/>
      </c>
      <c r="AD168" s="66" t="str">
        <f>IF('Completed'!$K$167&lt;&gt;"",'Completed'!$K$167,"")</f>
        <v/>
      </c>
      <c r="AE168" s="66" t="str">
        <f>IF('Completed'!$L$167&lt;&gt;"",'Completed'!$L$167,"")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IF('Completed'!$A$168&lt;&gt;"",'Completed'!$A$168,"")</f>
        <v/>
      </c>
      <c r="O169" s="28" t="str">
        <f>IF('Completed'!$B$168&lt;&gt;"",'Completed'!$B$168,"")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IF('Completed'!$C$168&lt;&gt;"",'Completed'!$C$168,"")</f>
        <v/>
      </c>
      <c r="W169" s="53" t="str">
        <f>IF('Completed'!$D$168&lt;&gt;"",'Completed'!$D$168,"")</f>
        <v/>
      </c>
      <c r="X169" s="53" t="str">
        <f>IF('Completed'!$E$168&lt;&gt;"",'Completed'!$E$168,"")</f>
        <v/>
      </c>
      <c r="Y169" s="53" t="str">
        <f>IF('Completed'!$F$168&lt;&gt;"",'Completed'!$F$168,"")</f>
        <v/>
      </c>
      <c r="Z169" s="65" t="str">
        <f>IF('Completed'!$G$168&lt;&gt;"",'Completed'!$G$168,"")</f>
        <v/>
      </c>
      <c r="AA169" s="75" t="str">
        <f>IF('Completed'!$H$168&lt;&gt;"",'Completed'!$H$168,"")</f>
        <v/>
      </c>
      <c r="AB169" s="54" t="str">
        <f>IF('Completed'!$I$168&lt;&gt;"",'Completed'!$I$168,"")</f>
        <v/>
      </c>
      <c r="AC169" s="54" t="str">
        <f>IF('Completed'!$J$168&lt;&gt;"",'Completed'!$J$168,"")</f>
        <v/>
      </c>
      <c r="AD169" s="66" t="str">
        <f>IF('Completed'!$K$168&lt;&gt;"",'Completed'!$K$168,"")</f>
        <v/>
      </c>
      <c r="AE169" s="66" t="str">
        <f>IF('Completed'!$L$168&lt;&gt;"",'Completed'!$L$168,"")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IF('Completed'!$A$169&lt;&gt;"",'Completed'!$A$169,"")</f>
        <v/>
      </c>
      <c r="O170" s="28" t="str">
        <f>IF('Completed'!$B$169&lt;&gt;"",'Completed'!$B$169,"")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IF('Completed'!$C$169&lt;&gt;"",'Completed'!$C$169,"")</f>
        <v/>
      </c>
      <c r="W170" s="53" t="str">
        <f>IF('Completed'!$D$169&lt;&gt;"",'Completed'!$D$169,"")</f>
        <v/>
      </c>
      <c r="X170" s="53" t="str">
        <f>IF('Completed'!$E$169&lt;&gt;"",'Completed'!$E$169,"")</f>
        <v/>
      </c>
      <c r="Y170" s="53" t="str">
        <f>IF('Completed'!$F$169&lt;&gt;"",'Completed'!$F$169,"")</f>
        <v/>
      </c>
      <c r="Z170" s="65" t="str">
        <f>IF('Completed'!$G$169&lt;&gt;"",'Completed'!$G$169,"")</f>
        <v/>
      </c>
      <c r="AA170" s="75" t="str">
        <f>IF('Completed'!$H$169&lt;&gt;"",'Completed'!$H$169,"")</f>
        <v/>
      </c>
      <c r="AB170" s="54" t="str">
        <f>IF('Completed'!$I$169&lt;&gt;"",'Completed'!$I$169,"")</f>
        <v/>
      </c>
      <c r="AC170" s="54" t="str">
        <f>IF('Completed'!$J$169&lt;&gt;"",'Completed'!$J$169,"")</f>
        <v/>
      </c>
      <c r="AD170" s="66" t="str">
        <f>IF('Completed'!$K$169&lt;&gt;"",'Completed'!$K$169,"")</f>
        <v/>
      </c>
      <c r="AE170" s="66" t="str">
        <f>IF('Completed'!$L$169&lt;&gt;"",'Completed'!$L$169,"")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IF('Completed'!$A$170&lt;&gt;"",'Completed'!$A$170,"")</f>
        <v/>
      </c>
      <c r="O171" s="28" t="str">
        <f>IF('Completed'!$B$170&lt;&gt;"",'Completed'!$B$170,"")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IF('Completed'!$C$170&lt;&gt;"",'Completed'!$C$170,"")</f>
        <v/>
      </c>
      <c r="W171" s="53" t="str">
        <f>IF('Completed'!$D$170&lt;&gt;"",'Completed'!$D$170,"")</f>
        <v/>
      </c>
      <c r="X171" s="53" t="str">
        <f>IF('Completed'!$E$170&lt;&gt;"",'Completed'!$E$170,"")</f>
        <v/>
      </c>
      <c r="Y171" s="53" t="str">
        <f>IF('Completed'!$F$170&lt;&gt;"",'Completed'!$F$170,"")</f>
        <v/>
      </c>
      <c r="Z171" s="65" t="str">
        <f>IF('Completed'!$G$170&lt;&gt;"",'Completed'!$G$170,"")</f>
        <v/>
      </c>
      <c r="AA171" s="75" t="str">
        <f>IF('Completed'!$H$170&lt;&gt;"",'Completed'!$H$170,"")</f>
        <v/>
      </c>
      <c r="AB171" s="54" t="str">
        <f>IF('Completed'!$I$170&lt;&gt;"",'Completed'!$I$170,"")</f>
        <v/>
      </c>
      <c r="AC171" s="54" t="str">
        <f>IF('Completed'!$J$170&lt;&gt;"",'Completed'!$J$170,"")</f>
        <v/>
      </c>
      <c r="AD171" s="66" t="str">
        <f>IF('Completed'!$K$170&lt;&gt;"",'Completed'!$K$170,"")</f>
        <v/>
      </c>
      <c r="AE171" s="66" t="str">
        <f>IF('Completed'!$L$170&lt;&gt;"",'Completed'!$L$170,"")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IF('Completed'!$A$171&lt;&gt;"",'Completed'!$A$171,"")</f>
        <v/>
      </c>
      <c r="O172" s="28" t="str">
        <f>IF('Completed'!$B$171&lt;&gt;"",'Completed'!$B$171,"")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IF('Completed'!$C$171&lt;&gt;"",'Completed'!$C$171,"")</f>
        <v/>
      </c>
      <c r="W172" s="53" t="str">
        <f>IF('Completed'!$D$171&lt;&gt;"",'Completed'!$D$171,"")</f>
        <v/>
      </c>
      <c r="X172" s="53" t="str">
        <f>IF('Completed'!$E$171&lt;&gt;"",'Completed'!$E$171,"")</f>
        <v/>
      </c>
      <c r="Y172" s="53" t="str">
        <f>IF('Completed'!$F$171&lt;&gt;"",'Completed'!$F$171,"")</f>
        <v/>
      </c>
      <c r="Z172" s="65" t="str">
        <f>IF('Completed'!$G$171&lt;&gt;"",'Completed'!$G$171,"")</f>
        <v/>
      </c>
      <c r="AA172" s="75" t="str">
        <f>IF('Completed'!$H$171&lt;&gt;"",'Completed'!$H$171,"")</f>
        <v/>
      </c>
      <c r="AB172" s="54" t="str">
        <f>IF('Completed'!$I$171&lt;&gt;"",'Completed'!$I$171,"")</f>
        <v/>
      </c>
      <c r="AC172" s="54" t="str">
        <f>IF('Completed'!$J$171&lt;&gt;"",'Completed'!$J$171,"")</f>
        <v/>
      </c>
      <c r="AD172" s="66" t="str">
        <f>IF('Completed'!$K$171&lt;&gt;"",'Completed'!$K$171,"")</f>
        <v/>
      </c>
      <c r="AE172" s="66" t="str">
        <f>IF('Completed'!$L$171&lt;&gt;"",'Completed'!$L$171,"")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IF('Completed'!$A$172&lt;&gt;"",'Completed'!$A$172,"")</f>
        <v/>
      </c>
      <c r="O173" s="28" t="str">
        <f>IF('Completed'!$B$172&lt;&gt;"",'Completed'!$B$172,"")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IF('Completed'!$C$172&lt;&gt;"",'Completed'!$C$172,"")</f>
        <v/>
      </c>
      <c r="W173" s="53" t="str">
        <f>IF('Completed'!$D$172&lt;&gt;"",'Completed'!$D$172,"")</f>
        <v/>
      </c>
      <c r="X173" s="53" t="str">
        <f>IF('Completed'!$E$172&lt;&gt;"",'Completed'!$E$172,"")</f>
        <v/>
      </c>
      <c r="Y173" s="53" t="str">
        <f>IF('Completed'!$F$172&lt;&gt;"",'Completed'!$F$172,"")</f>
        <v/>
      </c>
      <c r="Z173" s="65" t="str">
        <f>IF('Completed'!$G$172&lt;&gt;"",'Completed'!$G$172,"")</f>
        <v/>
      </c>
      <c r="AA173" s="75" t="str">
        <f>IF('Completed'!$H$172&lt;&gt;"",'Completed'!$H$172,"")</f>
        <v/>
      </c>
      <c r="AB173" s="54" t="str">
        <f>IF('Completed'!$I$172&lt;&gt;"",'Completed'!$I$172,"")</f>
        <v/>
      </c>
      <c r="AC173" s="54" t="str">
        <f>IF('Completed'!$J$172&lt;&gt;"",'Completed'!$J$172,"")</f>
        <v/>
      </c>
      <c r="AD173" s="66" t="str">
        <f>IF('Completed'!$K$172&lt;&gt;"",'Completed'!$K$172,"")</f>
        <v/>
      </c>
      <c r="AE173" s="66" t="str">
        <f>IF('Completed'!$L$172&lt;&gt;"",'Completed'!$L$172,"")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IF('Completed'!$A$173&lt;&gt;"",'Completed'!$A$173,"")</f>
        <v/>
      </c>
      <c r="O174" s="28" t="str">
        <f>IF('Completed'!$B$173&lt;&gt;"",'Completed'!$B$173,"")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IF('Completed'!$C$173&lt;&gt;"",'Completed'!$C$173,"")</f>
        <v/>
      </c>
      <c r="W174" s="53" t="str">
        <f>IF('Completed'!$D$173&lt;&gt;"",'Completed'!$D$173,"")</f>
        <v/>
      </c>
      <c r="X174" s="53" t="str">
        <f>IF('Completed'!$E$173&lt;&gt;"",'Completed'!$E$173,"")</f>
        <v/>
      </c>
      <c r="Y174" s="53" t="str">
        <f>IF('Completed'!$F$173&lt;&gt;"",'Completed'!$F$173,"")</f>
        <v/>
      </c>
      <c r="Z174" s="65" t="str">
        <f>IF('Completed'!$G$173&lt;&gt;"",'Completed'!$G$173,"")</f>
        <v/>
      </c>
      <c r="AA174" s="75" t="str">
        <f>IF('Completed'!$H$173&lt;&gt;"",'Completed'!$H$173,"")</f>
        <v/>
      </c>
      <c r="AB174" s="54" t="str">
        <f>IF('Completed'!$I$173&lt;&gt;"",'Completed'!$I$173,"")</f>
        <v/>
      </c>
      <c r="AC174" s="54" t="str">
        <f>IF('Completed'!$J$173&lt;&gt;"",'Completed'!$J$173,"")</f>
        <v/>
      </c>
      <c r="AD174" s="66" t="str">
        <f>IF('Completed'!$K$173&lt;&gt;"",'Completed'!$K$173,"")</f>
        <v/>
      </c>
      <c r="AE174" s="66" t="str">
        <f>IF('Completed'!$L$173&lt;&gt;"",'Completed'!$L$173,"")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IF('Completed'!$A$174&lt;&gt;"",'Completed'!$A$174,"")</f>
        <v/>
      </c>
      <c r="O175" s="28" t="str">
        <f>IF('Completed'!$B$174&lt;&gt;"",'Completed'!$B$174,"")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IF('Completed'!$C$174&lt;&gt;"",'Completed'!$C$174,"")</f>
        <v/>
      </c>
      <c r="W175" s="53" t="str">
        <f>IF('Completed'!$D$174&lt;&gt;"",'Completed'!$D$174,"")</f>
        <v/>
      </c>
      <c r="X175" s="53" t="str">
        <f>IF('Completed'!$E$174&lt;&gt;"",'Completed'!$E$174,"")</f>
        <v/>
      </c>
      <c r="Y175" s="53" t="str">
        <f>IF('Completed'!$F$174&lt;&gt;"",'Completed'!$F$174,"")</f>
        <v/>
      </c>
      <c r="Z175" s="65" t="str">
        <f>IF('Completed'!$G$174&lt;&gt;"",'Completed'!$G$174,"")</f>
        <v/>
      </c>
      <c r="AA175" s="75" t="str">
        <f>IF('Completed'!$H$174&lt;&gt;"",'Completed'!$H$174,"")</f>
        <v/>
      </c>
      <c r="AB175" s="54" t="str">
        <f>IF('Completed'!$I$174&lt;&gt;"",'Completed'!$I$174,"")</f>
        <v/>
      </c>
      <c r="AC175" s="54" t="str">
        <f>IF('Completed'!$J$174&lt;&gt;"",'Completed'!$J$174,"")</f>
        <v/>
      </c>
      <c r="AD175" s="66" t="str">
        <f>IF('Completed'!$K$174&lt;&gt;"",'Completed'!$K$174,"")</f>
        <v/>
      </c>
      <c r="AE175" s="66" t="str">
        <f>IF('Completed'!$L$174&lt;&gt;"",'Completed'!$L$174,"")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IF('Completed'!$A$175&lt;&gt;"",'Completed'!$A$175,"")</f>
        <v/>
      </c>
      <c r="O176" s="28" t="str">
        <f>IF('Completed'!$B$175&lt;&gt;"",'Completed'!$B$175,"")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IF('Completed'!$C$175&lt;&gt;"",'Completed'!$C$175,"")</f>
        <v/>
      </c>
      <c r="W176" s="53" t="str">
        <f>IF('Completed'!$D$175&lt;&gt;"",'Completed'!$D$175,"")</f>
        <v/>
      </c>
      <c r="X176" s="53" t="str">
        <f>IF('Completed'!$E$175&lt;&gt;"",'Completed'!$E$175,"")</f>
        <v/>
      </c>
      <c r="Y176" s="53" t="str">
        <f>IF('Completed'!$F$175&lt;&gt;"",'Completed'!$F$175,"")</f>
        <v/>
      </c>
      <c r="Z176" s="65" t="str">
        <f>IF('Completed'!$G$175&lt;&gt;"",'Completed'!$G$175,"")</f>
        <v/>
      </c>
      <c r="AA176" s="75" t="str">
        <f>IF('Completed'!$H$175&lt;&gt;"",'Completed'!$H$175,"")</f>
        <v/>
      </c>
      <c r="AB176" s="54" t="str">
        <f>IF('Completed'!$I$175&lt;&gt;"",'Completed'!$I$175,"")</f>
        <v/>
      </c>
      <c r="AC176" s="54" t="str">
        <f>IF('Completed'!$J$175&lt;&gt;"",'Completed'!$J$175,"")</f>
        <v/>
      </c>
      <c r="AD176" s="66" t="str">
        <f>IF('Completed'!$K$175&lt;&gt;"",'Completed'!$K$175,"")</f>
        <v/>
      </c>
      <c r="AE176" s="66" t="str">
        <f>IF('Completed'!$L$175&lt;&gt;"",'Completed'!$L$175,"")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IF('Completed'!$A$176&lt;&gt;"",'Completed'!$A$176,"")</f>
        <v/>
      </c>
      <c r="O177" s="28" t="str">
        <f>IF('Completed'!$B$176&lt;&gt;"",'Completed'!$B$176,"")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IF('Completed'!$C$176&lt;&gt;"",'Completed'!$C$176,"")</f>
        <v/>
      </c>
      <c r="W177" s="53" t="str">
        <f>IF('Completed'!$D$176&lt;&gt;"",'Completed'!$D$176,"")</f>
        <v/>
      </c>
      <c r="X177" s="53" t="str">
        <f>IF('Completed'!$E$176&lt;&gt;"",'Completed'!$E$176,"")</f>
        <v/>
      </c>
      <c r="Y177" s="53" t="str">
        <f>IF('Completed'!$F$176&lt;&gt;"",'Completed'!$F$176,"")</f>
        <v/>
      </c>
      <c r="Z177" s="65" t="str">
        <f>IF('Completed'!$G$176&lt;&gt;"",'Completed'!$G$176,"")</f>
        <v/>
      </c>
      <c r="AA177" s="75" t="str">
        <f>IF('Completed'!$H$176&lt;&gt;"",'Completed'!$H$176,"")</f>
        <v/>
      </c>
      <c r="AB177" s="54" t="str">
        <f>IF('Completed'!$I$176&lt;&gt;"",'Completed'!$I$176,"")</f>
        <v/>
      </c>
      <c r="AC177" s="54" t="str">
        <f>IF('Completed'!$J$176&lt;&gt;"",'Completed'!$J$176,"")</f>
        <v/>
      </c>
      <c r="AD177" s="66" t="str">
        <f>IF('Completed'!$K$176&lt;&gt;"",'Completed'!$K$176,"")</f>
        <v/>
      </c>
      <c r="AE177" s="66" t="str">
        <f>IF('Completed'!$L$176&lt;&gt;"",'Completed'!$L$176,"")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IF('Completed'!$A$177&lt;&gt;"",'Completed'!$A$177,"")</f>
        <v/>
      </c>
      <c r="O178" s="28" t="str">
        <f>IF('Completed'!$B$177&lt;&gt;"",'Completed'!$B$177,"")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IF('Completed'!$C$177&lt;&gt;"",'Completed'!$C$177,"")</f>
        <v/>
      </c>
      <c r="W178" s="53" t="str">
        <f>IF('Completed'!$D$177&lt;&gt;"",'Completed'!$D$177,"")</f>
        <v/>
      </c>
      <c r="X178" s="53" t="str">
        <f>IF('Completed'!$E$177&lt;&gt;"",'Completed'!$E$177,"")</f>
        <v/>
      </c>
      <c r="Y178" s="53" t="str">
        <f>IF('Completed'!$F$177&lt;&gt;"",'Completed'!$F$177,"")</f>
        <v/>
      </c>
      <c r="Z178" s="65" t="str">
        <f>IF('Completed'!$G$177&lt;&gt;"",'Completed'!$G$177,"")</f>
        <v/>
      </c>
      <c r="AA178" s="75" t="str">
        <f>IF('Completed'!$H$177&lt;&gt;"",'Completed'!$H$177,"")</f>
        <v/>
      </c>
      <c r="AB178" s="54" t="str">
        <f>IF('Completed'!$I$177&lt;&gt;"",'Completed'!$I$177,"")</f>
        <v/>
      </c>
      <c r="AC178" s="54" t="str">
        <f>IF('Completed'!$J$177&lt;&gt;"",'Completed'!$J$177,"")</f>
        <v/>
      </c>
      <c r="AD178" s="66" t="str">
        <f>IF('Completed'!$K$177&lt;&gt;"",'Completed'!$K$177,"")</f>
        <v/>
      </c>
      <c r="AE178" s="66" t="str">
        <f>IF('Completed'!$L$177&lt;&gt;"",'Completed'!$L$177,"")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IF('Completed'!$A$178&lt;&gt;"",'Completed'!$A$178,"")</f>
        <v/>
      </c>
      <c r="O179" s="28" t="str">
        <f>IF('Completed'!$B$178&lt;&gt;"",'Completed'!$B$178,"")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IF('Completed'!$C$178&lt;&gt;"",'Completed'!$C$178,"")</f>
        <v/>
      </c>
      <c r="W179" s="53" t="str">
        <f>IF('Completed'!$D$178&lt;&gt;"",'Completed'!$D$178,"")</f>
        <v/>
      </c>
      <c r="X179" s="53" t="str">
        <f>IF('Completed'!$E$178&lt;&gt;"",'Completed'!$E$178,"")</f>
        <v/>
      </c>
      <c r="Y179" s="53" t="str">
        <f>IF('Completed'!$F$178&lt;&gt;"",'Completed'!$F$178,"")</f>
        <v/>
      </c>
      <c r="Z179" s="65" t="str">
        <f>IF('Completed'!$G$178&lt;&gt;"",'Completed'!$G$178,"")</f>
        <v/>
      </c>
      <c r="AA179" s="75" t="str">
        <f>IF('Completed'!$H$178&lt;&gt;"",'Completed'!$H$178,"")</f>
        <v/>
      </c>
      <c r="AB179" s="54" t="str">
        <f>IF('Completed'!$I$178&lt;&gt;"",'Completed'!$I$178,"")</f>
        <v/>
      </c>
      <c r="AC179" s="54" t="str">
        <f>IF('Completed'!$J$178&lt;&gt;"",'Completed'!$J$178,"")</f>
        <v/>
      </c>
      <c r="AD179" s="66" t="str">
        <f>IF('Completed'!$K$178&lt;&gt;"",'Completed'!$K$178,"")</f>
        <v/>
      </c>
      <c r="AE179" s="66" t="str">
        <f>IF('Completed'!$L$178&lt;&gt;"",'Completed'!$L$178,"")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IF('Completed'!$A$179&lt;&gt;"",'Completed'!$A$179,"")</f>
        <v/>
      </c>
      <c r="O180" s="28" t="str">
        <f>IF('Completed'!$B$179&lt;&gt;"",'Completed'!$B$179,"")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IF('Completed'!$C$179&lt;&gt;"",'Completed'!$C$179,"")</f>
        <v/>
      </c>
      <c r="W180" s="53" t="str">
        <f>IF('Completed'!$D$179&lt;&gt;"",'Completed'!$D$179,"")</f>
        <v/>
      </c>
      <c r="X180" s="53" t="str">
        <f>IF('Completed'!$E$179&lt;&gt;"",'Completed'!$E$179,"")</f>
        <v/>
      </c>
      <c r="Y180" s="53" t="str">
        <f>IF('Completed'!$F$179&lt;&gt;"",'Completed'!$F$179,"")</f>
        <v/>
      </c>
      <c r="Z180" s="65" t="str">
        <f>IF('Completed'!$G$179&lt;&gt;"",'Completed'!$G$179,"")</f>
        <v/>
      </c>
      <c r="AA180" s="75" t="str">
        <f>IF('Completed'!$H$179&lt;&gt;"",'Completed'!$H$179,"")</f>
        <v/>
      </c>
      <c r="AB180" s="54" t="str">
        <f>IF('Completed'!$I$179&lt;&gt;"",'Completed'!$I$179,"")</f>
        <v/>
      </c>
      <c r="AC180" s="54" t="str">
        <f>IF('Completed'!$J$179&lt;&gt;"",'Completed'!$J$179,"")</f>
        <v/>
      </c>
      <c r="AD180" s="66" t="str">
        <f>IF('Completed'!$K$179&lt;&gt;"",'Completed'!$K$179,"")</f>
        <v/>
      </c>
      <c r="AE180" s="66" t="str">
        <f>IF('Completed'!$L$179&lt;&gt;"",'Completed'!$L$179,"")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IF('Completed'!$A$180&lt;&gt;"",'Completed'!$A$180,"")</f>
        <v/>
      </c>
      <c r="O181" s="28" t="str">
        <f>IF('Completed'!$B$180&lt;&gt;"",'Completed'!$B$180,"")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IF('Completed'!$C$180&lt;&gt;"",'Completed'!$C$180,"")</f>
        <v/>
      </c>
      <c r="W181" s="53" t="str">
        <f>IF('Completed'!$D$180&lt;&gt;"",'Completed'!$D$180,"")</f>
        <v/>
      </c>
      <c r="X181" s="53" t="str">
        <f>IF('Completed'!$E$180&lt;&gt;"",'Completed'!$E$180,"")</f>
        <v/>
      </c>
      <c r="Y181" s="53" t="str">
        <f>IF('Completed'!$F$180&lt;&gt;"",'Completed'!$F$180,"")</f>
        <v/>
      </c>
      <c r="Z181" s="65" t="str">
        <f>IF('Completed'!$G$180&lt;&gt;"",'Completed'!$G$180,"")</f>
        <v/>
      </c>
      <c r="AA181" s="75" t="str">
        <f>IF('Completed'!$H$180&lt;&gt;"",'Completed'!$H$180,"")</f>
        <v/>
      </c>
      <c r="AB181" s="54" t="str">
        <f>IF('Completed'!$I$180&lt;&gt;"",'Completed'!$I$180,"")</f>
        <v/>
      </c>
      <c r="AC181" s="54" t="str">
        <f>IF('Completed'!$J$180&lt;&gt;"",'Completed'!$J$180,"")</f>
        <v/>
      </c>
      <c r="AD181" s="66" t="str">
        <f>IF('Completed'!$K$180&lt;&gt;"",'Completed'!$K$180,"")</f>
        <v/>
      </c>
      <c r="AE181" s="66" t="str">
        <f>IF('Completed'!$L$180&lt;&gt;"",'Completed'!$L$180,"")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IF('Completed'!$A$181&lt;&gt;"",'Completed'!$A$181,"")</f>
        <v/>
      </c>
      <c r="O182" s="28" t="str">
        <f>IF('Completed'!$B$181&lt;&gt;"",'Completed'!$B$181,"")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IF('Completed'!$C$181&lt;&gt;"",'Completed'!$C$181,"")</f>
        <v/>
      </c>
      <c r="W182" s="53" t="str">
        <f>IF('Completed'!$D$181&lt;&gt;"",'Completed'!$D$181,"")</f>
        <v/>
      </c>
      <c r="X182" s="53" t="str">
        <f>IF('Completed'!$E$181&lt;&gt;"",'Completed'!$E$181,"")</f>
        <v/>
      </c>
      <c r="Y182" s="53" t="str">
        <f>IF('Completed'!$F$181&lt;&gt;"",'Completed'!$F$181,"")</f>
        <v/>
      </c>
      <c r="Z182" s="65" t="str">
        <f>IF('Completed'!$G$181&lt;&gt;"",'Completed'!$G$181,"")</f>
        <v/>
      </c>
      <c r="AA182" s="75" t="str">
        <f>IF('Completed'!$H$181&lt;&gt;"",'Completed'!$H$181,"")</f>
        <v/>
      </c>
      <c r="AB182" s="54" t="str">
        <f>IF('Completed'!$I$181&lt;&gt;"",'Completed'!$I$181,"")</f>
        <v/>
      </c>
      <c r="AC182" s="54" t="str">
        <f>IF('Completed'!$J$181&lt;&gt;"",'Completed'!$J$181,"")</f>
        <v/>
      </c>
      <c r="AD182" s="66" t="str">
        <f>IF('Completed'!$K$181&lt;&gt;"",'Completed'!$K$181,"")</f>
        <v/>
      </c>
      <c r="AE182" s="66" t="str">
        <f>IF('Completed'!$L$181&lt;&gt;"",'Completed'!$L$181,"")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IF('Completed'!$A$182&lt;&gt;"",'Completed'!$A$182,"")</f>
        <v/>
      </c>
      <c r="O183" s="28" t="str">
        <f>IF('Completed'!$B$182&lt;&gt;"",'Completed'!$B$182,"")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IF('Completed'!$C$182&lt;&gt;"",'Completed'!$C$182,"")</f>
        <v/>
      </c>
      <c r="W183" s="53" t="str">
        <f>IF('Completed'!$D$182&lt;&gt;"",'Completed'!$D$182,"")</f>
        <v/>
      </c>
      <c r="X183" s="53" t="str">
        <f>IF('Completed'!$E$182&lt;&gt;"",'Completed'!$E$182,"")</f>
        <v/>
      </c>
      <c r="Y183" s="53" t="str">
        <f>IF('Completed'!$F$182&lt;&gt;"",'Completed'!$F$182,"")</f>
        <v/>
      </c>
      <c r="Z183" s="65" t="str">
        <f>IF('Completed'!$G$182&lt;&gt;"",'Completed'!$G$182,"")</f>
        <v/>
      </c>
      <c r="AA183" s="75" t="str">
        <f>IF('Completed'!$H$182&lt;&gt;"",'Completed'!$H$182,"")</f>
        <v/>
      </c>
      <c r="AB183" s="54" t="str">
        <f>IF('Completed'!$I$182&lt;&gt;"",'Completed'!$I$182,"")</f>
        <v/>
      </c>
      <c r="AC183" s="54" t="str">
        <f>IF('Completed'!$J$182&lt;&gt;"",'Completed'!$J$182,"")</f>
        <v/>
      </c>
      <c r="AD183" s="66" t="str">
        <f>IF('Completed'!$K$182&lt;&gt;"",'Completed'!$K$182,"")</f>
        <v/>
      </c>
      <c r="AE183" s="66" t="str">
        <f>IF('Completed'!$L$182&lt;&gt;"",'Completed'!$L$182,"")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IF('Completed'!$A$183&lt;&gt;"",'Completed'!$A$183,"")</f>
        <v/>
      </c>
      <c r="O184" s="28" t="str">
        <f>IF('Completed'!$B$183&lt;&gt;"",'Completed'!$B$183,"")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IF('Completed'!$C$183&lt;&gt;"",'Completed'!$C$183,"")</f>
        <v/>
      </c>
      <c r="W184" s="53" t="str">
        <f>IF('Completed'!$D$183&lt;&gt;"",'Completed'!$D$183,"")</f>
        <v/>
      </c>
      <c r="X184" s="53" t="str">
        <f>IF('Completed'!$E$183&lt;&gt;"",'Completed'!$E$183,"")</f>
        <v/>
      </c>
      <c r="Y184" s="53" t="str">
        <f>IF('Completed'!$F$183&lt;&gt;"",'Completed'!$F$183,"")</f>
        <v/>
      </c>
      <c r="Z184" s="65" t="str">
        <f>IF('Completed'!$G$183&lt;&gt;"",'Completed'!$G$183,"")</f>
        <v/>
      </c>
      <c r="AA184" s="75" t="str">
        <f>IF('Completed'!$H$183&lt;&gt;"",'Completed'!$H$183,"")</f>
        <v/>
      </c>
      <c r="AB184" s="54" t="str">
        <f>IF('Completed'!$I$183&lt;&gt;"",'Completed'!$I$183,"")</f>
        <v/>
      </c>
      <c r="AC184" s="54" t="str">
        <f>IF('Completed'!$J$183&lt;&gt;"",'Completed'!$J$183,"")</f>
        <v/>
      </c>
      <c r="AD184" s="66" t="str">
        <f>IF('Completed'!$K$183&lt;&gt;"",'Completed'!$K$183,"")</f>
        <v/>
      </c>
      <c r="AE184" s="66" t="str">
        <f>IF('Completed'!$L$183&lt;&gt;"",'Completed'!$L$183,"")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IF('Completed'!$A$184&lt;&gt;"",'Completed'!$A$184,"")</f>
        <v/>
      </c>
      <c r="O185" s="28" t="str">
        <f>IF('Completed'!$B$184&lt;&gt;"",'Completed'!$B$184,"")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IF('Completed'!$C$184&lt;&gt;"",'Completed'!$C$184,"")</f>
        <v/>
      </c>
      <c r="W185" s="53" t="str">
        <f>IF('Completed'!$D$184&lt;&gt;"",'Completed'!$D$184,"")</f>
        <v/>
      </c>
      <c r="X185" s="53" t="str">
        <f>IF('Completed'!$E$184&lt;&gt;"",'Completed'!$E$184,"")</f>
        <v/>
      </c>
      <c r="Y185" s="53" t="str">
        <f>IF('Completed'!$F$184&lt;&gt;"",'Completed'!$F$184,"")</f>
        <v/>
      </c>
      <c r="Z185" s="65" t="str">
        <f>IF('Completed'!$G$184&lt;&gt;"",'Completed'!$G$184,"")</f>
        <v/>
      </c>
      <c r="AA185" s="75" t="str">
        <f>IF('Completed'!$H$184&lt;&gt;"",'Completed'!$H$184,"")</f>
        <v/>
      </c>
      <c r="AB185" s="54" t="str">
        <f>IF('Completed'!$I$184&lt;&gt;"",'Completed'!$I$184,"")</f>
        <v/>
      </c>
      <c r="AC185" s="54" t="str">
        <f>IF('Completed'!$J$184&lt;&gt;"",'Completed'!$J$184,"")</f>
        <v/>
      </c>
      <c r="AD185" s="66" t="str">
        <f>IF('Completed'!$K$184&lt;&gt;"",'Completed'!$K$184,"")</f>
        <v/>
      </c>
      <c r="AE185" s="66" t="str">
        <f>IF('Completed'!$L$184&lt;&gt;"",'Completed'!$L$184,"")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IF('Completed'!$A$185&lt;&gt;"",'Completed'!$A$185,"")</f>
        <v/>
      </c>
      <c r="O186" s="28" t="str">
        <f>IF('Completed'!$B$185&lt;&gt;"",'Completed'!$B$185,"")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IF('Completed'!$C$185&lt;&gt;"",'Completed'!$C$185,"")</f>
        <v/>
      </c>
      <c r="W186" s="53" t="str">
        <f>IF('Completed'!$D$185&lt;&gt;"",'Completed'!$D$185,"")</f>
        <v/>
      </c>
      <c r="X186" s="53" t="str">
        <f>IF('Completed'!$E$185&lt;&gt;"",'Completed'!$E$185,"")</f>
        <v/>
      </c>
      <c r="Y186" s="53" t="str">
        <f>IF('Completed'!$F$185&lt;&gt;"",'Completed'!$F$185,"")</f>
        <v/>
      </c>
      <c r="Z186" s="65" t="str">
        <f>IF('Completed'!$G$185&lt;&gt;"",'Completed'!$G$185,"")</f>
        <v/>
      </c>
      <c r="AA186" s="75" t="str">
        <f>IF('Completed'!$H$185&lt;&gt;"",'Completed'!$H$185,"")</f>
        <v/>
      </c>
      <c r="AB186" s="54" t="str">
        <f>IF('Completed'!$I$185&lt;&gt;"",'Completed'!$I$185,"")</f>
        <v/>
      </c>
      <c r="AC186" s="54" t="str">
        <f>IF('Completed'!$J$185&lt;&gt;"",'Completed'!$J$185,"")</f>
        <v/>
      </c>
      <c r="AD186" s="66" t="str">
        <f>IF('Completed'!$K$185&lt;&gt;"",'Completed'!$K$185,"")</f>
        <v/>
      </c>
      <c r="AE186" s="66" t="str">
        <f>IF('Completed'!$L$185&lt;&gt;"",'Completed'!$L$185,"")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IF('Completed'!$A$186&lt;&gt;"",'Completed'!$A$186,"")</f>
        <v/>
      </c>
      <c r="O187" s="28" t="str">
        <f>IF('Completed'!$B$186&lt;&gt;"",'Completed'!$B$186,"")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IF('Completed'!$C$186&lt;&gt;"",'Completed'!$C$186,"")</f>
        <v/>
      </c>
      <c r="W187" s="53" t="str">
        <f>IF('Completed'!$D$186&lt;&gt;"",'Completed'!$D$186,"")</f>
        <v/>
      </c>
      <c r="X187" s="53" t="str">
        <f>IF('Completed'!$E$186&lt;&gt;"",'Completed'!$E$186,"")</f>
        <v/>
      </c>
      <c r="Y187" s="53" t="str">
        <f>IF('Completed'!$F$186&lt;&gt;"",'Completed'!$F$186,"")</f>
        <v/>
      </c>
      <c r="Z187" s="65" t="str">
        <f>IF('Completed'!$G$186&lt;&gt;"",'Completed'!$G$186,"")</f>
        <v/>
      </c>
      <c r="AA187" s="75" t="str">
        <f>IF('Completed'!$H$186&lt;&gt;"",'Completed'!$H$186,"")</f>
        <v/>
      </c>
      <c r="AB187" s="54" t="str">
        <f>IF('Completed'!$I$186&lt;&gt;"",'Completed'!$I$186,"")</f>
        <v/>
      </c>
      <c r="AC187" s="54" t="str">
        <f>IF('Completed'!$J$186&lt;&gt;"",'Completed'!$J$186,"")</f>
        <v/>
      </c>
      <c r="AD187" s="66" t="str">
        <f>IF('Completed'!$K$186&lt;&gt;"",'Completed'!$K$186,"")</f>
        <v/>
      </c>
      <c r="AE187" s="66" t="str">
        <f>IF('Completed'!$L$186&lt;&gt;"",'Completed'!$L$186,"")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IF('Completed'!$A$187&lt;&gt;"",'Completed'!$A$187,"")</f>
        <v/>
      </c>
      <c r="O188" s="28" t="str">
        <f>IF('Completed'!$B$187&lt;&gt;"",'Completed'!$B$187,"")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IF('Completed'!$C$187&lt;&gt;"",'Completed'!$C$187,"")</f>
        <v/>
      </c>
      <c r="W188" s="53" t="str">
        <f>IF('Completed'!$D$187&lt;&gt;"",'Completed'!$D$187,"")</f>
        <v/>
      </c>
      <c r="X188" s="53" t="str">
        <f>IF('Completed'!$E$187&lt;&gt;"",'Completed'!$E$187,"")</f>
        <v/>
      </c>
      <c r="Y188" s="53" t="str">
        <f>IF('Completed'!$F$187&lt;&gt;"",'Completed'!$F$187,"")</f>
        <v/>
      </c>
      <c r="Z188" s="65" t="str">
        <f>IF('Completed'!$G$187&lt;&gt;"",'Completed'!$G$187,"")</f>
        <v/>
      </c>
      <c r="AA188" s="75" t="str">
        <f>IF('Completed'!$H$187&lt;&gt;"",'Completed'!$H$187,"")</f>
        <v/>
      </c>
      <c r="AB188" s="54" t="str">
        <f>IF('Completed'!$I$187&lt;&gt;"",'Completed'!$I$187,"")</f>
        <v/>
      </c>
      <c r="AC188" s="54" t="str">
        <f>IF('Completed'!$J$187&lt;&gt;"",'Completed'!$J$187,"")</f>
        <v/>
      </c>
      <c r="AD188" s="66" t="str">
        <f>IF('Completed'!$K$187&lt;&gt;"",'Completed'!$K$187,"")</f>
        <v/>
      </c>
      <c r="AE188" s="66" t="str">
        <f>IF('Completed'!$L$187&lt;&gt;"",'Completed'!$L$187,"")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IF('Completed'!$A$188&lt;&gt;"",'Completed'!$A$188,"")</f>
        <v/>
      </c>
      <c r="O189" s="28" t="str">
        <f>IF('Completed'!$B$188&lt;&gt;"",'Completed'!$B$188,"")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IF('Completed'!$C$188&lt;&gt;"",'Completed'!$C$188,"")</f>
        <v/>
      </c>
      <c r="W189" s="53" t="str">
        <f>IF('Completed'!$D$188&lt;&gt;"",'Completed'!$D$188,"")</f>
        <v/>
      </c>
      <c r="X189" s="53" t="str">
        <f>IF('Completed'!$E$188&lt;&gt;"",'Completed'!$E$188,"")</f>
        <v/>
      </c>
      <c r="Y189" s="53" t="str">
        <f>IF('Completed'!$F$188&lt;&gt;"",'Completed'!$F$188,"")</f>
        <v/>
      </c>
      <c r="Z189" s="65" t="str">
        <f>IF('Completed'!$G$188&lt;&gt;"",'Completed'!$G$188,"")</f>
        <v/>
      </c>
      <c r="AA189" s="75" t="str">
        <f>IF('Completed'!$H$188&lt;&gt;"",'Completed'!$H$188,"")</f>
        <v/>
      </c>
      <c r="AB189" s="54" t="str">
        <f>IF('Completed'!$I$188&lt;&gt;"",'Completed'!$I$188,"")</f>
        <v/>
      </c>
      <c r="AC189" s="54" t="str">
        <f>IF('Completed'!$J$188&lt;&gt;"",'Completed'!$J$188,"")</f>
        <v/>
      </c>
      <c r="AD189" s="66" t="str">
        <f>IF('Completed'!$K$188&lt;&gt;"",'Completed'!$K$188,"")</f>
        <v/>
      </c>
      <c r="AE189" s="66" t="str">
        <f>IF('Completed'!$L$188&lt;&gt;"",'Completed'!$L$188,"")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IF('Completed'!$A$189&lt;&gt;"",'Completed'!$A$189,"")</f>
        <v/>
      </c>
      <c r="O190" s="28" t="str">
        <f>IF('Completed'!$B$189&lt;&gt;"",'Completed'!$B$189,"")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IF('Completed'!$C$189&lt;&gt;"",'Completed'!$C$189,"")</f>
        <v/>
      </c>
      <c r="W190" s="53" t="str">
        <f>IF('Completed'!$D$189&lt;&gt;"",'Completed'!$D$189,"")</f>
        <v/>
      </c>
      <c r="X190" s="53" t="str">
        <f>IF('Completed'!$E$189&lt;&gt;"",'Completed'!$E$189,"")</f>
        <v/>
      </c>
      <c r="Y190" s="53" t="str">
        <f>IF('Completed'!$F$189&lt;&gt;"",'Completed'!$F$189,"")</f>
        <v/>
      </c>
      <c r="Z190" s="65" t="str">
        <f>IF('Completed'!$G$189&lt;&gt;"",'Completed'!$G$189,"")</f>
        <v/>
      </c>
      <c r="AA190" s="75" t="str">
        <f>IF('Completed'!$H$189&lt;&gt;"",'Completed'!$H$189,"")</f>
        <v/>
      </c>
      <c r="AB190" s="54" t="str">
        <f>IF('Completed'!$I$189&lt;&gt;"",'Completed'!$I$189,"")</f>
        <v/>
      </c>
      <c r="AC190" s="54" t="str">
        <f>IF('Completed'!$J$189&lt;&gt;"",'Completed'!$J$189,"")</f>
        <v/>
      </c>
      <c r="AD190" s="66" t="str">
        <f>IF('Completed'!$K$189&lt;&gt;"",'Completed'!$K$189,"")</f>
        <v/>
      </c>
      <c r="AE190" s="66" t="str">
        <f>IF('Completed'!$L$189&lt;&gt;"",'Completed'!$L$189,"")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IF('Completed'!$A$190&lt;&gt;"",'Completed'!$A$190,"")</f>
        <v/>
      </c>
      <c r="O191" s="28" t="str">
        <f>IF('Completed'!$B$190&lt;&gt;"",'Completed'!$B$190,"")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IF('Completed'!$C$190&lt;&gt;"",'Completed'!$C$190,"")</f>
        <v/>
      </c>
      <c r="W191" s="53" t="str">
        <f>IF('Completed'!$D$190&lt;&gt;"",'Completed'!$D$190,"")</f>
        <v/>
      </c>
      <c r="X191" s="53" t="str">
        <f>IF('Completed'!$E$190&lt;&gt;"",'Completed'!$E$190,"")</f>
        <v/>
      </c>
      <c r="Y191" s="53" t="str">
        <f>IF('Completed'!$F$190&lt;&gt;"",'Completed'!$F$190,"")</f>
        <v/>
      </c>
      <c r="Z191" s="65" t="str">
        <f>IF('Completed'!$G$190&lt;&gt;"",'Completed'!$G$190,"")</f>
        <v/>
      </c>
      <c r="AA191" s="75" t="str">
        <f>IF('Completed'!$H$190&lt;&gt;"",'Completed'!$H$190,"")</f>
        <v/>
      </c>
      <c r="AB191" s="54" t="str">
        <f>IF('Completed'!$I$190&lt;&gt;"",'Completed'!$I$190,"")</f>
        <v/>
      </c>
      <c r="AC191" s="54" t="str">
        <f>IF('Completed'!$J$190&lt;&gt;"",'Completed'!$J$190,"")</f>
        <v/>
      </c>
      <c r="AD191" s="66" t="str">
        <f>IF('Completed'!$K$190&lt;&gt;"",'Completed'!$K$190,"")</f>
        <v/>
      </c>
      <c r="AE191" s="66" t="str">
        <f>IF('Completed'!$L$190&lt;&gt;"",'Completed'!$L$190,"")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IF('Completed'!$A$191&lt;&gt;"",'Completed'!$A$191,"")</f>
        <v/>
      </c>
      <c r="O192" s="28" t="str">
        <f>IF('Completed'!$B$191&lt;&gt;"",'Completed'!$B$191,"")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IF('Completed'!$C$191&lt;&gt;"",'Completed'!$C$191,"")</f>
        <v/>
      </c>
      <c r="W192" s="53" t="str">
        <f>IF('Completed'!$D$191&lt;&gt;"",'Completed'!$D$191,"")</f>
        <v/>
      </c>
      <c r="X192" s="53" t="str">
        <f>IF('Completed'!$E$191&lt;&gt;"",'Completed'!$E$191,"")</f>
        <v/>
      </c>
      <c r="Y192" s="53" t="str">
        <f>IF('Completed'!$F$191&lt;&gt;"",'Completed'!$F$191,"")</f>
        <v/>
      </c>
      <c r="Z192" s="65" t="str">
        <f>IF('Completed'!$G$191&lt;&gt;"",'Completed'!$G$191,"")</f>
        <v/>
      </c>
      <c r="AA192" s="75" t="str">
        <f>IF('Completed'!$H$191&lt;&gt;"",'Completed'!$H$191,"")</f>
        <v/>
      </c>
      <c r="AB192" s="54" t="str">
        <f>IF('Completed'!$I$191&lt;&gt;"",'Completed'!$I$191,"")</f>
        <v/>
      </c>
      <c r="AC192" s="54" t="str">
        <f>IF('Completed'!$J$191&lt;&gt;"",'Completed'!$J$191,"")</f>
        <v/>
      </c>
      <c r="AD192" s="66" t="str">
        <f>IF('Completed'!$K$191&lt;&gt;"",'Completed'!$K$191,"")</f>
        <v/>
      </c>
      <c r="AE192" s="66" t="str">
        <f>IF('Completed'!$L$191&lt;&gt;"",'Completed'!$L$191,"")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IF('Completed'!$A$194&lt;&gt;"",'Completed'!$A$194,"")</f>
        <v/>
      </c>
      <c r="O193" s="28" t="str">
        <f>IF('Completed'!$B$194&lt;&gt;"",'Completed'!$B$194,"")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IF('Completed'!$C$194&lt;&gt;"",'Completed'!$C$194,"")</f>
        <v/>
      </c>
      <c r="W193" s="53" t="str">
        <f>IF('Completed'!$D$194&lt;&gt;"",'Completed'!$D$194,"")</f>
        <v/>
      </c>
      <c r="X193" s="53" t="str">
        <f>IF('Completed'!$E$194&lt;&gt;"",'Completed'!$E$194,"")</f>
        <v/>
      </c>
      <c r="Y193" s="53" t="str">
        <f>IF('Completed'!$F$194&lt;&gt;"",'Completed'!$F$194,"")</f>
        <v/>
      </c>
      <c r="Z193" s="65" t="str">
        <f>IF('Completed'!$G$194&lt;&gt;"",'Completed'!$G$194,"")</f>
        <v/>
      </c>
      <c r="AA193" s="75" t="str">
        <f>IF('Completed'!$H$194&lt;&gt;"",'Completed'!$H$194,"")</f>
        <v/>
      </c>
      <c r="AB193" s="54" t="str">
        <f>IF('Completed'!$I$194&lt;&gt;"",'Completed'!$I$194,"")</f>
        <v/>
      </c>
      <c r="AC193" s="54" t="str">
        <f>IF('Completed'!$J$194&lt;&gt;"",'Completed'!$J$194,"")</f>
        <v/>
      </c>
      <c r="AD193" s="66" t="str">
        <f>IF('Completed'!$K$194&lt;&gt;"",'Completed'!$K$194,"")</f>
        <v/>
      </c>
      <c r="AE193" s="66" t="str">
        <f>IF('Completed'!$L$194&lt;&gt;"",'Completed'!$L$194,"")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IF('Completed'!$A$195&lt;&gt;"",'Completed'!$A$195,"")</f>
        <v/>
      </c>
      <c r="O194" s="28" t="str">
        <f>IF('Completed'!$B$195&lt;&gt;"",'Completed'!$B$195,"")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IF('Completed'!$C$195&lt;&gt;"",'Completed'!$C$195,"")</f>
        <v/>
      </c>
      <c r="W194" s="53" t="str">
        <f>IF('Completed'!$D$195&lt;&gt;"",'Completed'!$D$195,"")</f>
        <v/>
      </c>
      <c r="X194" s="53" t="str">
        <f>IF('Completed'!$E$195&lt;&gt;"",'Completed'!$E$195,"")</f>
        <v/>
      </c>
      <c r="Y194" s="53" t="str">
        <f>IF('Completed'!$F$195&lt;&gt;"",'Completed'!$F$195,"")</f>
        <v/>
      </c>
      <c r="Z194" s="65" t="str">
        <f>IF('Completed'!$G$195&lt;&gt;"",'Completed'!$G$195,"")</f>
        <v/>
      </c>
      <c r="AA194" s="75" t="str">
        <f>IF('Completed'!$H$195&lt;&gt;"",'Completed'!$H$195,"")</f>
        <v/>
      </c>
      <c r="AB194" s="54" t="str">
        <f>IF('Completed'!$I$195&lt;&gt;"",'Completed'!$I$195,"")</f>
        <v/>
      </c>
      <c r="AC194" s="54" t="str">
        <f>IF('Completed'!$J$195&lt;&gt;"",'Completed'!$J$195,"")</f>
        <v/>
      </c>
      <c r="AD194" s="66" t="str">
        <f>IF('Completed'!$K$195&lt;&gt;"",'Completed'!$K$195,"")</f>
        <v/>
      </c>
      <c r="AE194" s="66" t="str">
        <f>IF('Completed'!$L$195&lt;&gt;"",'Completed'!$L$195,"")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IF('Completed'!$A$196&lt;&gt;"",'Completed'!$A$196,"")</f>
        <v/>
      </c>
      <c r="O195" s="28" t="str">
        <f>IF('Completed'!$B$196&lt;&gt;"",'Completed'!$B$196,"")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IF('Completed'!$C$196&lt;&gt;"",'Completed'!$C$196,"")</f>
        <v/>
      </c>
      <c r="W195" s="53" t="str">
        <f>IF('Completed'!$D$196&lt;&gt;"",'Completed'!$D$196,"")</f>
        <v/>
      </c>
      <c r="X195" s="53" t="str">
        <f>IF('Completed'!$E$196&lt;&gt;"",'Completed'!$E$196,"")</f>
        <v/>
      </c>
      <c r="Y195" s="53" t="str">
        <f>IF('Completed'!$F$196&lt;&gt;"",'Completed'!$F$196,"")</f>
        <v/>
      </c>
      <c r="Z195" s="65" t="str">
        <f>IF('Completed'!$G$196&lt;&gt;"",'Completed'!$G$196,"")</f>
        <v/>
      </c>
      <c r="AA195" s="75" t="str">
        <f>IF('Completed'!$H$196&lt;&gt;"",'Completed'!$H$196,"")</f>
        <v/>
      </c>
      <c r="AB195" s="54" t="str">
        <f>IF('Completed'!$I$196&lt;&gt;"",'Completed'!$I$196,"")</f>
        <v/>
      </c>
      <c r="AC195" s="54" t="str">
        <f>IF('Completed'!$J$196&lt;&gt;"",'Completed'!$J$196,"")</f>
        <v/>
      </c>
      <c r="AD195" s="66" t="str">
        <f>IF('Completed'!$K$196&lt;&gt;"",'Completed'!$K$196,"")</f>
        <v/>
      </c>
      <c r="AE195" s="66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1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684</v>
      </c>
      <c r="B63" s="28">
        <v>1</v>
      </c>
      <c r="C63" s="28">
        <v>13</v>
      </c>
      <c r="D63" s="22" t="s">
        <v>124</v>
      </c>
      <c r="E63" s="22" t="s">
        <v>124</v>
      </c>
      <c r="F63" s="22" t="s">
        <v>124</v>
      </c>
      <c r="G63" s="33" t="s">
        <v>522</v>
      </c>
      <c r="H63" s="122" t="s">
        <v>124</v>
      </c>
    </row>
    <row r="64" spans="1:8" ht="16.5">
      <c r="A64" s="21" t="s">
        <v>540</v>
      </c>
      <c r="B64" s="28">
        <v>1</v>
      </c>
      <c r="C64" s="28">
        <v>25</v>
      </c>
      <c r="D64" s="22" t="s">
        <v>265</v>
      </c>
      <c r="E64" s="22" t="s">
        <v>483</v>
      </c>
      <c r="F64" s="22" t="s">
        <v>446</v>
      </c>
      <c r="G64" s="33" t="s">
        <v>543</v>
      </c>
      <c r="H64" s="122" t="s">
        <v>366</v>
      </c>
    </row>
    <row r="65" spans="1:8" ht="16.5">
      <c r="A65" s="17" t="s">
        <v>135</v>
      </c>
      <c r="B65" s="6">
        <v>1</v>
      </c>
      <c r="C65" s="6">
        <v>16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499</v>
      </c>
    </row>
    <row r="66" spans="1:8" ht="16.5">
      <c r="A66" s="17" t="s">
        <v>184</v>
      </c>
      <c r="B66" s="6">
        <v>1</v>
      </c>
      <c r="C66" s="6">
        <v>13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426</v>
      </c>
    </row>
    <row r="67" spans="1:8" ht="16.5">
      <c r="A67" s="17" t="s">
        <v>97</v>
      </c>
      <c r="B67" s="6">
        <v>1</v>
      </c>
      <c r="C67" s="6">
        <v>12</v>
      </c>
      <c r="D67" s="18" t="s">
        <v>262</v>
      </c>
      <c r="E67" s="22" t="s">
        <v>483</v>
      </c>
      <c r="F67" s="22" t="s">
        <v>447</v>
      </c>
      <c r="G67" s="33" t="s">
        <v>543</v>
      </c>
      <c r="H67" s="125" t="s">
        <v>286</v>
      </c>
    </row>
    <row r="68" spans="1:8" ht="16.5">
      <c r="A68" s="21" t="s">
        <v>241</v>
      </c>
      <c r="B68" s="28">
        <v>2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327</v>
      </c>
    </row>
    <row r="69" spans="1:8" ht="16.5">
      <c r="A69" s="21" t="s">
        <v>31</v>
      </c>
      <c r="B69" s="28">
        <v>1</v>
      </c>
      <c r="C69" s="28">
        <v>12</v>
      </c>
      <c r="D69" s="22" t="s">
        <v>262</v>
      </c>
      <c r="E69" s="22" t="s">
        <v>483</v>
      </c>
      <c r="F69" s="22" t="s">
        <v>447</v>
      </c>
      <c r="G69" s="33" t="s">
        <v>543</v>
      </c>
      <c r="H69" s="122" t="s">
        <v>329</v>
      </c>
    </row>
    <row r="70" spans="1:8" ht="16.5">
      <c r="A70" s="17" t="s">
        <v>133</v>
      </c>
      <c r="B70" s="6">
        <v>2</v>
      </c>
      <c r="C70" s="6">
        <v>24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512</v>
      </c>
    </row>
    <row r="71" spans="1:8" ht="16.5">
      <c r="A71" s="17" t="s">
        <v>36</v>
      </c>
      <c r="B71" s="6">
        <v>1</v>
      </c>
      <c r="C71" s="6">
        <v>12</v>
      </c>
      <c r="D71" s="18" t="s">
        <v>262</v>
      </c>
      <c r="E71" s="22" t="s">
        <v>483</v>
      </c>
      <c r="F71" s="22" t="s">
        <v>447</v>
      </c>
      <c r="G71" s="33" t="s">
        <v>543</v>
      </c>
      <c r="H71" s="125" t="s">
        <v>514</v>
      </c>
    </row>
    <row r="72" spans="1:8" ht="16.5">
      <c r="A72" s="17" t="s">
        <v>59</v>
      </c>
      <c r="B72" s="6">
        <v>1</v>
      </c>
      <c r="C72" s="6">
        <v>12</v>
      </c>
      <c r="D72" s="18" t="s">
        <v>265</v>
      </c>
      <c r="E72" s="22" t="s">
        <v>483</v>
      </c>
      <c r="F72" s="22" t="s">
        <v>447</v>
      </c>
      <c r="G72" s="33" t="s">
        <v>561</v>
      </c>
      <c r="H72" s="125" t="s">
        <v>301</v>
      </c>
    </row>
    <row r="73" spans="1:8" ht="16.5">
      <c r="A73" s="17" t="s">
        <v>177</v>
      </c>
      <c r="B73" s="6">
        <v>1</v>
      </c>
      <c r="C73" s="6">
        <v>11</v>
      </c>
      <c r="D73" s="18" t="s">
        <v>262</v>
      </c>
      <c r="E73" s="22" t="s">
        <v>484</v>
      </c>
      <c r="F73" s="22" t="s">
        <v>447</v>
      </c>
      <c r="G73" s="33" t="s">
        <v>529</v>
      </c>
      <c r="H73" s="125" t="s">
        <v>301</v>
      </c>
    </row>
    <row r="74" spans="1:8" ht="16.5">
      <c r="A74" s="21" t="s">
        <v>41</v>
      </c>
      <c r="B74" s="28">
        <v>1</v>
      </c>
      <c r="C74" s="28">
        <v>12</v>
      </c>
      <c r="D74" s="22" t="s">
        <v>265</v>
      </c>
      <c r="E74" s="22" t="s">
        <v>483</v>
      </c>
      <c r="F74" s="22" t="s">
        <v>447</v>
      </c>
      <c r="G74" s="33" t="s">
        <v>529</v>
      </c>
      <c r="H74" s="122" t="s">
        <v>499</v>
      </c>
    </row>
    <row r="75" spans="1:8" ht="16.5">
      <c r="A75" s="21" t="s">
        <v>231</v>
      </c>
      <c r="B75" s="28">
        <v>1</v>
      </c>
      <c r="C75" s="28">
        <v>12</v>
      </c>
      <c r="D75" s="22" t="s">
        <v>262</v>
      </c>
      <c r="E75" s="22" t="s">
        <v>483</v>
      </c>
      <c r="F75" s="22" t="s">
        <v>446</v>
      </c>
      <c r="G75" s="33" t="s">
        <v>529</v>
      </c>
      <c r="H75" s="122" t="s">
        <v>285</v>
      </c>
    </row>
    <row r="76" spans="1:8" ht="16.5">
      <c r="A76" s="17" t="s">
        <v>148</v>
      </c>
      <c r="B76" s="6">
        <v>1</v>
      </c>
      <c r="C76" s="6">
        <v>26</v>
      </c>
      <c r="D76" s="18" t="s">
        <v>262</v>
      </c>
      <c r="E76" s="22" t="s">
        <v>484</v>
      </c>
      <c r="F76" s="22" t="s">
        <v>447</v>
      </c>
      <c r="G76" s="33" t="s">
        <v>529</v>
      </c>
      <c r="H76" s="125" t="s">
        <v>301</v>
      </c>
    </row>
    <row r="77" spans="1:8" ht="16.5">
      <c r="A77" s="21" t="s">
        <v>243</v>
      </c>
      <c r="B77" s="28">
        <v>2</v>
      </c>
      <c r="C77" s="28">
        <v>12</v>
      </c>
      <c r="D77" s="32" t="s">
        <v>124</v>
      </c>
      <c r="E77" s="22" t="s">
        <v>124</v>
      </c>
      <c r="F77" s="22" t="s">
        <v>124</v>
      </c>
      <c r="G77" s="33" t="s">
        <v>529</v>
      </c>
      <c r="H77" s="122" t="s">
        <v>124</v>
      </c>
    </row>
    <row r="78" spans="1:8" ht="16.5">
      <c r="A78" s="17" t="s">
        <v>108</v>
      </c>
      <c r="B78" s="6">
        <v>1</v>
      </c>
      <c r="C78" s="6">
        <v>25</v>
      </c>
      <c r="D78" s="18" t="s">
        <v>262</v>
      </c>
      <c r="E78" s="22" t="s">
        <v>483</v>
      </c>
      <c r="F78" s="22" t="s">
        <v>447</v>
      </c>
      <c r="G78" s="33" t="s">
        <v>529</v>
      </c>
      <c r="H78" s="125" t="s">
        <v>426</v>
      </c>
    </row>
    <row r="79" spans="1:8" ht="16.5">
      <c r="A79" s="21" t="s">
        <v>242</v>
      </c>
      <c r="B79" s="28">
        <v>2</v>
      </c>
      <c r="C79" s="28">
        <v>12</v>
      </c>
      <c r="D79" s="22" t="s">
        <v>262</v>
      </c>
      <c r="E79" s="22" t="s">
        <v>483</v>
      </c>
      <c r="F79" s="22" t="s">
        <v>447</v>
      </c>
      <c r="G79" s="33" t="s">
        <v>529</v>
      </c>
      <c r="H79" s="122" t="s">
        <v>329</v>
      </c>
    </row>
    <row r="80" spans="1:8" ht="16.5">
      <c r="A80" s="17" t="s">
        <v>79</v>
      </c>
      <c r="B80" s="6">
        <v>2</v>
      </c>
      <c r="C80" s="6">
        <v>13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463</v>
      </c>
    </row>
    <row r="81" spans="1:8" ht="16.5">
      <c r="A81" s="17" t="s">
        <v>123</v>
      </c>
      <c r="B81" s="6">
        <v>1</v>
      </c>
      <c r="C81" s="6">
        <v>12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507</v>
      </c>
    </row>
    <row r="82" spans="1:8" ht="16.5">
      <c r="A82" s="17" t="s">
        <v>152</v>
      </c>
      <c r="B82" s="6">
        <v>1</v>
      </c>
      <c r="C82" s="6">
        <v>26</v>
      </c>
      <c r="D82" s="18" t="s">
        <v>262</v>
      </c>
      <c r="E82" s="22" t="s">
        <v>483</v>
      </c>
      <c r="F82" s="22" t="s">
        <v>447</v>
      </c>
      <c r="G82" s="33" t="s">
        <v>538</v>
      </c>
      <c r="H82" s="125" t="s">
        <v>511</v>
      </c>
    </row>
    <row r="83" spans="1:8" ht="16.5">
      <c r="A83" s="21" t="s">
        <v>330</v>
      </c>
      <c r="B83" s="28">
        <v>1</v>
      </c>
      <c r="C83" s="28">
        <v>11</v>
      </c>
      <c r="D83" s="22" t="s">
        <v>262</v>
      </c>
      <c r="E83" s="22" t="s">
        <v>483</v>
      </c>
      <c r="F83" s="22" t="s">
        <v>447</v>
      </c>
      <c r="G83" s="33" t="s">
        <v>538</v>
      </c>
      <c r="H83" s="122" t="s">
        <v>331</v>
      </c>
    </row>
    <row r="84" spans="1:8" ht="16.5">
      <c r="A84" s="17" t="s">
        <v>101</v>
      </c>
      <c r="B84" s="6">
        <v>1</v>
      </c>
      <c r="C84" s="6">
        <v>12</v>
      </c>
      <c r="D84" s="18" t="s">
        <v>262</v>
      </c>
      <c r="E84" s="22" t="s">
        <v>484</v>
      </c>
      <c r="F84" s="22" t="s">
        <v>447</v>
      </c>
      <c r="G84" s="33" t="s">
        <v>538</v>
      </c>
      <c r="H84" s="125" t="s">
        <v>301</v>
      </c>
    </row>
    <row r="85" spans="1:8" ht="16.5">
      <c r="A85" s="21" t="s">
        <v>541</v>
      </c>
      <c r="B85" s="28">
        <v>2</v>
      </c>
      <c r="C85" s="28">
        <v>24</v>
      </c>
      <c r="D85" s="32" t="s">
        <v>265</v>
      </c>
      <c r="E85" s="22" t="s">
        <v>483</v>
      </c>
      <c r="F85" s="32" t="s">
        <v>446</v>
      </c>
      <c r="G85" s="35" t="s">
        <v>525</v>
      </c>
      <c r="H85" s="123" t="s">
        <v>367</v>
      </c>
    </row>
    <row r="86" spans="1:8" ht="16.5">
      <c r="A86" s="17" t="s">
        <v>72</v>
      </c>
      <c r="B86" s="6">
        <v>1</v>
      </c>
      <c r="C86" s="6">
        <v>13</v>
      </c>
      <c r="D86" s="18" t="s">
        <v>262</v>
      </c>
      <c r="E86" s="22" t="s">
        <v>483</v>
      </c>
      <c r="F86" s="22" t="s">
        <v>447</v>
      </c>
      <c r="G86" s="33" t="s">
        <v>525</v>
      </c>
      <c r="H86" s="125" t="s">
        <v>499</v>
      </c>
    </row>
    <row r="87" spans="1:8" ht="16.5">
      <c r="A87" s="17" t="s">
        <v>117</v>
      </c>
      <c r="B87" s="6">
        <v>1</v>
      </c>
      <c r="C87" s="6">
        <v>25</v>
      </c>
      <c r="D87" s="18" t="s">
        <v>262</v>
      </c>
      <c r="E87" s="22" t="s">
        <v>483</v>
      </c>
      <c r="F87" s="22" t="s">
        <v>446</v>
      </c>
      <c r="G87" s="33" t="s">
        <v>525</v>
      </c>
      <c r="H87" s="125" t="s">
        <v>304</v>
      </c>
    </row>
    <row r="88" spans="1:8" ht="16.5">
      <c r="A88" s="21" t="s">
        <v>252</v>
      </c>
      <c r="B88" s="28">
        <v>2</v>
      </c>
      <c r="C88" s="28">
        <v>25</v>
      </c>
      <c r="D88" s="22" t="s">
        <v>262</v>
      </c>
      <c r="E88" s="22" t="s">
        <v>483</v>
      </c>
      <c r="F88" s="22" t="s">
        <v>447</v>
      </c>
      <c r="G88" s="33" t="s">
        <v>525</v>
      </c>
      <c r="H88" s="122" t="s">
        <v>285</v>
      </c>
    </row>
    <row r="89" spans="1:8" ht="16.5">
      <c r="A89" s="17" t="s">
        <v>233</v>
      </c>
      <c r="B89" s="6">
        <v>1</v>
      </c>
      <c r="C89" s="6">
        <v>26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303</v>
      </c>
    </row>
    <row r="90" spans="1:8" ht="16.5">
      <c r="A90" s="17" t="s">
        <v>154</v>
      </c>
      <c r="B90" s="6">
        <v>3</v>
      </c>
      <c r="C90" s="6">
        <v>24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301</v>
      </c>
    </row>
    <row r="91" spans="1:8" ht="16.5">
      <c r="A91" s="17" t="s">
        <v>94</v>
      </c>
      <c r="B91" s="6">
        <v>2</v>
      </c>
      <c r="C91" s="6">
        <v>12</v>
      </c>
      <c r="D91" s="18" t="s">
        <v>262</v>
      </c>
      <c r="E91" s="22" t="s">
        <v>483</v>
      </c>
      <c r="F91" s="22" t="s">
        <v>447</v>
      </c>
      <c r="G91" s="33" t="s">
        <v>525</v>
      </c>
      <c r="H91" s="125" t="s">
        <v>286</v>
      </c>
    </row>
    <row r="92" spans="1:8" ht="16.5">
      <c r="A92" s="21" t="s">
        <v>333</v>
      </c>
      <c r="B92" s="28">
        <v>1</v>
      </c>
      <c r="C92" s="28">
        <v>12</v>
      </c>
      <c r="D92" s="22" t="s">
        <v>262</v>
      </c>
      <c r="E92" s="22" t="s">
        <v>483</v>
      </c>
      <c r="F92" s="22" t="s">
        <v>446</v>
      </c>
      <c r="G92" s="33" t="s">
        <v>534</v>
      </c>
      <c r="H92" s="122" t="s">
        <v>312</v>
      </c>
    </row>
    <row r="93" spans="1:8" ht="16.5">
      <c r="A93" s="17" t="s">
        <v>314</v>
      </c>
      <c r="B93" s="6">
        <v>1</v>
      </c>
      <c r="C93" s="6">
        <v>8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303</v>
      </c>
    </row>
    <row r="94" spans="1:8" ht="16.5">
      <c r="A94" s="17" t="s">
        <v>167</v>
      </c>
      <c r="B94" s="6">
        <v>1</v>
      </c>
      <c r="C94" s="6">
        <v>12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307</v>
      </c>
    </row>
    <row r="95" spans="1:8" ht="16.5">
      <c r="A95" s="17" t="s">
        <v>86</v>
      </c>
      <c r="B95" s="6">
        <v>2</v>
      </c>
      <c r="C95" s="6">
        <v>11</v>
      </c>
      <c r="D95" s="18" t="s">
        <v>262</v>
      </c>
      <c r="E95" s="22" t="s">
        <v>483</v>
      </c>
      <c r="F95" s="22" t="s">
        <v>447</v>
      </c>
      <c r="G95" s="33" t="s">
        <v>534</v>
      </c>
      <c r="H95" s="125" t="s">
        <v>505</v>
      </c>
    </row>
    <row r="96" spans="1:8" ht="16.5">
      <c r="A96" s="21" t="s">
        <v>401</v>
      </c>
      <c r="B96" s="28">
        <v>4</v>
      </c>
      <c r="C96" s="28">
        <v>12</v>
      </c>
      <c r="D96" s="22" t="s">
        <v>265</v>
      </c>
      <c r="E96" s="22" t="s">
        <v>483</v>
      </c>
      <c r="F96" s="22" t="s">
        <v>447</v>
      </c>
      <c r="G96" s="33" t="s">
        <v>534</v>
      </c>
      <c r="H96" s="122" t="s">
        <v>301</v>
      </c>
    </row>
    <row r="97" spans="1:8" ht="16.5">
      <c r="A97" s="21" t="s">
        <v>613</v>
      </c>
      <c r="B97" s="28">
        <v>1</v>
      </c>
      <c r="C97" s="28">
        <v>24</v>
      </c>
      <c r="D97" s="22" t="s">
        <v>265</v>
      </c>
      <c r="E97" s="22" t="s">
        <v>483</v>
      </c>
      <c r="F97" s="22" t="s">
        <v>447</v>
      </c>
      <c r="G97" s="33" t="s">
        <v>531</v>
      </c>
      <c r="H97" s="122" t="s">
        <v>286</v>
      </c>
    </row>
    <row r="98" spans="1:8" ht="16.5">
      <c r="A98" s="17" t="s">
        <v>88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447</v>
      </c>
      <c r="G98" s="33" t="s">
        <v>531</v>
      </c>
      <c r="H98" s="125" t="s">
        <v>300</v>
      </c>
    </row>
    <row r="99" spans="1:8" ht="16.5">
      <c r="A99" s="17" t="s">
        <v>77</v>
      </c>
      <c r="B99" s="6">
        <v>1</v>
      </c>
      <c r="C99" s="6">
        <v>13</v>
      </c>
      <c r="D99" s="18" t="s">
        <v>262</v>
      </c>
      <c r="E99" s="22" t="s">
        <v>483</v>
      </c>
      <c r="F99" s="22" t="s">
        <v>446</v>
      </c>
      <c r="G99" s="33" t="s">
        <v>531</v>
      </c>
      <c r="H99" s="125" t="s">
        <v>308</v>
      </c>
    </row>
    <row r="100" spans="1:8" ht="16.5">
      <c r="A100" s="17" t="s">
        <v>155</v>
      </c>
      <c r="B100" s="6">
        <v>1</v>
      </c>
      <c r="C100" s="6">
        <v>22</v>
      </c>
      <c r="D100" s="18" t="s">
        <v>262</v>
      </c>
      <c r="E100" s="22" t="s">
        <v>483</v>
      </c>
      <c r="F100" s="22" t="s">
        <v>447</v>
      </c>
      <c r="G100" s="33" t="s">
        <v>531</v>
      </c>
      <c r="H100" s="125" t="s">
        <v>499</v>
      </c>
    </row>
    <row r="101" spans="1:8" ht="16.5">
      <c r="A101" s="17" t="s">
        <v>340</v>
      </c>
      <c r="B101" s="6">
        <v>1</v>
      </c>
      <c r="C101" s="6">
        <v>12</v>
      </c>
      <c r="D101" s="18" t="s">
        <v>265</v>
      </c>
      <c r="E101" s="22" t="s">
        <v>483</v>
      </c>
      <c r="F101" s="22" t="s">
        <v>448</v>
      </c>
      <c r="G101" s="33" t="s">
        <v>531</v>
      </c>
      <c r="H101" s="125" t="s">
        <v>304</v>
      </c>
    </row>
    <row r="102" spans="1:8" ht="16.5">
      <c r="A102" s="17" t="s">
        <v>387</v>
      </c>
      <c r="B102" s="6">
        <v>1</v>
      </c>
      <c r="C102" s="6">
        <v>26</v>
      </c>
      <c r="D102" s="18" t="s">
        <v>265</v>
      </c>
      <c r="E102" s="22" t="s">
        <v>483</v>
      </c>
      <c r="F102" s="22" t="s">
        <v>446</v>
      </c>
      <c r="G102" s="33" t="s">
        <v>531</v>
      </c>
      <c r="H102" s="125" t="s">
        <v>305</v>
      </c>
    </row>
    <row r="103" spans="1:8" ht="16.5">
      <c r="A103" s="21" t="s">
        <v>257</v>
      </c>
      <c r="B103" s="28">
        <v>1</v>
      </c>
      <c r="C103" s="28">
        <v>16</v>
      </c>
      <c r="D103" s="32" t="s">
        <v>265</v>
      </c>
      <c r="E103" s="22" t="s">
        <v>483</v>
      </c>
      <c r="F103" s="32" t="s">
        <v>447</v>
      </c>
      <c r="G103" s="35" t="s">
        <v>532</v>
      </c>
      <c r="H103" s="122" t="s">
        <v>301</v>
      </c>
    </row>
    <row r="104" spans="1:8" ht="16.5">
      <c r="A104" s="21" t="s">
        <v>682</v>
      </c>
      <c r="B104" s="28">
        <v>1</v>
      </c>
      <c r="C104" s="28">
        <v>13</v>
      </c>
      <c r="D104" s="22" t="s">
        <v>124</v>
      </c>
      <c r="E104" s="22" t="s">
        <v>124</v>
      </c>
      <c r="F104" s="22" t="s">
        <v>124</v>
      </c>
      <c r="G104" s="33" t="s">
        <v>532</v>
      </c>
      <c r="H104" s="122" t="s">
        <v>124</v>
      </c>
    </row>
    <row r="105" spans="1:8" ht="16.5">
      <c r="A105" s="17" t="s">
        <v>40</v>
      </c>
      <c r="B105" s="6">
        <v>1</v>
      </c>
      <c r="C105" s="6">
        <v>17</v>
      </c>
      <c r="D105" s="18" t="s">
        <v>262</v>
      </c>
      <c r="E105" s="22" t="s">
        <v>483</v>
      </c>
      <c r="F105" s="22" t="s">
        <v>447</v>
      </c>
      <c r="G105" s="33" t="s">
        <v>532</v>
      </c>
      <c r="H105" s="125" t="s">
        <v>493</v>
      </c>
    </row>
    <row r="106" spans="1:8" ht="16.5">
      <c r="A106" s="17" t="s">
        <v>510</v>
      </c>
      <c r="B106" s="6">
        <v>1</v>
      </c>
      <c r="C106" s="6">
        <v>25</v>
      </c>
      <c r="D106" s="18" t="s">
        <v>262</v>
      </c>
      <c r="E106" s="22" t="s">
        <v>483</v>
      </c>
      <c r="F106" s="22" t="s">
        <v>447</v>
      </c>
      <c r="G106" s="33" t="s">
        <v>532</v>
      </c>
      <c r="H106" s="125" t="s">
        <v>506</v>
      </c>
    </row>
    <row r="107" spans="1:8" ht="16.5">
      <c r="A107" s="17" t="s">
        <v>102</v>
      </c>
      <c r="B107" s="6">
        <v>2</v>
      </c>
      <c r="C107" s="6">
        <v>12</v>
      </c>
      <c r="D107" s="18" t="s">
        <v>262</v>
      </c>
      <c r="E107" s="22" t="s">
        <v>484</v>
      </c>
      <c r="F107" s="22" t="s">
        <v>447</v>
      </c>
      <c r="G107" s="33" t="s">
        <v>532</v>
      </c>
      <c r="H107" s="125" t="s">
        <v>301</v>
      </c>
    </row>
    <row r="108" spans="1:8" ht="16.5">
      <c r="A108" s="21" t="s">
        <v>542</v>
      </c>
      <c r="B108" s="28">
        <v>3</v>
      </c>
      <c r="C108" s="28">
        <v>25</v>
      </c>
      <c r="D108" s="22" t="s">
        <v>265</v>
      </c>
      <c r="E108" s="22" t="s">
        <v>483</v>
      </c>
      <c r="F108" s="22" t="s">
        <v>446</v>
      </c>
      <c r="G108" s="33" t="s">
        <v>523</v>
      </c>
      <c r="H108" s="122" t="s">
        <v>367</v>
      </c>
    </row>
    <row r="109" spans="1:8" ht="16.5">
      <c r="A109" s="17" t="s">
        <v>68</v>
      </c>
      <c r="B109" s="6">
        <v>1</v>
      </c>
      <c r="C109" s="6">
        <v>12</v>
      </c>
      <c r="D109" s="18" t="s">
        <v>262</v>
      </c>
      <c r="E109" s="22" t="s">
        <v>483</v>
      </c>
      <c r="F109" s="22" t="s">
        <v>446</v>
      </c>
      <c r="G109" s="33" t="s">
        <v>523</v>
      </c>
      <c r="H109" s="125" t="s">
        <v>496</v>
      </c>
    </row>
    <row r="110" spans="1:8" ht="16.5">
      <c r="A110" s="21" t="s">
        <v>44</v>
      </c>
      <c r="B110" s="28">
        <v>1</v>
      </c>
      <c r="C110" s="28">
        <v>12</v>
      </c>
      <c r="D110" s="22" t="s">
        <v>262</v>
      </c>
      <c r="E110" s="22" t="s">
        <v>484</v>
      </c>
      <c r="F110" s="22" t="s">
        <v>447</v>
      </c>
      <c r="G110" s="33" t="s">
        <v>523</v>
      </c>
      <c r="H110" s="122" t="s">
        <v>461</v>
      </c>
    </row>
    <row r="111" spans="1:8" ht="16.5">
      <c r="A111" s="21" t="s">
        <v>434</v>
      </c>
      <c r="B111" s="28">
        <v>4</v>
      </c>
      <c r="C111" s="28">
        <v>12</v>
      </c>
      <c r="D111" s="32" t="s">
        <v>124</v>
      </c>
      <c r="E111" s="22" t="s">
        <v>124</v>
      </c>
      <c r="F111" s="22" t="s">
        <v>124</v>
      </c>
      <c r="G111" s="33" t="s">
        <v>523</v>
      </c>
      <c r="H111" s="122" t="s">
        <v>124</v>
      </c>
    </row>
    <row r="112" spans="1:8" ht="16.5">
      <c r="A112" s="17" t="s">
        <v>50</v>
      </c>
      <c r="B112" s="6">
        <v>1</v>
      </c>
      <c r="C112" s="6">
        <v>13</v>
      </c>
      <c r="D112" s="18" t="s">
        <v>262</v>
      </c>
      <c r="E112" s="22" t="s">
        <v>484</v>
      </c>
      <c r="F112" s="22" t="s">
        <v>447</v>
      </c>
      <c r="G112" s="33" t="s">
        <v>523</v>
      </c>
      <c r="H112" s="125" t="s">
        <v>301</v>
      </c>
    </row>
    <row r="113" spans="1:8" ht="16.5">
      <c r="A113" s="21" t="s">
        <v>683</v>
      </c>
      <c r="B113" s="28">
        <v>1</v>
      </c>
      <c r="C113" s="28">
        <v>25</v>
      </c>
      <c r="D113" s="22" t="s">
        <v>124</v>
      </c>
      <c r="E113" s="13" t="s">
        <v>124</v>
      </c>
      <c r="F113" s="13" t="s">
        <v>124</v>
      </c>
      <c r="G113" s="50" t="s">
        <v>523</v>
      </c>
      <c r="H113" s="122" t="s">
        <v>124</v>
      </c>
    </row>
    <row r="114" spans="1:8" ht="16.5">
      <c r="A114" s="17" t="s">
        <v>116</v>
      </c>
      <c r="B114" s="6">
        <v>1</v>
      </c>
      <c r="C114" s="6">
        <v>12</v>
      </c>
      <c r="D114" s="18" t="s">
        <v>262</v>
      </c>
      <c r="E114" s="22" t="s">
        <v>484</v>
      </c>
      <c r="F114" s="22" t="s">
        <v>447</v>
      </c>
      <c r="G114" s="33" t="s">
        <v>523</v>
      </c>
      <c r="H114" s="125" t="s">
        <v>301</v>
      </c>
    </row>
    <row r="115" spans="1:8" ht="16.5">
      <c r="A115" s="17" t="s">
        <v>105</v>
      </c>
      <c r="B115" s="6">
        <v>1</v>
      </c>
      <c r="C115" s="6">
        <v>12</v>
      </c>
      <c r="D115" s="19" t="s">
        <v>124</v>
      </c>
      <c r="E115" s="32" t="s">
        <v>124</v>
      </c>
      <c r="F115" s="32" t="s">
        <v>124</v>
      </c>
      <c r="G115" s="35" t="s">
        <v>523</v>
      </c>
      <c r="H115" s="124" t="s">
        <v>449</v>
      </c>
    </row>
    <row r="116" spans="1:8" ht="16.5">
      <c r="A116" s="21" t="s">
        <v>399</v>
      </c>
      <c r="B116" s="28">
        <v>1</v>
      </c>
      <c r="C116" s="28">
        <v>22</v>
      </c>
      <c r="D116" s="22" t="s">
        <v>265</v>
      </c>
      <c r="E116" s="22" t="s">
        <v>483</v>
      </c>
      <c r="F116" s="22" t="s">
        <v>447</v>
      </c>
      <c r="G116" s="33" t="s">
        <v>523</v>
      </c>
      <c r="H116" s="122" t="s">
        <v>312</v>
      </c>
    </row>
    <row r="117" spans="1:8" ht="16.5">
      <c r="A117" s="17" t="s">
        <v>151</v>
      </c>
      <c r="B117" s="6">
        <v>1</v>
      </c>
      <c r="C117" s="6">
        <v>24</v>
      </c>
      <c r="D117" s="18" t="s">
        <v>262</v>
      </c>
      <c r="E117" s="22" t="s">
        <v>483</v>
      </c>
      <c r="F117" s="22" t="s">
        <v>447</v>
      </c>
      <c r="G117" s="33" t="s">
        <v>523</v>
      </c>
      <c r="H117" s="125" t="s">
        <v>506</v>
      </c>
    </row>
    <row r="118" spans="1:8" ht="16.5">
      <c r="A118" s="21" t="s">
        <v>76</v>
      </c>
      <c r="B118" s="28">
        <v>1</v>
      </c>
      <c r="C118" s="28">
        <v>25</v>
      </c>
      <c r="D118" s="32" t="s">
        <v>265</v>
      </c>
      <c r="E118" s="22" t="s">
        <v>483</v>
      </c>
      <c r="F118" s="32" t="s">
        <v>446</v>
      </c>
      <c r="G118" s="35" t="s">
        <v>523</v>
      </c>
      <c r="H118" s="122" t="s">
        <v>285</v>
      </c>
    </row>
    <row r="119" spans="1:8" ht="16.5">
      <c r="A119" s="17" t="s">
        <v>227</v>
      </c>
      <c r="B119" s="6">
        <v>2</v>
      </c>
      <c r="C119" s="6">
        <v>12</v>
      </c>
      <c r="D119" s="18" t="s">
        <v>262</v>
      </c>
      <c r="E119" s="22" t="s">
        <v>483</v>
      </c>
      <c r="F119" s="22" t="s">
        <v>446</v>
      </c>
      <c r="G119" s="33" t="s">
        <v>528</v>
      </c>
      <c r="H119" s="125" t="s">
        <v>311</v>
      </c>
    </row>
    <row r="120" spans="1:8" ht="16.5">
      <c r="A120" s="17" t="s">
        <v>182</v>
      </c>
      <c r="B120" s="6">
        <v>2</v>
      </c>
      <c r="C120" s="6">
        <v>25</v>
      </c>
      <c r="D120" s="18" t="s">
        <v>262</v>
      </c>
      <c r="E120" s="22" t="s">
        <v>483</v>
      </c>
      <c r="F120" s="22" t="s">
        <v>446</v>
      </c>
      <c r="G120" s="33" t="s">
        <v>528</v>
      </c>
      <c r="H120" s="125" t="s">
        <v>304</v>
      </c>
    </row>
    <row r="121" spans="1:8" ht="16.5">
      <c r="A121" s="21" t="s">
        <v>80</v>
      </c>
      <c r="B121" s="28">
        <v>1</v>
      </c>
      <c r="C121" s="28">
        <v>12</v>
      </c>
      <c r="D121" s="32" t="s">
        <v>265</v>
      </c>
      <c r="E121" s="22" t="s">
        <v>483</v>
      </c>
      <c r="F121" s="32" t="s">
        <v>447</v>
      </c>
      <c r="G121" s="35" t="s">
        <v>528</v>
      </c>
      <c r="H121" s="122" t="s">
        <v>301</v>
      </c>
    </row>
    <row r="122" spans="1:8" ht="16.5">
      <c r="A122" s="17" t="s">
        <v>42</v>
      </c>
      <c r="B122" s="6">
        <v>1</v>
      </c>
      <c r="C122" s="6">
        <v>13</v>
      </c>
      <c r="D122" s="18" t="s">
        <v>265</v>
      </c>
      <c r="E122" s="22" t="s">
        <v>483</v>
      </c>
      <c r="F122" s="22" t="s">
        <v>448</v>
      </c>
      <c r="G122" s="33" t="s">
        <v>528</v>
      </c>
      <c r="H122" s="125" t="s">
        <v>312</v>
      </c>
    </row>
    <row r="123" spans="1:8" ht="16.5">
      <c r="A123" s="17" t="s">
        <v>114</v>
      </c>
      <c r="B123" s="6">
        <v>1</v>
      </c>
      <c r="C123" s="6">
        <v>12</v>
      </c>
      <c r="D123" s="18" t="s">
        <v>262</v>
      </c>
      <c r="E123" s="22" t="s">
        <v>483</v>
      </c>
      <c r="F123" s="22" t="s">
        <v>446</v>
      </c>
      <c r="G123" s="33" t="s">
        <v>528</v>
      </c>
      <c r="H123" s="125" t="s">
        <v>304</v>
      </c>
    </row>
    <row r="124" spans="1:8" ht="16.5">
      <c r="A124" s="21" t="s">
        <v>452</v>
      </c>
      <c r="B124" s="28">
        <v>1</v>
      </c>
      <c r="C124" s="28">
        <v>13</v>
      </c>
      <c r="D124" s="32" t="s">
        <v>265</v>
      </c>
      <c r="E124" s="22" t="s">
        <v>483</v>
      </c>
      <c r="F124" s="32" t="s">
        <v>447</v>
      </c>
      <c r="G124" s="35" t="s">
        <v>528</v>
      </c>
      <c r="H124" s="122" t="s">
        <v>286</v>
      </c>
    </row>
    <row r="125" spans="1:8" ht="16.5">
      <c r="A125" s="17" t="s">
        <v>358</v>
      </c>
      <c r="B125" s="6">
        <v>1</v>
      </c>
      <c r="C125" s="6">
        <v>12</v>
      </c>
      <c r="D125" s="18" t="s">
        <v>262</v>
      </c>
      <c r="E125" s="22" t="s">
        <v>483</v>
      </c>
      <c r="F125" s="22" t="s">
        <v>446</v>
      </c>
      <c r="G125" s="33" t="s">
        <v>528</v>
      </c>
      <c r="H125" s="125" t="s">
        <v>286</v>
      </c>
    </row>
    <row r="126" spans="1:8" ht="16.5">
      <c r="A126" s="17" t="s">
        <v>45</v>
      </c>
      <c r="B126" s="6">
        <v>1</v>
      </c>
      <c r="C126" s="6">
        <v>12</v>
      </c>
      <c r="D126" s="18" t="s">
        <v>262</v>
      </c>
      <c r="E126" s="22" t="s">
        <v>483</v>
      </c>
      <c r="F126" s="22" t="s">
        <v>447</v>
      </c>
      <c r="G126" s="33" t="s">
        <v>528</v>
      </c>
      <c r="H126" s="125" t="s">
        <v>307</v>
      </c>
    </row>
    <row r="127" spans="1:8" ht="16.5">
      <c r="A127" s="17" t="s">
        <v>504</v>
      </c>
      <c r="B127" s="6">
        <v>1</v>
      </c>
      <c r="C127" s="6">
        <v>4</v>
      </c>
      <c r="D127" s="18" t="s">
        <v>262</v>
      </c>
      <c r="E127" s="22" t="s">
        <v>484</v>
      </c>
      <c r="F127" s="22" t="s">
        <v>447</v>
      </c>
      <c r="G127" s="33" t="s">
        <v>528</v>
      </c>
      <c r="H127" s="125" t="s">
        <v>499</v>
      </c>
    </row>
    <row r="128" spans="1:8" ht="16.5">
      <c r="A128" s="21" t="s">
        <v>25</v>
      </c>
      <c r="B128" s="28">
        <v>1</v>
      </c>
      <c r="C128" s="28">
        <v>13</v>
      </c>
      <c r="D128" s="22" t="s">
        <v>262</v>
      </c>
      <c r="E128" s="22" t="s">
        <v>483</v>
      </c>
      <c r="F128" s="22" t="s">
        <v>446</v>
      </c>
      <c r="G128" s="33" t="s">
        <v>528</v>
      </c>
      <c r="H128" s="122" t="s">
        <v>304</v>
      </c>
    </row>
    <row r="129" spans="1:8" ht="16.5">
      <c r="A129" s="21" t="s">
        <v>64</v>
      </c>
      <c r="B129" s="28">
        <v>1</v>
      </c>
      <c r="C129" s="28">
        <v>64</v>
      </c>
      <c r="D129" s="32" t="s">
        <v>124</v>
      </c>
      <c r="E129" s="22" t="s">
        <v>124</v>
      </c>
      <c r="F129" s="22" t="s">
        <v>124</v>
      </c>
      <c r="G129" s="33" t="s">
        <v>528</v>
      </c>
      <c r="H129" s="122" t="s">
        <v>124</v>
      </c>
    </row>
    <row r="130" spans="1:8" ht="16.5">
      <c r="A130" s="17" t="s">
        <v>99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528</v>
      </c>
      <c r="H130" s="125" t="s">
        <v>286</v>
      </c>
    </row>
    <row r="131" spans="1:8" ht="16.5">
      <c r="A131" s="17" t="s">
        <v>103</v>
      </c>
      <c r="B131" s="6">
        <v>1</v>
      </c>
      <c r="C131" s="6">
        <v>12</v>
      </c>
      <c r="D131" s="18" t="s">
        <v>262</v>
      </c>
      <c r="E131" s="22" t="s">
        <v>483</v>
      </c>
      <c r="F131" s="22" t="s">
        <v>446</v>
      </c>
      <c r="G131" s="33" t="s">
        <v>528</v>
      </c>
      <c r="H131" s="125" t="s">
        <v>311</v>
      </c>
    </row>
    <row r="132" spans="1:8" ht="16.5">
      <c r="A132" s="21" t="s">
        <v>681</v>
      </c>
      <c r="B132" s="28">
        <v>1</v>
      </c>
      <c r="C132" s="28">
        <v>12</v>
      </c>
      <c r="D132" s="22" t="s">
        <v>124</v>
      </c>
      <c r="E132" s="22" t="s">
        <v>124</v>
      </c>
      <c r="F132" s="22" t="s">
        <v>124</v>
      </c>
      <c r="G132" s="33" t="s">
        <v>550</v>
      </c>
      <c r="H132" s="122" t="s">
        <v>124</v>
      </c>
    </row>
    <row r="133" spans="1:8" ht="16.5">
      <c r="A133" s="17" t="s">
        <v>19</v>
      </c>
      <c r="B133" s="6">
        <v>1</v>
      </c>
      <c r="C133" s="6">
        <v>12</v>
      </c>
      <c r="D133" s="18" t="s">
        <v>262</v>
      </c>
      <c r="E133" s="22" t="s">
        <v>483</v>
      </c>
      <c r="F133" s="22" t="s">
        <v>446</v>
      </c>
      <c r="G133" s="33" t="s">
        <v>550</v>
      </c>
      <c r="H133" s="125" t="s">
        <v>305</v>
      </c>
    </row>
    <row r="134" spans="1:8" ht="16.5">
      <c r="A134" s="17" t="s">
        <v>119</v>
      </c>
      <c r="B134" s="6">
        <v>1</v>
      </c>
      <c r="C134" s="6">
        <v>13</v>
      </c>
      <c r="D134" s="18" t="s">
        <v>262</v>
      </c>
      <c r="E134" s="22" t="s">
        <v>483</v>
      </c>
      <c r="F134" s="22" t="s">
        <v>446</v>
      </c>
      <c r="G134" s="33" t="s">
        <v>550</v>
      </c>
      <c r="H134" s="125" t="s">
        <v>306</v>
      </c>
    </row>
    <row r="135" spans="1:8" ht="16.5">
      <c r="A135" s="21" t="s">
        <v>178</v>
      </c>
      <c r="B135" s="28">
        <v>1</v>
      </c>
      <c r="C135" s="28">
        <v>12</v>
      </c>
      <c r="D135" s="22" t="s">
        <v>265</v>
      </c>
      <c r="E135" s="22" t="s">
        <v>483</v>
      </c>
      <c r="F135" s="22" t="s">
        <v>446</v>
      </c>
      <c r="G135" s="33" t="s">
        <v>550</v>
      </c>
      <c r="H135" s="122" t="s">
        <v>286</v>
      </c>
    </row>
    <row r="136" spans="1:8" ht="16.5">
      <c r="A136" s="17" t="s">
        <v>12</v>
      </c>
      <c r="B136" s="6">
        <v>2</v>
      </c>
      <c r="C136" s="6">
        <v>12</v>
      </c>
      <c r="D136" s="18" t="s">
        <v>262</v>
      </c>
      <c r="E136" s="22" t="s">
        <v>483</v>
      </c>
      <c r="F136" s="22" t="s">
        <v>447</v>
      </c>
      <c r="G136" s="33" t="s">
        <v>550</v>
      </c>
      <c r="H136" s="125" t="s">
        <v>303</v>
      </c>
    </row>
    <row r="137" spans="1:8" ht="16.5">
      <c r="A137" s="17" t="s">
        <v>22</v>
      </c>
      <c r="B137" s="6">
        <v>1</v>
      </c>
      <c r="C137" s="6">
        <v>13</v>
      </c>
      <c r="D137" s="18" t="s">
        <v>262</v>
      </c>
      <c r="E137" s="22" t="s">
        <v>483</v>
      </c>
      <c r="F137" s="22" t="s">
        <v>447</v>
      </c>
      <c r="G137" s="33" t="s">
        <v>550</v>
      </c>
      <c r="H137" s="125" t="s">
        <v>286</v>
      </c>
    </row>
    <row r="138" spans="1:8" ht="16.5">
      <c r="A138" s="17" t="s">
        <v>132</v>
      </c>
      <c r="B138" s="6">
        <v>1</v>
      </c>
      <c r="C138" s="6">
        <v>13</v>
      </c>
      <c r="D138" s="18" t="s">
        <v>262</v>
      </c>
      <c r="E138" s="22" t="s">
        <v>484</v>
      </c>
      <c r="F138" s="22" t="s">
        <v>447</v>
      </c>
      <c r="G138" s="33" t="s">
        <v>550</v>
      </c>
      <c r="H138" s="125" t="s">
        <v>301</v>
      </c>
    </row>
    <row r="139" spans="1:8" ht="16.5">
      <c r="A139" s="17" t="s">
        <v>176</v>
      </c>
      <c r="B139" s="6">
        <v>1</v>
      </c>
      <c r="C139" s="6">
        <v>10</v>
      </c>
      <c r="D139" s="22" t="s">
        <v>265</v>
      </c>
      <c r="E139" s="22" t="s">
        <v>486</v>
      </c>
      <c r="F139" s="22" t="s">
        <v>446</v>
      </c>
      <c r="G139" s="33" t="s">
        <v>550</v>
      </c>
      <c r="H139" s="125" t="s">
        <v>315</v>
      </c>
    </row>
    <row r="140" spans="1:8" ht="16.5">
      <c r="A140" s="17" t="s">
        <v>131</v>
      </c>
      <c r="B140" s="6">
        <v>1</v>
      </c>
      <c r="C140" s="6">
        <v>13</v>
      </c>
      <c r="D140" s="18" t="s">
        <v>262</v>
      </c>
      <c r="E140" s="22" t="s">
        <v>483</v>
      </c>
      <c r="F140" s="22" t="s">
        <v>448</v>
      </c>
      <c r="G140" s="33" t="s">
        <v>550</v>
      </c>
      <c r="H140" s="125" t="s">
        <v>304</v>
      </c>
    </row>
    <row r="141" spans="1:8" ht="16.5">
      <c r="A141" s="17" t="s">
        <v>274</v>
      </c>
      <c r="B141" s="6">
        <v>2</v>
      </c>
      <c r="C141" s="6">
        <v>16</v>
      </c>
      <c r="D141" s="18" t="s">
        <v>262</v>
      </c>
      <c r="E141" s="22" t="s">
        <v>484</v>
      </c>
      <c r="F141" s="22" t="s">
        <v>447</v>
      </c>
      <c r="G141" s="33" t="s">
        <v>550</v>
      </c>
      <c r="H141" s="125" t="s">
        <v>506</v>
      </c>
    </row>
    <row r="142" spans="1:8" ht="16.5">
      <c r="A142" s="17" t="s">
        <v>120</v>
      </c>
      <c r="B142" s="6">
        <v>1</v>
      </c>
      <c r="C142" s="6">
        <v>13</v>
      </c>
      <c r="D142" s="18" t="s">
        <v>262</v>
      </c>
      <c r="E142" s="22" t="s">
        <v>483</v>
      </c>
      <c r="F142" s="22" t="s">
        <v>446</v>
      </c>
      <c r="G142" s="33" t="s">
        <v>550</v>
      </c>
      <c r="H142" s="125" t="s">
        <v>304</v>
      </c>
    </row>
    <row r="143" spans="1:8" ht="16.5">
      <c r="A143" s="17" t="s">
        <v>17</v>
      </c>
      <c r="B143" s="6">
        <v>1</v>
      </c>
      <c r="C143" s="6">
        <v>12</v>
      </c>
      <c r="D143" s="18" t="s">
        <v>262</v>
      </c>
      <c r="E143" s="22" t="s">
        <v>483</v>
      </c>
      <c r="F143" s="22" t="s">
        <v>446</v>
      </c>
      <c r="G143" s="33" t="s">
        <v>550</v>
      </c>
      <c r="H143" s="125" t="s">
        <v>304</v>
      </c>
    </row>
    <row r="144" spans="1:8" ht="16.5">
      <c r="A144" s="17" t="s">
        <v>482</v>
      </c>
      <c r="B144" s="6">
        <v>1</v>
      </c>
      <c r="C144" s="6">
        <v>25</v>
      </c>
      <c r="D144" s="18" t="s">
        <v>265</v>
      </c>
      <c r="E144" s="22" t="s">
        <v>483</v>
      </c>
      <c r="F144" s="22" t="s">
        <v>447</v>
      </c>
      <c r="G144" s="33" t="s">
        <v>550</v>
      </c>
      <c r="H144" s="125" t="s">
        <v>506</v>
      </c>
    </row>
    <row r="145" spans="1:8" ht="16.5">
      <c r="A145" s="17" t="s">
        <v>458</v>
      </c>
      <c r="B145" s="6">
        <v>2</v>
      </c>
      <c r="C145" s="6">
        <v>24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512</v>
      </c>
    </row>
    <row r="146" spans="1:8" ht="16.5">
      <c r="A146" s="17" t="s">
        <v>24</v>
      </c>
      <c r="B146" s="6">
        <v>1</v>
      </c>
      <c r="C146" s="6">
        <v>13</v>
      </c>
      <c r="D146" s="18" t="s">
        <v>262</v>
      </c>
      <c r="E146" s="22" t="s">
        <v>483</v>
      </c>
      <c r="F146" s="22" t="s">
        <v>447</v>
      </c>
      <c r="G146" s="33" t="s">
        <v>550</v>
      </c>
      <c r="H146" s="125" t="s">
        <v>513</v>
      </c>
    </row>
    <row r="147" spans="1:8" ht="16.5">
      <c r="A147" s="17" t="s">
        <v>130</v>
      </c>
      <c r="B147" s="6">
        <v>1</v>
      </c>
      <c r="C147" s="6">
        <v>12</v>
      </c>
      <c r="D147" s="18" t="s">
        <v>262</v>
      </c>
      <c r="E147" s="22" t="s">
        <v>483</v>
      </c>
      <c r="F147" s="22" t="s">
        <v>447</v>
      </c>
      <c r="G147" s="33" t="s">
        <v>550</v>
      </c>
      <c r="H147" s="125" t="s">
        <v>312</v>
      </c>
    </row>
    <row r="148" spans="1:8" ht="16.5">
      <c r="A148" s="21" t="s">
        <v>273</v>
      </c>
      <c r="B148" s="28">
        <v>1</v>
      </c>
      <c r="C148" s="28">
        <v>12</v>
      </c>
      <c r="D148" s="32" t="s">
        <v>265</v>
      </c>
      <c r="E148" s="22" t="s">
        <v>483</v>
      </c>
      <c r="F148" s="32" t="s">
        <v>446</v>
      </c>
      <c r="G148" s="35" t="s">
        <v>549</v>
      </c>
      <c r="H148" s="122" t="s">
        <v>285</v>
      </c>
    </row>
    <row r="149" spans="1:8" ht="16.5">
      <c r="A149" s="17" t="s">
        <v>171</v>
      </c>
      <c r="B149" s="6">
        <v>1</v>
      </c>
      <c r="C149" s="6">
        <v>12</v>
      </c>
      <c r="D149" s="18" t="s">
        <v>262</v>
      </c>
      <c r="E149" s="22" t="s">
        <v>484</v>
      </c>
      <c r="F149" s="22" t="s">
        <v>447</v>
      </c>
      <c r="G149" s="33" t="s">
        <v>549</v>
      </c>
      <c r="H149" s="125" t="s">
        <v>312</v>
      </c>
    </row>
    <row r="150" spans="1:8" ht="16.5">
      <c r="A150" s="17" t="s">
        <v>250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446</v>
      </c>
      <c r="G150" s="33" t="s">
        <v>549</v>
      </c>
      <c r="H150" s="125" t="s">
        <v>304</v>
      </c>
    </row>
    <row r="151" spans="1:8" ht="16.5">
      <c r="A151" s="17" t="s">
        <v>139</v>
      </c>
      <c r="B151" s="6">
        <v>1</v>
      </c>
      <c r="C151" s="6">
        <v>12</v>
      </c>
      <c r="D151" s="18" t="s">
        <v>262</v>
      </c>
      <c r="E151" s="22" t="s">
        <v>483</v>
      </c>
      <c r="F151" s="22" t="s">
        <v>446</v>
      </c>
      <c r="G151" s="33" t="s">
        <v>549</v>
      </c>
      <c r="H151" s="125" t="s">
        <v>304</v>
      </c>
    </row>
    <row r="152" spans="1:8" ht="16.5">
      <c r="A152" s="17" t="s">
        <v>170</v>
      </c>
      <c r="B152" s="6">
        <v>1</v>
      </c>
      <c r="C152" s="6">
        <v>12</v>
      </c>
      <c r="D152" s="18" t="s">
        <v>262</v>
      </c>
      <c r="E152" s="22" t="s">
        <v>483</v>
      </c>
      <c r="F152" s="22" t="s">
        <v>448</v>
      </c>
      <c r="G152" s="33" t="s">
        <v>549</v>
      </c>
      <c r="H152" s="125" t="s">
        <v>304</v>
      </c>
    </row>
    <row r="153" spans="1:8" ht="16.5">
      <c r="A153" s="17" t="s">
        <v>168</v>
      </c>
      <c r="B153" s="6">
        <v>1</v>
      </c>
      <c r="C153" s="6">
        <v>12</v>
      </c>
      <c r="D153" s="18" t="s">
        <v>262</v>
      </c>
      <c r="E153" s="22" t="s">
        <v>484</v>
      </c>
      <c r="F153" s="22" t="s">
        <v>447</v>
      </c>
      <c r="G153" s="33" t="s">
        <v>549</v>
      </c>
      <c r="H153" s="125" t="s">
        <v>301</v>
      </c>
    </row>
    <row r="154" spans="1:8" ht="16.5">
      <c r="A154" s="17" t="s">
        <v>172</v>
      </c>
      <c r="B154" s="6">
        <v>1</v>
      </c>
      <c r="C154" s="6">
        <v>13</v>
      </c>
      <c r="D154" s="18" t="s">
        <v>262</v>
      </c>
      <c r="E154" s="22" t="s">
        <v>483</v>
      </c>
      <c r="F154" s="22" t="s">
        <v>446</v>
      </c>
      <c r="G154" s="33" t="s">
        <v>549</v>
      </c>
      <c r="H154" s="125" t="s">
        <v>286</v>
      </c>
    </row>
    <row r="155" spans="1:8" ht="16.5">
      <c r="A155" s="17" t="s">
        <v>370</v>
      </c>
      <c r="B155" s="6">
        <v>2</v>
      </c>
      <c r="C155" s="6">
        <v>26</v>
      </c>
      <c r="D155" s="18" t="s">
        <v>262</v>
      </c>
      <c r="E155" s="22" t="s">
        <v>483</v>
      </c>
      <c r="F155" s="22" t="s">
        <v>446</v>
      </c>
      <c r="G155" s="33" t="s">
        <v>549</v>
      </c>
      <c r="H155" s="125" t="s">
        <v>304</v>
      </c>
    </row>
    <row r="156" spans="1:8" ht="16.5">
      <c r="A156" s="17" t="s">
        <v>169</v>
      </c>
      <c r="B156" s="6">
        <v>2</v>
      </c>
      <c r="C156" s="6">
        <v>12</v>
      </c>
      <c r="D156" s="18" t="s">
        <v>262</v>
      </c>
      <c r="E156" s="22" t="s">
        <v>484</v>
      </c>
      <c r="F156" s="22" t="s">
        <v>447</v>
      </c>
      <c r="G156" s="33" t="s">
        <v>549</v>
      </c>
      <c r="H156" s="125" t="s">
        <v>462</v>
      </c>
    </row>
    <row r="157" spans="1:8" ht="16.5">
      <c r="A157" s="17" t="s">
        <v>174</v>
      </c>
      <c r="B157" s="6">
        <v>1</v>
      </c>
      <c r="C157" s="6">
        <v>13</v>
      </c>
      <c r="D157" s="18" t="s">
        <v>262</v>
      </c>
      <c r="E157" s="22" t="s">
        <v>483</v>
      </c>
      <c r="F157" s="22" t="s">
        <v>448</v>
      </c>
      <c r="G157" s="33" t="s">
        <v>549</v>
      </c>
      <c r="H157" s="125" t="s">
        <v>304</v>
      </c>
    </row>
    <row r="158" spans="1:8" ht="16.5">
      <c r="A158" s="21" t="s">
        <v>402</v>
      </c>
      <c r="B158" s="28">
        <v>1</v>
      </c>
      <c r="C158" s="28">
        <v>13</v>
      </c>
      <c r="D158" s="22" t="s">
        <v>265</v>
      </c>
      <c r="E158" s="22" t="s">
        <v>483</v>
      </c>
      <c r="F158" s="22" t="s">
        <v>446</v>
      </c>
      <c r="G158" s="33" t="s">
        <v>549</v>
      </c>
      <c r="H158" s="122" t="s">
        <v>382</v>
      </c>
    </row>
    <row r="159" spans="1:8" ht="16.5">
      <c r="A159" s="171" t="s">
        <v>175</v>
      </c>
      <c r="B159" s="6">
        <v>1</v>
      </c>
      <c r="C159" s="6">
        <v>12</v>
      </c>
      <c r="D159" s="18" t="s">
        <v>262</v>
      </c>
      <c r="E159" s="22" t="s">
        <v>483</v>
      </c>
      <c r="F159" s="22" t="s">
        <v>446</v>
      </c>
      <c r="G159" s="33" t="s">
        <v>549</v>
      </c>
      <c r="H159" s="125" t="s">
        <v>495</v>
      </c>
    </row>
    <row r="160" spans="1:8" ht="16.5">
      <c r="A160" s="17" t="s">
        <v>289</v>
      </c>
      <c r="B160" s="6">
        <v>1</v>
      </c>
      <c r="C160" s="6">
        <v>12</v>
      </c>
      <c r="D160" s="18" t="s">
        <v>265</v>
      </c>
      <c r="E160" s="22" t="s">
        <v>483</v>
      </c>
      <c r="F160" s="22" t="s">
        <v>446</v>
      </c>
      <c r="G160" s="33" t="s">
        <v>524</v>
      </c>
      <c r="H160" s="125" t="s">
        <v>304</v>
      </c>
    </row>
    <row r="161" spans="1:8" ht="16.5">
      <c r="A161" s="17" t="s">
        <v>278</v>
      </c>
      <c r="B161" s="6">
        <v>1</v>
      </c>
      <c r="C161" s="6">
        <v>13</v>
      </c>
      <c r="D161" s="18" t="s">
        <v>262</v>
      </c>
      <c r="E161" s="22" t="s">
        <v>483</v>
      </c>
      <c r="F161" s="22" t="s">
        <v>448</v>
      </c>
      <c r="G161" s="33" t="s">
        <v>524</v>
      </c>
      <c r="H161" s="125" t="s">
        <v>304</v>
      </c>
    </row>
    <row r="162" spans="1:8" ht="16.5">
      <c r="A162" s="17" t="s">
        <v>277</v>
      </c>
      <c r="B162" s="6">
        <v>1</v>
      </c>
      <c r="C162" s="6">
        <v>24</v>
      </c>
      <c r="D162" s="18" t="s">
        <v>262</v>
      </c>
      <c r="E162" s="22" t="s">
        <v>483</v>
      </c>
      <c r="F162" s="22" t="s">
        <v>446</v>
      </c>
      <c r="G162" s="33" t="s">
        <v>524</v>
      </c>
      <c r="H162" s="125" t="s">
        <v>286</v>
      </c>
    </row>
    <row r="163" spans="1:8" ht="16.5">
      <c r="A163" s="17" t="s">
        <v>279</v>
      </c>
      <c r="B163" s="6">
        <v>1</v>
      </c>
      <c r="C163" s="6">
        <v>24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5" t="s">
        <v>304</v>
      </c>
    </row>
    <row r="164" spans="1:8" ht="16.5">
      <c r="A164" s="17" t="s">
        <v>276</v>
      </c>
      <c r="B164" s="6">
        <v>1</v>
      </c>
      <c r="C164" s="6">
        <v>12</v>
      </c>
      <c r="D164" s="18" t="s">
        <v>265</v>
      </c>
      <c r="E164" s="22" t="s">
        <v>483</v>
      </c>
      <c r="F164" s="22" t="s">
        <v>446</v>
      </c>
      <c r="G164" s="33" t="s">
        <v>524</v>
      </c>
      <c r="H164" s="125" t="s">
        <v>285</v>
      </c>
    </row>
    <row r="165" spans="1:8" ht="16.5">
      <c r="A165" s="15" t="s">
        <v>345</v>
      </c>
      <c r="B165" s="34">
        <v>1</v>
      </c>
      <c r="C165" s="34">
        <v>13</v>
      </c>
      <c r="D165" s="170" t="s">
        <v>124</v>
      </c>
      <c r="E165" s="13" t="s">
        <v>124</v>
      </c>
      <c r="F165" s="13" t="s">
        <v>124</v>
      </c>
      <c r="G165" s="50" t="s">
        <v>524</v>
      </c>
      <c r="H165" s="122" t="s">
        <v>124</v>
      </c>
    </row>
    <row r="166" spans="1:8" ht="16.5">
      <c r="A166" s="17" t="s">
        <v>280</v>
      </c>
      <c r="B166" s="6">
        <v>1</v>
      </c>
      <c r="C166" s="6">
        <v>25</v>
      </c>
      <c r="D166" s="18" t="s">
        <v>265</v>
      </c>
      <c r="E166" s="22" t="s">
        <v>483</v>
      </c>
      <c r="F166" s="22" t="s">
        <v>446</v>
      </c>
      <c r="G166" s="33" t="s">
        <v>524</v>
      </c>
      <c r="H166" s="125" t="s">
        <v>304</v>
      </c>
    </row>
    <row r="167" spans="1:8" ht="16.5">
      <c r="A167" s="17" t="s">
        <v>284</v>
      </c>
      <c r="B167" s="6">
        <v>1</v>
      </c>
      <c r="C167" s="6">
        <v>13</v>
      </c>
      <c r="D167" s="18" t="s">
        <v>265</v>
      </c>
      <c r="E167" s="22" t="s">
        <v>483</v>
      </c>
      <c r="F167" s="22" t="s">
        <v>448</v>
      </c>
      <c r="G167" s="33" t="s">
        <v>524</v>
      </c>
      <c r="H167" s="125" t="s">
        <v>304</v>
      </c>
    </row>
    <row r="168" spans="1:8" ht="16.5">
      <c r="A168" s="17" t="s">
        <v>372</v>
      </c>
      <c r="B168" s="6">
        <v>1</v>
      </c>
      <c r="C168" s="6">
        <v>12</v>
      </c>
      <c r="D168" s="18" t="s">
        <v>265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290</v>
      </c>
      <c r="B169" s="6">
        <v>1</v>
      </c>
      <c r="C169" s="6">
        <v>10</v>
      </c>
      <c r="D169" s="18" t="s">
        <v>262</v>
      </c>
      <c r="E169" s="22" t="s">
        <v>483</v>
      </c>
      <c r="F169" s="22" t="s">
        <v>446</v>
      </c>
      <c r="G169" s="33" t="s">
        <v>524</v>
      </c>
      <c r="H169" s="125" t="s">
        <v>304</v>
      </c>
    </row>
    <row r="170" spans="1:8" ht="16.5">
      <c r="A170" s="17" t="s">
        <v>281</v>
      </c>
      <c r="B170" s="6">
        <v>1</v>
      </c>
      <c r="C170" s="6">
        <v>22</v>
      </c>
      <c r="D170" s="18" t="s">
        <v>265</v>
      </c>
      <c r="E170" s="22" t="s">
        <v>483</v>
      </c>
      <c r="F170" s="22" t="s">
        <v>446</v>
      </c>
      <c r="G170" s="33" t="s">
        <v>524</v>
      </c>
      <c r="H170" s="125" t="s">
        <v>304</v>
      </c>
    </row>
    <row r="171" spans="1:8" ht="16.5">
      <c r="A171" s="17" t="s">
        <v>282</v>
      </c>
      <c r="B171" s="6">
        <v>2</v>
      </c>
      <c r="C171" s="6">
        <v>12</v>
      </c>
      <c r="D171" s="18" t="s">
        <v>265</v>
      </c>
      <c r="E171" s="22" t="s">
        <v>483</v>
      </c>
      <c r="F171" s="22" t="s">
        <v>446</v>
      </c>
      <c r="G171" s="33" t="s">
        <v>524</v>
      </c>
      <c r="H171" s="125" t="s">
        <v>285</v>
      </c>
    </row>
    <row r="172" spans="1:8" ht="16.5">
      <c r="A172" s="21" t="s">
        <v>402</v>
      </c>
      <c r="B172" s="28">
        <v>1</v>
      </c>
      <c r="C172" s="28">
        <v>13</v>
      </c>
      <c r="D172" s="22" t="s">
        <v>124</v>
      </c>
      <c r="E172" s="22" t="s">
        <v>124</v>
      </c>
      <c r="F172" s="22" t="s">
        <v>124</v>
      </c>
      <c r="G172" s="33" t="s">
        <v>524</v>
      </c>
      <c r="H172" s="122" t="s">
        <v>124</v>
      </c>
    </row>
    <row r="173" spans="1:8" ht="16.5">
      <c r="A173" s="17" t="s">
        <v>356</v>
      </c>
      <c r="B173" s="6">
        <v>2</v>
      </c>
      <c r="C173" s="6">
        <v>12</v>
      </c>
      <c r="D173" s="18" t="s">
        <v>262</v>
      </c>
      <c r="E173" s="22" t="s">
        <v>483</v>
      </c>
      <c r="F173" s="22" t="s">
        <v>446</v>
      </c>
      <c r="G173" s="33" t="s">
        <v>544</v>
      </c>
      <c r="H173" s="125" t="s">
        <v>495</v>
      </c>
    </row>
    <row r="174" spans="1:8" ht="16.5">
      <c r="A174" s="17" t="s">
        <v>359</v>
      </c>
      <c r="B174" s="6">
        <v>1</v>
      </c>
      <c r="C174" s="6">
        <v>12</v>
      </c>
      <c r="D174" s="18" t="s">
        <v>265</v>
      </c>
      <c r="E174" s="22" t="s">
        <v>483</v>
      </c>
      <c r="F174" s="22" t="s">
        <v>446</v>
      </c>
      <c r="G174" s="33" t="s">
        <v>544</v>
      </c>
      <c r="H174" s="125" t="s">
        <v>382</v>
      </c>
    </row>
    <row r="175" spans="1:8" ht="16.5">
      <c r="A175" s="37" t="s">
        <v>361</v>
      </c>
      <c r="B175" s="38">
        <v>1</v>
      </c>
      <c r="C175" s="38">
        <v>10</v>
      </c>
      <c r="D175" s="39" t="s">
        <v>262</v>
      </c>
      <c r="E175" s="13" t="s">
        <v>483</v>
      </c>
      <c r="F175" s="13" t="s">
        <v>446</v>
      </c>
      <c r="G175" s="50" t="s">
        <v>544</v>
      </c>
      <c r="H175" s="125" t="s">
        <v>382</v>
      </c>
    </row>
    <row r="176" spans="1:8" ht="16.5">
      <c r="A176" s="21" t="s">
        <v>430</v>
      </c>
      <c r="B176" s="28">
        <v>1</v>
      </c>
      <c r="C176" s="28">
        <v>12</v>
      </c>
      <c r="D176" s="22" t="s">
        <v>265</v>
      </c>
      <c r="E176" s="22" t="s">
        <v>483</v>
      </c>
      <c r="F176" s="22" t="s">
        <v>446</v>
      </c>
      <c r="G176" s="33" t="s">
        <v>544</v>
      </c>
      <c r="H176" s="122" t="s">
        <v>317</v>
      </c>
    </row>
    <row r="177" spans="1:8" ht="16.5">
      <c r="A177" s="21" t="s">
        <v>355</v>
      </c>
      <c r="B177" s="6">
        <v>1</v>
      </c>
      <c r="C177" s="28">
        <v>20</v>
      </c>
      <c r="D177" s="18" t="s">
        <v>265</v>
      </c>
      <c r="E177" s="22" t="s">
        <v>483</v>
      </c>
      <c r="F177" s="48" t="s">
        <v>446</v>
      </c>
      <c r="G177" s="33" t="s">
        <v>544</v>
      </c>
      <c r="H177" s="119" t="s">
        <v>286</v>
      </c>
    </row>
    <row r="178" spans="1:8" ht="16.5">
      <c r="A178" s="17" t="s">
        <v>374</v>
      </c>
      <c r="B178" s="6">
        <v>1</v>
      </c>
      <c r="C178" s="6">
        <v>12</v>
      </c>
      <c r="D178" s="18" t="s">
        <v>265</v>
      </c>
      <c r="E178" s="22" t="s">
        <v>483</v>
      </c>
      <c r="F178" s="22" t="s">
        <v>446</v>
      </c>
      <c r="G178" s="33" t="s">
        <v>544</v>
      </c>
      <c r="H178" s="125" t="s">
        <v>286</v>
      </c>
    </row>
    <row r="179" spans="1:8" ht="16.5">
      <c r="A179" s="21" t="s">
        <v>406</v>
      </c>
      <c r="B179" s="28">
        <v>1</v>
      </c>
      <c r="C179" s="28">
        <v>12</v>
      </c>
      <c r="D179" s="32" t="s">
        <v>124</v>
      </c>
      <c r="E179" s="32" t="s">
        <v>124</v>
      </c>
      <c r="F179" s="32" t="s">
        <v>124</v>
      </c>
      <c r="G179" s="33" t="s">
        <v>544</v>
      </c>
      <c r="H179" s="123" t="s">
        <v>124</v>
      </c>
    </row>
    <row r="180" spans="1:8" ht="16.5">
      <c r="A180" s="17" t="s">
        <v>357</v>
      </c>
      <c r="B180" s="6">
        <v>1</v>
      </c>
      <c r="C180" s="6">
        <v>12</v>
      </c>
      <c r="D180" s="18" t="s">
        <v>265</v>
      </c>
      <c r="E180" s="22" t="s">
        <v>483</v>
      </c>
      <c r="F180" s="22" t="s">
        <v>446</v>
      </c>
      <c r="G180" s="33" t="s">
        <v>544</v>
      </c>
      <c r="H180" s="125" t="s">
        <v>301</v>
      </c>
    </row>
    <row r="181" spans="1:8" ht="16.5">
      <c r="A181" s="17" t="s">
        <v>360</v>
      </c>
      <c r="B181" s="6">
        <v>1</v>
      </c>
      <c r="C181" s="6">
        <v>13</v>
      </c>
      <c r="D181" s="18" t="s">
        <v>265</v>
      </c>
      <c r="E181" s="22" t="s">
        <v>483</v>
      </c>
      <c r="F181" s="22" t="s">
        <v>448</v>
      </c>
      <c r="G181" s="33" t="s">
        <v>544</v>
      </c>
      <c r="H181" s="125" t="s">
        <v>304</v>
      </c>
    </row>
    <row r="182" spans="1:8" ht="16.5">
      <c r="A182" s="17" t="s">
        <v>383</v>
      </c>
      <c r="B182" s="6">
        <v>1</v>
      </c>
      <c r="C182" s="6">
        <v>12</v>
      </c>
      <c r="D182" s="18" t="s">
        <v>262</v>
      </c>
      <c r="E182" s="22" t="s">
        <v>483</v>
      </c>
      <c r="F182" s="22" t="s">
        <v>448</v>
      </c>
      <c r="G182" s="33" t="s">
        <v>544</v>
      </c>
      <c r="H182" s="125" t="s">
        <v>304</v>
      </c>
    </row>
    <row r="183" spans="1:8" ht="16.5">
      <c r="A183" s="17" t="s">
        <v>376</v>
      </c>
      <c r="B183" s="6">
        <v>1</v>
      </c>
      <c r="C183" s="6">
        <v>21</v>
      </c>
      <c r="D183" s="18" t="s">
        <v>265</v>
      </c>
      <c r="E183" s="22" t="s">
        <v>483</v>
      </c>
      <c r="F183" s="22" t="s">
        <v>446</v>
      </c>
      <c r="G183" s="33" t="s">
        <v>544</v>
      </c>
      <c r="H183" s="125" t="s">
        <v>382</v>
      </c>
    </row>
    <row r="184" spans="1:8" ht="16.5">
      <c r="A184" s="17" t="s">
        <v>379</v>
      </c>
      <c r="B184" s="6">
        <v>1</v>
      </c>
      <c r="C184" s="6">
        <v>12</v>
      </c>
      <c r="D184" s="18" t="s">
        <v>262</v>
      </c>
      <c r="E184" s="22" t="s">
        <v>483</v>
      </c>
      <c r="F184" s="22" t="s">
        <v>446</v>
      </c>
      <c r="G184" s="33" t="s">
        <v>544</v>
      </c>
      <c r="H184" s="125" t="s">
        <v>286</v>
      </c>
    </row>
    <row r="185" spans="1:8" ht="16.5">
      <c r="A185" s="21" t="s">
        <v>410</v>
      </c>
      <c r="B185" s="6">
        <v>1</v>
      </c>
      <c r="C185" s="28">
        <v>12</v>
      </c>
      <c r="D185" s="18" t="s">
        <v>265</v>
      </c>
      <c r="E185" s="22" t="s">
        <v>483</v>
      </c>
      <c r="F185" s="48" t="s">
        <v>448</v>
      </c>
      <c r="G185" s="33" t="s">
        <v>527</v>
      </c>
      <c r="H185" s="125" t="s">
        <v>304</v>
      </c>
    </row>
    <row r="186" spans="1:8" ht="16.5">
      <c r="A186" s="21" t="s">
        <v>411</v>
      </c>
      <c r="B186" s="6">
        <v>1</v>
      </c>
      <c r="C186" s="28">
        <v>13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317</v>
      </c>
    </row>
    <row r="187" spans="1:8" ht="16.5">
      <c r="A187" s="21" t="s">
        <v>412</v>
      </c>
      <c r="B187" s="6">
        <v>1</v>
      </c>
      <c r="C187" s="28"/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426</v>
      </c>
    </row>
    <row r="188" spans="1:8" ht="16.5">
      <c r="A188" s="21" t="s">
        <v>413</v>
      </c>
      <c r="B188" s="6">
        <v>1</v>
      </c>
      <c r="C188" s="28">
        <v>12</v>
      </c>
      <c r="D188" s="18" t="s">
        <v>265</v>
      </c>
      <c r="E188" s="22" t="s">
        <v>483</v>
      </c>
      <c r="F188" s="48" t="s">
        <v>446</v>
      </c>
      <c r="G188" s="33" t="s">
        <v>527</v>
      </c>
      <c r="H188" s="119" t="s">
        <v>494</v>
      </c>
    </row>
    <row r="189" spans="1:8" ht="16.5">
      <c r="A189" s="21" t="s">
        <v>414</v>
      </c>
      <c r="B189" s="6">
        <v>1</v>
      </c>
      <c r="C189" s="28">
        <v>12</v>
      </c>
      <c r="D189" s="18" t="s">
        <v>265</v>
      </c>
      <c r="E189" s="22" t="s">
        <v>483</v>
      </c>
      <c r="F189" s="48" t="s">
        <v>446</v>
      </c>
      <c r="G189" s="33" t="s">
        <v>527</v>
      </c>
      <c r="H189" s="119" t="s">
        <v>306</v>
      </c>
    </row>
    <row r="190" spans="1:8" ht="16.5">
      <c r="A190" s="21" t="s">
        <v>415</v>
      </c>
      <c r="B190" s="6">
        <v>1</v>
      </c>
      <c r="C190" s="28">
        <v>12</v>
      </c>
      <c r="D190" s="18" t="s">
        <v>265</v>
      </c>
      <c r="E190" s="22" t="s">
        <v>483</v>
      </c>
      <c r="F190" s="48" t="s">
        <v>446</v>
      </c>
      <c r="G190" s="33" t="s">
        <v>527</v>
      </c>
      <c r="H190" s="119" t="s">
        <v>382</v>
      </c>
    </row>
    <row r="191" spans="1:8" ht="16.5">
      <c r="A191" s="21" t="s">
        <v>416</v>
      </c>
      <c r="B191" s="6">
        <v>1</v>
      </c>
      <c r="C191" s="28">
        <v>13</v>
      </c>
      <c r="D191" s="18" t="s">
        <v>265</v>
      </c>
      <c r="E191" s="22" t="s">
        <v>483</v>
      </c>
      <c r="F191" s="19" t="s">
        <v>446</v>
      </c>
      <c r="G191" s="33" t="s">
        <v>527</v>
      </c>
      <c r="H191" s="119" t="s">
        <v>317</v>
      </c>
    </row>
    <row r="192" spans="1:8" ht="16.5">
      <c r="A192" s="15" t="s">
        <v>417</v>
      </c>
      <c r="B192" s="38">
        <v>1</v>
      </c>
      <c r="C192" s="34"/>
      <c r="D192" s="173" t="s">
        <v>124</v>
      </c>
      <c r="E192" s="170" t="s">
        <v>124</v>
      </c>
      <c r="F192" s="173" t="s">
        <v>446</v>
      </c>
      <c r="G192" s="50" t="s">
        <v>527</v>
      </c>
      <c r="H192" s="177" t="s">
        <v>124</v>
      </c>
    </row>
    <row r="193" spans="1:8" ht="16.5">
      <c r="A193" s="15" t="s">
        <v>425</v>
      </c>
      <c r="B193" s="38">
        <v>1</v>
      </c>
      <c r="C193" s="34">
        <v>12</v>
      </c>
      <c r="D193" s="39" t="s">
        <v>265</v>
      </c>
      <c r="E193" s="13" t="s">
        <v>483</v>
      </c>
      <c r="F193" s="172" t="s">
        <v>446</v>
      </c>
      <c r="G193" s="50" t="s">
        <v>527</v>
      </c>
      <c r="H193" s="174" t="s">
        <v>301</v>
      </c>
    </row>
    <row r="194" spans="1:8" ht="16.5">
      <c r="A194" s="15" t="s">
        <v>427</v>
      </c>
      <c r="B194" s="38">
        <v>1</v>
      </c>
      <c r="C194" s="34">
        <v>12</v>
      </c>
      <c r="D194" s="39" t="s">
        <v>265</v>
      </c>
      <c r="E194" s="13" t="s">
        <v>483</v>
      </c>
      <c r="F194" s="172" t="s">
        <v>446</v>
      </c>
      <c r="G194" s="50" t="s">
        <v>527</v>
      </c>
      <c r="H194" s="176" t="s">
        <v>304</v>
      </c>
    </row>
    <row r="195" spans="1:8" ht="16.5">
      <c r="A195" s="15" t="s">
        <v>409</v>
      </c>
      <c r="B195" s="34">
        <v>2</v>
      </c>
      <c r="C195" s="175">
        <v>10</v>
      </c>
      <c r="D195" s="170" t="s">
        <v>124</v>
      </c>
      <c r="E195" s="13" t="s">
        <v>124</v>
      </c>
      <c r="F195" s="13" t="s">
        <v>124</v>
      </c>
      <c r="G195" s="50" t="s">
        <v>527</v>
      </c>
      <c r="H195" s="131" t="s">
        <v>124</v>
      </c>
    </row>
    <row r="196" spans="1:8" ht="16.5">
      <c r="A196" s="15" t="s">
        <v>418</v>
      </c>
      <c r="B196" s="38">
        <v>1</v>
      </c>
      <c r="C196" s="34">
        <v>12</v>
      </c>
      <c r="D196" s="39" t="s">
        <v>265</v>
      </c>
      <c r="E196" s="13" t="s">
        <v>483</v>
      </c>
      <c r="F196" s="172" t="s">
        <v>446</v>
      </c>
      <c r="G196" s="50" t="s">
        <v>527</v>
      </c>
      <c r="H196" s="174" t="s">
        <v>492</v>
      </c>
    </row>
    <row r="197" spans="1:8" ht="16.5">
      <c r="A197" s="15" t="s">
        <v>419</v>
      </c>
      <c r="B197" s="38">
        <v>1</v>
      </c>
      <c r="C197" s="34">
        <v>11</v>
      </c>
      <c r="D197" s="39" t="s">
        <v>265</v>
      </c>
      <c r="E197" s="13" t="s">
        <v>483</v>
      </c>
      <c r="F197" s="172" t="s">
        <v>446</v>
      </c>
      <c r="G197" s="50" t="s">
        <v>527</v>
      </c>
      <c r="H197" s="174" t="s">
        <v>426</v>
      </c>
    </row>
    <row r="198" spans="1:8" ht="16.5">
      <c r="A198" s="15" t="s">
        <v>429</v>
      </c>
      <c r="B198" s="38">
        <v>1</v>
      </c>
      <c r="C198" s="34">
        <v>11</v>
      </c>
      <c r="D198" s="39" t="s">
        <v>265</v>
      </c>
      <c r="E198" s="13" t="s">
        <v>483</v>
      </c>
      <c r="F198" s="172" t="s">
        <v>446</v>
      </c>
      <c r="G198" s="50" t="s">
        <v>527</v>
      </c>
      <c r="H198" s="174" t="s">
        <v>286</v>
      </c>
    </row>
    <row r="199" spans="1:8" ht="16.5">
      <c r="A199" s="15" t="s">
        <v>420</v>
      </c>
      <c r="B199" s="38">
        <v>1</v>
      </c>
      <c r="C199" s="34">
        <v>12</v>
      </c>
      <c r="D199" s="39" t="s">
        <v>265</v>
      </c>
      <c r="E199" s="13" t="s">
        <v>483</v>
      </c>
      <c r="F199" s="173" t="s">
        <v>446</v>
      </c>
      <c r="G199" s="50" t="s">
        <v>527</v>
      </c>
      <c r="H199" s="174" t="s">
        <v>317</v>
      </c>
    </row>
    <row r="200" spans="1:8" ht="16.5">
      <c r="A200" s="15" t="s">
        <v>619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0" t="s">
        <v>631</v>
      </c>
      <c r="H200" s="131" t="s">
        <v>671</v>
      </c>
    </row>
    <row r="201" spans="1:8" ht="16.5">
      <c r="A201" s="15" t="s">
        <v>620</v>
      </c>
      <c r="B201" s="34">
        <v>1</v>
      </c>
      <c r="C201" s="34"/>
      <c r="D201" s="13" t="s">
        <v>265</v>
      </c>
      <c r="E201" s="13" t="s">
        <v>483</v>
      </c>
      <c r="F201" s="13" t="s">
        <v>448</v>
      </c>
      <c r="G201" s="50" t="s">
        <v>631</v>
      </c>
      <c r="H201" s="131" t="s">
        <v>304</v>
      </c>
    </row>
    <row r="202" spans="1:8" ht="16.5">
      <c r="A202" s="15" t="s">
        <v>621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1" t="s">
        <v>304</v>
      </c>
    </row>
    <row r="203" spans="1:8" ht="16.5">
      <c r="A203" s="15" t="s">
        <v>618</v>
      </c>
      <c r="B203" s="34">
        <v>2</v>
      </c>
      <c r="C203" s="34"/>
      <c r="D203" s="13" t="s">
        <v>262</v>
      </c>
      <c r="E203" s="13" t="s">
        <v>483</v>
      </c>
      <c r="F203" s="13" t="s">
        <v>446</v>
      </c>
      <c r="G203" s="50" t="s">
        <v>631</v>
      </c>
      <c r="H203" s="131" t="s">
        <v>426</v>
      </c>
    </row>
    <row r="204" spans="1:8" ht="16.5">
      <c r="A204" s="15" t="s">
        <v>638</v>
      </c>
      <c r="B204" s="34">
        <v>1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1" t="s">
        <v>301</v>
      </c>
    </row>
    <row r="205" spans="1:8" ht="16.5">
      <c r="A205" s="15" t="s">
        <v>668</v>
      </c>
      <c r="B205" s="34">
        <v>1</v>
      </c>
      <c r="C205" s="34"/>
      <c r="D205" s="13" t="s">
        <v>265</v>
      </c>
      <c r="E205" s="13" t="s">
        <v>483</v>
      </c>
      <c r="F205" s="13" t="s">
        <v>446</v>
      </c>
      <c r="G205" s="50" t="s">
        <v>631</v>
      </c>
      <c r="H205" s="131" t="s">
        <v>286</v>
      </c>
    </row>
    <row r="206" spans="1:8" ht="16.5">
      <c r="A206" s="15" t="s">
        <v>679</v>
      </c>
      <c r="B206" s="34">
        <v>1</v>
      </c>
      <c r="C206" s="34"/>
      <c r="D206" s="13" t="s">
        <v>265</v>
      </c>
      <c r="E206" s="13" t="s">
        <v>483</v>
      </c>
      <c r="F206" s="13" t="s">
        <v>446</v>
      </c>
      <c r="G206" s="50" t="s">
        <v>631</v>
      </c>
      <c r="H206" s="131" t="s">
        <v>304</v>
      </c>
    </row>
    <row r="207" spans="1:8" ht="16.5">
      <c r="A207" s="15" t="s">
        <v>624</v>
      </c>
      <c r="B207" s="34">
        <v>2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1" t="s">
        <v>304</v>
      </c>
    </row>
    <row r="208" spans="1:8" ht="16.5">
      <c r="A208" s="15" t="s">
        <v>623</v>
      </c>
      <c r="B208" s="34">
        <v>2</v>
      </c>
      <c r="C208" s="34"/>
      <c r="D208" s="13" t="s">
        <v>262</v>
      </c>
      <c r="E208" s="13" t="s">
        <v>483</v>
      </c>
      <c r="F208" s="13" t="s">
        <v>446</v>
      </c>
      <c r="G208" s="50" t="s">
        <v>631</v>
      </c>
      <c r="H208" s="131" t="s">
        <v>286</v>
      </c>
    </row>
    <row r="209" spans="1:8" ht="16.5">
      <c r="A209" s="15" t="s">
        <v>636</v>
      </c>
      <c r="B209" s="34">
        <v>1</v>
      </c>
      <c r="C209" s="34"/>
      <c r="D209" s="13" t="s">
        <v>265</v>
      </c>
      <c r="E209" s="13" t="s">
        <v>483</v>
      </c>
      <c r="F209" s="13" t="s">
        <v>446</v>
      </c>
      <c r="G209" s="50" t="s">
        <v>631</v>
      </c>
      <c r="H209" s="131" t="s">
        <v>286</v>
      </c>
    </row>
    <row r="210" spans="1:8" ht="16.5">
      <c r="A210" s="15" t="s">
        <v>626</v>
      </c>
      <c r="B210" s="34">
        <v>1</v>
      </c>
      <c r="C210" s="34"/>
      <c r="D210" s="13" t="s">
        <v>265</v>
      </c>
      <c r="E210" s="13" t="s">
        <v>483</v>
      </c>
      <c r="F210" s="13" t="s">
        <v>446</v>
      </c>
      <c r="G210" s="50" t="s">
        <v>631</v>
      </c>
      <c r="H210" s="131" t="s">
        <v>286</v>
      </c>
    </row>
    <row r="211" spans="1:8" ht="16.5">
      <c r="A211" s="15" t="s">
        <v>685</v>
      </c>
      <c r="B211" s="34">
        <v>1</v>
      </c>
      <c r="C211" s="34"/>
      <c r="D211" s="13" t="s">
        <v>265</v>
      </c>
      <c r="E211" s="13" t="s">
        <v>483</v>
      </c>
      <c r="F211" s="13" t="s">
        <v>446</v>
      </c>
      <c r="G211" s="50" t="s">
        <v>631</v>
      </c>
      <c r="H211" s="131" t="s">
        <v>304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7" t="s">
        <v>13</v>
      </c>
    </row>
    <row r="4" spans="1:3">
      <c r="A4" s="40" t="s">
        <v>38</v>
      </c>
      <c r="B4" s="36">
        <v>1</v>
      </c>
      <c r="C4" s="126" t="s">
        <v>13</v>
      </c>
    </row>
    <row r="5" spans="1:3">
      <c r="A5" s="23" t="s">
        <v>333</v>
      </c>
      <c r="B5" s="120">
        <v>1</v>
      </c>
      <c r="C5" s="126" t="s">
        <v>13</v>
      </c>
    </row>
    <row r="6" spans="1:3">
      <c r="A6" s="23" t="s">
        <v>260</v>
      </c>
      <c r="B6" s="120">
        <v>1</v>
      </c>
      <c r="C6" s="126" t="s">
        <v>13</v>
      </c>
    </row>
    <row r="7" spans="1:3">
      <c r="A7" s="23" t="s">
        <v>344</v>
      </c>
      <c r="B7" s="120">
        <v>1</v>
      </c>
      <c r="C7" s="126" t="s">
        <v>13</v>
      </c>
    </row>
    <row r="8" spans="1:3">
      <c r="A8" s="23" t="s">
        <v>364</v>
      </c>
      <c r="B8" s="120">
        <v>2</v>
      </c>
      <c r="C8" s="126" t="s">
        <v>13</v>
      </c>
    </row>
    <row r="9" spans="1:3">
      <c r="A9" s="23" t="s">
        <v>365</v>
      </c>
      <c r="B9" s="120">
        <v>3</v>
      </c>
      <c r="C9" s="126" t="s">
        <v>13</v>
      </c>
    </row>
    <row r="10" spans="1:3">
      <c r="A10" s="23" t="s">
        <v>600</v>
      </c>
      <c r="B10" s="120">
        <v>1</v>
      </c>
      <c r="C10" s="126" t="s">
        <v>13</v>
      </c>
    </row>
    <row r="11" spans="1:3">
      <c r="A11" s="23" t="s">
        <v>601</v>
      </c>
      <c r="B11" s="120">
        <v>2</v>
      </c>
      <c r="C11" s="126" t="s">
        <v>13</v>
      </c>
    </row>
    <row r="12" spans="1:3">
      <c r="A12" s="23" t="s">
        <v>273</v>
      </c>
      <c r="B12" s="120">
        <v>1</v>
      </c>
      <c r="C12" s="126" t="s">
        <v>13</v>
      </c>
    </row>
    <row r="13" spans="1:3">
      <c r="A13" s="23" t="s">
        <v>602</v>
      </c>
      <c r="B13" s="120">
        <v>1</v>
      </c>
      <c r="C13" s="126" t="s">
        <v>13</v>
      </c>
    </row>
    <row r="14" spans="1:3">
      <c r="A14" s="23" t="s">
        <v>178</v>
      </c>
      <c r="B14" s="120">
        <v>1</v>
      </c>
      <c r="C14" s="126" t="s">
        <v>13</v>
      </c>
    </row>
    <row r="15" spans="1:3">
      <c r="A15" s="23" t="s">
        <v>253</v>
      </c>
      <c r="B15" s="120">
        <v>1</v>
      </c>
      <c r="C15" s="126" t="s">
        <v>13</v>
      </c>
    </row>
    <row r="16" spans="1:3">
      <c r="A16" s="23" t="s">
        <v>41</v>
      </c>
      <c r="B16" s="120">
        <v>1</v>
      </c>
      <c r="C16" s="126" t="s">
        <v>13</v>
      </c>
    </row>
    <row r="17" spans="1:3">
      <c r="A17" s="23" t="s">
        <v>252</v>
      </c>
      <c r="B17" s="120">
        <v>1</v>
      </c>
      <c r="C17" s="126" t="s">
        <v>13</v>
      </c>
    </row>
    <row r="18" spans="1:3">
      <c r="A18" s="23" t="s">
        <v>259</v>
      </c>
      <c r="B18" s="120">
        <v>1</v>
      </c>
      <c r="C18" s="126" t="s">
        <v>13</v>
      </c>
    </row>
    <row r="19" spans="1:3">
      <c r="A19" s="23" t="s">
        <v>451</v>
      </c>
      <c r="B19" s="120">
        <v>2</v>
      </c>
      <c r="C19" s="126" t="s">
        <v>13</v>
      </c>
    </row>
    <row r="20" spans="1:3">
      <c r="A20" s="23" t="s">
        <v>44</v>
      </c>
      <c r="B20" s="120">
        <v>1</v>
      </c>
      <c r="C20" s="126" t="s">
        <v>13</v>
      </c>
    </row>
    <row r="21" spans="1:3">
      <c r="A21" s="23" t="s">
        <v>80</v>
      </c>
      <c r="B21" s="120">
        <v>1</v>
      </c>
      <c r="C21" s="126" t="s">
        <v>13</v>
      </c>
    </row>
    <row r="22" spans="1:3">
      <c r="A22" s="23" t="s">
        <v>603</v>
      </c>
      <c r="B22" s="120">
        <v>1</v>
      </c>
      <c r="C22" s="126" t="s">
        <v>13</v>
      </c>
    </row>
    <row r="23" spans="1:3">
      <c r="A23" s="23" t="s">
        <v>47</v>
      </c>
      <c r="B23" s="120">
        <v>1</v>
      </c>
      <c r="C23" s="126" t="s">
        <v>13</v>
      </c>
    </row>
    <row r="24" spans="1:3">
      <c r="A24" s="23" t="s">
        <v>604</v>
      </c>
      <c r="B24" s="120">
        <v>1</v>
      </c>
      <c r="C24" s="126" t="s">
        <v>13</v>
      </c>
    </row>
    <row r="25" spans="1:3">
      <c r="A25" s="23" t="s">
        <v>18</v>
      </c>
      <c r="B25" s="120">
        <v>1</v>
      </c>
      <c r="C25" s="126" t="s">
        <v>13</v>
      </c>
    </row>
    <row r="26" spans="1:3">
      <c r="A26" s="23" t="s">
        <v>605</v>
      </c>
      <c r="B26" s="120">
        <v>2</v>
      </c>
      <c r="C26" s="126" t="s">
        <v>13</v>
      </c>
    </row>
    <row r="27" spans="1:3">
      <c r="A27" s="23" t="s">
        <v>257</v>
      </c>
      <c r="B27" s="120">
        <v>1</v>
      </c>
      <c r="C27" s="126" t="s">
        <v>13</v>
      </c>
    </row>
    <row r="28" spans="1:3">
      <c r="A28" s="23" t="s">
        <v>20</v>
      </c>
      <c r="B28" s="120">
        <v>1</v>
      </c>
      <c r="C28" s="126" t="s">
        <v>13</v>
      </c>
    </row>
    <row r="29" spans="1:3">
      <c r="A29" s="23" t="s">
        <v>128</v>
      </c>
      <c r="B29" s="120">
        <v>1</v>
      </c>
      <c r="C29" s="126" t="s">
        <v>13</v>
      </c>
    </row>
    <row r="30" spans="1:3">
      <c r="A30" s="23" t="s">
        <v>52</v>
      </c>
      <c r="B30" s="120">
        <v>1</v>
      </c>
      <c r="C30" s="126" t="s">
        <v>13</v>
      </c>
    </row>
    <row r="31" spans="1:3">
      <c r="A31" s="23" t="s">
        <v>255</v>
      </c>
      <c r="B31" s="120">
        <v>1</v>
      </c>
      <c r="C31" s="126" t="s">
        <v>13</v>
      </c>
    </row>
    <row r="32" spans="1:3">
      <c r="A32" s="40" t="s">
        <v>676</v>
      </c>
      <c r="B32" s="36">
        <v>1</v>
      </c>
      <c r="C32" s="126" t="s">
        <v>13</v>
      </c>
    </row>
    <row r="33" spans="1:3">
      <c r="A33" s="23" t="s">
        <v>452</v>
      </c>
      <c r="B33" s="120">
        <v>1</v>
      </c>
      <c r="C33" s="126" t="s">
        <v>13</v>
      </c>
    </row>
    <row r="34" spans="1:3">
      <c r="A34" s="23" t="s">
        <v>334</v>
      </c>
      <c r="B34" s="120">
        <v>1</v>
      </c>
      <c r="C34" s="126" t="s">
        <v>13</v>
      </c>
    </row>
    <row r="35" spans="1:3">
      <c r="A35" s="23" t="s">
        <v>23</v>
      </c>
      <c r="B35" s="120">
        <v>1</v>
      </c>
      <c r="C35" s="126" t="s">
        <v>13</v>
      </c>
    </row>
    <row r="36" spans="1:3">
      <c r="A36" s="23" t="s">
        <v>606</v>
      </c>
      <c r="B36" s="120">
        <v>2</v>
      </c>
      <c r="C36" s="126" t="s">
        <v>13</v>
      </c>
    </row>
    <row r="37" spans="1:3">
      <c r="A37" s="23" t="s">
        <v>607</v>
      </c>
      <c r="B37" s="120">
        <v>3</v>
      </c>
      <c r="C37" s="126" t="s">
        <v>13</v>
      </c>
    </row>
    <row r="38" spans="1:3">
      <c r="A38" s="23" t="s">
        <v>258</v>
      </c>
      <c r="B38" s="120">
        <v>1</v>
      </c>
      <c r="C38" s="126" t="s">
        <v>13</v>
      </c>
    </row>
    <row r="39" spans="1:3">
      <c r="A39" s="23" t="s">
        <v>25</v>
      </c>
      <c r="B39" s="120">
        <v>1</v>
      </c>
      <c r="C39" s="126" t="s">
        <v>13</v>
      </c>
    </row>
    <row r="40" spans="1:3">
      <c r="A40" s="23" t="s">
        <v>399</v>
      </c>
      <c r="B40" s="120">
        <v>1</v>
      </c>
      <c r="C40" s="126" t="s">
        <v>13</v>
      </c>
    </row>
    <row r="41" spans="1:3">
      <c r="A41" s="23" t="s">
        <v>608</v>
      </c>
      <c r="B41" s="120">
        <v>1</v>
      </c>
      <c r="C41" s="126" t="s">
        <v>13</v>
      </c>
    </row>
    <row r="42" spans="1:3">
      <c r="A42" s="23" t="s">
        <v>76</v>
      </c>
      <c r="B42" s="120">
        <v>1</v>
      </c>
      <c r="C42" s="126" t="s">
        <v>13</v>
      </c>
    </row>
    <row r="43" spans="1:3">
      <c r="A43" s="23" t="s">
        <v>609</v>
      </c>
      <c r="B43" s="120">
        <v>2</v>
      </c>
      <c r="C43" s="126" t="s">
        <v>13</v>
      </c>
    </row>
    <row r="44" spans="1:3">
      <c r="A44" s="23" t="s">
        <v>125</v>
      </c>
      <c r="B44" s="120">
        <v>1</v>
      </c>
      <c r="C44" s="126" t="s">
        <v>13</v>
      </c>
    </row>
    <row r="45" spans="1:3">
      <c r="A45" s="23" t="s">
        <v>31</v>
      </c>
      <c r="B45" s="120">
        <v>1</v>
      </c>
      <c r="C45" s="126" t="s">
        <v>13</v>
      </c>
    </row>
    <row r="46" spans="1:3">
      <c r="A46" s="23" t="s">
        <v>610</v>
      </c>
      <c r="B46" s="120">
        <v>2</v>
      </c>
      <c r="C46" s="126" t="s">
        <v>13</v>
      </c>
    </row>
    <row r="47" spans="1:3">
      <c r="A47" s="23" t="s">
        <v>34</v>
      </c>
      <c r="B47" s="120">
        <v>1</v>
      </c>
      <c r="C47" s="126" t="s">
        <v>13</v>
      </c>
    </row>
    <row r="48" spans="1:3">
      <c r="A48" s="23" t="s">
        <v>402</v>
      </c>
      <c r="B48" s="120">
        <v>1</v>
      </c>
      <c r="C48" s="126" t="s">
        <v>13</v>
      </c>
    </row>
    <row r="49" spans="1:3">
      <c r="A49" s="23" t="s">
        <v>261</v>
      </c>
      <c r="B49" s="120">
        <v>1</v>
      </c>
      <c r="C49" s="126" t="s">
        <v>13</v>
      </c>
    </row>
    <row r="50" spans="1:3">
      <c r="A50" s="23" t="s">
        <v>295</v>
      </c>
      <c r="B50" s="120">
        <v>1</v>
      </c>
      <c r="C50" s="126" t="s">
        <v>13</v>
      </c>
    </row>
    <row r="51" spans="1:3">
      <c r="A51" s="23" t="s">
        <v>400</v>
      </c>
      <c r="B51" s="120">
        <v>1</v>
      </c>
      <c r="C51" s="126" t="s">
        <v>13</v>
      </c>
    </row>
    <row r="52" spans="1:3">
      <c r="A52" s="23" t="s">
        <v>401</v>
      </c>
      <c r="B52" s="120">
        <v>2</v>
      </c>
      <c r="C52" s="126" t="s">
        <v>13</v>
      </c>
    </row>
    <row r="53" spans="1:3">
      <c r="A53" s="23" t="s">
        <v>454</v>
      </c>
      <c r="B53" s="120">
        <v>3</v>
      </c>
      <c r="C53" s="126" t="s">
        <v>13</v>
      </c>
    </row>
    <row r="54" spans="1:3">
      <c r="A54" s="23" t="s">
        <v>453</v>
      </c>
      <c r="B54" s="120">
        <v>4</v>
      </c>
      <c r="C54" s="126" t="s">
        <v>13</v>
      </c>
    </row>
    <row r="55" spans="1:3">
      <c r="A55" s="40" t="s">
        <v>681</v>
      </c>
      <c r="B55" s="36">
        <v>1</v>
      </c>
      <c r="C55" s="126" t="s">
        <v>39</v>
      </c>
    </row>
    <row r="56" spans="1:3">
      <c r="A56" s="40" t="s">
        <v>684</v>
      </c>
      <c r="B56" s="36">
        <v>1</v>
      </c>
      <c r="C56" s="126" t="s">
        <v>39</v>
      </c>
    </row>
    <row r="57" spans="1:3">
      <c r="A57" s="40" t="s">
        <v>620</v>
      </c>
      <c r="B57" s="36">
        <v>1</v>
      </c>
      <c r="C57" s="126" t="s">
        <v>39</v>
      </c>
    </row>
    <row r="58" spans="1:3">
      <c r="A58" s="23" t="s">
        <v>386</v>
      </c>
      <c r="B58" s="120">
        <v>1</v>
      </c>
      <c r="C58" s="126" t="s">
        <v>39</v>
      </c>
    </row>
    <row r="59" spans="1:3">
      <c r="A59" s="40" t="s">
        <v>621</v>
      </c>
      <c r="B59" s="36">
        <v>1</v>
      </c>
      <c r="C59" s="126" t="s">
        <v>39</v>
      </c>
    </row>
    <row r="60" spans="1:3">
      <c r="A60" s="23" t="s">
        <v>599</v>
      </c>
      <c r="B60" s="120">
        <v>2</v>
      </c>
      <c r="C60" s="126" t="s">
        <v>39</v>
      </c>
    </row>
    <row r="61" spans="1:3">
      <c r="A61" s="23" t="s">
        <v>433</v>
      </c>
      <c r="B61" s="120">
        <v>3</v>
      </c>
      <c r="C61" s="126" t="s">
        <v>39</v>
      </c>
    </row>
    <row r="62" spans="1:3">
      <c r="A62" s="23" t="s">
        <v>434</v>
      </c>
      <c r="B62" s="120">
        <v>4</v>
      </c>
      <c r="C62" s="126" t="s">
        <v>39</v>
      </c>
    </row>
    <row r="63" spans="1:3">
      <c r="A63" s="40" t="s">
        <v>682</v>
      </c>
      <c r="B63" s="36">
        <v>1</v>
      </c>
      <c r="C63" s="128" t="s">
        <v>39</v>
      </c>
    </row>
    <row r="64" spans="1:3">
      <c r="A64" s="23" t="s">
        <v>345</v>
      </c>
      <c r="B64" s="120">
        <v>1</v>
      </c>
      <c r="C64" s="128" t="s">
        <v>39</v>
      </c>
    </row>
    <row r="65" spans="1:3">
      <c r="A65" s="40" t="s">
        <v>683</v>
      </c>
      <c r="B65" s="36">
        <v>1</v>
      </c>
      <c r="C65" s="128" t="s">
        <v>39</v>
      </c>
    </row>
    <row r="66" spans="1:3">
      <c r="A66" s="23" t="s">
        <v>417</v>
      </c>
      <c r="B66" s="120">
        <v>1</v>
      </c>
      <c r="C66" s="128" t="s">
        <v>39</v>
      </c>
    </row>
    <row r="67" spans="1:3">
      <c r="A67" s="23" t="s">
        <v>409</v>
      </c>
      <c r="B67" s="120">
        <v>2</v>
      </c>
      <c r="C67" s="128" t="s">
        <v>39</v>
      </c>
    </row>
    <row r="68" spans="1:3">
      <c r="A68" s="23" t="s">
        <v>406</v>
      </c>
      <c r="B68" s="120">
        <v>1</v>
      </c>
      <c r="C68" s="128" t="s">
        <v>39</v>
      </c>
    </row>
    <row r="69" spans="1:3">
      <c r="A69" s="23" t="s">
        <v>64</v>
      </c>
      <c r="B69" s="120">
        <v>1</v>
      </c>
      <c r="C69" s="128" t="s">
        <v>39</v>
      </c>
    </row>
    <row r="70" spans="1:3">
      <c r="A70" s="23" t="s">
        <v>71</v>
      </c>
      <c r="B70" s="120">
        <v>1</v>
      </c>
      <c r="C70" s="128" t="s">
        <v>39</v>
      </c>
    </row>
    <row r="71" spans="1:3">
      <c r="A71" s="23" t="s">
        <v>611</v>
      </c>
      <c r="B71" s="120">
        <v>2</v>
      </c>
      <c r="C71" s="128" t="s">
        <v>39</v>
      </c>
    </row>
    <row r="72" spans="1:3">
      <c r="A72" s="40" t="s">
        <v>402</v>
      </c>
      <c r="B72" s="36">
        <v>1</v>
      </c>
      <c r="C72" s="128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60">
        <f>IF('Vars and Stats'!$B$13="Y",10*(Completed[[#This Row],[Raw]]-'Vars and Stats'!$B$9)/'Vars and Stats'!$B$10, 10*Completed[[#This Row],[Raw]]/'Vars and Stats'!$B$8)</f>
        <v>9.6032745591939523</v>
      </c>
      <c r="I4" s="54">
        <v>41270</v>
      </c>
      <c r="J4" s="54">
        <v>41279</v>
      </c>
      <c r="K4" s="56" t="s">
        <v>187</v>
      </c>
      <c r="L4" s="29" t="s">
        <v>390</v>
      </c>
    </row>
    <row r="5" spans="1:12" ht="16.5">
      <c r="A5" s="21" t="s">
        <v>340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60">
        <f>IF('Vars and Stats'!$B$13="Y",10*(Completed[[#This Row],[Raw]]-'Vars and Stats'!$B$9)/'Vars and Stats'!$B$10, 10*Completed[[#This Row],[Raw]]/'Vars and Stats'!$B$8)</f>
        <v>9.4874055415617118</v>
      </c>
      <c r="I5" s="54">
        <v>41646</v>
      </c>
      <c r="J5" s="54">
        <v>41647</v>
      </c>
      <c r="K5" s="56" t="s">
        <v>380</v>
      </c>
      <c r="L5" s="29" t="s">
        <v>381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60">
        <f>IF('Vars and Stats'!$B$13="Y",10*(Completed[[#This Row],[Raw]]-'Vars and Stats'!$B$9)/'Vars and Stats'!$B$10, 10*Completed[[#This Row],[Raw]]/'Vars and Stats'!$B$8)</f>
        <v>9.0617128463476053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97" t="s">
        <v>159</v>
      </c>
      <c r="E1" s="199"/>
      <c r="F1" s="23" t="s">
        <v>630</v>
      </c>
      <c r="G1" s="197" t="s">
        <v>627</v>
      </c>
      <c r="H1" s="198"/>
      <c r="I1" s="199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4" t="s">
        <v>639</v>
      </c>
      <c r="H23" s="129">
        <f>COUNTA($G1:$G22)-2</f>
        <v>12</v>
      </c>
      <c r="I23" s="132">
        <f>H23*22/60</f>
        <v>4.4000000000000004</v>
      </c>
    </row>
    <row r="24" spans="1:9">
      <c r="G24" s="135" t="s">
        <v>640</v>
      </c>
      <c r="H24" s="130">
        <f>COUNTIF($H1:$H22, "Y")</f>
        <v>9</v>
      </c>
      <c r="I24" s="133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97" t="s">
        <v>567</v>
      </c>
      <c r="B1" s="198"/>
      <c r="C1" s="198"/>
      <c r="D1" s="198"/>
      <c r="E1" s="199"/>
    </row>
    <row r="2" spans="1:14">
      <c r="A2" s="137" t="s">
        <v>15</v>
      </c>
      <c r="B2" s="137" t="s">
        <v>16</v>
      </c>
      <c r="C2" s="23" t="s">
        <v>630</v>
      </c>
      <c r="D2" s="161" t="s">
        <v>644</v>
      </c>
      <c r="E2" s="162" t="s">
        <v>642</v>
      </c>
      <c r="F2" s="23" t="s">
        <v>630</v>
      </c>
      <c r="N2" s="23" t="s">
        <v>630</v>
      </c>
    </row>
    <row r="3" spans="1:14">
      <c r="A3" s="139" t="s">
        <v>137</v>
      </c>
      <c r="B3" s="140">
        <v>0.36499999999999999</v>
      </c>
      <c r="C3" s="166" t="s">
        <v>659</v>
      </c>
      <c r="D3" s="167" t="s">
        <v>302</v>
      </c>
      <c r="E3" s="168">
        <f>COUNTIF(Tracker[Subber(s)], "*Coalgirls*")</f>
        <v>35</v>
      </c>
      <c r="F3" s="166" t="str">
        <f>"*"&amp;Table3[[#This Row],[Subber Name]]&amp;"*"</f>
        <v>*Coalgirls*</v>
      </c>
    </row>
    <row r="4" spans="1:14">
      <c r="A4" s="143" t="s">
        <v>136</v>
      </c>
      <c r="B4" s="144">
        <v>0.53500000000000003</v>
      </c>
      <c r="C4" s="166" t="s">
        <v>646</v>
      </c>
      <c r="D4" s="169" t="s">
        <v>304</v>
      </c>
      <c r="E4" s="30">
        <f>COUNTIF(Tracker[Subber(s)], "*HorribleSubs*")</f>
        <v>30</v>
      </c>
      <c r="F4" s="166" t="str">
        <f>"*"&amp;Table3[[#This Row],[Subber Name]]&amp;"*"</f>
        <v>*HorribleSubs*</v>
      </c>
    </row>
    <row r="5" spans="1:14">
      <c r="A5" s="143" t="s">
        <v>7</v>
      </c>
      <c r="B5" s="144">
        <v>9.5000000000000001E-2</v>
      </c>
      <c r="C5" s="166" t="s">
        <v>647</v>
      </c>
      <c r="D5" s="169" t="s">
        <v>301</v>
      </c>
      <c r="E5" s="30">
        <f>COUNTIF(Tracker[Subber(s)], "*Doki*")</f>
        <v>25</v>
      </c>
      <c r="F5" s="166" t="str">
        <f>"*"&amp;Table3[[#This Row],[Subber Name]]&amp;"*"</f>
        <v>*Doki*</v>
      </c>
    </row>
    <row r="6" spans="1:14">
      <c r="A6" s="147" t="s">
        <v>138</v>
      </c>
      <c r="B6" s="148">
        <f>SUM(B3:B5)</f>
        <v>0.995</v>
      </c>
      <c r="C6" s="166" t="s">
        <v>648</v>
      </c>
      <c r="D6" s="169" t="s">
        <v>286</v>
      </c>
      <c r="E6" s="30">
        <f>COUNTIF(Tracker[Subber(s)], "*FFF*")</f>
        <v>23</v>
      </c>
      <c r="F6" s="166" t="str">
        <f>"*"&amp;Table3[[#This Row],[Subber Name]]&amp;"*"</f>
        <v>*FFF*</v>
      </c>
    </row>
    <row r="7" spans="1:14">
      <c r="A7" s="40"/>
      <c r="B7" s="40"/>
      <c r="C7" s="166" t="s">
        <v>649</v>
      </c>
      <c r="D7" s="169" t="s">
        <v>285</v>
      </c>
      <c r="E7" s="30">
        <f>COUNTIF(Tracker[Subber(s)], "*UTW*")</f>
        <v>12</v>
      </c>
      <c r="F7" s="166" t="str">
        <f>"*"&amp;Table3[[#This Row],[Subber Name]]&amp;"*"</f>
        <v>*UTW*</v>
      </c>
    </row>
    <row r="8" spans="1:14">
      <c r="A8" s="149" t="s">
        <v>30</v>
      </c>
      <c r="B8" s="150">
        <f>MAX(Completed!G:G)</f>
        <v>9.9748743718592969</v>
      </c>
      <c r="C8" s="166" t="s">
        <v>650</v>
      </c>
      <c r="D8" s="169" t="s">
        <v>311</v>
      </c>
      <c r="E8" s="30">
        <f>COUNTIF(Tracker[Subber(s)], "*Mazui*")</f>
        <v>11</v>
      </c>
      <c r="F8" s="166" t="str">
        <f>"*"&amp;Table3[[#This Row],[Subber Name]]&amp;"*"</f>
        <v>*Mazui*</v>
      </c>
    </row>
    <row r="9" spans="1:14">
      <c r="A9" s="153" t="s">
        <v>33</v>
      </c>
      <c r="B9" s="154">
        <f>MIN(Completed!G:G)</f>
        <v>2.5037688442211055</v>
      </c>
      <c r="C9" s="166" t="s">
        <v>651</v>
      </c>
      <c r="D9" s="169" t="s">
        <v>309</v>
      </c>
      <c r="E9" s="30">
        <f>COUNTIF(Tracker[Subber(s)], "*Elysium*")</f>
        <v>8</v>
      </c>
      <c r="F9" s="166" t="str">
        <f>"*"&amp;Table3[[#This Row],[Subber Name]]&amp;"*"</f>
        <v>*Elysium*</v>
      </c>
    </row>
    <row r="10" spans="1:14">
      <c r="A10" s="153" t="s">
        <v>35</v>
      </c>
      <c r="B10" s="154">
        <f>B8-B9</f>
        <v>7.4711055276381915</v>
      </c>
      <c r="C10" s="166" t="s">
        <v>652</v>
      </c>
      <c r="D10" s="169" t="s">
        <v>322</v>
      </c>
      <c r="E10" s="30">
        <f>COUNTIF(Tracker[Subber(s)], "*Eclipse*")</f>
        <v>7</v>
      </c>
      <c r="F10" s="166" t="str">
        <f>"*"&amp;Table3[[#This Row],[Subber Name]]&amp;"*"</f>
        <v>*Eclipse*</v>
      </c>
    </row>
    <row r="11" spans="1:14">
      <c r="A11" s="155" t="s">
        <v>37</v>
      </c>
      <c r="B11" s="156">
        <f>SUM(B3:B6)</f>
        <v>1.99</v>
      </c>
      <c r="C11" s="166" t="s">
        <v>653</v>
      </c>
      <c r="D11" s="167" t="s">
        <v>382</v>
      </c>
      <c r="E11" s="168">
        <f>COUNTIF(Tracker[Subber(s)], "*Vivid*")</f>
        <v>7</v>
      </c>
      <c r="F11" s="166" t="str">
        <f>"*"&amp;Table3[[#This Row],[Subber Name]]&amp;"*"</f>
        <v>*Vivid*</v>
      </c>
    </row>
    <row r="12" spans="1:14">
      <c r="A12" s="40"/>
      <c r="B12" s="40"/>
      <c r="C12" s="166" t="s">
        <v>654</v>
      </c>
      <c r="D12" s="169" t="s">
        <v>317</v>
      </c>
      <c r="E12" s="30">
        <f>COUNTIF(Tracker[Subber(s)], "*Underwater*")</f>
        <v>5</v>
      </c>
      <c r="F12" s="166" t="str">
        <f>"*"&amp;Table3[[#This Row],[Subber Name]]&amp;"*"</f>
        <v>*Underwater*</v>
      </c>
    </row>
    <row r="13" spans="1:14">
      <c r="A13" s="44" t="s">
        <v>43</v>
      </c>
      <c r="B13" s="158" t="s">
        <v>675</v>
      </c>
      <c r="D13" s="169" t="s">
        <v>320</v>
      </c>
      <c r="E13" s="30">
        <f>COUNTIF(Tracker[Subber(s)], "*gg*")</f>
        <v>5</v>
      </c>
      <c r="F13" s="166" t="str">
        <f>"*"&amp;Table3[[#This Row],[Subber Name]]&amp;"*"</f>
        <v>*gg*</v>
      </c>
    </row>
    <row r="14" spans="1:14">
      <c r="A14" s="44" t="s">
        <v>46</v>
      </c>
      <c r="B14" s="159">
        <f>AVERAGE(Completed[Total])</f>
        <v>7.9411958738155191</v>
      </c>
      <c r="D14" s="169" t="s">
        <v>426</v>
      </c>
      <c r="E14" s="30">
        <f>COUNTIF(Tracker[Subber(s)], "*WhyNot*")</f>
        <v>5</v>
      </c>
      <c r="F14" s="166" t="str">
        <f>"*"&amp;Table3[[#This Row],[Subber Name]]&amp;"*"</f>
        <v>*WhyNot*</v>
      </c>
    </row>
    <row r="16" spans="1:14">
      <c r="A16" s="214" t="s">
        <v>81</v>
      </c>
      <c r="B16" s="215"/>
      <c r="D16" s="149" t="s">
        <v>385</v>
      </c>
      <c r="E16" s="141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1" t="s">
        <v>83</v>
      </c>
      <c r="B17" s="142">
        <f>AVERAGE(Completed[Total])</f>
        <v>7.9411958738155191</v>
      </c>
      <c r="C17" s="166" t="s">
        <v>659</v>
      </c>
      <c r="D17" s="149" t="s">
        <v>661</v>
      </c>
      <c r="E17" s="141">
        <f>SUM($E$3:$E$10)+$E$16-$B$30</f>
        <v>21</v>
      </c>
    </row>
    <row r="18" spans="1:5">
      <c r="A18" s="141" t="s">
        <v>85</v>
      </c>
      <c r="B18" s="142">
        <f>QUARTILE(Completed[Total], 0)</f>
        <v>2.5100755667506296</v>
      </c>
      <c r="C18" s="166" t="s">
        <v>646</v>
      </c>
      <c r="D18" s="155" t="s">
        <v>662</v>
      </c>
      <c r="E18" s="151">
        <f>COUNTIF(Tracker[Subber(s)], "*,*")</f>
        <v>45</v>
      </c>
    </row>
    <row r="19" spans="1:5">
      <c r="A19" s="145" t="s">
        <v>87</v>
      </c>
      <c r="B19" s="146">
        <f>QUARTILE(Completed[Total], 1)</f>
        <v>7.4187657430730471</v>
      </c>
      <c r="C19" s="166" t="s">
        <v>647</v>
      </c>
    </row>
    <row r="20" spans="1:5">
      <c r="A20" s="145" t="s">
        <v>90</v>
      </c>
      <c r="B20" s="146">
        <f>QUARTILE(Completed[Total], 2)</f>
        <v>8.1089420654911848</v>
      </c>
      <c r="C20" s="166" t="s">
        <v>648</v>
      </c>
      <c r="D20" s="214" t="s">
        <v>663</v>
      </c>
      <c r="E20" s="215"/>
    </row>
    <row r="21" spans="1:5">
      <c r="A21" s="145" t="s">
        <v>92</v>
      </c>
      <c r="B21" s="146">
        <f>QUARTILE(Completed[Total], 3)</f>
        <v>8.6914357682619663</v>
      </c>
      <c r="C21" s="166" t="s">
        <v>649</v>
      </c>
      <c r="D21" s="141" t="s">
        <v>664</v>
      </c>
      <c r="E21" s="24">
        <f>COUNTIF(Tracker[Dr. '#], "A")</f>
        <v>117</v>
      </c>
    </row>
    <row r="22" spans="1:5">
      <c r="A22" s="151" t="s">
        <v>93</v>
      </c>
      <c r="B22" s="152">
        <f>QUARTILE(Completed[Total], 4)</f>
        <v>10</v>
      </c>
      <c r="C22" s="166" t="s">
        <v>650</v>
      </c>
      <c r="D22" s="145" t="s">
        <v>665</v>
      </c>
      <c r="E22" s="24">
        <f>COUNTIF(Tracker[Dr. '#], "B")</f>
        <v>74</v>
      </c>
    </row>
    <row r="23" spans="1:5">
      <c r="A23" s="145" t="s">
        <v>35</v>
      </c>
      <c r="B23" s="146">
        <f>B22-B18</f>
        <v>7.4899244332493708</v>
      </c>
      <c r="C23" s="166" t="s">
        <v>651</v>
      </c>
      <c r="D23" s="163" t="s">
        <v>666</v>
      </c>
      <c r="E23" s="164">
        <f>B30-SUM(E21:E22)</f>
        <v>2</v>
      </c>
    </row>
    <row r="24" spans="1:5">
      <c r="A24" s="145" t="s">
        <v>96</v>
      </c>
      <c r="B24" s="146">
        <f>B21-B19</f>
        <v>1.2726700251889191</v>
      </c>
      <c r="C24" s="166" t="s">
        <v>652</v>
      </c>
    </row>
    <row r="25" spans="1:5">
      <c r="A25" s="151" t="s">
        <v>98</v>
      </c>
      <c r="B25" s="152">
        <f>STDEV(Completed[Total])</f>
        <v>1.1368979553219987</v>
      </c>
      <c r="C25" s="166" t="s">
        <v>653</v>
      </c>
      <c r="D25" s="161" t="s">
        <v>645</v>
      </c>
      <c r="E25" s="162" t="s">
        <v>642</v>
      </c>
    </row>
    <row r="26" spans="1:5">
      <c r="A26" s="145" t="s">
        <v>667</v>
      </c>
      <c r="B26" s="157">
        <f ca="1">SUM('Main Page'!P4:P195)+SUM('Main Page'!D4:D23)+SUM(Dropped[Ep.])</f>
        <v>3238</v>
      </c>
      <c r="C26" s="166" t="s">
        <v>654</v>
      </c>
      <c r="D26" s="136" t="s">
        <v>643</v>
      </c>
      <c r="E26" s="165">
        <f>COUNTIF(Completed[Total], "&gt;=9")</f>
        <v>16</v>
      </c>
    </row>
    <row r="27" spans="1:5">
      <c r="A27" s="145" t="s">
        <v>144</v>
      </c>
      <c r="B27" s="157">
        <f ca="1">B26*24</f>
        <v>77712</v>
      </c>
      <c r="D27" s="136" t="s">
        <v>51</v>
      </c>
      <c r="E27" s="165">
        <f>COUNTIF(Completed[Total],  "&gt;=8 ")-COUNTIF(Completed[Total],"&gt;=9")</f>
        <v>53</v>
      </c>
    </row>
    <row r="28" spans="1:5">
      <c r="A28" s="145" t="s">
        <v>145</v>
      </c>
      <c r="B28" s="160">
        <f ca="1">B27/60</f>
        <v>1295.2</v>
      </c>
      <c r="D28" s="136" t="s">
        <v>54</v>
      </c>
      <c r="E28" s="165">
        <f>COUNTIF(Completed[Total],  "&gt;=7")-COUNTIF(Completed[Total],"&gt;=8")</f>
        <v>37</v>
      </c>
    </row>
    <row r="29" spans="1:5">
      <c r="A29" s="151" t="s">
        <v>143</v>
      </c>
      <c r="B29" s="152">
        <f ca="1">B28/24</f>
        <v>53.966666666666669</v>
      </c>
      <c r="D29" s="136" t="s">
        <v>56</v>
      </c>
      <c r="E29" s="165">
        <f>COUNTIF(Completed[Total],  "&gt;=6 ")-COUNTIF(Completed[Total],"&gt;=7")</f>
        <v>14</v>
      </c>
    </row>
    <row r="30" spans="1:5">
      <c r="A30" s="163" t="s">
        <v>384</v>
      </c>
      <c r="B30" s="164">
        <f>COUNTIF(Tracker[Subber(s)], "&lt;&gt;--")</f>
        <v>193</v>
      </c>
      <c r="D30" s="136" t="s">
        <v>60</v>
      </c>
      <c r="E30" s="165">
        <f>COUNTIF(Completed[Total],  "&gt;=5 ")-COUNTIF(Completed[Total],"&gt;=6")</f>
        <v>3</v>
      </c>
    </row>
    <row r="31" spans="1:5">
      <c r="D31" s="136" t="s">
        <v>62</v>
      </c>
      <c r="E31" s="165">
        <f>COUNTIF(Completed[Total],  "&gt;=4 ")-COUNTIF(Completed[Total],"&gt;=5")</f>
        <v>1</v>
      </c>
    </row>
    <row r="32" spans="1:5">
      <c r="D32" s="136" t="s">
        <v>66</v>
      </c>
      <c r="E32" s="165">
        <f>COUNTIF(Completed[Total],  "&gt;=3 ")-COUNTIF(Completed[Total],"&gt;=4")</f>
        <v>0</v>
      </c>
    </row>
    <row r="33" spans="4:5">
      <c r="D33" s="136" t="s">
        <v>69</v>
      </c>
      <c r="E33" s="165">
        <f>COUNTIF(Completed[Total],  "&gt;=2")-COUNTIF(Completed[Total],"&gt;=3")</f>
        <v>2</v>
      </c>
    </row>
    <row r="34" spans="4:5">
      <c r="D34" s="136" t="s">
        <v>73</v>
      </c>
      <c r="E34" s="165">
        <f>COUNTIF(Completed[Total],  "&gt;=1 ")-COUNTIF(Completed[Total],"&gt;=2")</f>
        <v>0</v>
      </c>
    </row>
    <row r="35" spans="4:5">
      <c r="D35" s="136" t="s">
        <v>78</v>
      </c>
      <c r="E35" s="165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1" t="s">
        <v>447</v>
      </c>
      <c r="E38" s="24">
        <f>COUNTIF(Tracker[Type],D38)</f>
        <v>91</v>
      </c>
    </row>
    <row r="39" spans="4:5">
      <c r="D39" s="145" t="s">
        <v>446</v>
      </c>
      <c r="E39" s="24">
        <f>COUNTIF(Tracker[Type],D39)</f>
        <v>80</v>
      </c>
    </row>
    <row r="40" spans="4:5">
      <c r="D40" s="145" t="s">
        <v>450</v>
      </c>
      <c r="E40" s="24">
        <f>COUNTIF(Tracker[Type],D40)</f>
        <v>10</v>
      </c>
    </row>
    <row r="41" spans="4:5">
      <c r="D41" s="145" t="s">
        <v>448</v>
      </c>
      <c r="E41" s="24">
        <f>COUNTIF(Tracker[Type],D41)</f>
        <v>11</v>
      </c>
    </row>
    <row r="42" spans="4:5">
      <c r="D42" s="163" t="s">
        <v>460</v>
      </c>
      <c r="E42" s="164">
        <f>COUNTIF(Tracker[Type],"--")</f>
        <v>17</v>
      </c>
    </row>
    <row r="44" spans="4:5">
      <c r="D44" s="214" t="s">
        <v>660</v>
      </c>
      <c r="E44" s="215"/>
    </row>
    <row r="45" spans="4:5">
      <c r="D45" s="141" t="s">
        <v>483</v>
      </c>
      <c r="E45" s="24">
        <f>COUNTIF(Tracker[Quality], "720p")</f>
        <v>164</v>
      </c>
    </row>
    <row r="46" spans="4:5">
      <c r="D46" s="145" t="s">
        <v>484</v>
      </c>
      <c r="E46" s="24">
        <f>COUNTIF(Tracker[Quality], "1080p")</f>
        <v>15</v>
      </c>
    </row>
    <row r="47" spans="4:5">
      <c r="D47" s="163" t="s">
        <v>385</v>
      </c>
      <c r="E47" s="164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8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2014-09-09T01:18:27Z</dcterms:modified>
</cp:coreProperties>
</file>