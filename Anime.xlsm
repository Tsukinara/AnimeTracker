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bookViews>
    <workbookView xWindow="2490" yWindow="750" windowWidth="6840" windowHeight="2805" tabRatio="622"/>
  </bookViews>
  <sheets>
    <sheet name="Main Page" sheetId="19" r:id="rId1"/>
    <sheet name="Tracker" sheetId="16" r:id="rId2"/>
    <sheet name="Backlog" sheetId="21" r:id="rId3"/>
    <sheet name="Completed" sheetId="17" r:id="rId4"/>
    <sheet name="Rewatches" sheetId="15" r:id="rId5"/>
    <sheet name="Dropped" sheetId="5" r:id="rId6"/>
    <sheet name="Misc Sheet" sheetId="7" r:id="rId7"/>
    <sheet name="Vars and Stats" sheetId="20" r:id="rId8"/>
    <sheet name="ChartData (not user facing)" sheetId="22" state="hidden" r:id="rId9"/>
  </sheets>
  <functionGroups builtInGroupCount="18"/>
  <calcPr calcId="152511" iterateDelta="1E-4"/>
</workbook>
</file>

<file path=xl/calcChain.xml><?xml version="1.0" encoding="utf-8"?>
<calcChain xmlns="http://schemas.openxmlformats.org/spreadsheetml/2006/main">
  <c r="G67" i="17" l="1"/>
  <c r="E22" i="20" l="1"/>
  <c r="E21" i="20"/>
  <c r="E18" i="20"/>
  <c r="E47" i="20"/>
  <c r="E46" i="20"/>
  <c r="E45" i="20"/>
  <c r="E16" i="20"/>
  <c r="F4" i="20"/>
  <c r="F5" i="20"/>
  <c r="F6" i="20"/>
  <c r="F7" i="20"/>
  <c r="F8" i="20"/>
  <c r="F9" i="20"/>
  <c r="F10" i="20"/>
  <c r="F11" i="20"/>
  <c r="F12" i="20"/>
  <c r="F13" i="20"/>
  <c r="F14" i="20"/>
  <c r="F3" i="20"/>
  <c r="AC119" i="19" l="1"/>
  <c r="AB119" i="19"/>
  <c r="E14" i="20"/>
  <c r="E13" i="20"/>
  <c r="E10" i="20"/>
  <c r="E11" i="20"/>
  <c r="H24" i="7" l="1"/>
  <c r="I24" i="7" s="1"/>
  <c r="H23" i="7"/>
  <c r="I23" i="7" s="1"/>
  <c r="L195" i="19" l="1"/>
  <c r="L194" i="19"/>
  <c r="L193" i="19"/>
  <c r="L192" i="19"/>
  <c r="L191" i="19"/>
  <c r="L190" i="19"/>
  <c r="L189" i="19"/>
  <c r="L188" i="19"/>
  <c r="L187" i="19"/>
  <c r="L186" i="19"/>
  <c r="L185" i="19"/>
  <c r="L184" i="19"/>
  <c r="L183" i="19"/>
  <c r="L182" i="19"/>
  <c r="L181" i="19"/>
  <c r="L180" i="19"/>
  <c r="L179" i="19"/>
  <c r="L178" i="19"/>
  <c r="L177" i="19"/>
  <c r="L176" i="19"/>
  <c r="L175" i="19"/>
  <c r="L174" i="19"/>
  <c r="L173" i="19"/>
  <c r="L172" i="19"/>
  <c r="L171" i="19"/>
  <c r="L170" i="19"/>
  <c r="L169" i="19"/>
  <c r="L168" i="19"/>
  <c r="L167" i="19"/>
  <c r="L166" i="19"/>
  <c r="L165" i="19"/>
  <c r="L164" i="19"/>
  <c r="L163" i="19"/>
  <c r="L162" i="19"/>
  <c r="L161" i="19"/>
  <c r="L160" i="19"/>
  <c r="L159" i="19"/>
  <c r="L158" i="19"/>
  <c r="L157" i="19"/>
  <c r="L156" i="19"/>
  <c r="L155" i="19"/>
  <c r="L154" i="19"/>
  <c r="L153" i="19"/>
  <c r="L152" i="19"/>
  <c r="L151" i="19"/>
  <c r="L150" i="19"/>
  <c r="L149" i="19"/>
  <c r="L148" i="19"/>
  <c r="L147" i="19"/>
  <c r="L146" i="19"/>
  <c r="L145" i="19"/>
  <c r="L144" i="19"/>
  <c r="L143" i="19"/>
  <c r="L142" i="19"/>
  <c r="L141" i="19"/>
  <c r="L140" i="19"/>
  <c r="L139" i="19"/>
  <c r="L138" i="19"/>
  <c r="L137" i="19"/>
  <c r="L136" i="19"/>
  <c r="L135" i="19"/>
  <c r="L134" i="19"/>
  <c r="L133" i="19"/>
  <c r="L132" i="19"/>
  <c r="L131" i="19"/>
  <c r="L130" i="19"/>
  <c r="L129" i="19"/>
  <c r="L128" i="19"/>
  <c r="L127" i="19"/>
  <c r="L126" i="19"/>
  <c r="L125" i="19"/>
  <c r="L124" i="19"/>
  <c r="L123" i="19"/>
  <c r="L122" i="19"/>
  <c r="L121" i="19"/>
  <c r="L120" i="19"/>
  <c r="L119" i="19"/>
  <c r="L118" i="19"/>
  <c r="L117" i="19"/>
  <c r="L116" i="19"/>
  <c r="L115" i="19"/>
  <c r="L114" i="19"/>
  <c r="L113" i="19"/>
  <c r="L112" i="19"/>
  <c r="L111" i="19"/>
  <c r="L110" i="19"/>
  <c r="L109" i="19"/>
  <c r="L108" i="19"/>
  <c r="L107" i="19"/>
  <c r="L106" i="19"/>
  <c r="L105" i="19"/>
  <c r="L104" i="19"/>
  <c r="L103" i="19"/>
  <c r="L102" i="19"/>
  <c r="L101" i="19"/>
  <c r="L100" i="19"/>
  <c r="L99" i="19"/>
  <c r="L98" i="19"/>
  <c r="L97" i="19"/>
  <c r="L96" i="19"/>
  <c r="L95" i="19"/>
  <c r="L94" i="19"/>
  <c r="L93" i="19"/>
  <c r="L92" i="19"/>
  <c r="L91" i="19"/>
  <c r="L90" i="19"/>
  <c r="L89" i="19"/>
  <c r="L88" i="19"/>
  <c r="L87" i="19"/>
  <c r="L86" i="19"/>
  <c r="L85" i="19"/>
  <c r="L84" i="19"/>
  <c r="L83" i="19"/>
  <c r="L82" i="19"/>
  <c r="L81" i="19"/>
  <c r="L80" i="19"/>
  <c r="L79" i="19"/>
  <c r="L78" i="19"/>
  <c r="L77" i="19"/>
  <c r="L76" i="19"/>
  <c r="L75" i="19"/>
  <c r="L74" i="19"/>
  <c r="L73" i="19"/>
  <c r="L72" i="19"/>
  <c r="L71" i="19"/>
  <c r="L70" i="19"/>
  <c r="L69" i="19"/>
  <c r="L68" i="19"/>
  <c r="L67" i="19"/>
  <c r="L66" i="19"/>
  <c r="L65" i="19"/>
  <c r="L64" i="19"/>
  <c r="L63" i="19"/>
  <c r="L62" i="19"/>
  <c r="L61" i="19"/>
  <c r="L60" i="19"/>
  <c r="L59" i="19"/>
  <c r="L58" i="19"/>
  <c r="L57" i="19"/>
  <c r="L56" i="19"/>
  <c r="L55" i="19"/>
  <c r="L54" i="19"/>
  <c r="L53" i="19"/>
  <c r="L52" i="19"/>
  <c r="L51" i="19"/>
  <c r="L50" i="19"/>
  <c r="L49" i="19"/>
  <c r="L48" i="19"/>
  <c r="L47" i="19"/>
  <c r="L46" i="19"/>
  <c r="L45" i="19"/>
  <c r="L44" i="19"/>
  <c r="L43" i="19"/>
  <c r="L42" i="19"/>
  <c r="L41" i="19"/>
  <c r="L40" i="19"/>
  <c r="L39" i="19"/>
  <c r="L38" i="19"/>
  <c r="L37" i="19"/>
  <c r="L36" i="19"/>
  <c r="L35" i="19"/>
  <c r="L34" i="19"/>
  <c r="L33" i="19"/>
  <c r="L32" i="19"/>
  <c r="L31" i="19"/>
  <c r="L30" i="19"/>
  <c r="L29" i="19"/>
  <c r="L28" i="19"/>
  <c r="L27" i="19"/>
  <c r="L26" i="19"/>
  <c r="L25" i="19"/>
  <c r="L24" i="19"/>
  <c r="L23" i="19"/>
  <c r="L22" i="19"/>
  <c r="L21" i="19"/>
  <c r="L20" i="19"/>
  <c r="L19" i="19"/>
  <c r="L18" i="19"/>
  <c r="L17" i="19"/>
  <c r="L16" i="19"/>
  <c r="L15" i="19"/>
  <c r="L14" i="19"/>
  <c r="L13" i="19"/>
  <c r="L12" i="19"/>
  <c r="L11" i="19"/>
  <c r="L10" i="19"/>
  <c r="L9" i="19"/>
  <c r="L8" i="19"/>
  <c r="L7" i="19"/>
  <c r="L6" i="19"/>
  <c r="L5" i="19"/>
  <c r="L4" i="19"/>
  <c r="K195" i="19"/>
  <c r="K194" i="19"/>
  <c r="K193" i="19"/>
  <c r="K192" i="19"/>
  <c r="K191" i="19"/>
  <c r="K190" i="19"/>
  <c r="K189" i="19"/>
  <c r="K188" i="19"/>
  <c r="K187" i="19"/>
  <c r="K186" i="19"/>
  <c r="K185" i="19"/>
  <c r="K184" i="19"/>
  <c r="K183" i="19"/>
  <c r="K182" i="19"/>
  <c r="K181" i="19"/>
  <c r="K180" i="19"/>
  <c r="K179" i="19"/>
  <c r="K178" i="19"/>
  <c r="K177" i="19"/>
  <c r="K176" i="19"/>
  <c r="K175" i="19"/>
  <c r="K174" i="19"/>
  <c r="K173" i="19"/>
  <c r="K172" i="19"/>
  <c r="K171" i="19"/>
  <c r="K170" i="19"/>
  <c r="K169" i="19"/>
  <c r="K168" i="19"/>
  <c r="K167" i="19"/>
  <c r="K166" i="19"/>
  <c r="K165" i="19"/>
  <c r="K164" i="19"/>
  <c r="K163" i="19"/>
  <c r="K162" i="19"/>
  <c r="K161" i="19"/>
  <c r="K160" i="19"/>
  <c r="K159" i="19"/>
  <c r="K158" i="19"/>
  <c r="K157" i="19"/>
  <c r="K156" i="19"/>
  <c r="K155" i="19"/>
  <c r="K154" i="19"/>
  <c r="K153" i="19"/>
  <c r="K152" i="19"/>
  <c r="K151" i="19"/>
  <c r="K150" i="19"/>
  <c r="K149" i="19"/>
  <c r="K148" i="19"/>
  <c r="K147" i="19"/>
  <c r="K146" i="19"/>
  <c r="K145" i="19"/>
  <c r="K144" i="19"/>
  <c r="K143" i="19"/>
  <c r="K142" i="19"/>
  <c r="K141" i="19"/>
  <c r="K140" i="19"/>
  <c r="K139" i="19"/>
  <c r="K138" i="19"/>
  <c r="K137" i="19"/>
  <c r="K136" i="19"/>
  <c r="K135" i="19"/>
  <c r="K134" i="19"/>
  <c r="K133" i="19"/>
  <c r="K132" i="19"/>
  <c r="K131" i="19"/>
  <c r="K130" i="19"/>
  <c r="K129" i="19"/>
  <c r="K128" i="19"/>
  <c r="K127" i="19"/>
  <c r="K126" i="19"/>
  <c r="K125" i="19"/>
  <c r="K124" i="19"/>
  <c r="K123" i="19"/>
  <c r="K122" i="19"/>
  <c r="K121" i="19"/>
  <c r="K120" i="19"/>
  <c r="K119" i="19"/>
  <c r="K118" i="19"/>
  <c r="K117" i="19"/>
  <c r="K116" i="19"/>
  <c r="K115" i="19"/>
  <c r="K114" i="19"/>
  <c r="K113" i="19"/>
  <c r="K112" i="19"/>
  <c r="K111" i="19"/>
  <c r="K110" i="19"/>
  <c r="K109" i="19"/>
  <c r="K108" i="19"/>
  <c r="K107" i="19"/>
  <c r="K106" i="19"/>
  <c r="K105" i="19"/>
  <c r="K104" i="19"/>
  <c r="K103" i="19"/>
  <c r="K102" i="19"/>
  <c r="K101" i="19"/>
  <c r="K100" i="19"/>
  <c r="K99" i="19"/>
  <c r="K98" i="19"/>
  <c r="K97" i="19"/>
  <c r="K96" i="19"/>
  <c r="K95" i="19"/>
  <c r="K94" i="19"/>
  <c r="K93" i="19"/>
  <c r="K92" i="19"/>
  <c r="K91" i="19"/>
  <c r="K90" i="19"/>
  <c r="K89" i="19"/>
  <c r="K88" i="19"/>
  <c r="K87" i="19"/>
  <c r="K86" i="19"/>
  <c r="K85" i="19"/>
  <c r="K84" i="19"/>
  <c r="K83" i="19"/>
  <c r="K82" i="19"/>
  <c r="K81" i="19"/>
  <c r="K80" i="19"/>
  <c r="K79" i="19"/>
  <c r="K78" i="19"/>
  <c r="K77" i="19"/>
  <c r="K76" i="19"/>
  <c r="K75" i="19"/>
  <c r="K74" i="19"/>
  <c r="K73" i="19"/>
  <c r="K72" i="19"/>
  <c r="K71" i="19"/>
  <c r="K70" i="19"/>
  <c r="K69" i="19"/>
  <c r="K68" i="19"/>
  <c r="K67" i="19"/>
  <c r="K66" i="19"/>
  <c r="K65" i="19"/>
  <c r="K64" i="19"/>
  <c r="K63" i="19"/>
  <c r="K62" i="19"/>
  <c r="K61" i="19"/>
  <c r="K60" i="19"/>
  <c r="K59" i="19"/>
  <c r="K58" i="19"/>
  <c r="K57" i="19"/>
  <c r="K56" i="19"/>
  <c r="K55" i="19"/>
  <c r="K54" i="19"/>
  <c r="K53" i="19"/>
  <c r="K52" i="19"/>
  <c r="K51" i="19"/>
  <c r="K50" i="19"/>
  <c r="K49" i="19"/>
  <c r="K48" i="19"/>
  <c r="K47" i="19"/>
  <c r="K46" i="19"/>
  <c r="K45" i="19"/>
  <c r="K44" i="19"/>
  <c r="K43" i="19"/>
  <c r="K42" i="19"/>
  <c r="K41" i="19"/>
  <c r="K40" i="19"/>
  <c r="K39" i="19"/>
  <c r="K38" i="19"/>
  <c r="K37" i="19"/>
  <c r="K36" i="19"/>
  <c r="K35" i="19"/>
  <c r="K34" i="19"/>
  <c r="K33" i="19"/>
  <c r="K32" i="19"/>
  <c r="K31" i="19"/>
  <c r="K30" i="19"/>
  <c r="K29" i="19"/>
  <c r="K28" i="19"/>
  <c r="K27" i="19"/>
  <c r="K26" i="19"/>
  <c r="K25" i="19"/>
  <c r="K24" i="19"/>
  <c r="K23" i="19"/>
  <c r="K22" i="19"/>
  <c r="K21" i="19"/>
  <c r="K20" i="19"/>
  <c r="K19" i="19"/>
  <c r="K18" i="19"/>
  <c r="K17" i="19"/>
  <c r="K16" i="19"/>
  <c r="K15" i="19"/>
  <c r="K14" i="19"/>
  <c r="K13" i="19"/>
  <c r="K12" i="19"/>
  <c r="K11" i="19"/>
  <c r="K10" i="19"/>
  <c r="K9" i="19"/>
  <c r="K8" i="19"/>
  <c r="K7" i="19"/>
  <c r="K6" i="19"/>
  <c r="K5" i="19"/>
  <c r="K4" i="19"/>
  <c r="J195" i="19"/>
  <c r="J194" i="19"/>
  <c r="J193" i="19"/>
  <c r="J192" i="19"/>
  <c r="J191" i="19"/>
  <c r="J190" i="19"/>
  <c r="J189" i="19"/>
  <c r="J188" i="19"/>
  <c r="J187" i="19"/>
  <c r="J186" i="19"/>
  <c r="J185" i="19"/>
  <c r="J184" i="19"/>
  <c r="J183" i="19"/>
  <c r="J182" i="19"/>
  <c r="J181" i="19"/>
  <c r="J180" i="19"/>
  <c r="J179" i="19"/>
  <c r="J178" i="19"/>
  <c r="J177" i="19"/>
  <c r="J176" i="19"/>
  <c r="J175" i="19"/>
  <c r="J174" i="19"/>
  <c r="J173" i="19"/>
  <c r="J172" i="19"/>
  <c r="J171" i="19"/>
  <c r="J170" i="19"/>
  <c r="J169" i="19"/>
  <c r="J168" i="19"/>
  <c r="J167" i="19"/>
  <c r="J166" i="19"/>
  <c r="J165" i="19"/>
  <c r="J164" i="19"/>
  <c r="J163" i="19"/>
  <c r="J162" i="19"/>
  <c r="J161" i="19"/>
  <c r="J160" i="19"/>
  <c r="J159" i="19"/>
  <c r="J158" i="19"/>
  <c r="J157" i="19"/>
  <c r="J156" i="19"/>
  <c r="J155" i="19"/>
  <c r="J154" i="19"/>
  <c r="J153" i="19"/>
  <c r="J152" i="19"/>
  <c r="J151" i="19"/>
  <c r="J150" i="19"/>
  <c r="J149" i="19"/>
  <c r="J148" i="19"/>
  <c r="J147" i="19"/>
  <c r="J146" i="19"/>
  <c r="J145" i="19"/>
  <c r="J144" i="19"/>
  <c r="J143" i="19"/>
  <c r="J142" i="19"/>
  <c r="J141" i="19"/>
  <c r="J140" i="19"/>
  <c r="J139" i="19"/>
  <c r="J138" i="19"/>
  <c r="J137" i="19"/>
  <c r="J136" i="19"/>
  <c r="J135" i="19"/>
  <c r="J134" i="19"/>
  <c r="J133" i="19"/>
  <c r="J132" i="19"/>
  <c r="J131" i="19"/>
  <c r="J130" i="19"/>
  <c r="J129" i="19"/>
  <c r="J128" i="19"/>
  <c r="J127" i="19"/>
  <c r="J126" i="19"/>
  <c r="J125" i="19"/>
  <c r="J124" i="19"/>
  <c r="J123" i="19"/>
  <c r="J122" i="19"/>
  <c r="J121" i="19"/>
  <c r="J120" i="19"/>
  <c r="J119" i="19"/>
  <c r="J118" i="19"/>
  <c r="J117" i="19"/>
  <c r="J116" i="19"/>
  <c r="J115" i="19"/>
  <c r="J114" i="19"/>
  <c r="J113" i="19"/>
  <c r="J112" i="19"/>
  <c r="J111" i="19"/>
  <c r="J110" i="19"/>
  <c r="J109" i="19"/>
  <c r="J108" i="19"/>
  <c r="J107" i="19"/>
  <c r="J106" i="19"/>
  <c r="J105" i="19"/>
  <c r="J104" i="19"/>
  <c r="J103" i="19"/>
  <c r="J102" i="19"/>
  <c r="J101" i="19"/>
  <c r="J100" i="19"/>
  <c r="J99" i="19"/>
  <c r="J98" i="19"/>
  <c r="J97" i="19"/>
  <c r="J96" i="19"/>
  <c r="J95" i="19"/>
  <c r="J94" i="19"/>
  <c r="J93" i="19"/>
  <c r="J92" i="19"/>
  <c r="J91" i="19"/>
  <c r="J90" i="19"/>
  <c r="J89" i="19"/>
  <c r="J88" i="19"/>
  <c r="J87" i="19"/>
  <c r="J86" i="19"/>
  <c r="J85" i="19"/>
  <c r="J84" i="19"/>
  <c r="J83" i="19"/>
  <c r="J82" i="19"/>
  <c r="J81" i="19"/>
  <c r="J80" i="19"/>
  <c r="J79" i="19"/>
  <c r="J78" i="19"/>
  <c r="J77" i="19"/>
  <c r="J76" i="19"/>
  <c r="J75" i="19"/>
  <c r="J74" i="19"/>
  <c r="J73" i="19"/>
  <c r="J72" i="19"/>
  <c r="J71" i="19"/>
  <c r="J70" i="19"/>
  <c r="J69" i="19"/>
  <c r="J68" i="19"/>
  <c r="J67" i="19"/>
  <c r="J66" i="19"/>
  <c r="J65" i="19"/>
  <c r="J64" i="19"/>
  <c r="J63" i="19"/>
  <c r="J62" i="19"/>
  <c r="J61" i="19"/>
  <c r="J60" i="19"/>
  <c r="J59" i="19"/>
  <c r="J58" i="19"/>
  <c r="J57" i="19"/>
  <c r="J56" i="19"/>
  <c r="J55" i="19"/>
  <c r="J54" i="19"/>
  <c r="J53" i="19"/>
  <c r="J52" i="19"/>
  <c r="J51" i="19"/>
  <c r="J50" i="19"/>
  <c r="J49" i="19"/>
  <c r="J48" i="19"/>
  <c r="J47" i="19"/>
  <c r="J46" i="19"/>
  <c r="J45" i="19"/>
  <c r="J44" i="19"/>
  <c r="J43" i="19"/>
  <c r="J42" i="19"/>
  <c r="J41" i="19"/>
  <c r="J40" i="19"/>
  <c r="J39" i="19"/>
  <c r="J38" i="19"/>
  <c r="J37" i="19"/>
  <c r="J36" i="19"/>
  <c r="J35" i="19"/>
  <c r="J34" i="19"/>
  <c r="J33" i="19"/>
  <c r="J32" i="19"/>
  <c r="J31" i="19"/>
  <c r="J30" i="19"/>
  <c r="J29" i="19"/>
  <c r="J28" i="19"/>
  <c r="J27" i="19"/>
  <c r="J26" i="19"/>
  <c r="J25" i="19"/>
  <c r="J24" i="19"/>
  <c r="J23" i="19"/>
  <c r="J22" i="19"/>
  <c r="J21" i="19"/>
  <c r="J20" i="19"/>
  <c r="J19" i="19"/>
  <c r="J18" i="19"/>
  <c r="J17" i="19"/>
  <c r="J16" i="19"/>
  <c r="J15" i="19"/>
  <c r="J14" i="19"/>
  <c r="J13" i="19"/>
  <c r="J12" i="19"/>
  <c r="J11" i="19"/>
  <c r="J10" i="19"/>
  <c r="J9" i="19"/>
  <c r="J8" i="19"/>
  <c r="J7" i="19"/>
  <c r="J6" i="19"/>
  <c r="J5" i="19"/>
  <c r="J4" i="19"/>
  <c r="N18" i="19" l="1"/>
  <c r="G23" i="19" l="1"/>
  <c r="G22" i="19"/>
  <c r="G21" i="19"/>
  <c r="G20" i="19"/>
  <c r="G19" i="19"/>
  <c r="H19" i="19"/>
  <c r="H20" i="19"/>
  <c r="H21" i="19"/>
  <c r="H22" i="19"/>
  <c r="H23" i="19"/>
  <c r="G18" i="19"/>
  <c r="H18" i="19"/>
  <c r="H17" i="19"/>
  <c r="G17" i="19"/>
  <c r="G9" i="19"/>
  <c r="H7" i="19"/>
  <c r="G6" i="19"/>
  <c r="G4" i="19"/>
  <c r="G13" i="19"/>
  <c r="H4" i="19"/>
  <c r="H14" i="19"/>
  <c r="G5" i="19"/>
  <c r="G12" i="19"/>
  <c r="H5" i="19"/>
  <c r="G7" i="19"/>
  <c r="G10" i="19"/>
  <c r="H9" i="19"/>
  <c r="H6" i="19"/>
  <c r="H16" i="19"/>
  <c r="G15" i="19"/>
  <c r="H10" i="19"/>
  <c r="G8" i="19"/>
  <c r="H13" i="19"/>
  <c r="G14" i="19"/>
  <c r="G11" i="19"/>
  <c r="G16" i="19"/>
  <c r="H12" i="19"/>
  <c r="H8" i="19"/>
  <c r="H15" i="19"/>
  <c r="H11" i="19"/>
  <c r="B24" i="19" l="1"/>
  <c r="B25" i="19" s="1"/>
  <c r="H25" i="19" s="1"/>
  <c r="H24" i="19" l="1"/>
  <c r="B6" i="20"/>
  <c r="V4" i="19" l="1"/>
  <c r="W4" i="19"/>
  <c r="X4" i="19"/>
  <c r="Y4" i="19"/>
  <c r="AE195" i="19"/>
  <c r="AE194" i="19"/>
  <c r="AE193" i="19"/>
  <c r="AE192" i="19"/>
  <c r="AE191" i="19"/>
  <c r="AE190" i="19"/>
  <c r="AE189" i="19"/>
  <c r="AE188" i="19"/>
  <c r="AE187" i="19"/>
  <c r="AE186" i="19"/>
  <c r="AE185" i="19"/>
  <c r="AE184" i="19"/>
  <c r="AE183" i="19"/>
  <c r="AE182" i="19"/>
  <c r="AE181" i="19"/>
  <c r="AE180" i="19"/>
  <c r="AE179" i="19"/>
  <c r="AE178" i="19"/>
  <c r="AE177" i="19"/>
  <c r="AE176" i="19"/>
  <c r="AE175" i="19"/>
  <c r="AE174" i="19"/>
  <c r="AE173" i="19"/>
  <c r="AE172" i="19"/>
  <c r="AE171" i="19"/>
  <c r="AE170" i="19"/>
  <c r="AE169" i="19"/>
  <c r="AE168" i="19"/>
  <c r="AE167" i="19"/>
  <c r="AE166" i="19"/>
  <c r="AE165" i="19"/>
  <c r="AE164" i="19"/>
  <c r="AE163" i="19"/>
  <c r="AE162" i="19"/>
  <c r="AE161" i="19"/>
  <c r="AE160" i="19"/>
  <c r="AE159" i="19"/>
  <c r="AE158" i="19"/>
  <c r="AE157" i="19"/>
  <c r="AE156" i="19"/>
  <c r="AE155" i="19"/>
  <c r="AE154" i="19"/>
  <c r="AE153" i="19"/>
  <c r="AE152" i="19"/>
  <c r="AE151" i="19"/>
  <c r="AE150" i="19"/>
  <c r="AE149" i="19"/>
  <c r="AE148" i="19"/>
  <c r="AE147" i="19"/>
  <c r="AE146" i="19"/>
  <c r="AE145" i="19"/>
  <c r="AE144" i="19"/>
  <c r="AE143" i="19"/>
  <c r="AE142" i="19"/>
  <c r="AE141" i="19"/>
  <c r="AE140" i="19"/>
  <c r="AE139" i="19"/>
  <c r="AE138" i="19"/>
  <c r="AE137" i="19"/>
  <c r="AE136" i="19"/>
  <c r="AE135" i="19"/>
  <c r="AE134" i="19"/>
  <c r="AE133" i="19"/>
  <c r="AE132" i="19"/>
  <c r="AE131" i="19"/>
  <c r="AE130" i="19"/>
  <c r="AE129" i="19"/>
  <c r="AE128" i="19"/>
  <c r="AE127" i="19"/>
  <c r="AE126" i="19"/>
  <c r="AE125" i="19"/>
  <c r="AE124" i="19"/>
  <c r="AE123" i="19"/>
  <c r="AE122" i="19"/>
  <c r="AE121" i="19"/>
  <c r="AE120" i="19"/>
  <c r="AE119" i="19"/>
  <c r="AE118" i="19"/>
  <c r="AE117" i="19"/>
  <c r="AE116" i="19"/>
  <c r="AE115" i="19"/>
  <c r="AE114" i="19"/>
  <c r="AE113" i="19"/>
  <c r="AE112" i="19"/>
  <c r="AE111" i="19"/>
  <c r="AE110" i="19"/>
  <c r="AE109" i="19"/>
  <c r="AE108" i="19"/>
  <c r="AE107" i="19"/>
  <c r="AE106" i="19"/>
  <c r="AE105" i="19"/>
  <c r="AE104" i="19"/>
  <c r="AE103" i="19"/>
  <c r="AE102" i="19"/>
  <c r="AE101" i="19"/>
  <c r="AE100" i="19"/>
  <c r="AE99" i="19"/>
  <c r="AE98" i="19"/>
  <c r="AE97" i="19"/>
  <c r="AE96" i="19"/>
  <c r="AE95" i="19"/>
  <c r="AE94" i="19"/>
  <c r="AE93" i="19"/>
  <c r="AE92" i="19"/>
  <c r="AE91" i="19"/>
  <c r="AE90" i="19"/>
  <c r="AE89" i="19"/>
  <c r="AE88" i="19"/>
  <c r="AE87" i="19"/>
  <c r="AE86" i="19"/>
  <c r="AE85" i="19"/>
  <c r="AE84" i="19"/>
  <c r="AE83" i="19"/>
  <c r="AE82" i="19"/>
  <c r="AE81" i="19"/>
  <c r="AE80" i="19"/>
  <c r="AE79" i="19"/>
  <c r="AE78" i="19"/>
  <c r="AE77" i="19"/>
  <c r="AE76" i="19"/>
  <c r="AE75" i="19"/>
  <c r="AE74" i="19"/>
  <c r="AE73" i="19"/>
  <c r="AE72" i="19"/>
  <c r="AE71" i="19"/>
  <c r="AE70" i="19"/>
  <c r="AE69" i="19"/>
  <c r="AE68" i="19"/>
  <c r="AE67" i="19"/>
  <c r="AE66" i="19"/>
  <c r="AE65" i="19"/>
  <c r="AE64" i="19"/>
  <c r="AE63" i="19"/>
  <c r="AE62" i="19"/>
  <c r="AE61" i="19"/>
  <c r="AE60" i="19"/>
  <c r="AE59" i="19"/>
  <c r="AE58" i="19"/>
  <c r="AE57" i="19"/>
  <c r="AE56" i="19"/>
  <c r="AE55" i="19"/>
  <c r="AE54" i="19"/>
  <c r="AE53" i="19"/>
  <c r="AE52" i="19"/>
  <c r="AE51" i="19"/>
  <c r="AE50" i="19"/>
  <c r="AE49" i="19"/>
  <c r="AE48" i="19"/>
  <c r="AE47" i="19"/>
  <c r="AE46" i="19"/>
  <c r="AE45" i="19"/>
  <c r="AE44" i="19"/>
  <c r="AE43" i="19"/>
  <c r="AE42" i="19"/>
  <c r="AE41" i="19"/>
  <c r="AE40" i="19"/>
  <c r="AE39" i="19"/>
  <c r="AE38" i="19"/>
  <c r="AE37" i="19"/>
  <c r="AE36" i="19"/>
  <c r="AE35" i="19"/>
  <c r="AE34" i="19"/>
  <c r="AE33" i="19"/>
  <c r="AE32" i="19"/>
  <c r="AE31" i="19"/>
  <c r="AE30" i="19"/>
  <c r="AE29" i="19"/>
  <c r="AE28" i="19"/>
  <c r="AE27" i="19"/>
  <c r="AE26" i="19"/>
  <c r="AE25" i="19"/>
  <c r="AE24" i="19"/>
  <c r="AE23" i="19"/>
  <c r="AE22" i="19"/>
  <c r="AE21" i="19"/>
  <c r="AE20" i="19"/>
  <c r="AE19" i="19"/>
  <c r="AE18" i="19"/>
  <c r="AE17" i="19"/>
  <c r="AE16" i="19"/>
  <c r="AE15" i="19"/>
  <c r="AE14" i="19"/>
  <c r="AE13" i="19"/>
  <c r="AE12" i="19"/>
  <c r="AE11" i="19"/>
  <c r="AE10" i="19"/>
  <c r="AE9" i="19"/>
  <c r="AE8" i="19"/>
  <c r="AE7" i="19"/>
  <c r="AE6" i="19"/>
  <c r="AE5" i="19"/>
  <c r="AE4" i="19"/>
  <c r="AD195" i="19"/>
  <c r="AD194" i="19"/>
  <c r="AD193" i="19"/>
  <c r="AD192" i="19"/>
  <c r="AD191" i="19"/>
  <c r="AD190" i="19"/>
  <c r="AD189" i="19"/>
  <c r="AD188" i="19"/>
  <c r="AD187" i="19"/>
  <c r="AD186" i="19"/>
  <c r="AD185" i="19"/>
  <c r="AD184" i="19"/>
  <c r="AD183" i="19"/>
  <c r="AD182" i="19"/>
  <c r="AD181" i="19"/>
  <c r="AD180" i="19"/>
  <c r="AD179" i="19"/>
  <c r="AD178" i="19"/>
  <c r="AD177" i="19"/>
  <c r="AD176" i="19"/>
  <c r="AD175" i="19"/>
  <c r="AD174" i="19"/>
  <c r="AD173" i="19"/>
  <c r="AD172" i="19"/>
  <c r="AD171" i="19"/>
  <c r="AD170" i="19"/>
  <c r="AD169" i="19"/>
  <c r="AD168" i="19"/>
  <c r="AD167" i="19"/>
  <c r="AD166" i="19"/>
  <c r="AD165" i="19"/>
  <c r="AD164" i="19"/>
  <c r="AD163" i="19"/>
  <c r="AD162" i="19"/>
  <c r="AD161" i="19"/>
  <c r="AD160" i="19"/>
  <c r="AD159" i="19"/>
  <c r="AD158" i="19"/>
  <c r="AD157" i="19"/>
  <c r="AD156" i="19"/>
  <c r="AD155" i="19"/>
  <c r="AD154" i="19"/>
  <c r="AD153" i="19"/>
  <c r="AD152" i="19"/>
  <c r="AD151" i="19"/>
  <c r="AD150" i="19"/>
  <c r="AD149" i="19"/>
  <c r="AD148" i="19"/>
  <c r="AD147" i="19"/>
  <c r="AD146" i="19"/>
  <c r="AD145" i="19"/>
  <c r="AD144" i="19"/>
  <c r="AD143" i="19"/>
  <c r="AD142" i="19"/>
  <c r="AD141" i="19"/>
  <c r="AD140" i="19"/>
  <c r="AD139" i="19"/>
  <c r="AD138" i="19"/>
  <c r="AD137" i="19"/>
  <c r="AD136" i="19"/>
  <c r="AD135" i="19"/>
  <c r="AD134" i="19"/>
  <c r="AD133" i="19"/>
  <c r="AD132" i="19"/>
  <c r="AD131" i="19"/>
  <c r="AD130" i="19"/>
  <c r="AD129" i="19"/>
  <c r="AD128" i="19"/>
  <c r="AD127" i="19"/>
  <c r="AD126" i="19"/>
  <c r="AD125" i="19"/>
  <c r="AD124" i="19"/>
  <c r="AD123" i="19"/>
  <c r="AD122" i="19"/>
  <c r="AD121" i="19"/>
  <c r="AD120" i="19"/>
  <c r="AD119" i="19"/>
  <c r="AD118" i="19"/>
  <c r="AD117" i="19"/>
  <c r="AD116" i="19"/>
  <c r="AD115" i="19"/>
  <c r="AD114" i="19"/>
  <c r="AD113" i="19"/>
  <c r="AD112" i="19"/>
  <c r="AD111" i="19"/>
  <c r="AD110" i="19"/>
  <c r="AD109" i="19"/>
  <c r="AD108" i="19"/>
  <c r="AD107" i="19"/>
  <c r="AD106" i="19"/>
  <c r="AD105" i="19"/>
  <c r="AD104" i="19"/>
  <c r="AD103" i="19"/>
  <c r="AD102" i="19"/>
  <c r="AD101" i="19"/>
  <c r="AD100" i="19"/>
  <c r="AD99" i="19"/>
  <c r="AD98" i="19"/>
  <c r="AD97" i="19"/>
  <c r="AD96" i="19"/>
  <c r="AD95" i="19"/>
  <c r="AD94" i="19"/>
  <c r="AD93" i="19"/>
  <c r="AD92" i="19"/>
  <c r="AD91" i="19"/>
  <c r="AD90" i="19"/>
  <c r="AD89" i="19"/>
  <c r="AD88" i="19"/>
  <c r="AD87" i="19"/>
  <c r="AD86" i="19"/>
  <c r="AD85" i="19"/>
  <c r="AD84" i="19"/>
  <c r="AD83" i="19"/>
  <c r="AD82" i="19"/>
  <c r="AD81" i="19"/>
  <c r="AD80" i="19"/>
  <c r="AD79" i="19"/>
  <c r="AD78" i="19"/>
  <c r="AD77" i="19"/>
  <c r="AD76" i="19"/>
  <c r="AD75" i="19"/>
  <c r="AD74" i="19"/>
  <c r="AD73" i="19"/>
  <c r="AD72" i="19"/>
  <c r="AD71" i="19"/>
  <c r="AD70" i="19"/>
  <c r="AD69" i="19"/>
  <c r="AD68" i="19"/>
  <c r="AD67" i="19"/>
  <c r="AD66" i="19"/>
  <c r="AD65" i="19"/>
  <c r="AD64" i="19"/>
  <c r="AD63" i="19"/>
  <c r="AD62" i="19"/>
  <c r="AD61" i="19"/>
  <c r="AD60" i="19"/>
  <c r="AD59" i="19"/>
  <c r="AD58" i="19"/>
  <c r="AD57" i="19"/>
  <c r="AD56" i="19"/>
  <c r="AD55" i="19"/>
  <c r="AD54" i="19"/>
  <c r="AD53" i="19"/>
  <c r="AD52" i="19"/>
  <c r="AD51" i="19"/>
  <c r="AD50" i="19"/>
  <c r="AD49" i="19"/>
  <c r="AD48" i="19"/>
  <c r="AD47" i="19"/>
  <c r="AD46" i="19"/>
  <c r="AD45" i="19"/>
  <c r="AD44" i="19"/>
  <c r="AD43" i="19"/>
  <c r="AD42" i="19"/>
  <c r="AD41" i="19"/>
  <c r="AD40" i="19"/>
  <c r="AD39" i="19"/>
  <c r="AD38" i="19"/>
  <c r="AD37" i="19"/>
  <c r="AD36" i="19"/>
  <c r="AD35" i="19"/>
  <c r="AD34" i="19"/>
  <c r="AD33" i="19"/>
  <c r="AD32" i="19"/>
  <c r="AD31" i="19"/>
  <c r="AD30" i="19"/>
  <c r="AD29" i="19"/>
  <c r="AD28" i="19"/>
  <c r="AD27" i="19"/>
  <c r="AD26" i="19"/>
  <c r="AD25" i="19"/>
  <c r="AD24" i="19"/>
  <c r="AD23" i="19"/>
  <c r="AD22" i="19"/>
  <c r="AD21" i="19"/>
  <c r="AD20" i="19"/>
  <c r="AD19" i="19"/>
  <c r="AD17" i="19"/>
  <c r="AD16" i="19"/>
  <c r="AD15" i="19"/>
  <c r="AD14" i="19"/>
  <c r="AD13" i="19"/>
  <c r="AD12" i="19"/>
  <c r="AD11" i="19"/>
  <c r="AD10" i="19"/>
  <c r="AD9" i="19"/>
  <c r="AD8" i="19"/>
  <c r="AD7" i="19"/>
  <c r="AD6" i="19"/>
  <c r="AD5" i="19"/>
  <c r="AD4" i="19"/>
  <c r="AC195" i="19"/>
  <c r="AC194" i="19"/>
  <c r="AC193" i="19"/>
  <c r="AC192" i="19"/>
  <c r="AC191" i="19"/>
  <c r="AC190" i="19"/>
  <c r="AC189" i="19"/>
  <c r="AC188" i="19"/>
  <c r="AC187" i="19"/>
  <c r="AC186" i="19"/>
  <c r="AC185" i="19"/>
  <c r="AC184" i="19"/>
  <c r="AC183" i="19"/>
  <c r="AC182" i="19"/>
  <c r="AC181" i="19"/>
  <c r="AC180" i="19"/>
  <c r="AC179" i="19"/>
  <c r="AC178" i="19"/>
  <c r="AC177" i="19"/>
  <c r="AC176" i="19"/>
  <c r="AC175" i="19"/>
  <c r="AC174" i="19"/>
  <c r="AC173" i="19"/>
  <c r="AC172" i="19"/>
  <c r="AC171" i="19"/>
  <c r="AC170" i="19"/>
  <c r="AC169" i="19"/>
  <c r="AC168" i="19"/>
  <c r="AC167" i="19"/>
  <c r="AC166" i="19"/>
  <c r="AC165" i="19"/>
  <c r="AC164" i="19"/>
  <c r="AC163" i="19"/>
  <c r="AC162" i="19"/>
  <c r="AC161" i="19"/>
  <c r="AC160" i="19"/>
  <c r="AC159" i="19"/>
  <c r="AC158" i="19"/>
  <c r="AC157" i="19"/>
  <c r="AC156" i="19"/>
  <c r="AC155" i="19"/>
  <c r="AC154" i="19"/>
  <c r="AC153" i="19"/>
  <c r="AC152" i="19"/>
  <c r="AC151" i="19"/>
  <c r="AC150" i="19"/>
  <c r="AC149" i="19"/>
  <c r="AC148" i="19"/>
  <c r="AC147" i="19"/>
  <c r="AC146" i="19"/>
  <c r="AC145" i="19"/>
  <c r="AC144" i="19"/>
  <c r="AC143" i="19"/>
  <c r="AC142" i="19"/>
  <c r="AC141" i="19"/>
  <c r="AC140" i="19"/>
  <c r="AC139" i="19"/>
  <c r="AC138" i="19"/>
  <c r="AC137" i="19"/>
  <c r="AC136" i="19"/>
  <c r="AC135" i="19"/>
  <c r="AC134" i="19"/>
  <c r="AC133" i="19"/>
  <c r="AC132" i="19"/>
  <c r="AC131" i="19"/>
  <c r="AC130" i="19"/>
  <c r="AC129" i="19"/>
  <c r="AC128" i="19"/>
  <c r="AC127" i="19"/>
  <c r="AC126" i="19"/>
  <c r="AC125" i="19"/>
  <c r="AC124" i="19"/>
  <c r="AC123" i="19"/>
  <c r="AC122" i="19"/>
  <c r="AC121" i="19"/>
  <c r="AC120" i="19"/>
  <c r="AC118" i="19"/>
  <c r="AC117" i="19"/>
  <c r="AC116" i="19"/>
  <c r="AC115" i="19"/>
  <c r="AC114" i="19"/>
  <c r="AC113" i="19"/>
  <c r="AC112" i="19"/>
  <c r="AC111" i="19"/>
  <c r="AC110" i="19"/>
  <c r="AC109" i="19"/>
  <c r="AC108" i="19"/>
  <c r="AC107" i="19"/>
  <c r="AC106" i="19"/>
  <c r="AC105" i="19"/>
  <c r="AC104" i="19"/>
  <c r="AC103" i="19"/>
  <c r="AC102" i="19"/>
  <c r="AC101" i="19"/>
  <c r="AC100" i="19"/>
  <c r="AC99" i="19"/>
  <c r="AC98" i="19"/>
  <c r="AC97" i="19"/>
  <c r="AC96" i="19"/>
  <c r="AC95" i="19"/>
  <c r="AC94" i="19"/>
  <c r="AC93" i="19"/>
  <c r="AC92" i="19"/>
  <c r="AC91" i="19"/>
  <c r="AC90" i="19"/>
  <c r="AC89" i="19"/>
  <c r="AC88" i="19"/>
  <c r="AC87" i="19"/>
  <c r="AC86" i="19"/>
  <c r="AC85" i="19"/>
  <c r="AC84" i="19"/>
  <c r="AC83" i="19"/>
  <c r="AC82" i="19"/>
  <c r="AC81" i="19"/>
  <c r="AC80" i="19"/>
  <c r="AC79" i="19"/>
  <c r="AC78" i="19"/>
  <c r="AC77" i="19"/>
  <c r="AC76" i="19"/>
  <c r="AC75" i="19"/>
  <c r="AC74" i="19"/>
  <c r="AC73" i="19"/>
  <c r="AC72" i="19"/>
  <c r="AC71" i="19"/>
  <c r="AC70" i="19"/>
  <c r="AC69" i="19"/>
  <c r="AC68" i="19"/>
  <c r="AC67" i="19"/>
  <c r="AC66" i="19"/>
  <c r="AC65" i="19"/>
  <c r="AC64" i="19"/>
  <c r="AC63" i="19"/>
  <c r="AC62" i="19"/>
  <c r="AC61" i="19"/>
  <c r="AC60" i="19"/>
  <c r="AC59" i="19"/>
  <c r="AC58" i="19"/>
  <c r="AC57" i="19"/>
  <c r="AC56" i="19"/>
  <c r="AC55" i="19"/>
  <c r="AC54" i="19"/>
  <c r="AC53" i="19"/>
  <c r="AC52" i="19"/>
  <c r="AC51" i="19"/>
  <c r="AC50" i="19"/>
  <c r="AC49" i="19"/>
  <c r="AC48" i="19"/>
  <c r="AC47" i="19"/>
  <c r="AC46" i="19"/>
  <c r="AC45" i="19"/>
  <c r="AC44" i="19"/>
  <c r="AC43" i="19"/>
  <c r="AC42" i="19"/>
  <c r="AC41" i="19"/>
  <c r="AC40" i="19"/>
  <c r="AC39" i="19"/>
  <c r="AC38" i="19"/>
  <c r="AC37" i="19"/>
  <c r="AC36" i="19"/>
  <c r="AC35" i="19"/>
  <c r="AC34" i="19"/>
  <c r="AC33" i="19"/>
  <c r="AC32" i="19"/>
  <c r="AC31" i="19"/>
  <c r="AC30" i="19"/>
  <c r="AC29" i="19"/>
  <c r="AC28" i="19"/>
  <c r="AC27" i="19"/>
  <c r="AC26" i="19"/>
  <c r="AC25" i="19"/>
  <c r="AC24" i="19"/>
  <c r="AC23" i="19"/>
  <c r="AC22" i="19"/>
  <c r="AC21" i="19"/>
  <c r="AC20" i="19"/>
  <c r="AC19" i="19"/>
  <c r="AC18" i="19"/>
  <c r="AC17" i="19"/>
  <c r="AC16" i="19"/>
  <c r="AC15" i="19"/>
  <c r="AC14" i="19"/>
  <c r="AC13" i="19"/>
  <c r="AC12" i="19"/>
  <c r="AC11" i="19"/>
  <c r="AC10" i="19"/>
  <c r="AC9" i="19"/>
  <c r="AC8" i="19"/>
  <c r="AC7" i="19"/>
  <c r="AC6" i="19"/>
  <c r="AC5" i="19"/>
  <c r="AC4" i="19"/>
  <c r="AB195" i="19"/>
  <c r="AB194" i="19"/>
  <c r="AB193" i="19"/>
  <c r="AB192" i="19"/>
  <c r="AB191" i="19"/>
  <c r="AB190" i="19"/>
  <c r="AB189" i="19"/>
  <c r="AB188" i="19"/>
  <c r="AB187" i="19"/>
  <c r="AB186" i="19"/>
  <c r="AB185" i="19"/>
  <c r="AB184" i="19"/>
  <c r="AB183" i="19"/>
  <c r="AB182" i="19"/>
  <c r="AB181" i="19"/>
  <c r="AB180" i="19"/>
  <c r="AB179" i="19"/>
  <c r="AB178" i="19"/>
  <c r="AB177" i="19"/>
  <c r="AB176" i="19"/>
  <c r="AB175" i="19"/>
  <c r="AB174" i="19"/>
  <c r="AB173" i="19"/>
  <c r="AB172" i="19"/>
  <c r="AB171" i="19"/>
  <c r="AB170" i="19"/>
  <c r="AB169" i="19"/>
  <c r="AB168" i="19"/>
  <c r="AB167" i="19"/>
  <c r="AB166" i="19"/>
  <c r="AB165" i="19"/>
  <c r="AB164" i="19"/>
  <c r="AB163" i="19"/>
  <c r="AB162" i="19"/>
  <c r="AB161" i="19"/>
  <c r="AB160" i="19"/>
  <c r="AB159" i="19"/>
  <c r="AB158" i="19"/>
  <c r="AB157" i="19"/>
  <c r="AB156" i="19"/>
  <c r="AB155" i="19"/>
  <c r="AB154" i="19"/>
  <c r="AB153" i="19"/>
  <c r="AB152" i="19"/>
  <c r="AB151" i="19"/>
  <c r="AB150" i="19"/>
  <c r="AB149" i="19"/>
  <c r="AB148" i="19"/>
  <c r="AB147" i="19"/>
  <c r="AB146" i="19"/>
  <c r="AB145" i="19"/>
  <c r="AB144" i="19"/>
  <c r="AB143" i="19"/>
  <c r="AB142" i="19"/>
  <c r="AB141" i="19"/>
  <c r="AB140" i="19"/>
  <c r="AB139" i="19"/>
  <c r="AB138" i="19"/>
  <c r="AB137" i="19"/>
  <c r="AB136" i="19"/>
  <c r="AB135" i="19"/>
  <c r="AB134" i="19"/>
  <c r="AB133" i="19"/>
  <c r="AB132" i="19"/>
  <c r="AB131" i="19"/>
  <c r="AB130" i="19"/>
  <c r="AB129" i="19"/>
  <c r="AB128" i="19"/>
  <c r="AB127" i="19"/>
  <c r="AB126" i="19"/>
  <c r="AB125" i="19"/>
  <c r="AB124" i="19"/>
  <c r="AB123" i="19"/>
  <c r="AB122" i="19"/>
  <c r="AB121" i="19"/>
  <c r="AB120" i="19"/>
  <c r="AB118" i="19"/>
  <c r="AB117" i="19"/>
  <c r="AB116" i="19"/>
  <c r="AB115" i="19"/>
  <c r="AB114" i="19"/>
  <c r="AB113" i="19"/>
  <c r="AB112" i="19"/>
  <c r="AB111" i="19"/>
  <c r="AB110" i="19"/>
  <c r="AB109" i="19"/>
  <c r="AB108" i="19"/>
  <c r="AB107" i="19"/>
  <c r="AB106" i="19"/>
  <c r="AB105" i="19"/>
  <c r="AB104" i="19"/>
  <c r="AB103" i="19"/>
  <c r="AB102" i="19"/>
  <c r="AB101" i="19"/>
  <c r="AB100" i="19"/>
  <c r="AB99" i="19"/>
  <c r="AB98" i="19"/>
  <c r="AB97" i="19"/>
  <c r="AB96" i="19"/>
  <c r="AB95" i="19"/>
  <c r="AB94" i="19"/>
  <c r="AB93" i="19"/>
  <c r="AB92" i="19"/>
  <c r="AB91" i="19"/>
  <c r="AB90" i="19"/>
  <c r="AB89" i="19"/>
  <c r="AB88" i="19"/>
  <c r="AB87" i="19"/>
  <c r="AB86" i="19"/>
  <c r="AB85" i="19"/>
  <c r="AB84" i="19"/>
  <c r="AB83" i="19"/>
  <c r="AB82" i="19"/>
  <c r="AB81" i="19"/>
  <c r="AB80" i="19"/>
  <c r="AB79" i="19"/>
  <c r="AB78" i="19"/>
  <c r="AB77" i="19"/>
  <c r="AB76" i="19"/>
  <c r="AB75" i="19"/>
  <c r="AB74" i="19"/>
  <c r="AB73" i="19"/>
  <c r="AB72" i="19"/>
  <c r="AB71" i="19"/>
  <c r="AB70" i="19"/>
  <c r="AB69" i="19"/>
  <c r="AB68" i="19"/>
  <c r="AB67" i="19"/>
  <c r="AB66" i="19"/>
  <c r="AB65" i="19"/>
  <c r="AB64" i="19"/>
  <c r="AB63" i="19"/>
  <c r="AB62" i="19"/>
  <c r="AB61" i="19"/>
  <c r="AB60" i="19"/>
  <c r="AB59" i="19"/>
  <c r="AB58" i="19"/>
  <c r="AB57" i="19"/>
  <c r="AB56" i="19"/>
  <c r="AB55" i="19"/>
  <c r="AB54" i="19"/>
  <c r="AB53" i="19"/>
  <c r="AB52" i="19"/>
  <c r="AB51" i="19"/>
  <c r="AB50" i="19"/>
  <c r="AB49" i="19"/>
  <c r="AB48" i="19"/>
  <c r="AB47" i="19"/>
  <c r="AB46" i="19"/>
  <c r="AB45" i="19"/>
  <c r="AB44" i="19"/>
  <c r="AB43" i="19"/>
  <c r="AB42" i="19"/>
  <c r="AB41" i="19"/>
  <c r="AB40" i="19"/>
  <c r="AB39" i="19"/>
  <c r="AB38" i="19"/>
  <c r="AB37" i="19"/>
  <c r="AB36" i="19"/>
  <c r="AB35" i="19"/>
  <c r="AB34" i="19"/>
  <c r="AB33" i="19"/>
  <c r="AB32" i="19"/>
  <c r="AB31" i="19"/>
  <c r="AB30" i="19"/>
  <c r="AB29" i="19"/>
  <c r="AB28" i="19"/>
  <c r="AB27" i="19"/>
  <c r="AB26" i="19"/>
  <c r="AB25" i="19"/>
  <c r="AB24" i="19"/>
  <c r="AB23" i="19"/>
  <c r="AB22" i="19"/>
  <c r="AB21" i="19"/>
  <c r="AB20" i="19"/>
  <c r="AB19" i="19"/>
  <c r="AB18" i="19"/>
  <c r="AB17" i="19"/>
  <c r="AB16" i="19"/>
  <c r="AB15" i="19"/>
  <c r="AB14" i="19"/>
  <c r="AB13" i="19"/>
  <c r="AB12" i="19"/>
  <c r="AB11" i="19"/>
  <c r="AB10" i="19"/>
  <c r="AB9" i="19"/>
  <c r="AB8" i="19"/>
  <c r="AB7" i="19"/>
  <c r="AB6" i="19"/>
  <c r="AB5" i="19"/>
  <c r="AB4" i="19"/>
  <c r="AA195" i="19"/>
  <c r="AA194" i="19"/>
  <c r="AA193" i="19"/>
  <c r="AA192" i="19"/>
  <c r="AA191" i="19"/>
  <c r="AA190" i="19"/>
  <c r="AA189" i="19"/>
  <c r="AA188" i="19"/>
  <c r="AA187" i="19"/>
  <c r="AA186" i="19"/>
  <c r="AA185" i="19"/>
  <c r="AA184" i="19"/>
  <c r="AA183" i="19"/>
  <c r="AA182" i="19"/>
  <c r="AA181" i="19"/>
  <c r="AA180" i="19"/>
  <c r="AA179" i="19"/>
  <c r="AA178" i="19"/>
  <c r="AA177" i="19"/>
  <c r="AA176" i="19"/>
  <c r="AA175" i="19"/>
  <c r="AA174" i="19"/>
  <c r="AA173" i="19"/>
  <c r="AA172" i="19"/>
  <c r="AA171" i="19"/>
  <c r="AA170" i="19"/>
  <c r="AA169" i="19"/>
  <c r="AA168" i="19"/>
  <c r="AA167" i="19"/>
  <c r="AA166" i="19"/>
  <c r="AA165" i="19"/>
  <c r="AA164" i="19"/>
  <c r="AA163" i="19"/>
  <c r="AA162" i="19"/>
  <c r="AA161" i="19"/>
  <c r="AA160" i="19"/>
  <c r="AA159" i="19"/>
  <c r="AA158" i="19"/>
  <c r="AA157" i="19"/>
  <c r="AA156" i="19"/>
  <c r="AA155" i="19"/>
  <c r="AA154" i="19"/>
  <c r="AA153" i="19"/>
  <c r="AA152" i="19"/>
  <c r="AA151" i="19"/>
  <c r="AA150" i="19"/>
  <c r="AA149" i="19"/>
  <c r="AA148" i="19"/>
  <c r="AA147" i="19"/>
  <c r="AA146" i="19"/>
  <c r="AA145" i="19"/>
  <c r="AA144" i="19"/>
  <c r="AA143" i="19"/>
  <c r="AA142" i="19"/>
  <c r="AA141" i="19"/>
  <c r="AA140" i="19"/>
  <c r="AA139" i="19"/>
  <c r="AA138" i="19"/>
  <c r="AA137" i="19"/>
  <c r="AA136" i="19"/>
  <c r="AA135" i="19"/>
  <c r="AA134" i="19"/>
  <c r="AA133" i="19"/>
  <c r="AA132" i="19"/>
  <c r="AA131" i="19"/>
  <c r="AA130" i="19"/>
  <c r="Z195" i="19"/>
  <c r="Z194" i="19"/>
  <c r="Z193" i="19"/>
  <c r="Z192" i="19"/>
  <c r="Z191" i="19"/>
  <c r="Z190" i="19"/>
  <c r="Z189" i="19"/>
  <c r="Z188" i="19"/>
  <c r="Z187" i="19"/>
  <c r="Z186" i="19"/>
  <c r="Z185" i="19"/>
  <c r="Z184" i="19"/>
  <c r="Z183" i="19"/>
  <c r="Z182" i="19"/>
  <c r="Z181" i="19"/>
  <c r="Z180" i="19"/>
  <c r="Z179" i="19"/>
  <c r="Z178" i="19"/>
  <c r="Z177" i="19"/>
  <c r="Z176" i="19"/>
  <c r="Z175" i="19"/>
  <c r="Z174" i="19"/>
  <c r="Z173" i="19"/>
  <c r="Z172" i="19"/>
  <c r="Z171" i="19"/>
  <c r="Z170" i="19"/>
  <c r="Z169" i="19"/>
  <c r="Z168" i="19"/>
  <c r="Z167" i="19"/>
  <c r="Z166" i="19"/>
  <c r="Z165" i="19"/>
  <c r="Z164" i="19"/>
  <c r="Z163" i="19"/>
  <c r="Z162" i="19"/>
  <c r="Z161" i="19"/>
  <c r="Z160" i="19"/>
  <c r="Z159" i="19"/>
  <c r="Z158" i="19"/>
  <c r="Z157" i="19"/>
  <c r="Z156" i="19"/>
  <c r="Z155" i="19"/>
  <c r="Z154" i="19"/>
  <c r="Z153" i="19"/>
  <c r="Z152" i="19"/>
  <c r="Z151" i="19"/>
  <c r="Z150" i="19"/>
  <c r="Z149" i="19"/>
  <c r="Z148" i="19"/>
  <c r="Z147" i="19"/>
  <c r="Z146" i="19"/>
  <c r="Z145" i="19"/>
  <c r="Z144" i="19"/>
  <c r="Z143" i="19"/>
  <c r="Z142" i="19"/>
  <c r="Z141" i="19"/>
  <c r="Z140" i="19"/>
  <c r="Z139" i="19"/>
  <c r="Z138" i="19"/>
  <c r="Z137" i="19"/>
  <c r="Z136" i="19"/>
  <c r="Z135" i="19"/>
  <c r="Z134" i="19"/>
  <c r="Z133" i="19"/>
  <c r="Z132" i="19"/>
  <c r="Z131" i="19"/>
  <c r="Z130" i="19"/>
  <c r="Y195" i="19"/>
  <c r="Y194" i="19"/>
  <c r="Y193" i="19"/>
  <c r="Y192" i="19"/>
  <c r="Y191" i="19"/>
  <c r="Y190" i="19"/>
  <c r="Y189" i="19"/>
  <c r="Y188" i="19"/>
  <c r="Y187" i="19"/>
  <c r="Y186" i="19"/>
  <c r="Y185" i="19"/>
  <c r="Y184" i="19"/>
  <c r="Y183" i="19"/>
  <c r="Y182" i="19"/>
  <c r="Y181" i="19"/>
  <c r="Y180" i="19"/>
  <c r="Y179" i="19"/>
  <c r="Y178" i="19"/>
  <c r="Y177" i="19"/>
  <c r="Y176" i="19"/>
  <c r="Y175" i="19"/>
  <c r="Y174" i="19"/>
  <c r="Y173" i="19"/>
  <c r="Y172" i="19"/>
  <c r="Y171" i="19"/>
  <c r="Y170" i="19"/>
  <c r="Y169" i="19"/>
  <c r="Y168" i="19"/>
  <c r="Y167" i="19"/>
  <c r="Y166" i="19"/>
  <c r="Y165" i="19"/>
  <c r="Y164" i="19"/>
  <c r="Y163" i="19"/>
  <c r="Y162" i="19"/>
  <c r="Y161" i="19"/>
  <c r="Y160" i="19"/>
  <c r="Y159" i="19"/>
  <c r="Y158" i="19"/>
  <c r="Y157" i="19"/>
  <c r="Y156" i="19"/>
  <c r="Y155" i="19"/>
  <c r="Y154" i="19"/>
  <c r="Y153" i="19"/>
  <c r="Y152" i="19"/>
  <c r="Y151" i="19"/>
  <c r="Y150" i="19"/>
  <c r="Y149" i="19"/>
  <c r="Y148" i="19"/>
  <c r="Y147" i="19"/>
  <c r="Y146" i="19"/>
  <c r="Y145" i="19"/>
  <c r="Y144" i="19"/>
  <c r="Y143" i="19"/>
  <c r="Y142" i="19"/>
  <c r="Y141" i="19"/>
  <c r="Y140" i="19"/>
  <c r="Y139" i="19"/>
  <c r="Y138" i="19"/>
  <c r="Y137" i="19"/>
  <c r="Y136" i="19"/>
  <c r="Y135" i="19"/>
  <c r="Y134" i="19"/>
  <c r="Y133" i="19"/>
  <c r="Y132" i="19"/>
  <c r="Y131" i="19"/>
  <c r="Y130" i="19"/>
  <c r="Y129" i="19"/>
  <c r="Y128" i="19"/>
  <c r="Y127" i="19"/>
  <c r="Y126" i="19"/>
  <c r="Y125" i="19"/>
  <c r="Y124" i="19"/>
  <c r="Y123" i="19"/>
  <c r="Y122" i="19"/>
  <c r="Y121" i="19"/>
  <c r="Y120" i="19"/>
  <c r="Y119" i="19"/>
  <c r="Y118" i="19"/>
  <c r="Y117" i="19"/>
  <c r="Y116" i="19"/>
  <c r="Y115" i="19"/>
  <c r="Y114" i="19"/>
  <c r="Y113" i="19"/>
  <c r="Y112" i="19"/>
  <c r="Y111" i="19"/>
  <c r="Y110" i="19"/>
  <c r="Y109" i="19"/>
  <c r="Y108" i="19"/>
  <c r="Y107" i="19"/>
  <c r="Y106" i="19"/>
  <c r="Y105" i="19"/>
  <c r="Y104" i="19"/>
  <c r="Y103" i="19"/>
  <c r="Y102" i="19"/>
  <c r="Y101" i="19"/>
  <c r="Y100" i="19"/>
  <c r="Y99" i="19"/>
  <c r="Y98" i="19"/>
  <c r="Y97" i="19"/>
  <c r="Y96" i="19"/>
  <c r="Y95" i="19"/>
  <c r="Y94" i="19"/>
  <c r="Y93" i="19"/>
  <c r="Y92" i="19"/>
  <c r="Y91" i="19"/>
  <c r="Y90" i="19"/>
  <c r="Y89" i="19"/>
  <c r="Y88" i="19"/>
  <c r="Y87" i="19"/>
  <c r="Y86" i="19"/>
  <c r="Y85" i="19"/>
  <c r="Y84" i="19"/>
  <c r="Y83" i="19"/>
  <c r="Y82" i="19"/>
  <c r="Y81" i="19"/>
  <c r="Y80" i="19"/>
  <c r="Y79" i="19"/>
  <c r="Y78" i="19"/>
  <c r="Y77" i="19"/>
  <c r="Y76" i="19"/>
  <c r="Y75" i="19"/>
  <c r="Y74" i="19"/>
  <c r="Y73" i="19"/>
  <c r="Y72" i="19"/>
  <c r="Y71" i="19"/>
  <c r="Y70" i="19"/>
  <c r="Y69" i="19"/>
  <c r="Y68" i="19"/>
  <c r="Y67" i="19"/>
  <c r="Y66" i="19"/>
  <c r="Y65" i="19"/>
  <c r="Y64" i="19"/>
  <c r="Y63" i="19"/>
  <c r="Y62" i="19"/>
  <c r="Y61" i="19"/>
  <c r="Y60" i="19"/>
  <c r="Y59" i="19"/>
  <c r="Y58" i="19"/>
  <c r="Y57" i="19"/>
  <c r="Y56" i="19"/>
  <c r="Y55" i="19"/>
  <c r="Y54" i="19"/>
  <c r="Y53" i="19"/>
  <c r="Y52" i="19"/>
  <c r="Y51" i="19"/>
  <c r="Y50" i="19"/>
  <c r="Y49" i="19"/>
  <c r="Y48" i="19"/>
  <c r="Y47" i="19"/>
  <c r="Y46" i="19"/>
  <c r="Y45" i="19"/>
  <c r="Y44" i="19"/>
  <c r="Y43" i="19"/>
  <c r="Y42" i="19"/>
  <c r="Y41" i="19"/>
  <c r="Y40" i="19"/>
  <c r="Y39" i="19"/>
  <c r="Y38" i="19"/>
  <c r="Y37" i="19"/>
  <c r="Y36" i="19"/>
  <c r="Y35" i="19"/>
  <c r="Y34" i="19"/>
  <c r="Y33" i="19"/>
  <c r="Y32" i="19"/>
  <c r="Y31" i="19"/>
  <c r="Y30" i="19"/>
  <c r="Y29" i="19"/>
  <c r="Y28" i="19"/>
  <c r="Y27" i="19"/>
  <c r="Y26" i="19"/>
  <c r="Y25" i="19"/>
  <c r="Y24" i="19"/>
  <c r="Y23" i="19"/>
  <c r="Y22" i="19"/>
  <c r="Y21" i="19"/>
  <c r="Y20" i="19"/>
  <c r="Y19" i="19"/>
  <c r="Y18" i="19"/>
  <c r="Y17" i="19"/>
  <c r="Y16" i="19"/>
  <c r="Y15" i="19"/>
  <c r="Y14" i="19"/>
  <c r="Y13" i="19"/>
  <c r="Y12" i="19"/>
  <c r="Y11" i="19"/>
  <c r="Y10" i="19"/>
  <c r="Y9" i="19"/>
  <c r="Y8" i="19"/>
  <c r="Y7" i="19"/>
  <c r="Y6" i="19"/>
  <c r="Y5" i="19"/>
  <c r="X195" i="19"/>
  <c r="X194" i="19"/>
  <c r="X193" i="19"/>
  <c r="X192" i="19"/>
  <c r="X191" i="19"/>
  <c r="X190" i="19"/>
  <c r="X189" i="19"/>
  <c r="X188" i="19"/>
  <c r="X187" i="19"/>
  <c r="X186" i="19"/>
  <c r="X185" i="19"/>
  <c r="X184" i="19"/>
  <c r="X183" i="19"/>
  <c r="X182" i="19"/>
  <c r="X181" i="19"/>
  <c r="X180" i="19"/>
  <c r="X179" i="19"/>
  <c r="X178" i="19"/>
  <c r="X177" i="19"/>
  <c r="X176" i="19"/>
  <c r="X175" i="19"/>
  <c r="X174" i="19"/>
  <c r="X173" i="19"/>
  <c r="X172" i="19"/>
  <c r="X171" i="19"/>
  <c r="X170" i="19"/>
  <c r="X169" i="19"/>
  <c r="X168" i="19"/>
  <c r="X167" i="19"/>
  <c r="X166" i="19"/>
  <c r="X165" i="19"/>
  <c r="X164" i="19"/>
  <c r="X163" i="19"/>
  <c r="X162" i="19"/>
  <c r="X161" i="19"/>
  <c r="X160" i="19"/>
  <c r="X159" i="19"/>
  <c r="X158" i="19"/>
  <c r="X157" i="19"/>
  <c r="X156" i="19"/>
  <c r="X155" i="19"/>
  <c r="X154" i="19"/>
  <c r="X153" i="19"/>
  <c r="X152" i="19"/>
  <c r="X151" i="19"/>
  <c r="X150" i="19"/>
  <c r="X149" i="19"/>
  <c r="X148" i="19"/>
  <c r="X147" i="19"/>
  <c r="X146" i="19"/>
  <c r="X145" i="19"/>
  <c r="X144" i="19"/>
  <c r="X143" i="19"/>
  <c r="X142" i="19"/>
  <c r="X141" i="19"/>
  <c r="X140" i="19"/>
  <c r="X139" i="19"/>
  <c r="X138" i="19"/>
  <c r="X137" i="19"/>
  <c r="X136" i="19"/>
  <c r="X135" i="19"/>
  <c r="X134" i="19"/>
  <c r="X133" i="19"/>
  <c r="X132" i="19"/>
  <c r="X131" i="19"/>
  <c r="X130" i="19"/>
  <c r="X129" i="19"/>
  <c r="X128" i="19"/>
  <c r="X127" i="19"/>
  <c r="X126" i="19"/>
  <c r="X125" i="19"/>
  <c r="X124" i="19"/>
  <c r="X123" i="19"/>
  <c r="X122" i="19"/>
  <c r="X121" i="19"/>
  <c r="X120" i="19"/>
  <c r="X119" i="19"/>
  <c r="X118" i="19"/>
  <c r="X117" i="19"/>
  <c r="X116" i="19"/>
  <c r="X115" i="19"/>
  <c r="X114" i="19"/>
  <c r="X113" i="19"/>
  <c r="X112" i="19"/>
  <c r="X111" i="19"/>
  <c r="X110" i="19"/>
  <c r="X109" i="19"/>
  <c r="X108" i="19"/>
  <c r="X107" i="19"/>
  <c r="X106" i="19"/>
  <c r="X105" i="19"/>
  <c r="X104" i="19"/>
  <c r="X103" i="19"/>
  <c r="X102" i="19"/>
  <c r="X101" i="19"/>
  <c r="X100" i="19"/>
  <c r="X99" i="19"/>
  <c r="X98" i="19"/>
  <c r="X97" i="19"/>
  <c r="X96" i="19"/>
  <c r="X95" i="19"/>
  <c r="X94" i="19"/>
  <c r="X93" i="19"/>
  <c r="X92" i="19"/>
  <c r="X91" i="19"/>
  <c r="X90" i="19"/>
  <c r="X89" i="19"/>
  <c r="X88" i="19"/>
  <c r="X87" i="19"/>
  <c r="X86" i="19"/>
  <c r="X85" i="19"/>
  <c r="X84" i="19"/>
  <c r="X83" i="19"/>
  <c r="X82" i="19"/>
  <c r="X81" i="19"/>
  <c r="X80" i="19"/>
  <c r="X79" i="19"/>
  <c r="X78" i="19"/>
  <c r="X77" i="19"/>
  <c r="X76" i="19"/>
  <c r="X75" i="19"/>
  <c r="X74" i="19"/>
  <c r="X73" i="19"/>
  <c r="X72" i="19"/>
  <c r="X71" i="19"/>
  <c r="X70" i="19"/>
  <c r="X69" i="19"/>
  <c r="X68" i="19"/>
  <c r="X67" i="19"/>
  <c r="X66" i="19"/>
  <c r="X65" i="19"/>
  <c r="X64" i="19"/>
  <c r="X63" i="19"/>
  <c r="X62" i="19"/>
  <c r="X61" i="19"/>
  <c r="X60" i="19"/>
  <c r="X59" i="19"/>
  <c r="X58" i="19"/>
  <c r="X57" i="19"/>
  <c r="X56" i="19"/>
  <c r="X55" i="19"/>
  <c r="X54" i="19"/>
  <c r="X53" i="19"/>
  <c r="X52" i="19"/>
  <c r="X51" i="19"/>
  <c r="X50" i="19"/>
  <c r="X49" i="19"/>
  <c r="X48" i="19"/>
  <c r="X47" i="19"/>
  <c r="X46" i="19"/>
  <c r="X45" i="19"/>
  <c r="X44" i="19"/>
  <c r="X43" i="19"/>
  <c r="X42" i="19"/>
  <c r="X41" i="19"/>
  <c r="X40" i="19"/>
  <c r="X39" i="19"/>
  <c r="X38" i="19"/>
  <c r="X37" i="19"/>
  <c r="X36" i="19"/>
  <c r="X35" i="19"/>
  <c r="X34" i="19"/>
  <c r="X33" i="19"/>
  <c r="X32" i="19"/>
  <c r="X31" i="19"/>
  <c r="X30" i="19"/>
  <c r="X29" i="19"/>
  <c r="X28" i="19"/>
  <c r="X27" i="19"/>
  <c r="X26" i="19"/>
  <c r="X25" i="19"/>
  <c r="X24" i="19"/>
  <c r="X23" i="19"/>
  <c r="X22" i="19"/>
  <c r="X21" i="19"/>
  <c r="X20" i="19"/>
  <c r="X19" i="19"/>
  <c r="X18" i="19"/>
  <c r="X17" i="19"/>
  <c r="X16" i="19"/>
  <c r="X15" i="19"/>
  <c r="X14" i="19"/>
  <c r="X13" i="19"/>
  <c r="X12" i="19"/>
  <c r="X11" i="19"/>
  <c r="X10" i="19"/>
  <c r="X9" i="19"/>
  <c r="X8" i="19"/>
  <c r="X7" i="19"/>
  <c r="X6" i="19"/>
  <c r="X5" i="19"/>
  <c r="W195" i="19"/>
  <c r="W194" i="19"/>
  <c r="W193" i="19"/>
  <c r="W192" i="19"/>
  <c r="W191" i="19"/>
  <c r="W190" i="19"/>
  <c r="W189" i="19"/>
  <c r="W188" i="19"/>
  <c r="W187" i="19"/>
  <c r="W186" i="19"/>
  <c r="W185" i="19"/>
  <c r="W184" i="19"/>
  <c r="W183" i="19"/>
  <c r="W182" i="19"/>
  <c r="W181" i="19"/>
  <c r="W180" i="19"/>
  <c r="W179" i="19"/>
  <c r="W178" i="19"/>
  <c r="W177" i="19"/>
  <c r="W176" i="19"/>
  <c r="W175" i="19"/>
  <c r="W174" i="19"/>
  <c r="W173" i="19"/>
  <c r="W172" i="19"/>
  <c r="W171" i="19"/>
  <c r="W170" i="19"/>
  <c r="W169" i="19"/>
  <c r="W168" i="19"/>
  <c r="W167" i="19"/>
  <c r="W166" i="19"/>
  <c r="W165" i="19"/>
  <c r="W164" i="19"/>
  <c r="W163" i="19"/>
  <c r="W162" i="19"/>
  <c r="W161" i="19"/>
  <c r="W160" i="19"/>
  <c r="W159" i="19"/>
  <c r="W158" i="19"/>
  <c r="W157" i="19"/>
  <c r="W156" i="19"/>
  <c r="W155" i="19"/>
  <c r="W154" i="19"/>
  <c r="W153" i="19"/>
  <c r="W152" i="19"/>
  <c r="W151" i="19"/>
  <c r="W150" i="19"/>
  <c r="W149" i="19"/>
  <c r="W148" i="19"/>
  <c r="W147" i="19"/>
  <c r="W146" i="19"/>
  <c r="W145" i="19"/>
  <c r="W144" i="19"/>
  <c r="W143" i="19"/>
  <c r="W142" i="19"/>
  <c r="W141" i="19"/>
  <c r="W140" i="19"/>
  <c r="W139" i="19"/>
  <c r="W138" i="19"/>
  <c r="W137" i="19"/>
  <c r="W136" i="19"/>
  <c r="W135" i="19"/>
  <c r="W134" i="19"/>
  <c r="W133" i="19"/>
  <c r="W132" i="19"/>
  <c r="W131" i="19"/>
  <c r="W130" i="19"/>
  <c r="W129" i="19"/>
  <c r="W128" i="19"/>
  <c r="W127" i="19"/>
  <c r="W126" i="19"/>
  <c r="W125" i="19"/>
  <c r="W124" i="19"/>
  <c r="W123" i="19"/>
  <c r="W122" i="19"/>
  <c r="W121" i="19"/>
  <c r="W120" i="19"/>
  <c r="W119" i="19"/>
  <c r="W118" i="19"/>
  <c r="W117" i="19"/>
  <c r="W116" i="19"/>
  <c r="W115" i="19"/>
  <c r="W114" i="19"/>
  <c r="W113" i="19"/>
  <c r="W112" i="19"/>
  <c r="W111" i="19"/>
  <c r="W110" i="19"/>
  <c r="W109" i="19"/>
  <c r="W108" i="19"/>
  <c r="W107" i="19"/>
  <c r="W106" i="19"/>
  <c r="W105" i="19"/>
  <c r="W104" i="19"/>
  <c r="W103" i="19"/>
  <c r="W102" i="19"/>
  <c r="W101" i="19"/>
  <c r="W100" i="19"/>
  <c r="W99" i="19"/>
  <c r="W98" i="19"/>
  <c r="W97" i="19"/>
  <c r="W96" i="19"/>
  <c r="W95" i="19"/>
  <c r="W94" i="19"/>
  <c r="W93" i="19"/>
  <c r="W92" i="19"/>
  <c r="W91" i="19"/>
  <c r="W90" i="19"/>
  <c r="W89" i="19"/>
  <c r="W88" i="19"/>
  <c r="W87" i="19"/>
  <c r="W86" i="19"/>
  <c r="W85" i="19"/>
  <c r="W84" i="19"/>
  <c r="W83" i="19"/>
  <c r="W82" i="19"/>
  <c r="W81" i="19"/>
  <c r="W80" i="19"/>
  <c r="W79" i="19"/>
  <c r="W78" i="19"/>
  <c r="W77" i="19"/>
  <c r="W76" i="19"/>
  <c r="W75" i="19"/>
  <c r="W74" i="19"/>
  <c r="W73" i="19"/>
  <c r="W72" i="19"/>
  <c r="W71" i="19"/>
  <c r="W70" i="19"/>
  <c r="W69" i="19"/>
  <c r="W68" i="19"/>
  <c r="W67" i="19"/>
  <c r="W66" i="19"/>
  <c r="W65" i="19"/>
  <c r="W64" i="19"/>
  <c r="W63" i="19"/>
  <c r="W62" i="19"/>
  <c r="W61" i="19"/>
  <c r="W60" i="19"/>
  <c r="W59" i="19"/>
  <c r="W58" i="19"/>
  <c r="W57" i="19"/>
  <c r="W56" i="19"/>
  <c r="W55" i="19"/>
  <c r="W54" i="19"/>
  <c r="W53" i="19"/>
  <c r="W52" i="19"/>
  <c r="W51" i="19"/>
  <c r="W50" i="19"/>
  <c r="W49" i="19"/>
  <c r="W48" i="19"/>
  <c r="W47" i="19"/>
  <c r="W46" i="19"/>
  <c r="W45" i="19"/>
  <c r="W44" i="19"/>
  <c r="W43" i="19"/>
  <c r="W42" i="19"/>
  <c r="W41" i="19"/>
  <c r="W40" i="19"/>
  <c r="W39" i="19"/>
  <c r="W38" i="19"/>
  <c r="W37" i="19"/>
  <c r="W36" i="19"/>
  <c r="W35" i="19"/>
  <c r="W34" i="19"/>
  <c r="W33" i="19"/>
  <c r="W32" i="19"/>
  <c r="W31" i="19"/>
  <c r="W30" i="19"/>
  <c r="W29" i="19"/>
  <c r="W28" i="19"/>
  <c r="W27" i="19"/>
  <c r="W26" i="19"/>
  <c r="W25" i="19"/>
  <c r="W24" i="19"/>
  <c r="W23" i="19"/>
  <c r="W22" i="19"/>
  <c r="W21" i="19"/>
  <c r="W20" i="19"/>
  <c r="W19" i="19"/>
  <c r="W18" i="19"/>
  <c r="W17" i="19"/>
  <c r="W16" i="19"/>
  <c r="W15" i="19"/>
  <c r="W14" i="19"/>
  <c r="W13" i="19"/>
  <c r="W12" i="19"/>
  <c r="W11" i="19"/>
  <c r="W10" i="19"/>
  <c r="W9" i="19"/>
  <c r="W8" i="19"/>
  <c r="W7" i="19"/>
  <c r="W6" i="19"/>
  <c r="W5" i="19"/>
  <c r="V195" i="19"/>
  <c r="V194" i="19"/>
  <c r="V193" i="19"/>
  <c r="V192" i="19"/>
  <c r="V191" i="19"/>
  <c r="V190" i="19"/>
  <c r="V189" i="19"/>
  <c r="V188" i="19"/>
  <c r="V187" i="19"/>
  <c r="V186" i="19"/>
  <c r="V185" i="19"/>
  <c r="V184" i="19"/>
  <c r="V183" i="19"/>
  <c r="V182" i="19"/>
  <c r="V181" i="19"/>
  <c r="V180" i="19"/>
  <c r="V179" i="19"/>
  <c r="V178" i="19"/>
  <c r="V177" i="19"/>
  <c r="V176" i="19"/>
  <c r="V175" i="19"/>
  <c r="V174" i="19"/>
  <c r="V173" i="19"/>
  <c r="V172" i="19"/>
  <c r="V171" i="19"/>
  <c r="V170" i="19"/>
  <c r="V169" i="19"/>
  <c r="V168" i="19"/>
  <c r="V167" i="19"/>
  <c r="V166" i="19"/>
  <c r="V165" i="19"/>
  <c r="V164" i="19"/>
  <c r="V163" i="19"/>
  <c r="V162" i="19"/>
  <c r="V161" i="19"/>
  <c r="V160" i="19"/>
  <c r="V159" i="19"/>
  <c r="V158" i="19"/>
  <c r="V157" i="19"/>
  <c r="V156" i="19"/>
  <c r="V155" i="19"/>
  <c r="V154" i="19"/>
  <c r="V153" i="19"/>
  <c r="V152" i="19"/>
  <c r="V151" i="19"/>
  <c r="V150" i="19"/>
  <c r="V149" i="19"/>
  <c r="V148" i="19"/>
  <c r="V147" i="19"/>
  <c r="V146" i="19"/>
  <c r="V145" i="19"/>
  <c r="V144" i="19"/>
  <c r="V143" i="19"/>
  <c r="V142" i="19"/>
  <c r="V141" i="19"/>
  <c r="V140" i="19"/>
  <c r="V139" i="19"/>
  <c r="V138" i="19"/>
  <c r="V137" i="19"/>
  <c r="V136" i="19"/>
  <c r="V135" i="19"/>
  <c r="V134" i="19"/>
  <c r="V133" i="19"/>
  <c r="V132" i="19"/>
  <c r="V131" i="19"/>
  <c r="V130" i="19"/>
  <c r="V129" i="19"/>
  <c r="V128" i="19"/>
  <c r="V127" i="19"/>
  <c r="V126" i="19"/>
  <c r="V125" i="19"/>
  <c r="V124" i="19"/>
  <c r="V123" i="19"/>
  <c r="V122" i="19"/>
  <c r="V121" i="19"/>
  <c r="V120" i="19"/>
  <c r="V119" i="19"/>
  <c r="V118" i="19"/>
  <c r="V117" i="19"/>
  <c r="V116" i="19"/>
  <c r="V115" i="19"/>
  <c r="V114" i="19"/>
  <c r="V113" i="19"/>
  <c r="V112" i="19"/>
  <c r="V111" i="19"/>
  <c r="V110" i="19"/>
  <c r="V109" i="19"/>
  <c r="V108" i="19"/>
  <c r="V107" i="19"/>
  <c r="V106" i="19"/>
  <c r="V105" i="19"/>
  <c r="V104" i="19"/>
  <c r="V103" i="19"/>
  <c r="V102" i="19"/>
  <c r="V101" i="19"/>
  <c r="V100" i="19"/>
  <c r="V99" i="19"/>
  <c r="V98" i="19"/>
  <c r="V97" i="19"/>
  <c r="V96" i="19"/>
  <c r="V95" i="19"/>
  <c r="V94" i="19"/>
  <c r="V93" i="19"/>
  <c r="V92" i="19"/>
  <c r="V91" i="19"/>
  <c r="V90" i="19"/>
  <c r="V89" i="19"/>
  <c r="V88" i="19"/>
  <c r="V87" i="19"/>
  <c r="V86" i="19"/>
  <c r="V85" i="19"/>
  <c r="V84" i="19"/>
  <c r="V83" i="19"/>
  <c r="V82" i="19"/>
  <c r="V81" i="19"/>
  <c r="V80" i="19"/>
  <c r="V79" i="19"/>
  <c r="V78" i="19"/>
  <c r="V77" i="19"/>
  <c r="V76" i="19"/>
  <c r="V75" i="19"/>
  <c r="V74" i="19"/>
  <c r="V73" i="19"/>
  <c r="V72" i="19"/>
  <c r="V71" i="19"/>
  <c r="V70" i="19"/>
  <c r="V69" i="19"/>
  <c r="V68" i="19"/>
  <c r="V67" i="19"/>
  <c r="V66" i="19"/>
  <c r="V65" i="19"/>
  <c r="V64" i="19"/>
  <c r="V63" i="19"/>
  <c r="V62" i="19"/>
  <c r="V61" i="19"/>
  <c r="V60" i="19"/>
  <c r="V59" i="19"/>
  <c r="V58" i="19"/>
  <c r="V57" i="19"/>
  <c r="V56" i="19"/>
  <c r="V55" i="19"/>
  <c r="V54" i="19"/>
  <c r="V53" i="19"/>
  <c r="V52" i="19"/>
  <c r="V51" i="19"/>
  <c r="V50" i="19"/>
  <c r="V49" i="19"/>
  <c r="V48" i="19"/>
  <c r="V47" i="19"/>
  <c r="V46" i="19"/>
  <c r="V45" i="19"/>
  <c r="V44" i="19"/>
  <c r="V43" i="19"/>
  <c r="V42" i="19"/>
  <c r="V41" i="19"/>
  <c r="V40" i="19"/>
  <c r="V39" i="19"/>
  <c r="V38" i="19"/>
  <c r="V37" i="19"/>
  <c r="V36" i="19"/>
  <c r="V35" i="19"/>
  <c r="V34" i="19"/>
  <c r="V33" i="19"/>
  <c r="V32" i="19"/>
  <c r="V31" i="19"/>
  <c r="V30" i="19"/>
  <c r="V29" i="19"/>
  <c r="V28" i="19"/>
  <c r="V27" i="19"/>
  <c r="V26" i="19"/>
  <c r="V25" i="19"/>
  <c r="V24" i="19"/>
  <c r="V23" i="19"/>
  <c r="V22" i="19"/>
  <c r="V21" i="19"/>
  <c r="V20" i="19"/>
  <c r="V19" i="19"/>
  <c r="V18" i="19"/>
  <c r="V17" i="19"/>
  <c r="V16" i="19"/>
  <c r="V15" i="19"/>
  <c r="V14" i="19"/>
  <c r="V13" i="19"/>
  <c r="V12" i="19"/>
  <c r="V11" i="19"/>
  <c r="V10" i="19"/>
  <c r="V9" i="19"/>
  <c r="V8" i="19"/>
  <c r="V7" i="19"/>
  <c r="V6" i="19"/>
  <c r="V5" i="19"/>
  <c r="O195" i="19"/>
  <c r="O194" i="19"/>
  <c r="O193" i="19"/>
  <c r="O192" i="19"/>
  <c r="O191" i="19"/>
  <c r="O190" i="19"/>
  <c r="O189" i="19"/>
  <c r="O188" i="19"/>
  <c r="O187" i="19"/>
  <c r="O186" i="19"/>
  <c r="O185" i="19"/>
  <c r="O184" i="19"/>
  <c r="O183" i="19"/>
  <c r="O182" i="19"/>
  <c r="O181" i="19"/>
  <c r="O180" i="19"/>
  <c r="O179" i="19"/>
  <c r="O178" i="19"/>
  <c r="O177" i="19"/>
  <c r="O176" i="19"/>
  <c r="O175" i="19"/>
  <c r="O174" i="19"/>
  <c r="O173" i="19"/>
  <c r="O172" i="19"/>
  <c r="O171" i="19"/>
  <c r="O170" i="19"/>
  <c r="O169" i="19"/>
  <c r="O168" i="19"/>
  <c r="O167" i="19"/>
  <c r="O166" i="19"/>
  <c r="O165" i="19"/>
  <c r="O164" i="19"/>
  <c r="O163" i="19"/>
  <c r="O162" i="19"/>
  <c r="O161" i="19"/>
  <c r="O160" i="19"/>
  <c r="O159" i="19"/>
  <c r="O158" i="19"/>
  <c r="O157" i="19"/>
  <c r="O156" i="19"/>
  <c r="O155" i="19"/>
  <c r="O154" i="19"/>
  <c r="O153" i="19"/>
  <c r="O152" i="19"/>
  <c r="O151" i="19"/>
  <c r="O150" i="19"/>
  <c r="O149" i="19"/>
  <c r="O148" i="19"/>
  <c r="O147" i="19"/>
  <c r="O146" i="19"/>
  <c r="O145" i="19"/>
  <c r="O144" i="19"/>
  <c r="O143" i="19"/>
  <c r="O142" i="19"/>
  <c r="O141" i="19"/>
  <c r="O140" i="19"/>
  <c r="O139" i="19"/>
  <c r="O138" i="19"/>
  <c r="O137" i="19"/>
  <c r="O136" i="19"/>
  <c r="O135" i="19"/>
  <c r="O134" i="19"/>
  <c r="O133" i="19"/>
  <c r="O132" i="19"/>
  <c r="O131" i="19"/>
  <c r="O130" i="19"/>
  <c r="O129" i="19"/>
  <c r="O128" i="19"/>
  <c r="O127" i="19"/>
  <c r="O126" i="19"/>
  <c r="O125" i="19"/>
  <c r="O124" i="19"/>
  <c r="O123" i="19"/>
  <c r="O122" i="19"/>
  <c r="O121" i="19"/>
  <c r="O120" i="19"/>
  <c r="O119" i="19"/>
  <c r="O118" i="19"/>
  <c r="O117" i="19"/>
  <c r="O116" i="19"/>
  <c r="O115" i="19"/>
  <c r="O114" i="19"/>
  <c r="O113" i="19"/>
  <c r="O112" i="19"/>
  <c r="O111" i="19"/>
  <c r="O110" i="19"/>
  <c r="O109" i="19"/>
  <c r="O108" i="19"/>
  <c r="O107" i="19"/>
  <c r="O106" i="19"/>
  <c r="O105" i="19"/>
  <c r="O104" i="19"/>
  <c r="O103" i="19"/>
  <c r="O102" i="19"/>
  <c r="O101" i="19"/>
  <c r="O100" i="19"/>
  <c r="O99" i="19"/>
  <c r="O98" i="19"/>
  <c r="O97" i="19"/>
  <c r="O96" i="19"/>
  <c r="O95" i="19"/>
  <c r="O94" i="19"/>
  <c r="O93" i="19"/>
  <c r="O92" i="19"/>
  <c r="O91" i="19"/>
  <c r="O90" i="19"/>
  <c r="O89" i="19"/>
  <c r="O88" i="19"/>
  <c r="O87" i="19"/>
  <c r="O86" i="19"/>
  <c r="O85" i="19"/>
  <c r="O84" i="19"/>
  <c r="O83" i="19"/>
  <c r="O82" i="19"/>
  <c r="O81" i="19"/>
  <c r="O80" i="19"/>
  <c r="O79" i="19"/>
  <c r="O78" i="19"/>
  <c r="O77" i="19"/>
  <c r="O76" i="19"/>
  <c r="O75" i="19"/>
  <c r="O74" i="19"/>
  <c r="O73" i="19"/>
  <c r="O72" i="19"/>
  <c r="O71" i="19"/>
  <c r="O70" i="19"/>
  <c r="O69" i="19"/>
  <c r="O68" i="19"/>
  <c r="O67" i="19"/>
  <c r="O66" i="19"/>
  <c r="O65" i="19"/>
  <c r="O64" i="19"/>
  <c r="O63" i="19"/>
  <c r="O62" i="19"/>
  <c r="O61" i="19"/>
  <c r="O60" i="19"/>
  <c r="O59" i="19"/>
  <c r="O58" i="19"/>
  <c r="O57" i="19"/>
  <c r="O56" i="19"/>
  <c r="O55" i="19"/>
  <c r="O54" i="19"/>
  <c r="O53" i="19"/>
  <c r="O52" i="19"/>
  <c r="O51" i="19"/>
  <c r="O50" i="19"/>
  <c r="O49" i="19"/>
  <c r="O48" i="19"/>
  <c r="O47" i="19"/>
  <c r="O46" i="19"/>
  <c r="O45" i="19"/>
  <c r="O44" i="19"/>
  <c r="O43" i="19"/>
  <c r="O42" i="19"/>
  <c r="O41" i="19"/>
  <c r="O40" i="19"/>
  <c r="O39" i="19"/>
  <c r="O38" i="19"/>
  <c r="O37" i="19"/>
  <c r="O36" i="19"/>
  <c r="O35" i="19"/>
  <c r="O34" i="19"/>
  <c r="O33" i="19"/>
  <c r="O32" i="19"/>
  <c r="O31" i="19"/>
  <c r="O30" i="19"/>
  <c r="O29" i="19"/>
  <c r="O28" i="19"/>
  <c r="O27" i="19"/>
  <c r="O26" i="19"/>
  <c r="O25" i="19"/>
  <c r="O24" i="19"/>
  <c r="O23" i="19"/>
  <c r="O22" i="19"/>
  <c r="O21" i="19"/>
  <c r="O20" i="19"/>
  <c r="O19" i="19"/>
  <c r="O18" i="19"/>
  <c r="O17" i="19"/>
  <c r="O16" i="19"/>
  <c r="O15" i="19"/>
  <c r="O14" i="19"/>
  <c r="O13" i="19"/>
  <c r="O12" i="19"/>
  <c r="O11" i="19"/>
  <c r="O10" i="19"/>
  <c r="O9" i="19"/>
  <c r="O8" i="19"/>
  <c r="O7" i="19"/>
  <c r="O6" i="19"/>
  <c r="O5" i="19"/>
  <c r="O4" i="19"/>
  <c r="N195" i="19"/>
  <c r="N194" i="19"/>
  <c r="N193" i="19"/>
  <c r="N192" i="19"/>
  <c r="N191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75" i="19"/>
  <c r="N174" i="19"/>
  <c r="N173" i="19"/>
  <c r="N172" i="19"/>
  <c r="N171" i="19"/>
  <c r="N170" i="19"/>
  <c r="N169" i="19"/>
  <c r="N168" i="19"/>
  <c r="N167" i="19"/>
  <c r="N166" i="19"/>
  <c r="N165" i="19"/>
  <c r="N164" i="19"/>
  <c r="N163" i="19"/>
  <c r="N162" i="19"/>
  <c r="N161" i="19"/>
  <c r="N160" i="19"/>
  <c r="N159" i="19"/>
  <c r="N158" i="19"/>
  <c r="N157" i="19"/>
  <c r="N156" i="19"/>
  <c r="N155" i="19"/>
  <c r="N154" i="19"/>
  <c r="N153" i="19"/>
  <c r="N152" i="19"/>
  <c r="N151" i="19"/>
  <c r="N150" i="19"/>
  <c r="N149" i="19"/>
  <c r="N148" i="19"/>
  <c r="N147" i="19"/>
  <c r="N146" i="19"/>
  <c r="N145" i="19"/>
  <c r="N144" i="19"/>
  <c r="N143" i="19"/>
  <c r="N142" i="19"/>
  <c r="N141" i="19"/>
  <c r="N140" i="19"/>
  <c r="N139" i="19"/>
  <c r="N138" i="19"/>
  <c r="N137" i="19"/>
  <c r="N136" i="19"/>
  <c r="N135" i="19"/>
  <c r="N134" i="19"/>
  <c r="N133" i="19"/>
  <c r="N132" i="19"/>
  <c r="N131" i="19"/>
  <c r="N130" i="19"/>
  <c r="N129" i="19"/>
  <c r="N128" i="19"/>
  <c r="N127" i="19"/>
  <c r="N126" i="19"/>
  <c r="N125" i="19"/>
  <c r="N124" i="19"/>
  <c r="N123" i="19"/>
  <c r="N122" i="19"/>
  <c r="N121" i="19"/>
  <c r="N120" i="19"/>
  <c r="N119" i="19"/>
  <c r="N118" i="19"/>
  <c r="N117" i="19"/>
  <c r="N116" i="19"/>
  <c r="N115" i="19"/>
  <c r="N114" i="19"/>
  <c r="N113" i="19"/>
  <c r="N112" i="19"/>
  <c r="N111" i="19"/>
  <c r="N110" i="19"/>
  <c r="N109" i="19"/>
  <c r="N108" i="19"/>
  <c r="N107" i="19"/>
  <c r="N106" i="19"/>
  <c r="N105" i="19"/>
  <c r="N104" i="19"/>
  <c r="N103" i="19"/>
  <c r="N102" i="19"/>
  <c r="N101" i="19"/>
  <c r="N100" i="19"/>
  <c r="N99" i="19"/>
  <c r="N98" i="19"/>
  <c r="N97" i="19"/>
  <c r="N96" i="19"/>
  <c r="N95" i="19"/>
  <c r="N94" i="19"/>
  <c r="N93" i="19"/>
  <c r="N92" i="19"/>
  <c r="N91" i="19"/>
  <c r="N90" i="19"/>
  <c r="N89" i="19"/>
  <c r="N88" i="19"/>
  <c r="N87" i="19"/>
  <c r="N86" i="19"/>
  <c r="N85" i="19"/>
  <c r="N84" i="19"/>
  <c r="N83" i="19"/>
  <c r="N82" i="19"/>
  <c r="N81" i="19"/>
  <c r="N80" i="19"/>
  <c r="N79" i="19"/>
  <c r="N78" i="19"/>
  <c r="N77" i="19"/>
  <c r="N76" i="19"/>
  <c r="N75" i="19"/>
  <c r="N74" i="19"/>
  <c r="N73" i="19"/>
  <c r="N72" i="19"/>
  <c r="N71" i="19"/>
  <c r="N70" i="19"/>
  <c r="N69" i="19"/>
  <c r="N68" i="19"/>
  <c r="N67" i="19"/>
  <c r="N66" i="19"/>
  <c r="N65" i="19"/>
  <c r="N64" i="19"/>
  <c r="N63" i="19"/>
  <c r="N62" i="19"/>
  <c r="N61" i="19"/>
  <c r="N60" i="19"/>
  <c r="N59" i="19"/>
  <c r="N58" i="19"/>
  <c r="N57" i="19"/>
  <c r="N56" i="19"/>
  <c r="N55" i="19"/>
  <c r="N54" i="19"/>
  <c r="N53" i="19"/>
  <c r="N52" i="19"/>
  <c r="N51" i="19"/>
  <c r="N50" i="19"/>
  <c r="N49" i="19"/>
  <c r="N48" i="19"/>
  <c r="N47" i="19"/>
  <c r="N46" i="19"/>
  <c r="N45" i="19"/>
  <c r="N44" i="19"/>
  <c r="N43" i="19"/>
  <c r="N42" i="19"/>
  <c r="N41" i="19"/>
  <c r="N40" i="19"/>
  <c r="N39" i="19"/>
  <c r="N38" i="19"/>
  <c r="N37" i="19"/>
  <c r="N36" i="19"/>
  <c r="N35" i="19"/>
  <c r="N34" i="19"/>
  <c r="N33" i="19"/>
  <c r="N32" i="19"/>
  <c r="N31" i="19"/>
  <c r="N30" i="19"/>
  <c r="N29" i="19"/>
  <c r="N28" i="19"/>
  <c r="N27" i="19"/>
  <c r="N26" i="19"/>
  <c r="N25" i="19"/>
  <c r="N24" i="19"/>
  <c r="N23" i="19"/>
  <c r="N22" i="19"/>
  <c r="N21" i="19"/>
  <c r="N20" i="19"/>
  <c r="N19" i="19"/>
  <c r="N17" i="19"/>
  <c r="N16" i="19"/>
  <c r="N15" i="19"/>
  <c r="N14" i="19"/>
  <c r="N13" i="19"/>
  <c r="N12" i="19"/>
  <c r="N11" i="19"/>
  <c r="N10" i="19"/>
  <c r="N9" i="19"/>
  <c r="N8" i="19"/>
  <c r="N7" i="19"/>
  <c r="N6" i="19"/>
  <c r="N5" i="19"/>
  <c r="N4" i="19"/>
  <c r="S133" i="19" l="1"/>
  <c r="R133" i="19"/>
  <c r="P133" i="19"/>
  <c r="U133" i="19"/>
  <c r="Q133" i="19"/>
  <c r="T133" i="19"/>
  <c r="S137" i="19"/>
  <c r="R137" i="19"/>
  <c r="P137" i="19"/>
  <c r="U137" i="19"/>
  <c r="Q137" i="19"/>
  <c r="T137" i="19"/>
  <c r="U141" i="19"/>
  <c r="S141" i="19"/>
  <c r="T141" i="19"/>
  <c r="R141" i="19"/>
  <c r="Q141" i="19"/>
  <c r="P141" i="19"/>
  <c r="U145" i="19"/>
  <c r="Q145" i="19"/>
  <c r="T145" i="19"/>
  <c r="P145" i="19"/>
  <c r="S145" i="19"/>
  <c r="R145" i="19"/>
  <c r="U149" i="19"/>
  <c r="Q149" i="19"/>
  <c r="T149" i="19"/>
  <c r="P149" i="19"/>
  <c r="S149" i="19"/>
  <c r="R149" i="19"/>
  <c r="U153" i="19"/>
  <c r="Q153" i="19"/>
  <c r="T153" i="19"/>
  <c r="P153" i="19"/>
  <c r="S153" i="19"/>
  <c r="R153" i="19"/>
  <c r="U157" i="19"/>
  <c r="Q157" i="19"/>
  <c r="T157" i="19"/>
  <c r="P157" i="19"/>
  <c r="S157" i="19"/>
  <c r="R157" i="19"/>
  <c r="U161" i="19"/>
  <c r="Q161" i="19"/>
  <c r="T161" i="19"/>
  <c r="P161" i="19"/>
  <c r="S161" i="19"/>
  <c r="R161" i="19"/>
  <c r="U165" i="19"/>
  <c r="Q165" i="19"/>
  <c r="T165" i="19"/>
  <c r="P165" i="19"/>
  <c r="S165" i="19"/>
  <c r="R165" i="19"/>
  <c r="U169" i="19"/>
  <c r="Q169" i="19"/>
  <c r="T169" i="19"/>
  <c r="P169" i="19"/>
  <c r="S169" i="19"/>
  <c r="R169" i="19"/>
  <c r="U173" i="19"/>
  <c r="Q173" i="19"/>
  <c r="T173" i="19"/>
  <c r="P173" i="19"/>
  <c r="S173" i="19"/>
  <c r="R173" i="19"/>
  <c r="U177" i="19"/>
  <c r="Q177" i="19"/>
  <c r="T177" i="19"/>
  <c r="P177" i="19"/>
  <c r="S177" i="19"/>
  <c r="R177" i="19"/>
  <c r="U181" i="19"/>
  <c r="Q181" i="19"/>
  <c r="T181" i="19"/>
  <c r="P181" i="19"/>
  <c r="S181" i="19"/>
  <c r="R181" i="19"/>
  <c r="U185" i="19"/>
  <c r="Q185" i="19"/>
  <c r="T185" i="19"/>
  <c r="P185" i="19"/>
  <c r="S185" i="19"/>
  <c r="R185" i="19"/>
  <c r="U189" i="19"/>
  <c r="Q189" i="19"/>
  <c r="T189" i="19"/>
  <c r="P189" i="19"/>
  <c r="S189" i="19"/>
  <c r="R189" i="19"/>
  <c r="U195" i="19"/>
  <c r="Q195" i="19"/>
  <c r="T195" i="19"/>
  <c r="P195" i="19"/>
  <c r="S195" i="19"/>
  <c r="R195" i="19"/>
  <c r="U130" i="19"/>
  <c r="Q130" i="19"/>
  <c r="T130" i="19"/>
  <c r="P130" i="19"/>
  <c r="R130" i="19"/>
  <c r="S130" i="19"/>
  <c r="U134" i="19"/>
  <c r="Q134" i="19"/>
  <c r="T134" i="19"/>
  <c r="P134" i="19"/>
  <c r="R134" i="19"/>
  <c r="S134" i="19"/>
  <c r="U138" i="19"/>
  <c r="Q138" i="19"/>
  <c r="T138" i="19"/>
  <c r="P138" i="19"/>
  <c r="S138" i="19"/>
  <c r="R138" i="19"/>
  <c r="S142" i="19"/>
  <c r="U142" i="19"/>
  <c r="Q142" i="19"/>
  <c r="T142" i="19"/>
  <c r="P142" i="19"/>
  <c r="R142" i="19"/>
  <c r="S146" i="19"/>
  <c r="R146" i="19"/>
  <c r="U146" i="19"/>
  <c r="Q146" i="19"/>
  <c r="T146" i="19"/>
  <c r="P146" i="19"/>
  <c r="S150" i="19"/>
  <c r="R150" i="19"/>
  <c r="U150" i="19"/>
  <c r="Q150" i="19"/>
  <c r="T150" i="19"/>
  <c r="P150" i="19"/>
  <c r="S154" i="19"/>
  <c r="R154" i="19"/>
  <c r="U154" i="19"/>
  <c r="Q154" i="19"/>
  <c r="T154" i="19"/>
  <c r="P154" i="19"/>
  <c r="S158" i="19"/>
  <c r="R158" i="19"/>
  <c r="U158" i="19"/>
  <c r="Q158" i="19"/>
  <c r="T158" i="19"/>
  <c r="P158" i="19"/>
  <c r="S162" i="19"/>
  <c r="R162" i="19"/>
  <c r="U162" i="19"/>
  <c r="Q162" i="19"/>
  <c r="T162" i="19"/>
  <c r="P162" i="19"/>
  <c r="S166" i="19"/>
  <c r="R166" i="19"/>
  <c r="U166" i="19"/>
  <c r="Q166" i="19"/>
  <c r="T166" i="19"/>
  <c r="P166" i="19"/>
  <c r="S170" i="19"/>
  <c r="R170" i="19"/>
  <c r="U170" i="19"/>
  <c r="Q170" i="19"/>
  <c r="T170" i="19"/>
  <c r="P170" i="19"/>
  <c r="S174" i="19"/>
  <c r="R174" i="19"/>
  <c r="U174" i="19"/>
  <c r="Q174" i="19"/>
  <c r="T174" i="19"/>
  <c r="P174" i="19"/>
  <c r="S178" i="19"/>
  <c r="R178" i="19"/>
  <c r="U178" i="19"/>
  <c r="Q178" i="19"/>
  <c r="T178" i="19"/>
  <c r="P178" i="19"/>
  <c r="S182" i="19"/>
  <c r="R182" i="19"/>
  <c r="U182" i="19"/>
  <c r="Q182" i="19"/>
  <c r="T182" i="19"/>
  <c r="P182" i="19"/>
  <c r="S186" i="19"/>
  <c r="R186" i="19"/>
  <c r="U186" i="19"/>
  <c r="Q186" i="19"/>
  <c r="T186" i="19"/>
  <c r="P186" i="19"/>
  <c r="S190" i="19"/>
  <c r="R190" i="19"/>
  <c r="U190" i="19"/>
  <c r="Q190" i="19"/>
  <c r="T190" i="19"/>
  <c r="P190" i="19"/>
  <c r="S131" i="19"/>
  <c r="R131" i="19"/>
  <c r="T131" i="19"/>
  <c r="U131" i="19"/>
  <c r="Q131" i="19"/>
  <c r="P131" i="19"/>
  <c r="S135" i="19"/>
  <c r="R135" i="19"/>
  <c r="T135" i="19"/>
  <c r="U135" i="19"/>
  <c r="Q135" i="19"/>
  <c r="P135" i="19"/>
  <c r="S139" i="19"/>
  <c r="R139" i="19"/>
  <c r="P139" i="19"/>
  <c r="U139" i="19"/>
  <c r="Q139" i="19"/>
  <c r="T139" i="19"/>
  <c r="U143" i="19"/>
  <c r="Q143" i="19"/>
  <c r="S143" i="19"/>
  <c r="P143" i="19"/>
  <c r="T143" i="19"/>
  <c r="R143" i="19"/>
  <c r="U147" i="19"/>
  <c r="Q147" i="19"/>
  <c r="T147" i="19"/>
  <c r="P147" i="19"/>
  <c r="S147" i="19"/>
  <c r="R147" i="19"/>
  <c r="U151" i="19"/>
  <c r="Q151" i="19"/>
  <c r="T151" i="19"/>
  <c r="P151" i="19"/>
  <c r="S151" i="19"/>
  <c r="R151" i="19"/>
  <c r="U155" i="19"/>
  <c r="Q155" i="19"/>
  <c r="T155" i="19"/>
  <c r="P155" i="19"/>
  <c r="S155" i="19"/>
  <c r="R155" i="19"/>
  <c r="U159" i="19"/>
  <c r="Q159" i="19"/>
  <c r="T159" i="19"/>
  <c r="P159" i="19"/>
  <c r="S159" i="19"/>
  <c r="R159" i="19"/>
  <c r="U163" i="19"/>
  <c r="Q163" i="19"/>
  <c r="T163" i="19"/>
  <c r="P163" i="19"/>
  <c r="S163" i="19"/>
  <c r="R163" i="19"/>
  <c r="U167" i="19"/>
  <c r="Q167" i="19"/>
  <c r="T167" i="19"/>
  <c r="P167" i="19"/>
  <c r="S167" i="19"/>
  <c r="R167" i="19"/>
  <c r="U171" i="19"/>
  <c r="Q171" i="19"/>
  <c r="T171" i="19"/>
  <c r="P171" i="19"/>
  <c r="S171" i="19"/>
  <c r="R171" i="19"/>
  <c r="U175" i="19"/>
  <c r="Q175" i="19"/>
  <c r="T175" i="19"/>
  <c r="P175" i="19"/>
  <c r="S175" i="19"/>
  <c r="R175" i="19"/>
  <c r="U179" i="19"/>
  <c r="Q179" i="19"/>
  <c r="T179" i="19"/>
  <c r="P179" i="19"/>
  <c r="S179" i="19"/>
  <c r="R179" i="19"/>
  <c r="U183" i="19"/>
  <c r="Q183" i="19"/>
  <c r="T183" i="19"/>
  <c r="P183" i="19"/>
  <c r="S183" i="19"/>
  <c r="R183" i="19"/>
  <c r="U187" i="19"/>
  <c r="Q187" i="19"/>
  <c r="T187" i="19"/>
  <c r="P187" i="19"/>
  <c r="S187" i="19"/>
  <c r="R187" i="19"/>
  <c r="U191" i="19"/>
  <c r="Q191" i="19"/>
  <c r="T191" i="19"/>
  <c r="P191" i="19"/>
  <c r="S191" i="19"/>
  <c r="R191" i="19"/>
  <c r="U193" i="19"/>
  <c r="Q193" i="19"/>
  <c r="T193" i="19"/>
  <c r="P193" i="19"/>
  <c r="S193" i="19"/>
  <c r="R193" i="19"/>
  <c r="U132" i="19"/>
  <c r="Q132" i="19"/>
  <c r="T132" i="19"/>
  <c r="P132" i="19"/>
  <c r="S132" i="19"/>
  <c r="R132" i="19"/>
  <c r="U136" i="19"/>
  <c r="Q136" i="19"/>
  <c r="T136" i="19"/>
  <c r="P136" i="19"/>
  <c r="S136" i="19"/>
  <c r="R136" i="19"/>
  <c r="U140" i="19"/>
  <c r="Q140" i="19"/>
  <c r="T140" i="19"/>
  <c r="P140" i="19"/>
  <c r="R140" i="19"/>
  <c r="S140" i="19"/>
  <c r="S144" i="19"/>
  <c r="U144" i="19"/>
  <c r="Q144" i="19"/>
  <c r="R144" i="19"/>
  <c r="P144" i="19"/>
  <c r="T144" i="19"/>
  <c r="S148" i="19"/>
  <c r="R148" i="19"/>
  <c r="U148" i="19"/>
  <c r="Q148" i="19"/>
  <c r="T148" i="19"/>
  <c r="P148" i="19"/>
  <c r="S152" i="19"/>
  <c r="R152" i="19"/>
  <c r="U152" i="19"/>
  <c r="Q152" i="19"/>
  <c r="P152" i="19"/>
  <c r="T152" i="19"/>
  <c r="S156" i="19"/>
  <c r="R156" i="19"/>
  <c r="U156" i="19"/>
  <c r="Q156" i="19"/>
  <c r="T156" i="19"/>
  <c r="P156" i="19"/>
  <c r="S160" i="19"/>
  <c r="R160" i="19"/>
  <c r="U160" i="19"/>
  <c r="Q160" i="19"/>
  <c r="P160" i="19"/>
  <c r="T160" i="19"/>
  <c r="S164" i="19"/>
  <c r="R164" i="19"/>
  <c r="U164" i="19"/>
  <c r="Q164" i="19"/>
  <c r="T164" i="19"/>
  <c r="P164" i="19"/>
  <c r="S168" i="19"/>
  <c r="R168" i="19"/>
  <c r="U168" i="19"/>
  <c r="Q168" i="19"/>
  <c r="P168" i="19"/>
  <c r="T168" i="19"/>
  <c r="S172" i="19"/>
  <c r="R172" i="19"/>
  <c r="U172" i="19"/>
  <c r="Q172" i="19"/>
  <c r="T172" i="19"/>
  <c r="P172" i="19"/>
  <c r="S176" i="19"/>
  <c r="R176" i="19"/>
  <c r="U176" i="19"/>
  <c r="Q176" i="19"/>
  <c r="P176" i="19"/>
  <c r="T176" i="19"/>
  <c r="S180" i="19"/>
  <c r="R180" i="19"/>
  <c r="U180" i="19"/>
  <c r="Q180" i="19"/>
  <c r="T180" i="19"/>
  <c r="P180" i="19"/>
  <c r="S184" i="19"/>
  <c r="R184" i="19"/>
  <c r="U184" i="19"/>
  <c r="Q184" i="19"/>
  <c r="P184" i="19"/>
  <c r="T184" i="19"/>
  <c r="S188" i="19"/>
  <c r="R188" i="19"/>
  <c r="U188" i="19"/>
  <c r="Q188" i="19"/>
  <c r="T188" i="19"/>
  <c r="P188" i="19"/>
  <c r="S192" i="19"/>
  <c r="R192" i="19"/>
  <c r="U192" i="19"/>
  <c r="Q192" i="19"/>
  <c r="P192" i="19"/>
  <c r="T192" i="19"/>
  <c r="S194" i="19"/>
  <c r="R194" i="19"/>
  <c r="U194" i="19"/>
  <c r="Q194" i="19"/>
  <c r="T194" i="19"/>
  <c r="P194" i="19"/>
  <c r="E42" i="20"/>
  <c r="E40" i="20"/>
  <c r="E41" i="20"/>
  <c r="E39" i="20"/>
  <c r="E38" i="20"/>
  <c r="E12" i="20"/>
  <c r="E8" i="20"/>
  <c r="E9" i="20"/>
  <c r="E7" i="20"/>
  <c r="E5" i="20"/>
  <c r="E6" i="20"/>
  <c r="E4" i="20"/>
  <c r="E3" i="20"/>
  <c r="B30" i="20"/>
  <c r="E23" i="20" s="1"/>
  <c r="B11" i="20"/>
  <c r="R126" i="19"/>
  <c r="P122" i="19"/>
  <c r="T124" i="19"/>
  <c r="U123" i="19"/>
  <c r="U127" i="19"/>
  <c r="P127" i="19"/>
  <c r="S129" i="19"/>
  <c r="S122" i="19"/>
  <c r="P129" i="19"/>
  <c r="S123" i="19"/>
  <c r="Q122" i="19"/>
  <c r="S128" i="19"/>
  <c r="T126" i="19"/>
  <c r="R124" i="19"/>
  <c r="P128" i="19"/>
  <c r="U128" i="19"/>
  <c r="T129" i="19"/>
  <c r="R129" i="19"/>
  <c r="U129" i="19"/>
  <c r="P126" i="19"/>
  <c r="Q127" i="19"/>
  <c r="U122" i="19"/>
  <c r="R125" i="19"/>
  <c r="S125" i="19"/>
  <c r="Q129" i="19"/>
  <c r="R123" i="19"/>
  <c r="T128" i="19"/>
  <c r="T125" i="19"/>
  <c r="S127" i="19"/>
  <c r="T122" i="19"/>
  <c r="P123" i="19"/>
  <c r="R122" i="19"/>
  <c r="U124" i="19"/>
  <c r="T127" i="19"/>
  <c r="P125" i="19"/>
  <c r="Q126" i="19"/>
  <c r="R127" i="19"/>
  <c r="Q124" i="19"/>
  <c r="U125" i="19"/>
  <c r="S126" i="19"/>
  <c r="P124" i="19"/>
  <c r="R128" i="19"/>
  <c r="Q125" i="19"/>
  <c r="Q123" i="19"/>
  <c r="S124" i="19"/>
  <c r="U126" i="19"/>
  <c r="Q128" i="19"/>
  <c r="T123" i="19"/>
  <c r="E17" i="20" l="1"/>
  <c r="G57" i="17"/>
  <c r="G119" i="17"/>
  <c r="G64" i="17"/>
  <c r="G46" i="17"/>
  <c r="G23" i="17"/>
  <c r="G45" i="17"/>
  <c r="G22" i="17"/>
  <c r="G17" i="17"/>
  <c r="G3" i="17"/>
  <c r="G7" i="17"/>
  <c r="G47" i="17"/>
  <c r="G11" i="17"/>
  <c r="G92" i="17"/>
  <c r="G121" i="17"/>
  <c r="G127" i="17"/>
  <c r="G109" i="17"/>
  <c r="G81" i="17"/>
  <c r="G91" i="17"/>
  <c r="G72" i="17"/>
  <c r="G38" i="17"/>
  <c r="G51" i="17"/>
  <c r="G36" i="17"/>
  <c r="G28" i="17"/>
  <c r="G13" i="17"/>
  <c r="G125" i="17"/>
  <c r="G120" i="17"/>
  <c r="G118" i="17"/>
  <c r="G116" i="17"/>
  <c r="G108" i="17"/>
  <c r="G114" i="17"/>
  <c r="G106" i="17"/>
  <c r="G103" i="17"/>
  <c r="G99" i="17"/>
  <c r="G66" i="17"/>
  <c r="G86" i="17"/>
  <c r="G87" i="17"/>
  <c r="G68" i="17"/>
  <c r="G52" i="17"/>
  <c r="G69" i="17"/>
  <c r="G63" i="17"/>
  <c r="G77" i="17"/>
  <c r="G44" i="17"/>
  <c r="G55" i="17"/>
  <c r="G49" i="17"/>
  <c r="G43" i="17"/>
  <c r="G42" i="17"/>
  <c r="G31" i="17"/>
  <c r="G24" i="17"/>
  <c r="G16" i="17"/>
  <c r="G12" i="17"/>
  <c r="G10" i="17"/>
  <c r="G5" i="17"/>
  <c r="G124" i="17"/>
  <c r="G111" i="17"/>
  <c r="G102" i="17"/>
  <c r="G75" i="17"/>
  <c r="G78" i="17"/>
  <c r="G62" i="17"/>
  <c r="G60" i="17"/>
  <c r="G25" i="17"/>
  <c r="G9" i="17"/>
  <c r="G126" i="17"/>
  <c r="G122" i="17"/>
  <c r="G113" i="17"/>
  <c r="G105" i="17"/>
  <c r="G85" i="17"/>
  <c r="G107" i="17"/>
  <c r="G93" i="17"/>
  <c r="G100" i="17"/>
  <c r="G95" i="17"/>
  <c r="G94" i="17"/>
  <c r="G89" i="17"/>
  <c r="G88" i="17"/>
  <c r="G65" i="17"/>
  <c r="G73" i="17"/>
  <c r="G79" i="17"/>
  <c r="G40" i="17"/>
  <c r="G58" i="17"/>
  <c r="G59" i="17"/>
  <c r="G54" i="17"/>
  <c r="G41" i="17"/>
  <c r="G35" i="17"/>
  <c r="G29" i="17"/>
  <c r="G34" i="17"/>
  <c r="G33" i="17"/>
  <c r="G20" i="17"/>
  <c r="G19" i="17"/>
  <c r="G6" i="17"/>
  <c r="G4" i="17"/>
  <c r="G115" i="17"/>
  <c r="G112" i="17"/>
  <c r="G96" i="17"/>
  <c r="G82" i="17"/>
  <c r="G76" i="17"/>
  <c r="G56" i="17"/>
  <c r="G26" i="17"/>
  <c r="G27" i="17"/>
  <c r="G15" i="17"/>
  <c r="G128" i="17"/>
  <c r="G123" i="17"/>
  <c r="G117" i="17"/>
  <c r="G97" i="17"/>
  <c r="G110" i="17"/>
  <c r="G104" i="17"/>
  <c r="G98" i="17"/>
  <c r="G84" i="17"/>
  <c r="G101" i="17"/>
  <c r="G90" i="17"/>
  <c r="G83" i="17"/>
  <c r="G80" i="17"/>
  <c r="G74" i="17"/>
  <c r="G71" i="17"/>
  <c r="G70" i="17"/>
  <c r="G53" i="17"/>
  <c r="G50" i="17"/>
  <c r="G39" i="17"/>
  <c r="G48" i="17"/>
  <c r="G61" i="17"/>
  <c r="G32" i="17"/>
  <c r="G37" i="17"/>
  <c r="G30" i="17"/>
  <c r="G21" i="17"/>
  <c r="G18" i="17"/>
  <c r="G14" i="17"/>
  <c r="G8" i="17"/>
  <c r="Z128" i="19" l="1"/>
  <c r="Z129" i="19"/>
  <c r="Z125" i="19"/>
  <c r="Z127" i="19"/>
  <c r="Z126" i="19"/>
  <c r="Z123" i="19"/>
  <c r="Z124" i="19"/>
  <c r="Z120" i="19"/>
  <c r="Z122" i="19"/>
  <c r="Z5" i="19"/>
  <c r="Z6" i="19"/>
  <c r="Z4" i="19"/>
  <c r="Z12" i="19"/>
  <c r="Z60" i="19"/>
  <c r="Z80" i="19"/>
  <c r="Z76" i="19"/>
  <c r="Z121" i="19"/>
  <c r="Z94" i="19"/>
  <c r="Z10" i="19"/>
  <c r="Z24" i="19"/>
  <c r="Z31" i="19"/>
  <c r="Z9" i="19"/>
  <c r="Z48" i="19"/>
  <c r="Z8" i="19"/>
  <c r="Z11" i="19"/>
  <c r="Z40" i="19"/>
  <c r="Z56" i="19"/>
  <c r="Z72" i="19"/>
  <c r="Z111" i="19"/>
  <c r="Z68" i="19"/>
  <c r="Z15" i="19"/>
  <c r="Z28" i="19"/>
  <c r="Z36" i="19"/>
  <c r="Z7" i="19"/>
  <c r="Z88" i="19"/>
  <c r="Z19" i="19"/>
  <c r="Z71" i="19"/>
  <c r="Z47" i="19"/>
  <c r="Z13" i="19"/>
  <c r="Z14" i="19"/>
  <c r="Z83" i="19"/>
  <c r="Z27" i="19"/>
  <c r="Z103" i="19"/>
  <c r="Z112" i="19"/>
  <c r="Z53" i="19"/>
  <c r="Z63" i="19"/>
  <c r="Z57" i="19"/>
  <c r="Z75" i="19"/>
  <c r="Z54" i="19"/>
  <c r="Z118" i="19"/>
  <c r="Z119" i="19"/>
  <c r="Z61" i="19"/>
  <c r="Z92" i="19"/>
  <c r="Z106" i="19"/>
  <c r="Z16" i="19"/>
  <c r="Z32" i="19"/>
  <c r="Z39" i="19"/>
  <c r="Z44" i="19"/>
  <c r="Z64" i="19"/>
  <c r="Z20" i="19"/>
  <c r="Z84" i="19"/>
  <c r="Z21" i="19"/>
  <c r="Z37" i="19"/>
  <c r="Z69" i="19"/>
  <c r="Z18" i="19"/>
  <c r="Z34" i="19"/>
  <c r="Z66" i="19"/>
  <c r="Z43" i="19"/>
  <c r="Z25" i="19"/>
  <c r="Z41" i="19"/>
  <c r="Z73" i="19"/>
  <c r="Z22" i="19"/>
  <c r="Z38" i="19"/>
  <c r="Z70" i="19"/>
  <c r="Z29" i="19"/>
  <c r="Z45" i="19"/>
  <c r="Z77" i="19"/>
  <c r="Z87" i="19"/>
  <c r="Z26" i="19"/>
  <c r="Z42" i="19"/>
  <c r="Z74" i="19"/>
  <c r="Z23" i="19"/>
  <c r="Z67" i="19"/>
  <c r="Z17" i="19"/>
  <c r="Z33" i="19"/>
  <c r="Z49" i="19"/>
  <c r="Z65" i="19"/>
  <c r="Z98" i="19"/>
  <c r="Z30" i="19"/>
  <c r="Z46" i="19"/>
  <c r="Z78" i="19"/>
  <c r="Z109" i="19"/>
  <c r="Z35" i="19"/>
  <c r="Z99" i="19"/>
  <c r="Z107" i="19"/>
  <c r="Z85" i="19"/>
  <c r="Z100" i="19"/>
  <c r="Z110" i="19"/>
  <c r="Z82" i="19"/>
  <c r="Z97" i="19"/>
  <c r="Z113" i="19"/>
  <c r="Z91" i="19"/>
  <c r="Z95" i="19"/>
  <c r="Z89" i="19"/>
  <c r="Z104" i="19"/>
  <c r="Z86" i="19"/>
  <c r="Z101" i="19"/>
  <c r="Z102" i="19"/>
  <c r="Z115" i="19"/>
  <c r="Z117" i="19"/>
  <c r="Z108" i="19"/>
  <c r="Z90" i="19"/>
  <c r="Z105" i="19"/>
  <c r="Z114" i="19"/>
  <c r="Z116" i="19"/>
  <c r="Z81" i="19"/>
  <c r="Z96" i="19"/>
  <c r="Z93" i="19"/>
  <c r="Z79" i="19"/>
  <c r="Z52" i="19"/>
  <c r="Z50" i="19"/>
  <c r="Z55" i="19"/>
  <c r="Z58" i="19"/>
  <c r="Z59" i="19"/>
  <c r="Z51" i="19"/>
  <c r="Z62" i="19"/>
  <c r="B8" i="20"/>
  <c r="B9" i="20"/>
  <c r="H67" i="17" l="1"/>
  <c r="B10" i="20"/>
  <c r="H13" i="17" s="1"/>
  <c r="H57" i="17" l="1"/>
  <c r="H119" i="17"/>
  <c r="H23" i="17"/>
  <c r="H45" i="17"/>
  <c r="H64" i="17"/>
  <c r="H22" i="17"/>
  <c r="H17" i="17"/>
  <c r="H46" i="17"/>
  <c r="H7" i="17"/>
  <c r="H11" i="17"/>
  <c r="H47" i="17"/>
  <c r="H121" i="17"/>
  <c r="H92" i="17"/>
  <c r="H97" i="17"/>
  <c r="H102" i="17"/>
  <c r="H30" i="17"/>
  <c r="H12" i="17"/>
  <c r="H66" i="17"/>
  <c r="H44" i="17"/>
  <c r="H116" i="17"/>
  <c r="H76" i="17"/>
  <c r="H61" i="17"/>
  <c r="H40" i="17"/>
  <c r="H78" i="17"/>
  <c r="H43" i="17"/>
  <c r="H50" i="17"/>
  <c r="H70" i="17"/>
  <c r="H49" i="17"/>
  <c r="H115" i="17"/>
  <c r="H62" i="17"/>
  <c r="H16" i="17"/>
  <c r="H87" i="17"/>
  <c r="H55" i="17"/>
  <c r="H20" i="17"/>
  <c r="H125" i="17"/>
  <c r="H71" i="17"/>
  <c r="H53" i="17"/>
  <c r="H123" i="17"/>
  <c r="H69" i="17"/>
  <c r="H114" i="17"/>
  <c r="H38" i="17"/>
  <c r="H6" i="17"/>
  <c r="H52" i="17"/>
  <c r="H73" i="17"/>
  <c r="H10" i="17"/>
  <c r="H98" i="17"/>
  <c r="H15" i="17"/>
  <c r="H112" i="17"/>
  <c r="H124" i="17"/>
  <c r="H42" i="17"/>
  <c r="H5" i="17"/>
  <c r="H48" i="17"/>
  <c r="H83" i="17"/>
  <c r="H36" i="17"/>
  <c r="H109" i="17"/>
  <c r="H91" i="17"/>
  <c r="H28" i="17"/>
  <c r="H75" i="17"/>
  <c r="H58" i="17"/>
  <c r="H89" i="17"/>
  <c r="H72" i="17"/>
  <c r="H108" i="17"/>
  <c r="H120" i="17"/>
  <c r="H68" i="17"/>
  <c r="H82" i="17"/>
  <c r="H65" i="17"/>
  <c r="H9" i="17"/>
  <c r="H4" i="17"/>
  <c r="H88" i="17"/>
  <c r="H81" i="17"/>
  <c r="H21" i="17"/>
  <c r="H126" i="17"/>
  <c r="H14" i="17"/>
  <c r="H90" i="17"/>
  <c r="H34" i="17"/>
  <c r="H93" i="17"/>
  <c r="H103" i="17"/>
  <c r="H110" i="17"/>
  <c r="H99" i="17"/>
  <c r="H96" i="17"/>
  <c r="H74" i="17"/>
  <c r="H19" i="17"/>
  <c r="H94" i="17"/>
  <c r="H77" i="17"/>
  <c r="H85" i="17"/>
  <c r="H25" i="17"/>
  <c r="H33" i="17"/>
  <c r="H100" i="17"/>
  <c r="H63" i="17"/>
  <c r="H80" i="17"/>
  <c r="H24" i="17"/>
  <c r="H37" i="17"/>
  <c r="H54" i="17"/>
  <c r="H113" i="17"/>
  <c r="H60" i="17"/>
  <c r="H35" i="17"/>
  <c r="H26" i="17"/>
  <c r="H18" i="17"/>
  <c r="H101" i="17"/>
  <c r="H29" i="17"/>
  <c r="H107" i="17"/>
  <c r="H127" i="17"/>
  <c r="H8" i="17"/>
  <c r="H111" i="17"/>
  <c r="H84" i="17"/>
  <c r="H118" i="17"/>
  <c r="H51" i="17"/>
  <c r="H41" i="17"/>
  <c r="H105" i="17"/>
  <c r="H31" i="17"/>
  <c r="H128" i="17"/>
  <c r="H56" i="17"/>
  <c r="H39" i="17"/>
  <c r="H117" i="17"/>
  <c r="H79" i="17"/>
  <c r="H106" i="17"/>
  <c r="H3" i="17"/>
  <c r="H95" i="17"/>
  <c r="H27" i="17"/>
  <c r="H32" i="17"/>
  <c r="H104" i="17"/>
  <c r="H59" i="17"/>
  <c r="H122" i="17"/>
  <c r="H86" i="17"/>
  <c r="AA128" i="19" l="1"/>
  <c r="AA129" i="19"/>
  <c r="AA127" i="19"/>
  <c r="AA126" i="19"/>
  <c r="AA124" i="19"/>
  <c r="AA125" i="19"/>
  <c r="AA123" i="19"/>
  <c r="AA122" i="19"/>
  <c r="AA121" i="19"/>
  <c r="AA8" i="19"/>
  <c r="AA5" i="19"/>
  <c r="AA6" i="19"/>
  <c r="AA10" i="19"/>
  <c r="AA12" i="19"/>
  <c r="AA57" i="19"/>
  <c r="AA19" i="19"/>
  <c r="AA9" i="19"/>
  <c r="AA13" i="19"/>
  <c r="AA54" i="19"/>
  <c r="AA22" i="19"/>
  <c r="AA107" i="19"/>
  <c r="AA7" i="19"/>
  <c r="AA29" i="19"/>
  <c r="AA11" i="19"/>
  <c r="AA21" i="19"/>
  <c r="AA14" i="19"/>
  <c r="AA120" i="19"/>
  <c r="AA105" i="19"/>
  <c r="AA114" i="19"/>
  <c r="AA16" i="19"/>
  <c r="AA104" i="19"/>
  <c r="AA74" i="19"/>
  <c r="AA37" i="19"/>
  <c r="AA80" i="19"/>
  <c r="AA47" i="19"/>
  <c r="AA119" i="19"/>
  <c r="AA76" i="19"/>
  <c r="AA32" i="19"/>
  <c r="AA98" i="19"/>
  <c r="AA73" i="19"/>
  <c r="AA79" i="19"/>
  <c r="AA43" i="19"/>
  <c r="AA45" i="19"/>
  <c r="AA68" i="19"/>
  <c r="AA35" i="19"/>
  <c r="AA95" i="19"/>
  <c r="AA100" i="19"/>
  <c r="AA41" i="19"/>
  <c r="AA64" i="19"/>
  <c r="AA71" i="19"/>
  <c r="AA115" i="19"/>
  <c r="AA39" i="19"/>
  <c r="AA77" i="19"/>
  <c r="AA25" i="19"/>
  <c r="AA49" i="19"/>
  <c r="AA15" i="19"/>
  <c r="AA26" i="19"/>
  <c r="AA44" i="19"/>
  <c r="AA84" i="19"/>
  <c r="AA31" i="19"/>
  <c r="AA90" i="19"/>
  <c r="AA28" i="19"/>
  <c r="AA89" i="19"/>
  <c r="AA112" i="19"/>
  <c r="AA66" i="19"/>
  <c r="AA27" i="19"/>
  <c r="AA65" i="19"/>
  <c r="AA75" i="19"/>
  <c r="AA30" i="19"/>
  <c r="AA17" i="19"/>
  <c r="AA48" i="19"/>
  <c r="AA36" i="19"/>
  <c r="AA92" i="19"/>
  <c r="AA69" i="19"/>
  <c r="AA67" i="19"/>
  <c r="AA23" i="19"/>
  <c r="AA72" i="19"/>
  <c r="AA42" i="19"/>
  <c r="AA34" i="19"/>
  <c r="AA33" i="19"/>
  <c r="AA40" i="19"/>
  <c r="AA94" i="19"/>
  <c r="AA70" i="19"/>
  <c r="AA38" i="19"/>
  <c r="AA63" i="19"/>
  <c r="AA24" i="19"/>
  <c r="AA20" i="19"/>
  <c r="AA109" i="19"/>
  <c r="AA102" i="19"/>
  <c r="AA18" i="19"/>
  <c r="AA46" i="19"/>
  <c r="AA118" i="19"/>
  <c r="AA88" i="19"/>
  <c r="AA78" i="19"/>
  <c r="AA81" i="19"/>
  <c r="AA83" i="19"/>
  <c r="AA85" i="19"/>
  <c r="AA108" i="19"/>
  <c r="AA82" i="19"/>
  <c r="AA113" i="19"/>
  <c r="AA87" i="19"/>
  <c r="AA99" i="19"/>
  <c r="AA91" i="19"/>
  <c r="AA97" i="19"/>
  <c r="AA111" i="19"/>
  <c r="AA103" i="19"/>
  <c r="AA96" i="19"/>
  <c r="AA86" i="19"/>
  <c r="AA110" i="19"/>
  <c r="AA106" i="19"/>
  <c r="AA117" i="19"/>
  <c r="AA93" i="19"/>
  <c r="AA101" i="19"/>
  <c r="AA116" i="19"/>
  <c r="AA50" i="19"/>
  <c r="AA58" i="19"/>
  <c r="AA51" i="19"/>
  <c r="AA55" i="19"/>
  <c r="AA52" i="19"/>
  <c r="AA59" i="19"/>
  <c r="AA61" i="19"/>
  <c r="AA60" i="19"/>
  <c r="AA62" i="19"/>
  <c r="AA56" i="19"/>
  <c r="AA53" i="19"/>
  <c r="AA4" i="19"/>
  <c r="E34" i="20"/>
  <c r="E30" i="20"/>
  <c r="E26" i="20"/>
  <c r="E35" i="20"/>
  <c r="E33" i="20"/>
  <c r="E29" i="20"/>
  <c r="B14" i="20"/>
  <c r="E32" i="20"/>
  <c r="E28" i="20"/>
  <c r="E31" i="20"/>
  <c r="E27" i="20"/>
  <c r="B25" i="20"/>
  <c r="B19" i="20"/>
  <c r="B22" i="20"/>
  <c r="B18" i="20"/>
  <c r="B21" i="20"/>
  <c r="B17" i="20"/>
  <c r="B20" i="20"/>
  <c r="B23" i="20" l="1"/>
  <c r="B24" i="20"/>
  <c r="U93" i="19"/>
  <c r="R84" i="19"/>
  <c r="Q25" i="19"/>
  <c r="P44" i="19"/>
  <c r="Q101" i="19"/>
  <c r="Q76" i="19"/>
  <c r="T48" i="19"/>
  <c r="R27" i="19"/>
  <c r="Q102" i="19"/>
  <c r="T92" i="19"/>
  <c r="R120" i="19"/>
  <c r="S23" i="19"/>
  <c r="Q5" i="19"/>
  <c r="T38" i="19"/>
  <c r="P35" i="19"/>
  <c r="T107" i="19"/>
  <c r="Q90" i="19"/>
  <c r="T60" i="19"/>
  <c r="P31" i="19"/>
  <c r="T85" i="19"/>
  <c r="T79" i="19"/>
  <c r="P46" i="19"/>
  <c r="T14" i="19"/>
  <c r="S113" i="19"/>
  <c r="R97" i="19"/>
  <c r="P97" i="19"/>
  <c r="R8" i="19"/>
  <c r="R98" i="19"/>
  <c r="U109" i="19"/>
  <c r="R106" i="19"/>
  <c r="S58" i="19"/>
  <c r="S90" i="19"/>
  <c r="R62" i="19"/>
  <c r="S66" i="19"/>
  <c r="S80" i="19"/>
  <c r="R55" i="19"/>
  <c r="R65" i="19"/>
  <c r="P4" i="19"/>
  <c r="R31" i="19"/>
  <c r="R17" i="19"/>
  <c r="Q56" i="19"/>
  <c r="T61" i="19"/>
  <c r="R77" i="19"/>
  <c r="R45" i="19"/>
  <c r="S70" i="19"/>
  <c r="R15" i="19"/>
  <c r="U120" i="19"/>
  <c r="P104" i="19"/>
  <c r="T95" i="19"/>
  <c r="T81" i="19"/>
  <c r="U98" i="19"/>
  <c r="P55" i="19"/>
  <c r="T7" i="19"/>
  <c r="U88" i="19"/>
  <c r="T74" i="19"/>
  <c r="U30" i="19"/>
  <c r="S81" i="19"/>
  <c r="Q38" i="19"/>
  <c r="S68" i="19"/>
  <c r="Q96" i="19"/>
  <c r="R69" i="19"/>
  <c r="S64" i="19"/>
  <c r="T12" i="19"/>
  <c r="R26" i="19"/>
  <c r="Q50" i="19"/>
  <c r="S110" i="19"/>
  <c r="T49" i="19"/>
  <c r="T40" i="19"/>
  <c r="U111" i="19"/>
  <c r="R38" i="19"/>
  <c r="T113" i="19"/>
  <c r="P6" i="19"/>
  <c r="P10" i="19"/>
  <c r="Q45" i="19"/>
  <c r="U18" i="19"/>
  <c r="S20" i="19"/>
  <c r="Q104" i="19"/>
  <c r="S19" i="19"/>
  <c r="P69" i="19"/>
  <c r="S87" i="19"/>
  <c r="P11" i="19"/>
  <c r="S98" i="19"/>
  <c r="T66" i="19"/>
  <c r="U10" i="19"/>
  <c r="S16" i="19"/>
  <c r="P32" i="19"/>
  <c r="P62" i="19"/>
  <c r="R109" i="19"/>
  <c r="U84" i="19"/>
  <c r="U36" i="19"/>
  <c r="P17" i="19"/>
  <c r="R44" i="19"/>
  <c r="S31" i="19"/>
  <c r="U96" i="19"/>
  <c r="Q8" i="19"/>
  <c r="P82" i="19"/>
  <c r="S26" i="19"/>
  <c r="T32" i="19"/>
  <c r="S36" i="19"/>
  <c r="Q35" i="19"/>
  <c r="Q97" i="19"/>
  <c r="Q51" i="19"/>
  <c r="Q117" i="19"/>
  <c r="P91" i="19"/>
  <c r="U116" i="19"/>
  <c r="T36" i="19"/>
  <c r="U29" i="19"/>
  <c r="T120" i="19"/>
  <c r="T104" i="19"/>
  <c r="T71" i="19"/>
  <c r="T68" i="19"/>
  <c r="Q119" i="19"/>
  <c r="R57" i="19"/>
  <c r="P30" i="19"/>
  <c r="P101" i="19"/>
  <c r="S76" i="19"/>
  <c r="S47" i="19"/>
  <c r="P15" i="19"/>
  <c r="Q105" i="19"/>
  <c r="Q99" i="19"/>
  <c r="T46" i="19"/>
  <c r="R18" i="19"/>
  <c r="U60" i="19"/>
  <c r="Q118" i="19"/>
  <c r="R95" i="19"/>
  <c r="T70" i="19"/>
  <c r="P51" i="19"/>
  <c r="P85" i="19"/>
  <c r="S39" i="19"/>
  <c r="P19" i="19"/>
  <c r="P92" i="19"/>
  <c r="P75" i="19"/>
  <c r="T111" i="19"/>
  <c r="U16" i="19"/>
  <c r="T109" i="19"/>
  <c r="T75" i="19"/>
  <c r="R11" i="19"/>
  <c r="U54" i="19"/>
  <c r="U85" i="19"/>
  <c r="P24" i="19"/>
  <c r="R4" i="19"/>
  <c r="P73" i="19"/>
  <c r="P21" i="19"/>
  <c r="R24" i="19"/>
  <c r="P7" i="19"/>
  <c r="R92" i="19"/>
  <c r="P78" i="19"/>
  <c r="R70" i="19"/>
  <c r="Q64" i="19"/>
  <c r="T97" i="19"/>
  <c r="R105" i="19"/>
  <c r="U28" i="19"/>
  <c r="U31" i="19"/>
  <c r="Q60" i="19"/>
  <c r="T93" i="19"/>
  <c r="R48" i="19"/>
  <c r="P57" i="19"/>
  <c r="S49" i="19"/>
  <c r="P94" i="19"/>
  <c r="T119" i="19"/>
  <c r="R68" i="19"/>
  <c r="U38" i="19"/>
  <c r="S120" i="19"/>
  <c r="P29" i="19"/>
  <c r="S72" i="19"/>
  <c r="S84" i="19"/>
  <c r="T17" i="19"/>
  <c r="Q81" i="19"/>
  <c r="T58" i="19"/>
  <c r="T50" i="19"/>
  <c r="U121" i="19"/>
  <c r="Q34" i="19"/>
  <c r="R59" i="19"/>
  <c r="R89" i="19"/>
  <c r="R35" i="19"/>
  <c r="R90" i="19"/>
  <c r="U13" i="19"/>
  <c r="R41" i="19"/>
  <c r="P102" i="19"/>
  <c r="R111" i="19"/>
  <c r="P89" i="19"/>
  <c r="R72" i="19"/>
  <c r="T9" i="19"/>
  <c r="T57" i="19"/>
  <c r="U52" i="19"/>
  <c r="P49" i="19"/>
  <c r="T82" i="19"/>
  <c r="U56" i="19"/>
  <c r="Q66" i="19"/>
  <c r="R7" i="19"/>
  <c r="T22" i="19"/>
  <c r="Q78" i="19"/>
  <c r="U12" i="19"/>
  <c r="U110" i="19"/>
  <c r="R50" i="19"/>
  <c r="Q93" i="19"/>
  <c r="P86" i="19"/>
  <c r="U79" i="19"/>
  <c r="R33" i="19"/>
  <c r="U69" i="19"/>
  <c r="P12" i="19"/>
  <c r="U104" i="19"/>
  <c r="R9" i="19"/>
  <c r="U72" i="19"/>
  <c r="P18" i="19"/>
  <c r="T76" i="19"/>
  <c r="S59" i="19"/>
  <c r="S109" i="19"/>
  <c r="T73" i="19"/>
  <c r="P113" i="19"/>
  <c r="U59" i="19"/>
  <c r="S94" i="19"/>
  <c r="U71" i="19"/>
  <c r="Q58" i="19"/>
  <c r="S82" i="19"/>
  <c r="T4" i="19"/>
  <c r="S10" i="19"/>
  <c r="T16" i="19"/>
  <c r="U119" i="19"/>
  <c r="P58" i="19"/>
  <c r="U26" i="19"/>
  <c r="Q68" i="19"/>
  <c r="S111" i="19"/>
  <c r="U57" i="19"/>
  <c r="Q4" i="19"/>
  <c r="T77" i="19"/>
  <c r="T121" i="19"/>
  <c r="P27" i="19"/>
  <c r="S52" i="19"/>
  <c r="T101" i="19"/>
  <c r="T24" i="19"/>
  <c r="Q13" i="19"/>
  <c r="P45" i="19"/>
  <c r="S115" i="19"/>
  <c r="R58" i="19"/>
  <c r="T41" i="19"/>
  <c r="S99" i="19"/>
  <c r="P50" i="19"/>
  <c r="R39" i="19"/>
  <c r="S65" i="19"/>
  <c r="P103" i="19"/>
  <c r="S9" i="19"/>
  <c r="P79" i="19"/>
  <c r="R20" i="19"/>
  <c r="P90" i="19"/>
  <c r="U87" i="19"/>
  <c r="S8" i="19"/>
  <c r="U35" i="19"/>
  <c r="S44" i="19"/>
  <c r="R66" i="19"/>
  <c r="U65" i="19"/>
  <c r="T78" i="19"/>
  <c r="R79" i="19"/>
  <c r="R64" i="19"/>
  <c r="T8" i="19"/>
  <c r="Q73" i="19"/>
  <c r="S118" i="19"/>
  <c r="S43" i="19"/>
  <c r="U83" i="19"/>
  <c r="Q108" i="19"/>
  <c r="S77" i="19"/>
  <c r="Q24" i="19"/>
  <c r="Q116" i="19"/>
  <c r="U112" i="19"/>
  <c r="R83" i="19"/>
  <c r="S38" i="19"/>
  <c r="U102" i="19"/>
  <c r="R6" i="19"/>
  <c r="R74" i="19"/>
  <c r="P71" i="19"/>
  <c r="P87" i="19"/>
  <c r="U40" i="19"/>
  <c r="P118" i="19"/>
  <c r="Q98" i="19"/>
  <c r="U50" i="19"/>
  <c r="S97" i="19"/>
  <c r="R110" i="19"/>
  <c r="R63" i="19"/>
  <c r="T54" i="19"/>
  <c r="S12" i="19"/>
  <c r="R102" i="19"/>
  <c r="P84" i="19"/>
  <c r="R116" i="19"/>
  <c r="T72" i="19"/>
  <c r="T20" i="19"/>
  <c r="R52" i="19"/>
  <c r="Q100" i="19"/>
  <c r="Q92" i="19"/>
  <c r="Q47" i="19"/>
  <c r="T84" i="19"/>
  <c r="Q7" i="19"/>
  <c r="R53" i="19"/>
  <c r="T10" i="19"/>
  <c r="R80" i="19"/>
  <c r="P99" i="19"/>
  <c r="S54" i="19"/>
  <c r="R78" i="19"/>
  <c r="R85" i="19"/>
  <c r="P63" i="19"/>
  <c r="P59" i="19"/>
  <c r="Q65" i="19"/>
  <c r="R104" i="19"/>
  <c r="Q42" i="19"/>
  <c r="S50" i="19"/>
  <c r="P65" i="19"/>
  <c r="U67" i="19"/>
  <c r="Q89" i="19"/>
  <c r="T29" i="19"/>
  <c r="U108" i="19"/>
  <c r="Q49" i="19"/>
  <c r="R115" i="19"/>
  <c r="P114" i="19"/>
  <c r="U62" i="19"/>
  <c r="Q16" i="19"/>
  <c r="T11" i="19"/>
  <c r="U95" i="19"/>
  <c r="R121" i="19"/>
  <c r="U115" i="19"/>
  <c r="T80" i="19"/>
  <c r="T56" i="19"/>
  <c r="Q109" i="19"/>
  <c r="S85" i="19"/>
  <c r="Q63" i="19"/>
  <c r="Q57" i="19"/>
  <c r="R36" i="19"/>
  <c r="Q54" i="19"/>
  <c r="S101" i="19"/>
  <c r="R19" i="19"/>
  <c r="S108" i="19"/>
  <c r="Q91" i="19"/>
  <c r="T51" i="19"/>
  <c r="P67" i="19"/>
  <c r="U25" i="19"/>
  <c r="P25" i="19"/>
  <c r="U37" i="19"/>
  <c r="P42" i="19"/>
  <c r="S30" i="19"/>
  <c r="T88" i="19"/>
  <c r="T117" i="19"/>
  <c r="R30" i="19"/>
  <c r="R71" i="19"/>
  <c r="U55" i="19"/>
  <c r="S28" i="19"/>
  <c r="R113" i="19"/>
  <c r="Q6" i="19"/>
  <c r="Q106" i="19"/>
  <c r="Q86" i="19"/>
  <c r="R99" i="19"/>
  <c r="S79" i="19"/>
  <c r="R91" i="19"/>
  <c r="U70" i="19"/>
  <c r="U11" i="19"/>
  <c r="U100" i="19"/>
  <c r="S74" i="19"/>
  <c r="T6" i="19"/>
  <c r="Q103" i="19"/>
  <c r="R40" i="19"/>
  <c r="T65" i="19"/>
  <c r="T94" i="19"/>
  <c r="T53" i="19"/>
  <c r="S7" i="19"/>
  <c r="Q107" i="19"/>
  <c r="U42" i="19"/>
  <c r="Q52" i="19"/>
  <c r="P33" i="19"/>
  <c r="R86" i="19"/>
  <c r="T33" i="19"/>
  <c r="U64" i="19"/>
  <c r="Q74" i="19"/>
  <c r="Q53" i="19"/>
  <c r="R22" i="19"/>
  <c r="S13" i="19"/>
  <c r="Q28" i="19"/>
  <c r="T103" i="19"/>
  <c r="P108" i="19"/>
  <c r="U58" i="19"/>
  <c r="P37" i="19"/>
  <c r="U47" i="19"/>
  <c r="T31" i="19"/>
  <c r="U61" i="19"/>
  <c r="Q48" i="19"/>
  <c r="P111" i="19"/>
  <c r="P39" i="19"/>
  <c r="S104" i="19"/>
  <c r="R14" i="19"/>
  <c r="P8" i="19"/>
  <c r="R87" i="19"/>
  <c r="Q26" i="19"/>
  <c r="S100" i="19"/>
  <c r="U107" i="19"/>
  <c r="T90" i="19"/>
  <c r="S45" i="19"/>
  <c r="T45" i="19"/>
  <c r="S21" i="19"/>
  <c r="S96" i="19"/>
  <c r="R100" i="19"/>
  <c r="Q23" i="19"/>
  <c r="S32" i="19"/>
  <c r="T47" i="19"/>
  <c r="Q41" i="19"/>
  <c r="R67" i="19"/>
  <c r="U4" i="19"/>
  <c r="R60" i="19"/>
  <c r="S24" i="19"/>
  <c r="T67" i="19"/>
  <c r="U103" i="19"/>
  <c r="Q115" i="19"/>
  <c r="P20" i="19"/>
  <c r="P70" i="19"/>
  <c r="P88" i="19"/>
  <c r="U7" i="19"/>
  <c r="P23" i="19"/>
  <c r="U91" i="19"/>
  <c r="R46" i="19"/>
  <c r="P74" i="19"/>
  <c r="Q72" i="19"/>
  <c r="P93" i="19"/>
  <c r="Q85" i="19"/>
  <c r="P121" i="19"/>
  <c r="S88" i="19"/>
  <c r="Q94" i="19"/>
  <c r="Q88" i="19"/>
  <c r="R114" i="19"/>
  <c r="S60" i="19"/>
  <c r="S53" i="19"/>
  <c r="S18" i="19"/>
  <c r="P48" i="19"/>
  <c r="P117" i="19"/>
  <c r="S67" i="19"/>
  <c r="S119" i="19"/>
  <c r="U32" i="19"/>
  <c r="S105" i="19"/>
  <c r="U22" i="19"/>
  <c r="P83" i="19"/>
  <c r="U46" i="19"/>
  <c r="T63" i="19"/>
  <c r="P95" i="19"/>
  <c r="U51" i="19"/>
  <c r="T28" i="19"/>
  <c r="T98" i="19"/>
  <c r="R75" i="19"/>
  <c r="U24" i="19"/>
  <c r="P13" i="19"/>
  <c r="Q61" i="19"/>
  <c r="U20" i="19"/>
  <c r="S11" i="19"/>
  <c r="S89" i="19"/>
  <c r="T5" i="19"/>
  <c r="T52" i="19"/>
  <c r="R93" i="19"/>
  <c r="P110" i="19"/>
  <c r="Q12" i="19"/>
  <c r="P16" i="19"/>
  <c r="T34" i="19"/>
  <c r="U27" i="19"/>
  <c r="R28" i="19"/>
  <c r="R81" i="19"/>
  <c r="R94" i="19"/>
  <c r="U74" i="19"/>
  <c r="R61" i="19"/>
  <c r="Q59" i="19"/>
  <c r="T110" i="19"/>
  <c r="U17" i="19"/>
  <c r="U97" i="19"/>
  <c r="R54" i="19"/>
  <c r="S73" i="19"/>
  <c r="S121" i="19"/>
  <c r="U75" i="19"/>
  <c r="S114" i="19"/>
  <c r="S51" i="19"/>
  <c r="U66" i="19"/>
  <c r="R117" i="19"/>
  <c r="R21" i="19"/>
  <c r="S117" i="19"/>
  <c r="U48" i="19"/>
  <c r="Q29" i="19"/>
  <c r="S91" i="19"/>
  <c r="P80" i="19"/>
  <c r="U43" i="19"/>
  <c r="R23" i="19"/>
  <c r="U15" i="19"/>
  <c r="P28" i="19"/>
  <c r="R101" i="19"/>
  <c r="P76" i="19"/>
  <c r="T43" i="19"/>
  <c r="T23" i="19"/>
  <c r="U45" i="19"/>
  <c r="T118" i="19"/>
  <c r="T108" i="19"/>
  <c r="R5" i="19"/>
  <c r="U80" i="19"/>
  <c r="Q111" i="19"/>
  <c r="U118" i="19"/>
  <c r="U23" i="19"/>
  <c r="Q22" i="19"/>
  <c r="P43" i="19"/>
  <c r="S71" i="19"/>
  <c r="S57" i="19"/>
  <c r="Q14" i="19"/>
  <c r="P109" i="19"/>
  <c r="P40" i="19"/>
  <c r="R13" i="19"/>
  <c r="P26" i="19"/>
  <c r="P22" i="19"/>
  <c r="T116" i="19"/>
  <c r="T105" i="19"/>
  <c r="Q113" i="19"/>
  <c r="Q114" i="19"/>
  <c r="Q27" i="19"/>
  <c r="S102" i="19"/>
  <c r="T55" i="19"/>
  <c r="R96" i="19"/>
  <c r="S40" i="19"/>
  <c r="T30" i="19"/>
  <c r="U6" i="19"/>
  <c r="R82" i="19"/>
  <c r="S22" i="19"/>
  <c r="S107" i="19"/>
  <c r="P68" i="19"/>
  <c r="U113" i="19"/>
  <c r="Q17" i="19"/>
  <c r="Q11" i="19"/>
  <c r="S75" i="19"/>
  <c r="Q40" i="19"/>
  <c r="S56" i="19"/>
  <c r="S69" i="19"/>
  <c r="T18" i="19"/>
  <c r="Q46" i="19"/>
  <c r="Q9" i="19"/>
  <c r="P100" i="19"/>
  <c r="Q120" i="19"/>
  <c r="T96" i="19"/>
  <c r="S33" i="19"/>
  <c r="U39" i="19"/>
  <c r="U33" i="19"/>
  <c r="T59" i="19"/>
  <c r="U78" i="19"/>
  <c r="S25" i="19"/>
  <c r="T15" i="19"/>
  <c r="S41" i="19"/>
  <c r="T83" i="19"/>
  <c r="T89" i="19"/>
  <c r="R25" i="19"/>
  <c r="U106" i="19"/>
  <c r="P36" i="19"/>
  <c r="S103" i="19"/>
  <c r="R42" i="19"/>
  <c r="S93" i="19"/>
  <c r="Q82" i="19"/>
  <c r="Q70" i="19"/>
  <c r="R32" i="19"/>
  <c r="U114" i="19"/>
  <c r="U86" i="19"/>
  <c r="U77" i="19"/>
  <c r="Q67" i="19"/>
  <c r="T39" i="19"/>
  <c r="Q15" i="19"/>
  <c r="U117" i="19"/>
  <c r="R34" i="19"/>
  <c r="Q75" i="19"/>
  <c r="T87" i="19"/>
  <c r="R73" i="19"/>
  <c r="Q33" i="19"/>
  <c r="R37" i="19"/>
  <c r="Q110" i="19"/>
  <c r="S5" i="19"/>
  <c r="P66" i="19"/>
  <c r="T86" i="19"/>
  <c r="R10" i="19"/>
  <c r="U82" i="19"/>
  <c r="P53" i="19"/>
  <c r="Q19" i="19"/>
  <c r="S83" i="19"/>
  <c r="P54" i="19"/>
  <c r="U34" i="19"/>
  <c r="P98" i="19"/>
  <c r="S62" i="19"/>
  <c r="Q43" i="19"/>
  <c r="T42" i="19"/>
  <c r="Q20" i="19"/>
  <c r="U76" i="19"/>
  <c r="P106" i="19"/>
  <c r="U99" i="19"/>
  <c r="T27" i="19"/>
  <c r="U101" i="19"/>
  <c r="R108" i="19"/>
  <c r="S106" i="19"/>
  <c r="P38" i="19"/>
  <c r="Q112" i="19"/>
  <c r="T44" i="19"/>
  <c r="S78" i="19"/>
  <c r="P112" i="19"/>
  <c r="U19" i="19"/>
  <c r="S46" i="19"/>
  <c r="P115" i="19"/>
  <c r="U94" i="19"/>
  <c r="S34" i="19"/>
  <c r="Q83" i="19"/>
  <c r="S42" i="19"/>
  <c r="U89" i="19"/>
  <c r="T115" i="19"/>
  <c r="S55" i="19"/>
  <c r="S17" i="19"/>
  <c r="P72" i="19"/>
  <c r="R43" i="19"/>
  <c r="P105" i="19"/>
  <c r="T13" i="19"/>
  <c r="T106" i="19"/>
  <c r="T35" i="19"/>
  <c r="U8" i="19"/>
  <c r="P47" i="19"/>
  <c r="S92" i="19"/>
  <c r="T99" i="19"/>
  <c r="S29" i="19"/>
  <c r="R51" i="19"/>
  <c r="Q71" i="19"/>
  <c r="U92" i="19"/>
  <c r="S37" i="19"/>
  <c r="Q18" i="19"/>
  <c r="Q79" i="19"/>
  <c r="P116" i="19"/>
  <c r="S35" i="19"/>
  <c r="S63" i="19"/>
  <c r="T62" i="19"/>
  <c r="U5" i="19"/>
  <c r="T69" i="19"/>
  <c r="Q77" i="19"/>
  <c r="Q84" i="19"/>
  <c r="U81" i="19"/>
  <c r="R16" i="19"/>
  <c r="P60" i="19"/>
  <c r="Q121" i="19"/>
  <c r="R29" i="19"/>
  <c r="U44" i="19"/>
  <c r="R12" i="19"/>
  <c r="Q36" i="19"/>
  <c r="R56" i="19"/>
  <c r="U53" i="19"/>
  <c r="T21" i="19"/>
  <c r="P56" i="19"/>
  <c r="Q37" i="19"/>
  <c r="Q87" i="19"/>
  <c r="T114" i="19"/>
  <c r="Q31" i="19"/>
  <c r="S116" i="19"/>
  <c r="P34" i="19"/>
  <c r="Q62" i="19"/>
  <c r="R103" i="19"/>
  <c r="P96" i="19"/>
  <c r="Q44" i="19"/>
  <c r="R76" i="19"/>
  <c r="U9" i="19"/>
  <c r="R47" i="19"/>
  <c r="U14" i="19"/>
  <c r="P120" i="19"/>
  <c r="Q55" i="19"/>
  <c r="T26" i="19"/>
  <c r="T25" i="19"/>
  <c r="T100" i="19"/>
  <c r="S27" i="19"/>
  <c r="U41" i="19"/>
  <c r="U49" i="19"/>
  <c r="Q95" i="19"/>
  <c r="P41" i="19"/>
  <c r="U90" i="19"/>
  <c r="U105" i="19"/>
  <c r="P9" i="19"/>
  <c r="S95" i="19"/>
  <c r="Q30" i="19"/>
  <c r="P81" i="19"/>
  <c r="Q10" i="19"/>
  <c r="Q80" i="19"/>
  <c r="R112" i="19"/>
  <c r="Q21" i="19"/>
  <c r="R49" i="19"/>
  <c r="Q39" i="19"/>
  <c r="S61" i="19"/>
  <c r="T91" i="19"/>
  <c r="S6" i="19"/>
  <c r="P64" i="19"/>
  <c r="R107" i="19"/>
  <c r="U73" i="19"/>
  <c r="P5" i="19"/>
  <c r="S14" i="19"/>
  <c r="Q32" i="19"/>
  <c r="T64" i="19"/>
  <c r="P14" i="19"/>
  <c r="U68" i="19"/>
  <c r="S15" i="19"/>
  <c r="S86" i="19"/>
  <c r="T37" i="19"/>
  <c r="U21" i="19"/>
  <c r="T112" i="19"/>
  <c r="S48" i="19"/>
  <c r="P52" i="19"/>
  <c r="Q69" i="19"/>
  <c r="P61" i="19"/>
  <c r="S4" i="19"/>
  <c r="P77" i="19"/>
  <c r="P107" i="19"/>
  <c r="R119" i="19"/>
  <c r="P119" i="19"/>
  <c r="T102" i="19"/>
  <c r="S112" i="19"/>
  <c r="T19" i="19"/>
  <c r="R88" i="19"/>
  <c r="R118" i="19"/>
  <c r="U63" i="19"/>
  <c r="B26" i="20" l="1"/>
  <c r="B27" i="20" s="1"/>
  <c r="B28" i="20" s="1"/>
  <c r="B29" i="20" s="1"/>
</calcChain>
</file>

<file path=xl/sharedStrings.xml><?xml version="1.0" encoding="utf-8"?>
<sst xmlns="http://schemas.openxmlformats.org/spreadsheetml/2006/main" count="2047" uniqueCount="686">
  <si>
    <t>In progress</t>
  </si>
  <si>
    <t>To watch</t>
  </si>
  <si>
    <t>Finished</t>
  </si>
  <si>
    <t>Anime Name</t>
  </si>
  <si>
    <t>Status</t>
  </si>
  <si>
    <t>Plot</t>
  </si>
  <si>
    <t>Char.</t>
  </si>
  <si>
    <t>Moe</t>
  </si>
  <si>
    <t>Pref</t>
  </si>
  <si>
    <t>Raw</t>
  </si>
  <si>
    <t>Total</t>
  </si>
  <si>
    <t>Notes</t>
  </si>
  <si>
    <t>Haiyore! Nyaruko-san W</t>
  </si>
  <si>
    <t>DL</t>
  </si>
  <si>
    <t>Shana &gt; Everyone else</t>
  </si>
  <si>
    <t>Category</t>
  </si>
  <si>
    <t>Weight</t>
  </si>
  <si>
    <t>Red Data Girl</t>
  </si>
  <si>
    <t>Honey and Clover</t>
  </si>
  <si>
    <t>Cyclops Shoujo Saipu</t>
  </si>
  <si>
    <t>Kaiba</t>
  </si>
  <si>
    <t>So many feels</t>
  </si>
  <si>
    <t>Hataraku Maou-sama</t>
  </si>
  <si>
    <t>Nodame Cantabile</t>
  </si>
  <si>
    <t>Yahari Ore no Seishun Rom Com wa Machigatteiru</t>
  </si>
  <si>
    <t>Ore no Kanojo to Osananajimi ga Shuraba Sugiru</t>
  </si>
  <si>
    <t>Spice and Wolf</t>
  </si>
  <si>
    <t>The Tatami Galaxy</t>
  </si>
  <si>
    <t>Angel Beats!</t>
  </si>
  <si>
    <t>Not enough angel, not enough beats</t>
  </si>
  <si>
    <t>Max Standard</t>
  </si>
  <si>
    <t>The World God Only Knows</t>
  </si>
  <si>
    <t>Spice and Wolf II</t>
  </si>
  <si>
    <t>Min Standard</t>
  </si>
  <si>
    <t>Toshokan Sensou</t>
  </si>
  <si>
    <t>Range</t>
  </si>
  <si>
    <t>Yosuga no Sora</t>
  </si>
  <si>
    <t>Total Weighting</t>
  </si>
  <si>
    <t>Air</t>
  </si>
  <si>
    <t>NA</t>
  </si>
  <si>
    <t>Kokoro Connect</t>
  </si>
  <si>
    <t>Denpa Onna to Seishun Otoko</t>
  </si>
  <si>
    <t>Inferno Cop</t>
  </si>
  <si>
    <t>Scaled?</t>
  </si>
  <si>
    <t>Girls und Panzer</t>
  </si>
  <si>
    <t>Maoyuu Maou Yuusha</t>
  </si>
  <si>
    <t>Average Rating</t>
  </si>
  <si>
    <t>Hidamari Sketch</t>
  </si>
  <si>
    <t>Bakemonogatari</t>
  </si>
  <si>
    <t>Worth watching just for the OPs</t>
  </si>
  <si>
    <t>K</t>
  </si>
  <si>
    <t>8.00 ≥ r &gt; 9.00</t>
  </si>
  <si>
    <t>Kanon</t>
  </si>
  <si>
    <t>Deserves more than what it gets called online</t>
  </si>
  <si>
    <t>7.00 ≥ r &gt; 8.00</t>
  </si>
  <si>
    <t>Dropped</t>
  </si>
  <si>
    <t>6.00 ≥ r &gt; 7.00</t>
  </si>
  <si>
    <t>Reason</t>
  </si>
  <si>
    <t>Mushishi</t>
  </si>
  <si>
    <t>Puella Magi Madoka Magica</t>
  </si>
  <si>
    <t>5.00 ≥ r &gt; 6.00</t>
  </si>
  <si>
    <t>One Piece</t>
  </si>
  <si>
    <t>4.00 ≥ r &gt; 5.00</t>
  </si>
  <si>
    <t>Naruto Shippuden</t>
  </si>
  <si>
    <t>Puchimas: Petit iDOLM@STER</t>
  </si>
  <si>
    <t>A lot better than I thought it was going to be</t>
  </si>
  <si>
    <t>3.00 ≥ r &gt; 4.00</t>
  </si>
  <si>
    <t>Death Note</t>
  </si>
  <si>
    <t>Chuunibyou demo Koi ga Shitai!</t>
  </si>
  <si>
    <t>2.00 ≥ r &gt; 3.00</t>
  </si>
  <si>
    <t>Fairy Tail</t>
  </si>
  <si>
    <t>Seikon no Qwaser</t>
  </si>
  <si>
    <t>Boku wa Tomodachi ga Sukunai</t>
  </si>
  <si>
    <t>1.00 ≥ r &gt; 2.00</t>
  </si>
  <si>
    <t>My Little Pony: Friendship is Magic</t>
  </si>
  <si>
    <t>Just… no</t>
  </si>
  <si>
    <t>Shinsekai Yori</t>
  </si>
  <si>
    <t>Haiyore! Nyaruko-san</t>
  </si>
  <si>
    <t>0.00 ≥ r &gt; 1.00</t>
  </si>
  <si>
    <t>Baka to Test to Shoukanjuu Ni!</t>
  </si>
  <si>
    <t>GJ-bu</t>
  </si>
  <si>
    <t>Statistics</t>
  </si>
  <si>
    <t>Not what I expected it to be, given the hype</t>
  </si>
  <si>
    <t>Average</t>
  </si>
  <si>
    <t>Baka to Test to Shoukanjuu</t>
  </si>
  <si>
    <t>Minimum</t>
  </si>
  <si>
    <t>Nisemonogatari</t>
  </si>
  <si>
    <t>First Quartile</t>
  </si>
  <si>
    <t>Acchi Kocchi</t>
  </si>
  <si>
    <t>Like Lucky Star, but with 150% more moe</t>
  </si>
  <si>
    <t>Median</t>
  </si>
  <si>
    <t>Much better than I thought it would be</t>
  </si>
  <si>
    <t>Third Quartile</t>
  </si>
  <si>
    <t>Maximum</t>
  </si>
  <si>
    <t>Shinryaku?! Ika Musume</t>
  </si>
  <si>
    <t>Naruto</t>
  </si>
  <si>
    <t>Interquartile Range</t>
  </si>
  <si>
    <t>Shinryaku! Ika Musume</t>
  </si>
  <si>
    <t>Standard Deviation</t>
  </si>
  <si>
    <t>Sasami-san @ Ganbaranai</t>
  </si>
  <si>
    <t>The ultimate slice of life. Pretty funny, but art style bothers me</t>
  </si>
  <si>
    <t>Yuru Yuri</t>
  </si>
  <si>
    <t>Yuru Yuri ♪♪</t>
  </si>
  <si>
    <t>Tamako Market</t>
  </si>
  <si>
    <t>Oku-sama wa Joushikousei</t>
  </si>
  <si>
    <t>Onii-chan dakedo Ai sae Areba Kankeinai yone!</t>
  </si>
  <si>
    <t>Name</t>
  </si>
  <si>
    <t>Clannad</t>
  </si>
  <si>
    <t>Steins;Gate</t>
  </si>
  <si>
    <t>Type</t>
  </si>
  <si>
    <t>Y</t>
  </si>
  <si>
    <t>Shakugan no Shana</t>
  </si>
  <si>
    <t>K-On!</t>
  </si>
  <si>
    <t>Nicely written mysteries</t>
  </si>
  <si>
    <t>Kotoura-san</t>
  </si>
  <si>
    <t>So much wasted potential - started out great</t>
  </si>
  <si>
    <t>Oda Nobuna no Yabou</t>
  </si>
  <si>
    <t>Chihayafuru</t>
  </si>
  <si>
    <t>Raildex</t>
  </si>
  <si>
    <t>Dansai Bunri no Crime Edge</t>
  </si>
  <si>
    <t>Photokano</t>
  </si>
  <si>
    <t>Sakigake! Cromartie High School</t>
  </si>
  <si>
    <t>Like Nichibros, much better than ratings suggest. Also very funny to watch</t>
  </si>
  <si>
    <t>Ro-Kyu-Bu!</t>
  </si>
  <si>
    <t>--</t>
  </si>
  <si>
    <t>Strawberry Panic</t>
  </si>
  <si>
    <t>Baccano!</t>
  </si>
  <si>
    <t>Durarara!!</t>
  </si>
  <si>
    <t>Kaichou wa Maid-sama</t>
  </si>
  <si>
    <t>Only watched because each episode was short enough to care about</t>
  </si>
  <si>
    <t>Yuyushiki</t>
  </si>
  <si>
    <t>Namiuchigiwa no Muromi-san</t>
  </si>
  <si>
    <t>Hentai Ouji to Warawanai Neko</t>
  </si>
  <si>
    <t>Toaru Majutsu no Index II</t>
  </si>
  <si>
    <t>Not a bad show, despite low ratings. Pretty entertaining to watch overall</t>
  </si>
  <si>
    <t>Ore no Imouto ga Konna ni Kawaii Wake ga Nai</t>
  </si>
  <si>
    <t>Character Design</t>
  </si>
  <si>
    <t>Plot Development</t>
  </si>
  <si>
    <t>Personal Rating</t>
  </si>
  <si>
    <t>Inu to Hasami wa Tsukaiyou</t>
  </si>
  <si>
    <t>The music is portrayed very accurately. 10/10 to the animators</t>
  </si>
  <si>
    <t>Kuroneko best girl</t>
  </si>
  <si>
    <t>Eps.</t>
  </si>
  <si>
    <t>Days Wasted</t>
  </si>
  <si>
    <t>Minutes Wasted</t>
  </si>
  <si>
    <t>Hours Wasted</t>
  </si>
  <si>
    <t>Besides the obvious fetish scenes, not bad. OP is pretty great</t>
  </si>
  <si>
    <t>Toradora!</t>
  </si>
  <si>
    <t>Nichijou</t>
  </si>
  <si>
    <t>Lucky ★ Star</t>
  </si>
  <si>
    <t>K-On!!</t>
  </si>
  <si>
    <t>Sakurasou no Pet Na Kanojo</t>
  </si>
  <si>
    <t>The Idolm@ster</t>
  </si>
  <si>
    <t>Shakugan no Shana Second</t>
  </si>
  <si>
    <t>Shakugan no Shana Final</t>
  </si>
  <si>
    <t>Hyouka</t>
  </si>
  <si>
    <t>Sn.</t>
  </si>
  <si>
    <t xml:space="preserve"> </t>
  </si>
  <si>
    <t>Shana</t>
  </si>
  <si>
    <t>Harem</t>
  </si>
  <si>
    <t>Tachibana Kanade</t>
  </si>
  <si>
    <t>Shiina Mashiro</t>
  </si>
  <si>
    <t>Mikoto Misaka</t>
  </si>
  <si>
    <t>Fujibayashi Kyou</t>
  </si>
  <si>
    <t>Kasugano Sora</t>
  </si>
  <si>
    <t>Hakamada Hinata</t>
  </si>
  <si>
    <t>Nakano Azusa</t>
  </si>
  <si>
    <t>Danshi Koukousei no Nichijou</t>
  </si>
  <si>
    <t>Kiniro Mosaic</t>
  </si>
  <si>
    <t>Ro-Kyu-Bu! SS</t>
  </si>
  <si>
    <t>Kami-sama no Inai Nichiyoubi</t>
  </si>
  <si>
    <t>Free!</t>
  </si>
  <si>
    <t>Love Lab</t>
  </si>
  <si>
    <t>Subber</t>
  </si>
  <si>
    <t>Servant x Service</t>
  </si>
  <si>
    <t>Watashi ga Motenai no wa Dou Kangaetemo Omaera no Warui!</t>
  </si>
  <si>
    <t>Miyakawa-ke no Kuufuku</t>
  </si>
  <si>
    <t>Ano Hi Mita Hana no Namae wo Bokutachi wa Mada Shiranai</t>
  </si>
  <si>
    <t>Date-A-Live</t>
  </si>
  <si>
    <t>They tried a bit too hard. 3strange5me</t>
  </si>
  <si>
    <t>Sora no Woto</t>
  </si>
  <si>
    <t>Finale was a bit anticlimactic. S3 is in order</t>
  </si>
  <si>
    <t>Chihayafuru S2</t>
  </si>
  <si>
    <t>A bit slower than the first season, but just as good. Needs a third season</t>
  </si>
  <si>
    <t>Panty &amp; Stocking with Garterbelt</t>
  </si>
  <si>
    <t>Interesting animation style, nice break from "normal" anime</t>
  </si>
  <si>
    <t>Best Girl</t>
  </si>
  <si>
    <t>Makise Kurisu</t>
  </si>
  <si>
    <t>Nora Adrendt</t>
  </si>
  <si>
    <t>Holo</t>
  </si>
  <si>
    <t>Himeko Inaba</t>
  </si>
  <si>
    <t>Ayase Chihaya</t>
  </si>
  <si>
    <t>Yukinoshita Yukino</t>
  </si>
  <si>
    <t>Misaka Mikoto</t>
  </si>
  <si>
    <t>Eru Chitanda</t>
  </si>
  <si>
    <t>Onna Mahoutsukai</t>
  </si>
  <si>
    <t>Oshino Shinobu</t>
  </si>
  <si>
    <t>Akemi Homura</t>
  </si>
  <si>
    <t>Kamazuki Suzuno</t>
  </si>
  <si>
    <t>Funami Yui</t>
  </si>
  <si>
    <t>Kuuko</t>
  </si>
  <si>
    <t>Noel Kannagi</t>
  </si>
  <si>
    <t>Tsutsukakushi Tsukiko</t>
  </si>
  <si>
    <t>Kuroneko (Gokou Ruri)</t>
  </si>
  <si>
    <t>Hoshii Miki</t>
  </si>
  <si>
    <t>Nagato Yuki</t>
  </si>
  <si>
    <t>Sakura Mai</t>
  </si>
  <si>
    <t>Gorilla</t>
  </si>
  <si>
    <t>Literary Girl</t>
  </si>
  <si>
    <t>Levia-san</t>
  </si>
  <si>
    <t>Hinata Yukari</t>
  </si>
  <si>
    <t>Makino Kanna</t>
  </si>
  <si>
    <t>Minakami Mai</t>
  </si>
  <si>
    <t>Aizawa Chizuru</t>
  </si>
  <si>
    <t>Stocking Anarchy</t>
  </si>
  <si>
    <t>Hiiragi Kagami</t>
  </si>
  <si>
    <t>Miniwa Tsumiki</t>
  </si>
  <si>
    <t>Hyuuga Hinata</t>
  </si>
  <si>
    <t>Mushanokouji Iwai</t>
  </si>
  <si>
    <t>Takanashi Touka</t>
  </si>
  <si>
    <t>Himegami</t>
  </si>
  <si>
    <t>Yagami Kagami</t>
  </si>
  <si>
    <t>Sawatari Ginbei</t>
  </si>
  <si>
    <t>Kitakubu Katsudou Kiroku</t>
    <phoneticPr fontId="4"/>
  </si>
  <si>
    <t>Anime Name</t>
    <phoneticPr fontId="4"/>
  </si>
  <si>
    <t>Flat jokes, boring characters</t>
    <phoneticPr fontId="4"/>
  </si>
  <si>
    <t>Aragaki Ayase-tan</t>
    <phoneticPr fontId="4"/>
  </si>
  <si>
    <t>Boku wa Tomodachi ga Sukunai NEXT</t>
    <phoneticPr fontId="4"/>
  </si>
  <si>
    <t>Yuuki Asuna</t>
    <phoneticPr fontId="4"/>
  </si>
  <si>
    <t>Hasegawa Kobato</t>
    <phoneticPr fontId="4"/>
  </si>
  <si>
    <t>Hetalia Axis Powers</t>
    <phoneticPr fontId="4"/>
  </si>
  <si>
    <t>Hidan no Aria</t>
    <phoneticPr fontId="4"/>
  </si>
  <si>
    <t>Serial Experiments Lain</t>
    <phoneticPr fontId="4"/>
  </si>
  <si>
    <t>Mirai Nikki</t>
    <phoneticPr fontId="4"/>
  </si>
  <si>
    <t>Uryuu Minene v2</t>
    <phoneticPr fontId="4"/>
  </si>
  <si>
    <t>Code Geass: Lelouch of the Rebellion</t>
    <phoneticPr fontId="4"/>
  </si>
  <si>
    <t>Code Geass: Lelouch of the Rebellion R2</t>
    <phoneticPr fontId="4"/>
  </si>
  <si>
    <t>Darker than Black</t>
    <phoneticPr fontId="4"/>
  </si>
  <si>
    <t>Honey and Clover II</t>
    <phoneticPr fontId="4"/>
  </si>
  <si>
    <t>Nodame Cantabile - Paris Hen</t>
    <phoneticPr fontId="4"/>
  </si>
  <si>
    <t>Nodame Cantabile Finale</t>
    <phoneticPr fontId="4"/>
  </si>
  <si>
    <t>Sora no Otoshimono Forte</t>
    <phoneticPr fontId="4"/>
  </si>
  <si>
    <t>The World God Only Knows II</t>
    <phoneticPr fontId="4"/>
  </si>
  <si>
    <t>Seikon no Qwaser II</t>
    <phoneticPr fontId="4"/>
  </si>
  <si>
    <t>Miyakawa Hikage</t>
    <phoneticPr fontId="4"/>
  </si>
  <si>
    <t>Sora no Otoshimono</t>
    <phoneticPr fontId="4"/>
  </si>
  <si>
    <t>Nymph</t>
    <phoneticPr fontId="4"/>
  </si>
  <si>
    <t>Needs a more ballsy MC</t>
  </si>
  <si>
    <t>Tsurumi Chiriko</t>
  </si>
  <si>
    <t>Drama was a bit forced at the end, but it was nicely done overall</t>
  </si>
  <si>
    <t>Gatchaman Crowds</t>
  </si>
  <si>
    <t>Fate / Stay Night</t>
  </si>
  <si>
    <t>Fate / Zero</t>
  </si>
  <si>
    <t>Dennou Coil</t>
  </si>
  <si>
    <t>Himehagi Momiji</t>
  </si>
  <si>
    <t>Katanagatari</t>
  </si>
  <si>
    <t>Komichi Aya</t>
  </si>
  <si>
    <t>Jinrui wa Suitai Shimashita</t>
  </si>
  <si>
    <t>Nyan Koi</t>
  </si>
  <si>
    <t>FLCL</t>
  </si>
  <si>
    <t>Azumanga Daioh</t>
  </si>
  <si>
    <t>Welcome to the N.H.K!</t>
  </si>
  <si>
    <t>A</t>
  </si>
  <si>
    <t>Dr.#</t>
  </si>
  <si>
    <t>Dr. #</t>
  </si>
  <si>
    <t>B</t>
  </si>
  <si>
    <t>Black Rock Shooter</t>
  </si>
  <si>
    <t>Matsuoka Gou</t>
  </si>
  <si>
    <t>Plot was questionable, but the art and music gives it points</t>
  </si>
  <si>
    <t>Ulla Euleus Hecmatika</t>
  </si>
  <si>
    <t>Kii</t>
  </si>
  <si>
    <t>Chihaya Megumi</t>
  </si>
  <si>
    <t>Funny, and not a HS drama - 9/10 would watch again</t>
  </si>
  <si>
    <t>Danganronpa the Animation</t>
  </si>
  <si>
    <t>Ore no Imouto ga Konna ni Kawaii Wake ga Nai.</t>
  </si>
  <si>
    <t>Mikasa Ackerman</t>
  </si>
  <si>
    <t>Kyoukai no Kanata</t>
  </si>
  <si>
    <t>Golden Time</t>
  </si>
  <si>
    <t>Coppelion</t>
  </si>
  <si>
    <t>Kill la Kill</t>
  </si>
  <si>
    <t>Log Horizon</t>
  </si>
  <si>
    <t>Samurai Flamenco</t>
  </si>
  <si>
    <t>White Album 2</t>
  </si>
  <si>
    <t>Rel. Day</t>
  </si>
  <si>
    <t>Miss Monochrome</t>
  </si>
  <si>
    <t>UTW</t>
  </si>
  <si>
    <t>FFF</t>
  </si>
  <si>
    <t>Saber</t>
  </si>
  <si>
    <t>BlazBlue: Alter Memory</t>
  </si>
  <si>
    <t>Arpeggio of Blue Steel - Ars Nova</t>
  </si>
  <si>
    <t>Ore no Nounai Sentakushi ga, Gakuen Love Comedy wo Zenryoku de Jama Shiteiru</t>
  </si>
  <si>
    <t>Akatsuki</t>
  </si>
  <si>
    <t>Utsutsu</t>
  </si>
  <si>
    <t>OST of the season, very nicely developed plot</t>
  </si>
  <si>
    <t>Not particularly interesting, and I'm following too many shows this season</t>
  </si>
  <si>
    <t>White Album</t>
  </si>
  <si>
    <t>Touma Kazusa</t>
  </si>
  <si>
    <t>Show achieved achievements in global stats page</t>
  </si>
  <si>
    <t>AB Suggestions</t>
  </si>
  <si>
    <t>Keyboard shortcuts for text formatting</t>
  </si>
  <si>
    <t>SakuraCircle</t>
  </si>
  <si>
    <t>Doki</t>
  </si>
  <si>
    <t>Coalgirls</t>
  </si>
  <si>
    <t>Final8</t>
  </si>
  <si>
    <t>HorribleSubs</t>
  </si>
  <si>
    <t>Migoto</t>
  </si>
  <si>
    <t>Anime-Koi</t>
  </si>
  <si>
    <t>AnimeNOW</t>
  </si>
  <si>
    <t>Hatsuyuki</t>
  </si>
  <si>
    <t>Elysium</t>
  </si>
  <si>
    <t>Suzumiya Haruhi no Yuuutsu</t>
  </si>
  <si>
    <t>Mazui</t>
  </si>
  <si>
    <t>Commie</t>
  </si>
  <si>
    <t>Frostii</t>
  </si>
  <si>
    <t>Black ★ Rock Shooter</t>
  </si>
  <si>
    <t>Miya-k</t>
  </si>
  <si>
    <t>LIME</t>
  </si>
  <si>
    <t>Underwater</t>
  </si>
  <si>
    <t>Too many filler arcs killed everything else. Should have waited for the manga to continue instead</t>
  </si>
  <si>
    <t>Jarzk</t>
  </si>
  <si>
    <t>gg</t>
  </si>
  <si>
    <t>Polished</t>
  </si>
  <si>
    <t>Eclipse</t>
  </si>
  <si>
    <t>HT</t>
  </si>
  <si>
    <t>niizk</t>
  </si>
  <si>
    <t>ANE</t>
  </si>
  <si>
    <t>F-B Ureshii</t>
  </si>
  <si>
    <t>Nekomimi</t>
  </si>
  <si>
    <t>RaX</t>
  </si>
  <si>
    <t>Chihiro</t>
  </si>
  <si>
    <t>Usagi Drop</t>
  </si>
  <si>
    <t>Zurako</t>
  </si>
  <si>
    <t>Exiled-Destiny</t>
  </si>
  <si>
    <t>Ano Natsu de Matteru</t>
  </si>
  <si>
    <t>Neon Genesis Evangelion</t>
  </si>
  <si>
    <t>zx</t>
  </si>
  <si>
    <t>KAA</t>
  </si>
  <si>
    <t>Kurahashi Riko</t>
  </si>
  <si>
    <t>Shimada Minami</t>
  </si>
  <si>
    <t>Haruka Kotoura</t>
  </si>
  <si>
    <t>Sakamichi no Apollon</t>
  </si>
  <si>
    <t>Aisaka Taiga</t>
  </si>
  <si>
    <t>Chocolat</t>
  </si>
  <si>
    <t>Ai</t>
  </si>
  <si>
    <t>Bakuman</t>
  </si>
  <si>
    <t>Kyousougiga</t>
  </si>
  <si>
    <t>Rachel</t>
  </si>
  <si>
    <t>One of the best written stories I've seen in a while</t>
  </si>
  <si>
    <t>Too short to give accurate ratings, but entertaining nonetheless</t>
  </si>
  <si>
    <t>Nomura Taeko</t>
  </si>
  <si>
    <t>Despite a few plot holes, it was pretty good overall</t>
  </si>
  <si>
    <t>Iona</t>
  </si>
  <si>
    <t>Super well animated action scenes, and lots of hexagons</t>
  </si>
  <si>
    <t>Ep.</t>
  </si>
  <si>
    <t>Last</t>
  </si>
  <si>
    <t>Nisekoi</t>
  </si>
  <si>
    <t>Chuunibyou demo Koi ga Shitai! Ren</t>
  </si>
  <si>
    <t>Sakura Trick</t>
  </si>
  <si>
    <t>Mahou Sensou</t>
  </si>
  <si>
    <t>D-Frag!</t>
  </si>
  <si>
    <t>Space ☆ Dandy</t>
  </si>
  <si>
    <t>Inari, Konkon, Koi Iroha.</t>
  </si>
  <si>
    <t>Shiguma Rika</t>
  </si>
  <si>
    <t>Evolved from a harem anime to a pretty well-written romcom</t>
  </si>
  <si>
    <t>Bakuman S2</t>
  </si>
  <si>
    <t>Bakuman S3</t>
  </si>
  <si>
    <t>SubDESU</t>
  </si>
  <si>
    <t>SFW-sage</t>
  </si>
  <si>
    <t>Takenaka Hanbei</t>
  </si>
  <si>
    <t>Really enjoyable to watch, especially with knowledge of Japanese history</t>
  </si>
  <si>
    <t>Monogatari Series Season 2</t>
  </si>
  <si>
    <t>Kaiki is true best girl though.</t>
  </si>
  <si>
    <t>Non Non Biyori</t>
  </si>
  <si>
    <t>Miyauchi Renge</t>
  </si>
  <si>
    <t>Noragami</t>
  </si>
  <si>
    <t>Sun</t>
  </si>
  <si>
    <t>Tonari no Seki-kun</t>
  </si>
  <si>
    <t>Good graphics, good audio, decent plot</t>
  </si>
  <si>
    <t>Kushina Anna</t>
  </si>
  <si>
    <t>Witch Craft Works</t>
  </si>
  <si>
    <t>Mukae Ritsuko</t>
  </si>
  <si>
    <t>Even more accurate music than K-On!</t>
  </si>
  <si>
    <t>Vivid</t>
  </si>
  <si>
    <t>Super Sonico the Animation</t>
  </si>
  <si>
    <t>Total Series Watched</t>
  </si>
  <si>
    <t>Other</t>
  </si>
  <si>
    <t>Card Captor Sakura</t>
  </si>
  <si>
    <t>Shiba Inuko-san</t>
  </si>
  <si>
    <t>Ishibashi Chako</t>
  </si>
  <si>
    <t>Wow</t>
  </si>
  <si>
    <t>Good show, mostly accurate science, overall a good watch</t>
  </si>
  <si>
    <t>Jakuzure Nonon</t>
  </si>
  <si>
    <t>DON'T LOSE YOUR WAAAAAAYYYY</t>
  </si>
  <si>
    <t>Sanjou Keiko</t>
  </si>
  <si>
    <t>Iki Hiyori</t>
  </si>
  <si>
    <t>Very well thought out world, good design</t>
  </si>
  <si>
    <t>Ishihara Sumi</t>
  </si>
  <si>
    <t>ALL the plot twists</t>
  </si>
  <si>
    <t>Togashi Kuzuha</t>
  </si>
  <si>
    <t>Psycho Pass</t>
  </si>
  <si>
    <t>Zero no Tsukaima</t>
  </si>
  <si>
    <t>Zero no Tsukaima F</t>
  </si>
  <si>
    <t>Uchouten Kazoku</t>
  </si>
  <si>
    <t>Minami Shizuku</t>
  </si>
  <si>
    <t>Leila</t>
  </si>
  <si>
    <t>Adelie</t>
  </si>
  <si>
    <t>Nourin</t>
  </si>
  <si>
    <t>Aiba Mui</t>
  </si>
  <si>
    <t>Finales that make more questions than answers suck.</t>
  </si>
  <si>
    <t>Mushishi Zoku Shou</t>
  </si>
  <si>
    <t>Akuma no Riddle</t>
  </si>
  <si>
    <t>Black Bullet</t>
  </si>
  <si>
    <t>Captain Earth</t>
  </si>
  <si>
    <t>Gochuumon wa Usagi Desu ka?</t>
  </si>
  <si>
    <t>Hitsugi no Chaika</t>
  </si>
  <si>
    <t>Isshuukan Friends</t>
  </si>
  <si>
    <t>Kanojo no Flag wo Oraretara</t>
  </si>
  <si>
    <t>Mahouka Koukou no Rettousei</t>
  </si>
  <si>
    <t>No Game No Life</t>
  </si>
  <si>
    <t>Ping Pong the Animation</t>
  </si>
  <si>
    <t>Sidonia no Kishi</t>
  </si>
  <si>
    <t>Shibasaki Roka</t>
  </si>
  <si>
    <t>Akashi</t>
  </si>
  <si>
    <t>Really well planned show</t>
  </si>
  <si>
    <t>Hayashida Linda</t>
  </si>
  <si>
    <t>Mangaka-san to Assistant-san to</t>
  </si>
  <si>
    <t>WhyNot</t>
  </si>
  <si>
    <t>Mekakucity Actors</t>
  </si>
  <si>
    <t>Kazari Rin</t>
  </si>
  <si>
    <t>Ryuugajou Nanana no Maizoukin</t>
  </si>
  <si>
    <t>Mikakunin no Shinkoukei</t>
  </si>
  <si>
    <t>Celty Sturluson</t>
  </si>
  <si>
    <t>Pretty relaxing to watch, got better near the end</t>
  </si>
  <si>
    <t>Hidamari Sketch x 365</t>
  </si>
  <si>
    <t>Hidamari Sketch x Honeycomb</t>
  </si>
  <si>
    <t>Airtime</t>
  </si>
  <si>
    <t>Start Day</t>
  </si>
  <si>
    <t>Start</t>
  </si>
  <si>
    <t>Yokoi Rumi</t>
  </si>
  <si>
    <t>End</t>
  </si>
  <si>
    <t>Ignoring the ecchi, it would be pretty nice</t>
  </si>
  <si>
    <t>Need a higher resolution copy</t>
  </si>
  <si>
    <t>Watch it for 8man</t>
  </si>
  <si>
    <t>KyoAni action scenes are cool</t>
  </si>
  <si>
    <t>Anime Rewatches</t>
  </si>
  <si>
    <t>Freeleech countdown</t>
  </si>
  <si>
    <t>TV</t>
  </si>
  <si>
    <t>BD</t>
  </si>
  <si>
    <t>Web</t>
  </si>
  <si>
    <t>-- NO DL --</t>
  </si>
  <si>
    <t>DVD</t>
  </si>
  <si>
    <t>Fullmetal Alchemist: Brotherhood</t>
  </si>
  <si>
    <t>Love Live! School Idol Project</t>
  </si>
  <si>
    <t>Zero no Tsukaima Princes no Rondo</t>
  </si>
  <si>
    <t>Zero no Tsukaima Futatsuki no Kishi</t>
  </si>
  <si>
    <t>Anime-Keep</t>
  </si>
  <si>
    <t>Solar</t>
  </si>
  <si>
    <t>Toaru Kagaku no Railgun</t>
  </si>
  <si>
    <t>Toaru Kagaku no Railgun S</t>
  </si>
  <si>
    <t>File Types</t>
  </si>
  <si>
    <t>Not Downloaded</t>
  </si>
  <si>
    <t>AK</t>
  </si>
  <si>
    <t>Asenshi-Doremi, Loligeddon</t>
  </si>
  <si>
    <t>Ayumi</t>
  </si>
  <si>
    <t xml:space="preserve">Eps. </t>
  </si>
  <si>
    <t>Quality</t>
  </si>
  <si>
    <t>Anime General Info Tracking</t>
  </si>
  <si>
    <t>TV is better than BDs</t>
  </si>
  <si>
    <t>Backlog</t>
  </si>
  <si>
    <t>Finished Anime</t>
  </si>
  <si>
    <t>Main Anime Tracker</t>
  </si>
  <si>
    <t>Miscellaneous Tools</t>
  </si>
  <si>
    <t>Description</t>
  </si>
  <si>
    <t>Macro button</t>
  </si>
  <si>
    <t>Suggestion</t>
  </si>
  <si>
    <t>Not suggested</t>
  </si>
  <si>
    <t>Rejected</t>
  </si>
  <si>
    <t>Sort by ratio</t>
  </si>
  <si>
    <t xml:space="preserve">Hours Behind: </t>
  </si>
  <si>
    <t xml:space="preserve">Non-Airing Shows: | Eps. Behind: </t>
  </si>
  <si>
    <t xml:space="preserve">Airing Shows: | Eps. Behind: </t>
  </si>
  <si>
    <r>
      <t xml:space="preserve">Hidamari Sketch x </t>
    </r>
    <r>
      <rPr>
        <sz val="11"/>
        <color rgb="FF000000"/>
        <rFont val="MS Mincho"/>
        <family val="3"/>
        <charset val="128"/>
      </rPr>
      <t>☆☆☆</t>
    </r>
  </si>
  <si>
    <t>Shingeki no Kyojin</t>
  </si>
  <si>
    <t>720p</t>
  </si>
  <si>
    <t>1080p</t>
  </si>
  <si>
    <t>352p</t>
  </si>
  <si>
    <t>240p</t>
  </si>
  <si>
    <t>528p</t>
  </si>
  <si>
    <t>480p</t>
  </si>
  <si>
    <t>486p</t>
  </si>
  <si>
    <t>Toaru Majutsu no Index</t>
  </si>
  <si>
    <t>576p</t>
  </si>
  <si>
    <t>Underwater, FFF</t>
  </si>
  <si>
    <t>Doki, Chihiro</t>
  </si>
  <si>
    <t>Vivid, EveTaku</t>
  </si>
  <si>
    <t>FFF, UTW (FTW)</t>
  </si>
  <si>
    <t>UTW, rori (URW)</t>
  </si>
  <si>
    <t>ANBU, Anime-Keep</t>
  </si>
  <si>
    <t>Coalgirls, ANE</t>
  </si>
  <si>
    <t>Coalgirls, Mazui</t>
  </si>
  <si>
    <t>Coalgirls, gg</t>
  </si>
  <si>
    <t>Coalgirls, sudo</t>
  </si>
  <si>
    <t>Coalgirls, Ureshii</t>
  </si>
  <si>
    <t>Coalgirls, Eclipse</t>
  </si>
  <si>
    <t>Nekomonogatari Black</t>
  </si>
  <si>
    <t>Coalgirls, CMS</t>
  </si>
  <si>
    <t>Coalgirls, EveTaku</t>
  </si>
  <si>
    <t>Coalgirls, Shikkaku</t>
  </si>
  <si>
    <t>Coalgirls, R1</t>
  </si>
  <si>
    <t>Coalgirls, pwq</t>
  </si>
  <si>
    <t>Sword Art Online</t>
  </si>
  <si>
    <t>Coalgirls, Doki</t>
  </si>
  <si>
    <t>Coalgirls, UTW, Mazui</t>
  </si>
  <si>
    <t>Coalgirls, FFF</t>
  </si>
  <si>
    <t>Coalgirls, UTW, Ryuumaru</t>
  </si>
  <si>
    <t>Coalgirls, Ayu</t>
  </si>
  <si>
    <t>Coalgirls, Frostii</t>
  </si>
  <si>
    <t>Coalgirls, SS, Eclipse</t>
  </si>
  <si>
    <t>SS, Eclipse</t>
  </si>
  <si>
    <t>Subber(s)</t>
  </si>
  <si>
    <t>1998A</t>
  </si>
  <si>
    <t>2008B</t>
  </si>
  <si>
    <t>2010A</t>
  </si>
  <si>
    <t>2012C</t>
  </si>
  <si>
    <t>2013C</t>
  </si>
  <si>
    <t>2011C</t>
  </si>
  <si>
    <t>2009D</t>
  </si>
  <si>
    <t>2014A</t>
  </si>
  <si>
    <t>2012D</t>
  </si>
  <si>
    <t>2011A</t>
  </si>
  <si>
    <t>2002C</t>
  </si>
  <si>
    <t>2012A</t>
  </si>
  <si>
    <t>2012B</t>
  </si>
  <si>
    <t>2004D</t>
  </si>
  <si>
    <t>2011D</t>
  </si>
  <si>
    <t>2002A</t>
  </si>
  <si>
    <t>2007B</t>
  </si>
  <si>
    <t>2007A</t>
  </si>
  <si>
    <t>2011B</t>
  </si>
  <si>
    <t>2009B</t>
  </si>
  <si>
    <t>Bakuman.</t>
  </si>
  <si>
    <t>Bakuman. S2</t>
  </si>
  <si>
    <t>Bakuman. S3</t>
  </si>
  <si>
    <t>2010C</t>
  </si>
  <si>
    <t>2013D</t>
  </si>
  <si>
    <t>2008C</t>
  </si>
  <si>
    <t>2007C</t>
  </si>
  <si>
    <t>2006C</t>
  </si>
  <si>
    <t>2008A</t>
  </si>
  <si>
    <t>2013B</t>
  </si>
  <si>
    <t>2013A</t>
  </si>
  <si>
    <t>2005D</t>
  </si>
  <si>
    <t>2000A</t>
  </si>
  <si>
    <t>2009A</t>
  </si>
  <si>
    <t>2008D</t>
  </si>
  <si>
    <t>2006D</t>
  </si>
  <si>
    <t>2006B</t>
  </si>
  <si>
    <t>2005A</t>
  </si>
  <si>
    <t>2005C</t>
  </si>
  <si>
    <t>1995C</t>
  </si>
  <si>
    <t>2009C</t>
  </si>
  <si>
    <t>2010D</t>
  </si>
  <si>
    <t>2003C</t>
  </si>
  <si>
    <t>1998B</t>
  </si>
  <si>
    <t>2007D</t>
  </si>
  <si>
    <t>2006A</t>
  </si>
  <si>
    <t>End Day</t>
  </si>
  <si>
    <t>General Variables and Statistics</t>
  </si>
  <si>
    <t>First cour was a lot better than the second, ratings adjusted to average both</t>
  </si>
  <si>
    <t>Clannad -After Story-</t>
  </si>
  <si>
    <t>Sahoto Ashisu</t>
  </si>
  <si>
    <t>End Date</t>
  </si>
  <si>
    <t>Start Date</t>
  </si>
  <si>
    <t>Shutou Suzu</t>
  </si>
  <si>
    <t>Tokaku and Haruki come close for best girl though</t>
  </si>
  <si>
    <t>Yonomori Kobeni</t>
  </si>
  <si>
    <t>This show is good.</t>
  </si>
  <si>
    <t>Ryuugajou Nanana</t>
  </si>
  <si>
    <t>Fujimiya Kaori</t>
  </si>
  <si>
    <t>Saki and Fujimiya's mom are both great too</t>
  </si>
  <si>
    <t>Chaika</t>
  </si>
  <si>
    <t>Already reading the manga</t>
  </si>
  <si>
    <t>Stopped for hiatus, already reading the manga</t>
  </si>
  <si>
    <t>Shiro</t>
  </si>
  <si>
    <t>Hoshijiro Shizuka</t>
  </si>
  <si>
    <t>Hypest ping pong I've ever watched</t>
  </si>
  <si>
    <t>Granny Tamura</t>
  </si>
  <si>
    <t>Plot is a bit confusing to follow, but was a good show overall. Ayano needs more screentime.</t>
  </si>
  <si>
    <t>Ene (Enomoto Takane)</t>
  </si>
  <si>
    <t>Not as bad as everyone makes it seem - KyoAni animation and music plus an actual plot is pretty nice.</t>
  </si>
  <si>
    <t>Kafu Chino</t>
  </si>
  <si>
    <t>Nanami Bladefield</t>
  </si>
  <si>
    <t>It would've been nicer if it kept the tone of the first few episodes</t>
  </si>
  <si>
    <t>Add new show to tracker and ongoing:</t>
  </si>
  <si>
    <t>Move show from backlog to ongoing:</t>
  </si>
  <si>
    <t>Move show from ongoing to completed:</t>
  </si>
  <si>
    <t xml:space="preserve">Sort all lists by default criteria: </t>
  </si>
  <si>
    <t xml:space="preserve">Add new show to backlog: </t>
  </si>
  <si>
    <t>Ar</t>
  </si>
  <si>
    <t>Hidamari Sketch x ☆☆☆</t>
  </si>
  <si>
    <t>Code Geass: Lelouch of the Rebellion</t>
  </si>
  <si>
    <t>Code Geass: Lelouch of the Rebellion R2</t>
  </si>
  <si>
    <t>Darker than Black</t>
  </si>
  <si>
    <t>Hetalia Axis Powers</t>
  </si>
  <si>
    <t>Hidan no Aria</t>
  </si>
  <si>
    <t>Honey and Clover II</t>
  </si>
  <si>
    <t>Nodame Cantabile - Paris Hen</t>
  </si>
  <si>
    <t>Nodame Cantabile Finale</t>
  </si>
  <si>
    <t>Serial Experiments Lain</t>
  </si>
  <si>
    <t>Sora no Otoshimono Forte</t>
  </si>
  <si>
    <t>The World God Only Knows II</t>
  </si>
  <si>
    <t>Seikon no Qwaser II</t>
  </si>
  <si>
    <t xml:space="preserve">Add new show to tracker and backlog: </t>
  </si>
  <si>
    <t>Accel World</t>
  </si>
  <si>
    <t>"Yen until freeleech is met" meter</t>
  </si>
  <si>
    <t xml:space="preserve">Add show to rewatches and ongoing: </t>
  </si>
  <si>
    <t xml:space="preserve">Update values associated with rewatch: </t>
  </si>
  <si>
    <t>Kirisaki Chitoge</t>
  </si>
  <si>
    <t>Free! Eternal Summer</t>
  </si>
  <si>
    <t>Aldnoah.Zero</t>
  </si>
  <si>
    <t>Bakumatsu Rock</t>
  </si>
  <si>
    <t>DRAMAtical Murder</t>
  </si>
  <si>
    <t>Hanamonogatari</t>
  </si>
  <si>
    <t>Sword Art Online II</t>
  </si>
  <si>
    <t>Space ☆ Dandy 2</t>
  </si>
  <si>
    <t>Psycho Pass (New Version)</t>
  </si>
  <si>
    <t>Zankyou no Terror</t>
  </si>
  <si>
    <t>New Season Plans</t>
  </si>
  <si>
    <t>M</t>
  </si>
  <si>
    <t>Final?</t>
  </si>
  <si>
    <t xml:space="preserve">     </t>
  </si>
  <si>
    <t>2014B</t>
  </si>
  <si>
    <t>Sat</t>
  </si>
  <si>
    <t>Kirishima Shouko</t>
  </si>
  <si>
    <t>Potential Subbers</t>
  </si>
  <si>
    <t>HS</t>
  </si>
  <si>
    <t>Tokyo ESP</t>
  </si>
  <si>
    <t>HS, Commie, WhyNot</t>
  </si>
  <si>
    <t>Himegoto</t>
  </si>
  <si>
    <t xml:space="preserve">Total Count:  </t>
  </si>
  <si>
    <t xml:space="preserve">Total Final:  </t>
  </si>
  <si>
    <t xml:space="preserve">Current Version:  </t>
  </si>
  <si>
    <t>Count</t>
  </si>
  <si>
    <t>9.00 ≥ r &gt; 10.00</t>
  </si>
  <si>
    <t>Subber Name</t>
  </si>
  <si>
    <t>Rating Range</t>
  </si>
  <si>
    <t>r » 8</t>
  </si>
  <si>
    <t>r » 7</t>
  </si>
  <si>
    <t>r » 6</t>
  </si>
  <si>
    <t>r » 5</t>
  </si>
  <si>
    <t>r » 4</t>
  </si>
  <si>
    <t>r » 3</t>
  </si>
  <si>
    <t>r » 2</t>
  </si>
  <si>
    <t>r » 1</t>
  </si>
  <si>
    <t>r » 0</t>
  </si>
  <si>
    <t>Duration</t>
  </si>
  <si>
    <t>St. Rnk</t>
  </si>
  <si>
    <t>Ed. Rnk</t>
  </si>
  <si>
    <t>Mon</t>
  </si>
  <si>
    <t>r » 9</t>
  </si>
  <si>
    <t>Show Qualities</t>
  </si>
  <si>
    <t>Big Collaborations</t>
  </si>
  <si>
    <t>All Collaborations</t>
  </si>
  <si>
    <t>Storage Mediums</t>
  </si>
  <si>
    <t>Drive A</t>
  </si>
  <si>
    <t>Drive B</t>
  </si>
  <si>
    <t>Streamed online</t>
  </si>
  <si>
    <t>Total Episiodes</t>
  </si>
  <si>
    <t>Jinsei</t>
  </si>
  <si>
    <t>FFF, HS</t>
  </si>
  <si>
    <t>HS, Commie, Vivid-Watashi</t>
  </si>
  <si>
    <t>Vivid, Watashi</t>
  </si>
  <si>
    <t>Fri</t>
  </si>
  <si>
    <t>Tina Sprout</t>
  </si>
  <si>
    <t>Started promising, but decayed with time.</t>
  </si>
  <si>
    <t>N</t>
  </si>
  <si>
    <t>Kodomo no Jikan</t>
  </si>
  <si>
    <t>Loli-pop</t>
  </si>
  <si>
    <t>Wed</t>
  </si>
  <si>
    <t>Psycho Pass (new edit)</t>
  </si>
  <si>
    <t>Thu</t>
  </si>
  <si>
    <t>Aiura</t>
  </si>
  <si>
    <t>Joshiraku</t>
  </si>
  <si>
    <t>Magi: The Labyrinth of Magic</t>
  </si>
  <si>
    <t>Arakawa Under the Bridge</t>
  </si>
  <si>
    <t>Gekkan Shoujo Nozaki-kun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</si>
</sst>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0.000"/>
    <numFmt numFmtId="166" formatCode="0.00&quot; hours per week&quot;"/>
  </numFmts>
  <fonts count="15">
    <font>
      <sz val="11"/>
      <color rgb="FF000000"/>
      <name val="Calibri"/>
      <family val="2"/>
      <charset val="1"/>
    </font>
    <font>
      <sz val="11"/>
      <color rgb="FF000000"/>
      <name val="Gisha"/>
      <family val="2"/>
      <charset val="1"/>
    </font>
    <font>
      <sz val="11"/>
      <color rgb="FFFFFFFF"/>
      <name val="Arial Unicode MS"/>
      <family val="2"/>
      <charset val="128"/>
    </font>
    <font>
      <sz val="11"/>
      <color rgb="FF000000"/>
      <name val="Arial Unicode MS"/>
      <family val="2"/>
      <charset val="128"/>
    </font>
    <font>
      <sz val="6"/>
      <name val="AR PL UKai CN"/>
      <family val="3"/>
      <charset val="128"/>
    </font>
    <font>
      <sz val="11"/>
      <color rgb="FF000000"/>
      <name val="MS Mincho"/>
      <family val="3"/>
      <charset val="128"/>
    </font>
    <font>
      <sz val="11"/>
      <color rgb="FF000000"/>
      <name val="Arial Unicode MS"/>
      <family val="3"/>
      <charset val="128"/>
    </font>
    <font>
      <sz val="11"/>
      <color rgb="FFFFFFFF"/>
      <name val="Arial Unicode MS"/>
      <family val="3"/>
      <charset val="128"/>
    </font>
    <font>
      <b/>
      <sz val="11"/>
      <color rgb="FF000000"/>
      <name val="Arial Unicode MS"/>
      <family val="3"/>
      <charset val="128"/>
    </font>
    <font>
      <i/>
      <sz val="11"/>
      <color rgb="FF000000"/>
      <name val="Arial Unicode MS"/>
      <family val="3"/>
      <charset val="128"/>
    </font>
    <font>
      <sz val="11"/>
      <color rgb="FF000000"/>
      <name val="Arial Unicode MS"/>
    </font>
    <font>
      <i/>
      <sz val="11"/>
      <color rgb="FF000000"/>
      <name val="Arial Unicode MS"/>
    </font>
    <font>
      <b/>
      <sz val="11"/>
      <color rgb="FF000000"/>
      <name val="Arial Unicode MS"/>
    </font>
    <font>
      <sz val="11"/>
      <color rgb="FF000000"/>
      <name val="Calibri"/>
      <family val="2"/>
    </font>
    <font>
      <sz val="11"/>
      <color theme="0"/>
      <name val="Arial Unicode MS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10243E"/>
        <bgColor rgb="FF333333"/>
      </patternFill>
    </fill>
    <fill>
      <patternFill patternType="solid">
        <fgColor rgb="FF376092"/>
        <bgColor rgb="FF4F81BD"/>
      </patternFill>
    </fill>
    <fill>
      <patternFill patternType="solid">
        <fgColor rgb="FF8EB4E3"/>
        <bgColor rgb="FF9999FF"/>
      </patternFill>
    </fill>
    <fill>
      <patternFill patternType="solid">
        <fgColor theme="8" tint="0.79998168889431442"/>
        <bgColor rgb="FF9999FF"/>
      </patternFill>
    </fill>
    <fill>
      <patternFill patternType="solid">
        <fgColor theme="3" tint="0.79998168889431442"/>
        <bgColor indexed="64"/>
      </patternFill>
    </fill>
  </fills>
  <borders count="3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thin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indexed="64"/>
      </left>
      <right/>
      <top style="thin">
        <color theme="0" tint="-0.14996795556505021"/>
      </top>
      <bottom/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/>
      <diagonal/>
    </border>
    <border>
      <left style="thin">
        <color auto="1"/>
      </left>
      <right/>
      <top/>
      <bottom style="thin">
        <color theme="0" tint="-0.1499679555650502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theme="0" tint="-0.14996795556505021"/>
      </top>
      <bottom style="thin">
        <color theme="0" tint="-0.14993743705557422"/>
      </bottom>
      <diagonal/>
    </border>
    <border>
      <left/>
      <right style="thin">
        <color auto="1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auto="1"/>
      </right>
      <top style="thin">
        <color theme="0" tint="-0.14993743705557422"/>
      </top>
      <bottom/>
      <diagonal/>
    </border>
  </borders>
  <cellStyleXfs count="1">
    <xf numFmtId="0" fontId="0" fillId="0" borderId="0"/>
  </cellStyleXfs>
  <cellXfs count="216">
    <xf numFmtId="0" fontId="0" fillId="0" borderId="0" xfId="0"/>
    <xf numFmtId="0" fontId="1" fillId="0" borderId="0" xfId="0" applyFont="1"/>
    <xf numFmtId="0" fontId="1" fillId="0" borderId="0" xfId="0" applyFont="1" applyBorder="1"/>
    <xf numFmtId="0" fontId="0" fillId="0" borderId="0" xfId="0" applyBorder="1"/>
    <xf numFmtId="0" fontId="0" fillId="0" borderId="2" xfId="0" applyBorder="1"/>
    <xf numFmtId="0" fontId="0" fillId="0" borderId="1" xfId="0" applyBorder="1"/>
    <xf numFmtId="0" fontId="3" fillId="0" borderId="15" xfId="0" applyFont="1" applyBorder="1"/>
    <xf numFmtId="0" fontId="3" fillId="0" borderId="15" xfId="0" applyFont="1" applyBorder="1" applyAlignment="1"/>
    <xf numFmtId="0" fontId="0" fillId="0" borderId="0" xfId="0" applyBorder="1" applyAlignment="1">
      <alignment horizontal="center"/>
    </xf>
    <xf numFmtId="0" fontId="3" fillId="4" borderId="6" xfId="0" applyFont="1" applyFill="1" applyBorder="1"/>
    <xf numFmtId="0" fontId="3" fillId="4" borderId="1" xfId="0" applyFont="1" applyFill="1" applyBorder="1"/>
    <xf numFmtId="0" fontId="3" fillId="4" borderId="2" xfId="0" applyFont="1" applyFill="1" applyBorder="1"/>
    <xf numFmtId="14" fontId="3" fillId="0" borderId="24" xfId="0" applyNumberFormat="1" applyFont="1" applyBorder="1" applyAlignment="1">
      <alignment horizontal="left"/>
    </xf>
    <xf numFmtId="0" fontId="6" fillId="0" borderId="24" xfId="0" applyFont="1" applyBorder="1" applyAlignment="1">
      <alignment horizontal="center"/>
    </xf>
    <xf numFmtId="14" fontId="6" fillId="0" borderId="24" xfId="0" applyNumberFormat="1" applyFont="1" applyBorder="1" applyAlignment="1">
      <alignment horizontal="left"/>
    </xf>
    <xf numFmtId="0" fontId="6" fillId="0" borderId="25" xfId="0" applyFont="1" applyBorder="1"/>
    <xf numFmtId="14" fontId="6" fillId="0" borderId="24" xfId="0" applyNumberFormat="1" applyFont="1" applyBorder="1" applyAlignment="1">
      <alignment horizontal="center"/>
    </xf>
    <xf numFmtId="0" fontId="3" fillId="0" borderId="13" xfId="0" applyFont="1" applyBorder="1"/>
    <xf numFmtId="0" fontId="3" fillId="0" borderId="15" xfId="0" applyFont="1" applyBorder="1" applyAlignment="1">
      <alignment horizontal="center"/>
    </xf>
    <xf numFmtId="0" fontId="3" fillId="0" borderId="15" xfId="0" quotePrefix="1" applyFont="1" applyBorder="1" applyAlignment="1">
      <alignment horizontal="center"/>
    </xf>
    <xf numFmtId="0" fontId="3" fillId="4" borderId="6" xfId="0" applyFont="1" applyFill="1" applyBorder="1" applyAlignment="1">
      <alignment horizontal="left"/>
    </xf>
    <xf numFmtId="0" fontId="6" fillId="0" borderId="13" xfId="0" applyFont="1" applyBorder="1"/>
    <xf numFmtId="0" fontId="6" fillId="0" borderId="15" xfId="0" applyFont="1" applyBorder="1" applyAlignment="1">
      <alignment horizontal="center"/>
    </xf>
    <xf numFmtId="0" fontId="6" fillId="0" borderId="0" xfId="0" applyFont="1"/>
    <xf numFmtId="0" fontId="6" fillId="0" borderId="6" xfId="0" applyFont="1" applyBorder="1"/>
    <xf numFmtId="0" fontId="6" fillId="4" borderId="3" xfId="0" applyFont="1" applyFill="1" applyBorder="1"/>
    <xf numFmtId="0" fontId="6" fillId="4" borderId="22" xfId="0" applyFont="1" applyFill="1" applyBorder="1"/>
    <xf numFmtId="0" fontId="6" fillId="4" borderId="3" xfId="0" applyFont="1" applyFill="1" applyBorder="1" applyAlignment="1">
      <alignment horizontal="left"/>
    </xf>
    <xf numFmtId="0" fontId="6" fillId="0" borderId="15" xfId="0" applyFont="1" applyBorder="1"/>
    <xf numFmtId="0" fontId="6" fillId="0" borderId="14" xfId="0" applyFont="1" applyBorder="1"/>
    <xf numFmtId="0" fontId="6" fillId="0" borderId="2" xfId="0" applyFont="1" applyBorder="1"/>
    <xf numFmtId="0" fontId="6" fillId="0" borderId="1" xfId="0" applyFont="1" applyBorder="1"/>
    <xf numFmtId="0" fontId="6" fillId="0" borderId="15" xfId="0" quotePrefix="1" applyFont="1" applyBorder="1" applyAlignment="1">
      <alignment horizontal="center"/>
    </xf>
    <xf numFmtId="0" fontId="6" fillId="0" borderId="15" xfId="0" applyFont="1" applyBorder="1" applyAlignment="1">
      <alignment horizontal="left"/>
    </xf>
    <xf numFmtId="0" fontId="6" fillId="0" borderId="24" xfId="0" applyFont="1" applyBorder="1"/>
    <xf numFmtId="0" fontId="6" fillId="0" borderId="15" xfId="0" quotePrefix="1" applyFont="1" applyBorder="1" applyAlignment="1">
      <alignment horizontal="left"/>
    </xf>
    <xf numFmtId="0" fontId="6" fillId="0" borderId="0" xfId="0" applyFont="1" applyBorder="1" applyAlignment="1">
      <alignment horizontal="left"/>
    </xf>
    <xf numFmtId="0" fontId="3" fillId="0" borderId="25" xfId="0" applyFont="1" applyBorder="1"/>
    <xf numFmtId="0" fontId="3" fillId="0" borderId="24" xfId="0" applyFont="1" applyBorder="1"/>
    <xf numFmtId="0" fontId="3" fillId="0" borderId="24" xfId="0" applyFont="1" applyBorder="1" applyAlignment="1">
      <alignment horizontal="center"/>
    </xf>
    <xf numFmtId="0" fontId="6" fillId="0" borderId="0" xfId="0" applyFont="1" applyBorder="1"/>
    <xf numFmtId="0" fontId="7" fillId="0" borderId="22" xfId="0" applyFont="1" applyFill="1" applyBorder="1" applyAlignment="1"/>
    <xf numFmtId="0" fontId="6" fillId="4" borderId="20" xfId="0" applyFont="1" applyFill="1" applyBorder="1"/>
    <xf numFmtId="0" fontId="6" fillId="4" borderId="23" xfId="0" applyFont="1" applyFill="1" applyBorder="1"/>
    <xf numFmtId="0" fontId="6" fillId="4" borderId="4" xfId="0" applyFont="1" applyFill="1" applyBorder="1" applyAlignment="1">
      <alignment horizontal="right"/>
    </xf>
    <xf numFmtId="164" fontId="6" fillId="0" borderId="4" xfId="0" applyNumberFormat="1" applyFont="1" applyBorder="1" applyAlignment="1">
      <alignment horizontal="center"/>
    </xf>
    <xf numFmtId="0" fontId="6" fillId="0" borderId="18" xfId="0" applyFont="1" applyBorder="1"/>
    <xf numFmtId="0" fontId="6" fillId="0" borderId="19" xfId="0" applyFont="1" applyBorder="1"/>
    <xf numFmtId="14" fontId="3" fillId="0" borderId="15" xfId="0" applyNumberFormat="1" applyFont="1" applyBorder="1" applyAlignment="1">
      <alignment horizontal="center"/>
    </xf>
    <xf numFmtId="14" fontId="3" fillId="0" borderId="15" xfId="0" quotePrefix="1" applyNumberFormat="1" applyFont="1" applyBorder="1" applyAlignment="1">
      <alignment horizontal="center"/>
    </xf>
    <xf numFmtId="0" fontId="6" fillId="0" borderId="24" xfId="0" applyFont="1" applyBorder="1" applyAlignment="1">
      <alignment horizontal="left"/>
    </xf>
    <xf numFmtId="0" fontId="3" fillId="4" borderId="6" xfId="0" applyFont="1" applyFill="1" applyBorder="1" applyAlignment="1">
      <alignment horizontal="center"/>
    </xf>
    <xf numFmtId="0" fontId="0" fillId="0" borderId="0" xfId="0" applyAlignment="1">
      <alignment horizontal="center"/>
    </xf>
    <xf numFmtId="164" fontId="6" fillId="0" borderId="15" xfId="0" applyNumberFormat="1" applyFont="1" applyBorder="1"/>
    <xf numFmtId="14" fontId="6" fillId="0" borderId="15" xfId="0" applyNumberFormat="1" applyFont="1" applyBorder="1" applyAlignment="1">
      <alignment horizontal="center"/>
    </xf>
    <xf numFmtId="0" fontId="6" fillId="0" borderId="15" xfId="0" quotePrefix="1" applyNumberFormat="1" applyFont="1" applyBorder="1" applyAlignment="1">
      <alignment horizontal="left"/>
    </xf>
    <xf numFmtId="0" fontId="6" fillId="0" borderId="15" xfId="0" applyNumberFormat="1" applyFont="1" applyBorder="1" applyAlignment="1">
      <alignment horizontal="left"/>
    </xf>
    <xf numFmtId="14" fontId="6" fillId="0" borderId="15" xfId="0" quotePrefix="1" applyNumberFormat="1" applyFont="1" applyBorder="1" applyAlignment="1">
      <alignment horizontal="center"/>
    </xf>
    <xf numFmtId="0" fontId="6" fillId="0" borderId="13" xfId="0" applyFont="1" applyBorder="1" applyAlignment="1"/>
    <xf numFmtId="2" fontId="9" fillId="0" borderId="0" xfId="0" applyNumberFormat="1" applyFont="1"/>
    <xf numFmtId="2" fontId="8" fillId="0" borderId="0" xfId="0" applyNumberFormat="1" applyFont="1"/>
    <xf numFmtId="0" fontId="6" fillId="4" borderId="20" xfId="0" applyFont="1" applyFill="1" applyBorder="1" applyAlignment="1">
      <alignment horizontal="left"/>
    </xf>
    <xf numFmtId="0" fontId="6" fillId="0" borderId="1" xfId="0" applyFont="1" applyFill="1" applyBorder="1" applyAlignment="1">
      <alignment horizontal="left"/>
    </xf>
    <xf numFmtId="0" fontId="6" fillId="4" borderId="23" xfId="0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2" fontId="9" fillId="0" borderId="15" xfId="0" applyNumberFormat="1" applyFont="1" applyBorder="1"/>
    <xf numFmtId="14" fontId="6" fillId="0" borderId="15" xfId="0" applyNumberFormat="1" applyFont="1" applyBorder="1"/>
    <xf numFmtId="0" fontId="6" fillId="4" borderId="3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64" fontId="6" fillId="0" borderId="24" xfId="0" applyNumberFormat="1" applyFont="1" applyBorder="1"/>
    <xf numFmtId="2" fontId="9" fillId="0" borderId="0" xfId="0" applyNumberFormat="1" applyFont="1" applyBorder="1"/>
    <xf numFmtId="2" fontId="8" fillId="0" borderId="0" xfId="0" applyNumberFormat="1" applyFont="1" applyBorder="1"/>
    <xf numFmtId="0" fontId="6" fillId="0" borderId="24" xfId="0" applyNumberFormat="1" applyFont="1" applyBorder="1" applyAlignment="1">
      <alignment horizontal="left"/>
    </xf>
    <xf numFmtId="0" fontId="6" fillId="0" borderId="27" xfId="0" applyFont="1" applyBorder="1"/>
    <xf numFmtId="0" fontId="6" fillId="0" borderId="26" xfId="0" applyFont="1" applyBorder="1" applyAlignment="1">
      <alignment horizontal="center"/>
    </xf>
    <xf numFmtId="2" fontId="8" fillId="0" borderId="15" xfId="0" applyNumberFormat="1" applyFont="1" applyBorder="1" applyAlignment="1">
      <alignment horizontal="center"/>
    </xf>
    <xf numFmtId="0" fontId="6" fillId="0" borderId="15" xfId="0" applyNumberFormat="1" applyFont="1" applyFill="1" applyBorder="1" applyAlignment="1">
      <alignment horizontal="left"/>
    </xf>
    <xf numFmtId="0" fontId="6" fillId="0" borderId="0" xfId="0" applyNumberFormat="1" applyFont="1" applyBorder="1" applyAlignment="1">
      <alignment horizontal="left"/>
    </xf>
    <xf numFmtId="0" fontId="6" fillId="0" borderId="24" xfId="0" quotePrefix="1" applyNumberFormat="1" applyFont="1" applyBorder="1" applyAlignment="1">
      <alignment horizontal="left"/>
    </xf>
    <xf numFmtId="0" fontId="3" fillId="4" borderId="28" xfId="0" applyFont="1" applyFill="1" applyBorder="1" applyAlignment="1"/>
    <xf numFmtId="0" fontId="3" fillId="0" borderId="24" xfId="0" applyFont="1" applyBorder="1" applyAlignment="1"/>
    <xf numFmtId="0" fontId="10" fillId="0" borderId="13" xfId="0" applyFont="1" applyBorder="1"/>
    <xf numFmtId="0" fontId="10" fillId="0" borderId="15" xfId="0" applyFont="1" applyBorder="1"/>
    <xf numFmtId="164" fontId="10" fillId="0" borderId="15" xfId="0" applyNumberFormat="1" applyFont="1" applyBorder="1"/>
    <xf numFmtId="14" fontId="10" fillId="0" borderId="15" xfId="0" applyNumberFormat="1" applyFont="1" applyBorder="1" applyAlignment="1">
      <alignment horizontal="center"/>
    </xf>
    <xf numFmtId="0" fontId="10" fillId="0" borderId="15" xfId="0" applyNumberFormat="1" applyFont="1" applyBorder="1" applyAlignment="1">
      <alignment horizontal="left"/>
    </xf>
    <xf numFmtId="0" fontId="10" fillId="0" borderId="14" xfId="0" applyFont="1" applyBorder="1"/>
    <xf numFmtId="2" fontId="11" fillId="0" borderId="0" xfId="0" applyNumberFormat="1" applyFont="1" applyBorder="1"/>
    <xf numFmtId="2" fontId="12" fillId="0" borderId="0" xfId="0" applyNumberFormat="1" applyFont="1" applyBorder="1"/>
    <xf numFmtId="14" fontId="6" fillId="0" borderId="15" xfId="0" applyNumberFormat="1" applyFont="1" applyBorder="1" applyAlignment="1">
      <alignment horizontal="left"/>
    </xf>
    <xf numFmtId="0" fontId="3" fillId="0" borderId="13" xfId="0" applyFont="1" applyBorder="1" applyProtection="1">
      <protection locked="0"/>
    </xf>
    <xf numFmtId="0" fontId="3" fillId="0" borderId="15" xfId="0" quotePrefix="1" applyFont="1" applyBorder="1" applyAlignment="1" applyProtection="1">
      <protection locked="0"/>
    </xf>
    <xf numFmtId="0" fontId="3" fillId="0" borderId="15" xfId="0" applyFont="1" applyBorder="1" applyProtection="1">
      <protection locked="0"/>
    </xf>
    <xf numFmtId="0" fontId="3" fillId="0" borderId="15" xfId="0" applyFont="1" applyBorder="1" applyAlignment="1" applyProtection="1">
      <protection locked="0"/>
    </xf>
    <xf numFmtId="0" fontId="6" fillId="0" borderId="15" xfId="0" quotePrefix="1" applyFont="1" applyBorder="1" applyAlignment="1" applyProtection="1">
      <protection locked="0"/>
    </xf>
    <xf numFmtId="0" fontId="6" fillId="0" borderId="15" xfId="0" applyFont="1" applyBorder="1" applyProtection="1">
      <protection locked="0"/>
    </xf>
    <xf numFmtId="0" fontId="6" fillId="0" borderId="15" xfId="0" applyFont="1" applyBorder="1" applyAlignment="1" applyProtection="1">
      <protection locked="0"/>
    </xf>
    <xf numFmtId="0" fontId="6" fillId="4" borderId="3" xfId="0" applyFont="1" applyFill="1" applyBorder="1" applyAlignment="1" applyProtection="1">
      <protection locked="0"/>
    </xf>
    <xf numFmtId="0" fontId="6" fillId="4" borderId="3" xfId="0" applyFont="1" applyFill="1" applyBorder="1" applyProtection="1">
      <protection locked="0"/>
    </xf>
    <xf numFmtId="0" fontId="6" fillId="4" borderId="20" xfId="0" applyFont="1" applyFill="1" applyBorder="1" applyAlignment="1" applyProtection="1">
      <protection locked="0"/>
    </xf>
    <xf numFmtId="0" fontId="6" fillId="0" borderId="2" xfId="0" applyFont="1" applyBorder="1" applyProtection="1">
      <protection locked="0"/>
    </xf>
    <xf numFmtId="0" fontId="6" fillId="0" borderId="0" xfId="0" applyFont="1" applyProtection="1">
      <protection locked="0"/>
    </xf>
    <xf numFmtId="0" fontId="6" fillId="4" borderId="20" xfId="0" applyFont="1" applyFill="1" applyBorder="1" applyAlignment="1" applyProtection="1"/>
    <xf numFmtId="0" fontId="6" fillId="4" borderId="16" xfId="0" applyFont="1" applyFill="1" applyBorder="1" applyAlignment="1" applyProtection="1"/>
    <xf numFmtId="0" fontId="3" fillId="0" borderId="14" xfId="0" applyFont="1" applyBorder="1" applyProtection="1"/>
    <xf numFmtId="0" fontId="6" fillId="5" borderId="3" xfId="0" applyFont="1" applyFill="1" applyBorder="1" applyAlignment="1" applyProtection="1">
      <alignment horizontal="right"/>
    </xf>
    <xf numFmtId="0" fontId="6" fillId="0" borderId="3" xfId="0" applyFont="1" applyBorder="1" applyAlignment="1" applyProtection="1">
      <alignment horizontal="center" vertical="center"/>
    </xf>
    <xf numFmtId="164" fontId="6" fillId="0" borderId="3" xfId="0" applyNumberFormat="1" applyFont="1" applyBorder="1" applyAlignment="1" applyProtection="1">
      <alignment horizontal="center" vertical="center"/>
    </xf>
    <xf numFmtId="0" fontId="6" fillId="5" borderId="7" xfId="0" applyFont="1" applyFill="1" applyBorder="1" applyAlignment="1" applyProtection="1">
      <alignment horizontal="right"/>
    </xf>
    <xf numFmtId="0" fontId="6" fillId="0" borderId="7" xfId="0" applyFont="1" applyBorder="1" applyAlignment="1" applyProtection="1">
      <alignment horizontal="center" vertical="center"/>
    </xf>
    <xf numFmtId="164" fontId="6" fillId="0" borderId="7" xfId="0" applyNumberFormat="1" applyFont="1" applyBorder="1" applyAlignment="1" applyProtection="1">
      <alignment horizontal="center" vertical="center"/>
    </xf>
    <xf numFmtId="0" fontId="3" fillId="0" borderId="13" xfId="0" applyFont="1" applyBorder="1" applyAlignment="1" applyProtection="1">
      <alignment horizontal="center"/>
    </xf>
    <xf numFmtId="0" fontId="3" fillId="0" borderId="18" xfId="0" applyFont="1" applyBorder="1" applyAlignment="1" applyProtection="1">
      <alignment horizontal="center"/>
    </xf>
    <xf numFmtId="0" fontId="6" fillId="4" borderId="3" xfId="0" applyFont="1" applyFill="1" applyBorder="1" applyAlignment="1" applyProtection="1">
      <alignment horizontal="left"/>
      <protection locked="0"/>
    </xf>
    <xf numFmtId="14" fontId="3" fillId="0" borderId="14" xfId="0" applyNumberFormat="1" applyFont="1" applyBorder="1" applyAlignment="1" applyProtection="1">
      <alignment horizontal="center"/>
      <protection locked="0"/>
    </xf>
    <xf numFmtId="14" fontId="3" fillId="0" borderId="14" xfId="0" quotePrefix="1" applyNumberFormat="1" applyFont="1" applyBorder="1" applyAlignment="1" applyProtection="1">
      <alignment horizontal="center"/>
      <protection locked="0"/>
    </xf>
    <xf numFmtId="14" fontId="6" fillId="0" borderId="14" xfId="0" applyNumberFormat="1" applyFont="1" applyBorder="1" applyAlignment="1" applyProtection="1">
      <alignment horizontal="center"/>
      <protection locked="0"/>
    </xf>
    <xf numFmtId="14" fontId="6" fillId="0" borderId="19" xfId="0" applyNumberFormat="1" applyFont="1" applyBorder="1" applyAlignment="1" applyProtection="1">
      <alignment horizontal="center"/>
      <protection locked="0"/>
    </xf>
    <xf numFmtId="14" fontId="3" fillId="0" borderId="15" xfId="0" applyNumberFormat="1" applyFont="1" applyBorder="1" applyAlignment="1" applyProtection="1">
      <alignment horizontal="center"/>
      <protection locked="0"/>
    </xf>
    <xf numFmtId="0" fontId="3" fillId="0" borderId="1" xfId="0" applyFont="1" applyBorder="1"/>
    <xf numFmtId="0" fontId="6" fillId="0" borderId="0" xfId="0" applyFont="1" applyAlignment="1">
      <alignment horizontal="left"/>
    </xf>
    <xf numFmtId="0" fontId="6" fillId="0" borderId="29" xfId="0" applyFont="1" applyBorder="1"/>
    <xf numFmtId="0" fontId="6" fillId="0" borderId="1" xfId="0" applyFont="1" applyBorder="1" applyAlignment="1">
      <alignment horizontal="left"/>
    </xf>
    <xf numFmtId="0" fontId="6" fillId="0" borderId="1" xfId="0" quotePrefix="1" applyFont="1" applyBorder="1" applyAlignment="1">
      <alignment horizontal="left"/>
    </xf>
    <xf numFmtId="0" fontId="3" fillId="0" borderId="1" xfId="0" quotePrefix="1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6" fillId="0" borderId="31" xfId="0" applyFont="1" applyBorder="1"/>
    <xf numFmtId="0" fontId="6" fillId="0" borderId="30" xfId="0" applyFont="1" applyBorder="1"/>
    <xf numFmtId="0" fontId="6" fillId="0" borderId="32" xfId="0" applyFont="1" applyBorder="1"/>
    <xf numFmtId="1" fontId="6" fillId="0" borderId="3" xfId="0" applyNumberFormat="1" applyFont="1" applyBorder="1" applyAlignment="1">
      <alignment horizontal="center"/>
    </xf>
    <xf numFmtId="1" fontId="6" fillId="0" borderId="7" xfId="0" applyNumberFormat="1" applyFont="1" applyBorder="1" applyAlignment="1">
      <alignment horizontal="center"/>
    </xf>
    <xf numFmtId="0" fontId="6" fillId="0" borderId="29" xfId="0" applyFont="1" applyBorder="1" applyAlignment="1">
      <alignment horizontal="left"/>
    </xf>
    <xf numFmtId="166" fontId="6" fillId="6" borderId="3" xfId="0" applyNumberFormat="1" applyFont="1" applyFill="1" applyBorder="1" applyAlignment="1">
      <alignment horizontal="center"/>
    </xf>
    <xf numFmtId="166" fontId="6" fillId="6" borderId="7" xfId="0" applyNumberFormat="1" applyFont="1" applyFill="1" applyBorder="1" applyAlignment="1">
      <alignment horizontal="center"/>
    </xf>
    <xf numFmtId="0" fontId="6" fillId="4" borderId="20" xfId="0" applyFont="1" applyFill="1" applyBorder="1" applyAlignment="1">
      <alignment horizontal="right"/>
    </xf>
    <xf numFmtId="0" fontId="6" fillId="4" borderId="10" xfId="0" applyFont="1" applyFill="1" applyBorder="1" applyAlignment="1">
      <alignment horizontal="right"/>
    </xf>
    <xf numFmtId="0" fontId="6" fillId="0" borderId="29" xfId="0" applyFont="1" applyFill="1" applyBorder="1" applyAlignment="1">
      <alignment horizontal="right"/>
    </xf>
    <xf numFmtId="0" fontId="6" fillId="4" borderId="4" xfId="0" applyFont="1" applyFill="1" applyBorder="1"/>
    <xf numFmtId="14" fontId="6" fillId="0" borderId="0" xfId="0" applyNumberFormat="1" applyFont="1" applyAlignment="1">
      <alignment horizontal="center"/>
    </xf>
    <xf numFmtId="164" fontId="6" fillId="0" borderId="16" xfId="0" applyNumberFormat="1" applyFont="1" applyBorder="1" applyAlignment="1">
      <alignment horizontal="right"/>
    </xf>
    <xf numFmtId="165" fontId="6" fillId="0" borderId="17" xfId="0" applyNumberFormat="1" applyFont="1" applyBorder="1" applyAlignment="1">
      <alignment horizontal="right"/>
    </xf>
    <xf numFmtId="0" fontId="6" fillId="0" borderId="3" xfId="0" applyFont="1" applyBorder="1" applyAlignment="1">
      <alignment horizontal="right"/>
    </xf>
    <xf numFmtId="2" fontId="6" fillId="0" borderId="3" xfId="0" applyNumberFormat="1" applyFont="1" applyBorder="1"/>
    <xf numFmtId="164" fontId="6" fillId="0" borderId="13" xfId="0" applyNumberFormat="1" applyFont="1" applyBorder="1" applyAlignment="1">
      <alignment horizontal="right"/>
    </xf>
    <xf numFmtId="165" fontId="6" fillId="0" borderId="14" xfId="0" applyNumberFormat="1" applyFont="1" applyBorder="1" applyAlignment="1">
      <alignment horizontal="right"/>
    </xf>
    <xf numFmtId="0" fontId="6" fillId="0" borderId="6" xfId="0" applyFont="1" applyBorder="1" applyAlignment="1">
      <alignment horizontal="right"/>
    </xf>
    <xf numFmtId="2" fontId="6" fillId="0" borderId="6" xfId="0" applyNumberFormat="1" applyFont="1" applyBorder="1"/>
    <xf numFmtId="164" fontId="6" fillId="0" borderId="18" xfId="0" applyNumberFormat="1" applyFont="1" applyBorder="1" applyAlignment="1">
      <alignment horizontal="right"/>
    </xf>
    <xf numFmtId="165" fontId="6" fillId="0" borderId="19" xfId="0" applyNumberFormat="1" applyFont="1" applyBorder="1" applyAlignment="1">
      <alignment horizontal="right"/>
    </xf>
    <xf numFmtId="0" fontId="6" fillId="4" borderId="3" xfId="0" applyFont="1" applyFill="1" applyBorder="1" applyAlignment="1">
      <alignment horizontal="right"/>
    </xf>
    <xf numFmtId="165" fontId="6" fillId="0" borderId="3" xfId="0" applyNumberFormat="1" applyFont="1" applyBorder="1" applyAlignment="1">
      <alignment horizontal="right"/>
    </xf>
    <xf numFmtId="0" fontId="6" fillId="0" borderId="7" xfId="0" applyFont="1" applyBorder="1" applyAlignment="1">
      <alignment horizontal="right"/>
    </xf>
    <xf numFmtId="2" fontId="6" fillId="0" borderId="7" xfId="0" applyNumberFormat="1" applyFont="1" applyBorder="1"/>
    <xf numFmtId="0" fontId="6" fillId="4" borderId="6" xfId="0" applyFont="1" applyFill="1" applyBorder="1" applyAlignment="1">
      <alignment horizontal="right"/>
    </xf>
    <xf numFmtId="165" fontId="6" fillId="0" borderId="6" xfId="0" applyNumberFormat="1" applyFont="1" applyBorder="1"/>
    <xf numFmtId="0" fontId="6" fillId="4" borderId="7" xfId="0" applyFont="1" applyFill="1" applyBorder="1" applyAlignment="1">
      <alignment horizontal="right"/>
    </xf>
    <xf numFmtId="165" fontId="6" fillId="0" borderId="7" xfId="0" applyNumberFormat="1" applyFont="1" applyBorder="1"/>
    <xf numFmtId="3" fontId="6" fillId="0" borderId="6" xfId="0" applyNumberFormat="1" applyFont="1" applyBorder="1"/>
    <xf numFmtId="0" fontId="6" fillId="0" borderId="4" xfId="0" applyFont="1" applyBorder="1" applyAlignment="1">
      <alignment horizontal="center"/>
    </xf>
    <xf numFmtId="165" fontId="6" fillId="0" borderId="4" xfId="0" applyNumberFormat="1" applyFont="1" applyBorder="1" applyAlignment="1">
      <alignment horizontal="right"/>
    </xf>
    <xf numFmtId="4" fontId="6" fillId="0" borderId="6" xfId="0" applyNumberFormat="1" applyFont="1" applyBorder="1"/>
    <xf numFmtId="0" fontId="6" fillId="4" borderId="12" xfId="0" applyFont="1" applyFill="1" applyBorder="1"/>
    <xf numFmtId="0" fontId="6" fillId="4" borderId="10" xfId="0" applyFont="1" applyFill="1" applyBorder="1"/>
    <xf numFmtId="0" fontId="6" fillId="0" borderId="4" xfId="0" applyFont="1" applyBorder="1" applyAlignment="1">
      <alignment horizontal="right"/>
    </xf>
    <xf numFmtId="0" fontId="6" fillId="0" borderId="4" xfId="0" applyFont="1" applyBorder="1"/>
    <xf numFmtId="1" fontId="6" fillId="0" borderId="2" xfId="0" applyNumberFormat="1" applyFont="1" applyBorder="1"/>
    <xf numFmtId="0" fontId="14" fillId="0" borderId="0" xfId="0" applyFont="1"/>
    <xf numFmtId="0" fontId="6" fillId="0" borderId="22" xfId="0" applyFont="1" applyBorder="1" applyAlignment="1">
      <alignment horizontal="right"/>
    </xf>
    <xf numFmtId="0" fontId="6" fillId="0" borderId="20" xfId="0" applyFont="1" applyBorder="1"/>
    <xf numFmtId="0" fontId="6" fillId="0" borderId="29" xfId="0" applyFont="1" applyBorder="1" applyAlignment="1">
      <alignment horizontal="right"/>
    </xf>
    <xf numFmtId="0" fontId="6" fillId="0" borderId="24" xfId="0" quotePrefix="1" applyFont="1" applyBorder="1" applyAlignment="1">
      <alignment horizontal="center"/>
    </xf>
    <xf numFmtId="0" fontId="3" fillId="0" borderId="13" xfId="0" applyFont="1" applyBorder="1" applyAlignment="1"/>
    <xf numFmtId="14" fontId="3" fillId="0" borderId="24" xfId="0" applyNumberFormat="1" applyFont="1" applyBorder="1" applyAlignment="1">
      <alignment horizontal="center"/>
    </xf>
    <xf numFmtId="0" fontId="3" fillId="0" borderId="24" xfId="0" quotePrefix="1" applyFont="1" applyBorder="1" applyAlignment="1">
      <alignment horizontal="center"/>
    </xf>
    <xf numFmtId="0" fontId="3" fillId="0" borderId="29" xfId="0" applyFont="1" applyBorder="1"/>
    <xf numFmtId="0" fontId="6" fillId="0" borderId="24" xfId="0" quotePrefix="1" applyFont="1" applyBorder="1" applyAlignment="1">
      <alignment horizontal="right"/>
    </xf>
    <xf numFmtId="0" fontId="3" fillId="0" borderId="29" xfId="0" applyFont="1" applyBorder="1" applyAlignment="1">
      <alignment horizontal="left"/>
    </xf>
    <xf numFmtId="0" fontId="3" fillId="0" borderId="29" xfId="0" quotePrefix="1" applyFont="1" applyBorder="1"/>
    <xf numFmtId="0" fontId="6" fillId="5" borderId="20" xfId="0" applyFont="1" applyFill="1" applyBorder="1" applyAlignment="1" applyProtection="1">
      <alignment horizontal="right" vertical="center"/>
      <protection locked="0"/>
    </xf>
    <xf numFmtId="0" fontId="6" fillId="5" borderId="10" xfId="0" applyFont="1" applyFill="1" applyBorder="1" applyAlignment="1" applyProtection="1">
      <alignment horizontal="right" vertical="center"/>
      <protection locked="0"/>
    </xf>
    <xf numFmtId="0" fontId="6" fillId="0" borderId="21" xfId="0" applyFont="1" applyBorder="1" applyAlignment="1" applyProtection="1">
      <alignment horizontal="center" vertical="center"/>
      <protection locked="0"/>
    </xf>
    <xf numFmtId="0" fontId="6" fillId="0" borderId="22" xfId="0" applyFont="1" applyBorder="1" applyAlignment="1" applyProtection="1">
      <alignment horizontal="center" vertical="center"/>
      <protection locked="0"/>
    </xf>
    <xf numFmtId="0" fontId="6" fillId="0" borderId="11" xfId="0" applyFont="1" applyBorder="1" applyAlignment="1" applyProtection="1">
      <alignment horizontal="center" vertical="center"/>
      <protection locked="0"/>
    </xf>
    <xf numFmtId="0" fontId="6" fillId="0" borderId="12" xfId="0" applyFont="1" applyBorder="1" applyAlignment="1" applyProtection="1">
      <alignment horizontal="center" vertical="center"/>
      <protection locked="0"/>
    </xf>
    <xf numFmtId="0" fontId="6" fillId="5" borderId="20" xfId="0" applyFont="1" applyFill="1" applyBorder="1" applyAlignment="1" applyProtection="1">
      <alignment horizontal="right" vertical="center" wrapText="1"/>
      <protection locked="0"/>
    </xf>
    <xf numFmtId="0" fontId="6" fillId="5" borderId="10" xfId="0" applyFont="1" applyFill="1" applyBorder="1" applyAlignment="1" applyProtection="1">
      <alignment horizontal="right" vertical="center" wrapText="1"/>
      <protection locked="0"/>
    </xf>
    <xf numFmtId="0" fontId="6" fillId="5" borderId="10" xfId="0" applyFont="1" applyFill="1" applyBorder="1" applyAlignment="1" applyProtection="1">
      <alignment horizontal="right"/>
    </xf>
    <xf numFmtId="0" fontId="6" fillId="5" borderId="11" xfId="0" applyFont="1" applyFill="1" applyBorder="1" applyAlignment="1" applyProtection="1">
      <alignment horizontal="right"/>
    </xf>
    <xf numFmtId="0" fontId="6" fillId="5" borderId="12" xfId="0" applyFont="1" applyFill="1" applyBorder="1" applyAlignment="1" applyProtection="1">
      <alignment horizontal="right"/>
    </xf>
    <xf numFmtId="0" fontId="7" fillId="3" borderId="5" xfId="0" applyFont="1" applyFill="1" applyBorder="1" applyAlignment="1" applyProtection="1">
      <alignment horizontal="center"/>
      <protection locked="0"/>
    </xf>
    <xf numFmtId="0" fontId="7" fillId="3" borderId="8" xfId="0" applyFont="1" applyFill="1" applyBorder="1" applyAlignment="1" applyProtection="1">
      <alignment horizontal="center"/>
      <protection locked="0"/>
    </xf>
    <xf numFmtId="0" fontId="7" fillId="3" borderId="9" xfId="0" applyFont="1" applyFill="1" applyBorder="1" applyAlignment="1" applyProtection="1">
      <alignment horizontal="center"/>
      <protection locked="0"/>
    </xf>
    <xf numFmtId="0" fontId="6" fillId="4" borderId="20" xfId="0" applyFont="1" applyFill="1" applyBorder="1" applyAlignment="1" applyProtection="1">
      <alignment horizontal="left"/>
      <protection locked="0"/>
    </xf>
    <xf numFmtId="0" fontId="6" fillId="4" borderId="21" xfId="0" applyFont="1" applyFill="1" applyBorder="1" applyAlignment="1" applyProtection="1">
      <alignment horizontal="left"/>
      <protection locked="0"/>
    </xf>
    <xf numFmtId="0" fontId="6" fillId="4" borderId="22" xfId="0" applyFont="1" applyFill="1" applyBorder="1" applyAlignment="1" applyProtection="1">
      <alignment horizontal="left"/>
      <protection locked="0"/>
    </xf>
    <xf numFmtId="0" fontId="7" fillId="2" borderId="2" xfId="0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7" fillId="3" borderId="5" xfId="0" applyFont="1" applyFill="1" applyBorder="1" applyAlignment="1">
      <alignment horizontal="center"/>
    </xf>
    <xf numFmtId="0" fontId="7" fillId="3" borderId="8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0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6" fillId="5" borderId="20" xfId="0" applyFont="1" applyFill="1" applyBorder="1" applyAlignment="1" applyProtection="1">
      <alignment horizontal="right"/>
    </xf>
    <xf numFmtId="0" fontId="6" fillId="5" borderId="21" xfId="0" applyFont="1" applyFill="1" applyBorder="1" applyAlignment="1" applyProtection="1">
      <alignment horizontal="right"/>
    </xf>
    <xf numFmtId="0" fontId="6" fillId="5" borderId="22" xfId="0" applyFont="1" applyFill="1" applyBorder="1" applyAlignment="1" applyProtection="1">
      <alignment horizontal="right"/>
    </xf>
    <xf numFmtId="0" fontId="2" fillId="3" borderId="5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7" fillId="3" borderId="10" xfId="0" applyFont="1" applyFill="1" applyBorder="1" applyAlignment="1">
      <alignment horizontal="center"/>
    </xf>
    <xf numFmtId="0" fontId="7" fillId="3" borderId="11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6" fillId="4" borderId="5" xfId="0" applyFont="1" applyFill="1" applyBorder="1" applyAlignment="1">
      <alignment horizontal="center"/>
    </xf>
    <xf numFmtId="0" fontId="6" fillId="4" borderId="9" xfId="0" applyFont="1" applyFill="1" applyBorder="1" applyAlignment="1">
      <alignment horizontal="center"/>
    </xf>
  </cellXfs>
  <cellStyles count="1">
    <cellStyle name="Normal" xfId="0" builtinId="0"/>
  </cellStyles>
  <dxfs count="84"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" formatCode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i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  <border diagonalUp="0" diagonalDown="0">
        <left/>
        <right style="thin">
          <color auto="1"/>
        </right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name val="Arial Unicode MS"/>
      </font>
      <border diagonalUp="0" diagonalDown="0" outline="0">
        <left style="thin">
          <color indexed="64"/>
        </left>
        <right/>
        <top/>
        <bottom/>
      </border>
    </dxf>
    <dxf>
      <font>
        <name val="Arial Unicode MS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 patternType="none">
          <fgColor indexed="64"/>
          <bgColor indexed="65"/>
        </patternFill>
      </fill>
    </dxf>
    <dxf>
      <border diagonalUp="1"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vertical/>
        <horizontal style="thin">
          <color theme="0" tint="-0.14996795556505021"/>
        </horizontal>
      </border>
    </dxf>
    <dxf>
      <border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vertical/>
        <horizontal style="thin">
          <color theme="0" tint="-0.14996795556505021"/>
        </horizontal>
      </border>
    </dxf>
    <dxf>
      <border diagonalDown="1"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horizontal style="thin">
          <color theme="0" tint="-0.14996795556505021"/>
        </horizontal>
      </border>
    </dxf>
    <dxf>
      <border>
        <bottom style="thin">
          <color theme="0" tint="-0.14996795556505021"/>
        </bottom>
      </border>
    </dxf>
    <dxf>
      <fill>
        <patternFill>
          <bgColor theme="3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/>
        <vertical style="thin">
          <color auto="1"/>
        </vertical>
        <horizontal/>
      </border>
    </dxf>
  </dxfs>
  <tableStyles count="1" defaultTableStyle="Matt's Style" defaultPivotStyle="PivotStyleLight16">
    <tableStyle name="Matt's Style" pivot="0" count="5">
      <tableStyleElement type="headerRow" dxfId="83"/>
      <tableStyleElement type="totalRow" dxfId="82"/>
      <tableStyleElement type="lastColumn" dxfId="81"/>
      <tableStyleElement type="firstRowStripe" dxfId="80"/>
      <tableStyleElement type="secondRowStripe" dxfId="79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78787"/>
      <rgbColor rgb="009999FF"/>
      <rgbColor rgb="00993366"/>
      <rgbColor rgb="00E6FFE6"/>
      <rgbColor rgb="00CCFFFF"/>
      <rgbColor rgb="00660066"/>
      <rgbColor rgb="00FF8080"/>
      <rgbColor rgb="000066CC"/>
      <rgbColor rgb="00D9D9D9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E6E6"/>
      <rgbColor rgb="008EB4E3"/>
      <rgbColor rgb="00FF99CC"/>
      <rgbColor rgb="00CC99FF"/>
      <rgbColor rgb="00FFCC99"/>
      <rgbColor rgb="004F81BD"/>
      <rgbColor rgb="0033CCCC"/>
      <rgbColor rgb="0099CC00"/>
      <rgbColor rgb="00FFCC00"/>
      <rgbColor rgb="00FF9900"/>
      <rgbColor rgb="00FF6600"/>
      <rgbColor rgb="00376092"/>
      <rgbColor rgb="00969696"/>
      <rgbColor rgb="0010243E"/>
      <rgbColor rgb="00339966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Distribution of File Types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253913573303334"/>
          <c:y val="0.22597216257058778"/>
          <c:w val="0.53492196287964"/>
          <c:h val="0.726197089000238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3.4406871016122872E-2"/>
                  <c:y val="-8.447115419764729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2.6602455943007152E-2"/>
                  <c:y val="-1.543688857074698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2.7893466441694787E-2"/>
                  <c:y val="1.394289350194865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4.1468644544431971E-2"/>
                  <c:y val="-3.027153424003815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0.2366071428571429"/>
                  <c:y val="2.992447671060615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Arial Unicode MS" panose="020B0604020202020204" pitchFamily="50" charset="-128"/>
                      <a:ea typeface="Arial Unicode MS" panose="020B0604020202020204" pitchFamily="50" charset="-128"/>
                      <a:cs typeface="Arial Unicode MS" panose="020B0604020202020204" pitchFamily="50" charset="-128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4479166666666666"/>
                      <c:h val="0.15656565656565657"/>
                    </c:manualLayout>
                  </c15:layout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 Unicode MS" panose="020B0604020202020204" pitchFamily="50" charset="-128"/>
                    <a:ea typeface="Arial Unicode MS" panose="020B0604020202020204" pitchFamily="50" charset="-128"/>
                    <a:cs typeface="Arial Unicode MS" panose="020B0604020202020204" pitchFamily="50" charset="-128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'Vars and Stats'!$D$38:$D$42</c:f>
              <c:strCache>
                <c:ptCount val="5"/>
                <c:pt idx="0">
                  <c:v>BD</c:v>
                </c:pt>
                <c:pt idx="1">
                  <c:v>TV</c:v>
                </c:pt>
                <c:pt idx="2">
                  <c:v>DVD</c:v>
                </c:pt>
                <c:pt idx="3">
                  <c:v>Web</c:v>
                </c:pt>
                <c:pt idx="4">
                  <c:v>Not Downloaded</c:v>
                </c:pt>
              </c:strCache>
            </c:strRef>
          </c:cat>
          <c:val>
            <c:numRef>
              <c:f>'Vars and Stats'!$E$38:$E$42</c:f>
              <c:numCache>
                <c:formatCode>General</c:formatCode>
                <c:ptCount val="5"/>
                <c:pt idx="0">
                  <c:v>91</c:v>
                </c:pt>
                <c:pt idx="1">
                  <c:v>80</c:v>
                </c:pt>
                <c:pt idx="2">
                  <c:v>10</c:v>
                </c:pt>
                <c:pt idx="3">
                  <c:v>11</c:v>
                </c:pt>
                <c:pt idx="4">
                  <c:v>17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Number of Shows per Fansub</a:t>
            </a:r>
            <a:r>
              <a:rPr lang="en-US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 Group</a:t>
            </a:r>
            <a:endParaRPr lang="en-US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'Vars and Stats'!$E$2</c:f>
              <c:strCache>
                <c:ptCount val="1"/>
                <c:pt idx="0">
                  <c:v>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('Vars and Stats'!$D$3:$D$10,'Vars and Stats'!$D$16)</c:f>
              <c:strCache>
                <c:ptCount val="9"/>
                <c:pt idx="0">
                  <c:v>Coalgirls</c:v>
                </c:pt>
                <c:pt idx="1">
                  <c:v>HorribleSubs</c:v>
                </c:pt>
                <c:pt idx="2">
                  <c:v>Doki</c:v>
                </c:pt>
                <c:pt idx="3">
                  <c:v>FFF</c:v>
                </c:pt>
                <c:pt idx="4">
                  <c:v>UTW</c:v>
                </c:pt>
                <c:pt idx="5">
                  <c:v>Mazui</c:v>
                </c:pt>
                <c:pt idx="6">
                  <c:v>Elysium</c:v>
                </c:pt>
                <c:pt idx="7">
                  <c:v>Eclipse</c:v>
                </c:pt>
                <c:pt idx="8">
                  <c:v>Other</c:v>
                </c:pt>
              </c:strCache>
            </c:strRef>
          </c:cat>
          <c:val>
            <c:numRef>
              <c:f>('Vars and Stats'!$E$3:$E$10,'Vars and Stats'!$E$16)</c:f>
              <c:numCache>
                <c:formatCode>General</c:formatCode>
                <c:ptCount val="9"/>
                <c:pt idx="0">
                  <c:v>35</c:v>
                </c:pt>
                <c:pt idx="1">
                  <c:v>30</c:v>
                </c:pt>
                <c:pt idx="2">
                  <c:v>25</c:v>
                </c:pt>
                <c:pt idx="3">
                  <c:v>23</c:v>
                </c:pt>
                <c:pt idx="4">
                  <c:v>12</c:v>
                </c:pt>
                <c:pt idx="5">
                  <c:v>11</c:v>
                </c:pt>
                <c:pt idx="6">
                  <c:v>8</c:v>
                </c:pt>
                <c:pt idx="7">
                  <c:v>7</c:v>
                </c:pt>
                <c:pt idx="8">
                  <c:v>63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7"/>
        <c:axId val="-1438480592"/>
        <c:axId val="-1438485488"/>
      </c:barChart>
      <c:catAx>
        <c:axId val="-1438480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-1438485488"/>
        <c:crosses val="autoZero"/>
        <c:auto val="1"/>
        <c:lblAlgn val="ctr"/>
        <c:lblOffset val="100"/>
        <c:noMultiLvlLbl val="0"/>
      </c:catAx>
      <c:valAx>
        <c:axId val="-1438485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-143848059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Number</a:t>
            </a:r>
            <a:r>
              <a:rPr lang="en-US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 of Shows per Rating Range</a:t>
            </a:r>
            <a:endParaRPr lang="en-US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'Vars and Stats'!$E$25</c:f>
              <c:strCache>
                <c:ptCount val="1"/>
                <c:pt idx="0">
                  <c:v>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'Vars and Stats'!$C$3:$C$12</c:f>
              <c:strCache>
                <c:ptCount val="10"/>
                <c:pt idx="0">
                  <c:v>r » 9</c:v>
                </c:pt>
                <c:pt idx="1">
                  <c:v>r » 8</c:v>
                </c:pt>
                <c:pt idx="2">
                  <c:v>r » 7</c:v>
                </c:pt>
                <c:pt idx="3">
                  <c:v>r » 6</c:v>
                </c:pt>
                <c:pt idx="4">
                  <c:v>r » 5</c:v>
                </c:pt>
                <c:pt idx="5">
                  <c:v>r » 4</c:v>
                </c:pt>
                <c:pt idx="6">
                  <c:v>r » 3</c:v>
                </c:pt>
                <c:pt idx="7">
                  <c:v>r » 2</c:v>
                </c:pt>
                <c:pt idx="8">
                  <c:v>r » 1</c:v>
                </c:pt>
                <c:pt idx="9">
                  <c:v>r » 0</c:v>
                </c:pt>
              </c:strCache>
            </c:strRef>
          </c:cat>
          <c:val>
            <c:numRef>
              <c:f>'Vars and Stats'!$E$26:$E$35</c:f>
              <c:numCache>
                <c:formatCode>0</c:formatCode>
                <c:ptCount val="10"/>
                <c:pt idx="0">
                  <c:v>16</c:v>
                </c:pt>
                <c:pt idx="1">
                  <c:v>53</c:v>
                </c:pt>
                <c:pt idx="2">
                  <c:v>37</c:v>
                </c:pt>
                <c:pt idx="3">
                  <c:v>14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7"/>
        <c:axId val="-1438493104"/>
        <c:axId val="-1438484400"/>
      </c:barChart>
      <c:catAx>
        <c:axId val="-143849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-1438484400"/>
        <c:crosses val="autoZero"/>
        <c:auto val="1"/>
        <c:lblAlgn val="ctr"/>
        <c:lblOffset val="100"/>
        <c:noMultiLvlLbl val="0"/>
      </c:catAx>
      <c:valAx>
        <c:axId val="-1438484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-143849310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Distribution of Show Qualities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841699475065614"/>
          <c:y val="0.1924358744929611"/>
          <c:w val="0.56483291151106108"/>
          <c:h val="0.7188782510140777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-6.2658652043494564E-2"/>
                  <c:y val="2.40909090909090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2.6916479190101237E-2"/>
                  <c:y val="3.249045573848723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1.4882358455192991E-2"/>
                  <c:y val="2.153424003817704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 Unicode MS" panose="020B0604020202020204" pitchFamily="50" charset="-128"/>
                    <a:ea typeface="Arial Unicode MS" panose="020B0604020202020204" pitchFamily="50" charset="-128"/>
                    <a:cs typeface="Arial Unicode MS" panose="020B0604020202020204" pitchFamily="50" charset="-128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'Vars and Stats'!$D$45:$D$47</c:f>
              <c:strCache>
                <c:ptCount val="3"/>
                <c:pt idx="0">
                  <c:v>720p</c:v>
                </c:pt>
                <c:pt idx="1">
                  <c:v>1080p</c:v>
                </c:pt>
                <c:pt idx="2">
                  <c:v>Other</c:v>
                </c:pt>
              </c:strCache>
            </c:strRef>
          </c:cat>
          <c:val>
            <c:numRef>
              <c:f>'Vars and Stats'!$E$45:$E$47</c:f>
              <c:numCache>
                <c:formatCode>General</c:formatCode>
                <c:ptCount val="3"/>
                <c:pt idx="0">
                  <c:v>164</c:v>
                </c:pt>
                <c:pt idx="1">
                  <c:v>15</c:v>
                </c:pt>
                <c:pt idx="2">
                  <c:v>12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76"/>
      </c:pieChart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r>
              <a:rPr lang="en-US" sz="140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Distribution of Storage Medium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371247719451989"/>
          <c:y val="0.12884327588804312"/>
          <c:w val="0.63560856163995483"/>
          <c:h val="0.81282403735639563"/>
        </c:manualLayout>
      </c:layout>
      <c:pieChart>
        <c:varyColors val="1"/>
        <c:ser>
          <c:idx val="0"/>
          <c:order val="0"/>
          <c:explosion val="20"/>
          <c:dPt>
            <c:idx val="0"/>
            <c:bubble3D val="0"/>
            <c:explosion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explosion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explosion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-4.7961624467872131E-2"/>
                  <c:y val="-1.305825449361488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4.7865067103826785E-2"/>
                  <c:y val="2.299514284852324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2.9982478025527028E-2"/>
                  <c:y val="9.657909538083833E-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Arial Unicode MS" panose="020B0604020202020204" pitchFamily="50" charset="-128"/>
                      <a:ea typeface="Arial Unicode MS" panose="020B0604020202020204" pitchFamily="50" charset="-128"/>
                      <a:cs typeface="Arial Unicode MS" panose="020B0604020202020204" pitchFamily="50" charset="-128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970908139714962"/>
                      <c:h val="0.13707197180457995"/>
                    </c:manualLayout>
                  </c15:layout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 Unicode MS" panose="020B0604020202020204" pitchFamily="50" charset="-128"/>
                    <a:ea typeface="Arial Unicode MS" panose="020B0604020202020204" pitchFamily="50" charset="-128"/>
                    <a:cs typeface="Arial Unicode MS" panose="020B0604020202020204" pitchFamily="50" charset="-128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'Vars and Stats'!$D$21:$D$23</c:f>
              <c:strCache>
                <c:ptCount val="3"/>
                <c:pt idx="0">
                  <c:v>Drive A</c:v>
                </c:pt>
                <c:pt idx="1">
                  <c:v>Drive B</c:v>
                </c:pt>
                <c:pt idx="2">
                  <c:v>Streamed online</c:v>
                </c:pt>
              </c:strCache>
            </c:strRef>
          </c:cat>
          <c:val>
            <c:numRef>
              <c:f>'Vars and Stats'!$E$21:$E$23</c:f>
              <c:numCache>
                <c:formatCode>General</c:formatCode>
                <c:ptCount val="3"/>
                <c:pt idx="0">
                  <c:v>117</c:v>
                </c:pt>
                <c:pt idx="1">
                  <c:v>74</c:v>
                </c:pt>
                <c:pt idx="2">
                  <c:v>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115"/>
      </c:pieChart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29</xdr:row>
          <xdr:rowOff>38100</xdr:rowOff>
        </xdr:from>
        <xdr:to>
          <xdr:col>7</xdr:col>
          <xdr:colOff>581025</xdr:colOff>
          <xdr:row>30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Downloaded new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31</xdr:row>
          <xdr:rowOff>38100</xdr:rowOff>
        </xdr:from>
        <xdr:to>
          <xdr:col>7</xdr:col>
          <xdr:colOff>581025</xdr:colOff>
          <xdr:row>32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an airing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27</xdr:row>
          <xdr:rowOff>57150</xdr:rowOff>
        </xdr:from>
        <xdr:to>
          <xdr:col>7</xdr:col>
          <xdr:colOff>581025</xdr:colOff>
          <xdr:row>28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Sort all lists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35</xdr:row>
          <xdr:rowOff>57150</xdr:rowOff>
        </xdr:from>
        <xdr:to>
          <xdr:col>7</xdr:col>
          <xdr:colOff>581025</xdr:colOff>
          <xdr:row>36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Completed new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33</xdr:row>
          <xdr:rowOff>57150</xdr:rowOff>
        </xdr:from>
        <xdr:to>
          <xdr:col>7</xdr:col>
          <xdr:colOff>581025</xdr:colOff>
          <xdr:row>34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show from backlog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37</xdr:row>
          <xdr:rowOff>47625</xdr:rowOff>
        </xdr:from>
        <xdr:to>
          <xdr:col>7</xdr:col>
          <xdr:colOff>581025</xdr:colOff>
          <xdr:row>38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Queue new show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39</xdr:row>
          <xdr:rowOff>47625</xdr:rowOff>
        </xdr:from>
        <xdr:to>
          <xdr:col>7</xdr:col>
          <xdr:colOff>581025</xdr:colOff>
          <xdr:row>40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rewatch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41</xdr:row>
          <xdr:rowOff>47625</xdr:rowOff>
        </xdr:from>
        <xdr:to>
          <xdr:col>7</xdr:col>
          <xdr:colOff>581025</xdr:colOff>
          <xdr:row>42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Finish rewatch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0</xdr:rowOff>
    </xdr:from>
    <xdr:to>
      <xdr:col>13</xdr:col>
      <xdr:colOff>0</xdr:colOff>
      <xdr:row>16</xdr:row>
      <xdr:rowOff>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5845</xdr:colOff>
      <xdr:row>17</xdr:row>
      <xdr:rowOff>22412</xdr:rowOff>
    </xdr:from>
    <xdr:to>
      <xdr:col>13</xdr:col>
      <xdr:colOff>0</xdr:colOff>
      <xdr:row>33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21</xdr:col>
      <xdr:colOff>0</xdr:colOff>
      <xdr:row>16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17</xdr:row>
      <xdr:rowOff>0</xdr:rowOff>
    </xdr:from>
    <xdr:to>
      <xdr:col>21</xdr:col>
      <xdr:colOff>0</xdr:colOff>
      <xdr:row>33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0</xdr:colOff>
      <xdr:row>0</xdr:row>
      <xdr:rowOff>0</xdr:rowOff>
    </xdr:from>
    <xdr:to>
      <xdr:col>29</xdr:col>
      <xdr:colOff>0</xdr:colOff>
      <xdr:row>16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racker" displayName="Tracker" ref="A2:H211" totalsRowShown="0">
  <autoFilter ref="A2:H211"/>
  <sortState ref="A3:H211">
    <sortCondition ref="G3:G211"/>
  </sortState>
  <tableColumns count="8">
    <tableColumn id="1" name="Anime Name" dataDxfId="68" totalsRowDxfId="67"/>
    <tableColumn id="2" name="Sn." dataDxfId="66" totalsRowDxfId="65"/>
    <tableColumn id="3" name="Eps. " dataDxfId="64" totalsRowDxfId="63"/>
    <tableColumn id="4" name="Dr. #" dataDxfId="62" totalsRowDxfId="61"/>
    <tableColumn id="5" name="Quality" dataDxfId="60" totalsRowDxfId="59"/>
    <tableColumn id="6" name="Type" dataDxfId="58" totalsRowDxfId="57"/>
    <tableColumn id="7" name="Airtime" dataDxfId="56" totalsRowDxfId="55"/>
    <tableColumn id="8" name="Subber(s)" dataDxfId="54" totalsRowDxfId="53"/>
  </tableColumns>
  <tableStyleInfo name="Matt's Style" showFirstColumn="0" showLastColumn="0" showRowStripes="1" showColumnStripes="0"/>
</table>
</file>

<file path=xl/tables/table2.xml><?xml version="1.0" encoding="utf-8"?>
<table xmlns="http://schemas.openxmlformats.org/spreadsheetml/2006/main" id="7" name="Backlog" displayName="Backlog" ref="A2:C72" totalsRowShown="0" headerRowDxfId="52" dataDxfId="51">
  <autoFilter ref="A2:C72"/>
  <sortState ref="A3:C72">
    <sortCondition ref="C3:C72"/>
    <sortCondition ref="A3:A72"/>
  </sortState>
  <tableColumns count="3">
    <tableColumn id="1" name="Anime Name" dataDxfId="50"/>
    <tableColumn id="2" name="Sn." dataDxfId="49"/>
    <tableColumn id="3" name="Status" dataDxfId="48"/>
  </tableColumns>
  <tableStyleInfo name="Matt's Style" showFirstColumn="0" showLastColumn="0" showRowStripes="1" showColumnStripes="0"/>
</table>
</file>

<file path=xl/tables/table3.xml><?xml version="1.0" encoding="utf-8"?>
<table xmlns="http://schemas.openxmlformats.org/spreadsheetml/2006/main" id="4" name="Completed" displayName="Completed" ref="A2:L128" totalsRowShown="0" headerRowDxfId="47" dataDxfId="46" tableBorderDxfId="45">
  <autoFilter ref="A2:L128"/>
  <sortState ref="A3:L128">
    <sortCondition descending="1" ref="H3:H128"/>
  </sortState>
  <tableColumns count="12">
    <tableColumn id="1" name="Anime Name" dataDxfId="44"/>
    <tableColumn id="2" name="Sn." dataDxfId="43"/>
    <tableColumn id="3" name="Plot" dataDxfId="42"/>
    <tableColumn id="4" name="Char." dataDxfId="41"/>
    <tableColumn id="5" name="Moe" dataDxfId="40"/>
    <tableColumn id="6" name="Pref" dataDxfId="39"/>
    <tableColumn id="7" name="Raw" dataDxfId="38">
      <calculatedColumnFormula>(Completed[[#This Row],[Plot]]*'Vars and Stats'!$B$3+Completed[[#This Row],[Char.]]*'Vars and Stats'!$B$4+Completed[[#This Row],[Moe]]*'Vars and Stats'!$B$5+Completed[[#This Row],[Pref]]*'Vars and Stats'!$B$6)/'Vars and Stats'!$B$11</calculatedColumnFormula>
    </tableColumn>
    <tableColumn id="8" name="Total" dataDxfId="37">
      <calculatedColumnFormula>IF('Vars and Stats'!$B$13="Y",10*(Completed[[#This Row],[Raw]]-'Vars and Stats'!$B$9)/'Vars and Stats'!$B$10, 10*Completed[[#This Row],[Raw]]/'Vars and Stats'!$B$8)</calculatedColumnFormula>
    </tableColumn>
    <tableColumn id="10" name="Start Day" dataDxfId="36"/>
    <tableColumn id="11" name="End Day" dataDxfId="35"/>
    <tableColumn id="12" name="Best Girl" dataDxfId="34"/>
    <tableColumn id="13" name="Notes" dataDxfId="33"/>
  </tableColumns>
  <tableStyleInfo name="Matt's Style" showFirstColumn="0" showLastColumn="0" showRowStripes="1" showColumnStripes="0"/>
</table>
</file>

<file path=xl/tables/table4.xml><?xml version="1.0" encoding="utf-8"?>
<table xmlns="http://schemas.openxmlformats.org/spreadsheetml/2006/main" id="2" name="Rewatches" displayName="Rewatches" ref="A2:D16" totalsRowShown="0" headerRowDxfId="32" dataDxfId="31" tableBorderDxfId="30">
  <autoFilter ref="A2:D16"/>
  <sortState ref="A3:D16">
    <sortCondition ref="C3:C16"/>
  </sortState>
  <tableColumns count="4">
    <tableColumn id="1" name="Anime Name" dataDxfId="29"/>
    <tableColumn id="2" name="Sn." dataDxfId="28"/>
    <tableColumn id="6" name="Start" dataDxfId="27"/>
    <tableColumn id="7" name="End" dataDxfId="26"/>
  </tableColumns>
  <tableStyleInfo name="Matt's Style" showFirstColumn="0" showLastColumn="0" showRowStripes="1" showColumnStripes="0"/>
</table>
</file>

<file path=xl/tables/table5.xml><?xml version="1.0" encoding="utf-8"?>
<table xmlns="http://schemas.openxmlformats.org/spreadsheetml/2006/main" id="5" name="Dropped" displayName="Dropped" ref="A2:D9" totalsRowShown="0" headerRowDxfId="25" tableBorderDxfId="24">
  <autoFilter ref="A2:D9"/>
  <tableColumns count="4">
    <tableColumn id="1" name="Anime Name" dataDxfId="23"/>
    <tableColumn id="2" name="Sn." dataDxfId="22"/>
    <tableColumn id="3" name="Ep." dataDxfId="21"/>
    <tableColumn id="4" name="Reason" dataDxfId="20"/>
  </tableColumns>
  <tableStyleInfo name="Matt's Style" showFirstColumn="0" showLastColumn="0" showRowStripes="1" showColumnStripes="0"/>
</table>
</file>

<file path=xl/tables/table6.xml><?xml version="1.0" encoding="utf-8"?>
<table xmlns="http://schemas.openxmlformats.org/spreadsheetml/2006/main" id="3" name="Table3" displayName="Table3" ref="D2:E14" totalsRowShown="0" headerRowDxfId="19" dataDxfId="17" headerRowBorderDxfId="18" tableBorderDxfId="16">
  <autoFilter ref="D2:E14"/>
  <tableColumns count="2">
    <tableColumn id="1" name="Subber Name" dataDxfId="15"/>
    <tableColumn id="2" name="Count" dataDxfId="14"/>
  </tableColumns>
  <tableStyleInfo name="Matt's Style" showFirstColumn="0" showLastColumn="0" showRowStripes="1" showColumnStripes="0"/>
</table>
</file>

<file path=xl/tables/table7.xml><?xml version="1.0" encoding="utf-8"?>
<table xmlns="http://schemas.openxmlformats.org/spreadsheetml/2006/main" id="6" name="Table6" displayName="Table6" ref="D25:E35" totalsRowShown="0" headerRowDxfId="13" dataDxfId="11" headerRowBorderDxfId="12" tableBorderDxfId="10">
  <autoFilter ref="D25:E35"/>
  <tableColumns count="2">
    <tableColumn id="1" name="Rating Range" dataDxfId="9"/>
    <tableColumn id="2" name="Count" dataDxfId="8"/>
  </tableColumns>
  <tableStyleInfo name="Matt's Style" showFirstColumn="0" showLastColumn="0" showRowStripes="1" showColumnStripes="0"/>
</table>
</file>

<file path=xl/tables/table8.xml><?xml version="1.0" encoding="utf-8"?>
<table xmlns="http://schemas.openxmlformats.org/spreadsheetml/2006/main" id="9" name="Table9" displayName="Table9" ref="A1:F2" totalsRowShown="0" headerRowDxfId="7" dataDxfId="6">
  <autoFilter ref="A1:F2"/>
  <tableColumns count="6">
    <tableColumn id="1" name="Name" dataDxfId="5"/>
    <tableColumn id="2" name="Start Day" dataDxfId="4"/>
    <tableColumn id="3" name="Duration" dataDxfId="3"/>
    <tableColumn id="4" name="End Day" dataDxfId="2"/>
    <tableColumn id="5" name="St. Rnk" dataDxfId="1"/>
    <tableColumn id="6" name="Ed. Rnk" dataDxfId="0"/>
  </tableColumns>
  <tableStyleInfo name="Matt's Sty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F195"/>
  <sheetViews>
    <sheetView showGridLines="0" tabSelected="1" zoomScale="85" zoomScaleNormal="85" workbookViewId="0">
      <selection activeCell="D13" sqref="D13"/>
    </sheetView>
  </sheetViews>
  <sheetFormatPr defaultRowHeight="16.5"/>
  <cols>
    <col min="1" max="1" width="38.7109375" style="30" customWidth="1"/>
    <col min="2" max="2" width="9.140625" style="23"/>
    <col min="3" max="5" width="5.7109375" style="23" customWidth="1"/>
    <col min="6" max="6" width="14.5703125" style="23" hidden="1" customWidth="1"/>
    <col min="7" max="7" width="5.5703125" style="23" hidden="1" customWidth="1"/>
    <col min="8" max="8" width="9.140625" style="23" customWidth="1"/>
    <col min="9" max="9" width="1.5703125" style="24" bestFit="1" customWidth="1"/>
    <col min="10" max="10" width="38.7109375" style="23" customWidth="1"/>
    <col min="11" max="11" width="4.140625" style="23" bestFit="1" customWidth="1"/>
    <col min="12" max="12" width="7" style="64" bestFit="1" customWidth="1"/>
    <col min="13" max="13" width="1.5703125" style="31" bestFit="1" customWidth="1"/>
    <col min="14" max="14" width="38.7109375" style="23" customWidth="1"/>
    <col min="15" max="15" width="4.140625" style="23" bestFit="1" customWidth="1"/>
    <col min="16" max="16" width="5.7109375" style="23" hidden="1" customWidth="1"/>
    <col min="17" max="17" width="5.140625" style="68" hidden="1" customWidth="1"/>
    <col min="18" max="18" width="7.5703125" style="68" hidden="1" customWidth="1"/>
    <col min="19" max="19" width="5.7109375" style="68" hidden="1" customWidth="1"/>
    <col min="20" max="20" width="9.140625" style="68" hidden="1" customWidth="1"/>
    <col min="21" max="21" width="17.28515625" style="23" hidden="1" customWidth="1"/>
    <col min="22" max="25" width="5.7109375" style="23" hidden="1" customWidth="1"/>
    <col min="26" max="26" width="5.85546875" style="23" hidden="1" customWidth="1"/>
    <col min="27" max="27" width="9.140625" style="68"/>
    <col min="28" max="29" width="13.7109375" style="68" customWidth="1"/>
    <col min="30" max="30" width="23.140625" style="23" bestFit="1" customWidth="1"/>
    <col min="31" max="31" width="99.42578125" style="40" hidden="1" customWidth="1"/>
    <col min="32" max="32" width="9.140625" style="30"/>
    <col min="33" max="16384" width="9.140625" style="23"/>
  </cols>
  <sheetData>
    <row r="1" spans="1:31">
      <c r="A1" s="195" t="s">
        <v>470</v>
      </c>
      <c r="B1" s="196"/>
      <c r="C1" s="196"/>
      <c r="D1" s="196"/>
      <c r="E1" s="196"/>
      <c r="F1" s="196"/>
      <c r="G1" s="196"/>
      <c r="H1" s="196"/>
      <c r="I1" s="196"/>
      <c r="J1" s="196"/>
      <c r="K1" s="196"/>
      <c r="L1" s="196"/>
      <c r="M1" s="196"/>
      <c r="N1" s="196"/>
      <c r="O1" s="196"/>
      <c r="P1" s="196"/>
      <c r="Q1" s="196"/>
      <c r="R1" s="196"/>
      <c r="S1" s="196"/>
      <c r="T1" s="196"/>
      <c r="U1" s="196"/>
      <c r="V1" s="196"/>
      <c r="W1" s="196"/>
      <c r="X1" s="196"/>
      <c r="Y1" s="196"/>
      <c r="Z1" s="196"/>
      <c r="AA1" s="196"/>
      <c r="AB1" s="196"/>
      <c r="AC1" s="196"/>
      <c r="AD1" s="196"/>
      <c r="AE1" s="196"/>
    </row>
    <row r="2" spans="1:31">
      <c r="A2" s="189" t="s">
        <v>0</v>
      </c>
      <c r="B2" s="190"/>
      <c r="C2" s="190"/>
      <c r="D2" s="190"/>
      <c r="E2" s="190"/>
      <c r="F2" s="190"/>
      <c r="G2" s="190"/>
      <c r="H2" s="191"/>
      <c r="I2" s="24" t="s">
        <v>157</v>
      </c>
      <c r="J2" s="200" t="s">
        <v>468</v>
      </c>
      <c r="K2" s="201"/>
      <c r="L2" s="202"/>
      <c r="N2" s="197" t="s">
        <v>469</v>
      </c>
      <c r="O2" s="198"/>
      <c r="P2" s="198"/>
      <c r="Q2" s="198"/>
      <c r="R2" s="198"/>
      <c r="S2" s="198"/>
      <c r="T2" s="198"/>
      <c r="U2" s="198"/>
      <c r="V2" s="198"/>
      <c r="W2" s="198"/>
      <c r="X2" s="198"/>
      <c r="Y2" s="198"/>
      <c r="Z2" s="198"/>
      <c r="AA2" s="198"/>
      <c r="AB2" s="198"/>
      <c r="AC2" s="198"/>
      <c r="AD2" s="198"/>
      <c r="AE2" s="199"/>
    </row>
    <row r="3" spans="1:31">
      <c r="A3" s="97" t="s">
        <v>224</v>
      </c>
      <c r="B3" s="98" t="s">
        <v>283</v>
      </c>
      <c r="C3" s="98" t="s">
        <v>156</v>
      </c>
      <c r="D3" s="98" t="s">
        <v>353</v>
      </c>
      <c r="E3" s="99" t="s">
        <v>354</v>
      </c>
      <c r="F3" s="113" t="s">
        <v>436</v>
      </c>
      <c r="G3" s="102" t="s">
        <v>264</v>
      </c>
      <c r="H3" s="103" t="s">
        <v>173</v>
      </c>
      <c r="I3" s="24" t="s">
        <v>157</v>
      </c>
      <c r="J3" s="27" t="s">
        <v>3</v>
      </c>
      <c r="K3" s="61" t="s">
        <v>156</v>
      </c>
      <c r="L3" s="63" t="s">
        <v>4</v>
      </c>
      <c r="M3" s="62" t="s">
        <v>157</v>
      </c>
      <c r="N3" s="26" t="s">
        <v>3</v>
      </c>
      <c r="O3" s="25" t="s">
        <v>156</v>
      </c>
      <c r="P3" s="25" t="s">
        <v>142</v>
      </c>
      <c r="Q3" s="67" t="s">
        <v>263</v>
      </c>
      <c r="R3" s="67" t="s">
        <v>465</v>
      </c>
      <c r="S3" s="67" t="s">
        <v>109</v>
      </c>
      <c r="T3" s="67" t="s">
        <v>435</v>
      </c>
      <c r="U3" s="27" t="s">
        <v>173</v>
      </c>
      <c r="V3" s="25" t="s">
        <v>5</v>
      </c>
      <c r="W3" s="25" t="s">
        <v>6</v>
      </c>
      <c r="X3" s="25" t="s">
        <v>7</v>
      </c>
      <c r="Y3" s="25" t="s">
        <v>8</v>
      </c>
      <c r="Z3" s="25" t="s">
        <v>9</v>
      </c>
      <c r="AA3" s="27" t="s">
        <v>10</v>
      </c>
      <c r="AB3" s="67" t="s">
        <v>572</v>
      </c>
      <c r="AC3" s="67" t="s">
        <v>571</v>
      </c>
      <c r="AD3" s="25" t="s">
        <v>186</v>
      </c>
      <c r="AE3" s="42" t="s">
        <v>11</v>
      </c>
    </row>
    <row r="4" spans="1:31">
      <c r="A4" s="90" t="s">
        <v>638</v>
      </c>
      <c r="B4" s="91" t="s">
        <v>658</v>
      </c>
      <c r="C4" s="92">
        <v>1</v>
      </c>
      <c r="D4" s="92">
        <v>5</v>
      </c>
      <c r="E4" s="92">
        <v>5</v>
      </c>
      <c r="F4" s="115">
        <v>41828</v>
      </c>
      <c r="G4" s="111" t="str">
        <f ca="1">IF($A4&lt;&gt;"", INDIRECT("'Tracker'!"&amp;ADDRESS(MATCH($A4, Tracker[Anime Name], 0) + 2, 4)), "")</f>
        <v>B</v>
      </c>
      <c r="H4" s="104" t="str">
        <f ca="1">IF($A4&lt;&gt;"", INDIRECT("'Tracker'!"&amp;ADDRESS(MATCH($A4, Tracker[Anime Name], 0) + 2, 8)), "")</f>
        <v>Doki</v>
      </c>
      <c r="I4" s="24" t="s">
        <v>157</v>
      </c>
      <c r="J4" s="21" t="str">
        <f>IF(Backlog!$A$3&lt;&gt;"",Backlog!$A$3,"")</f>
        <v>Accel World</v>
      </c>
      <c r="K4" s="28">
        <f>IF(Backlog!$B$3&lt;&gt;"",Backlog!$B$3,"")</f>
        <v>1</v>
      </c>
      <c r="L4" s="29" t="str">
        <f>IF(Backlog!$C$3&lt;&gt;"",Backlog!$C$3,"")</f>
        <v>DL</v>
      </c>
      <c r="N4" s="21" t="str">
        <f>IF(Completed!$A$3&lt;&gt;"",Completed!$A$3,"")</f>
        <v>Inferno Cop</v>
      </c>
      <c r="O4" s="28">
        <f>IF(Completed!$B$3&lt;&gt;"",Completed!$B$3,"")</f>
        <v>1</v>
      </c>
      <c r="P4" s="28">
        <f ca="1">IF($N$4&lt;&gt;"", INDIRECT("'Tracker'!"&amp;ADDRESS(MATCH($N$4, Tracker[Anime Name], 0) + 2, 3)), "")</f>
        <v>13</v>
      </c>
      <c r="Q4" s="22" t="str">
        <f ca="1">IF($N$4&lt;&gt;"", INDIRECT("'Tracker'!"&amp;ADDRESS(MATCH($N$4, Tracker[Anime Name], 0) + 2, 4)), "")</f>
        <v>B</v>
      </c>
      <c r="R4" s="22" t="str">
        <f ca="1">IF($N$4&lt;&gt;"", INDIRECT("'Tracker'!"&amp;ADDRESS(MATCH($N$4, Tracker[Anime Name], 0) + 2, 5)), "")</f>
        <v>720p</v>
      </c>
      <c r="S4" s="22" t="str">
        <f ca="1">IF($N$4&lt;&gt;"", INDIRECT("'Tracker'!"&amp;ADDRESS(MATCH($N$4, Tracker[Anime Name], 0) + 2, 6)), "")</f>
        <v>Web</v>
      </c>
      <c r="T4" s="22" t="str">
        <f ca="1">IF($N$4&lt;&gt;"", INDIRECT("'Tracker'!"&amp;ADDRESS(MATCH($N$4, Tracker[Anime Name], 0) + 2, 7)), "")</f>
        <v>2012D</v>
      </c>
      <c r="U4" s="28" t="str">
        <f ca="1">IF($N$4&lt;&gt;"", INDIRECT("'Tracker'!"&amp;ADDRESS(MATCH($N$4, Tracker[Anime Name], 0) + 2, 8)), "")</f>
        <v>Commie</v>
      </c>
      <c r="V4" s="53">
        <f>IF(Completed!$C$3&lt;&gt;"",Completed!$C$3,"")</f>
        <v>11</v>
      </c>
      <c r="W4" s="53">
        <f>IF(Completed!$D$3&lt;&gt;"",Completed!$D$3,"")</f>
        <v>11</v>
      </c>
      <c r="X4" s="53">
        <f>IF(Completed!$E$3&lt;&gt;"",Completed!$E$3,"")</f>
        <v>0</v>
      </c>
      <c r="Y4" s="53">
        <f>IF(Completed!$F$3&lt;&gt;"",Completed!$F$3,"")</f>
        <v>10</v>
      </c>
      <c r="Z4" s="65">
        <f>IF(Completed!$G$3&lt;&gt;"",Completed!$G$3,"")</f>
        <v>9.9748743718592969</v>
      </c>
      <c r="AA4" s="75">
        <f>IF(Completed!$H$3&lt;&gt;"",Completed!$H$3,"")</f>
        <v>10</v>
      </c>
      <c r="AB4" s="54">
        <f>IF(Completed!$I$3&lt;&gt;"",Completed!$I$3,"")</f>
        <v>41290</v>
      </c>
      <c r="AC4" s="54">
        <f>IF(Completed!$J$3&lt;&gt;"",Completed!$J$3,"")</f>
        <v>41352</v>
      </c>
      <c r="AD4" s="66" t="str">
        <f>IF(Completed!$K$3&lt;&gt;"",Completed!$K$3,"")</f>
        <v>Inferno Cop</v>
      </c>
      <c r="AE4" s="66" t="str">
        <f>IF(Completed!$L$3&lt;&gt;"",Completed!$L$3,"")</f>
        <v/>
      </c>
    </row>
    <row r="5" spans="1:31">
      <c r="A5" s="90" t="s">
        <v>668</v>
      </c>
      <c r="B5" s="93" t="s">
        <v>678</v>
      </c>
      <c r="C5" s="92">
        <v>1</v>
      </c>
      <c r="D5" s="92">
        <v>4</v>
      </c>
      <c r="E5" s="92">
        <v>5</v>
      </c>
      <c r="F5" s="115">
        <v>41837</v>
      </c>
      <c r="G5" s="111" t="str">
        <f ca="1">IF($A5&lt;&gt;"", INDIRECT("'Tracker'!"&amp;ADDRESS(MATCH($A5, Tracker[Anime Name], 0) + 2, 4)), "")</f>
        <v>B</v>
      </c>
      <c r="H5" s="104" t="str">
        <f ca="1">IF($A5&lt;&gt;"", INDIRECT("'Tracker'!"&amp;ADDRESS(MATCH($A5, Tracker[Anime Name], 0) + 2, 8)), "")</f>
        <v>FFF</v>
      </c>
      <c r="I5" s="24" t="s">
        <v>157</v>
      </c>
      <c r="J5" s="21" t="str">
        <f>IF(Backlog!$A$4&lt;&gt;"",Backlog!$A$4,"")</f>
        <v>Air</v>
      </c>
      <c r="K5" s="28">
        <f>IF(Backlog!$B$4&lt;&gt;"",Backlog!$B$4,"")</f>
        <v>1</v>
      </c>
      <c r="L5" s="29" t="str">
        <f>IF(Backlog!$C$4&lt;&gt;"",Backlog!$C$4,"")</f>
        <v>DL</v>
      </c>
      <c r="N5" s="21" t="str">
        <f>IF(Completed!$A$4&lt;&gt;"",Completed!$A$4,"")</f>
        <v>Steins;Gate</v>
      </c>
      <c r="O5" s="28">
        <f>IF(Completed!$B$4&lt;&gt;"",Completed!$B$4,"")</f>
        <v>1</v>
      </c>
      <c r="P5" s="28">
        <f ca="1">IF($N$5&lt;&gt;"", INDIRECT("'Tracker'!"&amp;ADDRESS(MATCH($N$5, Tracker[Anime Name], 0) + 2, 3)), "")</f>
        <v>25</v>
      </c>
      <c r="Q5" s="22" t="str">
        <f ca="1">IF($N$5&lt;&gt;"", INDIRECT("'Tracker'!"&amp;ADDRESS(MATCH($N$5, Tracker[Anime Name], 0) + 2, 4)), "")</f>
        <v>A</v>
      </c>
      <c r="R5" s="22" t="str">
        <f ca="1">IF($N$5&lt;&gt;"", INDIRECT("'Tracker'!"&amp;ADDRESS(MATCH($N$5, Tracker[Anime Name], 0) + 2, 5)), "")</f>
        <v>720p</v>
      </c>
      <c r="S5" s="22" t="str">
        <f ca="1">IF($N$5&lt;&gt;"", INDIRECT("'Tracker'!"&amp;ADDRESS(MATCH($N$5, Tracker[Anime Name], 0) + 2, 6)), "")</f>
        <v>BD</v>
      </c>
      <c r="T5" s="22" t="str">
        <f ca="1">IF($N$5&lt;&gt;"", INDIRECT("'Tracker'!"&amp;ADDRESS(MATCH($N$5, Tracker[Anime Name], 0) + 2, 7)), "")</f>
        <v>2011A</v>
      </c>
      <c r="U5" s="28" t="str">
        <f ca="1">IF($N$5&lt;&gt;"", INDIRECT("'Tracker'!"&amp;ADDRESS(MATCH($N$5, Tracker[Anime Name], 0) + 2, 8)), "")</f>
        <v>WhyNot</v>
      </c>
      <c r="V5" s="53">
        <f>IF(Completed!$C$4&lt;&gt;"",Completed!$C$4,"")</f>
        <v>10</v>
      </c>
      <c r="W5" s="53">
        <f>IF(Completed!$D$4&lt;&gt;"",Completed!$D$4,"")</f>
        <v>9.5</v>
      </c>
      <c r="X5" s="53">
        <f>IF(Completed!$E$4&lt;&gt;"",Completed!$E$4,"")</f>
        <v>4</v>
      </c>
      <c r="Y5" s="53">
        <f>IF(Completed!$F$4&lt;&gt;"",Completed!$F$4,"")</f>
        <v>10</v>
      </c>
      <c r="Z5" s="65">
        <f>IF(Completed!$G$4&lt;&gt;"",Completed!$G$4,"")</f>
        <v>9.5791457286432156</v>
      </c>
      <c r="AA5" s="75">
        <f>IF(Completed!$H$4&lt;&gt;"",Completed!$H$4,"")</f>
        <v>9.6032745591939523</v>
      </c>
      <c r="AB5" s="54">
        <f>IF(Completed!$I$4&lt;&gt;"",Completed!$I$4,"")</f>
        <v>41270</v>
      </c>
      <c r="AC5" s="54">
        <f>IF(Completed!$J$4&lt;&gt;"",Completed!$J$4,"")</f>
        <v>41279</v>
      </c>
      <c r="AD5" s="66" t="str">
        <f>IF(Completed!$K$4&lt;&gt;"",Completed!$K$4,"")</f>
        <v>Makise Kurisu</v>
      </c>
      <c r="AE5" s="66" t="str">
        <f>IF(Completed!$L$4&lt;&gt;"",Completed!$L$4,"")</f>
        <v>Good show, mostly accurate science, overall a good watch</v>
      </c>
    </row>
    <row r="6" spans="1:31">
      <c r="A6" s="90" t="s">
        <v>679</v>
      </c>
      <c r="B6" s="94" t="s">
        <v>680</v>
      </c>
      <c r="C6" s="95">
        <v>1</v>
      </c>
      <c r="D6" s="92">
        <v>0</v>
      </c>
      <c r="E6" s="92">
        <v>5</v>
      </c>
      <c r="F6" s="115">
        <v>41839</v>
      </c>
      <c r="G6" s="111" t="str">
        <f ca="1">IF($A6&lt;&gt;"", INDIRECT("'Tracker'!"&amp;ADDRESS(MATCH($A6, Tracker[Anime Name], 0) + 2, 4)), "")</f>
        <v>B</v>
      </c>
      <c r="H6" s="104" t="str">
        <f ca="1">IF($A6&lt;&gt;"", INDIRECT("'Tracker'!"&amp;ADDRESS(MATCH($A6, Tracker[Anime Name], 0) + 2, 8)), "")</f>
        <v>HorribleSubs</v>
      </c>
      <c r="I6" s="24" t="s">
        <v>157</v>
      </c>
      <c r="J6" s="21" t="str">
        <f>IF(Backlog!$A$5&lt;&gt;"",Backlog!$A$5,"")</f>
        <v>Ano Natsu de Matteru</v>
      </c>
      <c r="K6" s="28">
        <f>IF(Backlog!$B$5&lt;&gt;"",Backlog!$B$5,"")</f>
        <v>1</v>
      </c>
      <c r="L6" s="29" t="str">
        <f>IF(Backlog!$C$5&lt;&gt;"",Backlog!$C$5,"")</f>
        <v>DL</v>
      </c>
      <c r="N6" s="21" t="str">
        <f>IF(Completed!$A$5&lt;&gt;"",Completed!$A$5,"")</f>
        <v>Sakamichi no Apollon</v>
      </c>
      <c r="O6" s="28">
        <f>IF(Completed!$B$5&lt;&gt;"",Completed!$B$5,"")</f>
        <v>1</v>
      </c>
      <c r="P6" s="28">
        <f ca="1">IF($N$6&lt;&gt;"", INDIRECT("'Tracker'!"&amp;ADDRESS(MATCH($N$6, Tracker[Anime Name], 0) + 2, 3)), "")</f>
        <v>12</v>
      </c>
      <c r="Q6" s="22" t="str">
        <f ca="1">IF($N$6&lt;&gt;"", INDIRECT("'Tracker'!"&amp;ADDRESS(MATCH($N$6, Tracker[Anime Name], 0) + 2, 4)), "")</f>
        <v>B</v>
      </c>
      <c r="R6" s="22" t="str">
        <f ca="1">IF($N$6&lt;&gt;"", INDIRECT("'Tracker'!"&amp;ADDRESS(MATCH($N$6, Tracker[Anime Name], 0) + 2, 5)), "")</f>
        <v>720p</v>
      </c>
      <c r="S6" s="22" t="str">
        <f ca="1">IF($N$6&lt;&gt;"", INDIRECT("'Tracker'!"&amp;ADDRESS(MATCH($N$6, Tracker[Anime Name], 0) + 2, 6)), "")</f>
        <v>Web</v>
      </c>
      <c r="T6" s="22" t="str">
        <f ca="1">IF($N$6&lt;&gt;"", INDIRECT("'Tracker'!"&amp;ADDRESS(MATCH($N$6, Tracker[Anime Name], 0) + 2, 7)), "")</f>
        <v>2012A</v>
      </c>
      <c r="U6" s="28" t="str">
        <f ca="1">IF($N$6&lt;&gt;"", INDIRECT("'Tracker'!"&amp;ADDRESS(MATCH($N$6, Tracker[Anime Name], 0) + 2, 8)), "")</f>
        <v>HorribleSubs</v>
      </c>
      <c r="V6" s="53">
        <f>IF(Completed!$C$5&lt;&gt;"",Completed!$C$5,"")</f>
        <v>9.5</v>
      </c>
      <c r="W6" s="53">
        <f>IF(Completed!$D$5&lt;&gt;"",Completed!$D$5,"")</f>
        <v>9.5</v>
      </c>
      <c r="X6" s="53">
        <f>IF(Completed!$E$5&lt;&gt;"",Completed!$E$5,"")</f>
        <v>3.5</v>
      </c>
      <c r="Y6" s="53">
        <f>IF(Completed!$F$5&lt;&gt;"",Completed!$F$5,"")</f>
        <v>10</v>
      </c>
      <c r="Z6" s="65">
        <f>IF(Completed!$G$5&lt;&gt;"",Completed!$G$5,"")</f>
        <v>9.4635678391959797</v>
      </c>
      <c r="AA6" s="75">
        <f>IF(Completed!$H$5&lt;&gt;"",Completed!$H$5,"")</f>
        <v>9.4874055415617118</v>
      </c>
      <c r="AB6" s="54">
        <f>IF(Completed!$I$5&lt;&gt;"",Completed!$I$5,"")</f>
        <v>41646</v>
      </c>
      <c r="AC6" s="54">
        <f>IF(Completed!$J$5&lt;&gt;"",Completed!$J$5,"")</f>
        <v>41647</v>
      </c>
      <c r="AD6" s="66" t="str">
        <f>IF(Completed!$K$5&lt;&gt;"",Completed!$K$5,"")</f>
        <v>Mukae Ritsuko</v>
      </c>
      <c r="AE6" s="66" t="str">
        <f>IF(Completed!$L$5&lt;&gt;"",Completed!$L$5,"")</f>
        <v>Even more accurate music than K-On!</v>
      </c>
    </row>
    <row r="7" spans="1:31">
      <c r="A7" s="90" t="s">
        <v>626</v>
      </c>
      <c r="B7" s="94" t="s">
        <v>672</v>
      </c>
      <c r="C7" s="95">
        <v>1</v>
      </c>
      <c r="D7" s="92">
        <v>4</v>
      </c>
      <c r="E7" s="92">
        <v>5</v>
      </c>
      <c r="F7" s="115">
        <v>41831</v>
      </c>
      <c r="G7" s="111" t="str">
        <f ca="1">IF($A7&lt;&gt;"", INDIRECT("'Tracker'!"&amp;ADDRESS(MATCH($A7, Tracker[Anime Name], 0) + 2, 4)), "")</f>
        <v>B</v>
      </c>
      <c r="H7" s="104" t="str">
        <f ca="1">IF($A7&lt;&gt;"", INDIRECT("'Tracker'!"&amp;ADDRESS(MATCH($A7, Tracker[Anime Name], 0) + 2, 8)), "")</f>
        <v>FFF</v>
      </c>
      <c r="I7" s="24" t="s">
        <v>157</v>
      </c>
      <c r="J7" s="21" t="str">
        <f>IF(Backlog!$A$6&lt;&gt;"",Backlog!$A$6,"")</f>
        <v>Azumanga Daioh</v>
      </c>
      <c r="K7" s="28">
        <f>IF(Backlog!$B$6&lt;&gt;"",Backlog!$B$6,"")</f>
        <v>1</v>
      </c>
      <c r="L7" s="29" t="str">
        <f>IF(Backlog!$C$6&lt;&gt;"",Backlog!$C$6,"")</f>
        <v>DL</v>
      </c>
      <c r="N7" s="21" t="str">
        <f>IF(Completed!$A$6&lt;&gt;"",Completed!$A$6,"")</f>
        <v>Baccano!</v>
      </c>
      <c r="O7" s="28">
        <f>IF(Completed!$B$6&lt;&gt;"",Completed!$B$6,"")</f>
        <v>1</v>
      </c>
      <c r="P7" s="28">
        <f ca="1">IF($N$7&lt;&gt;"", INDIRECT("'Tracker'!"&amp;ADDRESS(MATCH($N$7, Tracker[Anime Name], 0) + 2, 3)), "")</f>
        <v>16</v>
      </c>
      <c r="Q7" s="22" t="str">
        <f ca="1">IF($N$7&lt;&gt;"", INDIRECT("'Tracker'!"&amp;ADDRESS(MATCH($N$7, Tracker[Anime Name], 0) + 2, 4)), "")</f>
        <v>B</v>
      </c>
      <c r="R7" s="22" t="str">
        <f ca="1">IF($N$7&lt;&gt;"", INDIRECT("'Tracker'!"&amp;ADDRESS(MATCH($N$7, Tracker[Anime Name], 0) + 2, 5)), "")</f>
        <v>720p</v>
      </c>
      <c r="S7" s="22" t="str">
        <f ca="1">IF($N$7&lt;&gt;"", INDIRECT("'Tracker'!"&amp;ADDRESS(MATCH($N$7, Tracker[Anime Name], 0) + 2, 6)), "")</f>
        <v>BD</v>
      </c>
      <c r="T7" s="22" t="str">
        <f ca="1">IF($N$7&lt;&gt;"", INDIRECT("'Tracker'!"&amp;ADDRESS(MATCH($N$7, Tracker[Anime Name], 0) + 2, 7)), "")</f>
        <v>2007B</v>
      </c>
      <c r="U7" s="28" t="str">
        <f ca="1">IF($N$7&lt;&gt;"", INDIRECT("'Tracker'!"&amp;ADDRESS(MATCH($N$7, Tracker[Anime Name], 0) + 2, 8)), "")</f>
        <v>Coalgirls, Ayu</v>
      </c>
      <c r="V7" s="53">
        <f>IF(Completed!$C$6&lt;&gt;"",Completed!$C$6,"")</f>
        <v>10</v>
      </c>
      <c r="W7" s="53">
        <f>IF(Completed!$D$6&lt;&gt;"",Completed!$D$6,"")</f>
        <v>10</v>
      </c>
      <c r="X7" s="53">
        <f>IF(Completed!$E$6&lt;&gt;"",Completed!$E$6,"")</f>
        <v>3</v>
      </c>
      <c r="Y7" s="53">
        <f>IF(Completed!$F$6&lt;&gt;"",Completed!$F$6,"")</f>
        <v>9.5</v>
      </c>
      <c r="Z7" s="65">
        <f>IF(Completed!$G$6&lt;&gt;"",Completed!$G$6,"")</f>
        <v>9.4158291457286438</v>
      </c>
      <c r="AA7" s="75">
        <f>IF(Completed!$H$6&lt;&gt;"",Completed!$H$6,"")</f>
        <v>9.4395465994962215</v>
      </c>
      <c r="AB7" s="54">
        <f>IF(Completed!$I$6&lt;&gt;"",Completed!$I$6,"")</f>
        <v>41607</v>
      </c>
      <c r="AC7" s="54">
        <f>IF(Completed!$J$6&lt;&gt;"",Completed!$J$6,"")</f>
        <v>41634</v>
      </c>
      <c r="AD7" s="66" t="str">
        <f>IF(Completed!$K$6&lt;&gt;"",Completed!$K$6,"")</f>
        <v>Rachel</v>
      </c>
      <c r="AE7" s="66" t="str">
        <f>IF(Completed!$L$6&lt;&gt;"",Completed!$L$6,"")</f>
        <v>One of the best written stories I've seen in a while</v>
      </c>
    </row>
    <row r="8" spans="1:31">
      <c r="A8" s="90" t="s">
        <v>636</v>
      </c>
      <c r="B8" s="94" t="s">
        <v>632</v>
      </c>
      <c r="C8" s="95">
        <v>1</v>
      </c>
      <c r="D8" s="92">
        <v>4</v>
      </c>
      <c r="E8" s="92">
        <v>5</v>
      </c>
      <c r="F8" s="115">
        <v>41832</v>
      </c>
      <c r="G8" s="111" t="str">
        <f ca="1">IF($A8&lt;&gt;"", INDIRECT("'Tracker'!"&amp;ADDRESS(MATCH($A8, Tracker[Anime Name], 0) + 2, 4)), "")</f>
        <v>B</v>
      </c>
      <c r="H8" s="104" t="str">
        <f ca="1">IF($A8&lt;&gt;"", INDIRECT("'Tracker'!"&amp;ADDRESS(MATCH($A8, Tracker[Anime Name], 0) + 2, 8)), "")</f>
        <v>FFF</v>
      </c>
      <c r="I8" s="24" t="s">
        <v>157</v>
      </c>
      <c r="J8" s="21" t="str">
        <f>IF(Backlog!$A$7&lt;&gt;"",Backlog!$A$7,"")</f>
        <v>Bakuman</v>
      </c>
      <c r="K8" s="28">
        <f>IF(Backlog!$B$7&lt;&gt;"",Backlog!$B$7,"")</f>
        <v>1</v>
      </c>
      <c r="L8" s="29" t="str">
        <f>IF(Backlog!$C$7&lt;&gt;"",Backlog!$C$7,"")</f>
        <v>DL</v>
      </c>
      <c r="N8" s="21" t="str">
        <f>IF(Completed!$A$7&lt;&gt;"",Completed!$A$7,"")</f>
        <v>Isshuukan Friends</v>
      </c>
      <c r="O8" s="28">
        <f>IF(Completed!$B$7&lt;&gt;"",Completed!$B$7,"")</f>
        <v>1</v>
      </c>
      <c r="P8" s="28">
        <f ca="1">IF($N$8&lt;&gt;"", INDIRECT("'Tracker'!"&amp;ADDRESS(MATCH($N$8, Tracker[Anime Name], 0) + 2, 3)), "")</f>
        <v>12</v>
      </c>
      <c r="Q8" s="22" t="str">
        <f ca="1">IF($N$8&lt;&gt;"", INDIRECT("'Tracker'!"&amp;ADDRESS(MATCH($N$8, Tracker[Anime Name], 0) + 2, 4)), "")</f>
        <v>B</v>
      </c>
      <c r="R8" s="22" t="str">
        <f ca="1">IF($N$8&lt;&gt;"", INDIRECT("'Tracker'!"&amp;ADDRESS(MATCH($N$8, Tracker[Anime Name], 0) + 2, 5)), "")</f>
        <v>720p</v>
      </c>
      <c r="S8" s="22" t="str">
        <f ca="1">IF($N$8&lt;&gt;"", INDIRECT("'Tracker'!"&amp;ADDRESS(MATCH($N$8, Tracker[Anime Name], 0) + 2, 6)), "")</f>
        <v>TV</v>
      </c>
      <c r="T8" s="22" t="str">
        <f ca="1">IF($N$8&lt;&gt;"", INDIRECT("'Tracker'!"&amp;ADDRESS(MATCH($N$8, Tracker[Anime Name], 0) + 2, 7)), "")</f>
        <v>2014A</v>
      </c>
      <c r="U8" s="28" t="str">
        <f ca="1">IF($N$8&lt;&gt;"", INDIRECT("'Tracker'!"&amp;ADDRESS(MATCH($N$8, Tracker[Anime Name], 0) + 2, 8)), "")</f>
        <v>Vivid</v>
      </c>
      <c r="V8" s="53">
        <f>IF(Completed!$C$7&lt;&gt;"",Completed!$C$7,"")</f>
        <v>9</v>
      </c>
      <c r="W8" s="53">
        <f>IF(Completed!$D$7&lt;&gt;"",Completed!$D$7,"")</f>
        <v>9.5</v>
      </c>
      <c r="X8" s="53">
        <f>IF(Completed!$E$7&lt;&gt;"",Completed!$E$7,"")</f>
        <v>7</v>
      </c>
      <c r="Y8" s="53">
        <f>IF(Completed!$F$7&lt;&gt;"",Completed!$F$7,"")</f>
        <v>9.5</v>
      </c>
      <c r="Z8" s="65">
        <f>IF(Completed!$G$7&lt;&gt;"",Completed!$G$7,"")</f>
        <v>9.2889447236180906</v>
      </c>
      <c r="AA8" s="75">
        <f>IF(Completed!$H$7&lt;&gt;"",Completed!$H$7,"")</f>
        <v>9.3123425692695196</v>
      </c>
      <c r="AB8" s="54">
        <f>IF(Completed!$I$7&lt;&gt;"",Completed!$I$7,"")</f>
        <v>41749</v>
      </c>
      <c r="AC8" s="54">
        <f>IF(Completed!$J$7&lt;&gt;"",Completed!$J$7,"")</f>
        <v>41815</v>
      </c>
      <c r="AD8" s="66" t="str">
        <f>IF(Completed!$K$7&lt;&gt;"",Completed!$K$7,"")</f>
        <v>Fujimiya Kaori</v>
      </c>
      <c r="AE8" s="66" t="str">
        <f>IF(Completed!$L$7&lt;&gt;"",Completed!$L$7,"")</f>
        <v>Saki and Fujimiya's mom are both great too</v>
      </c>
    </row>
    <row r="9" spans="1:31">
      <c r="A9" s="90" t="s">
        <v>623</v>
      </c>
      <c r="B9" s="91" t="s">
        <v>632</v>
      </c>
      <c r="C9" s="92">
        <v>2</v>
      </c>
      <c r="D9" s="92">
        <v>5</v>
      </c>
      <c r="E9" s="92">
        <v>6</v>
      </c>
      <c r="F9" s="114">
        <v>41826</v>
      </c>
      <c r="G9" s="111" t="str">
        <f ca="1">IF($A9&lt;&gt;"", INDIRECT("'Tracker'!"&amp;ADDRESS(MATCH($A9, Tracker[Anime Name], 0) + 2, 4)), "")</f>
        <v>A</v>
      </c>
      <c r="H9" s="104" t="str">
        <f ca="1">IF($A9&lt;&gt;"", INDIRECT("'Tracker'!"&amp;ADDRESS(MATCH($A9, Tracker[Anime Name], 0) + 2, 8)), "")</f>
        <v>FFF</v>
      </c>
      <c r="I9" s="24" t="s">
        <v>157</v>
      </c>
      <c r="J9" s="21" t="str">
        <f>IF(Backlog!$A$8&lt;&gt;"",Backlog!$A$8,"")</f>
        <v>Bakuman S2</v>
      </c>
      <c r="K9" s="28">
        <f>IF(Backlog!$B$8&lt;&gt;"",Backlog!$B$8,"")</f>
        <v>2</v>
      </c>
      <c r="L9" s="29" t="str">
        <f>IF(Backlog!$C$8&lt;&gt;"",Backlog!$C$8,"")</f>
        <v>DL</v>
      </c>
      <c r="N9" s="21" t="str">
        <f>IF(Completed!$A$8&lt;&gt;"",Completed!$A$8,"")</f>
        <v>The Tatami Galaxy</v>
      </c>
      <c r="O9" s="28">
        <f>IF(Completed!$B$8&lt;&gt;"",Completed!$B$8,"")</f>
        <v>1</v>
      </c>
      <c r="P9" s="28">
        <f ca="1">IF($N$9&lt;&gt;"", INDIRECT("'Tracker'!"&amp;ADDRESS(MATCH($N$9, Tracker[Anime Name], 0) + 2, 3)), "")</f>
        <v>11</v>
      </c>
      <c r="Q9" s="22" t="str">
        <f ca="1">IF($N$9&lt;&gt;"", INDIRECT("'Tracker'!"&amp;ADDRESS(MATCH($N$9, Tracker[Anime Name], 0) + 2, 4)), "")</f>
        <v>A</v>
      </c>
      <c r="R9" s="22" t="str">
        <f ca="1">IF($N$9&lt;&gt;"", INDIRECT("'Tracker'!"&amp;ADDRESS(MATCH($N$9, Tracker[Anime Name], 0) + 2, 5)), "")</f>
        <v>720p</v>
      </c>
      <c r="S9" s="22" t="str">
        <f ca="1">IF($N$9&lt;&gt;"", INDIRECT("'Tracker'!"&amp;ADDRESS(MATCH($N$9, Tracker[Anime Name], 0) + 2, 6)), "")</f>
        <v>BD</v>
      </c>
      <c r="T9" s="22" t="str">
        <f ca="1">IF($N$9&lt;&gt;"", INDIRECT("'Tracker'!"&amp;ADDRESS(MATCH($N$9, Tracker[Anime Name], 0) + 2, 7)), "")</f>
        <v>2010A</v>
      </c>
      <c r="U9" s="28" t="str">
        <f ca="1">IF($N$9&lt;&gt;"", INDIRECT("'Tracker'!"&amp;ADDRESS(MATCH($N$9, Tracker[Anime Name], 0) + 2, 8)), "")</f>
        <v>Elysium</v>
      </c>
      <c r="V9" s="53">
        <f>IF(Completed!$C$8&lt;&gt;"",Completed!$C$8,"")</f>
        <v>10</v>
      </c>
      <c r="W9" s="53">
        <f>IF(Completed!$D$8&lt;&gt;"",Completed!$D$8,"")</f>
        <v>9</v>
      </c>
      <c r="X9" s="53">
        <f>IF(Completed!$E$8&lt;&gt;"",Completed!$E$8,"")</f>
        <v>5</v>
      </c>
      <c r="Y9" s="53">
        <f>IF(Completed!$F$8&lt;&gt;"",Completed!$F$8,"")</f>
        <v>9.5</v>
      </c>
      <c r="Z9" s="65">
        <f>IF(Completed!$G$8&lt;&gt;"",Completed!$G$8,"")</f>
        <v>9.2424623115577873</v>
      </c>
      <c r="AA9" s="75">
        <f>IF(Completed!$H$8&lt;&gt;"",Completed!$H$8,"")</f>
        <v>9.2657430730478563</v>
      </c>
      <c r="AB9" s="54">
        <f>IF(Completed!$I$8&lt;&gt;"",Completed!$I$8,"")</f>
        <v>41742</v>
      </c>
      <c r="AC9" s="54">
        <f>IF(Completed!$J$8&lt;&gt;"",Completed!$J$8,"")</f>
        <v>41746</v>
      </c>
      <c r="AD9" s="66" t="str">
        <f>IF(Completed!$K$8&lt;&gt;"",Completed!$K$8,"")</f>
        <v>Akashi</v>
      </c>
      <c r="AE9" s="66" t="str">
        <f>IF(Completed!$L$8&lt;&gt;"",Completed!$L$8,"")</f>
        <v>Really well planned show</v>
      </c>
    </row>
    <row r="10" spans="1:31">
      <c r="A10" s="90" t="s">
        <v>624</v>
      </c>
      <c r="B10" s="93" t="s">
        <v>375</v>
      </c>
      <c r="C10" s="92">
        <v>2</v>
      </c>
      <c r="D10" s="92">
        <v>4</v>
      </c>
      <c r="E10" s="92">
        <v>6</v>
      </c>
      <c r="F10" s="115">
        <v>41837</v>
      </c>
      <c r="G10" s="111" t="str">
        <f ca="1">IF($A10&lt;&gt;"", INDIRECT("'Tracker'!"&amp;ADDRESS(MATCH($A10, Tracker[Anime Name], 0) + 2, 4)), "")</f>
        <v>B</v>
      </c>
      <c r="H10" s="104" t="str">
        <f ca="1">IF($A10&lt;&gt;"", INDIRECT("'Tracker'!"&amp;ADDRESS(MATCH($A10, Tracker[Anime Name], 0) + 2, 8)), "")</f>
        <v>HorribleSubs</v>
      </c>
      <c r="I10" s="24" t="s">
        <v>157</v>
      </c>
      <c r="J10" s="21" t="str">
        <f>IF(Backlog!$A$9&lt;&gt;"",Backlog!$A$9,"")</f>
        <v>Bakuman S3</v>
      </c>
      <c r="K10" s="28">
        <f>IF(Backlog!$B$9&lt;&gt;"",Backlog!$B$9,"")</f>
        <v>3</v>
      </c>
      <c r="L10" s="29" t="str">
        <f>IF(Backlog!$C$9&lt;&gt;"",Backlog!$C$9,"")</f>
        <v>DL</v>
      </c>
      <c r="N10" s="21" t="str">
        <f>IF(Completed!$A$9&lt;&gt;"",Completed!$A$9,"")</f>
        <v>Clannad -After Story-</v>
      </c>
      <c r="O10" s="28">
        <f>IF(Completed!$B$9&lt;&gt;"",Completed!$B$9,"")</f>
        <v>2</v>
      </c>
      <c r="P10" s="28">
        <f ca="1">IF($N$10&lt;&gt;"", INDIRECT("'Tracker'!"&amp;ADDRESS(MATCH($N$10, Tracker[Anime Name], 0) + 2, 3)), "")</f>
        <v>22</v>
      </c>
      <c r="Q10" s="22" t="str">
        <f ca="1">IF($N$10&lt;&gt;"", INDIRECT("'Tracker'!"&amp;ADDRESS(MATCH($N$10, Tracker[Anime Name], 0) + 2, 4)), "")</f>
        <v>A</v>
      </c>
      <c r="R10" s="22" t="str">
        <f ca="1">IF($N$10&lt;&gt;"", INDIRECT("'Tracker'!"&amp;ADDRESS(MATCH($N$10, Tracker[Anime Name], 0) + 2, 5)), "")</f>
        <v>720p</v>
      </c>
      <c r="S10" s="22" t="str">
        <f ca="1">IF($N$10&lt;&gt;"", INDIRECT("'Tracker'!"&amp;ADDRESS(MATCH($N$10, Tracker[Anime Name], 0) + 2, 6)), "")</f>
        <v>BD</v>
      </c>
      <c r="T10" s="22" t="str">
        <f ca="1">IF($N$10&lt;&gt;"", INDIRECT("'Tracker'!"&amp;ADDRESS(MATCH($N$10, Tracker[Anime Name], 0) + 2, 7)), "")</f>
        <v>2008C</v>
      </c>
      <c r="U10" s="28" t="str">
        <f ca="1">IF($N$10&lt;&gt;"", INDIRECT("'Tracker'!"&amp;ADDRESS(MATCH($N$10, Tracker[Anime Name], 0) + 2, 8)), "")</f>
        <v>Doki</v>
      </c>
      <c r="V10" s="53">
        <f>IF(Completed!$C$9&lt;&gt;"",Completed!$C$9,"")</f>
        <v>9.5</v>
      </c>
      <c r="W10" s="53">
        <f>IF(Completed!$D$9&lt;&gt;"",Completed!$D$9,"")</f>
        <v>10</v>
      </c>
      <c r="X10" s="53">
        <f>IF(Completed!$E$9&lt;&gt;"",Completed!$E$9,"")</f>
        <v>6</v>
      </c>
      <c r="Y10" s="53">
        <f>IF(Completed!$F$9&lt;&gt;"",Completed!$F$9,"")</f>
        <v>9</v>
      </c>
      <c r="Z10" s="65">
        <f>IF(Completed!$G$9&lt;&gt;"",Completed!$G$9,"")</f>
        <v>9.217336683417086</v>
      </c>
      <c r="AA10" s="75">
        <f>IF(Completed!$H$9&lt;&gt;"",Completed!$H$9,"")</f>
        <v>9.2405541561712852</v>
      </c>
      <c r="AB10" s="54">
        <f>IF(Completed!$I$9&lt;&gt;"",Completed!$I$9,"")</f>
        <v>41293</v>
      </c>
      <c r="AC10" s="54">
        <f>IF(Completed!$J$9&lt;&gt;"",Completed!$J$9,"")</f>
        <v>41294</v>
      </c>
      <c r="AD10" s="66" t="str">
        <f>IF(Completed!$K$9&lt;&gt;"",Completed!$K$9,"")</f>
        <v>Fujibayashi Kyou</v>
      </c>
      <c r="AE10" s="66" t="str">
        <f>IF(Completed!$L$9&lt;&gt;"",Completed!$L$9,"")</f>
        <v>So many feels</v>
      </c>
    </row>
    <row r="11" spans="1:31">
      <c r="A11" s="90" t="s">
        <v>412</v>
      </c>
      <c r="B11" s="94" t="s">
        <v>375</v>
      </c>
      <c r="C11" s="95">
        <v>1</v>
      </c>
      <c r="D11" s="92">
        <v>17</v>
      </c>
      <c r="E11" s="92">
        <v>19</v>
      </c>
      <c r="F11" s="115">
        <v>41751</v>
      </c>
      <c r="G11" s="111" t="str">
        <f ca="1">IF($A11&lt;&gt;"", INDIRECT("'Tracker'!"&amp;ADDRESS(MATCH($A11, Tracker[Anime Name], 0) + 2, 4)), "")</f>
        <v>B</v>
      </c>
      <c r="H11" s="104" t="str">
        <f ca="1">IF($A11&lt;&gt;"", INDIRECT("'Tracker'!"&amp;ADDRESS(MATCH($A11, Tracker[Anime Name], 0) + 2, 8)), "")</f>
        <v>WhyNot</v>
      </c>
      <c r="I11" s="24" t="s">
        <v>157</v>
      </c>
      <c r="J11" s="21" t="str">
        <f>IF(Backlog!$A$10&lt;&gt;"",Backlog!$A$10,"")</f>
        <v>Code Geass: Lelouch of the Rebellion</v>
      </c>
      <c r="K11" s="28">
        <f>IF(Backlog!$B$10&lt;&gt;"",Backlog!$B$10,"")</f>
        <v>1</v>
      </c>
      <c r="L11" s="29" t="str">
        <f>IF(Backlog!$C$10&lt;&gt;"",Backlog!$C$10,"")</f>
        <v>DL</v>
      </c>
      <c r="N11" s="21" t="str">
        <f>IF(Completed!$A$10&lt;&gt;"",Completed!$A$10,"")</f>
        <v>Durarara!!</v>
      </c>
      <c r="O11" s="28">
        <f>IF(Completed!$B$10&lt;&gt;"",Completed!$B$10,"")</f>
        <v>1</v>
      </c>
      <c r="P11" s="28">
        <f ca="1">IF($N$11&lt;&gt;"", INDIRECT("'Tracker'!"&amp;ADDRESS(MATCH($N$11, Tracker[Anime Name], 0) + 2, 3)), "")</f>
        <v>25</v>
      </c>
      <c r="Q11" s="22" t="str">
        <f ca="1">IF($N$11&lt;&gt;"", INDIRECT("'Tracker'!"&amp;ADDRESS(MATCH($N$11, Tracker[Anime Name], 0) + 2, 4)), "")</f>
        <v>B</v>
      </c>
      <c r="R11" s="22" t="str">
        <f ca="1">IF($N$11&lt;&gt;"", INDIRECT("'Tracker'!"&amp;ADDRESS(MATCH($N$11, Tracker[Anime Name], 0) + 2, 5)), "")</f>
        <v>720p</v>
      </c>
      <c r="S11" s="22" t="str">
        <f ca="1">IF($N$11&lt;&gt;"", INDIRECT("'Tracker'!"&amp;ADDRESS(MATCH($N$11, Tracker[Anime Name], 0) + 2, 6)), "")</f>
        <v>BD</v>
      </c>
      <c r="T11" s="22" t="str">
        <f ca="1">IF($N$11&lt;&gt;"", INDIRECT("'Tracker'!"&amp;ADDRESS(MATCH($N$11, Tracker[Anime Name], 0) + 2, 7)), "")</f>
        <v>2009D</v>
      </c>
      <c r="U11" s="28" t="str">
        <f ca="1">IF($N$11&lt;&gt;"", INDIRECT("'Tracker'!"&amp;ADDRESS(MATCH($N$11, Tracker[Anime Name], 0) + 2, 8)), "")</f>
        <v>Coalgirls, gg</v>
      </c>
      <c r="V11" s="53">
        <f>IF(Completed!$C$10&lt;&gt;"",Completed!$C$10,"")</f>
        <v>10</v>
      </c>
      <c r="W11" s="53">
        <f>IF(Completed!$D$10&lt;&gt;"",Completed!$D$10,"")</f>
        <v>9</v>
      </c>
      <c r="X11" s="53">
        <f>IF(Completed!$E$10&lt;&gt;"",Completed!$E$10,"")</f>
        <v>4</v>
      </c>
      <c r="Y11" s="53">
        <f>IF(Completed!$F$10&lt;&gt;"",Completed!$F$10,"")</f>
        <v>9.5</v>
      </c>
      <c r="Z11" s="65">
        <f>IF(Completed!$G$10&lt;&gt;"",Completed!$G$10,"")</f>
        <v>9.1947236180904515</v>
      </c>
      <c r="AA11" s="75">
        <f>IF(Completed!$H$10&lt;&gt;"",Completed!$H$10,"")</f>
        <v>9.217884130982366</v>
      </c>
      <c r="AB11" s="54">
        <f>IF(Completed!$I$10&lt;&gt;"",Completed!$I$10,"")</f>
        <v>41750</v>
      </c>
      <c r="AC11" s="54">
        <f>IF(Completed!$J$10&lt;&gt;"",Completed!$J$10,"")</f>
        <v>41756</v>
      </c>
      <c r="AD11" s="66" t="str">
        <f>IF(Completed!$K$10&lt;&gt;"",Completed!$K$10,"")</f>
        <v>Celty Sturluson</v>
      </c>
      <c r="AE11" s="66" t="str">
        <f>IF(Completed!$L$10&lt;&gt;"",Completed!$L$10,"")</f>
        <v/>
      </c>
    </row>
    <row r="12" spans="1:31">
      <c r="A12" s="90" t="s">
        <v>685</v>
      </c>
      <c r="B12" s="96" t="s">
        <v>375</v>
      </c>
      <c r="C12" s="95">
        <v>1</v>
      </c>
      <c r="D12" s="95">
        <v>4</v>
      </c>
      <c r="E12" s="95">
        <v>6</v>
      </c>
      <c r="F12" s="116">
        <v>41862</v>
      </c>
      <c r="G12" s="111" t="str">
        <f ca="1">IF($A12&lt;&gt;"", INDIRECT("'Tracker'!"&amp;ADDRESS(MATCH($A12, Tracker[Anime Name], 0) + 2, 4)), "")</f>
        <v>B</v>
      </c>
      <c r="H12" s="104" t="str">
        <f ca="1">IF($A12&lt;&gt;"", INDIRECT("'Tracker'!"&amp;ADDRESS(MATCH($A12, Tracker[Anime Name], 0) + 2, 8)), "")</f>
        <v>HorribleSubs</v>
      </c>
      <c r="I12" s="24" t="s">
        <v>157</v>
      </c>
      <c r="J12" s="21" t="str">
        <f>IF(Backlog!$A$11&lt;&gt;"",Backlog!$A$11,"")</f>
        <v>Code Geass: Lelouch of the Rebellion R2</v>
      </c>
      <c r="K12" s="28">
        <f>IF(Backlog!$B$11&lt;&gt;"",Backlog!$B$11,"")</f>
        <v>2</v>
      </c>
      <c r="L12" s="29" t="str">
        <f>IF(Backlog!$C$11&lt;&gt;"",Backlog!$C$11,"")</f>
        <v>DL</v>
      </c>
      <c r="N12" s="21" t="str">
        <f>IF(Completed!$A$11&lt;&gt;"",Completed!$A$11,"")</f>
        <v>Mikakunin no Shinkoukei</v>
      </c>
      <c r="O12" s="28">
        <f>IF(Completed!$B$11&lt;&gt;"",Completed!$B$11,"")</f>
        <v>1</v>
      </c>
      <c r="P12" s="28">
        <f ca="1">IF($N$12&lt;&gt;"", INDIRECT("'Tracker'!"&amp;ADDRESS(MATCH($N$12, Tracker[Anime Name], 0) + 2, 3)), "")</f>
        <v>12</v>
      </c>
      <c r="Q12" s="22" t="str">
        <f ca="1">IF($N$12&lt;&gt;"", INDIRECT("'Tracker'!"&amp;ADDRESS(MATCH($N$12, Tracker[Anime Name], 0) + 2, 4)), "")</f>
        <v>B</v>
      </c>
      <c r="R12" s="22" t="str">
        <f ca="1">IF($N$12&lt;&gt;"", INDIRECT("'Tracker'!"&amp;ADDRESS(MATCH($N$12, Tracker[Anime Name], 0) + 2, 5)), "")</f>
        <v>720p</v>
      </c>
      <c r="S12" s="22" t="str">
        <f ca="1">IF($N$12&lt;&gt;"", INDIRECT("'Tracker'!"&amp;ADDRESS(MATCH($N$12, Tracker[Anime Name], 0) + 2, 6)), "")</f>
        <v>TV</v>
      </c>
      <c r="T12" s="22" t="str">
        <f ca="1">IF($N$12&lt;&gt;"", INDIRECT("'Tracker'!"&amp;ADDRESS(MATCH($N$12, Tracker[Anime Name], 0) + 2, 7)), "")</f>
        <v>2013D</v>
      </c>
      <c r="U12" s="28" t="str">
        <f ca="1">IF($N$12&lt;&gt;"", INDIRECT("'Tracker'!"&amp;ADDRESS(MATCH($N$12, Tracker[Anime Name], 0) + 2, 8)), "")</f>
        <v>Underwater</v>
      </c>
      <c r="V12" s="53">
        <f>IF(Completed!$C$11&lt;&gt;"",Completed!$C$11,"")</f>
        <v>9</v>
      </c>
      <c r="W12" s="53">
        <f>IF(Completed!$D$11&lt;&gt;"",Completed!$D$11,"")</f>
        <v>9</v>
      </c>
      <c r="X12" s="53">
        <f>IF(Completed!$E$11&lt;&gt;"",Completed!$E$11,"")</f>
        <v>7.5</v>
      </c>
      <c r="Y12" s="53">
        <f>IF(Completed!$F$11&lt;&gt;"",Completed!$F$11,"")</f>
        <v>9.5</v>
      </c>
      <c r="Z12" s="65">
        <f>IF(Completed!$G$11&lt;&gt;"",Completed!$G$11,"")</f>
        <v>9.1783919597989954</v>
      </c>
      <c r="AA12" s="75">
        <f>IF(Completed!$H$11&lt;&gt;"",Completed!$H$11,"")</f>
        <v>9.2015113350125937</v>
      </c>
      <c r="AB12" s="54">
        <f>IF(Completed!$I$11&lt;&gt;"",Completed!$I$11,"")</f>
        <v>41814</v>
      </c>
      <c r="AC12" s="54">
        <f>IF(Completed!$J$11&lt;&gt;"",Completed!$J$11,"")</f>
        <v>41815</v>
      </c>
      <c r="AD12" s="66" t="str">
        <f>IF(Completed!$K$11&lt;&gt;"",Completed!$K$11,"")</f>
        <v>Yonomori Kobeni</v>
      </c>
      <c r="AE12" s="66" t="str">
        <f>IF(Completed!$L$11&lt;&gt;"",Completed!$L$11,"")</f>
        <v>This show is good.</v>
      </c>
    </row>
    <row r="13" spans="1:31">
      <c r="A13" s="90" t="s">
        <v>58</v>
      </c>
      <c r="B13" s="91" t="s">
        <v>124</v>
      </c>
      <c r="C13" s="92">
        <v>1</v>
      </c>
      <c r="D13" s="92">
        <v>17</v>
      </c>
      <c r="E13" s="92">
        <v>26</v>
      </c>
      <c r="F13" s="115">
        <v>41653</v>
      </c>
      <c r="G13" s="111" t="str">
        <f ca="1">IF($A13&lt;&gt;"", INDIRECT("'Tracker'!"&amp;ADDRESS(MATCH($A13, Tracker[Anime Name], 0) + 2, 4)), "")</f>
        <v>A</v>
      </c>
      <c r="H13" s="104" t="str">
        <f ca="1">IF($A13&lt;&gt;"", INDIRECT("'Tracker'!"&amp;ADDRESS(MATCH($A13, Tracker[Anime Name], 0) + 2, 8)), "")</f>
        <v>niizk</v>
      </c>
      <c r="I13" s="24" t="s">
        <v>157</v>
      </c>
      <c r="J13" s="21" t="str">
        <f>IF(Backlog!$A$12&lt;&gt;"",Backlog!$A$12,"")</f>
        <v>Danganronpa the Animation</v>
      </c>
      <c r="K13" s="28">
        <f>IF(Backlog!$B$12&lt;&gt;"",Backlog!$B$12,"")</f>
        <v>1</v>
      </c>
      <c r="L13" s="29" t="str">
        <f>IF(Backlog!$C$12&lt;&gt;"",Backlog!$C$12,"")</f>
        <v>DL</v>
      </c>
      <c r="N13" s="21" t="str">
        <f>IF(Completed!$A$12&lt;&gt;"",Completed!$A$12,"")</f>
        <v>Spice and Wolf</v>
      </c>
      <c r="O13" s="28">
        <f>IF(Completed!$B$12&lt;&gt;"",Completed!$B$12,"")</f>
        <v>1</v>
      </c>
      <c r="P13" s="28">
        <f ca="1">IF($N$13&lt;&gt;"", INDIRECT("'Tracker'!"&amp;ADDRESS(MATCH($N$13, Tracker[Anime Name], 0) + 2, 3)), "")</f>
        <v>13</v>
      </c>
      <c r="Q13" s="22" t="str">
        <f ca="1">IF($N$13&lt;&gt;"", INDIRECT("'Tracker'!"&amp;ADDRESS(MATCH($N$13, Tracker[Anime Name], 0) + 2, 4)), "")</f>
        <v>B</v>
      </c>
      <c r="R13" s="22" t="str">
        <f ca="1">IF($N$13&lt;&gt;"", INDIRECT("'Tracker'!"&amp;ADDRESS(MATCH($N$13, Tracker[Anime Name], 0) + 2, 5)), "")</f>
        <v>720p</v>
      </c>
      <c r="S13" s="22" t="str">
        <f ca="1">IF($N$13&lt;&gt;"", INDIRECT("'Tracker'!"&amp;ADDRESS(MATCH($N$13, Tracker[Anime Name], 0) + 2, 6)), "")</f>
        <v>BD</v>
      </c>
      <c r="T13" s="22" t="str">
        <f ca="1">IF($N$13&lt;&gt;"", INDIRECT("'Tracker'!"&amp;ADDRESS(MATCH($N$13, Tracker[Anime Name], 0) + 2, 7)), "")</f>
        <v>2007D</v>
      </c>
      <c r="U13" s="28" t="str">
        <f ca="1">IF($N$13&lt;&gt;"", INDIRECT("'Tracker'!"&amp;ADDRESS(MATCH($N$13, Tracker[Anime Name], 0) + 2, 8)), "")</f>
        <v>Coalgirls, sudo</v>
      </c>
      <c r="V13" s="53">
        <f>IF(Completed!$C$12&lt;&gt;"",Completed!$C$12,"")</f>
        <v>9</v>
      </c>
      <c r="W13" s="53">
        <f>IF(Completed!$D$12&lt;&gt;"",Completed!$D$12,"")</f>
        <v>9.5</v>
      </c>
      <c r="X13" s="53">
        <f>IF(Completed!$E$12&lt;&gt;"",Completed!$E$12,"")</f>
        <v>4.5</v>
      </c>
      <c r="Y13" s="53">
        <f>IF(Completed!$F$12&lt;&gt;"",Completed!$F$12,"")</f>
        <v>9.5</v>
      </c>
      <c r="Z13" s="65">
        <f>IF(Completed!$G$12&lt;&gt;"",Completed!$G$12,"")</f>
        <v>9.1695979899497502</v>
      </c>
      <c r="AA13" s="75">
        <f>IF(Completed!$H$12&lt;&gt;"",Completed!$H$12,"")</f>
        <v>9.1926952141057949</v>
      </c>
      <c r="AB13" s="54">
        <f>IF(Completed!$I$12&lt;&gt;"",Completed!$I$12,"")</f>
        <v>41357</v>
      </c>
      <c r="AC13" s="54">
        <f>IF(Completed!$J$12&lt;&gt;"",Completed!$J$12,"")</f>
        <v>41357</v>
      </c>
      <c r="AD13" s="66" t="str">
        <f>IF(Completed!$K$12&lt;&gt;"",Completed!$K$12,"")</f>
        <v>Nora Adrendt</v>
      </c>
      <c r="AE13" s="66" t="str">
        <f>IF(Completed!$L$12&lt;&gt;"",Completed!$L$12,"")</f>
        <v/>
      </c>
    </row>
    <row r="14" spans="1:31">
      <c r="A14" s="90" t="s">
        <v>330</v>
      </c>
      <c r="B14" s="94" t="s">
        <v>124</v>
      </c>
      <c r="C14" s="95">
        <v>1</v>
      </c>
      <c r="D14" s="95">
        <v>2</v>
      </c>
      <c r="E14" s="95">
        <v>11</v>
      </c>
      <c r="F14" s="116">
        <v>41816</v>
      </c>
      <c r="G14" s="111" t="str">
        <f ca="1">IF($A14&lt;&gt;"", INDIRECT("'Tracker'!"&amp;ADDRESS(MATCH($A14, Tracker[Anime Name], 0) + 2, 4)), "")</f>
        <v>A</v>
      </c>
      <c r="H14" s="104" t="str">
        <f ca="1">IF($A14&lt;&gt;"", INDIRECT("'Tracker'!"&amp;ADDRESS(MATCH($A14, Tracker[Anime Name], 0) + 2, 8)), "")</f>
        <v>Zurako</v>
      </c>
      <c r="I14" s="24" t="s">
        <v>157</v>
      </c>
      <c r="J14" s="21" t="str">
        <f>IF(Backlog!$A$13&lt;&gt;"",Backlog!$A$13,"")</f>
        <v>Darker than Black</v>
      </c>
      <c r="K14" s="28">
        <f>IF(Backlog!$B$13&lt;&gt;"",Backlog!$B$13,"")</f>
        <v>1</v>
      </c>
      <c r="L14" s="29" t="str">
        <f>IF(Backlog!$C$13&lt;&gt;"",Backlog!$C$13,"")</f>
        <v>DL</v>
      </c>
      <c r="N14" s="21" t="str">
        <f>IF(Completed!$A$13&lt;&gt;"",Completed!$A$13,"")</f>
        <v>Shakugan no Shana Final</v>
      </c>
      <c r="O14" s="28">
        <f>IF(Completed!$B$13&lt;&gt;"",Completed!$B$13,"")</f>
        <v>3</v>
      </c>
      <c r="P14" s="28">
        <f ca="1">IF($N$14&lt;&gt;"", INDIRECT("'Tracker'!"&amp;ADDRESS(MATCH($N$14, Tracker[Anime Name], 0) + 2, 3)), "")</f>
        <v>24</v>
      </c>
      <c r="Q14" s="22" t="str">
        <f ca="1">IF($N$14&lt;&gt;"", INDIRECT("'Tracker'!"&amp;ADDRESS(MATCH($N$14, Tracker[Anime Name], 0) + 2, 4)), "")</f>
        <v>A</v>
      </c>
      <c r="R14" s="22" t="str">
        <f ca="1">IF($N$14&lt;&gt;"", INDIRECT("'Tracker'!"&amp;ADDRESS(MATCH($N$14, Tracker[Anime Name], 0) + 2, 5)), "")</f>
        <v>720p</v>
      </c>
      <c r="S14" s="22" t="str">
        <f ca="1">IF($N$14&lt;&gt;"", INDIRECT("'Tracker'!"&amp;ADDRESS(MATCH($N$14, Tracker[Anime Name], 0) + 2, 6)), "")</f>
        <v>BD</v>
      </c>
      <c r="T14" s="22" t="str">
        <f ca="1">IF($N$14&lt;&gt;"", INDIRECT("'Tracker'!"&amp;ADDRESS(MATCH($N$14, Tracker[Anime Name], 0) + 2, 7)), "")</f>
        <v>2011C</v>
      </c>
      <c r="U14" s="28" t="str">
        <f ca="1">IF($N$14&lt;&gt;"", INDIRECT("'Tracker'!"&amp;ADDRESS(MATCH($N$14, Tracker[Anime Name], 0) + 2, 8)), "")</f>
        <v>Doki</v>
      </c>
      <c r="V14" s="53">
        <f>IF(Completed!$C$13&lt;&gt;"",Completed!$C$13,"")</f>
        <v>10</v>
      </c>
      <c r="W14" s="53">
        <f>IF(Completed!$D$13&lt;&gt;"",Completed!$D$13,"")</f>
        <v>8.5</v>
      </c>
      <c r="X14" s="53">
        <f>IF(Completed!$E$13&lt;&gt;"",Completed!$E$13,"")</f>
        <v>6</v>
      </c>
      <c r="Y14" s="53">
        <f>IF(Completed!$F$13&lt;&gt;"",Completed!$F$13,"")</f>
        <v>9.5</v>
      </c>
      <c r="Z14" s="65">
        <f>IF(Completed!$G$13&lt;&gt;"",Completed!$G$13,"")</f>
        <v>9.1557788944723608</v>
      </c>
      <c r="AA14" s="75">
        <f>IF(Completed!$H$13&lt;&gt;"",Completed!$H$13,"")</f>
        <v>9.1788413098236763</v>
      </c>
      <c r="AB14" s="54">
        <f>IF(Completed!$I$13&lt;&gt;"",Completed!$I$13,"")</f>
        <v>41400</v>
      </c>
      <c r="AC14" s="54">
        <f>IF(Completed!$J$13&lt;&gt;"",Completed!$J$13,"")</f>
        <v>41402</v>
      </c>
      <c r="AD14" s="66" t="str">
        <f>IF(Completed!$K$13&lt;&gt;"",Completed!$K$13,"")</f>
        <v>Shana</v>
      </c>
      <c r="AE14" s="66" t="str">
        <f>IF(Completed!$L$13&lt;&gt;"",Completed!$L$13,"")</f>
        <v/>
      </c>
    </row>
    <row r="15" spans="1:31">
      <c r="A15" s="90" t="s">
        <v>619</v>
      </c>
      <c r="B15" s="94" t="s">
        <v>375</v>
      </c>
      <c r="C15" s="95">
        <v>1</v>
      </c>
      <c r="D15" s="92">
        <v>5</v>
      </c>
      <c r="E15" s="92">
        <v>5</v>
      </c>
      <c r="F15" s="115">
        <v>41831</v>
      </c>
      <c r="G15" s="111" t="str">
        <f ca="1">IF($A15&lt;&gt;"", INDIRECT("'Tracker'!"&amp;ADDRESS(MATCH($A15, Tracker[Anime Name], 0) + 2, 4)), "")</f>
        <v>B</v>
      </c>
      <c r="H15" s="104" t="str">
        <f ca="1">IF($A15&lt;&gt;"", INDIRECT("'Tracker'!"&amp;ADDRESS(MATCH($A15, Tracker[Anime Name], 0) + 2, 8)), "")</f>
        <v>Vivid, Watashi</v>
      </c>
      <c r="I15" s="24" t="s">
        <v>157</v>
      </c>
      <c r="J15" s="21" t="str">
        <f>IF(Backlog!$A$14&lt;&gt;"",Backlog!$A$14,"")</f>
        <v>Date-A-Live</v>
      </c>
      <c r="K15" s="28">
        <f>IF(Backlog!$B$14&lt;&gt;"",Backlog!$B$14,"")</f>
        <v>1</v>
      </c>
      <c r="L15" s="29" t="str">
        <f>IF(Backlog!$C$14&lt;&gt;"",Backlog!$C$14,"")</f>
        <v>DL</v>
      </c>
      <c r="N15" s="21" t="str">
        <f>IF(Completed!$A$14&lt;&gt;"",Completed!$A$14,"")</f>
        <v>Log Horizon</v>
      </c>
      <c r="O15" s="28">
        <f>IF(Completed!$B$14&lt;&gt;"",Completed!$B$14,"")</f>
        <v>1</v>
      </c>
      <c r="P15" s="28">
        <f ca="1">IF($N$15&lt;&gt;"", INDIRECT("'Tracker'!"&amp;ADDRESS(MATCH($N$15, Tracker[Anime Name], 0) + 2, 3)), "")</f>
        <v>25</v>
      </c>
      <c r="Q15" s="22" t="str">
        <f ca="1">IF($N$15&lt;&gt;"", INDIRECT("'Tracker'!"&amp;ADDRESS(MATCH($N$15, Tracker[Anime Name], 0) + 2, 4)), "")</f>
        <v>B</v>
      </c>
      <c r="R15" s="22" t="str">
        <f ca="1">IF($N$15&lt;&gt;"", INDIRECT("'Tracker'!"&amp;ADDRESS(MATCH($N$15, Tracker[Anime Name], 0) + 2, 5)), "")</f>
        <v>720p</v>
      </c>
      <c r="S15" s="22" t="str">
        <f ca="1">IF($N$15&lt;&gt;"", INDIRECT("'Tracker'!"&amp;ADDRESS(MATCH($N$15, Tracker[Anime Name], 0) + 2, 6)), "")</f>
        <v>TV</v>
      </c>
      <c r="T15" s="22" t="str">
        <f ca="1">IF($N$15&lt;&gt;"", INDIRECT("'Tracker'!"&amp;ADDRESS(MATCH($N$15, Tracker[Anime Name], 0) + 2, 7)), "")</f>
        <v>2013C</v>
      </c>
      <c r="U15" s="28" t="str">
        <f ca="1">IF($N$15&lt;&gt;"", INDIRECT("'Tracker'!"&amp;ADDRESS(MATCH($N$15, Tracker[Anime Name], 0) + 2, 8)), "")</f>
        <v>HorribleSubs</v>
      </c>
      <c r="V15" s="53">
        <f>IF(Completed!$C$14&lt;&gt;"",Completed!$C$14,"")</f>
        <v>8.5</v>
      </c>
      <c r="W15" s="53">
        <f>IF(Completed!$D$14&lt;&gt;"",Completed!$D$14,"")</f>
        <v>9</v>
      </c>
      <c r="X15" s="53">
        <f>IF(Completed!$E$14&lt;&gt;"",Completed!$E$14,"")</f>
        <v>6.5</v>
      </c>
      <c r="Y15" s="53">
        <f>IF(Completed!$F$14&lt;&gt;"",Completed!$F$14,"")</f>
        <v>9.5</v>
      </c>
      <c r="Z15" s="65">
        <f>IF(Completed!$G$14&lt;&gt;"",Completed!$G$14,"")</f>
        <v>9.0389447236180906</v>
      </c>
      <c r="AA15" s="75">
        <f>IF(Completed!$H$14&lt;&gt;"",Completed!$H$14,"")</f>
        <v>9.0617128463476053</v>
      </c>
      <c r="AB15" s="54">
        <f>IF(Completed!$I$14&lt;&gt;"",Completed!$I$14,"")</f>
        <v>41555</v>
      </c>
      <c r="AC15" s="54">
        <f>IF(Completed!$J$14&lt;&gt;"",Completed!$J$14,"")</f>
        <v>41720</v>
      </c>
      <c r="AD15" s="66" t="str">
        <f>IF(Completed!$K$14&lt;&gt;"",Completed!$K$14,"")</f>
        <v>Akatsuki</v>
      </c>
      <c r="AE15" s="66" t="str">
        <f>IF(Completed!$L$14&lt;&gt;"",Completed!$L$14,"")</f>
        <v>Very well thought out world, good design</v>
      </c>
    </row>
    <row r="16" spans="1:31">
      <c r="A16" s="90" t="s">
        <v>618</v>
      </c>
      <c r="B16" s="94" t="s">
        <v>375</v>
      </c>
      <c r="C16" s="95">
        <v>2</v>
      </c>
      <c r="D16" s="92">
        <v>5</v>
      </c>
      <c r="E16" s="92">
        <v>5</v>
      </c>
      <c r="F16" s="115">
        <v>41827</v>
      </c>
      <c r="G16" s="111" t="str">
        <f ca="1">IF($A16&lt;&gt;"", INDIRECT("'Tracker'!"&amp;ADDRESS(MATCH($A16, Tracker[Anime Name], 0) + 2, 4)), "")</f>
        <v>A</v>
      </c>
      <c r="H16" s="104" t="str">
        <f ca="1">IF($A16&lt;&gt;"", INDIRECT("'Tracker'!"&amp;ADDRESS(MATCH($A16, Tracker[Anime Name], 0) + 2, 8)), "")</f>
        <v>WhyNot</v>
      </c>
      <c r="I16" s="24" t="s">
        <v>157</v>
      </c>
      <c r="J16" s="21" t="str">
        <f>IF(Backlog!$A$15&lt;&gt;"",Backlog!$A$15,"")</f>
        <v>Dennou Coil</v>
      </c>
      <c r="K16" s="28">
        <f>IF(Backlog!$B$15&lt;&gt;"",Backlog!$B$15,"")</f>
        <v>1</v>
      </c>
      <c r="L16" s="29" t="str">
        <f>IF(Backlog!$C$15&lt;&gt;"",Backlog!$C$15,"")</f>
        <v>DL</v>
      </c>
      <c r="N16" s="21" t="str">
        <f>IF(Completed!$A$15&lt;&gt;"",Completed!$A$15,"")</f>
        <v>Oda Nobuna no Yabou</v>
      </c>
      <c r="O16" s="28">
        <f>IF(Completed!$B$15&lt;&gt;"",Completed!$B$15,"")</f>
        <v>1</v>
      </c>
      <c r="P16" s="28">
        <f ca="1">IF($N$16&lt;&gt;"", INDIRECT("'Tracker'!"&amp;ADDRESS(MATCH($N$16, Tracker[Anime Name], 0) + 2, 3)), "")</f>
        <v>12</v>
      </c>
      <c r="Q16" s="22" t="str">
        <f ca="1">IF($N$16&lt;&gt;"", INDIRECT("'Tracker'!"&amp;ADDRESS(MATCH($N$16, Tracker[Anime Name], 0) + 2, 4)), "")</f>
        <v>A</v>
      </c>
      <c r="R16" s="22" t="str">
        <f ca="1">IF($N$16&lt;&gt;"", INDIRECT("'Tracker'!"&amp;ADDRESS(MATCH($N$16, Tracker[Anime Name], 0) + 2, 5)), "")</f>
        <v>1080p</v>
      </c>
      <c r="S16" s="22" t="str">
        <f ca="1">IF($N$16&lt;&gt;"", INDIRECT("'Tracker'!"&amp;ADDRESS(MATCH($N$16, Tracker[Anime Name], 0) + 2, 6)), "")</f>
        <v>BD</v>
      </c>
      <c r="T16" s="22" t="str">
        <f ca="1">IF($N$16&lt;&gt;"", INDIRECT("'Tracker'!"&amp;ADDRESS(MATCH($N$16, Tracker[Anime Name], 0) + 2, 7)), "")</f>
        <v>2012C</v>
      </c>
      <c r="U16" s="28" t="str">
        <f ca="1">IF($N$16&lt;&gt;"", INDIRECT("'Tracker'!"&amp;ADDRESS(MATCH($N$16, Tracker[Anime Name], 0) + 2, 8)), "")</f>
        <v>Doki</v>
      </c>
      <c r="V16" s="53">
        <f>IF(Completed!$C$15&lt;&gt;"",Completed!$C$15,"")</f>
        <v>9</v>
      </c>
      <c r="W16" s="53">
        <f>IF(Completed!$D$15&lt;&gt;"",Completed!$D$15,"")</f>
        <v>9.5</v>
      </c>
      <c r="X16" s="53">
        <f>IF(Completed!$E$15&lt;&gt;"",Completed!$E$15,"")</f>
        <v>6.5</v>
      </c>
      <c r="Y16" s="53">
        <f>IF(Completed!$F$15&lt;&gt;"",Completed!$F$15,"")</f>
        <v>9</v>
      </c>
      <c r="Z16" s="65">
        <f>IF(Completed!$G$15&lt;&gt;"",Completed!$G$15,"")</f>
        <v>9.0150753768844218</v>
      </c>
      <c r="AA16" s="75">
        <f>IF(Completed!$H$15&lt;&gt;"",Completed!$H$15,"")</f>
        <v>9.0377833753148611</v>
      </c>
      <c r="AB16" s="54">
        <f>IF(Completed!$I$15&lt;&gt;"",Completed!$I$15,"")</f>
        <v>41636</v>
      </c>
      <c r="AC16" s="54">
        <f>IF(Completed!$J$15&lt;&gt;"",Completed!$J$15,"")</f>
        <v>41636</v>
      </c>
      <c r="AD16" s="66" t="str">
        <f>IF(Completed!$K$15&lt;&gt;"",Completed!$K$15,"")</f>
        <v>Takenaka Hanbei</v>
      </c>
      <c r="AE16" s="66" t="str">
        <f>IF(Completed!$L$15&lt;&gt;"",Completed!$L$15,"")</f>
        <v>Really enjoyable to watch, especially with knowledge of Japanese history</v>
      </c>
    </row>
    <row r="17" spans="1:31">
      <c r="A17" s="90"/>
      <c r="B17" s="94"/>
      <c r="C17" s="95"/>
      <c r="D17" s="92"/>
      <c r="E17" s="92"/>
      <c r="F17" s="115"/>
      <c r="G17" s="111" t="str">
        <f ca="1">IF($A17&lt;&gt;"", INDIRECT("'Tracker'!"&amp;ADDRESS(MATCH($A17, Tracker[Anime Name], 0) + 2, 4)), "")</f>
        <v/>
      </c>
      <c r="H17" s="104" t="str">
        <f ca="1">IF($A17&lt;&gt;"", INDIRECT("'Tracker'!"&amp;ADDRESS(MATCH($A17, Tracker[Anime Name], 0) + 2, 8)), "")</f>
        <v/>
      </c>
      <c r="I17" s="24" t="s">
        <v>157</v>
      </c>
      <c r="J17" s="21" t="str">
        <f>IF(Backlog!$A$16&lt;&gt;"",Backlog!$A$16,"")</f>
        <v>Denpa Onna to Seishun Otoko</v>
      </c>
      <c r="K17" s="28">
        <f>IF(Backlog!$B$16&lt;&gt;"",Backlog!$B$16,"")</f>
        <v>1</v>
      </c>
      <c r="L17" s="29" t="str">
        <f>IF(Backlog!$C$16&lt;&gt;"",Backlog!$C$16,"")</f>
        <v>DL</v>
      </c>
      <c r="N17" s="21" t="str">
        <f>IF(Completed!$A$16&lt;&gt;"",Completed!$A$16,"")</f>
        <v>Angel Beats!</v>
      </c>
      <c r="O17" s="28">
        <f>IF(Completed!$B$16&lt;&gt;"",Completed!$B$16,"")</f>
        <v>1</v>
      </c>
      <c r="P17" s="28">
        <f ca="1">IF($N$17&lt;&gt;"", INDIRECT("'Tracker'!"&amp;ADDRESS(MATCH($N$17, Tracker[Anime Name], 0) + 2, 3)), "")</f>
        <v>14</v>
      </c>
      <c r="Q17" s="22" t="str">
        <f ca="1">IF($N$17&lt;&gt;"", INDIRECT("'Tracker'!"&amp;ADDRESS(MATCH($N$17, Tracker[Anime Name], 0) + 2, 4)), "")</f>
        <v>A</v>
      </c>
      <c r="R17" s="22" t="str">
        <f ca="1">IF($N$17&lt;&gt;"", INDIRECT("'Tracker'!"&amp;ADDRESS(MATCH($N$17, Tracker[Anime Name], 0) + 2, 5)), "")</f>
        <v>720p</v>
      </c>
      <c r="S17" s="22" t="str">
        <f ca="1">IF($N$17&lt;&gt;"", INDIRECT("'Tracker'!"&amp;ADDRESS(MATCH($N$17, Tracker[Anime Name], 0) + 2, 6)), "")</f>
        <v>BD</v>
      </c>
      <c r="T17" s="22" t="str">
        <f ca="1">IF($N$17&lt;&gt;"", INDIRECT("'Tracker'!"&amp;ADDRESS(MATCH($N$17, Tracker[Anime Name], 0) + 2, 7)), "")</f>
        <v>2010A</v>
      </c>
      <c r="U17" s="28" t="str">
        <f ca="1">IF($N$17&lt;&gt;"", INDIRECT("'Tracker'!"&amp;ADDRESS(MATCH($N$17, Tracker[Anime Name], 0) + 2, 8)), "")</f>
        <v>Doki</v>
      </c>
      <c r="V17" s="53">
        <f>IF(Completed!$C$16&lt;&gt;"",Completed!$C$16,"")</f>
        <v>9</v>
      </c>
      <c r="W17" s="53">
        <f>IF(Completed!$D$16&lt;&gt;"",Completed!$D$16,"")</f>
        <v>9</v>
      </c>
      <c r="X17" s="53">
        <f>IF(Completed!$E$16&lt;&gt;"",Completed!$E$16,"")</f>
        <v>4</v>
      </c>
      <c r="Y17" s="53">
        <f>IF(Completed!$F$16&lt;&gt;"",Completed!$F$16,"")</f>
        <v>9.5</v>
      </c>
      <c r="Z17" s="65">
        <f>IF(Completed!$G$16&lt;&gt;"",Completed!$G$16,"")</f>
        <v>9.011306532663319</v>
      </c>
      <c r="AA17" s="75">
        <f>IF(Completed!$H$16&lt;&gt;"",Completed!$H$16,"")</f>
        <v>9.0340050377833769</v>
      </c>
      <c r="AB17" s="54">
        <f>IF(Completed!$I$16&lt;&gt;"",Completed!$I$16,"")</f>
        <v>41295</v>
      </c>
      <c r="AC17" s="54">
        <f>IF(Completed!$J$16&lt;&gt;"",Completed!$J$16,"")</f>
        <v>41300</v>
      </c>
      <c r="AD17" s="66" t="str">
        <f>IF(Completed!$K$16&lt;&gt;"",Completed!$K$16,"")</f>
        <v>Tachibana Kanade</v>
      </c>
      <c r="AE17" s="66" t="str">
        <f>IF(Completed!$L$16&lt;&gt;"",Completed!$L$16,"")</f>
        <v>Not enough angel, not enough beats</v>
      </c>
    </row>
    <row r="18" spans="1:31">
      <c r="A18" s="90"/>
      <c r="B18" s="93"/>
      <c r="C18" s="92"/>
      <c r="D18" s="92"/>
      <c r="E18" s="92"/>
      <c r="F18" s="114"/>
      <c r="G18" s="111" t="str">
        <f ca="1">IF($A18&lt;&gt;"", INDIRECT("'Tracker'!"&amp;ADDRESS(MATCH($A18, Tracker[Anime Name], 0) + 2, 4)), "")</f>
        <v/>
      </c>
      <c r="H18" s="104" t="str">
        <f ca="1">IF($A18&lt;&gt;"", INDIRECT("'Tracker'!"&amp;ADDRESS(MATCH($A18, Tracker[Anime Name], 0) + 2, 8)), "")</f>
        <v/>
      </c>
      <c r="I18" s="24" t="s">
        <v>157</v>
      </c>
      <c r="J18" s="21" t="str">
        <f>IF(Backlog!$A$17&lt;&gt;"",Backlog!$A$17,"")</f>
        <v>Fate / Zero</v>
      </c>
      <c r="K18" s="28">
        <f>IF(Backlog!$B$17&lt;&gt;"",Backlog!$B$17,"")</f>
        <v>1</v>
      </c>
      <c r="L18" s="29" t="str">
        <f>IF(Backlog!$C$17&lt;&gt;"",Backlog!$C$17,"")</f>
        <v>DL</v>
      </c>
      <c r="N18" s="21" t="str">
        <f>IF(Completed!$A$17&lt;&gt;"",Completed!$A$17,"")</f>
        <v>Sidonia no Kishi</v>
      </c>
      <c r="O18" s="28">
        <f>IF(Completed!$B$17&lt;&gt;"",Completed!$B$17,"")</f>
        <v>1</v>
      </c>
      <c r="P18" s="28">
        <f ca="1">IF($N$18&lt;&gt;"", INDIRECT("'Tracker'!"&amp;ADDRESS(MATCH($N$18, Tracker[Anime Name], 0) + 2, 3)), "")</f>
        <v>12</v>
      </c>
      <c r="Q18" s="22" t="str">
        <f ca="1">IF($N$18&lt;&gt;"", INDIRECT("'Tracker'!"&amp;ADDRESS(MATCH($N$18, Tracker[Anime Name], 0) + 2, 4)), "")</f>
        <v>B</v>
      </c>
      <c r="R18" s="22" t="str">
        <f ca="1">IF($N$18&lt;&gt;"", INDIRECT("'Tracker'!"&amp;ADDRESS(MATCH($N$18, Tracker[Anime Name], 0) + 2, 5)), "")</f>
        <v>720p</v>
      </c>
      <c r="S18" s="22" t="str">
        <f ca="1">IF($N$18&lt;&gt;"", INDIRECT("'Tracker'!"&amp;ADDRESS(MATCH($N$18, Tracker[Anime Name], 0) + 2, 6)), "")</f>
        <v>TV</v>
      </c>
      <c r="T18" s="22" t="str">
        <f ca="1">IF($N$18&lt;&gt;"", INDIRECT("'Tracker'!"&amp;ADDRESS(MATCH($N$18, Tracker[Anime Name], 0) + 2, 7)), "")</f>
        <v>2014A</v>
      </c>
      <c r="U18" s="28" t="str">
        <f ca="1">IF($N$18&lt;&gt;"", INDIRECT("'Tracker'!"&amp;ADDRESS(MATCH($N$18, Tracker[Anime Name], 0) + 2, 8)), "")</f>
        <v>Underwater</v>
      </c>
      <c r="V18" s="53">
        <f>IF(Completed!$C$17&lt;&gt;"",Completed!$C$17,"")</f>
        <v>10</v>
      </c>
      <c r="W18" s="53">
        <f>IF(Completed!$D$17&lt;&gt;"",Completed!$D$17,"")</f>
        <v>9</v>
      </c>
      <c r="X18" s="53">
        <f>IF(Completed!$E$17&lt;&gt;"",Completed!$E$17,"")</f>
        <v>5</v>
      </c>
      <c r="Y18" s="53">
        <f>IF(Completed!$F$17&lt;&gt;"",Completed!$F$17,"")</f>
        <v>9</v>
      </c>
      <c r="Z18" s="65">
        <f>IF(Completed!$G$17&lt;&gt;"",Completed!$G$17,"")</f>
        <v>8.9924623115577891</v>
      </c>
      <c r="AA18" s="75">
        <f>IF(Completed!$H$17&lt;&gt;"",Completed!$H$17,"")</f>
        <v>9.0151133501259437</v>
      </c>
      <c r="AB18" s="54">
        <f>IF(Completed!$I$17&lt;&gt;"",Completed!$I$17,"")</f>
        <v>41796</v>
      </c>
      <c r="AC18" s="54">
        <f>IF(Completed!$J$17&lt;&gt;"",Completed!$J$17,"")</f>
        <v>41816</v>
      </c>
      <c r="AD18" s="66" t="s">
        <v>586</v>
      </c>
      <c r="AE18" s="66" t="str">
        <f>IF(Completed!$L$17&lt;&gt;"",Completed!$L$17,"")</f>
        <v/>
      </c>
    </row>
    <row r="19" spans="1:31">
      <c r="A19" s="90"/>
      <c r="B19" s="96"/>
      <c r="C19" s="95"/>
      <c r="D19" s="95"/>
      <c r="E19" s="95"/>
      <c r="F19" s="116"/>
      <c r="G19" s="111" t="str">
        <f ca="1">IF($A19&lt;&gt;"", INDIRECT("'Tracker'!"&amp;ADDRESS(MATCH($A19, Tracker[Anime Name], 0) + 2, 4)), "")</f>
        <v/>
      </c>
      <c r="H19" s="104" t="str">
        <f ca="1">IF($A19&lt;&gt;"", INDIRECT("'Tracker'!"&amp;ADDRESS(MATCH($A19, Tracker[Anime Name], 0) + 2, 8)), "")</f>
        <v/>
      </c>
      <c r="I19" s="24" t="s">
        <v>157</v>
      </c>
      <c r="J19" s="21" t="str">
        <f>IF(Backlog!$A$18&lt;&gt;"",Backlog!$A$18,"")</f>
        <v>FLCL</v>
      </c>
      <c r="K19" s="28">
        <f>IF(Backlog!$B$18&lt;&gt;"",Backlog!$B$18,"")</f>
        <v>1</v>
      </c>
      <c r="L19" s="29" t="str">
        <f>IF(Backlog!$C$18&lt;&gt;"",Backlog!$C$18,"")</f>
        <v>DL</v>
      </c>
      <c r="N19" s="21" t="str">
        <f>IF(Completed!$A$18&lt;&gt;"",Completed!$A$18,"")</f>
        <v>White Album 2</v>
      </c>
      <c r="O19" s="28">
        <f>IF(Completed!$B$18&lt;&gt;"",Completed!$B$18,"")</f>
        <v>2</v>
      </c>
      <c r="P19" s="28">
        <f ca="1">IF($N$19&lt;&gt;"", INDIRECT("'Tracker'!"&amp;ADDRESS(MATCH($N$19, Tracker[Anime Name], 0) + 2, 3)), "")</f>
        <v>12</v>
      </c>
      <c r="Q19" s="22" t="str">
        <f ca="1">IF($N$19&lt;&gt;"", INDIRECT("'Tracker'!"&amp;ADDRESS(MATCH($N$19, Tracker[Anime Name], 0) + 2, 4)), "")</f>
        <v>B</v>
      </c>
      <c r="R19" s="22" t="str">
        <f ca="1">IF($N$19&lt;&gt;"", INDIRECT("'Tracker'!"&amp;ADDRESS(MATCH($N$19, Tracker[Anime Name], 0) + 2, 5)), "")</f>
        <v>720p</v>
      </c>
      <c r="S19" s="22" t="str">
        <f ca="1">IF($N$19&lt;&gt;"", INDIRECT("'Tracker'!"&amp;ADDRESS(MATCH($N$19, Tracker[Anime Name], 0) + 2, 6)), "")</f>
        <v>TV</v>
      </c>
      <c r="T19" s="22" t="str">
        <f ca="1">IF($N$19&lt;&gt;"", INDIRECT("'Tracker'!"&amp;ADDRESS(MATCH($N$19, Tracker[Anime Name], 0) + 2, 7)), "")</f>
        <v>2013C</v>
      </c>
      <c r="U19" s="28" t="str">
        <f ca="1">IF($N$19&lt;&gt;"", INDIRECT("'Tracker'!"&amp;ADDRESS(MATCH($N$19, Tracker[Anime Name], 0) + 2, 8)), "")</f>
        <v>UTW</v>
      </c>
      <c r="V19" s="53">
        <f>IF(Completed!$C$18&lt;&gt;"",Completed!$C$18,"")</f>
        <v>9</v>
      </c>
      <c r="W19" s="53">
        <f>IF(Completed!$D$18&lt;&gt;"",Completed!$D$18,"")</f>
        <v>9.5</v>
      </c>
      <c r="X19" s="53">
        <f>IF(Completed!$E$18&lt;&gt;"",Completed!$E$18,"")</f>
        <v>6</v>
      </c>
      <c r="Y19" s="53">
        <f>IF(Completed!$F$18&lt;&gt;"",Completed!$F$18,"")</f>
        <v>9</v>
      </c>
      <c r="Z19" s="65">
        <f>IF(Completed!$G$18&lt;&gt;"",Completed!$G$18,"")</f>
        <v>8.991206030150753</v>
      </c>
      <c r="AA19" s="75">
        <f>IF(Completed!$H$18&lt;&gt;"",Completed!$H$18,"")</f>
        <v>9.0138539042821133</v>
      </c>
      <c r="AB19" s="54">
        <f>IF(Completed!$I$18&lt;&gt;"",Completed!$I$18,"")</f>
        <v>41553</v>
      </c>
      <c r="AC19" s="54">
        <f>IF(Completed!$J$18&lt;&gt;"",Completed!$J$18,"")</f>
        <v>41632</v>
      </c>
      <c r="AD19" s="66" t="str">
        <f>IF(Completed!$K$18&lt;&gt;"",Completed!$K$18,"")</f>
        <v>Touma Kazusa</v>
      </c>
      <c r="AE19" s="66" t="str">
        <f>IF(Completed!$L$18&lt;&gt;"",Completed!$L$18,"")</f>
        <v/>
      </c>
    </row>
    <row r="20" spans="1:31">
      <c r="A20" s="90"/>
      <c r="B20" s="96"/>
      <c r="C20" s="95"/>
      <c r="D20" s="95"/>
      <c r="E20" s="95"/>
      <c r="F20" s="116"/>
      <c r="G20" s="111" t="str">
        <f ca="1">IF($A20&lt;&gt;"", INDIRECT("'Tracker'!"&amp;ADDRESS(MATCH($A20, Tracker[Anime Name], 0) + 2, 4)), "")</f>
        <v/>
      </c>
      <c r="H20" s="104" t="str">
        <f ca="1">IF($A20&lt;&gt;"", INDIRECT("'Tracker'!"&amp;ADDRESS(MATCH($A20, Tracker[Anime Name], 0) + 2, 8)), "")</f>
        <v/>
      </c>
      <c r="I20" s="24" t="s">
        <v>157</v>
      </c>
      <c r="J20" s="21" t="str">
        <f>IF(Backlog!$A$19&lt;&gt;"",Backlog!$A$19,"")</f>
        <v>Fullmetal Alchemist: Brotherhood</v>
      </c>
      <c r="K20" s="28">
        <f>IF(Backlog!$B$19&lt;&gt;"",Backlog!$B$19,"")</f>
        <v>2</v>
      </c>
      <c r="L20" s="29" t="str">
        <f>IF(Backlog!$C$19&lt;&gt;"",Backlog!$C$19,"")</f>
        <v>DL</v>
      </c>
      <c r="N20" s="21" t="str">
        <f>IF(Completed!$A$19&lt;&gt;"",Completed!$A$19,"")</f>
        <v>Shakugan no Shana</v>
      </c>
      <c r="O20" s="28">
        <f>IF(Completed!$B$19&lt;&gt;"",Completed!$B$19,"")</f>
        <v>1</v>
      </c>
      <c r="P20" s="28">
        <f ca="1">IF($N$20&lt;&gt;"", INDIRECT("'Tracker'!"&amp;ADDRESS(MATCH($N$20, Tracker[Anime Name], 0) + 2, 3)), "")</f>
        <v>24</v>
      </c>
      <c r="Q20" s="22" t="str">
        <f ca="1">IF($N$20&lt;&gt;"", INDIRECT("'Tracker'!"&amp;ADDRESS(MATCH($N$20, Tracker[Anime Name], 0) + 2, 4)), "")</f>
        <v>A</v>
      </c>
      <c r="R20" s="22" t="str">
        <f ca="1">IF($N$20&lt;&gt;"", INDIRECT("'Tracker'!"&amp;ADDRESS(MATCH($N$20, Tracker[Anime Name], 0) + 2, 5)), "")</f>
        <v>720p</v>
      </c>
      <c r="S20" s="22" t="str">
        <f ca="1">IF($N$20&lt;&gt;"", INDIRECT("'Tracker'!"&amp;ADDRESS(MATCH($N$20, Tracker[Anime Name], 0) + 2, 6)), "")</f>
        <v>BD</v>
      </c>
      <c r="T20" s="22" t="str">
        <f ca="1">IF($N$20&lt;&gt;"", INDIRECT("'Tracker'!"&amp;ADDRESS(MATCH($N$20, Tracker[Anime Name], 0) + 2, 7)), "")</f>
        <v>2005C</v>
      </c>
      <c r="U20" s="28" t="str">
        <f ca="1">IF($N$20&lt;&gt;"", INDIRECT("'Tracker'!"&amp;ADDRESS(MATCH($N$20, Tracker[Anime Name], 0) + 2, 8)), "")</f>
        <v>Elysium</v>
      </c>
      <c r="V20" s="53">
        <f>IF(Completed!$C$19&lt;&gt;"",Completed!$C$19,"")</f>
        <v>9.5</v>
      </c>
      <c r="W20" s="53">
        <f>IF(Completed!$D$19&lt;&gt;"",Completed!$D$19,"")</f>
        <v>9</v>
      </c>
      <c r="X20" s="53">
        <f>IF(Completed!$E$19&lt;&gt;"",Completed!$E$19,"")</f>
        <v>6.5</v>
      </c>
      <c r="Y20" s="53">
        <f>IF(Completed!$F$19&lt;&gt;"",Completed!$F$19,"")</f>
        <v>9</v>
      </c>
      <c r="Z20" s="65">
        <f>IF(Completed!$G$19&lt;&gt;"",Completed!$G$19,"")</f>
        <v>8.9723618090452266</v>
      </c>
      <c r="AA20" s="75">
        <f>IF(Completed!$H$19&lt;&gt;"",Completed!$H$19,"")</f>
        <v>8.9949622166246854</v>
      </c>
      <c r="AB20" s="54">
        <f>IF(Completed!$I$19&lt;&gt;"",Completed!$I$19,"")</f>
        <v>41369</v>
      </c>
      <c r="AC20" s="54">
        <f>IF(Completed!$J$19&lt;&gt;"",Completed!$J$19,"")</f>
        <v>41389</v>
      </c>
      <c r="AD20" s="66" t="str">
        <f>IF(Completed!$K$19&lt;&gt;"",Completed!$K$19,"")</f>
        <v>Shana</v>
      </c>
      <c r="AE20" s="66" t="str">
        <f>IF(Completed!$L$19&lt;&gt;"",Completed!$L$19,"")</f>
        <v>Shana &gt; Everyone else</v>
      </c>
    </row>
    <row r="21" spans="1:31">
      <c r="A21" s="90"/>
      <c r="B21" s="96"/>
      <c r="C21" s="95"/>
      <c r="D21" s="95"/>
      <c r="E21" s="95"/>
      <c r="F21" s="116"/>
      <c r="G21" s="111" t="str">
        <f ca="1">IF($A21&lt;&gt;"", INDIRECT("'Tracker'!"&amp;ADDRESS(MATCH($A21, Tracker[Anime Name], 0) + 2, 4)), "")</f>
        <v/>
      </c>
      <c r="H21" s="104" t="str">
        <f ca="1">IF($A21&lt;&gt;"", INDIRECT("'Tracker'!"&amp;ADDRESS(MATCH($A21, Tracker[Anime Name], 0) + 2, 8)), "")</f>
        <v/>
      </c>
      <c r="I21" s="24" t="s">
        <v>157</v>
      </c>
      <c r="J21" s="21" t="str">
        <f>IF(Backlog!$A$20&lt;&gt;"",Backlog!$A$20,"")</f>
        <v>Girls und Panzer</v>
      </c>
      <c r="K21" s="28">
        <f>IF(Backlog!$B$20&lt;&gt;"",Backlog!$B$20,"")</f>
        <v>1</v>
      </c>
      <c r="L21" s="29" t="str">
        <f>IF(Backlog!$C$20&lt;&gt;"",Backlog!$C$20,"")</f>
        <v>DL</v>
      </c>
      <c r="N21" s="21" t="str">
        <f>IF(Completed!$A$20&lt;&gt;"",Completed!$A$20,"")</f>
        <v>Kill la Kill</v>
      </c>
      <c r="O21" s="28">
        <f>IF(Completed!$B$20&lt;&gt;"",Completed!$B$20,"")</f>
        <v>1</v>
      </c>
      <c r="P21" s="28">
        <f ca="1">IF($N$21&lt;&gt;"", INDIRECT("'Tracker'!"&amp;ADDRESS(MATCH($N$21, Tracker[Anime Name], 0) + 2, 3)), "")</f>
        <v>24</v>
      </c>
      <c r="Q21" s="22" t="str">
        <f ca="1">IF($N$21&lt;&gt;"", INDIRECT("'Tracker'!"&amp;ADDRESS(MATCH($N$21, Tracker[Anime Name], 0) + 2, 4)), "")</f>
        <v>B</v>
      </c>
      <c r="R21" s="22" t="str">
        <f ca="1">IF($N$21&lt;&gt;"", INDIRECT("'Tracker'!"&amp;ADDRESS(MATCH($N$21, Tracker[Anime Name], 0) + 2, 5)), "")</f>
        <v>720p</v>
      </c>
      <c r="S21" s="22" t="str">
        <f ca="1">IF($N$21&lt;&gt;"", INDIRECT("'Tracker'!"&amp;ADDRESS(MATCH($N$21, Tracker[Anime Name], 0) + 2, 6)), "")</f>
        <v>TV</v>
      </c>
      <c r="T21" s="22" t="str">
        <f ca="1">IF($N$21&lt;&gt;"", INDIRECT("'Tracker'!"&amp;ADDRESS(MATCH($N$21, Tracker[Anime Name], 0) + 2, 7)), "")</f>
        <v>2013C</v>
      </c>
      <c r="U21" s="28" t="str">
        <f ca="1">IF($N$21&lt;&gt;"", INDIRECT("'Tracker'!"&amp;ADDRESS(MATCH($N$21, Tracker[Anime Name], 0) + 2, 8)), "")</f>
        <v>HorribleSubs</v>
      </c>
      <c r="V21" s="53">
        <f>IF(Completed!$C$20&lt;&gt;"",Completed!$C$20,"")</f>
        <v>9</v>
      </c>
      <c r="W21" s="53">
        <f>IF(Completed!$D$20&lt;&gt;"",Completed!$D$20,"")</f>
        <v>8.5</v>
      </c>
      <c r="X21" s="53">
        <f>IF(Completed!$E$20&lt;&gt;"",Completed!$E$20,"")</f>
        <v>5</v>
      </c>
      <c r="Y21" s="53">
        <f>IF(Completed!$F$20&lt;&gt;"",Completed!$F$20,"")</f>
        <v>9.5</v>
      </c>
      <c r="Z21" s="65">
        <f>IF(Completed!$G$20&lt;&gt;"",Completed!$G$20,"")</f>
        <v>8.9246231155778908</v>
      </c>
      <c r="AA21" s="75">
        <f>IF(Completed!$H$20&lt;&gt;"",Completed!$H$20,"")</f>
        <v>8.9471032745591934</v>
      </c>
      <c r="AB21" s="54">
        <f>IF(Completed!$I$20&lt;&gt;"",Completed!$I$20,"")</f>
        <v>41555</v>
      </c>
      <c r="AC21" s="54">
        <f>IF(Completed!$J$20&lt;&gt;"",Completed!$J$20,"")</f>
        <v>41726</v>
      </c>
      <c r="AD21" s="66" t="str">
        <f>IF(Completed!$K$20&lt;&gt;"",Completed!$K$20,"")</f>
        <v>Jakuzure Nonon</v>
      </c>
      <c r="AE21" s="66" t="str">
        <f>IF(Completed!$L$20&lt;&gt;"",Completed!$L$20,"")</f>
        <v>DON'T LOSE YOUR WAAAAAAYYYY</v>
      </c>
    </row>
    <row r="22" spans="1:31">
      <c r="A22" s="90"/>
      <c r="B22" s="96"/>
      <c r="C22" s="95"/>
      <c r="D22" s="95"/>
      <c r="E22" s="95"/>
      <c r="F22" s="116"/>
      <c r="G22" s="111" t="str">
        <f ca="1">IF($A22&lt;&gt;"", INDIRECT("'Tracker'!"&amp;ADDRESS(MATCH($A22, Tracker[Anime Name], 0) + 2, 4)), "")</f>
        <v/>
      </c>
      <c r="H22" s="104" t="str">
        <f ca="1">IF($A22&lt;&gt;"", INDIRECT("'Tracker'!"&amp;ADDRESS(MATCH($A22, Tracker[Anime Name], 0) + 2, 8)), "")</f>
        <v/>
      </c>
      <c r="I22" s="24" t="s">
        <v>157</v>
      </c>
      <c r="J22" s="21" t="str">
        <f>IF(Backlog!$A$21&lt;&gt;"",Backlog!$A$21,"")</f>
        <v>GJ-bu</v>
      </c>
      <c r="K22" s="28">
        <f>IF(Backlog!$B$21&lt;&gt;"",Backlog!$B$21,"")</f>
        <v>1</v>
      </c>
      <c r="L22" s="29" t="str">
        <f>IF(Backlog!$C$21&lt;&gt;"",Backlog!$C$21,"")</f>
        <v>DL</v>
      </c>
      <c r="N22" s="21" t="str">
        <f>IF(Completed!$A$21&lt;&gt;"",Completed!$A$21,"")</f>
        <v>Chihayafuru</v>
      </c>
      <c r="O22" s="28">
        <f>IF(Completed!$B$21&lt;&gt;"",Completed!$B$21,"")</f>
        <v>1</v>
      </c>
      <c r="P22" s="28">
        <f ca="1">IF($N$22&lt;&gt;"", INDIRECT("'Tracker'!"&amp;ADDRESS(MATCH($N$22, Tracker[Anime Name], 0) + 2, 3)), "")</f>
        <v>25</v>
      </c>
      <c r="Q22" s="22" t="str">
        <f ca="1">IF($N$22&lt;&gt;"", INDIRECT("'Tracker'!"&amp;ADDRESS(MATCH($N$22, Tracker[Anime Name], 0) + 2, 4)), "")</f>
        <v>A</v>
      </c>
      <c r="R22" s="22" t="str">
        <f ca="1">IF($N$22&lt;&gt;"", INDIRECT("'Tracker'!"&amp;ADDRESS(MATCH($N$22, Tracker[Anime Name], 0) + 2, 5)), "")</f>
        <v>720p</v>
      </c>
      <c r="S22" s="22" t="str">
        <f ca="1">IF($N$22&lt;&gt;"", INDIRECT("'Tracker'!"&amp;ADDRESS(MATCH($N$22, Tracker[Anime Name], 0) + 2, 6)), "")</f>
        <v>TV</v>
      </c>
      <c r="T22" s="22" t="str">
        <f ca="1">IF($N$22&lt;&gt;"", INDIRECT("'Tracker'!"&amp;ADDRESS(MATCH($N$22, Tracker[Anime Name], 0) + 2, 7)), "")</f>
        <v>2011C</v>
      </c>
      <c r="U22" s="28" t="str">
        <f ca="1">IF($N$22&lt;&gt;"", INDIRECT("'Tracker'!"&amp;ADDRESS(MATCH($N$22, Tracker[Anime Name], 0) + 2, 8)), "")</f>
        <v>HorribleSubs</v>
      </c>
      <c r="V22" s="53">
        <f>IF(Completed!$C$21&lt;&gt;"",Completed!$C$21,"")</f>
        <v>9.5</v>
      </c>
      <c r="W22" s="53">
        <f>IF(Completed!$D$21&lt;&gt;"",Completed!$D$21,"")</f>
        <v>8.5</v>
      </c>
      <c r="X22" s="53">
        <f>IF(Completed!$E$21&lt;&gt;"",Completed!$E$21,"")</f>
        <v>3</v>
      </c>
      <c r="Y22" s="53">
        <f>IF(Completed!$F$21&lt;&gt;"",Completed!$F$21,"")</f>
        <v>9.5</v>
      </c>
      <c r="Z22" s="65">
        <f>IF(Completed!$G$21&lt;&gt;"",Completed!$G$21,"")</f>
        <v>8.9208542713567844</v>
      </c>
      <c r="AA22" s="75">
        <f>IF(Completed!$H$21&lt;&gt;"",Completed!$H$21,"")</f>
        <v>8.9433249370277093</v>
      </c>
      <c r="AB22" s="54">
        <f>IF(Completed!$I$21&lt;&gt;"",Completed!$I$21,"")</f>
        <v>41477</v>
      </c>
      <c r="AC22" s="54">
        <f>IF(Completed!$J$21&lt;&gt;"",Completed!$J$21,"")</f>
        <v>41479</v>
      </c>
      <c r="AD22" s="66" t="str">
        <f>IF(Completed!$K$21&lt;&gt;"",Completed!$K$21,"")</f>
        <v>Ayase Chihaya</v>
      </c>
      <c r="AE22" s="66" t="str">
        <f>IF(Completed!$L$21&lt;&gt;"",Completed!$L$21,"")</f>
        <v/>
      </c>
    </row>
    <row r="23" spans="1:31">
      <c r="A23" s="90"/>
      <c r="B23" s="96"/>
      <c r="C23" s="95"/>
      <c r="D23" s="95"/>
      <c r="E23" s="95"/>
      <c r="F23" s="117"/>
      <c r="G23" s="112" t="str">
        <f ca="1">IF($A23&lt;&gt;"", INDIRECT("'Tracker'!"&amp;ADDRESS(MATCH($A23, Tracker[Anime Name], 0) + 2, 4)), "")</f>
        <v/>
      </c>
      <c r="H23" s="104" t="str">
        <f ca="1">IF($A23&lt;&gt;"", INDIRECT("'Tracker'!"&amp;ADDRESS(MATCH($A23, Tracker[Anime Name], 0) + 2, 8)), "")</f>
        <v/>
      </c>
      <c r="I23" s="24" t="s">
        <v>157</v>
      </c>
      <c r="J23" s="21" t="str">
        <f>IF(Backlog!$A$22&lt;&gt;"",Backlog!$A$22,"")</f>
        <v>Hetalia Axis Powers</v>
      </c>
      <c r="K23" s="28">
        <f>IF(Backlog!$B$22&lt;&gt;"",Backlog!$B$22,"")</f>
        <v>1</v>
      </c>
      <c r="L23" s="29" t="str">
        <f>IF(Backlog!$C$22&lt;&gt;"",Backlog!$C$22,"")</f>
        <v>DL</v>
      </c>
      <c r="N23" s="21" t="str">
        <f>IF(Completed!$A$22&lt;&gt;"",Completed!$A$22,"")</f>
        <v>Ping Pong the Animation</v>
      </c>
      <c r="O23" s="28">
        <f>IF(Completed!$B$22&lt;&gt;"",Completed!$B$22,"")</f>
        <v>1</v>
      </c>
      <c r="P23" s="28">
        <f ca="1">IF($N$23&lt;&gt;"", INDIRECT("'Tracker'!"&amp;ADDRESS(MATCH($N$23, Tracker[Anime Name], 0) + 2, 3)), "")</f>
        <v>11</v>
      </c>
      <c r="Q23" s="22" t="str">
        <f ca="1">IF($N$23&lt;&gt;"", INDIRECT("'Tracker'!"&amp;ADDRESS(MATCH($N$23, Tracker[Anime Name], 0) + 2, 4)), "")</f>
        <v>B</v>
      </c>
      <c r="R23" s="22" t="str">
        <f ca="1">IF($N$23&lt;&gt;"", INDIRECT("'Tracker'!"&amp;ADDRESS(MATCH($N$23, Tracker[Anime Name], 0) + 2, 5)), "")</f>
        <v>720p</v>
      </c>
      <c r="S23" s="22" t="str">
        <f ca="1">IF($N$23&lt;&gt;"", INDIRECT("'Tracker'!"&amp;ADDRESS(MATCH($N$23, Tracker[Anime Name], 0) + 2, 6)), "")</f>
        <v>TV</v>
      </c>
      <c r="T23" s="22" t="str">
        <f ca="1">IF($N$23&lt;&gt;"", INDIRECT("'Tracker'!"&amp;ADDRESS(MATCH($N$23, Tracker[Anime Name], 0) + 2, 7)), "")</f>
        <v>2014A</v>
      </c>
      <c r="U23" s="28" t="str">
        <f ca="1">IF($N$23&lt;&gt;"", INDIRECT("'Tracker'!"&amp;ADDRESS(MATCH($N$23, Tracker[Anime Name], 0) + 2, 8)), "")</f>
        <v>WhyNot</v>
      </c>
      <c r="V23" s="53">
        <f>IF(Completed!$C$22&lt;&gt;"",Completed!$C$22,"")</f>
        <v>9.5</v>
      </c>
      <c r="W23" s="53">
        <f>IF(Completed!$D$22&lt;&gt;"",Completed!$D$22,"")</f>
        <v>8.5</v>
      </c>
      <c r="X23" s="53">
        <f>IF(Completed!$E$22&lt;&gt;"",Completed!$E$22,"")</f>
        <v>3</v>
      </c>
      <c r="Y23" s="53">
        <f>IF(Completed!$F$22&lt;&gt;"",Completed!$F$22,"")</f>
        <v>9.5</v>
      </c>
      <c r="Z23" s="65">
        <f>IF(Completed!$G$22&lt;&gt;"",Completed!$G$22,"")</f>
        <v>8.9208542713567844</v>
      </c>
      <c r="AA23" s="75">
        <f>IF(Completed!$H$22&lt;&gt;"",Completed!$H$22,"")</f>
        <v>8.9433249370277093</v>
      </c>
      <c r="AB23" s="54">
        <f>IF(Completed!$I$22&lt;&gt;"",Completed!$I$22,"")</f>
        <v>41750</v>
      </c>
      <c r="AC23" s="54">
        <f>IF(Completed!$J$22&lt;&gt;"",Completed!$J$22,"")</f>
        <v>41817</v>
      </c>
      <c r="AD23" s="66" t="str">
        <f>IF(Completed!$K$22&lt;&gt;"",Completed!$K$22,"")</f>
        <v>--</v>
      </c>
      <c r="AE23" s="66" t="str">
        <f>IF(Completed!$L$22&lt;&gt;"",Completed!$L$22,"")</f>
        <v>Hypest ping pong I've ever watched</v>
      </c>
    </row>
    <row r="24" spans="1:31">
      <c r="A24" s="105" t="s">
        <v>479</v>
      </c>
      <c r="B24" s="106">
        <f>SUMIF(B4:B23, "--", E4:E23) - SUMIF(B4:B23, "--", D4:D23)</f>
        <v>18</v>
      </c>
      <c r="C24" s="203" t="s">
        <v>478</v>
      </c>
      <c r="D24" s="204"/>
      <c r="E24" s="204"/>
      <c r="F24" s="204"/>
      <c r="G24" s="205"/>
      <c r="H24" s="107">
        <f>B24*22/60</f>
        <v>6.6</v>
      </c>
      <c r="J24" s="21" t="str">
        <f>IF(Backlog!$A$23&lt;&gt;"",Backlog!$A$23,"")</f>
        <v>Hidamari Sketch</v>
      </c>
      <c r="K24" s="28">
        <f>IF(Backlog!$B$23&lt;&gt;"",Backlog!$B$23,"")</f>
        <v>1</v>
      </c>
      <c r="L24" s="29" t="str">
        <f>IF(Backlog!$C$23&lt;&gt;"",Backlog!$C$23,"")</f>
        <v>DL</v>
      </c>
      <c r="N24" s="21" t="str">
        <f>IF(Completed!$A$23&lt;&gt;"",Completed!$A$23,"")</f>
        <v>No Game No Life</v>
      </c>
      <c r="O24" s="28">
        <f>IF(Completed!$B$23&lt;&gt;"",Completed!$B$23,"")</f>
        <v>1</v>
      </c>
      <c r="P24" s="28">
        <f ca="1">IF($N$24&lt;&gt;"", INDIRECT("'Tracker'!"&amp;ADDRESS(MATCH($N$24, Tracker[Anime Name], 0) + 2, 3)), "")</f>
        <v>12</v>
      </c>
      <c r="Q24" s="22" t="str">
        <f ca="1">IF($N$24&lt;&gt;"", INDIRECT("'Tracker'!"&amp;ADDRESS(MATCH($N$24, Tracker[Anime Name], 0) + 2, 4)), "")</f>
        <v>B</v>
      </c>
      <c r="R24" s="22" t="str">
        <f ca="1">IF($N$24&lt;&gt;"", INDIRECT("'Tracker'!"&amp;ADDRESS(MATCH($N$24, Tracker[Anime Name], 0) + 2, 5)), "")</f>
        <v>720p</v>
      </c>
      <c r="S24" s="22" t="str">
        <f ca="1">IF($N$24&lt;&gt;"", INDIRECT("'Tracker'!"&amp;ADDRESS(MATCH($N$24, Tracker[Anime Name], 0) + 2, 6)), "")</f>
        <v>TV</v>
      </c>
      <c r="T24" s="22" t="str">
        <f ca="1">IF($N$24&lt;&gt;"", INDIRECT("'Tracker'!"&amp;ADDRESS(MATCH($N$24, Tracker[Anime Name], 0) + 2, 7)), "")</f>
        <v>2014A</v>
      </c>
      <c r="U24" s="28" t="str">
        <f ca="1">IF($N$24&lt;&gt;"", INDIRECT("'Tracker'!"&amp;ADDRESS(MATCH($N$24, Tracker[Anime Name], 0) + 2, 8)), "")</f>
        <v>Underwater, FFF</v>
      </c>
      <c r="V24" s="53">
        <f>IF(Completed!$C$23&lt;&gt;"",Completed!$C$23,"")</f>
        <v>9.5</v>
      </c>
      <c r="W24" s="53">
        <f>IF(Completed!$D$23&lt;&gt;"",Completed!$D$23,"")</f>
        <v>8.5</v>
      </c>
      <c r="X24" s="53">
        <f>IF(Completed!$E$23&lt;&gt;"",Completed!$E$23,"")</f>
        <v>7.5</v>
      </c>
      <c r="Y24" s="53">
        <f>IF(Completed!$F$23&lt;&gt;"",Completed!$F$23,"")</f>
        <v>9</v>
      </c>
      <c r="Z24" s="65">
        <f>IF(Completed!$G$23&lt;&gt;"",Completed!$G$23,"")</f>
        <v>8.8856783919598001</v>
      </c>
      <c r="AA24" s="75">
        <f>IF(Completed!$H$23&lt;&gt;"",Completed!$H$23,"")</f>
        <v>8.9080604534005037</v>
      </c>
      <c r="AB24" s="54">
        <f>IF(Completed!$I$23&lt;&gt;"",Completed!$I$23,"")</f>
        <v>41750</v>
      </c>
      <c r="AC24" s="54">
        <f>IF(Completed!$J$23&lt;&gt;"",Completed!$J$23,"")</f>
        <v>41815</v>
      </c>
      <c r="AD24" s="66" t="str">
        <f>IF(Completed!$K$23&lt;&gt;"",Completed!$K$23,"")</f>
        <v>Shiro</v>
      </c>
      <c r="AE24" s="66" t="str">
        <f>IF(Completed!$L$23&lt;&gt;"",Completed!$L$23,"")</f>
        <v/>
      </c>
    </row>
    <row r="25" spans="1:31">
      <c r="A25" s="108" t="s">
        <v>480</v>
      </c>
      <c r="B25" s="109">
        <f>SUM(E4:E23)-SUM(D4:D23)-B24</f>
        <v>15</v>
      </c>
      <c r="C25" s="186" t="s">
        <v>478</v>
      </c>
      <c r="D25" s="187"/>
      <c r="E25" s="187"/>
      <c r="F25" s="187"/>
      <c r="G25" s="188"/>
      <c r="H25" s="110">
        <f>B25*22/60</f>
        <v>5.5</v>
      </c>
      <c r="J25" s="21" t="str">
        <f>IF(Backlog!$A$24&lt;&gt;"",Backlog!$A$24,"")</f>
        <v>Hidan no Aria</v>
      </c>
      <c r="K25" s="28">
        <f>IF(Backlog!$B$24&lt;&gt;"",Backlog!$B$24,"")</f>
        <v>1</v>
      </c>
      <c r="L25" s="29" t="str">
        <f>IF(Backlog!$C$24&lt;&gt;"",Backlog!$C$24,"")</f>
        <v>DL</v>
      </c>
      <c r="N25" s="21" t="str">
        <f>IF(Completed!$A$24&lt;&gt;"",Completed!$A$24,"")</f>
        <v>Toradora!</v>
      </c>
      <c r="O25" s="28">
        <f>IF(Completed!$B$24&lt;&gt;"",Completed!$B$24,"")</f>
        <v>1</v>
      </c>
      <c r="P25" s="28">
        <f ca="1">IF($N$25&lt;&gt;"", INDIRECT("'Tracker'!"&amp;ADDRESS(MATCH($N$25, Tracker[Anime Name], 0) + 2, 3)), "")</f>
        <v>25</v>
      </c>
      <c r="Q25" s="22" t="str">
        <f ca="1">IF($N$25&lt;&gt;"", INDIRECT("'Tracker'!"&amp;ADDRESS(MATCH($N$25, Tracker[Anime Name], 0) + 2, 4)), "")</f>
        <v>A</v>
      </c>
      <c r="R25" s="22" t="str">
        <f ca="1">IF($N$25&lt;&gt;"", INDIRECT("'Tracker'!"&amp;ADDRESS(MATCH($N$25, Tracker[Anime Name], 0) + 2, 5)), "")</f>
        <v>720p</v>
      </c>
      <c r="S25" s="22" t="str">
        <f ca="1">IF($N$25&lt;&gt;"", INDIRECT("'Tracker'!"&amp;ADDRESS(MATCH($N$25, Tracker[Anime Name], 0) + 2, 6)), "")</f>
        <v>BD</v>
      </c>
      <c r="T25" s="22" t="str">
        <f ca="1">IF($N$25&lt;&gt;"", INDIRECT("'Tracker'!"&amp;ADDRESS(MATCH($N$25, Tracker[Anime Name], 0) + 2, 7)), "")</f>
        <v>2008C</v>
      </c>
      <c r="U25" s="28" t="str">
        <f ca="1">IF($N$25&lt;&gt;"", INDIRECT("'Tracker'!"&amp;ADDRESS(MATCH($N$25, Tracker[Anime Name], 0) + 2, 8)), "")</f>
        <v>Coalgirls, gg</v>
      </c>
      <c r="V25" s="53">
        <f>IF(Completed!$C$24&lt;&gt;"",Completed!$C$24,"")</f>
        <v>9</v>
      </c>
      <c r="W25" s="53">
        <f>IF(Completed!$D$24&lt;&gt;"",Completed!$D$24,"")</f>
        <v>9</v>
      </c>
      <c r="X25" s="53">
        <f>IF(Completed!$E$24&lt;&gt;"",Completed!$E$24,"")</f>
        <v>5.5</v>
      </c>
      <c r="Y25" s="53">
        <f>IF(Completed!$F$24&lt;&gt;"",Completed!$F$24,"")</f>
        <v>9</v>
      </c>
      <c r="Z25" s="65">
        <f>IF(Completed!$G$24&lt;&gt;"",Completed!$G$24,"")</f>
        <v>8.8329145728643219</v>
      </c>
      <c r="AA25" s="75">
        <f>IF(Completed!$H$24&lt;&gt;"",Completed!$H$24,"")</f>
        <v>8.8551637279596989</v>
      </c>
      <c r="AB25" s="54">
        <f>IF(Completed!$I$24&lt;&gt;"",Completed!$I$24,"")</f>
        <v>41280</v>
      </c>
      <c r="AC25" s="54">
        <f>IF(Completed!$J$24&lt;&gt;"",Completed!$J$24,"")</f>
        <v>41281</v>
      </c>
      <c r="AD25" s="66" t="str">
        <f>IF(Completed!$K$24&lt;&gt;"",Completed!$K$24,"")</f>
        <v>Aisaka Taiga</v>
      </c>
      <c r="AE25" s="66" t="str">
        <f>IF(Completed!$L$24&lt;&gt;"",Completed!$L$24,"")</f>
        <v/>
      </c>
    </row>
    <row r="26" spans="1:31">
      <c r="A26" s="189" t="s">
        <v>471</v>
      </c>
      <c r="B26" s="190"/>
      <c r="C26" s="190"/>
      <c r="D26" s="190"/>
      <c r="E26" s="190"/>
      <c r="F26" s="190"/>
      <c r="G26" s="190"/>
      <c r="H26" s="191"/>
      <c r="J26" s="21" t="str">
        <f>IF(Backlog!$A$25&lt;&gt;"",Backlog!$A$25,"")</f>
        <v>Honey and Clover</v>
      </c>
      <c r="K26" s="28">
        <f>IF(Backlog!$B$25&lt;&gt;"",Backlog!$B$25,"")</f>
        <v>1</v>
      </c>
      <c r="L26" s="29" t="str">
        <f>IF(Backlog!$C$25&lt;&gt;"",Backlog!$C$25,"")</f>
        <v>DL</v>
      </c>
      <c r="N26" s="21" t="str">
        <f>IF(Completed!$A$25&lt;&gt;"",Completed!$A$25,"")</f>
        <v>Chihayafuru S2</v>
      </c>
      <c r="O26" s="28">
        <f>IF(Completed!$B$25&lt;&gt;"",Completed!$B$25,"")</f>
        <v>2</v>
      </c>
      <c r="P26" s="28">
        <f ca="1">IF($N$26&lt;&gt;"", INDIRECT("'Tracker'!"&amp;ADDRESS(MATCH($N$26, Tracker[Anime Name], 0) + 2, 3)), "")</f>
        <v>25</v>
      </c>
      <c r="Q26" s="22" t="str">
        <f ca="1">IF($N$26&lt;&gt;"", INDIRECT("'Tracker'!"&amp;ADDRESS(MATCH($N$26, Tracker[Anime Name], 0) + 2, 4)), "")</f>
        <v>A</v>
      </c>
      <c r="R26" s="22" t="str">
        <f ca="1">IF($N$26&lt;&gt;"", INDIRECT("'Tracker'!"&amp;ADDRESS(MATCH($N$26, Tracker[Anime Name], 0) + 2, 5)), "")</f>
        <v>720p</v>
      </c>
      <c r="S26" s="22" t="str">
        <f ca="1">IF($N$26&lt;&gt;"", INDIRECT("'Tracker'!"&amp;ADDRESS(MATCH($N$26, Tracker[Anime Name], 0) + 2, 6)), "")</f>
        <v>TV</v>
      </c>
      <c r="T26" s="22" t="str">
        <f ca="1">IF($N$26&lt;&gt;"", INDIRECT("'Tracker'!"&amp;ADDRESS(MATCH($N$26, Tracker[Anime Name], 0) + 2, 7)), "")</f>
        <v>2012D</v>
      </c>
      <c r="U26" s="28" t="str">
        <f ca="1">IF($N$26&lt;&gt;"", INDIRECT("'Tracker'!"&amp;ADDRESS(MATCH($N$26, Tracker[Anime Name], 0) + 2, 8)), "")</f>
        <v>HorribleSubs</v>
      </c>
      <c r="V26" s="53">
        <f>IF(Completed!$C$25&lt;&gt;"",Completed!$C$25,"")</f>
        <v>9</v>
      </c>
      <c r="W26" s="53">
        <f>IF(Completed!$D$25&lt;&gt;"",Completed!$D$25,"")</f>
        <v>8.5</v>
      </c>
      <c r="X26" s="53">
        <f>IF(Completed!$E$25&lt;&gt;"",Completed!$E$25,"")</f>
        <v>3</v>
      </c>
      <c r="Y26" s="53">
        <f>IF(Completed!$F$25&lt;&gt;"",Completed!$F$25,"")</f>
        <v>9.5</v>
      </c>
      <c r="Z26" s="65">
        <f>IF(Completed!$G$25&lt;&gt;"",Completed!$G$25,"")</f>
        <v>8.8291457286432156</v>
      </c>
      <c r="AA26" s="75">
        <f>IF(Completed!$H$25&lt;&gt;"",Completed!$H$25,"")</f>
        <v>8.8513853904282094</v>
      </c>
      <c r="AB26" s="54">
        <f>IF(Completed!$I$25&lt;&gt;"",Completed!$I$25,"")</f>
        <v>41479</v>
      </c>
      <c r="AC26" s="54">
        <f>IF(Completed!$J$25&lt;&gt;"",Completed!$J$25,"")</f>
        <v>41481</v>
      </c>
      <c r="AD26" s="66" t="str">
        <f>IF(Completed!$K$25&lt;&gt;"",Completed!$K$25,"")</f>
        <v>Ayase Chihaya</v>
      </c>
      <c r="AE26" s="66" t="str">
        <f>IF(Completed!$L$25&lt;&gt;"",Completed!$L$25,"")</f>
        <v>A bit slower than the first season, but just as good. Needs a third season</v>
      </c>
    </row>
    <row r="27" spans="1:31" ht="16.5" customHeight="1">
      <c r="A27" s="97" t="s">
        <v>472</v>
      </c>
      <c r="B27" s="192" t="s">
        <v>473</v>
      </c>
      <c r="C27" s="193"/>
      <c r="D27" s="193"/>
      <c r="E27" s="193"/>
      <c r="F27" s="193"/>
      <c r="G27" s="193"/>
      <c r="H27" s="194"/>
      <c r="J27" s="21" t="str">
        <f>IF(Backlog!$A$26&lt;&gt;"",Backlog!$A$26,"")</f>
        <v>Honey and Clover II</v>
      </c>
      <c r="K27" s="28">
        <f>IF(Backlog!$B$26&lt;&gt;"",Backlog!$B$26,"")</f>
        <v>2</v>
      </c>
      <c r="L27" s="29" t="str">
        <f>IF(Backlog!$C$26&lt;&gt;"",Backlog!$C$26,"")</f>
        <v>DL</v>
      </c>
      <c r="N27" s="21" t="str">
        <f>IF(Completed!$A$26&lt;&gt;"",Completed!$A$26,"")</f>
        <v>Bakemonogatari</v>
      </c>
      <c r="O27" s="28">
        <f>IF(Completed!$B$26&lt;&gt;"",Completed!$B$26,"")</f>
        <v>1</v>
      </c>
      <c r="P27" s="28">
        <f ca="1">IF($N$27&lt;&gt;"", INDIRECT("'Tracker'!"&amp;ADDRESS(MATCH($N$27, Tracker[Anime Name], 0) + 2, 3)), "")</f>
        <v>15</v>
      </c>
      <c r="Q27" s="22" t="str">
        <f ca="1">IF($N$27&lt;&gt;"", INDIRECT("'Tracker'!"&amp;ADDRESS(MATCH($N$27, Tracker[Anime Name], 0) + 2, 4)), "")</f>
        <v>A</v>
      </c>
      <c r="R27" s="22" t="str">
        <f ca="1">IF($N$27&lt;&gt;"", INDIRECT("'Tracker'!"&amp;ADDRESS(MATCH($N$27, Tracker[Anime Name], 0) + 2, 5)), "")</f>
        <v>720p</v>
      </c>
      <c r="S27" s="22" t="str">
        <f ca="1">IF($N$27&lt;&gt;"", INDIRECT("'Tracker'!"&amp;ADDRESS(MATCH($N$27, Tracker[Anime Name], 0) + 2, 6)), "")</f>
        <v>BD</v>
      </c>
      <c r="T27" s="22" t="str">
        <f ca="1">IF($N$27&lt;&gt;"", INDIRECT("'Tracker'!"&amp;ADDRESS(MATCH($N$27, Tracker[Anime Name], 0) + 2, 7)), "")</f>
        <v>2009B</v>
      </c>
      <c r="U27" s="28" t="str">
        <f ca="1">IF($N$27&lt;&gt;"", INDIRECT("'Tracker'!"&amp;ADDRESS(MATCH($N$27, Tracker[Anime Name], 0) + 2, 8)), "")</f>
        <v>Coalgirls, ANE</v>
      </c>
      <c r="V27" s="53">
        <f>IF(Completed!$C$26&lt;&gt;"",Completed!$C$26,"")</f>
        <v>8.5</v>
      </c>
      <c r="W27" s="53">
        <f>IF(Completed!$D$26&lt;&gt;"",Completed!$D$26,"")</f>
        <v>9.5</v>
      </c>
      <c r="X27" s="53">
        <f>IF(Completed!$E$26&lt;&gt;"",Completed!$E$26,"")</f>
        <v>4.5</v>
      </c>
      <c r="Y27" s="53">
        <f>IF(Completed!$F$26&lt;&gt;"",Completed!$F$26,"")</f>
        <v>9</v>
      </c>
      <c r="Z27" s="65">
        <f>IF(Completed!$G$26&lt;&gt;"",Completed!$G$26,"")</f>
        <v>8.8278894472361831</v>
      </c>
      <c r="AA27" s="75">
        <f>IF(Completed!$H$26&lt;&gt;"",Completed!$H$26,"")</f>
        <v>8.8501259445843843</v>
      </c>
      <c r="AB27" s="54">
        <f>IF(Completed!$I$26&lt;&gt;"",Completed!$I$26,"")</f>
        <v>41304</v>
      </c>
      <c r="AC27" s="54">
        <f>IF(Completed!$J$26&lt;&gt;"",Completed!$J$26,"")</f>
        <v>41312</v>
      </c>
      <c r="AD27" s="66" t="str">
        <f>IF(Completed!$K$26&lt;&gt;"",Completed!$K$26,"")</f>
        <v>Oshino Shinobu</v>
      </c>
      <c r="AE27" s="66" t="str">
        <f>IF(Completed!$L$26&lt;&gt;"",Completed!$L$26,"")</f>
        <v>Worth watching just for the OPs</v>
      </c>
    </row>
    <row r="28" spans="1:31" ht="16.5" customHeight="1">
      <c r="A28" s="178" t="s">
        <v>596</v>
      </c>
      <c r="B28" s="180"/>
      <c r="C28" s="180"/>
      <c r="D28" s="180"/>
      <c r="E28" s="180"/>
      <c r="F28" s="180"/>
      <c r="G28" s="180"/>
      <c r="H28" s="181"/>
      <c r="J28" s="21" t="str">
        <f>IF(Backlog!$A$27&lt;&gt;"",Backlog!$A$27,"")</f>
        <v>Jinrui wa Suitai Shimashita</v>
      </c>
      <c r="K28" s="28">
        <f>IF(Backlog!$B$27&lt;&gt;"",Backlog!$B$27,"")</f>
        <v>1</v>
      </c>
      <c r="L28" s="29" t="str">
        <f>IF(Backlog!$C$27&lt;&gt;"",Backlog!$C$27,"")</f>
        <v>DL</v>
      </c>
      <c r="N28" s="21" t="str">
        <f>IF(Completed!$A$27&lt;&gt;"",Completed!$A$27,"")</f>
        <v>Gatchaman Crowds</v>
      </c>
      <c r="O28" s="28">
        <f>IF(Completed!$B$27&lt;&gt;"",Completed!$B$27,"")</f>
        <v>1</v>
      </c>
      <c r="P28" s="28">
        <f ca="1">IF($N$28&lt;&gt;"", INDIRECT("'Tracker'!"&amp;ADDRESS(MATCH($N$28, Tracker[Anime Name], 0) + 2, 3)), "")</f>
        <v>12</v>
      </c>
      <c r="Q28" s="22" t="str">
        <f ca="1">IF($N$28&lt;&gt;"", INDIRECT("'Tracker'!"&amp;ADDRESS(MATCH($N$28, Tracker[Anime Name], 0) + 2, 4)), "")</f>
        <v>A</v>
      </c>
      <c r="R28" s="22" t="str">
        <f ca="1">IF($N$28&lt;&gt;"", INDIRECT("'Tracker'!"&amp;ADDRESS(MATCH($N$28, Tracker[Anime Name], 0) + 2, 5)), "")</f>
        <v>720p</v>
      </c>
      <c r="S28" s="22" t="str">
        <f ca="1">IF($N$28&lt;&gt;"", INDIRECT("'Tracker'!"&amp;ADDRESS(MATCH($N$28, Tracker[Anime Name], 0) + 2, 6)), "")</f>
        <v>TV</v>
      </c>
      <c r="T28" s="22" t="str">
        <f ca="1">IF($N$28&lt;&gt;"", INDIRECT("'Tracker'!"&amp;ADDRESS(MATCH($N$28, Tracker[Anime Name], 0) + 2, 7)), "")</f>
        <v>2013B</v>
      </c>
      <c r="U28" s="28" t="str">
        <f ca="1">IF($N$28&lt;&gt;"", INDIRECT("'Tracker'!"&amp;ADDRESS(MATCH($N$28, Tracker[Anime Name], 0) + 2, 8)), "")</f>
        <v>HorribleSubs</v>
      </c>
      <c r="V28" s="53">
        <f>IF(Completed!$C$27&lt;&gt;"",Completed!$C$27,"")</f>
        <v>9.5</v>
      </c>
      <c r="W28" s="53">
        <f>IF(Completed!$D$27&lt;&gt;"",Completed!$D$27,"")</f>
        <v>8.5</v>
      </c>
      <c r="X28" s="53">
        <f>IF(Completed!$E$27&lt;&gt;"",Completed!$E$27,"")</f>
        <v>6</v>
      </c>
      <c r="Y28" s="53">
        <f>IF(Completed!$F$27&lt;&gt;"",Completed!$F$27,"")</f>
        <v>9</v>
      </c>
      <c r="Z28" s="65">
        <f>IF(Completed!$G$27&lt;&gt;"",Completed!$G$27,"")</f>
        <v>8.8140703517587937</v>
      </c>
      <c r="AA28" s="75">
        <f>IF(Completed!$H$27&lt;&gt;"",Completed!$H$27,"")</f>
        <v>8.8362720403022657</v>
      </c>
      <c r="AB28" s="54">
        <f>IF(Completed!$I$27&lt;&gt;"",Completed!$I$27,"")</f>
        <v>41562</v>
      </c>
      <c r="AC28" s="54">
        <f>IF(Completed!$J$27&lt;&gt;"",Completed!$J$27,"")</f>
        <v>41574</v>
      </c>
      <c r="AD28" s="66" t="str">
        <f>IF(Completed!$K$27&lt;&gt;"",Completed!$K$27,"")</f>
        <v>Utsutsu</v>
      </c>
      <c r="AE28" s="66" t="str">
        <f>IF(Completed!$L$27&lt;&gt;"",Completed!$L$27,"")</f>
        <v>OST of the season, very nicely developed plot</v>
      </c>
    </row>
    <row r="29" spans="1:31" ht="16.5" customHeight="1">
      <c r="A29" s="179"/>
      <c r="B29" s="182"/>
      <c r="C29" s="182"/>
      <c r="D29" s="182"/>
      <c r="E29" s="182"/>
      <c r="F29" s="182"/>
      <c r="G29" s="182"/>
      <c r="H29" s="183"/>
      <c r="J29" s="21" t="str">
        <f>IF(Backlog!$A$28&lt;&gt;"",Backlog!$A$28,"")</f>
        <v>Kaiba</v>
      </c>
      <c r="K29" s="28">
        <f>IF(Backlog!$B$28&lt;&gt;"",Backlog!$B$28,"")</f>
        <v>1</v>
      </c>
      <c r="L29" s="29" t="str">
        <f>IF(Backlog!$C$28&lt;&gt;"",Backlog!$C$28,"")</f>
        <v>DL</v>
      </c>
      <c r="N29" s="21" t="str">
        <f>IF(Completed!$A$28&lt;&gt;"",Completed!$A$28,"")</f>
        <v>Fate / Stay Night</v>
      </c>
      <c r="O29" s="28">
        <f>IF(Completed!$B$28&lt;&gt;"",Completed!$B$28,"")</f>
        <v>1</v>
      </c>
      <c r="P29" s="28">
        <f ca="1">IF($N$29&lt;&gt;"", INDIRECT("'Tracker'!"&amp;ADDRESS(MATCH($N$29, Tracker[Anime Name], 0) + 2, 3)), "")</f>
        <v>24</v>
      </c>
      <c r="Q29" s="22" t="str">
        <f ca="1">IF($N$29&lt;&gt;"", INDIRECT("'Tracker'!"&amp;ADDRESS(MATCH($N$29, Tracker[Anime Name], 0) + 2, 4)), "")</f>
        <v>A</v>
      </c>
      <c r="R29" s="22" t="str">
        <f ca="1">IF($N$29&lt;&gt;"", INDIRECT("'Tracker'!"&amp;ADDRESS(MATCH($N$29, Tracker[Anime Name], 0) + 2, 5)), "")</f>
        <v>720p</v>
      </c>
      <c r="S29" s="22" t="str">
        <f ca="1">IF($N$29&lt;&gt;"", INDIRECT("'Tracker'!"&amp;ADDRESS(MATCH($N$29, Tracker[Anime Name], 0) + 2, 6)), "")</f>
        <v>BD</v>
      </c>
      <c r="T29" s="22" t="str">
        <f ca="1">IF($N$29&lt;&gt;"", INDIRECT("'Tracker'!"&amp;ADDRESS(MATCH($N$29, Tracker[Anime Name], 0) + 2, 7)), "")</f>
        <v>2005D</v>
      </c>
      <c r="U29" s="28" t="str">
        <f ca="1">IF($N$29&lt;&gt;"", INDIRECT("'Tracker'!"&amp;ADDRESS(MATCH($N$29, Tracker[Anime Name], 0) + 2, 8)), "")</f>
        <v>Coalgirls, Eclipse</v>
      </c>
      <c r="V29" s="53">
        <f>IF(Completed!$C$28&lt;&gt;"",Completed!$C$28,"")</f>
        <v>9</v>
      </c>
      <c r="W29" s="53">
        <f>IF(Completed!$D$28&lt;&gt;"",Completed!$D$28,"")</f>
        <v>9</v>
      </c>
      <c r="X29" s="53">
        <f>IF(Completed!$E$28&lt;&gt;"",Completed!$E$28,"")</f>
        <v>5</v>
      </c>
      <c r="Y29" s="53">
        <f>IF(Completed!$F$28&lt;&gt;"",Completed!$F$28,"")</f>
        <v>9</v>
      </c>
      <c r="Z29" s="65">
        <f>IF(Completed!$G$28&lt;&gt;"",Completed!$G$28,"")</f>
        <v>8.8090452261306531</v>
      </c>
      <c r="AA29" s="75">
        <f>IF(Completed!$H$28&lt;&gt;"",Completed!$H$28,"")</f>
        <v>8.8312342569269511</v>
      </c>
      <c r="AB29" s="54">
        <f>IF(Completed!$I$28&lt;&gt;"",Completed!$I$28,"")</f>
        <v>41537</v>
      </c>
      <c r="AC29" s="54">
        <f>IF(Completed!$J$28&lt;&gt;"",Completed!$J$28,"")</f>
        <v>41559</v>
      </c>
      <c r="AD29" s="66" t="str">
        <f>IF(Completed!$K$28&lt;&gt;"",Completed!$K$28,"")</f>
        <v>Saber</v>
      </c>
      <c r="AE29" s="66" t="str">
        <f>IF(Completed!$L$28&lt;&gt;"",Completed!$L$28,"")</f>
        <v/>
      </c>
    </row>
    <row r="30" spans="1:31" ht="16.5" customHeight="1">
      <c r="A30" s="178" t="s">
        <v>612</v>
      </c>
      <c r="B30" s="180"/>
      <c r="C30" s="180"/>
      <c r="D30" s="180"/>
      <c r="E30" s="180"/>
      <c r="F30" s="180"/>
      <c r="G30" s="180"/>
      <c r="H30" s="181"/>
      <c r="J30" s="21" t="str">
        <f>IF(Backlog!$A$29&lt;&gt;"",Backlog!$A$29,"")</f>
        <v>Kaichou wa Maid-sama</v>
      </c>
      <c r="K30" s="28">
        <f>IF(Backlog!$B$29&lt;&gt;"",Backlog!$B$29,"")</f>
        <v>1</v>
      </c>
      <c r="L30" s="29" t="str">
        <f>IF(Backlog!$C$29&lt;&gt;"",Backlog!$C$29,"")</f>
        <v>DL</v>
      </c>
      <c r="N30" s="21" t="str">
        <f>IF(Completed!$A$29&lt;&gt;"",Completed!$A$29,"")</f>
        <v>Clannad</v>
      </c>
      <c r="O30" s="28">
        <f>IF(Completed!$B$29&lt;&gt;"",Completed!$B$29,"")</f>
        <v>1</v>
      </c>
      <c r="P30" s="28">
        <f ca="1">IF($N$30&lt;&gt;"", INDIRECT("'Tracker'!"&amp;ADDRESS(MATCH($N$30, Tracker[Anime Name], 0) + 2, 3)), "")</f>
        <v>22</v>
      </c>
      <c r="Q30" s="22" t="str">
        <f ca="1">IF($N$30&lt;&gt;"", INDIRECT("'Tracker'!"&amp;ADDRESS(MATCH($N$30, Tracker[Anime Name], 0) + 2, 4)), "")</f>
        <v>A</v>
      </c>
      <c r="R30" s="22" t="str">
        <f ca="1">IF($N$30&lt;&gt;"", INDIRECT("'Tracker'!"&amp;ADDRESS(MATCH($N$30, Tracker[Anime Name], 0) + 2, 5)), "")</f>
        <v>720p</v>
      </c>
      <c r="S30" s="22" t="str">
        <f ca="1">IF($N$30&lt;&gt;"", INDIRECT("'Tracker'!"&amp;ADDRESS(MATCH($N$30, Tracker[Anime Name], 0) + 2, 6)), "")</f>
        <v>BD</v>
      </c>
      <c r="T30" s="22" t="str">
        <f ca="1">IF($N$30&lt;&gt;"", INDIRECT("'Tracker'!"&amp;ADDRESS(MATCH($N$30, Tracker[Anime Name], 0) + 2, 7)), "")</f>
        <v>2007C</v>
      </c>
      <c r="U30" s="28" t="str">
        <f ca="1">IF($N$30&lt;&gt;"", INDIRECT("'Tracker'!"&amp;ADDRESS(MATCH($N$30, Tracker[Anime Name], 0) + 2, 8)), "")</f>
        <v>Coalgirls, SS, Eclipse</v>
      </c>
      <c r="V30" s="53">
        <f>IF(Completed!$C$29&lt;&gt;"",Completed!$C$29,"")</f>
        <v>8</v>
      </c>
      <c r="W30" s="53">
        <f>IF(Completed!$D$29&lt;&gt;"",Completed!$D$29,"")</f>
        <v>9.5</v>
      </c>
      <c r="X30" s="53">
        <f>IF(Completed!$E$29&lt;&gt;"",Completed!$E$29,"")</f>
        <v>6</v>
      </c>
      <c r="Y30" s="53">
        <f>IF(Completed!$F$29&lt;&gt;"",Completed!$F$29,"")</f>
        <v>9</v>
      </c>
      <c r="Z30" s="65">
        <f>IF(Completed!$G$29&lt;&gt;"",Completed!$G$29,"")</f>
        <v>8.8077889447236206</v>
      </c>
      <c r="AA30" s="75">
        <f>IF(Completed!$H$29&lt;&gt;"",Completed!$H$29,"")</f>
        <v>8.829974811083126</v>
      </c>
      <c r="AB30" s="54">
        <f>IF(Completed!$I$29&lt;&gt;"",Completed!$I$29,"")</f>
        <v>41286</v>
      </c>
      <c r="AC30" s="54">
        <f>IF(Completed!$J$29&lt;&gt;"",Completed!$J$29,"")</f>
        <v>41292</v>
      </c>
      <c r="AD30" s="66" t="str">
        <f>IF(Completed!$K$29&lt;&gt;"",Completed!$K$29,"")</f>
        <v>Fujibayashi Kyou</v>
      </c>
      <c r="AE30" s="66" t="str">
        <f>IF(Completed!$L$29&lt;&gt;"",Completed!$L$29,"")</f>
        <v/>
      </c>
    </row>
    <row r="31" spans="1:31" ht="15" customHeight="1">
      <c r="A31" s="179"/>
      <c r="B31" s="182"/>
      <c r="C31" s="182"/>
      <c r="D31" s="182"/>
      <c r="E31" s="182"/>
      <c r="F31" s="182"/>
      <c r="G31" s="182"/>
      <c r="H31" s="183"/>
      <c r="J31" s="21" t="str">
        <f>IF(Backlog!$A$30&lt;&gt;"",Backlog!$A$30,"")</f>
        <v>Kanon</v>
      </c>
      <c r="K31" s="28">
        <f>IF(Backlog!$B$30&lt;&gt;"",Backlog!$B$30,"")</f>
        <v>1</v>
      </c>
      <c r="L31" s="29" t="str">
        <f>IF(Backlog!$C$30&lt;&gt;"",Backlog!$C$30,"")</f>
        <v>DL</v>
      </c>
      <c r="N31" s="21" t="str">
        <f>IF(Completed!$A$30&lt;&gt;"",Completed!$A$30,"")</f>
        <v>Shingeki no Kyojin</v>
      </c>
      <c r="O31" s="28">
        <f>IF(Completed!$B$30&lt;&gt;"",Completed!$B$30,"")</f>
        <v>1</v>
      </c>
      <c r="P31" s="28">
        <f ca="1">IF($N$31&lt;&gt;"", INDIRECT("'Tracker'!"&amp;ADDRESS(MATCH($N$31, Tracker[Anime Name], 0) + 2, 3)), "")</f>
        <v>25</v>
      </c>
      <c r="Q31" s="22" t="str">
        <f ca="1">IF($N$31&lt;&gt;"", INDIRECT("'Tracker'!"&amp;ADDRESS(MATCH($N$31, Tracker[Anime Name], 0) + 2, 4)), "")</f>
        <v>B</v>
      </c>
      <c r="R31" s="22" t="str">
        <f ca="1">IF($N$31&lt;&gt;"", INDIRECT("'Tracker'!"&amp;ADDRESS(MATCH($N$31, Tracker[Anime Name], 0) + 2, 5)), "")</f>
        <v>720p</v>
      </c>
      <c r="S31" s="22" t="str">
        <f ca="1">IF($N$31&lt;&gt;"", INDIRECT("'Tracker'!"&amp;ADDRESS(MATCH($N$31, Tracker[Anime Name], 0) + 2, 6)), "")</f>
        <v>BD</v>
      </c>
      <c r="T31" s="22" t="str">
        <f ca="1">IF($N$31&lt;&gt;"", INDIRECT("'Tracker'!"&amp;ADDRESS(MATCH($N$31, Tracker[Anime Name], 0) + 2, 7)), "")</f>
        <v>2013A</v>
      </c>
      <c r="U31" s="28" t="str">
        <f ca="1">IF($N$31&lt;&gt;"", INDIRECT("'Tracker'!"&amp;ADDRESS(MATCH($N$31, Tracker[Anime Name], 0) + 2, 8)), "")</f>
        <v>Coalgirls, EveTaku</v>
      </c>
      <c r="V31" s="53">
        <f>IF(Completed!$C$30&lt;&gt;"",Completed!$C$30,"")</f>
        <v>10</v>
      </c>
      <c r="W31" s="53">
        <f>IF(Completed!$D$30&lt;&gt;"",Completed!$D$30,"")</f>
        <v>8</v>
      </c>
      <c r="X31" s="53">
        <f>IF(Completed!$E$30&lt;&gt;"",Completed!$E$30,"")</f>
        <v>1.5</v>
      </c>
      <c r="Y31" s="53">
        <f>IF(Completed!$F$30&lt;&gt;"",Completed!$F$30,"")</f>
        <v>9.5</v>
      </c>
      <c r="Z31" s="65">
        <f>IF(Completed!$G$30&lt;&gt;"",Completed!$G$30,"")</f>
        <v>8.8065326633165828</v>
      </c>
      <c r="AA31" s="75">
        <f>IF(Completed!$H$30&lt;&gt;"",Completed!$H$30,"")</f>
        <v>8.8287153652392938</v>
      </c>
      <c r="AB31" s="54">
        <f>IF(Completed!$I$30&lt;&gt;"",Completed!$I$30,"")</f>
        <v>41397</v>
      </c>
      <c r="AC31" s="54">
        <f>IF(Completed!$J$30&lt;&gt;"",Completed!$J$30,"")</f>
        <v>41546</v>
      </c>
      <c r="AD31" s="66" t="str">
        <f>IF(Completed!$K$30&lt;&gt;"",Completed!$K$30,"")</f>
        <v>Mikasa Ackerman</v>
      </c>
      <c r="AE31" s="66" t="str">
        <f>IF(Completed!$L$30&lt;&gt;"",Completed!$L$30,"")</f>
        <v/>
      </c>
    </row>
    <row r="32" spans="1:31" ht="15" customHeight="1">
      <c r="A32" s="178" t="s">
        <v>593</v>
      </c>
      <c r="B32" s="180"/>
      <c r="C32" s="180"/>
      <c r="D32" s="180"/>
      <c r="E32" s="180"/>
      <c r="F32" s="180"/>
      <c r="G32" s="180"/>
      <c r="H32" s="181"/>
      <c r="J32" s="21" t="str">
        <f>IF(Backlog!$A$31&lt;&gt;"",Backlog!$A$31,"")</f>
        <v>Katanagatari</v>
      </c>
      <c r="K32" s="28">
        <f>IF(Backlog!$B$31&lt;&gt;"",Backlog!$B$31,"")</f>
        <v>1</v>
      </c>
      <c r="L32" s="29" t="str">
        <f>IF(Backlog!$C$31&lt;&gt;"",Backlog!$C$31,"")</f>
        <v>DL</v>
      </c>
      <c r="N32" s="21" t="str">
        <f>IF(Completed!$A$31&lt;&gt;"",Completed!$A$31,"")</f>
        <v>K</v>
      </c>
      <c r="O32" s="28">
        <f>IF(Completed!$B$31&lt;&gt;"",Completed!$B$31,"")</f>
        <v>1</v>
      </c>
      <c r="P32" s="28">
        <f ca="1">IF($N$32&lt;&gt;"", INDIRECT("'Tracker'!"&amp;ADDRESS(MATCH($N$32, Tracker[Anime Name], 0) + 2, 3)), "")</f>
        <v>13</v>
      </c>
      <c r="Q32" s="22" t="str">
        <f ca="1">IF($N$32&lt;&gt;"", INDIRECT("'Tracker'!"&amp;ADDRESS(MATCH($N$32, Tracker[Anime Name], 0) + 2, 4)), "")</f>
        <v>A</v>
      </c>
      <c r="R32" s="22" t="str">
        <f ca="1">IF($N$32&lt;&gt;"", INDIRECT("'Tracker'!"&amp;ADDRESS(MATCH($N$32, Tracker[Anime Name], 0) + 2, 5)), "")</f>
        <v>1080p</v>
      </c>
      <c r="S32" s="22" t="str">
        <f ca="1">IF($N$32&lt;&gt;"", INDIRECT("'Tracker'!"&amp;ADDRESS(MATCH($N$32, Tracker[Anime Name], 0) + 2, 6)), "")</f>
        <v>BD</v>
      </c>
      <c r="T32" s="22" t="str">
        <f ca="1">IF($N$32&lt;&gt;"", INDIRECT("'Tracker'!"&amp;ADDRESS(MATCH($N$32, Tracker[Anime Name], 0) + 2, 7)), "")</f>
        <v>2012C</v>
      </c>
      <c r="U32" s="28" t="str">
        <f ca="1">IF($N$32&lt;&gt;"", INDIRECT("'Tracker'!"&amp;ADDRESS(MATCH($N$32, Tracker[Anime Name], 0) + 2, 8)), "")</f>
        <v>Doki</v>
      </c>
      <c r="V32" s="53">
        <f>IF(Completed!$C$31&lt;&gt;"",Completed!$C$31,"")</f>
        <v>9</v>
      </c>
      <c r="W32" s="53">
        <f>IF(Completed!$D$31&lt;&gt;"",Completed!$D$31,"")</f>
        <v>9</v>
      </c>
      <c r="X32" s="53">
        <f>IF(Completed!$E$31&lt;&gt;"",Completed!$E$31,"")</f>
        <v>4.5</v>
      </c>
      <c r="Y32" s="53">
        <f>IF(Completed!$F$31&lt;&gt;"",Completed!$F$31,"")</f>
        <v>9</v>
      </c>
      <c r="Z32" s="65">
        <f>IF(Completed!$G$31&lt;&gt;"",Completed!$G$31,"")</f>
        <v>8.7851758793969861</v>
      </c>
      <c r="AA32" s="75">
        <f>IF(Completed!$H$31&lt;&gt;"",Completed!$H$31,"")</f>
        <v>8.8073047858942068</v>
      </c>
      <c r="AB32" s="54">
        <f>IF(Completed!$I$31&lt;&gt;"",Completed!$I$31,"")</f>
        <v>41645</v>
      </c>
      <c r="AC32" s="54">
        <f>IF(Completed!$J$31&lt;&gt;"",Completed!$J$31,"")</f>
        <v>41645</v>
      </c>
      <c r="AD32" s="66" t="str">
        <f>IF(Completed!$K$31&lt;&gt;"",Completed!$K$31,"")</f>
        <v>Kushina Anna</v>
      </c>
      <c r="AE32" s="66" t="str">
        <f>IF(Completed!$L$31&lt;&gt;"",Completed!$L$31,"")</f>
        <v>Good graphics, good audio, decent plot</v>
      </c>
    </row>
    <row r="33" spans="1:31" ht="15" customHeight="1">
      <c r="A33" s="179"/>
      <c r="B33" s="182"/>
      <c r="C33" s="182"/>
      <c r="D33" s="182"/>
      <c r="E33" s="182"/>
      <c r="F33" s="182"/>
      <c r="G33" s="182"/>
      <c r="H33" s="183"/>
      <c r="J33" s="21" t="str">
        <f>IF(Backlog!$A$32&lt;&gt;"",Backlog!$A$32,"")</f>
        <v>Kodomo no Jikan</v>
      </c>
      <c r="K33" s="28">
        <f>IF(Backlog!$B$32&lt;&gt;"",Backlog!$B$32,"")</f>
        <v>1</v>
      </c>
      <c r="L33" s="29" t="str">
        <f>IF(Backlog!$C$32&lt;&gt;"",Backlog!$C$32,"")</f>
        <v>DL</v>
      </c>
      <c r="N33" s="21" t="str">
        <f>IF(Completed!$A$32&lt;&gt;"",Completed!$A$32,"")</f>
        <v>Yahari Ore no Seishun Rom Com wa Machigatteiru</v>
      </c>
      <c r="O33" s="28">
        <f>IF(Completed!$B$32&lt;&gt;"",Completed!$B$32,"")</f>
        <v>1</v>
      </c>
      <c r="P33" s="28">
        <f ca="1">IF($N$33&lt;&gt;"", INDIRECT("'Tracker'!"&amp;ADDRESS(MATCH($N$33, Tracker[Anime Name], 0) + 2, 3)), "")</f>
        <v>13</v>
      </c>
      <c r="Q33" s="22" t="str">
        <f ca="1">IF($N$33&lt;&gt;"", INDIRECT("'Tracker'!"&amp;ADDRESS(MATCH($N$33, Tracker[Anime Name], 0) + 2, 4)), "")</f>
        <v>A</v>
      </c>
      <c r="R33" s="22" t="str">
        <f ca="1">IF($N$33&lt;&gt;"", INDIRECT("'Tracker'!"&amp;ADDRESS(MATCH($N$33, Tracker[Anime Name], 0) + 2, 5)), "")</f>
        <v>720p</v>
      </c>
      <c r="S33" s="22" t="str">
        <f ca="1">IF($N$33&lt;&gt;"", INDIRECT("'Tracker'!"&amp;ADDRESS(MATCH($N$33, Tracker[Anime Name], 0) + 2, 6)), "")</f>
        <v>BD</v>
      </c>
      <c r="T33" s="22" t="str">
        <f ca="1">IF($N$33&lt;&gt;"", INDIRECT("'Tracker'!"&amp;ADDRESS(MATCH($N$33, Tracker[Anime Name], 0) + 2, 7)), "")</f>
        <v>2013A</v>
      </c>
      <c r="U33" s="28" t="str">
        <f ca="1">IF($N$33&lt;&gt;"", INDIRECT("'Tracker'!"&amp;ADDRESS(MATCH($N$33, Tracker[Anime Name], 0) + 2, 8)), "")</f>
        <v>Coalgirls, FFF</v>
      </c>
      <c r="V33" s="53">
        <f>IF(Completed!$C$32&lt;&gt;"",Completed!$C$32,"")</f>
        <v>8</v>
      </c>
      <c r="W33" s="53">
        <f>IF(Completed!$D$32&lt;&gt;"",Completed!$D$32,"")</f>
        <v>9.5</v>
      </c>
      <c r="X33" s="53">
        <f>IF(Completed!$E$32&lt;&gt;"",Completed!$E$32,"")</f>
        <v>5</v>
      </c>
      <c r="Y33" s="53">
        <f>IF(Completed!$F$32&lt;&gt;"",Completed!$F$32,"")</f>
        <v>9</v>
      </c>
      <c r="Z33" s="65">
        <f>IF(Completed!$G$32&lt;&gt;"",Completed!$G$32,"")</f>
        <v>8.7600502512562812</v>
      </c>
      <c r="AA33" s="75">
        <f>IF(Completed!$H$32&lt;&gt;"",Completed!$H$32,"")</f>
        <v>8.7821158690176322</v>
      </c>
      <c r="AB33" s="54">
        <f>IF(Completed!$I$32&lt;&gt;"",Completed!$I$32,"")</f>
        <v>41370</v>
      </c>
      <c r="AC33" s="54">
        <f>IF(Completed!$J$32&lt;&gt;"",Completed!$J$32,"")</f>
        <v>41454</v>
      </c>
      <c r="AD33" s="66" t="str">
        <f>IF(Completed!$K$32&lt;&gt;"",Completed!$K$32,"")</f>
        <v>Yukinoshita Yukino</v>
      </c>
      <c r="AE33" s="66" t="str">
        <f>IF(Completed!$L$32&lt;&gt;"",Completed!$L$32,"")</f>
        <v>Watch it for 8man</v>
      </c>
    </row>
    <row r="34" spans="1:31" ht="15" customHeight="1">
      <c r="A34" s="178" t="s">
        <v>594</v>
      </c>
      <c r="B34" s="180"/>
      <c r="C34" s="180"/>
      <c r="D34" s="180"/>
      <c r="E34" s="180"/>
      <c r="F34" s="180"/>
      <c r="G34" s="180"/>
      <c r="H34" s="181"/>
      <c r="J34" s="21" t="str">
        <f>IF(Backlog!$A$33&lt;&gt;"",Backlog!$A$33,"")</f>
        <v>Love Live! School Idol Project</v>
      </c>
      <c r="K34" s="28">
        <f>IF(Backlog!$B$33&lt;&gt;"",Backlog!$B$33,"")</f>
        <v>1</v>
      </c>
      <c r="L34" s="29" t="str">
        <f>IF(Backlog!$C$33&lt;&gt;"",Backlog!$C$33,"")</f>
        <v>DL</v>
      </c>
      <c r="N34" s="21" t="str">
        <f>IF(Completed!$A$33&lt;&gt;"",Completed!$A$33,"")</f>
        <v>Ano Hi Mita Hana no Namae wo Bokutachi wa Mada Shiranai</v>
      </c>
      <c r="O34" s="28">
        <f>IF(Completed!$B$33&lt;&gt;"",Completed!$B$33,"")</f>
        <v>1</v>
      </c>
      <c r="P34" s="28">
        <f ca="1">IF($N$34&lt;&gt;"", INDIRECT("'Tracker'!"&amp;ADDRESS(MATCH($N$34, Tracker[Anime Name], 0) + 2, 3)), "")</f>
        <v>11</v>
      </c>
      <c r="Q34" s="22" t="str">
        <f ca="1">IF($N$34&lt;&gt;"", INDIRECT("'Tracker'!"&amp;ADDRESS(MATCH($N$34, Tracker[Anime Name], 0) + 2, 4)), "")</f>
        <v>A</v>
      </c>
      <c r="R34" s="22" t="str">
        <f ca="1">IF($N$34&lt;&gt;"", INDIRECT("'Tracker'!"&amp;ADDRESS(MATCH($N$34, Tracker[Anime Name], 0) + 2, 5)), "")</f>
        <v>1080p</v>
      </c>
      <c r="S34" s="22" t="str">
        <f ca="1">IF($N$34&lt;&gt;"", INDIRECT("'Tracker'!"&amp;ADDRESS(MATCH($N$34, Tracker[Anime Name], 0) + 2, 6)), "")</f>
        <v>BD</v>
      </c>
      <c r="T34" s="22" t="str">
        <f ca="1">IF($N$34&lt;&gt;"", INDIRECT("'Tracker'!"&amp;ADDRESS(MATCH($N$34, Tracker[Anime Name], 0) + 2, 7)), "")</f>
        <v>2011A</v>
      </c>
      <c r="U34" s="28" t="str">
        <f ca="1">IF($N$34&lt;&gt;"", INDIRECT("'Tracker'!"&amp;ADDRESS(MATCH($N$34, Tracker[Anime Name], 0) + 2, 8)), "")</f>
        <v>Doki</v>
      </c>
      <c r="V34" s="53">
        <f>IF(Completed!$C$33&lt;&gt;"",Completed!$C$33,"")</f>
        <v>9.5</v>
      </c>
      <c r="W34" s="53">
        <f>IF(Completed!$D$33&lt;&gt;"",Completed!$D$33,"")</f>
        <v>8</v>
      </c>
      <c r="X34" s="53">
        <f>IF(Completed!$E$33&lt;&gt;"",Completed!$E$33,"")</f>
        <v>6</v>
      </c>
      <c r="Y34" s="53">
        <f>IF(Completed!$F$33&lt;&gt;"",Completed!$F$33,"")</f>
        <v>9</v>
      </c>
      <c r="Z34" s="65">
        <f>IF(Completed!$G$33&lt;&gt;"",Completed!$G$33,"")</f>
        <v>8.6796482412060314</v>
      </c>
      <c r="AA34" s="75">
        <f>IF(Completed!$H$33&lt;&gt;"",Completed!$H$33,"")</f>
        <v>8.7015113350125954</v>
      </c>
      <c r="AB34" s="54">
        <f>IF(Completed!$I$33&lt;&gt;"",Completed!$I$33,"")</f>
        <v>41530</v>
      </c>
      <c r="AC34" s="54">
        <f>IF(Completed!$J$33&lt;&gt;"",Completed!$J$33,"")</f>
        <v>41532</v>
      </c>
      <c r="AD34" s="66" t="str">
        <f>IF(Completed!$K$33&lt;&gt;"",Completed!$K$33,"")</f>
        <v>Tsurumi Chiriko</v>
      </c>
      <c r="AE34" s="66" t="str">
        <f>IF(Completed!$L$33&lt;&gt;"",Completed!$L$33,"")</f>
        <v>Drama was a bit forced at the end, but it was nicely done overall</v>
      </c>
    </row>
    <row r="35" spans="1:31" ht="16.5" customHeight="1">
      <c r="A35" s="179"/>
      <c r="B35" s="182"/>
      <c r="C35" s="182"/>
      <c r="D35" s="182"/>
      <c r="E35" s="182"/>
      <c r="F35" s="182"/>
      <c r="G35" s="182"/>
      <c r="H35" s="183"/>
      <c r="J35" s="21" t="str">
        <f>IF(Backlog!$A$34&lt;&gt;"",Backlog!$A$34,"")</f>
        <v>Neon Genesis Evangelion</v>
      </c>
      <c r="K35" s="28">
        <f>IF(Backlog!$B$34&lt;&gt;"",Backlog!$B$34,"")</f>
        <v>1</v>
      </c>
      <c r="L35" s="29" t="str">
        <f>IF(Backlog!$C$34&lt;&gt;"",Backlog!$C$34,"")</f>
        <v>DL</v>
      </c>
      <c r="N35" s="21" t="str">
        <f>IF(Completed!$A$34&lt;&gt;"",Completed!$A$34,"")</f>
        <v>Spice and Wolf II</v>
      </c>
      <c r="O35" s="28">
        <f>IF(Completed!$B$34&lt;&gt;"",Completed!$B$34,"")</f>
        <v>2</v>
      </c>
      <c r="P35" s="28">
        <f ca="1">IF($N$35&lt;&gt;"", INDIRECT("'Tracker'!"&amp;ADDRESS(MATCH($N$35, Tracker[Anime Name], 0) + 2, 3)), "")</f>
        <v>12</v>
      </c>
      <c r="Q35" s="22" t="str">
        <f ca="1">IF($N$35&lt;&gt;"", INDIRECT("'Tracker'!"&amp;ADDRESS(MATCH($N$35, Tracker[Anime Name], 0) + 2, 4)), "")</f>
        <v>B</v>
      </c>
      <c r="R35" s="22" t="str">
        <f ca="1">IF($N$35&lt;&gt;"", INDIRECT("'Tracker'!"&amp;ADDRESS(MATCH($N$35, Tracker[Anime Name], 0) + 2, 5)), "")</f>
        <v>720p</v>
      </c>
      <c r="S35" s="22" t="str">
        <f ca="1">IF($N$35&lt;&gt;"", INDIRECT("'Tracker'!"&amp;ADDRESS(MATCH($N$35, Tracker[Anime Name], 0) + 2, 6)), "")</f>
        <v>BD</v>
      </c>
      <c r="T35" s="22" t="str">
        <f ca="1">IF($N$35&lt;&gt;"", INDIRECT("'Tracker'!"&amp;ADDRESS(MATCH($N$35, Tracker[Anime Name], 0) + 2, 7)), "")</f>
        <v>2009B</v>
      </c>
      <c r="U35" s="28" t="str">
        <f ca="1">IF($N$35&lt;&gt;"", INDIRECT("'Tracker'!"&amp;ADDRESS(MATCH($N$35, Tracker[Anime Name], 0) + 2, 8)), "")</f>
        <v>Coalgirls, Mazui</v>
      </c>
      <c r="V35" s="53">
        <f>IF(Completed!$C$34&lt;&gt;"",Completed!$C$34,"")</f>
        <v>8.5</v>
      </c>
      <c r="W35" s="53">
        <f>IF(Completed!$D$34&lt;&gt;"",Completed!$D$34,"")</f>
        <v>9</v>
      </c>
      <c r="X35" s="53">
        <f>IF(Completed!$E$34&lt;&gt;"",Completed!$E$34,"")</f>
        <v>4</v>
      </c>
      <c r="Y35" s="53">
        <f>IF(Completed!$F$34&lt;&gt;"",Completed!$F$34,"")</f>
        <v>9</v>
      </c>
      <c r="Z35" s="65">
        <f>IF(Completed!$G$34&lt;&gt;"",Completed!$G$34,"")</f>
        <v>8.6695979899497502</v>
      </c>
      <c r="AA35" s="75">
        <f>IF(Completed!$H$34&lt;&gt;"",Completed!$H$34,"")</f>
        <v>8.6914357682619663</v>
      </c>
      <c r="AB35" s="54">
        <f>IF(Completed!$I$34&lt;&gt;"",Completed!$I$34,"")</f>
        <v>41358</v>
      </c>
      <c r="AC35" s="54">
        <f>IF(Completed!$J$34&lt;&gt;"",Completed!$J$34,"")</f>
        <v>41359</v>
      </c>
      <c r="AD35" s="66" t="str">
        <f>IF(Completed!$K$34&lt;&gt;"",Completed!$K$34,"")</f>
        <v>Holo</v>
      </c>
      <c r="AE35" s="66" t="str">
        <f>IF(Completed!$L$34&lt;&gt;"",Completed!$L$34,"")</f>
        <v/>
      </c>
    </row>
    <row r="36" spans="1:31">
      <c r="A36" s="178" t="s">
        <v>595</v>
      </c>
      <c r="B36" s="180"/>
      <c r="C36" s="180"/>
      <c r="D36" s="180"/>
      <c r="E36" s="180"/>
      <c r="F36" s="180"/>
      <c r="G36" s="180"/>
      <c r="H36" s="181"/>
      <c r="J36" s="21" t="str">
        <f>IF(Backlog!$A$35&lt;&gt;"",Backlog!$A$35,"")</f>
        <v>Nodame Cantabile</v>
      </c>
      <c r="K36" s="28">
        <f>IF(Backlog!$B$35&lt;&gt;"",Backlog!$B$35,"")</f>
        <v>1</v>
      </c>
      <c r="L36" s="29" t="str">
        <f>IF(Backlog!$C$35&lt;&gt;"",Backlog!$C$35,"")</f>
        <v>DL</v>
      </c>
      <c r="N36" s="21" t="str">
        <f>IF(Completed!$A$35&lt;&gt;"",Completed!$A$35,"")</f>
        <v>Kokoro Connect</v>
      </c>
      <c r="O36" s="28">
        <f>IF(Completed!$B$35&lt;&gt;"",Completed!$B$35,"")</f>
        <v>1</v>
      </c>
      <c r="P36" s="28">
        <f ca="1">IF($N$36&lt;&gt;"", INDIRECT("'Tracker'!"&amp;ADDRESS(MATCH($N$36, Tracker[Anime Name], 0) + 2, 3)), "")</f>
        <v>17</v>
      </c>
      <c r="Q36" s="22" t="str">
        <f ca="1">IF($N$36&lt;&gt;"", INDIRECT("'Tracker'!"&amp;ADDRESS(MATCH($N$36, Tracker[Anime Name], 0) + 2, 4)), "")</f>
        <v>A</v>
      </c>
      <c r="R36" s="22" t="str">
        <f ca="1">IF($N$36&lt;&gt;"", INDIRECT("'Tracker'!"&amp;ADDRESS(MATCH($N$36, Tracker[Anime Name], 0) + 2, 5)), "")</f>
        <v>720p</v>
      </c>
      <c r="S36" s="22" t="str">
        <f ca="1">IF($N$36&lt;&gt;"", INDIRECT("'Tracker'!"&amp;ADDRESS(MATCH($N$36, Tracker[Anime Name], 0) + 2, 6)), "")</f>
        <v>BD</v>
      </c>
      <c r="T36" s="22" t="str">
        <f ca="1">IF($N$36&lt;&gt;"", INDIRECT("'Tracker'!"&amp;ADDRESS(MATCH($N$36, Tracker[Anime Name], 0) + 2, 7)), "")</f>
        <v>2012B</v>
      </c>
      <c r="U36" s="28" t="str">
        <f ca="1">IF($N$36&lt;&gt;"", INDIRECT("'Tracker'!"&amp;ADDRESS(MATCH($N$36, Tracker[Anime Name], 0) + 2, 8)), "")</f>
        <v>Doki, Chihiro</v>
      </c>
      <c r="V36" s="53">
        <f>IF(Completed!$C$35&lt;&gt;"",Completed!$C$35,"")</f>
        <v>8.5</v>
      </c>
      <c r="W36" s="53">
        <f>IF(Completed!$D$35&lt;&gt;"",Completed!$D$35,"")</f>
        <v>9</v>
      </c>
      <c r="X36" s="53">
        <f>IF(Completed!$E$35&lt;&gt;"",Completed!$E$35,"")</f>
        <v>4</v>
      </c>
      <c r="Y36" s="53">
        <f>IF(Completed!$F$35&lt;&gt;"",Completed!$F$35,"")</f>
        <v>9</v>
      </c>
      <c r="Z36" s="65">
        <f>IF(Completed!$G$35&lt;&gt;"",Completed!$G$35,"")</f>
        <v>8.6695979899497502</v>
      </c>
      <c r="AA36" s="75">
        <f>IF(Completed!$H$35&lt;&gt;"",Completed!$H$35,"")</f>
        <v>8.6914357682619663</v>
      </c>
      <c r="AB36" s="54">
        <f>IF(Completed!$I$35&lt;&gt;"",Completed!$I$35,"")</f>
        <v>41328</v>
      </c>
      <c r="AC36" s="54">
        <f>IF(Completed!$J$35&lt;&gt;"",Completed!$J$35,"")</f>
        <v>41329</v>
      </c>
      <c r="AD36" s="66" t="str">
        <f>IF(Completed!$K$35&lt;&gt;"",Completed!$K$35,"")</f>
        <v>Himeko Inaba</v>
      </c>
      <c r="AE36" s="66" t="str">
        <f>IF(Completed!$L$35&lt;&gt;"",Completed!$L$35,"")</f>
        <v/>
      </c>
    </row>
    <row r="37" spans="1:31">
      <c r="A37" s="179"/>
      <c r="B37" s="182"/>
      <c r="C37" s="182"/>
      <c r="D37" s="182"/>
      <c r="E37" s="182"/>
      <c r="F37" s="182"/>
      <c r="G37" s="182"/>
      <c r="H37" s="183"/>
      <c r="J37" s="21" t="str">
        <f>IF(Backlog!$A$36&lt;&gt;"",Backlog!$A$36,"")</f>
        <v>Nodame Cantabile - Paris Hen</v>
      </c>
      <c r="K37" s="28">
        <f>IF(Backlog!$B$36&lt;&gt;"",Backlog!$B$36,"")</f>
        <v>2</v>
      </c>
      <c r="L37" s="29" t="str">
        <f>IF(Backlog!$C$36&lt;&gt;"",Backlog!$C$36,"")</f>
        <v>DL</v>
      </c>
      <c r="N37" s="21" t="str">
        <f>IF(Completed!$A$36&lt;&gt;"",Completed!$A$36,"")</f>
        <v>Servant x Service</v>
      </c>
      <c r="O37" s="28">
        <f>IF(Completed!$B$36&lt;&gt;"",Completed!$B$36,"")</f>
        <v>1</v>
      </c>
      <c r="P37" s="28">
        <f ca="1">IF($N$37&lt;&gt;"", INDIRECT("'Tracker'!"&amp;ADDRESS(MATCH($N$37, Tracker[Anime Name], 0) + 2, 3)), "")</f>
        <v>13</v>
      </c>
      <c r="Q37" s="22" t="str">
        <f ca="1">IF($N$37&lt;&gt;"", INDIRECT("'Tracker'!"&amp;ADDRESS(MATCH($N$37, Tracker[Anime Name], 0) + 2, 4)), "")</f>
        <v>A</v>
      </c>
      <c r="R37" s="22" t="str">
        <f ca="1">IF($N$37&lt;&gt;"", INDIRECT("'Tracker'!"&amp;ADDRESS(MATCH($N$37, Tracker[Anime Name], 0) + 2, 5)), "")</f>
        <v>720p</v>
      </c>
      <c r="S37" s="22" t="str">
        <f ca="1">IF($N$37&lt;&gt;"", INDIRECT("'Tracker'!"&amp;ADDRESS(MATCH($N$37, Tracker[Anime Name], 0) + 2, 6)), "")</f>
        <v>Web</v>
      </c>
      <c r="T37" s="22" t="str">
        <f ca="1">IF($N$37&lt;&gt;"", INDIRECT("'Tracker'!"&amp;ADDRESS(MATCH($N$37, Tracker[Anime Name], 0) + 2, 7)), "")</f>
        <v>2013B</v>
      </c>
      <c r="U37" s="28" t="str">
        <f ca="1">IF($N$37&lt;&gt;"", INDIRECT("'Tracker'!"&amp;ADDRESS(MATCH($N$37, Tracker[Anime Name], 0) + 2, 8)), "")</f>
        <v>HorribleSubs</v>
      </c>
      <c r="V37" s="53">
        <f>IF(Completed!$C$36&lt;&gt;"",Completed!$C$36,"")</f>
        <v>8</v>
      </c>
      <c r="W37" s="53">
        <f>IF(Completed!$D$36&lt;&gt;"",Completed!$D$36,"")</f>
        <v>9</v>
      </c>
      <c r="X37" s="53">
        <f>IF(Completed!$E$36&lt;&gt;"",Completed!$E$36,"")</f>
        <v>5.5</v>
      </c>
      <c r="Y37" s="53">
        <f>IF(Completed!$F$36&lt;&gt;"",Completed!$F$36,"")</f>
        <v>9</v>
      </c>
      <c r="Z37" s="65">
        <f>IF(Completed!$G$36&lt;&gt;"",Completed!$G$36,"")</f>
        <v>8.6494974874371859</v>
      </c>
      <c r="AA37" s="75">
        <f>IF(Completed!$H$36&lt;&gt;"",Completed!$H$36,"")</f>
        <v>8.6712846347607044</v>
      </c>
      <c r="AB37" s="54">
        <f>IF(Completed!$I$36&lt;&gt;"",Completed!$I$36,"")</f>
        <v>41461</v>
      </c>
      <c r="AC37" s="54">
        <f>IF(Completed!$J$36&lt;&gt;"",Completed!$J$36,"")</f>
        <v>41543</v>
      </c>
      <c r="AD37" s="66" t="str">
        <f>IF(Completed!$K$36&lt;&gt;"",Completed!$K$36,"")</f>
        <v>Chihaya Megumi</v>
      </c>
      <c r="AE37" s="66" t="str">
        <f>IF(Completed!$L$36&lt;&gt;"",Completed!$L$36,"")</f>
        <v>Funny, and not a HS drama - 9/10 would watch again</v>
      </c>
    </row>
    <row r="38" spans="1:31">
      <c r="A38" s="178" t="s">
        <v>597</v>
      </c>
      <c r="B38" s="180"/>
      <c r="C38" s="180"/>
      <c r="D38" s="180"/>
      <c r="E38" s="180"/>
      <c r="F38" s="180"/>
      <c r="G38" s="180"/>
      <c r="H38" s="181"/>
      <c r="J38" s="21" t="str">
        <f>IF(Backlog!$A$37&lt;&gt;"",Backlog!$A$37,"")</f>
        <v>Nodame Cantabile Finale</v>
      </c>
      <c r="K38" s="28">
        <f>IF(Backlog!$B$37&lt;&gt;"",Backlog!$B$37,"")</f>
        <v>3</v>
      </c>
      <c r="L38" s="29" t="str">
        <f>IF(Backlog!$C$37&lt;&gt;"",Backlog!$C$37,"")</f>
        <v>DL</v>
      </c>
      <c r="N38" s="21" t="str">
        <f>IF(Completed!$A$37&lt;&gt;"",Completed!$A$37,"")</f>
        <v>Shakugan no Shana Second</v>
      </c>
      <c r="O38" s="28">
        <f>IF(Completed!$B$37&lt;&gt;"",Completed!$B$37,"")</f>
        <v>2</v>
      </c>
      <c r="P38" s="28">
        <f ca="1">IF($N$38&lt;&gt;"", INDIRECT("'Tracker'!"&amp;ADDRESS(MATCH($N$38, Tracker[Anime Name], 0) + 2, 3)), "")</f>
        <v>24</v>
      </c>
      <c r="Q38" s="22" t="str">
        <f ca="1">IF($N$38&lt;&gt;"", INDIRECT("'Tracker'!"&amp;ADDRESS(MATCH($N$38, Tracker[Anime Name], 0) + 2, 4)), "")</f>
        <v>A</v>
      </c>
      <c r="R38" s="22" t="str">
        <f ca="1">IF($N$38&lt;&gt;"", INDIRECT("'Tracker'!"&amp;ADDRESS(MATCH($N$38, Tracker[Anime Name], 0) + 2, 5)), "")</f>
        <v>720p</v>
      </c>
      <c r="S38" s="22" t="str">
        <f ca="1">IF($N$38&lt;&gt;"", INDIRECT("'Tracker'!"&amp;ADDRESS(MATCH($N$38, Tracker[Anime Name], 0) + 2, 6)), "")</f>
        <v>TV</v>
      </c>
      <c r="T38" s="22" t="str">
        <f ca="1">IF($N$38&lt;&gt;"", INDIRECT("'Tracker'!"&amp;ADDRESS(MATCH($N$38, Tracker[Anime Name], 0) + 2, 7)), "")</f>
        <v>2007C</v>
      </c>
      <c r="U38" s="28" t="str">
        <f ca="1">IF($N$38&lt;&gt;"", INDIRECT("'Tracker'!"&amp;ADDRESS(MATCH($N$38, Tracker[Anime Name], 0) + 2, 8)), "")</f>
        <v>SS, Eclipse</v>
      </c>
      <c r="V38" s="53">
        <f>IF(Completed!$C$37&lt;&gt;"",Completed!$C$37,"")</f>
        <v>9</v>
      </c>
      <c r="W38" s="53">
        <f>IF(Completed!$D$37&lt;&gt;"",Completed!$D$37,"")</f>
        <v>9</v>
      </c>
      <c r="X38" s="53">
        <f>IF(Completed!$E$37&lt;&gt;"",Completed!$E$37,"")</f>
        <v>6.5</v>
      </c>
      <c r="Y38" s="53">
        <f>IF(Completed!$F$37&lt;&gt;"",Completed!$F$37,"")</f>
        <v>8.5</v>
      </c>
      <c r="Z38" s="65">
        <f>IF(Completed!$G$37&lt;&gt;"",Completed!$G$37,"")</f>
        <v>8.6306532663316595</v>
      </c>
      <c r="AA38" s="75">
        <f>IF(Completed!$H$37&lt;&gt;"",Completed!$H$37,"")</f>
        <v>8.6523929471032766</v>
      </c>
      <c r="AB38" s="54">
        <f>IF(Completed!$I$37&lt;&gt;"",Completed!$I$37,"")</f>
        <v>41395</v>
      </c>
      <c r="AC38" s="54">
        <f>IF(Completed!$J$37&lt;&gt;"",Completed!$J$37,"")</f>
        <v>41400</v>
      </c>
      <c r="AD38" s="66" t="str">
        <f>IF(Completed!$K$37&lt;&gt;"",Completed!$K$37,"")</f>
        <v>Shana</v>
      </c>
      <c r="AE38" s="66" t="str">
        <f>IF(Completed!$L$37&lt;&gt;"",Completed!$L$37,"")</f>
        <v>TV is better than BDs</v>
      </c>
    </row>
    <row r="39" spans="1:31">
      <c r="A39" s="179"/>
      <c r="B39" s="182"/>
      <c r="C39" s="182"/>
      <c r="D39" s="182"/>
      <c r="E39" s="182"/>
      <c r="F39" s="182"/>
      <c r="G39" s="182"/>
      <c r="H39" s="183"/>
      <c r="J39" s="21" t="str">
        <f>IF(Backlog!$A$38&lt;&gt;"",Backlog!$A$38,"")</f>
        <v>Nyan Koi</v>
      </c>
      <c r="K39" s="28">
        <f>IF(Backlog!$B$38&lt;&gt;"",Backlog!$B$38,"")</f>
        <v>1</v>
      </c>
      <c r="L39" s="29" t="str">
        <f>IF(Backlog!$C$38&lt;&gt;"",Backlog!$C$38,"")</f>
        <v>DL</v>
      </c>
      <c r="N39" s="21" t="str">
        <f>IF(Completed!$A$38&lt;&gt;"",Completed!$A$38,"")</f>
        <v>Non Non Biyori</v>
      </c>
      <c r="O39" s="28">
        <f>IF(Completed!$B$38&lt;&gt;"",Completed!$B$38,"")</f>
        <v>1</v>
      </c>
      <c r="P39" s="28">
        <f ca="1">IF($N$39&lt;&gt;"", INDIRECT("'Tracker'!"&amp;ADDRESS(MATCH($N$39, Tracker[Anime Name], 0) + 2, 3)), "")</f>
        <v>12</v>
      </c>
      <c r="Q39" s="22" t="str">
        <f ca="1">IF($N$39&lt;&gt;"", INDIRECT("'Tracker'!"&amp;ADDRESS(MATCH($N$39, Tracker[Anime Name], 0) + 2, 4)), "")</f>
        <v>B</v>
      </c>
      <c r="R39" s="22" t="str">
        <f ca="1">IF($N$39&lt;&gt;"", INDIRECT("'Tracker'!"&amp;ADDRESS(MATCH($N$39, Tracker[Anime Name], 0) + 2, 5)), "")</f>
        <v>720p</v>
      </c>
      <c r="S39" s="22" t="str">
        <f ca="1">IF($N$39&lt;&gt;"", INDIRECT("'Tracker'!"&amp;ADDRESS(MATCH($N$39, Tracker[Anime Name], 0) + 2, 6)), "")</f>
        <v>TV</v>
      </c>
      <c r="T39" s="22" t="str">
        <f ca="1">IF($N$39&lt;&gt;"", INDIRECT("'Tracker'!"&amp;ADDRESS(MATCH($N$39, Tracker[Anime Name], 0) + 2, 7)), "")</f>
        <v>2013C</v>
      </c>
      <c r="U39" s="28" t="str">
        <f ca="1">IF($N$39&lt;&gt;"", INDIRECT("'Tracker'!"&amp;ADDRESS(MATCH($N$39, Tracker[Anime Name], 0) + 2, 8)), "")</f>
        <v>HorribleSubs</v>
      </c>
      <c r="V39" s="53">
        <f>IF(Completed!$C$38&lt;&gt;"",Completed!$C$38,"")</f>
        <v>4</v>
      </c>
      <c r="W39" s="53">
        <f>IF(Completed!$D$38&lt;&gt;"",Completed!$D$38,"")</f>
        <v>9</v>
      </c>
      <c r="X39" s="53">
        <f>IF(Completed!$E$38&lt;&gt;"",Completed!$E$38,"")</f>
        <v>9.5</v>
      </c>
      <c r="Y39" s="53">
        <f>IF(Completed!$F$38&lt;&gt;"",Completed!$F$38,"")</f>
        <v>10</v>
      </c>
      <c r="Z39" s="65">
        <f>IF(Completed!$G$38&lt;&gt;"",Completed!$G$38,"")</f>
        <v>8.6067839195979889</v>
      </c>
      <c r="AA39" s="75">
        <f>IF(Completed!$H$38&lt;&gt;"",Completed!$H$38,"")</f>
        <v>8.628463476070527</v>
      </c>
      <c r="AB39" s="54">
        <f>IF(Completed!$I$38&lt;&gt;"",Completed!$I$38,"")</f>
        <v>41638</v>
      </c>
      <c r="AC39" s="54">
        <f>IF(Completed!$J$38&lt;&gt;"",Completed!$J$38,"")</f>
        <v>41641</v>
      </c>
      <c r="AD39" s="66" t="str">
        <f>IF(Completed!$K$38&lt;&gt;"",Completed!$K$38,"")</f>
        <v>Miyauchi Renge</v>
      </c>
      <c r="AE39" s="66" t="str">
        <f>IF(Completed!$L$38&lt;&gt;"",Completed!$L$38,"")</f>
        <v/>
      </c>
    </row>
    <row r="40" spans="1:31">
      <c r="A40" s="178" t="s">
        <v>615</v>
      </c>
      <c r="B40" s="180"/>
      <c r="C40" s="180"/>
      <c r="D40" s="180"/>
      <c r="E40" s="180"/>
      <c r="F40" s="180"/>
      <c r="G40" s="180"/>
      <c r="H40" s="181"/>
      <c r="J40" s="21" t="str">
        <f>IF(Backlog!$A$39&lt;&gt;"",Backlog!$A$39,"")</f>
        <v>Ore no Kanojo to Osananajimi ga Shuraba Sugiru</v>
      </c>
      <c r="K40" s="28">
        <f>IF(Backlog!$B$39&lt;&gt;"",Backlog!$B$39,"")</f>
        <v>1</v>
      </c>
      <c r="L40" s="29" t="str">
        <f>IF(Backlog!$C$39&lt;&gt;"",Backlog!$C$39,"")</f>
        <v>DL</v>
      </c>
      <c r="N40" s="21" t="str">
        <f>IF(Completed!$A$39&lt;&gt;"",Completed!$A$39,"")</f>
        <v>Toaru Kagaku no Railgun</v>
      </c>
      <c r="O40" s="28">
        <f>IF(Completed!$B$39&lt;&gt;"",Completed!$B$39,"")</f>
        <v>1</v>
      </c>
      <c r="P40" s="28">
        <f ca="1">IF($N$40&lt;&gt;"", INDIRECT("'Tracker'!"&amp;ADDRESS(MATCH($N$40, Tracker[Anime Name], 0) + 2, 3)), "")</f>
        <v>24</v>
      </c>
      <c r="Q40" s="22" t="str">
        <f ca="1">IF($N$40&lt;&gt;"", INDIRECT("'Tracker'!"&amp;ADDRESS(MATCH($N$40, Tracker[Anime Name], 0) + 2, 4)), "")</f>
        <v>A</v>
      </c>
      <c r="R40" s="22" t="str">
        <f ca="1">IF($N$40&lt;&gt;"", INDIRECT("'Tracker'!"&amp;ADDRESS(MATCH($N$40, Tracker[Anime Name], 0) + 2, 5)), "")</f>
        <v>720p</v>
      </c>
      <c r="S40" s="22" t="str">
        <f ca="1">IF($N$40&lt;&gt;"", INDIRECT("'Tracker'!"&amp;ADDRESS(MATCH($N$40, Tracker[Anime Name], 0) + 2, 6)), "")</f>
        <v>BD</v>
      </c>
      <c r="T40" s="22" t="str">
        <f ca="1">IF($N$40&lt;&gt;"", INDIRECT("'Tracker'!"&amp;ADDRESS(MATCH($N$40, Tracker[Anime Name], 0) + 2, 7)), "")</f>
        <v>2009C</v>
      </c>
      <c r="U40" s="28" t="str">
        <f ca="1">IF($N$40&lt;&gt;"", INDIRECT("'Tracker'!"&amp;ADDRESS(MATCH($N$40, Tracker[Anime Name], 0) + 2, 8)), "")</f>
        <v>Elysium</v>
      </c>
      <c r="V40" s="53">
        <f>IF(Completed!$C$39&lt;&gt;"",Completed!$C$39,"")</f>
        <v>7.5</v>
      </c>
      <c r="W40" s="53">
        <f>IF(Completed!$D$39&lt;&gt;"",Completed!$D$39,"")</f>
        <v>9</v>
      </c>
      <c r="X40" s="53">
        <f>IF(Completed!$E$39&lt;&gt;"",Completed!$E$39,"")</f>
        <v>6</v>
      </c>
      <c r="Y40" s="53">
        <f>IF(Completed!$F$39&lt;&gt;"",Completed!$F$39,"")</f>
        <v>9</v>
      </c>
      <c r="Z40" s="65">
        <f>IF(Completed!$G$39&lt;&gt;"",Completed!$G$39,"")</f>
        <v>8.5816582914572859</v>
      </c>
      <c r="AA40" s="75">
        <f>IF(Completed!$H$39&lt;&gt;"",Completed!$H$39,"")</f>
        <v>8.6032745591939541</v>
      </c>
      <c r="AB40" s="54">
        <f>IF(Completed!$I$39&lt;&gt;"",Completed!$I$39,"")</f>
        <v>41436</v>
      </c>
      <c r="AC40" s="54">
        <f>IF(Completed!$J$39&lt;&gt;"",Completed!$J$39,"")</f>
        <v>41438</v>
      </c>
      <c r="AD40" s="66" t="str">
        <f>IF(Completed!$K$39&lt;&gt;"",Completed!$K$39,"")</f>
        <v>Misaka Mikoto</v>
      </c>
      <c r="AE40" s="66" t="str">
        <f>IF(Completed!$L$39&lt;&gt;"",Completed!$L$39,"")</f>
        <v/>
      </c>
    </row>
    <row r="41" spans="1:31">
      <c r="A41" s="179"/>
      <c r="B41" s="182"/>
      <c r="C41" s="182"/>
      <c r="D41" s="182"/>
      <c r="E41" s="182"/>
      <c r="F41" s="182"/>
      <c r="G41" s="182"/>
      <c r="H41" s="183"/>
      <c r="J41" s="21" t="str">
        <f>IF(Backlog!$A$40&lt;&gt;"",Backlog!$A$40,"")</f>
        <v>Psycho Pass</v>
      </c>
      <c r="K41" s="28">
        <f>IF(Backlog!$B$40&lt;&gt;"",Backlog!$B$40,"")</f>
        <v>1</v>
      </c>
      <c r="L41" s="29" t="str">
        <f>IF(Backlog!$C$40&lt;&gt;"",Backlog!$C$40,"")</f>
        <v>DL</v>
      </c>
      <c r="N41" s="21" t="str">
        <f>IF(Completed!$A$40&lt;&gt;"",Completed!$A$40,"")</f>
        <v>Acchi Kocchi</v>
      </c>
      <c r="O41" s="28">
        <f>IF(Completed!$B$40&lt;&gt;"",Completed!$B$40,"")</f>
        <v>1</v>
      </c>
      <c r="P41" s="28">
        <f ca="1">IF($N$41&lt;&gt;"", INDIRECT("'Tracker'!"&amp;ADDRESS(MATCH($N$41, Tracker[Anime Name], 0) + 2, 3)), "")</f>
        <v>13</v>
      </c>
      <c r="Q41" s="22" t="str">
        <f ca="1">IF($N$41&lt;&gt;"", INDIRECT("'Tracker'!"&amp;ADDRESS(MATCH($N$41, Tracker[Anime Name], 0) + 2, 4)), "")</f>
        <v>A</v>
      </c>
      <c r="R41" s="22" t="str">
        <f ca="1">IF($N$41&lt;&gt;"", INDIRECT("'Tracker'!"&amp;ADDRESS(MATCH($N$41, Tracker[Anime Name], 0) + 2, 5)), "")</f>
        <v>720p</v>
      </c>
      <c r="S41" s="22" t="str">
        <f ca="1">IF($N$41&lt;&gt;"", INDIRECT("'Tracker'!"&amp;ADDRESS(MATCH($N$41, Tracker[Anime Name], 0) + 2, 6)), "")</f>
        <v>BD</v>
      </c>
      <c r="T41" s="22" t="str">
        <f ca="1">IF($N$41&lt;&gt;"", INDIRECT("'Tracker'!"&amp;ADDRESS(MATCH($N$41, Tracker[Anime Name], 0) + 2, 7)), "")</f>
        <v>2012A</v>
      </c>
      <c r="U41" s="28" t="str">
        <f ca="1">IF($N$41&lt;&gt;"", INDIRECT("'Tracker'!"&amp;ADDRESS(MATCH($N$41, Tracker[Anime Name], 0) + 2, 8)), "")</f>
        <v>SakuraCircle</v>
      </c>
      <c r="V41" s="53">
        <f>IF(Completed!$C$40&lt;&gt;"",Completed!$C$40,"")</f>
        <v>5</v>
      </c>
      <c r="W41" s="53">
        <f>IF(Completed!$D$40&lt;&gt;"",Completed!$D$40,"")</f>
        <v>9</v>
      </c>
      <c r="X41" s="53">
        <f>IF(Completed!$E$40&lt;&gt;"",Completed!$E$40,"")</f>
        <v>10</v>
      </c>
      <c r="Y41" s="53">
        <f>IF(Completed!$F$40&lt;&gt;"",Completed!$F$40,"")</f>
        <v>9.5</v>
      </c>
      <c r="Z41" s="65">
        <f>IF(Completed!$G$40&lt;&gt;"",Completed!$G$40,"")</f>
        <v>8.5640703517587937</v>
      </c>
      <c r="AA41" s="75">
        <f>IF(Completed!$H$40&lt;&gt;"",Completed!$H$40,"")</f>
        <v>8.5856423173803513</v>
      </c>
      <c r="AB41" s="54">
        <f>IF(Completed!$I$40&lt;&gt;"",Completed!$I$40,"")</f>
        <v>41316</v>
      </c>
      <c r="AC41" s="54">
        <f>IF(Completed!$J$40&lt;&gt;"",Completed!$J$40,"")</f>
        <v>41316</v>
      </c>
      <c r="AD41" s="66" t="str">
        <f>IF(Completed!$K$40&lt;&gt;"",Completed!$K$40,"")</f>
        <v>Miniwa Tsumiki</v>
      </c>
      <c r="AE41" s="66" t="str">
        <f>IF(Completed!$L$40&lt;&gt;"",Completed!$L$40,"")</f>
        <v>Like Lucky Star, but with 150% more moe</v>
      </c>
    </row>
    <row r="42" spans="1:31">
      <c r="A42" s="184" t="s">
        <v>616</v>
      </c>
      <c r="B42" s="180"/>
      <c r="C42" s="180"/>
      <c r="D42" s="180"/>
      <c r="E42" s="180"/>
      <c r="F42" s="180"/>
      <c r="G42" s="180"/>
      <c r="H42" s="181"/>
      <c r="J42" s="21" t="str">
        <f>IF(Backlog!$A$41&lt;&gt;"",Backlog!$A$41,"")</f>
        <v>Serial Experiments Lain</v>
      </c>
      <c r="K42" s="28">
        <f>IF(Backlog!$B$41&lt;&gt;"",Backlog!$B$41,"")</f>
        <v>1</v>
      </c>
      <c r="L42" s="29" t="str">
        <f>IF(Backlog!$C$41&lt;&gt;"",Backlog!$C$41,"")</f>
        <v>DL</v>
      </c>
      <c r="N42" s="21" t="str">
        <f>IF(Completed!$A$41&lt;&gt;"",Completed!$A$41,"")</f>
        <v>Toaru Kagaku no Railgun S</v>
      </c>
      <c r="O42" s="28">
        <f>IF(Completed!$B$41&lt;&gt;"",Completed!$B$41,"")</f>
        <v>2</v>
      </c>
      <c r="P42" s="28">
        <f ca="1">IF($N$42&lt;&gt;"", INDIRECT("'Tracker'!"&amp;ADDRESS(MATCH($N$42, Tracker[Anime Name], 0) + 2, 3)), "")</f>
        <v>24</v>
      </c>
      <c r="Q42" s="22" t="str">
        <f ca="1">IF($N$42&lt;&gt;"", INDIRECT("'Tracker'!"&amp;ADDRESS(MATCH($N$42, Tracker[Anime Name], 0) + 2, 4)), "")</f>
        <v>A</v>
      </c>
      <c r="R42" s="22" t="str">
        <f ca="1">IF($N$42&lt;&gt;"", INDIRECT("'Tracker'!"&amp;ADDRESS(MATCH($N$42, Tracker[Anime Name], 0) + 2, 5)), "")</f>
        <v>720p</v>
      </c>
      <c r="S42" s="22" t="str">
        <f ca="1">IF($N$42&lt;&gt;"", INDIRECT("'Tracker'!"&amp;ADDRESS(MATCH($N$42, Tracker[Anime Name], 0) + 2, 6)), "")</f>
        <v>BD</v>
      </c>
      <c r="T42" s="22" t="str">
        <f ca="1">IF($N$42&lt;&gt;"", INDIRECT("'Tracker'!"&amp;ADDRESS(MATCH($N$42, Tracker[Anime Name], 0) + 2, 7)), "")</f>
        <v>2013A</v>
      </c>
      <c r="U42" s="28" t="str">
        <f ca="1">IF($N$42&lt;&gt;"", INDIRECT("'Tracker'!"&amp;ADDRESS(MATCH($N$42, Tracker[Anime Name], 0) + 2, 8)), "")</f>
        <v>Coalgirls, UTW, Mazui</v>
      </c>
      <c r="V42" s="53">
        <f>IF(Completed!$C$41&lt;&gt;"",Completed!$C$41,"")</f>
        <v>8.5</v>
      </c>
      <c r="W42" s="53">
        <f>IF(Completed!$D$41&lt;&gt;"",Completed!$D$41,"")</f>
        <v>8.5</v>
      </c>
      <c r="X42" s="53">
        <f>IF(Completed!$E$41&lt;&gt;"",Completed!$E$41,"")</f>
        <v>4.5</v>
      </c>
      <c r="Y42" s="53">
        <f>IF(Completed!$F$41&lt;&gt;"",Completed!$F$41,"")</f>
        <v>9</v>
      </c>
      <c r="Z42" s="65">
        <f>IF(Completed!$G$41&lt;&gt;"",Completed!$G$41,"")</f>
        <v>8.5590452261306531</v>
      </c>
      <c r="AA42" s="75">
        <f>IF(Completed!$H$41&lt;&gt;"",Completed!$H$41,"")</f>
        <v>8.5806045340050368</v>
      </c>
      <c r="AB42" s="54">
        <f>IF(Completed!$I$41&lt;&gt;"",Completed!$I$41,"")</f>
        <v>41473</v>
      </c>
      <c r="AC42" s="54">
        <f>IF(Completed!$J$41&lt;&gt;"",Completed!$J$41,"")</f>
        <v>41546</v>
      </c>
      <c r="AD42" s="66" t="str">
        <f>IF(Completed!$K$41&lt;&gt;"",Completed!$K$41,"")</f>
        <v>Misaka Mikoto</v>
      </c>
      <c r="AE42" s="66" t="str">
        <f>IF(Completed!$L$41&lt;&gt;"",Completed!$L$41,"")</f>
        <v/>
      </c>
    </row>
    <row r="43" spans="1:31">
      <c r="A43" s="185"/>
      <c r="B43" s="182"/>
      <c r="C43" s="182"/>
      <c r="D43" s="182"/>
      <c r="E43" s="182"/>
      <c r="F43" s="182"/>
      <c r="G43" s="182"/>
      <c r="H43" s="183"/>
      <c r="J43" s="21" t="str">
        <f>IF(Backlog!$A$42&lt;&gt;"",Backlog!$A$42,"")</f>
        <v>Shinsekai Yori</v>
      </c>
      <c r="K43" s="28">
        <f>IF(Backlog!$B$42&lt;&gt;"",Backlog!$B$42,"")</f>
        <v>1</v>
      </c>
      <c r="L43" s="29" t="str">
        <f>IF(Backlog!$C$42&lt;&gt;"",Backlog!$C$42,"")</f>
        <v>DL</v>
      </c>
      <c r="N43" s="21" t="str">
        <f>IF(Completed!$A$42&lt;&gt;"",Completed!$A$42,"")</f>
        <v>Mirai Nikki</v>
      </c>
      <c r="O43" s="28">
        <f>IF(Completed!$B$42&lt;&gt;"",Completed!$B$42,"")</f>
        <v>1</v>
      </c>
      <c r="P43" s="28">
        <f ca="1">IF($N$43&lt;&gt;"", INDIRECT("'Tracker'!"&amp;ADDRESS(MATCH($N$43, Tracker[Anime Name], 0) + 2, 3)), "")</f>
        <v>26</v>
      </c>
      <c r="Q43" s="22" t="str">
        <f ca="1">IF($N$43&lt;&gt;"", INDIRECT("'Tracker'!"&amp;ADDRESS(MATCH($N$43, Tracker[Anime Name], 0) + 2, 4)), "")</f>
        <v>A</v>
      </c>
      <c r="R43" s="22" t="str">
        <f ca="1">IF($N$43&lt;&gt;"", INDIRECT("'Tracker'!"&amp;ADDRESS(MATCH($N$43, Tracker[Anime Name], 0) + 2, 5)), "")</f>
        <v>720p</v>
      </c>
      <c r="S43" s="22" t="str">
        <f ca="1">IF($N$43&lt;&gt;"", INDIRECT("'Tracker'!"&amp;ADDRESS(MATCH($N$43, Tracker[Anime Name], 0) + 2, 6)), "")</f>
        <v>BD</v>
      </c>
      <c r="T43" s="22" t="str">
        <f ca="1">IF($N$43&lt;&gt;"", INDIRECT("'Tracker'!"&amp;ADDRESS(MATCH($N$43, Tracker[Anime Name], 0) + 2, 7)), "")</f>
        <v>2011C</v>
      </c>
      <c r="U43" s="28" t="str">
        <f ca="1">IF($N$43&lt;&gt;"", INDIRECT("'Tracker'!"&amp;ADDRESS(MATCH($N$43, Tracker[Anime Name], 0) + 2, 8)), "")</f>
        <v>Final8</v>
      </c>
      <c r="V43" s="53">
        <f>IF(Completed!$C$42&lt;&gt;"",Completed!$C$42,"")</f>
        <v>9.5</v>
      </c>
      <c r="W43" s="53">
        <f>IF(Completed!$D$42&lt;&gt;"",Completed!$D$42,"")</f>
        <v>7.5</v>
      </c>
      <c r="X43" s="53">
        <f>IF(Completed!$E$42&lt;&gt;"",Completed!$E$42,"")</f>
        <v>5</v>
      </c>
      <c r="Y43" s="53">
        <f>IF(Completed!$F$42&lt;&gt;"",Completed!$F$42,"")</f>
        <v>9</v>
      </c>
      <c r="Z43" s="65">
        <f>IF(Completed!$G$42&lt;&gt;"",Completed!$G$42,"")</f>
        <v>8.4974874371859297</v>
      </c>
      <c r="AA43" s="75">
        <f>IF(Completed!$H$42&lt;&gt;"",Completed!$H$42,"")</f>
        <v>8.5188916876574314</v>
      </c>
      <c r="AB43" s="54">
        <f>IF(Completed!$I$42&lt;&gt;"",Completed!$I$42,"")</f>
        <v>41485</v>
      </c>
      <c r="AC43" s="54">
        <f>IF(Completed!$J$42&lt;&gt;"",Completed!$J$42,"")</f>
        <v>41491</v>
      </c>
      <c r="AD43" s="66" t="str">
        <f>IF(Completed!$K$42&lt;&gt;"",Completed!$K$42,"")</f>
        <v>Uryuu Minene v2</v>
      </c>
      <c r="AE43" s="66" t="str">
        <f>IF(Completed!$L$42&lt;&gt;"",Completed!$L$42,"")</f>
        <v>Needs a more ballsy MC</v>
      </c>
    </row>
    <row r="44" spans="1:31">
      <c r="A44" s="100"/>
      <c r="B44" s="101"/>
      <c r="C44" s="101"/>
      <c r="D44" s="101"/>
      <c r="E44" s="101"/>
      <c r="F44" s="101"/>
      <c r="G44" s="101"/>
      <c r="H44" s="101"/>
      <c r="J44" s="21" t="str">
        <f>IF(Backlog!$A$43&lt;&gt;"",Backlog!$A$43,"")</f>
        <v>Sora no Otoshimono Forte</v>
      </c>
      <c r="K44" s="28">
        <f>IF(Backlog!$B$43&lt;&gt;"",Backlog!$B$43,"")</f>
        <v>2</v>
      </c>
      <c r="L44" s="29" t="str">
        <f>IF(Backlog!$C$43&lt;&gt;"",Backlog!$C$43,"")</f>
        <v>DL</v>
      </c>
      <c r="N44" s="21" t="str">
        <f>IF(Completed!$A$43&lt;&gt;"",Completed!$A$43,"")</f>
        <v>Toaru Majutsu no Index II</v>
      </c>
      <c r="O44" s="28">
        <f>IF(Completed!$B$43&lt;&gt;"",Completed!$B$43,"")</f>
        <v>2</v>
      </c>
      <c r="P44" s="28">
        <f ca="1">IF($N$44&lt;&gt;"", INDIRECT("'Tracker'!"&amp;ADDRESS(MATCH($N$44, Tracker[Anime Name], 0) + 2, 3)), "")</f>
        <v>24</v>
      </c>
      <c r="Q44" s="22" t="str">
        <f ca="1">IF($N$44&lt;&gt;"", INDIRECT("'Tracker'!"&amp;ADDRESS(MATCH($N$44, Tracker[Anime Name], 0) + 2, 4)), "")</f>
        <v>A</v>
      </c>
      <c r="R44" s="22" t="str">
        <f ca="1">IF($N$44&lt;&gt;"", INDIRECT("'Tracker'!"&amp;ADDRESS(MATCH($N$44, Tracker[Anime Name], 0) + 2, 5)), "")</f>
        <v>720p</v>
      </c>
      <c r="S44" s="22" t="str">
        <f ca="1">IF($N$44&lt;&gt;"", INDIRECT("'Tracker'!"&amp;ADDRESS(MATCH($N$44, Tracker[Anime Name], 0) + 2, 6)), "")</f>
        <v>BD</v>
      </c>
      <c r="T44" s="22" t="str">
        <f ca="1">IF($N$44&lt;&gt;"", INDIRECT("'Tracker'!"&amp;ADDRESS(MATCH($N$44, Tracker[Anime Name], 0) + 2, 7)), "")</f>
        <v>2010C</v>
      </c>
      <c r="U44" s="28" t="str">
        <f ca="1">IF($N$44&lt;&gt;"", INDIRECT("'Tracker'!"&amp;ADDRESS(MATCH($N$44, Tracker[Anime Name], 0) + 2, 8)), "")</f>
        <v>Coalgirls, UTW, Mazui</v>
      </c>
      <c r="V44" s="53">
        <f>IF(Completed!$C$43&lt;&gt;"",Completed!$C$43,"")</f>
        <v>9</v>
      </c>
      <c r="W44" s="53">
        <f>IF(Completed!$D$43&lt;&gt;"",Completed!$D$43,"")</f>
        <v>8</v>
      </c>
      <c r="X44" s="53">
        <f>IF(Completed!$E$43&lt;&gt;"",Completed!$E$43,"")</f>
        <v>4</v>
      </c>
      <c r="Y44" s="53">
        <f>IF(Completed!$F$43&lt;&gt;"",Completed!$F$43,"")</f>
        <v>9</v>
      </c>
      <c r="Z44" s="65">
        <f>IF(Completed!$G$43&lt;&gt;"",Completed!$G$43,"")</f>
        <v>8.4924623115577891</v>
      </c>
      <c r="AA44" s="75">
        <f>IF(Completed!$H$43&lt;&gt;"",Completed!$H$43,"")</f>
        <v>8.5138539042821151</v>
      </c>
      <c r="AB44" s="54">
        <f>IF(Completed!$I$43&lt;&gt;"",Completed!$I$43,"")</f>
        <v>41468</v>
      </c>
      <c r="AC44" s="54">
        <f>IF(Completed!$J$43&lt;&gt;"",Completed!$J$43,"")</f>
        <v>41470</v>
      </c>
      <c r="AD44" s="66" t="str">
        <f>IF(Completed!$K$43&lt;&gt;"",Completed!$K$43,"")</f>
        <v>Misaka Mikoto</v>
      </c>
      <c r="AE44" s="66" t="str">
        <f>IF(Completed!$L$43&lt;&gt;"",Completed!$L$43,"")</f>
        <v>Finale was a bit anticlimactic. S3 is in order</v>
      </c>
    </row>
    <row r="45" spans="1:31">
      <c r="A45" s="100"/>
      <c r="B45" s="101"/>
      <c r="C45" s="101"/>
      <c r="D45" s="101"/>
      <c r="E45" s="101"/>
      <c r="F45" s="101"/>
      <c r="G45" s="101"/>
      <c r="H45" s="101"/>
      <c r="J45" s="21" t="str">
        <f>IF(Backlog!$A$44&lt;&gt;"",Backlog!$A$44,"")</f>
        <v>Strawberry Panic</v>
      </c>
      <c r="K45" s="28">
        <f>IF(Backlog!$B$44&lt;&gt;"",Backlog!$B$44,"")</f>
        <v>1</v>
      </c>
      <c r="L45" s="29" t="str">
        <f>IF(Backlog!$C$44&lt;&gt;"",Backlog!$C$44,"")</f>
        <v>DL</v>
      </c>
      <c r="N45" s="21" t="str">
        <f>IF(Completed!$A$44&lt;&gt;"",Completed!$A$44,"")</f>
        <v>Hataraku Maou-sama</v>
      </c>
      <c r="O45" s="28">
        <f>IF(Completed!$B$44&lt;&gt;"",Completed!$B$44,"")</f>
        <v>1</v>
      </c>
      <c r="P45" s="28">
        <f ca="1">IF($N$45&lt;&gt;"", INDIRECT("'Tracker'!"&amp;ADDRESS(MATCH($N$45, Tracker[Anime Name], 0) + 2, 3)), "")</f>
        <v>13</v>
      </c>
      <c r="Q45" s="22" t="str">
        <f ca="1">IF($N$45&lt;&gt;"", INDIRECT("'Tracker'!"&amp;ADDRESS(MATCH($N$45, Tracker[Anime Name], 0) + 2, 4)), "")</f>
        <v>A</v>
      </c>
      <c r="R45" s="22" t="str">
        <f ca="1">IF($N$45&lt;&gt;"", INDIRECT("'Tracker'!"&amp;ADDRESS(MATCH($N$45, Tracker[Anime Name], 0) + 2, 5)), "")</f>
        <v>720p</v>
      </c>
      <c r="S45" s="22" t="str">
        <f ca="1">IF($N$45&lt;&gt;"", INDIRECT("'Tracker'!"&amp;ADDRESS(MATCH($N$45, Tracker[Anime Name], 0) + 2, 6)), "")</f>
        <v>BD</v>
      </c>
      <c r="T45" s="22" t="str">
        <f ca="1">IF($N$45&lt;&gt;"", INDIRECT("'Tracker'!"&amp;ADDRESS(MATCH($N$45, Tracker[Anime Name], 0) + 2, 7)), "")</f>
        <v>2013A</v>
      </c>
      <c r="U45" s="28" t="str">
        <f ca="1">IF($N$45&lt;&gt;"", INDIRECT("'Tracker'!"&amp;ADDRESS(MATCH($N$45, Tracker[Anime Name], 0) + 2, 8)), "")</f>
        <v>FFF</v>
      </c>
      <c r="V45" s="53">
        <f>IF(Completed!$C$44&lt;&gt;"",Completed!$C$44,"")</f>
        <v>8</v>
      </c>
      <c r="W45" s="53">
        <f>IF(Completed!$D$44&lt;&gt;"",Completed!$D$44,"")</f>
        <v>8.5</v>
      </c>
      <c r="X45" s="53">
        <f>IF(Completed!$E$44&lt;&gt;"",Completed!$E$44,"")</f>
        <v>5</v>
      </c>
      <c r="Y45" s="53">
        <f>IF(Completed!$F$44&lt;&gt;"",Completed!$F$44,"")</f>
        <v>9</v>
      </c>
      <c r="Z45" s="65">
        <f>IF(Completed!$G$44&lt;&gt;"",Completed!$G$44,"")</f>
        <v>8.4912060301507548</v>
      </c>
      <c r="AA45" s="75">
        <f>IF(Completed!$H$44&lt;&gt;"",Completed!$H$44,"")</f>
        <v>8.5125944584382882</v>
      </c>
      <c r="AB45" s="54">
        <f>IF(Completed!$I$44&lt;&gt;"",Completed!$I$44,"")</f>
        <v>41371</v>
      </c>
      <c r="AC45" s="54">
        <f>IF(Completed!$J$44&lt;&gt;"",Completed!$J$44,"")</f>
        <v>41452</v>
      </c>
      <c r="AD45" s="66" t="str">
        <f>IF(Completed!$K$44&lt;&gt;"",Completed!$K$44,"")</f>
        <v>Kamazuki Suzuno</v>
      </c>
      <c r="AE45" s="66" t="str">
        <f>IF(Completed!$L$44&lt;&gt;"",Completed!$L$44,"")</f>
        <v/>
      </c>
    </row>
    <row r="46" spans="1:31">
      <c r="A46" s="100"/>
      <c r="B46" s="101"/>
      <c r="C46" s="101"/>
      <c r="D46" s="101"/>
      <c r="E46" s="101"/>
      <c r="F46" s="101"/>
      <c r="G46" s="101"/>
      <c r="H46" s="101"/>
      <c r="J46" s="21" t="str">
        <f>IF(Backlog!$A$45&lt;&gt;"",Backlog!$A$45,"")</f>
        <v>The World God Only Knows</v>
      </c>
      <c r="K46" s="28">
        <f>IF(Backlog!$B$45&lt;&gt;"",Backlog!$B$45,"")</f>
        <v>1</v>
      </c>
      <c r="L46" s="29" t="str">
        <f>IF(Backlog!$C$45&lt;&gt;"",Backlog!$C$45,"")</f>
        <v>DL</v>
      </c>
      <c r="N46" s="21" t="str">
        <f>IF(Completed!$A$45&lt;&gt;"",Completed!$A$45,"")</f>
        <v>Mekakucity Actors</v>
      </c>
      <c r="O46" s="28">
        <f>IF(Completed!$B$45&lt;&gt;"",Completed!$B$45,"")</f>
        <v>1</v>
      </c>
      <c r="P46" s="28">
        <f ca="1">IF($N$46&lt;&gt;"", INDIRECT("'Tracker'!"&amp;ADDRESS(MATCH($N$46, Tracker[Anime Name], 0) + 2, 3)), "")</f>
        <v>12</v>
      </c>
      <c r="Q46" s="22" t="str">
        <f ca="1">IF($N$46&lt;&gt;"", INDIRECT("'Tracker'!"&amp;ADDRESS(MATCH($N$46, Tracker[Anime Name], 0) + 2, 4)), "")</f>
        <v>B</v>
      </c>
      <c r="R46" s="22" t="str">
        <f ca="1">IF($N$46&lt;&gt;"", INDIRECT("'Tracker'!"&amp;ADDRESS(MATCH($N$46, Tracker[Anime Name], 0) + 2, 5)), "")</f>
        <v>720p</v>
      </c>
      <c r="S46" s="22" t="str">
        <f ca="1">IF($N$46&lt;&gt;"", INDIRECT("'Tracker'!"&amp;ADDRESS(MATCH($N$46, Tracker[Anime Name], 0) + 2, 6)), "")</f>
        <v>TV</v>
      </c>
      <c r="T46" s="22" t="str">
        <f ca="1">IF($N$46&lt;&gt;"", INDIRECT("'Tracker'!"&amp;ADDRESS(MATCH($N$46, Tracker[Anime Name], 0) + 2, 7)), "")</f>
        <v>2014A</v>
      </c>
      <c r="U46" s="28" t="str">
        <f ca="1">IF($N$46&lt;&gt;"", INDIRECT("'Tracker'!"&amp;ADDRESS(MATCH($N$46, Tracker[Anime Name], 0) + 2, 8)), "")</f>
        <v>HorribleSubs</v>
      </c>
      <c r="V46" s="53">
        <f>IF(Completed!$C$45&lt;&gt;"",Completed!$C$45,"")</f>
        <v>8.5</v>
      </c>
      <c r="W46" s="53">
        <f>IF(Completed!$D$45&lt;&gt;"",Completed!$D$45,"")</f>
        <v>9</v>
      </c>
      <c r="X46" s="53">
        <f>IF(Completed!$E$45&lt;&gt;"",Completed!$E$45,"")</f>
        <v>5.5</v>
      </c>
      <c r="Y46" s="53">
        <f>IF(Completed!$F$45&lt;&gt;"",Completed!$F$45,"")</f>
        <v>8.5</v>
      </c>
      <c r="Z46" s="65">
        <f>IF(Completed!$G$45&lt;&gt;"",Completed!$G$45,"")</f>
        <v>8.4912060301507548</v>
      </c>
      <c r="AA46" s="75">
        <f>IF(Completed!$H$45&lt;&gt;"",Completed!$H$45,"")</f>
        <v>8.5125944584382882</v>
      </c>
      <c r="AB46" s="54">
        <f>IF(Completed!$I$45&lt;&gt;"",Completed!$I$45,"")</f>
        <v>41785</v>
      </c>
      <c r="AC46" s="54">
        <f>IF(Completed!$J$45&lt;&gt;"",Completed!$J$45,"")</f>
        <v>41818</v>
      </c>
      <c r="AD46" s="66" t="str">
        <f>IF(Completed!$K$45&lt;&gt;"",Completed!$K$45,"")</f>
        <v>Ene (Enomoto Takane)</v>
      </c>
      <c r="AE46" s="66" t="str">
        <f>IF(Completed!$L$45&lt;&gt;"",Completed!$L$45,"")</f>
        <v>Plot is a bit confusing to follow, but was a good show overall. Ayano needs more screentime.</v>
      </c>
    </row>
    <row r="47" spans="1:31">
      <c r="A47" s="100"/>
      <c r="B47" s="101"/>
      <c r="C47" s="101"/>
      <c r="D47" s="101"/>
      <c r="E47" s="101"/>
      <c r="F47" s="101"/>
      <c r="G47" s="101"/>
      <c r="H47" s="101"/>
      <c r="J47" s="21" t="str">
        <f>IF(Backlog!$A$46&lt;&gt;"",Backlog!$A$46,"")</f>
        <v>The World God Only Knows II</v>
      </c>
      <c r="K47" s="28">
        <f>IF(Backlog!$B$46&lt;&gt;"",Backlog!$B$46,"")</f>
        <v>2</v>
      </c>
      <c r="L47" s="29" t="str">
        <f>IF(Backlog!$C$46&lt;&gt;"",Backlog!$C$46,"")</f>
        <v>DL</v>
      </c>
      <c r="N47" s="21" t="str">
        <f>IF(Completed!$A$46&lt;&gt;"",Completed!$A$46,"")</f>
        <v>Gochuumon wa Usagi Desu ka?</v>
      </c>
      <c r="O47" s="28">
        <f>IF(Completed!$B$46&lt;&gt;"",Completed!$B$46,"")</f>
        <v>1</v>
      </c>
      <c r="P47" s="28">
        <f ca="1">IF($N$47&lt;&gt;"", INDIRECT("'Tracker'!"&amp;ADDRESS(MATCH($N$47, Tracker[Anime Name], 0) + 2, 3)), "")</f>
        <v>12</v>
      </c>
      <c r="Q47" s="22" t="str">
        <f ca="1">IF($N$47&lt;&gt;"", INDIRECT("'Tracker'!"&amp;ADDRESS(MATCH($N$47, Tracker[Anime Name], 0) + 2, 4)), "")</f>
        <v>B</v>
      </c>
      <c r="R47" s="22" t="str">
        <f ca="1">IF($N$47&lt;&gt;"", INDIRECT("'Tracker'!"&amp;ADDRESS(MATCH($N$47, Tracker[Anime Name], 0) + 2, 5)), "")</f>
        <v>720p</v>
      </c>
      <c r="S47" s="22" t="str">
        <f ca="1">IF($N$47&lt;&gt;"", INDIRECT("'Tracker'!"&amp;ADDRESS(MATCH($N$47, Tracker[Anime Name], 0) + 2, 6)), "")</f>
        <v>TV</v>
      </c>
      <c r="T47" s="22" t="str">
        <f ca="1">IF($N$47&lt;&gt;"", INDIRECT("'Tracker'!"&amp;ADDRESS(MATCH($N$47, Tracker[Anime Name], 0) + 2, 7)), "")</f>
        <v>2014A</v>
      </c>
      <c r="U47" s="28" t="str">
        <f ca="1">IF($N$47&lt;&gt;"", INDIRECT("'Tracker'!"&amp;ADDRESS(MATCH($N$47, Tracker[Anime Name], 0) + 2, 8)), "")</f>
        <v>Vivid, EveTaku</v>
      </c>
      <c r="V47" s="53">
        <f>IF(Completed!$C$46&lt;&gt;"",Completed!$C$46,"")</f>
        <v>4.5</v>
      </c>
      <c r="W47" s="53">
        <f>IF(Completed!$D$46&lt;&gt;"",Completed!$D$46,"")</f>
        <v>9</v>
      </c>
      <c r="X47" s="53">
        <f>IF(Completed!$E$46&lt;&gt;"",Completed!$E$46,"")</f>
        <v>10</v>
      </c>
      <c r="Y47" s="53">
        <f>IF(Completed!$F$46&lt;&gt;"",Completed!$F$46,"")</f>
        <v>9.5</v>
      </c>
      <c r="Z47" s="65">
        <f>IF(Completed!$G$46&lt;&gt;"",Completed!$G$46,"")</f>
        <v>8.4723618090452266</v>
      </c>
      <c r="AA47" s="75">
        <f>IF(Completed!$H$46&lt;&gt;"",Completed!$H$46,"")</f>
        <v>8.4937027707808568</v>
      </c>
      <c r="AB47" s="54">
        <f>IF(Completed!$I$46&lt;&gt;"",Completed!$I$46,"")</f>
        <v>41762</v>
      </c>
      <c r="AC47" s="54">
        <f>IF(Completed!$J$46&lt;&gt;"",Completed!$J$46,"")</f>
        <v>41820</v>
      </c>
      <c r="AD47" s="66" t="str">
        <f>IF(Completed!$K$46&lt;&gt;"",Completed!$K$46,"")</f>
        <v>Kafu Chino</v>
      </c>
      <c r="AE47" s="66" t="str">
        <f>IF(Completed!$L$46&lt;&gt;"",Completed!$L$46,"")</f>
        <v/>
      </c>
    </row>
    <row r="48" spans="1:31">
      <c r="A48" s="100"/>
      <c r="B48" s="101"/>
      <c r="C48" s="101"/>
      <c r="D48" s="101"/>
      <c r="E48" s="101"/>
      <c r="F48" s="101"/>
      <c r="G48" s="101"/>
      <c r="H48" s="101"/>
      <c r="J48" s="21" t="str">
        <f>IF(Backlog!$A$47&lt;&gt;"",Backlog!$A$47,"")</f>
        <v>Toshokan Sensou</v>
      </c>
      <c r="K48" s="28">
        <f>IF(Backlog!$B$47&lt;&gt;"",Backlog!$B$47,"")</f>
        <v>1</v>
      </c>
      <c r="L48" s="29" t="str">
        <f>IF(Backlog!$C$47&lt;&gt;"",Backlog!$C$47,"")</f>
        <v>DL</v>
      </c>
      <c r="N48" s="21" t="str">
        <f>IF(Completed!$A$47&lt;&gt;"",Completed!$A$47,"")</f>
        <v>Ryuugajou Nanana no Maizoukin</v>
      </c>
      <c r="O48" s="28">
        <f>IF(Completed!$B$47&lt;&gt;"",Completed!$B$47,"")</f>
        <v>1</v>
      </c>
      <c r="P48" s="28">
        <f ca="1">IF($N$48&lt;&gt;"", INDIRECT("'Tracker'!"&amp;ADDRESS(MATCH($N$48, Tracker[Anime Name], 0) + 2, 3)), "")</f>
        <v>11</v>
      </c>
      <c r="Q48" s="22" t="str">
        <f ca="1">IF($N$48&lt;&gt;"", INDIRECT("'Tracker'!"&amp;ADDRESS(MATCH($N$48, Tracker[Anime Name], 0) + 2, 4)), "")</f>
        <v>B</v>
      </c>
      <c r="R48" s="22" t="str">
        <f ca="1">IF($N$48&lt;&gt;"", INDIRECT("'Tracker'!"&amp;ADDRESS(MATCH($N$48, Tracker[Anime Name], 0) + 2, 5)), "")</f>
        <v>720p</v>
      </c>
      <c r="S48" s="22" t="str">
        <f ca="1">IF($N$48&lt;&gt;"", INDIRECT("'Tracker'!"&amp;ADDRESS(MATCH($N$48, Tracker[Anime Name], 0) + 2, 6)), "")</f>
        <v>TV</v>
      </c>
      <c r="T48" s="22" t="str">
        <f ca="1">IF($N$48&lt;&gt;"", INDIRECT("'Tracker'!"&amp;ADDRESS(MATCH($N$48, Tracker[Anime Name], 0) + 2, 7)), "")</f>
        <v>2014A</v>
      </c>
      <c r="U48" s="28" t="str">
        <f ca="1">IF($N$48&lt;&gt;"", INDIRECT("'Tracker'!"&amp;ADDRESS(MATCH($N$48, Tracker[Anime Name], 0) + 2, 8)), "")</f>
        <v>FFF</v>
      </c>
      <c r="V48" s="53">
        <f>IF(Completed!$C$47&lt;&gt;"",Completed!$C$47,"")</f>
        <v>9</v>
      </c>
      <c r="W48" s="53">
        <f>IF(Completed!$D$47&lt;&gt;"",Completed!$D$47,"")</f>
        <v>8.5</v>
      </c>
      <c r="X48" s="53">
        <f>IF(Completed!$E$47&lt;&gt;"",Completed!$E$47,"")</f>
        <v>5.5</v>
      </c>
      <c r="Y48" s="53">
        <f>IF(Completed!$F$47&lt;&gt;"",Completed!$F$47,"")</f>
        <v>8.5</v>
      </c>
      <c r="Z48" s="65">
        <f>IF(Completed!$G$47&lt;&gt;"",Completed!$G$47,"")</f>
        <v>8.4484924623115578</v>
      </c>
      <c r="AA48" s="75">
        <f>IF(Completed!$H$47&lt;&gt;"",Completed!$H$47,"")</f>
        <v>8.4697732997481108</v>
      </c>
      <c r="AB48" s="54">
        <f>IF(Completed!$I$47&lt;&gt;"",Completed!$I$47,"")</f>
        <v>41786</v>
      </c>
      <c r="AC48" s="54">
        <f>IF(Completed!$J$47&lt;&gt;"",Completed!$J$47,"")</f>
        <v>41812</v>
      </c>
      <c r="AD48" s="66" t="str">
        <f>IF(Completed!$K$47&lt;&gt;"",Completed!$K$47,"")</f>
        <v>Ryuugajou Nanana</v>
      </c>
      <c r="AE48" s="66" t="str">
        <f>IF(Completed!$L$47&lt;&gt;"",Completed!$L$47,"")</f>
        <v/>
      </c>
    </row>
    <row r="49" spans="1:31">
      <c r="A49" s="100"/>
      <c r="B49" s="101"/>
      <c r="C49" s="101"/>
      <c r="D49" s="101"/>
      <c r="E49" s="101"/>
      <c r="F49" s="101"/>
      <c r="G49" s="101"/>
      <c r="H49" s="101"/>
      <c r="J49" s="21" t="str">
        <f>IF(Backlog!$A$48&lt;&gt;"",Backlog!$A$48,"")</f>
        <v>Uchouten Kazoku</v>
      </c>
      <c r="K49" s="28">
        <f>IF(Backlog!$B$48&lt;&gt;"",Backlog!$B$48,"")</f>
        <v>1</v>
      </c>
      <c r="L49" s="29" t="str">
        <f>IF(Backlog!$C$48&lt;&gt;"",Backlog!$C$48,"")</f>
        <v>DL</v>
      </c>
      <c r="N49" s="21" t="str">
        <f>IF(Completed!$A$48&lt;&gt;"",Completed!$A$48,"")</f>
        <v>Sakurasou no Pet Na Kanojo</v>
      </c>
      <c r="O49" s="28">
        <f>IF(Completed!$B$48&lt;&gt;"",Completed!$B$48,"")</f>
        <v>1</v>
      </c>
      <c r="P49" s="28">
        <f ca="1">IF($N$49&lt;&gt;"", INDIRECT("'Tracker'!"&amp;ADDRESS(MATCH($N$49, Tracker[Anime Name], 0) + 2, 3)), "")</f>
        <v>24</v>
      </c>
      <c r="Q49" s="22" t="str">
        <f ca="1">IF($N$49&lt;&gt;"", INDIRECT("'Tracker'!"&amp;ADDRESS(MATCH($N$49, Tracker[Anime Name], 0) + 2, 4)), "")</f>
        <v>A</v>
      </c>
      <c r="R49" s="22" t="str">
        <f ca="1">IF($N$49&lt;&gt;"", INDIRECT("'Tracker'!"&amp;ADDRESS(MATCH($N$49, Tracker[Anime Name], 0) + 2, 5)), "")</f>
        <v>720p</v>
      </c>
      <c r="S49" s="22" t="str">
        <f ca="1">IF($N$49&lt;&gt;"", INDIRECT("'Tracker'!"&amp;ADDRESS(MATCH($N$49, Tracker[Anime Name], 0) + 2, 6)), "")</f>
        <v>BD</v>
      </c>
      <c r="T49" s="22" t="str">
        <f ca="1">IF($N$49&lt;&gt;"", INDIRECT("'Tracker'!"&amp;ADDRESS(MATCH($N$49, Tracker[Anime Name], 0) + 2, 7)), "")</f>
        <v>2012C</v>
      </c>
      <c r="U49" s="28" t="str">
        <f ca="1">IF($N$49&lt;&gt;"", INDIRECT("'Tracker'!"&amp;ADDRESS(MATCH($N$49, Tracker[Anime Name], 0) + 2, 8)), "")</f>
        <v>Coalgirls, EveTaku</v>
      </c>
      <c r="V49" s="53">
        <f>IF(Completed!$C$48&lt;&gt;"",Completed!$C$48,"")</f>
        <v>8.5</v>
      </c>
      <c r="W49" s="53">
        <f>IF(Completed!$D$48&lt;&gt;"",Completed!$D$48,"")</f>
        <v>8</v>
      </c>
      <c r="X49" s="53">
        <f>IF(Completed!$E$48&lt;&gt;"",Completed!$E$48,"")</f>
        <v>5</v>
      </c>
      <c r="Y49" s="53">
        <f>IF(Completed!$F$48&lt;&gt;"",Completed!$F$48,"")</f>
        <v>9</v>
      </c>
      <c r="Z49" s="65">
        <f>IF(Completed!$G$48&lt;&gt;"",Completed!$G$48,"")</f>
        <v>8.4484924623115578</v>
      </c>
      <c r="AA49" s="75">
        <f>IF(Completed!$H$48&lt;&gt;"",Completed!$H$48,"")</f>
        <v>8.4697732997481108</v>
      </c>
      <c r="AB49" s="54">
        <f>IF(Completed!$I$48&lt;&gt;"",Completed!$I$48,"")</f>
        <v>41261</v>
      </c>
      <c r="AC49" s="54">
        <f>IF(Completed!$J$48&lt;&gt;"",Completed!$J$48,"")</f>
        <v>41359</v>
      </c>
      <c r="AD49" s="66" t="str">
        <f>IF(Completed!$K$48&lt;&gt;"",Completed!$K$48,"")</f>
        <v>Shiina Mashiro</v>
      </c>
      <c r="AE49" s="66" t="str">
        <f>IF(Completed!$L$48&lt;&gt;"",Completed!$L$48,"")</f>
        <v/>
      </c>
    </row>
    <row r="50" spans="1:31">
      <c r="A50" s="100"/>
      <c r="B50" s="101"/>
      <c r="C50" s="101"/>
      <c r="D50" s="101"/>
      <c r="E50" s="101"/>
      <c r="F50" s="101"/>
      <c r="G50" s="101"/>
      <c r="H50" s="101"/>
      <c r="J50" s="21" t="str">
        <f>IF(Backlog!$A$49&lt;&gt;"",Backlog!$A$49,"")</f>
        <v>Welcome to the N.H.K!</v>
      </c>
      <c r="K50" s="28">
        <f>IF(Backlog!$B$49&lt;&gt;"",Backlog!$B$49,"")</f>
        <v>1</v>
      </c>
      <c r="L50" s="29" t="str">
        <f>IF(Backlog!$C$49&lt;&gt;"",Backlog!$C$49,"")</f>
        <v>DL</v>
      </c>
      <c r="N50" s="21" t="str">
        <f>IF(Completed!$A$49&lt;&gt;"",Completed!$A$49,"")</f>
        <v>Noragami</v>
      </c>
      <c r="O50" s="28">
        <f>IF(Completed!$B$49&lt;&gt;"",Completed!$B$49,"")</f>
        <v>1</v>
      </c>
      <c r="P50" s="28">
        <f ca="1">IF($N$50&lt;&gt;"", INDIRECT("'Tracker'!"&amp;ADDRESS(MATCH($N$50, Tracker[Anime Name], 0) + 2, 3)), "")</f>
        <v>12</v>
      </c>
      <c r="Q50" s="22" t="str">
        <f ca="1">IF($N$50&lt;&gt;"", INDIRECT("'Tracker'!"&amp;ADDRESS(MATCH($N$50, Tracker[Anime Name], 0) + 2, 4)), "")</f>
        <v>B</v>
      </c>
      <c r="R50" s="22" t="str">
        <f ca="1">IF($N$50&lt;&gt;"", INDIRECT("'Tracker'!"&amp;ADDRESS(MATCH($N$50, Tracker[Anime Name], 0) + 2, 5)), "")</f>
        <v>720p</v>
      </c>
      <c r="S50" s="22" t="str">
        <f ca="1">IF($N$50&lt;&gt;"", INDIRECT("'Tracker'!"&amp;ADDRESS(MATCH($N$50, Tracker[Anime Name], 0) + 2, 6)), "")</f>
        <v>TV</v>
      </c>
      <c r="T50" s="22" t="str">
        <f ca="1">IF($N$50&lt;&gt;"", INDIRECT("'Tracker'!"&amp;ADDRESS(MATCH($N$50, Tracker[Anime Name], 0) + 2, 7)), "")</f>
        <v>2013D</v>
      </c>
      <c r="U50" s="28" t="str">
        <f ca="1">IF($N$50&lt;&gt;"", INDIRECT("'Tracker'!"&amp;ADDRESS(MATCH($N$50, Tracker[Anime Name], 0) + 2, 8)), "")</f>
        <v>FFF</v>
      </c>
      <c r="V50" s="53">
        <f>IF(Completed!$C$49&lt;&gt;"",Completed!$C$49,"")</f>
        <v>9</v>
      </c>
      <c r="W50" s="53">
        <f>IF(Completed!$D$49&lt;&gt;"",Completed!$D$49,"")</f>
        <v>8.5</v>
      </c>
      <c r="X50" s="53">
        <f>IF(Completed!$E$49&lt;&gt;"",Completed!$E$49,"")</f>
        <v>5</v>
      </c>
      <c r="Y50" s="53">
        <f>IF(Completed!$F$49&lt;&gt;"",Completed!$F$49,"")</f>
        <v>8.5</v>
      </c>
      <c r="Z50" s="65">
        <f>IF(Completed!$G$49&lt;&gt;"",Completed!$G$49,"")</f>
        <v>8.424623115577889</v>
      </c>
      <c r="AA50" s="75">
        <f>IF(Completed!$H$49&lt;&gt;"",Completed!$H$49,"")</f>
        <v>8.4458438287153648</v>
      </c>
      <c r="AB50" s="54">
        <f>IF(Completed!$I$49&lt;&gt;"",Completed!$I$49,"")</f>
        <v>41647</v>
      </c>
      <c r="AC50" s="54">
        <f>IF(Completed!$J$49&lt;&gt;"",Completed!$J$49,"")</f>
        <v>41726</v>
      </c>
      <c r="AD50" s="66" t="str">
        <f>IF(Completed!$K$49&lt;&gt;"",Completed!$K$49,"")</f>
        <v>Iki Hiyori</v>
      </c>
      <c r="AE50" s="66" t="str">
        <f>IF(Completed!$L$49&lt;&gt;"",Completed!$L$49,"")</f>
        <v/>
      </c>
    </row>
    <row r="51" spans="1:31">
      <c r="A51" s="100"/>
      <c r="B51" s="101"/>
      <c r="C51" s="101"/>
      <c r="D51" s="101"/>
      <c r="E51" s="101"/>
      <c r="F51" s="101"/>
      <c r="G51" s="101"/>
      <c r="H51" s="101"/>
      <c r="J51" s="21" t="str">
        <f>IF(Backlog!$A$50&lt;&gt;"",Backlog!$A$50,"")</f>
        <v>White Album</v>
      </c>
      <c r="K51" s="28">
        <f>IF(Backlog!$B$50&lt;&gt;"",Backlog!$B$50,"")</f>
        <v>1</v>
      </c>
      <c r="L51" s="29" t="str">
        <f>IF(Backlog!$C$50&lt;&gt;"",Backlog!$C$50,"")</f>
        <v>DL</v>
      </c>
      <c r="N51" s="21" t="str">
        <f>IF(Completed!$A$50&lt;&gt;"",Completed!$A$50,"")</f>
        <v>K-On!!</v>
      </c>
      <c r="O51" s="28">
        <f>IF(Completed!$B$50&lt;&gt;"",Completed!$B$50,"")</f>
        <v>2</v>
      </c>
      <c r="P51" s="28">
        <f ca="1">IF($N$51&lt;&gt;"", INDIRECT("'Tracker'!"&amp;ADDRESS(MATCH($N$51, Tracker[Anime Name], 0) + 2, 3)), "")</f>
        <v>24</v>
      </c>
      <c r="Q51" s="22" t="str">
        <f ca="1">IF($N$51&lt;&gt;"", INDIRECT("'Tracker'!"&amp;ADDRESS(MATCH($N$51, Tracker[Anime Name], 0) + 2, 4)), "")</f>
        <v>A</v>
      </c>
      <c r="R51" s="22" t="str">
        <f ca="1">IF($N$51&lt;&gt;"", INDIRECT("'Tracker'!"&amp;ADDRESS(MATCH($N$51, Tracker[Anime Name], 0) + 2, 5)), "")</f>
        <v>720p</v>
      </c>
      <c r="S51" s="22" t="str">
        <f ca="1">IF($N$51&lt;&gt;"", INDIRECT("'Tracker'!"&amp;ADDRESS(MATCH($N$51, Tracker[Anime Name], 0) + 2, 6)), "")</f>
        <v>BD</v>
      </c>
      <c r="T51" s="22" t="str">
        <f ca="1">IF($N$51&lt;&gt;"", INDIRECT("'Tracker'!"&amp;ADDRESS(MATCH($N$51, Tracker[Anime Name], 0) + 2, 7)), "")</f>
        <v>2010A</v>
      </c>
      <c r="U51" s="28" t="str">
        <f ca="1">IF($N$51&lt;&gt;"", INDIRECT("'Tracker'!"&amp;ADDRESS(MATCH($N$51, Tracker[Anime Name], 0) + 2, 8)), "")</f>
        <v>Elysium</v>
      </c>
      <c r="V51" s="53">
        <f>IF(Completed!$C$50&lt;&gt;"",Completed!$C$50,"")</f>
        <v>6.5</v>
      </c>
      <c r="W51" s="53">
        <f>IF(Completed!$D$50&lt;&gt;"",Completed!$D$50,"")</f>
        <v>7.5</v>
      </c>
      <c r="X51" s="53">
        <f>IF(Completed!$E$50&lt;&gt;"",Completed!$E$50,"")</f>
        <v>9</v>
      </c>
      <c r="Y51" s="53">
        <f>IF(Completed!$F$50&lt;&gt;"",Completed!$F$50,"")</f>
        <v>9.5</v>
      </c>
      <c r="Z51" s="65">
        <f>IF(Completed!$G$50&lt;&gt;"",Completed!$G$50,"")</f>
        <v>8.3881909547738704</v>
      </c>
      <c r="AA51" s="75">
        <f>IF(Completed!$H$50&lt;&gt;"",Completed!$H$50,"")</f>
        <v>8.4093198992443323</v>
      </c>
      <c r="AB51" s="54">
        <f>IF(Completed!$I$50&lt;&gt;"",Completed!$I$50,"")</f>
        <v>41338</v>
      </c>
      <c r="AC51" s="54">
        <f>IF(Completed!$J$50&lt;&gt;"",Completed!$J$50,"")</f>
        <v>41340</v>
      </c>
      <c r="AD51" s="66" t="str">
        <f>IF(Completed!$K$50&lt;&gt;"",Completed!$K$50,"")</f>
        <v>Nakano Azusa</v>
      </c>
      <c r="AE51" s="66" t="str">
        <f>IF(Completed!$L$50&lt;&gt;"",Completed!$L$50,"")</f>
        <v>Deserves more than what it gets called online</v>
      </c>
    </row>
    <row r="52" spans="1:31">
      <c r="A52" s="100"/>
      <c r="B52" s="101"/>
      <c r="C52" s="101"/>
      <c r="D52" s="101"/>
      <c r="E52" s="101"/>
      <c r="F52" s="101"/>
      <c r="G52" s="101"/>
      <c r="H52" s="101"/>
      <c r="J52" s="21" t="str">
        <f>IF(Backlog!$A$51&lt;&gt;"",Backlog!$A$51,"")</f>
        <v>Zero no Tsukaima</v>
      </c>
      <c r="K52" s="28">
        <f>IF(Backlog!$B$51&lt;&gt;"",Backlog!$B$51,"")</f>
        <v>1</v>
      </c>
      <c r="L52" s="29" t="str">
        <f>IF(Backlog!$C$51&lt;&gt;"",Backlog!$C$51,"")</f>
        <v>DL</v>
      </c>
      <c r="N52" s="21" t="str">
        <f>IF(Completed!$A$51&lt;&gt;"",Completed!$A$51,"")</f>
        <v>Kyoukai no Kanata</v>
      </c>
      <c r="O52" s="28">
        <f>IF(Completed!$B$51&lt;&gt;"",Completed!$B$51,"")</f>
        <v>1</v>
      </c>
      <c r="P52" s="28">
        <f ca="1">IF($N$52&lt;&gt;"", INDIRECT("'Tracker'!"&amp;ADDRESS(MATCH($N$52, Tracker[Anime Name], 0) + 2, 3)), "")</f>
        <v>12</v>
      </c>
      <c r="Q52" s="22" t="str">
        <f ca="1">IF($N$52&lt;&gt;"", INDIRECT("'Tracker'!"&amp;ADDRESS(MATCH($N$52, Tracker[Anime Name], 0) + 2, 4)), "")</f>
        <v>B</v>
      </c>
      <c r="R52" s="22" t="str">
        <f ca="1">IF($N$52&lt;&gt;"", INDIRECT("'Tracker'!"&amp;ADDRESS(MATCH($N$52, Tracker[Anime Name], 0) + 2, 5)), "")</f>
        <v>720p</v>
      </c>
      <c r="S52" s="22" t="str">
        <f ca="1">IF($N$52&lt;&gt;"", INDIRECT("'Tracker'!"&amp;ADDRESS(MATCH($N$52, Tracker[Anime Name], 0) + 2, 6)), "")</f>
        <v>TV</v>
      </c>
      <c r="T52" s="22" t="str">
        <f ca="1">IF($N$52&lt;&gt;"", INDIRECT("'Tracker'!"&amp;ADDRESS(MATCH($N$52, Tracker[Anime Name], 0) + 2, 7)), "")</f>
        <v>2013C</v>
      </c>
      <c r="U52" s="28" t="str">
        <f ca="1">IF($N$52&lt;&gt;"", INDIRECT("'Tracker'!"&amp;ADDRESS(MATCH($N$52, Tracker[Anime Name], 0) + 2, 8)), "")</f>
        <v>UTW</v>
      </c>
      <c r="V52" s="53">
        <f>IF(Completed!$C$51&lt;&gt;"",Completed!$C$51,"")</f>
        <v>8.5</v>
      </c>
      <c r="W52" s="53">
        <f>IF(Completed!$D$51&lt;&gt;"",Completed!$D$51,"")</f>
        <v>8.5</v>
      </c>
      <c r="X52" s="53">
        <f>IF(Completed!$E$51&lt;&gt;"",Completed!$E$51,"")</f>
        <v>6</v>
      </c>
      <c r="Y52" s="53">
        <f>IF(Completed!$F$51&lt;&gt;"",Completed!$F$51,"")</f>
        <v>8.5</v>
      </c>
      <c r="Z52" s="65">
        <f>IF(Completed!$G$51&lt;&gt;"",Completed!$G$51,"")</f>
        <v>8.3806532663316595</v>
      </c>
      <c r="AA52" s="75">
        <f>IF(Completed!$H$51&lt;&gt;"",Completed!$H$51,"")</f>
        <v>8.4017632241813622</v>
      </c>
      <c r="AB52" s="54">
        <f>IF(Completed!$I$51&lt;&gt;"",Completed!$I$51,"")</f>
        <v>41550</v>
      </c>
      <c r="AC52" s="54">
        <f>IF(Completed!$J$51&lt;&gt;"",Completed!$J$51,"")</f>
        <v>41628</v>
      </c>
      <c r="AD52" s="66" t="str">
        <f>IF(Completed!$K$51&lt;&gt;"",Completed!$K$51,"")</f>
        <v>Ai</v>
      </c>
      <c r="AE52" s="66" t="str">
        <f>IF(Completed!$L$51&lt;&gt;"",Completed!$L$51,"")</f>
        <v>KyoAni action scenes are cool</v>
      </c>
    </row>
    <row r="53" spans="1:31">
      <c r="A53" s="100"/>
      <c r="B53" s="101"/>
      <c r="C53" s="101"/>
      <c r="D53" s="101"/>
      <c r="E53" s="101"/>
      <c r="F53" s="101"/>
      <c r="G53" s="101"/>
      <c r="H53" s="101"/>
      <c r="J53" s="21" t="str">
        <f>IF(Backlog!$A$52&lt;&gt;"",Backlog!$A$52,"")</f>
        <v>Zero no Tsukaima F</v>
      </c>
      <c r="K53" s="28">
        <f>IF(Backlog!$B$52&lt;&gt;"",Backlog!$B$52,"")</f>
        <v>2</v>
      </c>
      <c r="L53" s="29" t="str">
        <f>IF(Backlog!$C$52&lt;&gt;"",Backlog!$C$52,"")</f>
        <v>DL</v>
      </c>
      <c r="N53" s="21" t="str">
        <f>IF(Completed!$A$52&lt;&gt;"",Completed!$A$52,"")</f>
        <v>Lucky ★ Star</v>
      </c>
      <c r="O53" s="28">
        <f>IF(Completed!$B$52&lt;&gt;"",Completed!$B$52,"")</f>
        <v>1</v>
      </c>
      <c r="P53" s="28">
        <f ca="1">IF($N$53&lt;&gt;"", INDIRECT("'Tracker'!"&amp;ADDRESS(MATCH($N$53, Tracker[Anime Name], 0) + 2, 3)), "")</f>
        <v>24</v>
      </c>
      <c r="Q53" s="22" t="str">
        <f ca="1">IF($N$53&lt;&gt;"", INDIRECT("'Tracker'!"&amp;ADDRESS(MATCH($N$53, Tracker[Anime Name], 0) + 2, 4)), "")</f>
        <v>A</v>
      </c>
      <c r="R53" s="22" t="str">
        <f ca="1">IF($N$53&lt;&gt;"", INDIRECT("'Tracker'!"&amp;ADDRESS(MATCH($N$53, Tracker[Anime Name], 0) + 2, 5)), "")</f>
        <v>720p</v>
      </c>
      <c r="S53" s="22" t="str">
        <f ca="1">IF($N$53&lt;&gt;"", INDIRECT("'Tracker'!"&amp;ADDRESS(MATCH($N$53, Tracker[Anime Name], 0) + 2, 6)), "")</f>
        <v>BD</v>
      </c>
      <c r="T53" s="22" t="str">
        <f ca="1">IF($N$53&lt;&gt;"", INDIRECT("'Tracker'!"&amp;ADDRESS(MATCH($N$53, Tracker[Anime Name], 0) + 2, 7)), "")</f>
        <v>2007A</v>
      </c>
      <c r="U53" s="28" t="str">
        <f ca="1">IF($N$53&lt;&gt;"", INDIRECT("'Tracker'!"&amp;ADDRESS(MATCH($N$53, Tracker[Anime Name], 0) + 2, 8)), "")</f>
        <v>Doki</v>
      </c>
      <c r="V53" s="53">
        <f>IF(Completed!$C$52&lt;&gt;"",Completed!$C$52,"")</f>
        <v>4</v>
      </c>
      <c r="W53" s="53">
        <f>IF(Completed!$D$52&lt;&gt;"",Completed!$D$52,"")</f>
        <v>9</v>
      </c>
      <c r="X53" s="53">
        <f>IF(Completed!$E$52&lt;&gt;"",Completed!$E$52,"")</f>
        <v>10</v>
      </c>
      <c r="Y53" s="53">
        <f>IF(Completed!$F$52&lt;&gt;"",Completed!$F$52,"")</f>
        <v>9.5</v>
      </c>
      <c r="Z53" s="65">
        <f>IF(Completed!$G$52&lt;&gt;"",Completed!$G$52,"")</f>
        <v>8.3806532663316595</v>
      </c>
      <c r="AA53" s="75">
        <f>IF(Completed!$H$52&lt;&gt;"",Completed!$H$52,"")</f>
        <v>8.4017632241813622</v>
      </c>
      <c r="AB53" s="54">
        <f>IF(Completed!$I$52&lt;&gt;"",Completed!$I$52,"")</f>
        <v>41300</v>
      </c>
      <c r="AC53" s="54">
        <f>IF(Completed!$J$52&lt;&gt;"",Completed!$J$52,"")</f>
        <v>41302</v>
      </c>
      <c r="AD53" s="66" t="str">
        <f>IF(Completed!$K$52&lt;&gt;"",Completed!$K$52,"")</f>
        <v>Hiiragi Kagami</v>
      </c>
      <c r="AE53" s="66" t="str">
        <f>IF(Completed!$L$52&lt;&gt;"",Completed!$L$52,"")</f>
        <v>Much better than I thought it would be</v>
      </c>
    </row>
    <row r="54" spans="1:31">
      <c r="A54" s="100"/>
      <c r="B54" s="101"/>
      <c r="C54" s="101"/>
      <c r="D54" s="101"/>
      <c r="E54" s="101"/>
      <c r="F54" s="101"/>
      <c r="G54" s="101"/>
      <c r="H54" s="101"/>
      <c r="J54" s="21" t="str">
        <f>IF(Backlog!$A$53&lt;&gt;"",Backlog!$A$53,"")</f>
        <v>Zero no Tsukaima Futatsuki no Kishi</v>
      </c>
      <c r="K54" s="28">
        <f>IF(Backlog!$B$53&lt;&gt;"",Backlog!$B$53,"")</f>
        <v>3</v>
      </c>
      <c r="L54" s="29" t="str">
        <f>IF(Backlog!$C$53&lt;&gt;"",Backlog!$C$53,"")</f>
        <v>DL</v>
      </c>
      <c r="N54" s="21" t="str">
        <f>IF(Completed!$A$53&lt;&gt;"",Completed!$A$53,"")</f>
        <v>Maoyuu Maou Yuusha</v>
      </c>
      <c r="O54" s="28">
        <f>IF(Completed!$B$53&lt;&gt;"",Completed!$B$53,"")</f>
        <v>1</v>
      </c>
      <c r="P54" s="28">
        <f ca="1">IF($N$54&lt;&gt;"", INDIRECT("'Tracker'!"&amp;ADDRESS(MATCH($N$54, Tracker[Anime Name], 0) + 2, 3)), "")</f>
        <v>12</v>
      </c>
      <c r="Q54" s="22" t="str">
        <f ca="1">IF($N$54&lt;&gt;"", INDIRECT("'Tracker'!"&amp;ADDRESS(MATCH($N$54, Tracker[Anime Name], 0) + 2, 4)), "")</f>
        <v>A</v>
      </c>
      <c r="R54" s="22" t="str">
        <f ca="1">IF($N$54&lt;&gt;"", INDIRECT("'Tracker'!"&amp;ADDRESS(MATCH($N$54, Tracker[Anime Name], 0) + 2, 5)), "")</f>
        <v>720p</v>
      </c>
      <c r="S54" s="22" t="str">
        <f ca="1">IF($N$54&lt;&gt;"", INDIRECT("'Tracker'!"&amp;ADDRESS(MATCH($N$54, Tracker[Anime Name], 0) + 2, 6)), "")</f>
        <v>BD</v>
      </c>
      <c r="T54" s="22" t="str">
        <f ca="1">IF($N$54&lt;&gt;"", INDIRECT("'Tracker'!"&amp;ADDRESS(MATCH($N$54, Tracker[Anime Name], 0) + 2, 7)), "")</f>
        <v>2012D</v>
      </c>
      <c r="U54" s="28" t="str">
        <f ca="1">IF($N$54&lt;&gt;"", INDIRECT("'Tracker'!"&amp;ADDRESS(MATCH($N$54, Tracker[Anime Name], 0) + 2, 8)), "")</f>
        <v>AnimeNOW</v>
      </c>
      <c r="V54" s="53">
        <f>IF(Completed!$C$53&lt;&gt;"",Completed!$C$53,"")</f>
        <v>9</v>
      </c>
      <c r="W54" s="53">
        <f>IF(Completed!$D$53&lt;&gt;"",Completed!$D$53,"")</f>
        <v>8.5</v>
      </c>
      <c r="X54" s="53">
        <f>IF(Completed!$E$53&lt;&gt;"",Completed!$E$53,"")</f>
        <v>3</v>
      </c>
      <c r="Y54" s="53">
        <f>IF(Completed!$F$53&lt;&gt;"",Completed!$F$53,"")</f>
        <v>8.5</v>
      </c>
      <c r="Z54" s="65">
        <f>IF(Completed!$G$53&lt;&gt;"",Completed!$G$53,"")</f>
        <v>8.3291457286432156</v>
      </c>
      <c r="AA54" s="75">
        <f>IF(Completed!$H$53&lt;&gt;"",Completed!$H$53,"")</f>
        <v>8.3501259445843807</v>
      </c>
      <c r="AB54" s="54">
        <f>IF(Completed!$I$53&lt;&gt;"",Completed!$I$53,"")</f>
        <v>41411</v>
      </c>
      <c r="AC54" s="54">
        <f>IF(Completed!$J$53&lt;&gt;"",Completed!$J$53,"")</f>
        <v>41413</v>
      </c>
      <c r="AD54" s="66" t="str">
        <f>IF(Completed!$K$53&lt;&gt;"",Completed!$K$53,"")</f>
        <v>Onna Mahoutsukai</v>
      </c>
      <c r="AE54" s="66" t="str">
        <f>IF(Completed!$L$53&lt;&gt;"",Completed!$L$53,"")</f>
        <v/>
      </c>
    </row>
    <row r="55" spans="1:31">
      <c r="A55" s="100"/>
      <c r="B55" s="101"/>
      <c r="C55" s="101"/>
      <c r="D55" s="101"/>
      <c r="E55" s="101"/>
      <c r="F55" s="101"/>
      <c r="G55" s="101"/>
      <c r="H55" s="101"/>
      <c r="J55" s="21" t="str">
        <f>IF(Backlog!$A$54&lt;&gt;"",Backlog!$A$54,"")</f>
        <v>Zero no Tsukaima Princes no Rondo</v>
      </c>
      <c r="K55" s="28">
        <f>IF(Backlog!$B$54&lt;&gt;"",Backlog!$B$54,"")</f>
        <v>4</v>
      </c>
      <c r="L55" s="29" t="str">
        <f>IF(Backlog!$C$54&lt;&gt;"",Backlog!$C$54,"")</f>
        <v>DL</v>
      </c>
      <c r="N55" s="21" t="str">
        <f>IF(Completed!$A$54&lt;&gt;"",Completed!$A$54,"")</f>
        <v>Boku wa Tomodachi ga Sukunai NEXT</v>
      </c>
      <c r="O55" s="28">
        <f>IF(Completed!$B$54&lt;&gt;"",Completed!$B$54,"")</f>
        <v>2</v>
      </c>
      <c r="P55" s="28">
        <f ca="1">IF($N$55&lt;&gt;"", INDIRECT("'Tracker'!"&amp;ADDRESS(MATCH($N$55, Tracker[Anime Name], 0) + 2, 3)), "")</f>
        <v>12</v>
      </c>
      <c r="Q55" s="22" t="str">
        <f ca="1">IF($N$55&lt;&gt;"", INDIRECT("'Tracker'!"&amp;ADDRESS(MATCH($N$55, Tracker[Anime Name], 0) + 2, 4)), "")</f>
        <v>A</v>
      </c>
      <c r="R55" s="22" t="str">
        <f ca="1">IF($N$55&lt;&gt;"", INDIRECT("'Tracker'!"&amp;ADDRESS(MATCH($N$55, Tracker[Anime Name], 0) + 2, 5)), "")</f>
        <v>720p</v>
      </c>
      <c r="S55" s="22" t="str">
        <f ca="1">IF($N$55&lt;&gt;"", INDIRECT("'Tracker'!"&amp;ADDRESS(MATCH($N$55, Tracker[Anime Name], 0) + 2, 6)), "")</f>
        <v>TV</v>
      </c>
      <c r="T55" s="22" t="str">
        <f ca="1">IF($N$55&lt;&gt;"", INDIRECT("'Tracker'!"&amp;ADDRESS(MATCH($N$55, Tracker[Anime Name], 0) + 2, 7)), "")</f>
        <v>2012D</v>
      </c>
      <c r="U55" s="28" t="str">
        <f ca="1">IF($N$55&lt;&gt;"", INDIRECT("'Tracker'!"&amp;ADDRESS(MATCH($N$55, Tracker[Anime Name], 0) + 2, 8)), "")</f>
        <v>Mazui</v>
      </c>
      <c r="V55" s="53">
        <f>IF(Completed!$C$54&lt;&gt;"",Completed!$C$54,"")</f>
        <v>9</v>
      </c>
      <c r="W55" s="53">
        <f>IF(Completed!$D$54&lt;&gt;"",Completed!$D$54,"")</f>
        <v>8</v>
      </c>
      <c r="X55" s="53">
        <f>IF(Completed!$E$54&lt;&gt;"",Completed!$E$54,"")</f>
        <v>5.5</v>
      </c>
      <c r="Y55" s="53">
        <f>IF(Completed!$F$54&lt;&gt;"",Completed!$F$54,"")</f>
        <v>8.5</v>
      </c>
      <c r="Z55" s="65">
        <f>IF(Completed!$G$54&lt;&gt;"",Completed!$G$54,"")</f>
        <v>8.3140703517587955</v>
      </c>
      <c r="AA55" s="75">
        <f>IF(Completed!$H$54&lt;&gt;"",Completed!$H$54,"")</f>
        <v>8.3350125944584388</v>
      </c>
      <c r="AB55" s="54">
        <f>IF(Completed!$I$54&lt;&gt;"",Completed!$I$54,"")</f>
        <v>41633</v>
      </c>
      <c r="AC55" s="54">
        <f>IF(Completed!$J$54&lt;&gt;"",Completed!$J$54,"")</f>
        <v>41635</v>
      </c>
      <c r="AD55" s="66" t="str">
        <f>IF(Completed!$K$54&lt;&gt;"",Completed!$K$54,"")</f>
        <v>Shiguma Rika</v>
      </c>
      <c r="AE55" s="66" t="str">
        <f>IF(Completed!$L$54&lt;&gt;"",Completed!$L$54,"")</f>
        <v>Evolved from a harem anime to a pretty well-written romcom</v>
      </c>
    </row>
    <row r="56" spans="1:31">
      <c r="A56" s="100"/>
      <c r="B56" s="101"/>
      <c r="C56" s="101"/>
      <c r="D56" s="101"/>
      <c r="E56" s="101"/>
      <c r="F56" s="101"/>
      <c r="G56" s="101"/>
      <c r="H56" s="101"/>
      <c r="J56" s="21" t="str">
        <f>IF(Backlog!$A$55&lt;&gt;"",Backlog!$A$55,"")</f>
        <v>Aiura</v>
      </c>
      <c r="K56" s="28">
        <f>IF(Backlog!$B$55&lt;&gt;"",Backlog!$B$55,"")</f>
        <v>1</v>
      </c>
      <c r="L56" s="29" t="str">
        <f>IF(Backlog!$C$55&lt;&gt;"",Backlog!$C$55,"")</f>
        <v>NA</v>
      </c>
      <c r="N56" s="21" t="str">
        <f>IF(Completed!$A$55&lt;&gt;"",Completed!$A$55,"")</f>
        <v>Monogatari Series Season 2</v>
      </c>
      <c r="O56" s="28">
        <f>IF(Completed!$B$55&lt;&gt;"",Completed!$B$55,"")</f>
        <v>2</v>
      </c>
      <c r="P56" s="28">
        <f ca="1">IF($N$56&lt;&gt;"", INDIRECT("'Tracker'!"&amp;ADDRESS(MATCH($N$56, Tracker[Anime Name], 0) + 2, 3)), "")</f>
        <v>26</v>
      </c>
      <c r="Q56" s="22" t="str">
        <f ca="1">IF($N$56&lt;&gt;"", INDIRECT("'Tracker'!"&amp;ADDRESS(MATCH($N$56, Tracker[Anime Name], 0) + 2, 4)), "")</f>
        <v>A</v>
      </c>
      <c r="R56" s="22" t="str">
        <f ca="1">IF($N$56&lt;&gt;"", INDIRECT("'Tracker'!"&amp;ADDRESS(MATCH($N$56, Tracker[Anime Name], 0) + 2, 5)), "")</f>
        <v>720p</v>
      </c>
      <c r="S56" s="22" t="str">
        <f ca="1">IF($N$56&lt;&gt;"", INDIRECT("'Tracker'!"&amp;ADDRESS(MATCH($N$56, Tracker[Anime Name], 0) + 2, 6)), "")</f>
        <v>TV</v>
      </c>
      <c r="T56" s="22" t="str">
        <f ca="1">IF($N$56&lt;&gt;"", INDIRECT("'Tracker'!"&amp;ADDRESS(MATCH($N$56, Tracker[Anime Name], 0) + 2, 7)), "")</f>
        <v>2013B</v>
      </c>
      <c r="U56" s="28" t="str">
        <f ca="1">IF($N$56&lt;&gt;"", INDIRECT("'Tracker'!"&amp;ADDRESS(MATCH($N$56, Tracker[Anime Name], 0) + 2, 8)), "")</f>
        <v>HorribleSubs</v>
      </c>
      <c r="V56" s="53">
        <f>IF(Completed!$C$55&lt;&gt;"",Completed!$C$55,"")</f>
        <v>9</v>
      </c>
      <c r="W56" s="53">
        <f>IF(Completed!$D$55&lt;&gt;"",Completed!$D$55,"")</f>
        <v>8</v>
      </c>
      <c r="X56" s="53">
        <f>IF(Completed!$E$55&lt;&gt;"",Completed!$E$55,"")</f>
        <v>5.5</v>
      </c>
      <c r="Y56" s="53">
        <f>IF(Completed!$F$55&lt;&gt;"",Completed!$F$55,"")</f>
        <v>8.5</v>
      </c>
      <c r="Z56" s="65">
        <f>IF(Completed!$G$55&lt;&gt;"",Completed!$G$55,"")</f>
        <v>8.3140703517587955</v>
      </c>
      <c r="AA56" s="75">
        <f>IF(Completed!$H$55&lt;&gt;"",Completed!$H$55,"")</f>
        <v>8.3350125944584388</v>
      </c>
      <c r="AB56" s="54">
        <f>IF(Completed!$I$55&lt;&gt;"",Completed!$I$55,"")</f>
        <v>41461</v>
      </c>
      <c r="AC56" s="54">
        <f>IF(Completed!$J$55&lt;&gt;"",Completed!$J$55,"")</f>
        <v>41638</v>
      </c>
      <c r="AD56" s="66" t="str">
        <f>IF(Completed!$K$55&lt;&gt;"",Completed!$K$55,"")</f>
        <v>Oshino Shinobu</v>
      </c>
      <c r="AE56" s="66" t="str">
        <f>IF(Completed!$L$55&lt;&gt;"",Completed!$L$55,"")</f>
        <v>Kaiki is true best girl though.</v>
      </c>
    </row>
    <row r="57" spans="1:31">
      <c r="A57" s="100"/>
      <c r="B57" s="101"/>
      <c r="C57" s="101"/>
      <c r="D57" s="101"/>
      <c r="E57" s="101"/>
      <c r="F57" s="101"/>
      <c r="G57" s="101"/>
      <c r="H57" s="101"/>
      <c r="J57" s="21" t="str">
        <f>IF(Backlog!$A$56&lt;&gt;"",Backlog!$A$56,"")</f>
        <v>Arakawa Under the Bridge</v>
      </c>
      <c r="K57" s="28">
        <f>IF(Backlog!$B$56&lt;&gt;"",Backlog!$B$56,"")</f>
        <v>1</v>
      </c>
      <c r="L57" s="29" t="str">
        <f>IF(Backlog!$C$56&lt;&gt;"",Backlog!$C$56,"")</f>
        <v>NA</v>
      </c>
      <c r="N57" s="21" t="str">
        <f>IF(Completed!$A$56&lt;&gt;"",Completed!$A$56,"")</f>
        <v>Toaru Majutsu no Index</v>
      </c>
      <c r="O57" s="28">
        <f>IF(Completed!$B$56&lt;&gt;"",Completed!$B$56,"")</f>
        <v>1</v>
      </c>
      <c r="P57" s="28">
        <f ca="1">IF($N$57&lt;&gt;"", INDIRECT("'Tracker'!"&amp;ADDRESS(MATCH($N$57, Tracker[Anime Name], 0) + 2, 3)), "")</f>
        <v>24</v>
      </c>
      <c r="Q57" s="22" t="str">
        <f ca="1">IF($N$57&lt;&gt;"", INDIRECT("'Tracker'!"&amp;ADDRESS(MATCH($N$57, Tracker[Anime Name], 0) + 2, 4)), "")</f>
        <v>A</v>
      </c>
      <c r="R57" s="22" t="str">
        <f ca="1">IF($N$57&lt;&gt;"", INDIRECT("'Tracker'!"&amp;ADDRESS(MATCH($N$57, Tracker[Anime Name], 0) + 2, 5)), "")</f>
        <v>720p</v>
      </c>
      <c r="S57" s="22" t="str">
        <f ca="1">IF($N$57&lt;&gt;"", INDIRECT("'Tracker'!"&amp;ADDRESS(MATCH($N$57, Tracker[Anime Name], 0) + 2, 6)), "")</f>
        <v>BD</v>
      </c>
      <c r="T57" s="22" t="str">
        <f ca="1">IF($N$57&lt;&gt;"", INDIRECT("'Tracker'!"&amp;ADDRESS(MATCH($N$57, Tracker[Anime Name], 0) + 2, 7)), "")</f>
        <v>2008C</v>
      </c>
      <c r="U57" s="28" t="str">
        <f ca="1">IF($N$57&lt;&gt;"", INDIRECT("'Tracker'!"&amp;ADDRESS(MATCH($N$57, Tracker[Anime Name], 0) + 2, 8)), "")</f>
        <v>Coalgirls, Eclipse</v>
      </c>
      <c r="V57" s="53">
        <f>IF(Completed!$C$56&lt;&gt;"",Completed!$C$56,"")</f>
        <v>8.5</v>
      </c>
      <c r="W57" s="53">
        <f>IF(Completed!$D$56&lt;&gt;"",Completed!$D$56,"")</f>
        <v>7.5</v>
      </c>
      <c r="X57" s="53">
        <f>IF(Completed!$E$56&lt;&gt;"",Completed!$E$56,"")</f>
        <v>5</v>
      </c>
      <c r="Y57" s="53">
        <f>IF(Completed!$F$56&lt;&gt;"",Completed!$F$56,"")</f>
        <v>9</v>
      </c>
      <c r="Z57" s="65">
        <f>IF(Completed!$G$56&lt;&gt;"",Completed!$G$56,"")</f>
        <v>8.3140703517587955</v>
      </c>
      <c r="AA57" s="75">
        <f>IF(Completed!$H$56&lt;&gt;"",Completed!$H$56,"")</f>
        <v>8.3350125944584388</v>
      </c>
      <c r="AB57" s="54">
        <f>IF(Completed!$I$56&lt;&gt;"",Completed!$I$56,"")</f>
        <v>41431</v>
      </c>
      <c r="AC57" s="54">
        <f>IF(Completed!$J$56&lt;&gt;"",Completed!$J$56,"")</f>
        <v>41436</v>
      </c>
      <c r="AD57" s="66" t="str">
        <f>IF(Completed!$K$56&lt;&gt;"",Completed!$K$56,"")</f>
        <v>Misaka Mikoto</v>
      </c>
      <c r="AE57" s="66" t="str">
        <f>IF(Completed!$L$56&lt;&gt;"",Completed!$L$56,"")</f>
        <v/>
      </c>
    </row>
    <row r="58" spans="1:31">
      <c r="A58" s="100"/>
      <c r="B58" s="101"/>
      <c r="C58" s="101"/>
      <c r="D58" s="101"/>
      <c r="E58" s="101"/>
      <c r="F58" s="101"/>
      <c r="G58" s="101"/>
      <c r="H58" s="101"/>
      <c r="J58" s="21" t="str">
        <f>IF(Backlog!$A$57&lt;&gt;"",Backlog!$A$57,"")</f>
        <v>Bakumatsu Rock</v>
      </c>
      <c r="K58" s="28">
        <f>IF(Backlog!$B$57&lt;&gt;"",Backlog!$B$57,"")</f>
        <v>1</v>
      </c>
      <c r="L58" s="29" t="str">
        <f>IF(Backlog!$C$57&lt;&gt;"",Backlog!$C$57,"")</f>
        <v>NA</v>
      </c>
      <c r="N58" s="21" t="str">
        <f>IF(Completed!$A$57&lt;&gt;"",Completed!$A$57,"")</f>
        <v>Nisekoi</v>
      </c>
      <c r="O58" s="28">
        <f>IF(Completed!$B$57&lt;&gt;"",Completed!$B$57,"")</f>
        <v>1</v>
      </c>
      <c r="P58" s="28">
        <f ca="1">IF($N$58&lt;&gt;"", INDIRECT("'Tracker'!"&amp;ADDRESS(MATCH($N$58, Tracker[Anime Name], 0) + 2, 3)), "")</f>
        <v>20</v>
      </c>
      <c r="Q58" s="22" t="str">
        <f ca="1">IF($N$58&lt;&gt;"", INDIRECT("'Tracker'!"&amp;ADDRESS(MATCH($N$58, Tracker[Anime Name], 0) + 2, 4)), "")</f>
        <v>B</v>
      </c>
      <c r="R58" s="22" t="str">
        <f ca="1">IF($N$58&lt;&gt;"", INDIRECT("'Tracker'!"&amp;ADDRESS(MATCH($N$58, Tracker[Anime Name], 0) + 2, 5)), "")</f>
        <v>720p</v>
      </c>
      <c r="S58" s="22" t="str">
        <f ca="1">IF($N$58&lt;&gt;"", INDIRECT("'Tracker'!"&amp;ADDRESS(MATCH($N$58, Tracker[Anime Name], 0) + 2, 6)), "")</f>
        <v>TV</v>
      </c>
      <c r="T58" s="22" t="str">
        <f ca="1">IF($N$58&lt;&gt;"", INDIRECT("'Tracker'!"&amp;ADDRESS(MATCH($N$58, Tracker[Anime Name], 0) + 2, 7)), "")</f>
        <v>2013D</v>
      </c>
      <c r="U58" s="28" t="str">
        <f ca="1">IF($N$58&lt;&gt;"", INDIRECT("'Tracker'!"&amp;ADDRESS(MATCH($N$58, Tracker[Anime Name], 0) + 2, 8)), "")</f>
        <v>FFF</v>
      </c>
      <c r="V58" s="53">
        <f>IF(Completed!$C$57&lt;&gt;"",Completed!$C$57,"")</f>
        <v>8.5</v>
      </c>
      <c r="W58" s="53">
        <f>IF(Completed!$D$57&lt;&gt;"",Completed!$D$57,"")</f>
        <v>9</v>
      </c>
      <c r="X58" s="53">
        <f>IF(Completed!$E$57&lt;&gt;"",Completed!$E$57,"")</f>
        <v>7</v>
      </c>
      <c r="Y58" s="53">
        <f>IF(Completed!$F$57&lt;&gt;"",Completed!$F$57,"")</f>
        <v>8</v>
      </c>
      <c r="Z58" s="65">
        <f>IF(Completed!$G$57&lt;&gt;"",Completed!$G$57,"")</f>
        <v>8.3128140703517595</v>
      </c>
      <c r="AA58" s="75">
        <f>IF(Completed!$H$57&lt;&gt;"",Completed!$H$57,"")</f>
        <v>8.3337531486146101</v>
      </c>
      <c r="AB58" s="54">
        <f>IF(Completed!$I$57&lt;&gt;"",Completed!$I$57,"")</f>
        <v>41652</v>
      </c>
      <c r="AC58" s="54">
        <f>IF(Completed!$J$57&lt;&gt;"",Completed!$J$57,"")</f>
        <v>41824</v>
      </c>
      <c r="AD58" s="66" t="str">
        <f>IF(Completed!$K$57&lt;&gt;"",Completed!$K$57,"")</f>
        <v>Kirisaki Chitoge</v>
      </c>
      <c r="AE58" s="66" t="str">
        <f>IF(Completed!$L$57&lt;&gt;"",Completed!$L$57,"")</f>
        <v/>
      </c>
    </row>
    <row r="59" spans="1:31">
      <c r="A59" s="100"/>
      <c r="B59" s="101"/>
      <c r="C59" s="101"/>
      <c r="D59" s="101"/>
      <c r="E59" s="101"/>
      <c r="F59" s="101"/>
      <c r="G59" s="101"/>
      <c r="H59" s="101"/>
      <c r="J59" s="21" t="str">
        <f>IF(Backlog!$A$58&lt;&gt;"",Backlog!$A$58,"")</f>
        <v>Card Captor Sakura</v>
      </c>
      <c r="K59" s="28">
        <f>IF(Backlog!$B$58&lt;&gt;"",Backlog!$B$58,"")</f>
        <v>1</v>
      </c>
      <c r="L59" s="29" t="str">
        <f>IF(Backlog!$C$58&lt;&gt;"",Backlog!$C$58,"")</f>
        <v>NA</v>
      </c>
      <c r="N59" s="21" t="str">
        <f>IF(Completed!$A$58&lt;&gt;"",Completed!$A$58,"")</f>
        <v>Hentai Ouji to Warawanai Neko</v>
      </c>
      <c r="O59" s="28">
        <f>IF(Completed!$B$58&lt;&gt;"",Completed!$B$58,"")</f>
        <v>1</v>
      </c>
      <c r="P59" s="28">
        <f ca="1">IF($N$59&lt;&gt;"", INDIRECT("'Tracker'!"&amp;ADDRESS(MATCH($N$59, Tracker[Anime Name], 0) + 2, 3)), "")</f>
        <v>13</v>
      </c>
      <c r="Q59" s="22" t="str">
        <f ca="1">IF($N$59&lt;&gt;"", INDIRECT("'Tracker'!"&amp;ADDRESS(MATCH($N$59, Tracker[Anime Name], 0) + 2, 4)), "")</f>
        <v>A</v>
      </c>
      <c r="R59" s="22" t="str">
        <f ca="1">IF($N$59&lt;&gt;"", INDIRECT("'Tracker'!"&amp;ADDRESS(MATCH($N$59, Tracker[Anime Name], 0) + 2, 5)), "")</f>
        <v>1080p</v>
      </c>
      <c r="S59" s="22" t="str">
        <f ca="1">IF($N$59&lt;&gt;"", INDIRECT("'Tracker'!"&amp;ADDRESS(MATCH($N$59, Tracker[Anime Name], 0) + 2, 6)), "")</f>
        <v>BD</v>
      </c>
      <c r="T59" s="22" t="str">
        <f ca="1">IF($N$59&lt;&gt;"", INDIRECT("'Tracker'!"&amp;ADDRESS(MATCH($N$59, Tracker[Anime Name], 0) + 2, 7)), "")</f>
        <v>2013A</v>
      </c>
      <c r="U59" s="28" t="str">
        <f ca="1">IF($N$59&lt;&gt;"", INDIRECT("'Tracker'!"&amp;ADDRESS(MATCH($N$59, Tracker[Anime Name], 0) + 2, 8)), "")</f>
        <v>Doki</v>
      </c>
      <c r="V59" s="53">
        <f>IF(Completed!$C$58&lt;&gt;"",Completed!$C$58,"")</f>
        <v>7</v>
      </c>
      <c r="W59" s="53">
        <f>IF(Completed!$D$58&lt;&gt;"",Completed!$D$58,"")</f>
        <v>8.5</v>
      </c>
      <c r="X59" s="53">
        <f>IF(Completed!$E$58&lt;&gt;"",Completed!$E$58,"")</f>
        <v>10</v>
      </c>
      <c r="Y59" s="53">
        <f>IF(Completed!$F$58&lt;&gt;"",Completed!$F$58,"")</f>
        <v>8.5</v>
      </c>
      <c r="Z59" s="65">
        <f>IF(Completed!$G$58&lt;&gt;"",Completed!$G$58,"")</f>
        <v>8.2964824120602998</v>
      </c>
      <c r="AA59" s="75">
        <f>IF(Completed!$H$58&lt;&gt;"",Completed!$H$58,"")</f>
        <v>8.3173803526448342</v>
      </c>
      <c r="AB59" s="54">
        <f>IF(Completed!$I$58&lt;&gt;"",Completed!$I$58,"")</f>
        <v>41378</v>
      </c>
      <c r="AC59" s="54">
        <f>IF(Completed!$J$58&lt;&gt;"",Completed!$J$58,"")</f>
        <v>41454</v>
      </c>
      <c r="AD59" s="66" t="str">
        <f>IF(Completed!$K$58&lt;&gt;"",Completed!$K$58,"")</f>
        <v>Tsutsukakushi Tsukiko</v>
      </c>
      <c r="AE59" s="66" t="str">
        <f>IF(Completed!$L$58&lt;&gt;"",Completed!$L$58,"")</f>
        <v/>
      </c>
    </row>
    <row r="60" spans="1:31">
      <c r="A60" s="100"/>
      <c r="B60" s="101"/>
      <c r="C60" s="101"/>
      <c r="D60" s="101"/>
      <c r="E60" s="101"/>
      <c r="F60" s="101"/>
      <c r="G60" s="101"/>
      <c r="H60" s="101"/>
      <c r="J60" s="21" t="str">
        <f>IF(Backlog!$A$59&lt;&gt;"",Backlog!$A$59,"")</f>
        <v>DRAMAtical Murder</v>
      </c>
      <c r="K60" s="28">
        <f>IF(Backlog!$B$59&lt;&gt;"",Backlog!$B$59,"")</f>
        <v>1</v>
      </c>
      <c r="L60" s="29" t="str">
        <f>IF(Backlog!$C$59&lt;&gt;"",Backlog!$C$59,"")</f>
        <v>NA</v>
      </c>
      <c r="N60" s="21" t="str">
        <f>IF(Completed!$A$59&lt;&gt;"",Completed!$A$59,"")</f>
        <v>Hyouka</v>
      </c>
      <c r="O60" s="28">
        <f>IF(Completed!$B$59&lt;&gt;"",Completed!$B$59,"")</f>
        <v>1</v>
      </c>
      <c r="P60" s="28">
        <f ca="1">IF($N$60&lt;&gt;"", INDIRECT("'Tracker'!"&amp;ADDRESS(MATCH($N$60, Tracker[Anime Name], 0) + 2, 3)), "")</f>
        <v>22</v>
      </c>
      <c r="Q60" s="22" t="str">
        <f ca="1">IF($N$60&lt;&gt;"", INDIRECT("'Tracker'!"&amp;ADDRESS(MATCH($N$60, Tracker[Anime Name], 0) + 2, 4)), "")</f>
        <v>A</v>
      </c>
      <c r="R60" s="22" t="str">
        <f ca="1">IF($N$60&lt;&gt;"", INDIRECT("'Tracker'!"&amp;ADDRESS(MATCH($N$60, Tracker[Anime Name], 0) + 2, 5)), "")</f>
        <v>720p</v>
      </c>
      <c r="S60" s="22" t="str">
        <f ca="1">IF($N$60&lt;&gt;"", INDIRECT("'Tracker'!"&amp;ADDRESS(MATCH($N$60, Tracker[Anime Name], 0) + 2, 6)), "")</f>
        <v>BD</v>
      </c>
      <c r="T60" s="22" t="str">
        <f ca="1">IF($N$60&lt;&gt;"", INDIRECT("'Tracker'!"&amp;ADDRESS(MATCH($N$60, Tracker[Anime Name], 0) + 2, 7)), "")</f>
        <v>2012A</v>
      </c>
      <c r="U60" s="28" t="str">
        <f ca="1">IF($N$60&lt;&gt;"", INDIRECT("'Tracker'!"&amp;ADDRESS(MATCH($N$60, Tracker[Anime Name], 0) + 2, 8)), "")</f>
        <v>Coalgirls, Mazui</v>
      </c>
      <c r="V60" s="53">
        <f>IF(Completed!$C$59&lt;&gt;"",Completed!$C$59,"")</f>
        <v>9</v>
      </c>
      <c r="W60" s="53">
        <f>IF(Completed!$D$59&lt;&gt;"",Completed!$D$59,"")</f>
        <v>8</v>
      </c>
      <c r="X60" s="53">
        <f>IF(Completed!$E$59&lt;&gt;"",Completed!$E$59,"")</f>
        <v>5</v>
      </c>
      <c r="Y60" s="53">
        <f>IF(Completed!$F$59&lt;&gt;"",Completed!$F$59,"")</f>
        <v>8.5</v>
      </c>
      <c r="Z60" s="65">
        <f>IF(Completed!$G$59&lt;&gt;"",Completed!$G$59,"")</f>
        <v>8.2902010050251267</v>
      </c>
      <c r="AA60" s="75">
        <f>IF(Completed!$H$59&lt;&gt;"",Completed!$H$59,"")</f>
        <v>8.3110831234256928</v>
      </c>
      <c r="AB60" s="54">
        <f>IF(Completed!$I$59&lt;&gt;"",Completed!$I$59,"")</f>
        <v>41424</v>
      </c>
      <c r="AC60" s="54">
        <f>IF(Completed!$J$59&lt;&gt;"",Completed!$J$59,"")</f>
        <v>41430</v>
      </c>
      <c r="AD60" s="66" t="str">
        <f>IF(Completed!$K$59&lt;&gt;"",Completed!$K$59,"")</f>
        <v>Eru Chitanda</v>
      </c>
      <c r="AE60" s="66" t="str">
        <f>IF(Completed!$L$59&lt;&gt;"",Completed!$L$59,"")</f>
        <v>Nicely written mysteries</v>
      </c>
    </row>
    <row r="61" spans="1:31">
      <c r="A61" s="100"/>
      <c r="B61" s="101"/>
      <c r="C61" s="101"/>
      <c r="D61" s="101"/>
      <c r="E61" s="101"/>
      <c r="F61" s="101"/>
      <c r="G61" s="101"/>
      <c r="H61" s="101"/>
      <c r="J61" s="21" t="str">
        <f>IF(Backlog!$A$60&lt;&gt;"",Backlog!$A$60,"")</f>
        <v>Hidamari Sketch x ☆☆☆</v>
      </c>
      <c r="K61" s="28">
        <f>IF(Backlog!$B$60&lt;&gt;"",Backlog!$B$60,"")</f>
        <v>2</v>
      </c>
      <c r="L61" s="29" t="str">
        <f>IF(Backlog!$C$60&lt;&gt;"",Backlog!$C$60,"")</f>
        <v>NA</v>
      </c>
      <c r="N61" s="21" t="str">
        <f>IF(Completed!$A$60&lt;&gt;"",Completed!$A$60,"")</f>
        <v>Arpeggio of Blue Steel - Ars Nova</v>
      </c>
      <c r="O61" s="28">
        <f>IF(Completed!$B$60&lt;&gt;"",Completed!$B$60,"")</f>
        <v>1</v>
      </c>
      <c r="P61" s="28">
        <f ca="1">IF($N$61&lt;&gt;"", INDIRECT("'Tracker'!"&amp;ADDRESS(MATCH($N$61, Tracker[Anime Name], 0) + 2, 3)), "")</f>
        <v>12</v>
      </c>
      <c r="Q61" s="22" t="str">
        <f ca="1">IF($N$61&lt;&gt;"", INDIRECT("'Tracker'!"&amp;ADDRESS(MATCH($N$61, Tracker[Anime Name], 0) + 2, 4)), "")</f>
        <v>B</v>
      </c>
      <c r="R61" s="22" t="str">
        <f ca="1">IF($N$61&lt;&gt;"", INDIRECT("'Tracker'!"&amp;ADDRESS(MATCH($N$61, Tracker[Anime Name], 0) + 2, 5)), "")</f>
        <v>720p</v>
      </c>
      <c r="S61" s="22" t="str">
        <f ca="1">IF($N$61&lt;&gt;"", INDIRECT("'Tracker'!"&amp;ADDRESS(MATCH($N$61, Tracker[Anime Name], 0) + 2, 6)), "")</f>
        <v>TV</v>
      </c>
      <c r="T61" s="22" t="str">
        <f ca="1">IF($N$61&lt;&gt;"", INDIRECT("'Tracker'!"&amp;ADDRESS(MATCH($N$61, Tracker[Anime Name], 0) + 2, 7)), "")</f>
        <v>2013C</v>
      </c>
      <c r="U61" s="28" t="str">
        <f ca="1">IF($N$61&lt;&gt;"", INDIRECT("'Tracker'!"&amp;ADDRESS(MATCH($N$61, Tracker[Anime Name], 0) + 2, 8)), "")</f>
        <v>HorribleSubs</v>
      </c>
      <c r="V61" s="53">
        <f>IF(Completed!$C$60&lt;&gt;"",Completed!$C$60,"")</f>
        <v>8.5</v>
      </c>
      <c r="W61" s="53">
        <f>IF(Completed!$D$60&lt;&gt;"",Completed!$D$60,"")</f>
        <v>9</v>
      </c>
      <c r="X61" s="53">
        <f>IF(Completed!$E$60&lt;&gt;"",Completed!$E$60,"")</f>
        <v>6.5</v>
      </c>
      <c r="Y61" s="53">
        <f>IF(Completed!$F$60&lt;&gt;"",Completed!$F$60,"")</f>
        <v>8</v>
      </c>
      <c r="Z61" s="65">
        <f>IF(Completed!$G$60&lt;&gt;"",Completed!$G$60,"")</f>
        <v>8.2889447236180906</v>
      </c>
      <c r="AA61" s="75">
        <f>IF(Completed!$H$60&lt;&gt;"",Completed!$H$60,"")</f>
        <v>8.3098236775818624</v>
      </c>
      <c r="AB61" s="54">
        <f>IF(Completed!$I$60&lt;&gt;"",Completed!$I$60,"")</f>
        <v>41555</v>
      </c>
      <c r="AC61" s="54">
        <f>IF(Completed!$J$60&lt;&gt;"",Completed!$J$60,"")</f>
        <v>41631</v>
      </c>
      <c r="AD61" s="66" t="str">
        <f>IF(Completed!$K$60&lt;&gt;"",Completed!$K$60,"")</f>
        <v>Iona</v>
      </c>
      <c r="AE61" s="66" t="str">
        <f>IF(Completed!$L$60&lt;&gt;"",Completed!$L$60,"")</f>
        <v>Super well animated action scenes, and lots of hexagons</v>
      </c>
    </row>
    <row r="62" spans="1:31">
      <c r="A62" s="100"/>
      <c r="B62" s="101"/>
      <c r="C62" s="101"/>
      <c r="D62" s="101"/>
      <c r="E62" s="101"/>
      <c r="F62" s="101"/>
      <c r="G62" s="101"/>
      <c r="H62" s="101"/>
      <c r="J62" s="21" t="str">
        <f>IF(Backlog!$A$61&lt;&gt;"",Backlog!$A$61,"")</f>
        <v>Hidamari Sketch x 365</v>
      </c>
      <c r="K62" s="28">
        <f>IF(Backlog!$B$61&lt;&gt;"",Backlog!$B$61,"")</f>
        <v>3</v>
      </c>
      <c r="L62" s="29" t="str">
        <f>IF(Backlog!$C$61&lt;&gt;"",Backlog!$C$61,"")</f>
        <v>NA</v>
      </c>
      <c r="N62" s="21" t="str">
        <f>IF(Completed!$A$61&lt;&gt;"",Completed!$A$61,"")</f>
        <v>Ore no Imouto ga Konna ni Kawaii Wake ga Nai.</v>
      </c>
      <c r="O62" s="28">
        <f>IF(Completed!$B$61&lt;&gt;"",Completed!$B$61,"")</f>
        <v>2</v>
      </c>
      <c r="P62" s="28">
        <f ca="1">IF($N$62&lt;&gt;"", INDIRECT("'Tracker'!"&amp;ADDRESS(MATCH($N$62, Tracker[Anime Name], 0) + 2, 3)), "")</f>
        <v>16</v>
      </c>
      <c r="Q62" s="22" t="str">
        <f ca="1">IF($N$62&lt;&gt;"", INDIRECT("'Tracker'!"&amp;ADDRESS(MATCH($N$62, Tracker[Anime Name], 0) + 2, 4)), "")</f>
        <v>A</v>
      </c>
      <c r="R62" s="22" t="str">
        <f ca="1">IF($N$62&lt;&gt;"", INDIRECT("'Tracker'!"&amp;ADDRESS(MATCH($N$62, Tracker[Anime Name], 0) + 2, 5)), "")</f>
        <v>1080p</v>
      </c>
      <c r="S62" s="22" t="str">
        <f ca="1">IF($N$62&lt;&gt;"", INDIRECT("'Tracker'!"&amp;ADDRESS(MATCH($N$62, Tracker[Anime Name], 0) + 2, 6)), "")</f>
        <v>BD</v>
      </c>
      <c r="T62" s="22" t="str">
        <f ca="1">IF($N$62&lt;&gt;"", INDIRECT("'Tracker'!"&amp;ADDRESS(MATCH($N$62, Tracker[Anime Name], 0) + 2, 7)), "")</f>
        <v>2013A</v>
      </c>
      <c r="U62" s="28" t="str">
        <f ca="1">IF($N$62&lt;&gt;"", INDIRECT("'Tracker'!"&amp;ADDRESS(MATCH($N$62, Tracker[Anime Name], 0) + 2, 8)), "")</f>
        <v>Coalgirls, EveTaku</v>
      </c>
      <c r="V62" s="53">
        <f>IF(Completed!$C$61&lt;&gt;"",Completed!$C$61,"")</f>
        <v>8.5</v>
      </c>
      <c r="W62" s="53">
        <f>IF(Completed!$D$61&lt;&gt;"",Completed!$D$61,"")</f>
        <v>8</v>
      </c>
      <c r="X62" s="53">
        <f>IF(Completed!$E$61&lt;&gt;"",Completed!$E$61,"")</f>
        <v>5.5</v>
      </c>
      <c r="Y62" s="53">
        <f>IF(Completed!$F$61&lt;&gt;"",Completed!$F$61,"")</f>
        <v>8.5</v>
      </c>
      <c r="Z62" s="65">
        <f>IF(Completed!$G$61&lt;&gt;"",Completed!$G$61,"")</f>
        <v>8.2223618090452266</v>
      </c>
      <c r="AA62" s="75">
        <f>IF(Completed!$H$61&lt;&gt;"",Completed!$H$61,"")</f>
        <v>8.2430730478589425</v>
      </c>
      <c r="AB62" s="54">
        <f>IF(Completed!$I$61&lt;&gt;"",Completed!$I$61,"")</f>
        <v>41370</v>
      </c>
      <c r="AC62" s="54">
        <f>IF(Completed!$J$61&lt;&gt;"",Completed!$J$61,"")</f>
        <v>41512</v>
      </c>
      <c r="AD62" s="66" t="str">
        <f>IF(Completed!$K$61&lt;&gt;"",Completed!$K$61,"")</f>
        <v>Aragaki Ayase-tan</v>
      </c>
      <c r="AE62" s="66" t="str">
        <f>IF(Completed!$L$61&lt;&gt;"",Completed!$L$61,"")</f>
        <v/>
      </c>
    </row>
    <row r="63" spans="1:31">
      <c r="A63" s="100" t="s">
        <v>38</v>
      </c>
      <c r="B63" s="101"/>
      <c r="C63" s="101"/>
      <c r="D63" s="101"/>
      <c r="E63" s="101"/>
      <c r="F63" s="101"/>
      <c r="G63" s="101"/>
      <c r="H63" s="101"/>
      <c r="J63" s="21" t="str">
        <f>IF(Backlog!$A$62&lt;&gt;"",Backlog!$A$62,"")</f>
        <v>Hidamari Sketch x Honeycomb</v>
      </c>
      <c r="K63" s="28">
        <f>IF(Backlog!$B$62&lt;&gt;"",Backlog!$B$62,"")</f>
        <v>4</v>
      </c>
      <c r="L63" s="29" t="str">
        <f>IF(Backlog!$C$62&lt;&gt;"",Backlog!$C$62,"")</f>
        <v>NA</v>
      </c>
      <c r="N63" s="21" t="str">
        <f>IF(Completed!$A$62&lt;&gt;"",Completed!$A$62,"")</f>
        <v>Puella Magi Madoka Magica</v>
      </c>
      <c r="O63" s="28">
        <f>IF(Completed!$B$62&lt;&gt;"",Completed!$B$62,"")</f>
        <v>1</v>
      </c>
      <c r="P63" s="28">
        <f ca="1">IF($N$63&lt;&gt;"", INDIRECT("'Tracker'!"&amp;ADDRESS(MATCH($N$63, Tracker[Anime Name], 0) + 2, 3)), "")</f>
        <v>12</v>
      </c>
      <c r="Q63" s="22" t="str">
        <f ca="1">IF($N$63&lt;&gt;"", INDIRECT("'Tracker'!"&amp;ADDRESS(MATCH($N$63, Tracker[Anime Name], 0) + 2, 4)), "")</f>
        <v>B</v>
      </c>
      <c r="R63" s="22" t="str">
        <f ca="1">IF($N$63&lt;&gt;"", INDIRECT("'Tracker'!"&amp;ADDRESS(MATCH($N$63, Tracker[Anime Name], 0) + 2, 5)), "")</f>
        <v>720p</v>
      </c>
      <c r="S63" s="22" t="str">
        <f ca="1">IF($N$63&lt;&gt;"", INDIRECT("'Tracker'!"&amp;ADDRESS(MATCH($N$63, Tracker[Anime Name], 0) + 2, 6)), "")</f>
        <v>BD</v>
      </c>
      <c r="T63" s="22" t="str">
        <f ca="1">IF($N$63&lt;&gt;"", INDIRECT("'Tracker'!"&amp;ADDRESS(MATCH($N$63, Tracker[Anime Name], 0) + 2, 7)), "")</f>
        <v>2010D</v>
      </c>
      <c r="U63" s="28" t="str">
        <f ca="1">IF($N$63&lt;&gt;"", INDIRECT("'Tracker'!"&amp;ADDRESS(MATCH($N$63, Tracker[Anime Name], 0) + 2, 8)), "")</f>
        <v>Doki</v>
      </c>
      <c r="V63" s="53">
        <f>IF(Completed!$C$62&lt;&gt;"",Completed!$C$62,"")</f>
        <v>9</v>
      </c>
      <c r="W63" s="53">
        <f>IF(Completed!$D$62&lt;&gt;"",Completed!$D$62,"")</f>
        <v>7.5</v>
      </c>
      <c r="X63" s="53">
        <f>IF(Completed!$E$62&lt;&gt;"",Completed!$E$62,"")</f>
        <v>5</v>
      </c>
      <c r="Y63" s="53">
        <f>IF(Completed!$F$62&lt;&gt;"",Completed!$F$62,"")</f>
        <v>8.5</v>
      </c>
      <c r="Z63" s="65">
        <f>IF(Completed!$G$62&lt;&gt;"",Completed!$G$62,"")</f>
        <v>8.1557788944723626</v>
      </c>
      <c r="AA63" s="75">
        <f>IF(Completed!$H$62&lt;&gt;"",Completed!$H$62,"")</f>
        <v>8.1763224181360208</v>
      </c>
      <c r="AB63" s="54">
        <f>IF(Completed!$I$62&lt;&gt;"",Completed!$I$62,"")</f>
        <v>41255</v>
      </c>
      <c r="AC63" s="54">
        <f>IF(Completed!$J$62&lt;&gt;"",Completed!$J$62,"")</f>
        <v>41256</v>
      </c>
      <c r="AD63" s="66" t="str">
        <f>IF(Completed!$K$62&lt;&gt;"",Completed!$K$62,"")</f>
        <v>Akemi Homura</v>
      </c>
      <c r="AE63" s="66" t="str">
        <f>IF(Completed!$L$62&lt;&gt;"",Completed!$L$62,"")</f>
        <v/>
      </c>
    </row>
    <row r="64" spans="1:31">
      <c r="A64" s="100" t="s">
        <v>598</v>
      </c>
      <c r="B64" s="101"/>
      <c r="C64" s="101"/>
      <c r="D64" s="101"/>
      <c r="E64" s="101"/>
      <c r="F64" s="101"/>
      <c r="G64" s="101"/>
      <c r="H64" s="101"/>
      <c r="J64" s="21" t="str">
        <f>IF(Backlog!$A$63&lt;&gt;"",Backlog!$A$63,"")</f>
        <v>Joshiraku</v>
      </c>
      <c r="K64" s="28">
        <f>IF(Backlog!$B$63&lt;&gt;"",Backlog!$B$63,"")</f>
        <v>1</v>
      </c>
      <c r="L64" s="29" t="str">
        <f>IF(Backlog!$C$63&lt;&gt;"",Backlog!$C$63,"")</f>
        <v>NA</v>
      </c>
      <c r="N64" s="21" t="str">
        <f>IF(Completed!$A$63&lt;&gt;"",Completed!$A$63,"")</f>
        <v>Samurai Flamenco</v>
      </c>
      <c r="O64" s="28">
        <f>IF(Completed!$B$63&lt;&gt;"",Completed!$B$63,"")</f>
        <v>1</v>
      </c>
      <c r="P64" s="28">
        <f ca="1">IF($N$64&lt;&gt;"", INDIRECT("'Tracker'!"&amp;ADDRESS(MATCH($N$64, Tracker[Anime Name], 0) + 2, 3)), "")</f>
        <v>22</v>
      </c>
      <c r="Q64" s="22" t="str">
        <f ca="1">IF($N$64&lt;&gt;"", INDIRECT("'Tracker'!"&amp;ADDRESS(MATCH($N$64, Tracker[Anime Name], 0) + 2, 4)), "")</f>
        <v>B</v>
      </c>
      <c r="R64" s="22" t="str">
        <f ca="1">IF($N$64&lt;&gt;"", INDIRECT("'Tracker'!"&amp;ADDRESS(MATCH($N$64, Tracker[Anime Name], 0) + 2, 5)), "")</f>
        <v>720p</v>
      </c>
      <c r="S64" s="22" t="str">
        <f ca="1">IF($N$64&lt;&gt;"", INDIRECT("'Tracker'!"&amp;ADDRESS(MATCH($N$64, Tracker[Anime Name], 0) + 2, 6)), "")</f>
        <v>TV</v>
      </c>
      <c r="T64" s="22" t="str">
        <f ca="1">IF($N$64&lt;&gt;"", INDIRECT("'Tracker'!"&amp;ADDRESS(MATCH($N$64, Tracker[Anime Name], 0) + 2, 7)), "")</f>
        <v>2013C</v>
      </c>
      <c r="U64" s="28" t="str">
        <f ca="1">IF($N$64&lt;&gt;"", INDIRECT("'Tracker'!"&amp;ADDRESS(MATCH($N$64, Tracker[Anime Name], 0) + 2, 8)), "")</f>
        <v>HorribleSubs</v>
      </c>
      <c r="V64" s="53">
        <f>IF(Completed!$C$63&lt;&gt;"",Completed!$C$63,"")</f>
        <v>8.5</v>
      </c>
      <c r="W64" s="53">
        <f>IF(Completed!$D$63&lt;&gt;"",Completed!$D$63,"")</f>
        <v>8</v>
      </c>
      <c r="X64" s="53">
        <f>IF(Completed!$E$63&lt;&gt;"",Completed!$E$63,"")</f>
        <v>4</v>
      </c>
      <c r="Y64" s="53">
        <f>IF(Completed!$F$63&lt;&gt;"",Completed!$F$63,"")</f>
        <v>8.5</v>
      </c>
      <c r="Z64" s="65">
        <f>IF(Completed!$G$63&lt;&gt;"",Completed!$G$63,"")</f>
        <v>8.1507537688442202</v>
      </c>
      <c r="AA64" s="75">
        <f>IF(Completed!$H$63&lt;&gt;"",Completed!$H$63,"")</f>
        <v>8.1712846347607044</v>
      </c>
      <c r="AB64" s="54">
        <f>IF(Completed!$I$63&lt;&gt;"",Completed!$I$63,"")</f>
        <v>41562</v>
      </c>
      <c r="AC64" s="54">
        <f>IF(Completed!$J$63&lt;&gt;"",Completed!$J$63,"")</f>
        <v>41728</v>
      </c>
      <c r="AD64" s="66" t="str">
        <f>IF(Completed!$K$63&lt;&gt;"",Completed!$K$63,"")</f>
        <v>Ishihara Sumi</v>
      </c>
      <c r="AE64" s="66" t="str">
        <f>IF(Completed!$L$63&lt;&gt;"",Completed!$L$63,"")</f>
        <v>ALL the plot twists</v>
      </c>
    </row>
    <row r="65" spans="1:31">
      <c r="A65" s="100"/>
      <c r="B65" s="101"/>
      <c r="C65" s="101"/>
      <c r="D65" s="101"/>
      <c r="E65" s="101"/>
      <c r="F65" s="101"/>
      <c r="G65" s="101"/>
      <c r="H65" s="101"/>
      <c r="J65" s="21" t="str">
        <f>IF(Backlog!$A$64&lt;&gt;"",Backlog!$A$64,"")</f>
        <v>Kyousougiga</v>
      </c>
      <c r="K65" s="28">
        <f>IF(Backlog!$B$64&lt;&gt;"",Backlog!$B$64,"")</f>
        <v>1</v>
      </c>
      <c r="L65" s="29" t="str">
        <f>IF(Backlog!$C$64&lt;&gt;"",Backlog!$C$64,"")</f>
        <v>NA</v>
      </c>
      <c r="N65" s="21" t="str">
        <f>IF(Completed!$A$64&lt;&gt;"",Completed!$A$64,"")</f>
        <v>Hitsugi no Chaika</v>
      </c>
      <c r="O65" s="28">
        <f>IF(Completed!$B$64&lt;&gt;"",Completed!$B$64,"")</f>
        <v>1</v>
      </c>
      <c r="P65" s="28">
        <f ca="1">IF($N$65&lt;&gt;"", INDIRECT("'Tracker'!"&amp;ADDRESS(MATCH($N$65, Tracker[Anime Name], 0) + 2, 3)), "")</f>
        <v>12</v>
      </c>
      <c r="Q65" s="22" t="str">
        <f ca="1">IF($N$65&lt;&gt;"", INDIRECT("'Tracker'!"&amp;ADDRESS(MATCH($N$65, Tracker[Anime Name], 0) + 2, 4)), "")</f>
        <v>B</v>
      </c>
      <c r="R65" s="22" t="str">
        <f ca="1">IF($N$65&lt;&gt;"", INDIRECT("'Tracker'!"&amp;ADDRESS(MATCH($N$65, Tracker[Anime Name], 0) + 2, 5)), "")</f>
        <v>720p</v>
      </c>
      <c r="S65" s="22" t="str">
        <f ca="1">IF($N$65&lt;&gt;"", INDIRECT("'Tracker'!"&amp;ADDRESS(MATCH($N$65, Tracker[Anime Name], 0) + 2, 6)), "")</f>
        <v>TV</v>
      </c>
      <c r="T65" s="22" t="str">
        <f ca="1">IF($N$65&lt;&gt;"", INDIRECT("'Tracker'!"&amp;ADDRESS(MATCH($N$65, Tracker[Anime Name], 0) + 2, 7)), "")</f>
        <v>2014A</v>
      </c>
      <c r="U65" s="28" t="str">
        <f ca="1">IF($N$65&lt;&gt;"", INDIRECT("'Tracker'!"&amp;ADDRESS(MATCH($N$65, Tracker[Anime Name], 0) + 2, 8)), "")</f>
        <v>Anime-Koi</v>
      </c>
      <c r="V65" s="53">
        <f>IF(Completed!$C$64&lt;&gt;"",Completed!$C$64,"")</f>
        <v>8.5</v>
      </c>
      <c r="W65" s="53">
        <f>IF(Completed!$D$64&lt;&gt;"",Completed!$D$64,"")</f>
        <v>8</v>
      </c>
      <c r="X65" s="53">
        <f>IF(Completed!$E$64&lt;&gt;"",Completed!$E$64,"")</f>
        <v>3.5</v>
      </c>
      <c r="Y65" s="53">
        <f>IF(Completed!$F$64&lt;&gt;"",Completed!$F$64,"")</f>
        <v>8.5</v>
      </c>
      <c r="Z65" s="65">
        <f>IF(Completed!$G$64&lt;&gt;"",Completed!$G$64,"")</f>
        <v>8.1268844221105532</v>
      </c>
      <c r="AA65" s="75">
        <f>IF(Completed!$H$64&lt;&gt;"",Completed!$H$64,"")</f>
        <v>8.1473551637279584</v>
      </c>
      <c r="AB65" s="54">
        <f>IF(Completed!$I$64&lt;&gt;"",Completed!$I$64,"")</f>
        <v>41789</v>
      </c>
      <c r="AC65" s="54">
        <f>IF(Completed!$J$64&lt;&gt;"",Completed!$J$64,"")</f>
        <v>41816</v>
      </c>
      <c r="AD65" s="66" t="str">
        <f>IF(Completed!$K$64&lt;&gt;"",Completed!$K$64,"")</f>
        <v>Chaika</v>
      </c>
      <c r="AE65" s="66" t="str">
        <f>IF(Completed!$L$64&lt;&gt;"",Completed!$L$64,"")</f>
        <v/>
      </c>
    </row>
    <row r="66" spans="1:31">
      <c r="A66" s="100"/>
      <c r="B66" s="101"/>
      <c r="C66" s="101"/>
      <c r="D66" s="101"/>
      <c r="E66" s="101"/>
      <c r="F66" s="101"/>
      <c r="G66" s="101"/>
      <c r="H66" s="101"/>
      <c r="J66" s="21" t="str">
        <f>IF(Backlog!$A$65&lt;&gt;"",Backlog!$A$65,"")</f>
        <v>Magi: The Labyrinth of Magic</v>
      </c>
      <c r="K66" s="28">
        <f>IF(Backlog!$B$65&lt;&gt;"",Backlog!$B$65,"")</f>
        <v>1</v>
      </c>
      <c r="L66" s="29" t="str">
        <f>IF(Backlog!$C$65&lt;&gt;"",Backlog!$C$65,"")</f>
        <v>NA</v>
      </c>
      <c r="N66" s="21" t="str">
        <f>IF(Completed!$A$65&lt;&gt;"",Completed!$A$65,"")</f>
        <v>Baka to Test to Shoukanjuu Ni!</v>
      </c>
      <c r="O66" s="28">
        <f>IF(Completed!$B$65&lt;&gt;"",Completed!$B$65,"")</f>
        <v>2</v>
      </c>
      <c r="P66" s="28">
        <f ca="1">IF($N$66&lt;&gt;"", INDIRECT("'Tracker'!"&amp;ADDRESS(MATCH($N$66, Tracker[Anime Name], 0) + 2, 3)), "")</f>
        <v>13</v>
      </c>
      <c r="Q66" s="22" t="str">
        <f ca="1">IF($N$66&lt;&gt;"", INDIRECT("'Tracker'!"&amp;ADDRESS(MATCH($N$66, Tracker[Anime Name], 0) + 2, 4)), "")</f>
        <v>A</v>
      </c>
      <c r="R66" s="22" t="str">
        <f ca="1">IF($N$66&lt;&gt;"", INDIRECT("'Tracker'!"&amp;ADDRESS(MATCH($N$66, Tracker[Anime Name], 0) + 2, 5)), "")</f>
        <v>720p</v>
      </c>
      <c r="S66" s="22" t="str">
        <f ca="1">IF($N$66&lt;&gt;"", INDIRECT("'Tracker'!"&amp;ADDRESS(MATCH($N$66, Tracker[Anime Name], 0) + 2, 6)), "")</f>
        <v>BD</v>
      </c>
      <c r="T66" s="22" t="str">
        <f ca="1">IF($N$66&lt;&gt;"", INDIRECT("'Tracker'!"&amp;ADDRESS(MATCH($N$66, Tracker[Anime Name], 0) + 2, 7)), "")</f>
        <v>2011B</v>
      </c>
      <c r="U66" s="28" t="str">
        <f ca="1">IF($N$66&lt;&gt;"", INDIRECT("'Tracker'!"&amp;ADDRESS(MATCH($N$66, Tracker[Anime Name], 0) + 2, 8)), "")</f>
        <v>Ayumi</v>
      </c>
      <c r="V66" s="53">
        <f>IF(Completed!$C$65&lt;&gt;"",Completed!$C$65,"")</f>
        <v>7</v>
      </c>
      <c r="W66" s="53">
        <f>IF(Completed!$D$65&lt;&gt;"",Completed!$D$65,"")</f>
        <v>8</v>
      </c>
      <c r="X66" s="53">
        <f>IF(Completed!$E$65&lt;&gt;"",Completed!$E$65,"")</f>
        <v>3.5</v>
      </c>
      <c r="Y66" s="53">
        <f>IF(Completed!$F$65&lt;&gt;"",Completed!$F$65,"")</f>
        <v>9</v>
      </c>
      <c r="Z66" s="65">
        <f>IF(Completed!$G$65&lt;&gt;"",Completed!$G$65,"")</f>
        <v>8.1017587939698501</v>
      </c>
      <c r="AA66" s="75">
        <f>IF(Completed!$H$65&lt;&gt;"",Completed!$H$65,"")</f>
        <v>8.1221662468513856</v>
      </c>
      <c r="AB66" s="54">
        <f>IF(Completed!$I$65&lt;&gt;"",Completed!$I$65,"")</f>
        <v>41354</v>
      </c>
      <c r="AC66" s="54">
        <f>IF(Completed!$J$65&lt;&gt;"",Completed!$J$65,"")</f>
        <v>41355</v>
      </c>
      <c r="AD66" s="66" t="str">
        <f>IF(Completed!$K$65&lt;&gt;"",Completed!$K$65,"")</f>
        <v>Shimada Minami</v>
      </c>
      <c r="AE66" s="66" t="str">
        <f>IF(Completed!$L$65&lt;&gt;"",Completed!$L$65,"")</f>
        <v/>
      </c>
    </row>
    <row r="67" spans="1:31">
      <c r="A67" s="100"/>
      <c r="B67" s="101"/>
      <c r="C67" s="101"/>
      <c r="D67" s="101"/>
      <c r="E67" s="101"/>
      <c r="F67" s="101"/>
      <c r="G67" s="101"/>
      <c r="H67" s="101"/>
      <c r="J67" s="21" t="str">
        <f>IF(Backlog!$A$66&lt;&gt;"",Backlog!$A$66,"")</f>
        <v>Mahouka Koukou no Rettousei</v>
      </c>
      <c r="K67" s="28">
        <f>IF(Backlog!$B$66&lt;&gt;"",Backlog!$B$66,"")</f>
        <v>1</v>
      </c>
      <c r="L67" s="29" t="str">
        <f>IF(Backlog!$C$66&lt;&gt;"",Backlog!$C$66,"")</f>
        <v>NA</v>
      </c>
      <c r="N67" s="21" t="str">
        <f>IF(Completed!$A$66&lt;&gt;"",Completed!$A$66,"")</f>
        <v>Tonari no Seki-kun</v>
      </c>
      <c r="O67" s="28">
        <f>IF(Completed!$B$66&lt;&gt;"",Completed!$B$66,"")</f>
        <v>1</v>
      </c>
      <c r="P67" s="28">
        <f ca="1">IF($N$67&lt;&gt;"", INDIRECT("'Tracker'!"&amp;ADDRESS(MATCH($N$67, Tracker[Anime Name], 0) + 2, 3)), "")</f>
        <v>21</v>
      </c>
      <c r="Q67" s="22" t="str">
        <f ca="1">IF($N$67&lt;&gt;"", INDIRECT("'Tracker'!"&amp;ADDRESS(MATCH($N$67, Tracker[Anime Name], 0) + 2, 4)), "")</f>
        <v>B</v>
      </c>
      <c r="R67" s="22" t="str">
        <f ca="1">IF($N$67&lt;&gt;"", INDIRECT("'Tracker'!"&amp;ADDRESS(MATCH($N$67, Tracker[Anime Name], 0) + 2, 5)), "")</f>
        <v>720p</v>
      </c>
      <c r="S67" s="22" t="str">
        <f ca="1">IF($N$67&lt;&gt;"", INDIRECT("'Tracker'!"&amp;ADDRESS(MATCH($N$67, Tracker[Anime Name], 0) + 2, 6)), "")</f>
        <v>TV</v>
      </c>
      <c r="T67" s="22" t="str">
        <f ca="1">IF($N$67&lt;&gt;"", INDIRECT("'Tracker'!"&amp;ADDRESS(MATCH($N$67, Tracker[Anime Name], 0) + 2, 7)), "")</f>
        <v>2013D</v>
      </c>
      <c r="U67" s="28" t="str">
        <f ca="1">IF($N$67&lt;&gt;"", INDIRECT("'Tracker'!"&amp;ADDRESS(MATCH($N$67, Tracker[Anime Name], 0) + 2, 8)), "")</f>
        <v>Vivid</v>
      </c>
      <c r="V67" s="53">
        <f>IF(Completed!$C$66&lt;&gt;"",Completed!$C$66,"")</f>
        <v>5</v>
      </c>
      <c r="W67" s="53">
        <f>IF(Completed!$D$66&lt;&gt;"",Completed!$D$66,"")</f>
        <v>9</v>
      </c>
      <c r="X67" s="53">
        <f>IF(Completed!$E$66&lt;&gt;"",Completed!$E$66,"")</f>
        <v>5</v>
      </c>
      <c r="Y67" s="53">
        <f>IF(Completed!$F$66&lt;&gt;"",Completed!$F$66,"")</f>
        <v>9</v>
      </c>
      <c r="Z67" s="65">
        <f>IF(Completed!$G$66&lt;&gt;"",Completed!$G$66,"")</f>
        <v>8.075376884422111</v>
      </c>
      <c r="AA67" s="75">
        <f>IF(Completed!$H$66&lt;&gt;"",Completed!$H$66,"")</f>
        <v>8.0957178841309823</v>
      </c>
      <c r="AB67" s="54">
        <f>IF(Completed!$I$66&lt;&gt;"",Completed!$I$66,"")</f>
        <v>41648</v>
      </c>
      <c r="AC67" s="54">
        <f>IF(Completed!$J$66&lt;&gt;"",Completed!$J$66,"")</f>
        <v>41785</v>
      </c>
      <c r="AD67" s="66" t="str">
        <f>IF(Completed!$K$66&lt;&gt;"",Completed!$K$66,"")</f>
        <v>Yokoi Rumi</v>
      </c>
      <c r="AE67" s="66" t="str">
        <f>IF(Completed!$L$66&lt;&gt;"",Completed!$L$66,"")</f>
        <v/>
      </c>
    </row>
    <row r="68" spans="1:31">
      <c r="A68" s="100"/>
      <c r="B68" s="101"/>
      <c r="C68" s="101"/>
      <c r="D68" s="101"/>
      <c r="E68" s="101"/>
      <c r="F68" s="101"/>
      <c r="G68" s="101"/>
      <c r="H68" s="101"/>
      <c r="J68" s="21" t="str">
        <f>IF(Backlog!$A$67&lt;&gt;"",Backlog!$A$67,"")</f>
        <v>Mushishi Zoku Shou</v>
      </c>
      <c r="K68" s="28">
        <f>IF(Backlog!$B$67&lt;&gt;"",Backlog!$B$67,"")</f>
        <v>2</v>
      </c>
      <c r="L68" s="29" t="str">
        <f>IF(Backlog!$C$67&lt;&gt;"",Backlog!$C$67,"")</f>
        <v>NA</v>
      </c>
      <c r="N68" s="21" t="str">
        <f>IF(Completed!$A$67&lt;&gt;"",Completed!$A$67,"")</f>
        <v>Black Bullet</v>
      </c>
      <c r="O68" s="28">
        <f>IF(Completed!$B$67&lt;&gt;"",Completed!$B$67,"")</f>
        <v>1</v>
      </c>
      <c r="P68" s="28">
        <f ca="1">IF($N$68&lt;&gt;"", INDIRECT("'Tracker'!"&amp;ADDRESS(MATCH($N$68, Tracker[Anime Name], 0) + 2, 3)), "")</f>
        <v>13</v>
      </c>
      <c r="Q68" s="22" t="str">
        <f ca="1">IF($N$68&lt;&gt;"", INDIRECT("'Tracker'!"&amp;ADDRESS(MATCH($N$68, Tracker[Anime Name], 0) + 2, 4)), "")</f>
        <v>B</v>
      </c>
      <c r="R68" s="22" t="str">
        <f ca="1">IF($N$68&lt;&gt;"", INDIRECT("'Tracker'!"&amp;ADDRESS(MATCH($N$68, Tracker[Anime Name], 0) + 2, 5)), "")</f>
        <v>720p</v>
      </c>
      <c r="S68" s="22" t="str">
        <f ca="1">IF($N$68&lt;&gt;"", INDIRECT("'Tracker'!"&amp;ADDRESS(MATCH($N$68, Tracker[Anime Name], 0) + 2, 6)), "")</f>
        <v>TV</v>
      </c>
      <c r="T68" s="22" t="str">
        <f ca="1">IF($N$68&lt;&gt;"", INDIRECT("'Tracker'!"&amp;ADDRESS(MATCH($N$68, Tracker[Anime Name], 0) + 2, 7)), "")</f>
        <v>2014A</v>
      </c>
      <c r="U68" s="28" t="str">
        <f ca="1">IF($N$68&lt;&gt;"", INDIRECT("'Tracker'!"&amp;ADDRESS(MATCH($N$68, Tracker[Anime Name], 0) + 2, 8)), "")</f>
        <v>Underwater</v>
      </c>
      <c r="V68" s="53">
        <f>IF(Completed!$C$67&lt;&gt;"",Completed!$C$67,"")</f>
        <v>8</v>
      </c>
      <c r="W68" s="53">
        <f>IF(Completed!$D$67&lt;&gt;"",Completed!$D$67,"")</f>
        <v>8.5</v>
      </c>
      <c r="X68" s="53">
        <f>IF(Completed!$E$67&lt;&gt;"",Completed!$E$67,"")</f>
        <v>6</v>
      </c>
      <c r="Y68" s="53">
        <f>IF(Completed!$F$67&lt;&gt;"",Completed!$F$67,"")</f>
        <v>8</v>
      </c>
      <c r="Z68" s="65">
        <f>IF(Completed!$G$67&lt;&gt;"",Completed!$G$67,"")</f>
        <v>8.0389447236180906</v>
      </c>
      <c r="AA68" s="75">
        <f>IF(Completed!$H$67&lt;&gt;"",Completed!$H$67,"")</f>
        <v>8.059193954659948</v>
      </c>
      <c r="AB68" s="54">
        <f>IF(Completed!$I$67&lt;&gt;"",Completed!$I$67,"")</f>
        <v>41750</v>
      </c>
      <c r="AC68" s="54">
        <f>IF(Completed!$J$67&lt;&gt;"",Completed!$J$67,"")</f>
        <v>41831</v>
      </c>
      <c r="AD68" s="66" t="str">
        <f>IF(Completed!$K$67&lt;&gt;"",Completed!$K$67,"")</f>
        <v>Tina Sprout</v>
      </c>
      <c r="AE68" s="66" t="str">
        <f>IF(Completed!$L$67&lt;&gt;"",Completed!$L$67,"")</f>
        <v>Started promising, but decayed with time.</v>
      </c>
    </row>
    <row r="69" spans="1:31">
      <c r="A69" s="100"/>
      <c r="B69" s="101"/>
      <c r="C69" s="101"/>
      <c r="D69" s="101"/>
      <c r="E69" s="101"/>
      <c r="F69" s="101"/>
      <c r="G69" s="101"/>
      <c r="H69" s="101"/>
      <c r="J69" s="21" t="str">
        <f>IF(Backlog!$A$68&lt;&gt;"",Backlog!$A$68,"")</f>
        <v>Nourin</v>
      </c>
      <c r="K69" s="28">
        <f>IF(Backlog!$B$68&lt;&gt;"",Backlog!$B$68,"")</f>
        <v>1</v>
      </c>
      <c r="L69" s="29" t="str">
        <f>IF(Backlog!$C$68&lt;&gt;"",Backlog!$C$68,"")</f>
        <v>NA</v>
      </c>
      <c r="N69" s="21" t="str">
        <f>IF(Completed!$A$68&lt;&gt;"",Completed!$A$68,"")</f>
        <v>The Idolm@ster</v>
      </c>
      <c r="O69" s="28">
        <f>IF(Completed!$B$68&lt;&gt;"",Completed!$B$68,"")</f>
        <v>1</v>
      </c>
      <c r="P69" s="28">
        <f ca="1">IF($N$69&lt;&gt;"", INDIRECT("'Tracker'!"&amp;ADDRESS(MATCH($N$69, Tracker[Anime Name], 0) + 2, 3)), "")</f>
        <v>26</v>
      </c>
      <c r="Q69" s="22" t="str">
        <f ca="1">IF($N$69&lt;&gt;"", INDIRECT("'Tracker'!"&amp;ADDRESS(MATCH($N$69, Tracker[Anime Name], 0) + 2, 4)), "")</f>
        <v>A</v>
      </c>
      <c r="R69" s="22" t="str">
        <f ca="1">IF($N$69&lt;&gt;"", INDIRECT("'Tracker'!"&amp;ADDRESS(MATCH($N$69, Tracker[Anime Name], 0) + 2, 5)), "")</f>
        <v>720p</v>
      </c>
      <c r="S69" s="22" t="str">
        <f ca="1">IF($N$69&lt;&gt;"", INDIRECT("'Tracker'!"&amp;ADDRESS(MATCH($N$69, Tracker[Anime Name], 0) + 2, 6)), "")</f>
        <v>BD</v>
      </c>
      <c r="T69" s="22" t="str">
        <f ca="1">IF($N$69&lt;&gt;"", INDIRECT("'Tracker'!"&amp;ADDRESS(MATCH($N$69, Tracker[Anime Name], 0) + 2, 7)), "")</f>
        <v>2011B</v>
      </c>
      <c r="U69" s="28" t="str">
        <f ca="1">IF($N$69&lt;&gt;"", INDIRECT("'Tracker'!"&amp;ADDRESS(MATCH($N$69, Tracker[Anime Name], 0) + 2, 8)), "")</f>
        <v>Coalgirls, Doki</v>
      </c>
      <c r="V69" s="53">
        <f>IF(Completed!$C$68&lt;&gt;"",Completed!$C$68,"")</f>
        <v>6.5</v>
      </c>
      <c r="W69" s="53">
        <f>IF(Completed!$D$68&lt;&gt;"",Completed!$D$68,"")</f>
        <v>8.5</v>
      </c>
      <c r="X69" s="53">
        <f>IF(Completed!$E$68&lt;&gt;"",Completed!$E$68,"")</f>
        <v>6.5</v>
      </c>
      <c r="Y69" s="53">
        <f>IF(Completed!$F$68&lt;&gt;"",Completed!$F$68,"")</f>
        <v>8.5</v>
      </c>
      <c r="Z69" s="65">
        <f>IF(Completed!$G$68&lt;&gt;"",Completed!$G$68,"")</f>
        <v>8.0376884422110546</v>
      </c>
      <c r="AA69" s="75">
        <f>IF(Completed!$H$68&lt;&gt;"",Completed!$H$68,"")</f>
        <v>8.0579345088161194</v>
      </c>
      <c r="AB69" s="54">
        <f>IF(Completed!$I$68&lt;&gt;"",Completed!$I$68,"")</f>
        <v>41394</v>
      </c>
      <c r="AC69" s="54">
        <f>IF(Completed!$J$68&lt;&gt;"",Completed!$J$68,"")</f>
        <v>41397</v>
      </c>
      <c r="AD69" s="66" t="str">
        <f>IF(Completed!$K$68&lt;&gt;"",Completed!$K$68,"")</f>
        <v>Hoshii Miki</v>
      </c>
      <c r="AE69" s="66" t="str">
        <f>IF(Completed!$L$68&lt;&gt;"",Completed!$L$68,"")</f>
        <v>A lot better than I thought it was going to be</v>
      </c>
    </row>
    <row r="70" spans="1:31">
      <c r="A70" s="100"/>
      <c r="B70" s="101"/>
      <c r="C70" s="101"/>
      <c r="D70" s="101"/>
      <c r="E70" s="101"/>
      <c r="F70" s="101"/>
      <c r="G70" s="101"/>
      <c r="H70" s="101"/>
      <c r="J70" s="21" t="str">
        <f>IF(Backlog!$A$69&lt;&gt;"",Backlog!$A$69,"")</f>
        <v>Puchimas: Petit iDOLM@STER</v>
      </c>
      <c r="K70" s="28">
        <f>IF(Backlog!$B$69&lt;&gt;"",Backlog!$B$69,"")</f>
        <v>1</v>
      </c>
      <c r="L70" s="29" t="str">
        <f>IF(Backlog!$C$69&lt;&gt;"",Backlog!$C$69,"")</f>
        <v>NA</v>
      </c>
      <c r="N70" s="21" t="str">
        <f>IF(Completed!$A$69&lt;&gt;"",Completed!$A$69,"")</f>
        <v>Sakura Trick</v>
      </c>
      <c r="O70" s="28">
        <f>IF(Completed!$B$69&lt;&gt;"",Completed!$B$69,"")</f>
        <v>1</v>
      </c>
      <c r="P70" s="28">
        <f ca="1">IF($N$70&lt;&gt;"", INDIRECT("'Tracker'!"&amp;ADDRESS(MATCH($N$70, Tracker[Anime Name], 0) + 2, 3)), "")</f>
        <v>12</v>
      </c>
      <c r="Q70" s="22" t="str">
        <f ca="1">IF($N$70&lt;&gt;"", INDIRECT("'Tracker'!"&amp;ADDRESS(MATCH($N$70, Tracker[Anime Name], 0) + 2, 4)), "")</f>
        <v>B</v>
      </c>
      <c r="R70" s="22" t="str">
        <f ca="1">IF($N$70&lt;&gt;"", INDIRECT("'Tracker'!"&amp;ADDRESS(MATCH($N$70, Tracker[Anime Name], 0) + 2, 5)), "")</f>
        <v>720p</v>
      </c>
      <c r="S70" s="22" t="str">
        <f ca="1">IF($N$70&lt;&gt;"", INDIRECT("'Tracker'!"&amp;ADDRESS(MATCH($N$70, Tracker[Anime Name], 0) + 2, 6)), "")</f>
        <v>TV</v>
      </c>
      <c r="T70" s="22" t="str">
        <f ca="1">IF($N$70&lt;&gt;"", INDIRECT("'Tracker'!"&amp;ADDRESS(MATCH($N$70, Tracker[Anime Name], 0) + 2, 7)), "")</f>
        <v>2013D</v>
      </c>
      <c r="U70" s="28" t="str">
        <f ca="1">IF($N$70&lt;&gt;"", INDIRECT("'Tracker'!"&amp;ADDRESS(MATCH($N$70, Tracker[Anime Name], 0) + 2, 8)), "")</f>
        <v>Doki</v>
      </c>
      <c r="V70" s="53">
        <f>IF(Completed!$C$69&lt;&gt;"",Completed!$C$69,"")</f>
        <v>6.5</v>
      </c>
      <c r="W70" s="53">
        <f>IF(Completed!$D$69&lt;&gt;"",Completed!$D$69,"")</f>
        <v>8</v>
      </c>
      <c r="X70" s="53">
        <f>IF(Completed!$E$69&lt;&gt;"",Completed!$E$69,"")</f>
        <v>9</v>
      </c>
      <c r="Y70" s="53">
        <f>IF(Completed!$F$69&lt;&gt;"",Completed!$F$69,"")</f>
        <v>8.5</v>
      </c>
      <c r="Z70" s="65">
        <f>IF(Completed!$G$69&lt;&gt;"",Completed!$G$69,"")</f>
        <v>8.0226130653266328</v>
      </c>
      <c r="AA70" s="75">
        <f>IF(Completed!$H$69&lt;&gt;"",Completed!$H$69,"")</f>
        <v>8.0428211586901757</v>
      </c>
      <c r="AB70" s="54">
        <f>IF(Completed!$I$69&lt;&gt;"",Completed!$I$69,"")</f>
        <v>41650</v>
      </c>
      <c r="AC70" s="54">
        <f>IF(Completed!$J$69&lt;&gt;"",Completed!$J$69,"")</f>
        <v>41733</v>
      </c>
      <c r="AD70" s="66" t="str">
        <f>IF(Completed!$K$69&lt;&gt;"",Completed!$K$69,"")</f>
        <v>Minami Shizuku</v>
      </c>
      <c r="AE70" s="66" t="str">
        <f>IF(Completed!$L$69&lt;&gt;"",Completed!$L$69,"")</f>
        <v/>
      </c>
    </row>
    <row r="71" spans="1:31">
      <c r="A71" s="100"/>
      <c r="B71" s="101"/>
      <c r="C71" s="101"/>
      <c r="D71" s="101"/>
      <c r="E71" s="101"/>
      <c r="F71" s="101"/>
      <c r="G71" s="101"/>
      <c r="H71" s="101"/>
      <c r="J71" s="21" t="str">
        <f>IF(Backlog!$A$70&lt;&gt;"",Backlog!$A$70,"")</f>
        <v>Seikon no Qwaser</v>
      </c>
      <c r="K71" s="28">
        <f>IF(Backlog!$B$70&lt;&gt;"",Backlog!$B$70,"")</f>
        <v>1</v>
      </c>
      <c r="L71" s="29" t="str">
        <f>IF(Backlog!$C$70&lt;&gt;"",Backlog!$C$70,"")</f>
        <v>NA</v>
      </c>
      <c r="N71" s="21" t="str">
        <f>IF(Completed!$A$70&lt;&gt;"",Completed!$A$70,"")</f>
        <v>Sora no Woto</v>
      </c>
      <c r="O71" s="28">
        <f>IF(Completed!$B$70&lt;&gt;"",Completed!$B$70,"")</f>
        <v>1</v>
      </c>
      <c r="P71" s="28">
        <f ca="1">IF($N$71&lt;&gt;"", INDIRECT("'Tracker'!"&amp;ADDRESS(MATCH($N$71, Tracker[Anime Name], 0) + 2, 3)), "")</f>
        <v>13</v>
      </c>
      <c r="Q71" s="22" t="str">
        <f ca="1">IF($N$71&lt;&gt;"", INDIRECT("'Tracker'!"&amp;ADDRESS(MATCH($N$71, Tracker[Anime Name], 0) + 2, 4)), "")</f>
        <v>A</v>
      </c>
      <c r="R71" s="22" t="str">
        <f ca="1">IF($N$71&lt;&gt;"", INDIRECT("'Tracker'!"&amp;ADDRESS(MATCH($N$71, Tracker[Anime Name], 0) + 2, 5)), "")</f>
        <v>720p</v>
      </c>
      <c r="S71" s="22" t="str">
        <f ca="1">IF($N$71&lt;&gt;"", INDIRECT("'Tracker'!"&amp;ADDRESS(MATCH($N$71, Tracker[Anime Name], 0) + 2, 6)), "")</f>
        <v>BD</v>
      </c>
      <c r="T71" s="22" t="str">
        <f ca="1">IF($N$71&lt;&gt;"", INDIRECT("'Tracker'!"&amp;ADDRESS(MATCH($N$71, Tracker[Anime Name], 0) + 2, 7)), "")</f>
        <v>2009D</v>
      </c>
      <c r="U71" s="28" t="str">
        <f ca="1">IF($N$71&lt;&gt;"", INDIRECT("'Tracker'!"&amp;ADDRESS(MATCH($N$71, Tracker[Anime Name], 0) + 2, 8)), "")</f>
        <v>Coalgirls, pwq</v>
      </c>
      <c r="V71" s="53">
        <f>IF(Completed!$C$70&lt;&gt;"",Completed!$C$70,"")</f>
        <v>8</v>
      </c>
      <c r="W71" s="53">
        <f>IF(Completed!$D$70&lt;&gt;"",Completed!$D$70,"")</f>
        <v>6.5</v>
      </c>
      <c r="X71" s="53">
        <f>IF(Completed!$E$70&lt;&gt;"",Completed!$E$70,"")</f>
        <v>6</v>
      </c>
      <c r="Y71" s="53">
        <f>IF(Completed!$F$70&lt;&gt;"",Completed!$F$70,"")</f>
        <v>9</v>
      </c>
      <c r="Z71" s="65">
        <f>IF(Completed!$G$70&lt;&gt;"",Completed!$G$70,"")</f>
        <v>8.0012562814070343</v>
      </c>
      <c r="AA71" s="75">
        <f>IF(Completed!$H$70&lt;&gt;"",Completed!$H$70,"")</f>
        <v>8.0214105793450869</v>
      </c>
      <c r="AB71" s="54">
        <f>IF(Completed!$I$70&lt;&gt;"",Completed!$I$70,"")</f>
        <v>41316</v>
      </c>
      <c r="AC71" s="54">
        <f>IF(Completed!$J$70&lt;&gt;"",Completed!$J$70,"")</f>
        <v>41323</v>
      </c>
      <c r="AD71" s="66" t="str">
        <f>IF(Completed!$K$70&lt;&gt;"",Completed!$K$70,"")</f>
        <v>Noel Kannagi</v>
      </c>
      <c r="AE71" s="66" t="str">
        <f>IF(Completed!$L$70&lt;&gt;"",Completed!$L$70,"")</f>
        <v/>
      </c>
    </row>
    <row r="72" spans="1:31">
      <c r="A72" s="100"/>
      <c r="B72" s="101"/>
      <c r="C72" s="101"/>
      <c r="D72" s="101"/>
      <c r="E72" s="101"/>
      <c r="F72" s="101"/>
      <c r="G72" s="101"/>
      <c r="H72" s="101"/>
      <c r="J72" s="21" t="str">
        <f>IF(Backlog!$A$71&lt;&gt;"",Backlog!$A$71,"")</f>
        <v>Seikon no Qwaser II</v>
      </c>
      <c r="K72" s="28">
        <f>IF(Backlog!$B$71&lt;&gt;"",Backlog!$B$71,"")</f>
        <v>2</v>
      </c>
      <c r="L72" s="29" t="str">
        <f>IF(Backlog!$C$71&lt;&gt;"",Backlog!$C$71,"")</f>
        <v>NA</v>
      </c>
      <c r="N72" s="21" t="str">
        <f>IF(Completed!$A$71&lt;&gt;"",Completed!$A$71,"")</f>
        <v>Ore no Imouto ga Konna ni Kawaii Wake ga Nai</v>
      </c>
      <c r="O72" s="28">
        <f>IF(Completed!$B$71&lt;&gt;"",Completed!$B$71,"")</f>
        <v>1</v>
      </c>
      <c r="P72" s="28">
        <f ca="1">IF($N$72&lt;&gt;"", INDIRECT("'Tracker'!"&amp;ADDRESS(MATCH($N$72, Tracker[Anime Name], 0) + 2, 3)), "")</f>
        <v>16</v>
      </c>
      <c r="Q72" s="22" t="str">
        <f ca="1">IF($N$72&lt;&gt;"", INDIRECT("'Tracker'!"&amp;ADDRESS(MATCH($N$72, Tracker[Anime Name], 0) + 2, 4)), "")</f>
        <v>A</v>
      </c>
      <c r="R72" s="22" t="str">
        <f ca="1">IF($N$72&lt;&gt;"", INDIRECT("'Tracker'!"&amp;ADDRESS(MATCH($N$72, Tracker[Anime Name], 0) + 2, 5)), "")</f>
        <v>720p</v>
      </c>
      <c r="S72" s="22" t="str">
        <f ca="1">IF($N$72&lt;&gt;"", INDIRECT("'Tracker'!"&amp;ADDRESS(MATCH($N$72, Tracker[Anime Name], 0) + 2, 6)), "")</f>
        <v>BD</v>
      </c>
      <c r="T72" s="22" t="str">
        <f ca="1">IF($N$72&lt;&gt;"", INDIRECT("'Tracker'!"&amp;ADDRESS(MATCH($N$72, Tracker[Anime Name], 0) + 2, 7)), "")</f>
        <v>2010C</v>
      </c>
      <c r="U72" s="28" t="str">
        <f ca="1">IF($N$72&lt;&gt;"", INDIRECT("'Tracker'!"&amp;ADDRESS(MATCH($N$72, Tracker[Anime Name], 0) + 2, 8)), "")</f>
        <v>Coalgirls, Mazui</v>
      </c>
      <c r="V72" s="53">
        <f>IF(Completed!$C$71&lt;&gt;"",Completed!$C$71,"")</f>
        <v>8</v>
      </c>
      <c r="W72" s="53">
        <f>IF(Completed!$D$71&lt;&gt;"",Completed!$D$71,"")</f>
        <v>8.5</v>
      </c>
      <c r="X72" s="53">
        <f>IF(Completed!$E$71&lt;&gt;"",Completed!$E$71,"")</f>
        <v>5</v>
      </c>
      <c r="Y72" s="53">
        <f>IF(Completed!$F$71&lt;&gt;"",Completed!$F$71,"")</f>
        <v>8</v>
      </c>
      <c r="Z72" s="65">
        <f>IF(Completed!$G$71&lt;&gt;"",Completed!$G$71,"")</f>
        <v>7.9912060301507539</v>
      </c>
      <c r="AA72" s="75">
        <f>IF(Completed!$H$71&lt;&gt;"",Completed!$H$71,"")</f>
        <v>8.0113350125944578</v>
      </c>
      <c r="AB72" s="54">
        <f>IF(Completed!$I$71&lt;&gt;"",Completed!$I$71,"")</f>
        <v>41360</v>
      </c>
      <c r="AC72" s="54">
        <f>IF(Completed!$J$71&lt;&gt;"",Completed!$J$71,"")</f>
        <v>41363</v>
      </c>
      <c r="AD72" s="66" t="str">
        <f>IF(Completed!$K$71&lt;&gt;"",Completed!$K$71,"")</f>
        <v>Kuroneko (Gokou Ruri)</v>
      </c>
      <c r="AE72" s="66" t="str">
        <f>IF(Completed!$L$71&lt;&gt;"",Completed!$L$71,"")</f>
        <v>Kuroneko best girl</v>
      </c>
    </row>
    <row r="73" spans="1:31">
      <c r="A73" s="100"/>
      <c r="B73" s="101"/>
      <c r="C73" s="101"/>
      <c r="D73" s="101"/>
      <c r="E73" s="101"/>
      <c r="F73" s="101"/>
      <c r="G73" s="101"/>
      <c r="H73" s="101"/>
      <c r="J73" s="21" t="str">
        <f>IF(Backlog!$A$72&lt;&gt;"",Backlog!$A$72,"")</f>
        <v>Uchouten Kazoku</v>
      </c>
      <c r="K73" s="28">
        <f>IF(Backlog!$B$72&lt;&gt;"",Backlog!$B$72,"")</f>
        <v>1</v>
      </c>
      <c r="L73" s="29" t="str">
        <f>IF(Backlog!$C$72&lt;&gt;"",Backlog!$C$72,"")</f>
        <v>NA</v>
      </c>
      <c r="N73" s="21" t="str">
        <f>IF(Completed!$A$72&lt;&gt;"",Completed!$A$72,"")</f>
        <v>Boku wa Tomodachi ga Sukunai</v>
      </c>
      <c r="O73" s="28">
        <f>IF(Completed!$B$72&lt;&gt;"",Completed!$B$72,"")</f>
        <v>1</v>
      </c>
      <c r="P73" s="28">
        <f ca="1">IF($N$73&lt;&gt;"", INDIRECT("'Tracker'!"&amp;ADDRESS(MATCH($N$73, Tracker[Anime Name], 0) + 2, 3)), "")</f>
        <v>13</v>
      </c>
      <c r="Q73" s="22" t="str">
        <f ca="1">IF($N$73&lt;&gt;"", INDIRECT("'Tracker'!"&amp;ADDRESS(MATCH($N$73, Tracker[Anime Name], 0) + 2, 4)), "")</f>
        <v>A</v>
      </c>
      <c r="R73" s="22" t="str">
        <f ca="1">IF($N$73&lt;&gt;"", INDIRECT("'Tracker'!"&amp;ADDRESS(MATCH($N$73, Tracker[Anime Name], 0) + 2, 5)), "")</f>
        <v>720p</v>
      </c>
      <c r="S73" s="22" t="str">
        <f ca="1">IF($N$73&lt;&gt;"", INDIRECT("'Tracker'!"&amp;ADDRESS(MATCH($N$73, Tracker[Anime Name], 0) + 2, 6)), "")</f>
        <v>BD</v>
      </c>
      <c r="T73" s="22" t="str">
        <f ca="1">IF($N$73&lt;&gt;"", INDIRECT("'Tracker'!"&amp;ADDRESS(MATCH($N$73, Tracker[Anime Name], 0) + 2, 7)), "")</f>
        <v>2011C</v>
      </c>
      <c r="U73" s="28" t="str">
        <f ca="1">IF($N$73&lt;&gt;"", INDIRECT("'Tracker'!"&amp;ADDRESS(MATCH($N$73, Tracker[Anime Name], 0) + 2, 8)), "")</f>
        <v>Coalgirls, Mazui</v>
      </c>
      <c r="V73" s="53">
        <f>IF(Completed!$C$72&lt;&gt;"",Completed!$C$72,"")</f>
        <v>7</v>
      </c>
      <c r="W73" s="53">
        <f>IF(Completed!$D$72&lt;&gt;"",Completed!$D$72,"")</f>
        <v>8</v>
      </c>
      <c r="X73" s="53">
        <f>IF(Completed!$E$72&lt;&gt;"",Completed!$E$72,"")</f>
        <v>5.5</v>
      </c>
      <c r="Y73" s="53">
        <f>IF(Completed!$F$72&lt;&gt;"",Completed!$F$72,"")</f>
        <v>8.5</v>
      </c>
      <c r="Z73" s="65">
        <f>IF(Completed!$G$72&lt;&gt;"",Completed!$G$72,"")</f>
        <v>7.9472361809045227</v>
      </c>
      <c r="AA73" s="75">
        <f>IF(Completed!$H$72&lt;&gt;"",Completed!$H$72,"")</f>
        <v>7.9672544080604526</v>
      </c>
      <c r="AB73" s="54">
        <f>IF(Completed!$I$72&lt;&gt;"",Completed!$I$72,"")</f>
        <v>41363</v>
      </c>
      <c r="AC73" s="54">
        <f>IF(Completed!$J$72&lt;&gt;"",Completed!$J$72,"")</f>
        <v>41364</v>
      </c>
      <c r="AD73" s="66" t="str">
        <f>IF(Completed!$K$72&lt;&gt;"",Completed!$K$72,"")</f>
        <v>Hasegawa Kobato</v>
      </c>
      <c r="AE73" s="66" t="str">
        <f>IF(Completed!$L$72&lt;&gt;"",Completed!$L$72,"")</f>
        <v/>
      </c>
    </row>
    <row r="74" spans="1:31">
      <c r="A74" s="100"/>
      <c r="B74" s="101"/>
      <c r="C74" s="101"/>
      <c r="D74" s="101"/>
      <c r="E74" s="101"/>
      <c r="F74" s="101"/>
      <c r="G74" s="101"/>
      <c r="H74" s="101"/>
      <c r="J74" s="21" t="str">
        <f>IF(Backlog!$A$73&lt;&gt;"",Backlog!$A$73,"")</f>
        <v/>
      </c>
      <c r="K74" s="28" t="str">
        <f>IF(Backlog!$B$73&lt;&gt;"",Backlog!$B$73,"")</f>
        <v/>
      </c>
      <c r="L74" s="29" t="str">
        <f>IF(Backlog!$C$73&lt;&gt;"",Backlog!$C$73,"")</f>
        <v/>
      </c>
      <c r="N74" s="21" t="str">
        <f>IF(Completed!$A$73&lt;&gt;"",Completed!$A$73,"")</f>
        <v>Free!</v>
      </c>
      <c r="O74" s="28">
        <f>IF(Completed!$B$73&lt;&gt;"",Completed!$B$73,"")</f>
        <v>1</v>
      </c>
      <c r="P74" s="28">
        <f ca="1">IF($N$74&lt;&gt;"", INDIRECT("'Tracker'!"&amp;ADDRESS(MATCH($N$74, Tracker[Anime Name], 0) + 2, 3)), "")</f>
        <v>12</v>
      </c>
      <c r="Q74" s="22" t="str">
        <f ca="1">IF($N$74&lt;&gt;"", INDIRECT("'Tracker'!"&amp;ADDRESS(MATCH($N$74, Tracker[Anime Name], 0) + 2, 4)), "")</f>
        <v>A</v>
      </c>
      <c r="R74" s="22" t="str">
        <f ca="1">IF($N$74&lt;&gt;"", INDIRECT("'Tracker'!"&amp;ADDRESS(MATCH($N$74, Tracker[Anime Name], 0) + 2, 5)), "")</f>
        <v>1080p</v>
      </c>
      <c r="S74" s="22" t="str">
        <f ca="1">IF($N$74&lt;&gt;"", INDIRECT("'Tracker'!"&amp;ADDRESS(MATCH($N$74, Tracker[Anime Name], 0) + 2, 6)), "")</f>
        <v>BD</v>
      </c>
      <c r="T74" s="22" t="str">
        <f ca="1">IF($N$74&lt;&gt;"", INDIRECT("'Tracker'!"&amp;ADDRESS(MATCH($N$74, Tracker[Anime Name], 0) + 2, 7)), "")</f>
        <v>2013B</v>
      </c>
      <c r="U74" s="28" t="str">
        <f ca="1">IF($N$74&lt;&gt;"", INDIRECT("'Tracker'!"&amp;ADDRESS(MATCH($N$74, Tracker[Anime Name], 0) + 2, 8)), "")</f>
        <v>Commie</v>
      </c>
      <c r="V74" s="53">
        <f>IF(Completed!$C$73&lt;&gt;"",Completed!$C$73,"")</f>
        <v>8.5</v>
      </c>
      <c r="W74" s="53">
        <f>IF(Completed!$D$73&lt;&gt;"",Completed!$D$73,"")</f>
        <v>7.5</v>
      </c>
      <c r="X74" s="53">
        <f>IF(Completed!$E$73&lt;&gt;"",Completed!$E$73,"")</f>
        <v>2.5</v>
      </c>
      <c r="Y74" s="53">
        <f>IF(Completed!$F$73&lt;&gt;"",Completed!$F$73,"")</f>
        <v>8.5</v>
      </c>
      <c r="Z74" s="65">
        <f>IF(Completed!$G$73&lt;&gt;"",Completed!$G$73,"")</f>
        <v>7.9447236180904515</v>
      </c>
      <c r="AA74" s="75">
        <f>IF(Completed!$H$73&lt;&gt;"",Completed!$H$73,"")</f>
        <v>7.9647355163727944</v>
      </c>
      <c r="AB74" s="54">
        <f>IF(Completed!$I$73&lt;&gt;"",Completed!$I$73,"")</f>
        <v>41459</v>
      </c>
      <c r="AC74" s="54">
        <f>IF(Completed!$J$73&lt;&gt;"",Completed!$J$73,"")</f>
        <v>41543</v>
      </c>
      <c r="AD74" s="66" t="str">
        <f>IF(Completed!$K$73&lt;&gt;"",Completed!$K$73,"")</f>
        <v>Matsuoka Gou</v>
      </c>
      <c r="AE74" s="66" t="str">
        <f>IF(Completed!$L$73&lt;&gt;"",Completed!$L$73,"")</f>
        <v>Not as bad as everyone makes it seem - KyoAni animation and music plus an actual plot is pretty nice.</v>
      </c>
    </row>
    <row r="75" spans="1:31">
      <c r="A75" s="100"/>
      <c r="B75" s="101"/>
      <c r="C75" s="101"/>
      <c r="D75" s="101"/>
      <c r="E75" s="101"/>
      <c r="F75" s="101"/>
      <c r="G75" s="101"/>
      <c r="H75" s="101"/>
      <c r="J75" s="21" t="str">
        <f>IF(Backlog!$A$74&lt;&gt;"",Backlog!$A$74,"")</f>
        <v/>
      </c>
      <c r="K75" s="28" t="str">
        <f>IF(Backlog!$B$74&lt;&gt;"",Backlog!$B$74,"")</f>
        <v/>
      </c>
      <c r="L75" s="29" t="str">
        <f>IF(Backlog!$C$74&lt;&gt;"",Backlog!$C$74,"")</f>
        <v/>
      </c>
      <c r="N75" s="21" t="str">
        <f>IF(Completed!$A$74&lt;&gt;"",Completed!$A$74,"")</f>
        <v>K-On!</v>
      </c>
      <c r="O75" s="28">
        <f>IF(Completed!$B$74&lt;&gt;"",Completed!$B$74,"")</f>
        <v>1</v>
      </c>
      <c r="P75" s="28">
        <f ca="1">IF($N$75&lt;&gt;"", INDIRECT("'Tracker'!"&amp;ADDRESS(MATCH($N$75, Tracker[Anime Name], 0) + 2, 3)), "")</f>
        <v>13</v>
      </c>
      <c r="Q75" s="22" t="str">
        <f ca="1">IF($N$75&lt;&gt;"", INDIRECT("'Tracker'!"&amp;ADDRESS(MATCH($N$75, Tracker[Anime Name], 0) + 2, 4)), "")</f>
        <v>A</v>
      </c>
      <c r="R75" s="22" t="str">
        <f ca="1">IF($N$75&lt;&gt;"", INDIRECT("'Tracker'!"&amp;ADDRESS(MATCH($N$75, Tracker[Anime Name], 0) + 2, 5)), "")</f>
        <v>720p</v>
      </c>
      <c r="S75" s="22" t="str">
        <f ca="1">IF($N$75&lt;&gt;"", INDIRECT("'Tracker'!"&amp;ADDRESS(MATCH($N$75, Tracker[Anime Name], 0) + 2, 6)), "")</f>
        <v>BD</v>
      </c>
      <c r="T75" s="22" t="str">
        <f ca="1">IF($N$75&lt;&gt;"", INDIRECT("'Tracker'!"&amp;ADDRESS(MATCH($N$75, Tracker[Anime Name], 0) + 2, 7)), "")</f>
        <v>2009A</v>
      </c>
      <c r="U75" s="28" t="str">
        <f ca="1">IF($N$75&lt;&gt;"", INDIRECT("'Tracker'!"&amp;ADDRESS(MATCH($N$75, Tracker[Anime Name], 0) + 2, 8)), "")</f>
        <v>Frostii</v>
      </c>
      <c r="V75" s="53">
        <f>IF(Completed!$C$74&lt;&gt;"",Completed!$C$74,"")</f>
        <v>6</v>
      </c>
      <c r="W75" s="53">
        <f>IF(Completed!$D$74&lt;&gt;"",Completed!$D$74,"")</f>
        <v>7</v>
      </c>
      <c r="X75" s="53">
        <f>IF(Completed!$E$74&lt;&gt;"",Completed!$E$74,"")</f>
        <v>9</v>
      </c>
      <c r="Y75" s="53">
        <f>IF(Completed!$F$74&lt;&gt;"",Completed!$F$74,"")</f>
        <v>9</v>
      </c>
      <c r="Z75" s="65">
        <f>IF(Completed!$G$74&lt;&gt;"",Completed!$G$74,"")</f>
        <v>7.9120603015075384</v>
      </c>
      <c r="AA75" s="75">
        <f>IF(Completed!$H$74&lt;&gt;"",Completed!$H$74,"")</f>
        <v>7.9319899244332506</v>
      </c>
      <c r="AB75" s="54">
        <f>IF(Completed!$I$74&lt;&gt;"",Completed!$I$74,"")</f>
        <v>41337</v>
      </c>
      <c r="AC75" s="54">
        <f>IF(Completed!$J$74&lt;&gt;"",Completed!$J$74,"")</f>
        <v>41338</v>
      </c>
      <c r="AD75" s="66" t="str">
        <f>IF(Completed!$K$74&lt;&gt;"",Completed!$K$74,"")</f>
        <v>Nakano Azusa</v>
      </c>
      <c r="AE75" s="66" t="str">
        <f>IF(Completed!$L$74&lt;&gt;"",Completed!$L$74,"")</f>
        <v>The music is portrayed very accurately. 10/10 to the animators</v>
      </c>
    </row>
    <row r="76" spans="1:31">
      <c r="A76" s="100"/>
      <c r="B76" s="101"/>
      <c r="C76" s="101"/>
      <c r="D76" s="101"/>
      <c r="E76" s="101"/>
      <c r="F76" s="101"/>
      <c r="G76" s="101"/>
      <c r="H76" s="101"/>
      <c r="J76" s="21" t="str">
        <f>IF(Backlog!$A$75&lt;&gt;"",Backlog!$A$75,"")</f>
        <v/>
      </c>
      <c r="K76" s="28" t="str">
        <f>IF(Backlog!$B$75&lt;&gt;"",Backlog!$B$75,"")</f>
        <v/>
      </c>
      <c r="L76" s="29" t="str">
        <f>IF(Backlog!$C$75&lt;&gt;"",Backlog!$C$75,"")</f>
        <v/>
      </c>
      <c r="N76" s="21" t="str">
        <f>IF(Completed!$A$75&lt;&gt;"",Completed!$A$75,"")</f>
        <v>Baka to Test to Shoukanjuu</v>
      </c>
      <c r="O76" s="28">
        <f>IF(Completed!$B$75&lt;&gt;"",Completed!$B$75,"")</f>
        <v>1</v>
      </c>
      <c r="P76" s="28">
        <f ca="1">IF($N$76&lt;&gt;"", INDIRECT("'Tracker'!"&amp;ADDRESS(MATCH($N$76, Tracker[Anime Name], 0) + 2, 3)), "")</f>
        <v>13</v>
      </c>
      <c r="Q76" s="22" t="str">
        <f ca="1">IF($N$76&lt;&gt;"", INDIRECT("'Tracker'!"&amp;ADDRESS(MATCH($N$76, Tracker[Anime Name], 0) + 2, 4)), "")</f>
        <v>A</v>
      </c>
      <c r="R76" s="22" t="str">
        <f ca="1">IF($N$76&lt;&gt;"", INDIRECT("'Tracker'!"&amp;ADDRESS(MATCH($N$76, Tracker[Anime Name], 0) + 2, 5)), "")</f>
        <v>1080p</v>
      </c>
      <c r="S76" s="22" t="str">
        <f ca="1">IF($N$76&lt;&gt;"", INDIRECT("'Tracker'!"&amp;ADDRESS(MATCH($N$76, Tracker[Anime Name], 0) + 2, 6)), "")</f>
        <v>BD</v>
      </c>
      <c r="T76" s="22" t="str">
        <f ca="1">IF($N$76&lt;&gt;"", INDIRECT("'Tracker'!"&amp;ADDRESS(MATCH($N$76, Tracker[Anime Name], 0) + 2, 7)), "")</f>
        <v>2009D</v>
      </c>
      <c r="U76" s="28" t="str">
        <f ca="1">IF($N$76&lt;&gt;"", INDIRECT("'Tracker'!"&amp;ADDRESS(MATCH($N$76, Tracker[Anime Name], 0) + 2, 8)), "")</f>
        <v>Elysium</v>
      </c>
      <c r="V76" s="53">
        <f>IF(Completed!$C$75&lt;&gt;"",Completed!$C$75,"")</f>
        <v>6.5</v>
      </c>
      <c r="W76" s="53">
        <f>IF(Completed!$D$75&lt;&gt;"",Completed!$D$75,"")</f>
        <v>7.5</v>
      </c>
      <c r="X76" s="53">
        <f>IF(Completed!$E$75&lt;&gt;"",Completed!$E$75,"")</f>
        <v>4</v>
      </c>
      <c r="Y76" s="53">
        <f>IF(Completed!$F$75&lt;&gt;"",Completed!$F$75,"")</f>
        <v>9</v>
      </c>
      <c r="Z76" s="65">
        <f>IF(Completed!$G$75&lt;&gt;"",Completed!$G$75,"")</f>
        <v>7.8994974874371851</v>
      </c>
      <c r="AA76" s="75">
        <f>IF(Completed!$H$75&lt;&gt;"",Completed!$H$75,"")</f>
        <v>7.9193954659949606</v>
      </c>
      <c r="AB76" s="54">
        <f>IF(Completed!$I$75&lt;&gt;"",Completed!$I$75,"")</f>
        <v>41347</v>
      </c>
      <c r="AC76" s="54">
        <f>IF(Completed!$J$75&lt;&gt;"",Completed!$J$75,"")</f>
        <v>41354</v>
      </c>
      <c r="AD76" s="66" t="str">
        <f>IF(Completed!$K$75&lt;&gt;"",Completed!$K$75,"")</f>
        <v>Kirishima Shouko</v>
      </c>
      <c r="AE76" s="66" t="str">
        <f>IF(Completed!$L$75&lt;&gt;"",Completed!$L$75,"")</f>
        <v/>
      </c>
    </row>
    <row r="77" spans="1:31">
      <c r="A77" s="100"/>
      <c r="B77" s="101"/>
      <c r="C77" s="101"/>
      <c r="D77" s="101"/>
      <c r="E77" s="101"/>
      <c r="F77" s="101"/>
      <c r="G77" s="101"/>
      <c r="H77" s="101"/>
      <c r="J77" s="21" t="str">
        <f>IF(Backlog!$A$76&lt;&gt;"",Backlog!$A$76,"")</f>
        <v/>
      </c>
      <c r="K77" s="28" t="str">
        <f>IF(Backlog!$B$76&lt;&gt;"",Backlog!$B$76,"")</f>
        <v/>
      </c>
      <c r="L77" s="29" t="str">
        <f>IF(Backlog!$C$76&lt;&gt;"",Backlog!$C$76,"")</f>
        <v/>
      </c>
      <c r="N77" s="21" t="str">
        <f>IF(Completed!$A$76&lt;&gt;"",Completed!$A$76,"")</f>
        <v>Ro-Kyu-Bu! SS</v>
      </c>
      <c r="O77" s="28">
        <f>IF(Completed!$B$76&lt;&gt;"",Completed!$B$76,"")</f>
        <v>2</v>
      </c>
      <c r="P77" s="28">
        <f ca="1">IF($N$77&lt;&gt;"", INDIRECT("'Tracker'!"&amp;ADDRESS(MATCH($N$77, Tracker[Anime Name], 0) + 2, 3)), "")</f>
        <v>12</v>
      </c>
      <c r="Q77" s="22" t="str">
        <f ca="1">IF($N$77&lt;&gt;"", INDIRECT("'Tracker'!"&amp;ADDRESS(MATCH($N$77, Tracker[Anime Name], 0) + 2, 4)), "")</f>
        <v>A</v>
      </c>
      <c r="R77" s="22" t="str">
        <f ca="1">IF($N$77&lt;&gt;"", INDIRECT("'Tracker'!"&amp;ADDRESS(MATCH($N$77, Tracker[Anime Name], 0) + 2, 5)), "")</f>
        <v>1080p</v>
      </c>
      <c r="S77" s="22" t="str">
        <f ca="1">IF($N$77&lt;&gt;"", INDIRECT("'Tracker'!"&amp;ADDRESS(MATCH($N$77, Tracker[Anime Name], 0) + 2, 6)), "")</f>
        <v>BD</v>
      </c>
      <c r="T77" s="22" t="str">
        <f ca="1">IF($N$77&lt;&gt;"", INDIRECT("'Tracker'!"&amp;ADDRESS(MATCH($N$77, Tracker[Anime Name], 0) + 2, 7)), "")</f>
        <v>2013B</v>
      </c>
      <c r="U77" s="28" t="str">
        <f ca="1">IF($N$77&lt;&gt;"", INDIRECT("'Tracker'!"&amp;ADDRESS(MATCH($N$77, Tracker[Anime Name], 0) + 2, 8)), "")</f>
        <v>Asenshi-Doremi, Loligeddon</v>
      </c>
      <c r="V77" s="53">
        <f>IF(Completed!$C$76&lt;&gt;"",Completed!$C$76,"")</f>
        <v>7</v>
      </c>
      <c r="W77" s="53">
        <f>IF(Completed!$D$76&lt;&gt;"",Completed!$D$76,"")</f>
        <v>8</v>
      </c>
      <c r="X77" s="53">
        <f>IF(Completed!$E$76&lt;&gt;"",Completed!$E$76,"")</f>
        <v>9.5</v>
      </c>
      <c r="Y77" s="53">
        <f>IF(Completed!$F$76&lt;&gt;"",Completed!$F$76,"")</f>
        <v>8</v>
      </c>
      <c r="Z77" s="65">
        <f>IF(Completed!$G$76&lt;&gt;"",Completed!$G$76,"")</f>
        <v>7.8881909547738696</v>
      </c>
      <c r="AA77" s="75">
        <f>IF(Completed!$H$76&lt;&gt;"",Completed!$H$76,"")</f>
        <v>7.9080604534005046</v>
      </c>
      <c r="AB77" s="54">
        <f>IF(Completed!$I$76&lt;&gt;"",Completed!$I$76,"")</f>
        <v>41468</v>
      </c>
      <c r="AC77" s="54">
        <f>IF(Completed!$J$76&lt;&gt;"",Completed!$J$76,"")</f>
        <v>41589</v>
      </c>
      <c r="AD77" s="66" t="str">
        <f>IF(Completed!$K$76&lt;&gt;"",Completed!$K$76,"")</f>
        <v>Hakamada Hinata</v>
      </c>
      <c r="AE77" s="66" t="str">
        <f>IF(Completed!$L$76&lt;&gt;"",Completed!$L$76,"")</f>
        <v/>
      </c>
    </row>
    <row r="78" spans="1:31">
      <c r="A78" s="100"/>
      <c r="B78" s="101"/>
      <c r="C78" s="101"/>
      <c r="D78" s="101"/>
      <c r="E78" s="101"/>
      <c r="F78" s="101"/>
      <c r="G78" s="101"/>
      <c r="H78" s="101"/>
      <c r="J78" s="21" t="str">
        <f>IF(Backlog!$A$77&lt;&gt;"",Backlog!$A$77,"")</f>
        <v/>
      </c>
      <c r="K78" s="28" t="str">
        <f>IF(Backlog!$B$77&lt;&gt;"",Backlog!$B$77,"")</f>
        <v/>
      </c>
      <c r="L78" s="29" t="str">
        <f>IF(Backlog!$C$77&lt;&gt;"",Backlog!$C$77,"")</f>
        <v/>
      </c>
      <c r="N78" s="21" t="str">
        <f>IF(Completed!$A$77&lt;&gt;"",Completed!$A$77,"")</f>
        <v>Sword Art Online</v>
      </c>
      <c r="O78" s="28">
        <f>IF(Completed!$B$77&lt;&gt;"",Completed!$B$77,"")</f>
        <v>1</v>
      </c>
      <c r="P78" s="28">
        <f ca="1">IF($N$78&lt;&gt;"", INDIRECT("'Tracker'!"&amp;ADDRESS(MATCH($N$78, Tracker[Anime Name], 0) + 2, 3)), "")</f>
        <v>25</v>
      </c>
      <c r="Q78" s="22" t="str">
        <f ca="1">IF($N$78&lt;&gt;"", INDIRECT("'Tracker'!"&amp;ADDRESS(MATCH($N$78, Tracker[Anime Name], 0) + 2, 4)), "")</f>
        <v>A</v>
      </c>
      <c r="R78" s="22" t="str">
        <f ca="1">IF($N$78&lt;&gt;"", INDIRECT("'Tracker'!"&amp;ADDRESS(MATCH($N$78, Tracker[Anime Name], 0) + 2, 5)), "")</f>
        <v>720p</v>
      </c>
      <c r="S78" s="22" t="str">
        <f ca="1">IF($N$78&lt;&gt;"", INDIRECT("'Tracker'!"&amp;ADDRESS(MATCH($N$78, Tracker[Anime Name], 0) + 2, 6)), "")</f>
        <v>BD</v>
      </c>
      <c r="T78" s="22" t="str">
        <f ca="1">IF($N$78&lt;&gt;"", INDIRECT("'Tracker'!"&amp;ADDRESS(MATCH($N$78, Tracker[Anime Name], 0) + 2, 7)), "")</f>
        <v>2012B</v>
      </c>
      <c r="U78" s="28" t="str">
        <f ca="1">IF($N$78&lt;&gt;"", INDIRECT("'Tracker'!"&amp;ADDRESS(MATCH($N$78, Tracker[Anime Name], 0) + 2, 8)), "")</f>
        <v>Coalgirls, EveTaku</v>
      </c>
      <c r="V78" s="53">
        <f>IF(Completed!$C$77&lt;&gt;"",Completed!$C$77,"")</f>
        <v>8</v>
      </c>
      <c r="W78" s="53">
        <f>IF(Completed!$D$77&lt;&gt;"",Completed!$D$77,"")</f>
        <v>8</v>
      </c>
      <c r="X78" s="53">
        <f>IF(Completed!$E$77&lt;&gt;"",Completed!$E$77,"")</f>
        <v>5</v>
      </c>
      <c r="Y78" s="53">
        <f>IF(Completed!$F$77&lt;&gt;"",Completed!$F$77,"")</f>
        <v>8</v>
      </c>
      <c r="Z78" s="65">
        <f>IF(Completed!$G$77&lt;&gt;"",Completed!$G$77,"")</f>
        <v>7.8567839195979898</v>
      </c>
      <c r="AA78" s="75">
        <f>IF(Completed!$H$77&lt;&gt;"",Completed!$H$77,"")</f>
        <v>7.8765743073047858</v>
      </c>
      <c r="AB78" s="54">
        <f>IF(Completed!$I$77&lt;&gt;"",Completed!$I$77,"")</f>
        <v>41245</v>
      </c>
      <c r="AC78" s="54">
        <f>IF(Completed!$J$77&lt;&gt;"",Completed!$J$77,"")</f>
        <v>41250</v>
      </c>
      <c r="AD78" s="66" t="str">
        <f>IF(Completed!$K$77&lt;&gt;"",Completed!$K$77,"")</f>
        <v>Yuuki Asuna</v>
      </c>
      <c r="AE78" s="66" t="str">
        <f>IF(Completed!$L$77&lt;&gt;"",Completed!$L$77,"")</f>
        <v>First cour was a lot better than the second, ratings adjusted to average both</v>
      </c>
    </row>
    <row r="79" spans="1:31">
      <c r="A79" s="100"/>
      <c r="B79" s="101"/>
      <c r="C79" s="101"/>
      <c r="D79" s="101"/>
      <c r="E79" s="101"/>
      <c r="F79" s="101"/>
      <c r="G79" s="101"/>
      <c r="H79" s="101"/>
      <c r="J79" s="21" t="str">
        <f>IF(Backlog!$A$78&lt;&gt;"",Backlog!$A$78,"")</f>
        <v/>
      </c>
      <c r="K79" s="28" t="str">
        <f>IF(Backlog!$B$78&lt;&gt;"",Backlog!$B$78,"")</f>
        <v/>
      </c>
      <c r="L79" s="29" t="str">
        <f>IF(Backlog!$C$78&lt;&gt;"",Backlog!$C$78,"")</f>
        <v/>
      </c>
      <c r="N79" s="21" t="str">
        <f>IF(Completed!$A$78&lt;&gt;"",Completed!$A$78,"")</f>
        <v>Golden Time</v>
      </c>
      <c r="O79" s="28">
        <f>IF(Completed!$B$78&lt;&gt;"",Completed!$B$78,"")</f>
        <v>1</v>
      </c>
      <c r="P79" s="28">
        <f ca="1">IF($N$79&lt;&gt;"", INDIRECT("'Tracker'!"&amp;ADDRESS(MATCH($N$79, Tracker[Anime Name], 0) + 2, 3)), "")</f>
        <v>24</v>
      </c>
      <c r="Q79" s="22" t="str">
        <f ca="1">IF($N$79&lt;&gt;"", INDIRECT("'Tracker'!"&amp;ADDRESS(MATCH($N$79, Tracker[Anime Name], 0) + 2, 4)), "")</f>
        <v>A</v>
      </c>
      <c r="R79" s="22" t="str">
        <f ca="1">IF($N$79&lt;&gt;"", INDIRECT("'Tracker'!"&amp;ADDRESS(MATCH($N$79, Tracker[Anime Name], 0) + 2, 5)), "")</f>
        <v>720p</v>
      </c>
      <c r="S79" s="22" t="str">
        <f ca="1">IF($N$79&lt;&gt;"", INDIRECT("'Tracker'!"&amp;ADDRESS(MATCH($N$79, Tracker[Anime Name], 0) + 2, 6)), "")</f>
        <v>TV</v>
      </c>
      <c r="T79" s="22" t="str">
        <f ca="1">IF($N$79&lt;&gt;"", INDIRECT("'Tracker'!"&amp;ADDRESS(MATCH($N$79, Tracker[Anime Name], 0) + 2, 7)), "")</f>
        <v>2013C</v>
      </c>
      <c r="U79" s="28" t="str">
        <f ca="1">IF($N$79&lt;&gt;"", INDIRECT("'Tracker'!"&amp;ADDRESS(MATCH($N$79, Tracker[Anime Name], 0) + 2, 8)), "")</f>
        <v>FFF</v>
      </c>
      <c r="V79" s="53">
        <f>IF(Completed!$C$78&lt;&gt;"",Completed!$C$78,"")</f>
        <v>8</v>
      </c>
      <c r="W79" s="53">
        <f>IF(Completed!$D$78&lt;&gt;"",Completed!$D$78,"")</f>
        <v>8</v>
      </c>
      <c r="X79" s="53">
        <f>IF(Completed!$E$78&lt;&gt;"",Completed!$E$78,"")</f>
        <v>5</v>
      </c>
      <c r="Y79" s="53">
        <f>IF(Completed!$F$78&lt;&gt;"",Completed!$F$78,"")</f>
        <v>8</v>
      </c>
      <c r="Z79" s="65">
        <f>IF(Completed!$G$78&lt;&gt;"",Completed!$G$78,"")</f>
        <v>7.8567839195979898</v>
      </c>
      <c r="AA79" s="75">
        <f>IF(Completed!$H$78&lt;&gt;"",Completed!$H$78,"")</f>
        <v>7.8765743073047858</v>
      </c>
      <c r="AB79" s="54">
        <f>IF(Completed!$I$78&lt;&gt;"",Completed!$I$78,"")</f>
        <v>41555</v>
      </c>
      <c r="AC79" s="54">
        <f>IF(Completed!$J$78&lt;&gt;"",Completed!$J$78,"")</f>
        <v>41748</v>
      </c>
      <c r="AD79" s="66" t="str">
        <f>IF(Completed!$K$78&lt;&gt;"",Completed!$K$78,"")</f>
        <v>Hayashida Linda</v>
      </c>
      <c r="AE79" s="66" t="str">
        <f>IF(Completed!$L$78&lt;&gt;"",Completed!$L$78,"")</f>
        <v/>
      </c>
    </row>
    <row r="80" spans="1:31">
      <c r="A80" s="100"/>
      <c r="B80" s="101"/>
      <c r="C80" s="101"/>
      <c r="D80" s="101"/>
      <c r="E80" s="101"/>
      <c r="F80" s="101"/>
      <c r="G80" s="101"/>
      <c r="H80" s="101"/>
      <c r="J80" s="21" t="str">
        <f>IF(Backlog!$A$79&lt;&gt;"",Backlog!$A$79,"")</f>
        <v/>
      </c>
      <c r="K80" s="28" t="str">
        <f>IF(Backlog!$B$79&lt;&gt;"",Backlog!$B$79,"")</f>
        <v/>
      </c>
      <c r="L80" s="29" t="str">
        <f>IF(Backlog!$C$79&lt;&gt;"",Backlog!$C$79,"")</f>
        <v/>
      </c>
      <c r="N80" s="21" t="str">
        <f>IF(Completed!$A$79&lt;&gt;"",Completed!$A$79,"")</f>
        <v>Ro-Kyu-Bu!</v>
      </c>
      <c r="O80" s="28">
        <f>IF(Completed!$B$79&lt;&gt;"",Completed!$B$79,"")</f>
        <v>1</v>
      </c>
      <c r="P80" s="28">
        <f ca="1">IF($N$80&lt;&gt;"", INDIRECT("'Tracker'!"&amp;ADDRESS(MATCH($N$80, Tracker[Anime Name], 0) + 2, 3)), "")</f>
        <v>12</v>
      </c>
      <c r="Q80" s="22" t="str">
        <f ca="1">IF($N$80&lt;&gt;"", INDIRECT("'Tracker'!"&amp;ADDRESS(MATCH($N$80, Tracker[Anime Name], 0) + 2, 4)), "")</f>
        <v>A</v>
      </c>
      <c r="R80" s="22" t="str">
        <f ca="1">IF($N$80&lt;&gt;"", INDIRECT("'Tracker'!"&amp;ADDRESS(MATCH($N$80, Tracker[Anime Name], 0) + 2, 5)), "")</f>
        <v>720p</v>
      </c>
      <c r="S80" s="22" t="str">
        <f ca="1">IF($N$80&lt;&gt;"", INDIRECT("'Tracker'!"&amp;ADDRESS(MATCH($N$80, Tracker[Anime Name], 0) + 2, 6)), "")</f>
        <v>BD</v>
      </c>
      <c r="T80" s="22" t="str">
        <f ca="1">IF($N$80&lt;&gt;"", INDIRECT("'Tracker'!"&amp;ADDRESS(MATCH($N$80, Tracker[Anime Name], 0) + 2, 7)), "")</f>
        <v>2011B</v>
      </c>
      <c r="U80" s="28" t="str">
        <f ca="1">IF($N$80&lt;&gt;"", INDIRECT("'Tracker'!"&amp;ADDRESS(MATCH($N$80, Tracker[Anime Name], 0) + 2, 8)), "")</f>
        <v>Coalgirls, Shikkaku</v>
      </c>
      <c r="V80" s="53">
        <f>IF(Completed!$C$79&lt;&gt;"",Completed!$C$79,"")</f>
        <v>7.5</v>
      </c>
      <c r="W80" s="53">
        <f>IF(Completed!$D$79&lt;&gt;"",Completed!$D$79,"")</f>
        <v>7.5</v>
      </c>
      <c r="X80" s="53">
        <f>IF(Completed!$E$79&lt;&gt;"",Completed!$E$79,"")</f>
        <v>9.5</v>
      </c>
      <c r="Y80" s="53">
        <f>IF(Completed!$F$79&lt;&gt;"",Completed!$F$79,"")</f>
        <v>8</v>
      </c>
      <c r="Z80" s="65">
        <f>IF(Completed!$G$79&lt;&gt;"",Completed!$G$79,"")</f>
        <v>7.8454773869346734</v>
      </c>
      <c r="AA80" s="75">
        <f>IF(Completed!$H$79&lt;&gt;"",Completed!$H$79,"")</f>
        <v>7.8652392947103271</v>
      </c>
      <c r="AB80" s="54">
        <f>IF(Completed!$I$79&lt;&gt;"",Completed!$I$79,"")</f>
        <v>41453</v>
      </c>
      <c r="AC80" s="54">
        <f>IF(Completed!$J$79&lt;&gt;"",Completed!$J$79,"")</f>
        <v>41456</v>
      </c>
      <c r="AD80" s="66" t="str">
        <f>IF(Completed!$K$79&lt;&gt;"",Completed!$K$79,"")</f>
        <v>Hakamada Hinata</v>
      </c>
      <c r="AE80" s="66" t="str">
        <f>IF(Completed!$L$79&lt;&gt;"",Completed!$L$79,"")</f>
        <v/>
      </c>
    </row>
    <row r="81" spans="10:31">
      <c r="J81" s="21" t="str">
        <f>IF(Backlog!$A$80&lt;&gt;"",Backlog!$A$80,"")</f>
        <v/>
      </c>
      <c r="K81" s="28" t="str">
        <f>IF(Backlog!$B$80&lt;&gt;"",Backlog!$B$80,"")</f>
        <v/>
      </c>
      <c r="L81" s="29" t="str">
        <f>IF(Backlog!$C$80&lt;&gt;"",Backlog!$C$80,"")</f>
        <v/>
      </c>
      <c r="N81" s="21" t="str">
        <f>IF(Completed!$A$80&lt;&gt;"",Completed!$A$80,"")</f>
        <v>Inari, Konkon, Koi Iroha.</v>
      </c>
      <c r="O81" s="28">
        <f>IF(Completed!$B$80&lt;&gt;"",Completed!$B$80,"")</f>
        <v>1</v>
      </c>
      <c r="P81" s="28">
        <f ca="1">IF($N$81&lt;&gt;"", INDIRECT("'Tracker'!"&amp;ADDRESS(MATCH($N$81, Tracker[Anime Name], 0) + 2, 3)), "")</f>
        <v>10</v>
      </c>
      <c r="Q81" s="22" t="str">
        <f ca="1">IF($N$81&lt;&gt;"", INDIRECT("'Tracker'!"&amp;ADDRESS(MATCH($N$81, Tracker[Anime Name], 0) + 2, 4)), "")</f>
        <v>A</v>
      </c>
      <c r="R81" s="22" t="str">
        <f ca="1">IF($N$81&lt;&gt;"", INDIRECT("'Tracker'!"&amp;ADDRESS(MATCH($N$81, Tracker[Anime Name], 0) + 2, 5)), "")</f>
        <v>720p</v>
      </c>
      <c r="S81" s="22" t="str">
        <f ca="1">IF($N$81&lt;&gt;"", INDIRECT("'Tracker'!"&amp;ADDRESS(MATCH($N$81, Tracker[Anime Name], 0) + 2, 6)), "")</f>
        <v>TV</v>
      </c>
      <c r="T81" s="22" t="str">
        <f ca="1">IF($N$81&lt;&gt;"", INDIRECT("'Tracker'!"&amp;ADDRESS(MATCH($N$81, Tracker[Anime Name], 0) + 2, 7)), "")</f>
        <v>2013D</v>
      </c>
      <c r="U81" s="28" t="str">
        <f ca="1">IF($N$81&lt;&gt;"", INDIRECT("'Tracker'!"&amp;ADDRESS(MATCH($N$81, Tracker[Anime Name], 0) + 2, 8)), "")</f>
        <v>Vivid</v>
      </c>
      <c r="V81" s="53">
        <f>IF(Completed!$C$80&lt;&gt;"",Completed!$C$80,"")</f>
        <v>7.5</v>
      </c>
      <c r="W81" s="53">
        <f>IF(Completed!$D$80&lt;&gt;"",Completed!$D$80,"")</f>
        <v>8</v>
      </c>
      <c r="X81" s="53">
        <f>IF(Completed!$E$80&lt;&gt;"",Completed!$E$80,"")</f>
        <v>6</v>
      </c>
      <c r="Y81" s="53">
        <f>IF(Completed!$F$80&lt;&gt;"",Completed!$F$80,"")</f>
        <v>8</v>
      </c>
      <c r="Z81" s="65">
        <f>IF(Completed!$G$80&lt;&gt;"",Completed!$G$80,"")</f>
        <v>7.8128140703517586</v>
      </c>
      <c r="AA81" s="75">
        <f>IF(Completed!$H$80&lt;&gt;"",Completed!$H$80,"")</f>
        <v>7.8324937027707806</v>
      </c>
      <c r="AB81" s="54">
        <f>IF(Completed!$I$80&lt;&gt;"",Completed!$I$80,"")</f>
        <v>41661</v>
      </c>
      <c r="AC81" s="54">
        <f>IF(Completed!$J$80&lt;&gt;"",Completed!$J$80,"")</f>
        <v>41722</v>
      </c>
      <c r="AD81" s="66" t="str">
        <f>IF(Completed!$K$80&lt;&gt;"",Completed!$K$80,"")</f>
        <v>Sanjou Keiko</v>
      </c>
      <c r="AE81" s="66" t="str">
        <f>IF(Completed!$L$80&lt;&gt;"",Completed!$L$80,"")</f>
        <v/>
      </c>
    </row>
    <row r="82" spans="10:31">
      <c r="J82" s="21" t="str">
        <f>IF(Backlog!$A$81&lt;&gt;"",Backlog!$A$81,"")</f>
        <v/>
      </c>
      <c r="K82" s="28" t="str">
        <f>IF(Backlog!$B$81&lt;&gt;"",Backlog!$B$81,"")</f>
        <v/>
      </c>
      <c r="L82" s="29" t="str">
        <f>IF(Backlog!$C$81&lt;&gt;"",Backlog!$C$81,"")</f>
        <v/>
      </c>
      <c r="N82" s="21" t="str">
        <f>IF(Completed!$A$81&lt;&gt;"",Completed!$A$81,"")</f>
        <v>Danshi Koukousei no Nichijou</v>
      </c>
      <c r="O82" s="28">
        <f>IF(Completed!$B$81&lt;&gt;"",Completed!$B$81,"")</f>
        <v>1</v>
      </c>
      <c r="P82" s="28">
        <f ca="1">IF($N$82&lt;&gt;"", INDIRECT("'Tracker'!"&amp;ADDRESS(MATCH($N$82, Tracker[Anime Name], 0) + 2, 3)), "")</f>
        <v>12</v>
      </c>
      <c r="Q82" s="22" t="str">
        <f ca="1">IF($N$82&lt;&gt;"", INDIRECT("'Tracker'!"&amp;ADDRESS(MATCH($N$82, Tracker[Anime Name], 0) + 2, 4)), "")</f>
        <v>A</v>
      </c>
      <c r="R82" s="22" t="str">
        <f ca="1">IF($N$82&lt;&gt;"", INDIRECT("'Tracker'!"&amp;ADDRESS(MATCH($N$82, Tracker[Anime Name], 0) + 2, 5)), "")</f>
        <v>720p</v>
      </c>
      <c r="S82" s="22" t="str">
        <f ca="1">IF($N$82&lt;&gt;"", INDIRECT("'Tracker'!"&amp;ADDRESS(MATCH($N$82, Tracker[Anime Name], 0) + 2, 6)), "")</f>
        <v>BD</v>
      </c>
      <c r="T82" s="22" t="str">
        <f ca="1">IF($N$82&lt;&gt;"", INDIRECT("'Tracker'!"&amp;ADDRESS(MATCH($N$82, Tracker[Anime Name], 0) + 2, 7)), "")</f>
        <v>2011D</v>
      </c>
      <c r="U82" s="28" t="str">
        <f ca="1">IF($N$82&lt;&gt;"", INDIRECT("'Tracker'!"&amp;ADDRESS(MATCH($N$82, Tracker[Anime Name], 0) + 2, 8)), "")</f>
        <v>AnimeNOW</v>
      </c>
      <c r="V82" s="53">
        <f>IF(Completed!$C$81&lt;&gt;"",Completed!$C$81,"")</f>
        <v>4</v>
      </c>
      <c r="W82" s="53">
        <f>IF(Completed!$D$81&lt;&gt;"",Completed!$D$81,"")</f>
        <v>8</v>
      </c>
      <c r="X82" s="53">
        <f>IF(Completed!$E$81&lt;&gt;"",Completed!$E$81,"")</f>
        <v>3</v>
      </c>
      <c r="Y82" s="53">
        <f>IF(Completed!$F$81&lt;&gt;"",Completed!$F$81,"")</f>
        <v>9.5</v>
      </c>
      <c r="Z82" s="65">
        <f>IF(Completed!$G$81&lt;&gt;"",Completed!$G$81,"")</f>
        <v>7.7776381909547743</v>
      </c>
      <c r="AA82" s="75">
        <f>IF(Completed!$H$81&lt;&gt;"",Completed!$H$81,"")</f>
        <v>7.7972292191435759</v>
      </c>
      <c r="AB82" s="54">
        <f>IF(Completed!$I$81&lt;&gt;"",Completed!$I$81,"")</f>
        <v>41443</v>
      </c>
      <c r="AC82" s="54">
        <f>IF(Completed!$J$81&lt;&gt;"",Completed!$J$81,"")</f>
        <v>41444</v>
      </c>
      <c r="AD82" s="66" t="str">
        <f>IF(Completed!$K$81&lt;&gt;"",Completed!$K$81,"")</f>
        <v>Literary Girl</v>
      </c>
      <c r="AE82" s="66" t="str">
        <f>IF(Completed!$L$81&lt;&gt;"",Completed!$L$81,"")</f>
        <v/>
      </c>
    </row>
    <row r="83" spans="10:31">
      <c r="J83" s="21" t="str">
        <f>IF(Backlog!$A$82&lt;&gt;"",Backlog!$A$82,"")</f>
        <v/>
      </c>
      <c r="K83" s="28" t="str">
        <f>IF(Backlog!$B$82&lt;&gt;"",Backlog!$B$82,"")</f>
        <v/>
      </c>
      <c r="L83" s="29" t="str">
        <f>IF(Backlog!$C$82&lt;&gt;"",Backlog!$C$82,"")</f>
        <v/>
      </c>
      <c r="N83" s="21" t="str">
        <f>IF(Completed!$A$82&lt;&gt;"",Completed!$A$82,"")</f>
        <v>Yosuga no Sora</v>
      </c>
      <c r="O83" s="28">
        <f>IF(Completed!$B$82&lt;&gt;"",Completed!$B$82,"")</f>
        <v>1</v>
      </c>
      <c r="P83" s="28">
        <f ca="1">IF($N$83&lt;&gt;"", INDIRECT("'Tracker'!"&amp;ADDRESS(MATCH($N$83, Tracker[Anime Name], 0) + 2, 3)), "")</f>
        <v>12</v>
      </c>
      <c r="Q83" s="22" t="str">
        <f ca="1">IF($N$83&lt;&gt;"", INDIRECT("'Tracker'!"&amp;ADDRESS(MATCH($N$83, Tracker[Anime Name], 0) + 2, 4)), "")</f>
        <v>A</v>
      </c>
      <c r="R83" s="22" t="str">
        <f ca="1">IF($N$83&lt;&gt;"", INDIRECT("'Tracker'!"&amp;ADDRESS(MATCH($N$83, Tracker[Anime Name], 0) + 2, 5)), "")</f>
        <v>720p</v>
      </c>
      <c r="S83" s="22" t="str">
        <f ca="1">IF($N$83&lt;&gt;"", INDIRECT("'Tracker'!"&amp;ADDRESS(MATCH($N$83, Tracker[Anime Name], 0) + 2, 6)), "")</f>
        <v>BD</v>
      </c>
      <c r="T83" s="22" t="str">
        <f ca="1">IF($N$83&lt;&gt;"", INDIRECT("'Tracker'!"&amp;ADDRESS(MATCH($N$83, Tracker[Anime Name], 0) + 2, 7)), "")</f>
        <v>2010C</v>
      </c>
      <c r="U83" s="28" t="str">
        <f ca="1">IF($N$83&lt;&gt;"", INDIRECT("'Tracker'!"&amp;ADDRESS(MATCH($N$83, Tracker[Anime Name], 0) + 2, 8)), "")</f>
        <v>Coalgirls, UTW, Ryuumaru</v>
      </c>
      <c r="V83" s="53">
        <f>IF(Completed!$C$82&lt;&gt;"",Completed!$C$82,"")</f>
        <v>7</v>
      </c>
      <c r="W83" s="53">
        <f>IF(Completed!$D$82&lt;&gt;"",Completed!$D$82,"")</f>
        <v>8</v>
      </c>
      <c r="X83" s="53">
        <f>IF(Completed!$E$82&lt;&gt;"",Completed!$E$82,"")</f>
        <v>7</v>
      </c>
      <c r="Y83" s="53">
        <f>IF(Completed!$F$82&lt;&gt;"",Completed!$F$82,"")</f>
        <v>8</v>
      </c>
      <c r="Z83" s="65">
        <f>IF(Completed!$G$82&lt;&gt;"",Completed!$G$82,"")</f>
        <v>7.7688442211055282</v>
      </c>
      <c r="AA83" s="75">
        <f>IF(Completed!$H$82&lt;&gt;"",Completed!$H$82,"")</f>
        <v>7.7884130982367754</v>
      </c>
      <c r="AB83" s="54">
        <f>IF(Completed!$I$82&lt;&gt;"",Completed!$I$82,"")</f>
        <v>41457</v>
      </c>
      <c r="AC83" s="54">
        <f>IF(Completed!$J$82&lt;&gt;"",Completed!$J$82,"")</f>
        <v>41463</v>
      </c>
      <c r="AD83" s="66" t="str">
        <f>IF(Completed!$K$82&lt;&gt;"",Completed!$K$82,"")</f>
        <v>Kasugano Sora</v>
      </c>
      <c r="AE83" s="66" t="str">
        <f>IF(Completed!$L$82&lt;&gt;"",Completed!$L$82,"")</f>
        <v/>
      </c>
    </row>
    <row r="84" spans="10:31">
      <c r="J84" s="21" t="str">
        <f>IF(Backlog!$A$83&lt;&gt;"",Backlog!$A$83,"")</f>
        <v/>
      </c>
      <c r="K84" s="28" t="str">
        <f>IF(Backlog!$B$83&lt;&gt;"",Backlog!$B$83,"")</f>
        <v/>
      </c>
      <c r="L84" s="29" t="str">
        <f>IF(Backlog!$C$83&lt;&gt;"",Backlog!$C$83,"")</f>
        <v/>
      </c>
      <c r="N84" s="21" t="str">
        <f>IF(Completed!$A$83&lt;&gt;"",Completed!$A$83,"")</f>
        <v>D-Frag!</v>
      </c>
      <c r="O84" s="28">
        <f>IF(Completed!$B$83&lt;&gt;"",Completed!$B$83,"")</f>
        <v>1</v>
      </c>
      <c r="P84" s="28">
        <f ca="1">IF($N$84&lt;&gt;"", INDIRECT("'Tracker'!"&amp;ADDRESS(MATCH($N$84, Tracker[Anime Name], 0) + 2, 3)), "")</f>
        <v>12</v>
      </c>
      <c r="Q84" s="22" t="str">
        <f ca="1">IF($N$84&lt;&gt;"", INDIRECT("'Tracker'!"&amp;ADDRESS(MATCH($N$84, Tracker[Anime Name], 0) + 2, 4)), "")</f>
        <v>B</v>
      </c>
      <c r="R84" s="22" t="str">
        <f ca="1">IF($N$84&lt;&gt;"", INDIRECT("'Tracker'!"&amp;ADDRESS(MATCH($N$84, Tracker[Anime Name], 0) + 2, 5)), "")</f>
        <v>720p</v>
      </c>
      <c r="S84" s="22" t="str">
        <f ca="1">IF($N$84&lt;&gt;"", INDIRECT("'Tracker'!"&amp;ADDRESS(MATCH($N$84, Tracker[Anime Name], 0) + 2, 6)), "")</f>
        <v>TV</v>
      </c>
      <c r="T84" s="22" t="str">
        <f ca="1">IF($N$84&lt;&gt;"", INDIRECT("'Tracker'!"&amp;ADDRESS(MATCH($N$84, Tracker[Anime Name], 0) + 2, 7)), "")</f>
        <v>2013D</v>
      </c>
      <c r="U84" s="28" t="str">
        <f ca="1">IF($N$84&lt;&gt;"", INDIRECT("'Tracker'!"&amp;ADDRESS(MATCH($N$84, Tracker[Anime Name], 0) + 2, 8)), "")</f>
        <v>Vivid</v>
      </c>
      <c r="V84" s="53">
        <f>IF(Completed!$C$83&lt;&gt;"",Completed!$C$83,"")</f>
        <v>7.5</v>
      </c>
      <c r="W84" s="53">
        <f>IF(Completed!$D$83&lt;&gt;"",Completed!$D$83,"")</f>
        <v>8</v>
      </c>
      <c r="X84" s="53">
        <f>IF(Completed!$E$83&lt;&gt;"",Completed!$E$83,"")</f>
        <v>5</v>
      </c>
      <c r="Y84" s="53">
        <f>IF(Completed!$F$83&lt;&gt;"",Completed!$F$83,"")</f>
        <v>8</v>
      </c>
      <c r="Z84" s="65">
        <f>IF(Completed!$G$83&lt;&gt;"",Completed!$G$83,"")</f>
        <v>7.7650753768844227</v>
      </c>
      <c r="AA84" s="75">
        <f>IF(Completed!$H$83&lt;&gt;"",Completed!$H$83,"")</f>
        <v>7.7846347607052895</v>
      </c>
      <c r="AB84" s="54">
        <f>IF(Completed!$I$83&lt;&gt;"",Completed!$I$83,"")</f>
        <v>41648</v>
      </c>
      <c r="AC84" s="54">
        <f>IF(Completed!$J$83&lt;&gt;"",Completed!$J$83,"")</f>
        <v>41746</v>
      </c>
      <c r="AD84" s="66" t="str">
        <f>IF(Completed!$K$83&lt;&gt;"",Completed!$K$83,"")</f>
        <v>Shibasaki Roka</v>
      </c>
      <c r="AE84" s="66" t="str">
        <f>IF(Completed!$L$83&lt;&gt;"",Completed!$L$83,"")</f>
        <v/>
      </c>
    </row>
    <row r="85" spans="10:31">
      <c r="J85" s="21" t="str">
        <f>IF(Backlog!$A$84&lt;&gt;"",Backlog!$A$84,"")</f>
        <v/>
      </c>
      <c r="K85" s="28" t="str">
        <f>IF(Backlog!$B$84&lt;&gt;"",Backlog!$B$84,"")</f>
        <v/>
      </c>
      <c r="L85" s="29" t="str">
        <f>IF(Backlog!$C$84&lt;&gt;"",Backlog!$C$84,"")</f>
        <v/>
      </c>
      <c r="N85" s="21" t="str">
        <f>IF(Completed!$A$84&lt;&gt;"",Completed!$A$84,"")</f>
        <v>Kiniro Mosaic</v>
      </c>
      <c r="O85" s="28">
        <f>IF(Completed!$B$84&lt;&gt;"",Completed!$B$84,"")</f>
        <v>1</v>
      </c>
      <c r="P85" s="28">
        <f ca="1">IF($N$85&lt;&gt;"", INDIRECT("'Tracker'!"&amp;ADDRESS(MATCH($N$85, Tracker[Anime Name], 0) + 2, 3)), "")</f>
        <v>12</v>
      </c>
      <c r="Q85" s="22" t="str">
        <f ca="1">IF($N$85&lt;&gt;"", INDIRECT("'Tracker'!"&amp;ADDRESS(MATCH($N$85, Tracker[Anime Name], 0) + 2, 4)), "")</f>
        <v>A</v>
      </c>
      <c r="R85" s="22" t="str">
        <f ca="1">IF($N$85&lt;&gt;"", INDIRECT("'Tracker'!"&amp;ADDRESS(MATCH($N$85, Tracker[Anime Name], 0) + 2, 5)), "")</f>
        <v>1080p</v>
      </c>
      <c r="S85" s="22" t="str">
        <f ca="1">IF($N$85&lt;&gt;"", INDIRECT("'Tracker'!"&amp;ADDRESS(MATCH($N$85, Tracker[Anime Name], 0) + 2, 6)), "")</f>
        <v>BD</v>
      </c>
      <c r="T85" s="22" t="str">
        <f ca="1">IF($N$85&lt;&gt;"", INDIRECT("'Tracker'!"&amp;ADDRESS(MATCH($N$85, Tracker[Anime Name], 0) + 2, 7)), "")</f>
        <v>2013B</v>
      </c>
      <c r="U85" s="28" t="str">
        <f ca="1">IF($N$85&lt;&gt;"", INDIRECT("'Tracker'!"&amp;ADDRESS(MATCH($N$85, Tracker[Anime Name], 0) + 2, 8)), "")</f>
        <v>Doki</v>
      </c>
      <c r="V85" s="53">
        <f>IF(Completed!$C$84&lt;&gt;"",Completed!$C$84,"")</f>
        <v>3.5</v>
      </c>
      <c r="W85" s="53">
        <f>IF(Completed!$D$84&lt;&gt;"",Completed!$D$84,"")</f>
        <v>8</v>
      </c>
      <c r="X85" s="53">
        <f>IF(Completed!$E$84&lt;&gt;"",Completed!$E$84,"")</f>
        <v>9.5</v>
      </c>
      <c r="Y85" s="53">
        <f>IF(Completed!$F$84&lt;&gt;"",Completed!$F$84,"")</f>
        <v>9</v>
      </c>
      <c r="Z85" s="65">
        <f>IF(Completed!$G$84&lt;&gt;"",Completed!$G$84,"")</f>
        <v>7.7462311557788937</v>
      </c>
      <c r="AA85" s="75">
        <f>IF(Completed!$H$84&lt;&gt;"",Completed!$H$84,"")</f>
        <v>7.765743073047858</v>
      </c>
      <c r="AB85" s="54">
        <f>IF(Completed!$I$84&lt;&gt;"",Completed!$I$84,"")</f>
        <v>41462</v>
      </c>
      <c r="AC85" s="54">
        <f>IF(Completed!$J$84&lt;&gt;"",Completed!$J$84,"")</f>
        <v>41538</v>
      </c>
      <c r="AD85" s="66" t="str">
        <f>IF(Completed!$K$84&lt;&gt;"",Completed!$K$84,"")</f>
        <v>Komichi Aya</v>
      </c>
      <c r="AE85" s="66" t="str">
        <f>IF(Completed!$L$84&lt;&gt;"",Completed!$L$84,"")</f>
        <v/>
      </c>
    </row>
    <row r="86" spans="10:31">
      <c r="J86" s="21" t="str">
        <f>IF(Backlog!$A$85&lt;&gt;"",Backlog!$A$85,"")</f>
        <v/>
      </c>
      <c r="K86" s="28" t="str">
        <f>IF(Backlog!$B$85&lt;&gt;"",Backlog!$B$85,"")</f>
        <v/>
      </c>
      <c r="L86" s="29" t="str">
        <f>IF(Backlog!$C$85&lt;&gt;"",Backlog!$C$85,"")</f>
        <v/>
      </c>
      <c r="N86" s="21" t="str">
        <f>IF(Completed!$A$85&lt;&gt;"",Completed!$A$85,"")</f>
        <v>Nichijou</v>
      </c>
      <c r="O86" s="28">
        <f>IF(Completed!$B$85&lt;&gt;"",Completed!$B$85,"")</f>
        <v>1</v>
      </c>
      <c r="P86" s="28">
        <f ca="1">IF($N$86&lt;&gt;"", INDIRECT("'Tracker'!"&amp;ADDRESS(MATCH($N$86, Tracker[Anime Name], 0) + 2, 3)), "")</f>
        <v>26</v>
      </c>
      <c r="Q86" s="22" t="str">
        <f ca="1">IF($N$86&lt;&gt;"", INDIRECT("'Tracker'!"&amp;ADDRESS(MATCH($N$86, Tracker[Anime Name], 0) + 2, 4)), "")</f>
        <v>A</v>
      </c>
      <c r="R86" s="22" t="str">
        <f ca="1">IF($N$86&lt;&gt;"", INDIRECT("'Tracker'!"&amp;ADDRESS(MATCH($N$86, Tracker[Anime Name], 0) + 2, 5)), "")</f>
        <v>1080p</v>
      </c>
      <c r="S86" s="22" t="str">
        <f ca="1">IF($N$86&lt;&gt;"", INDIRECT("'Tracker'!"&amp;ADDRESS(MATCH($N$86, Tracker[Anime Name], 0) + 2, 6)), "")</f>
        <v>BD</v>
      </c>
      <c r="T86" s="22" t="str">
        <f ca="1">IF($N$86&lt;&gt;"", INDIRECT("'Tracker'!"&amp;ADDRESS(MATCH($N$86, Tracker[Anime Name], 0) + 2, 7)), "")</f>
        <v>2011A</v>
      </c>
      <c r="U86" s="28" t="str">
        <f ca="1">IF($N$86&lt;&gt;"", INDIRECT("'Tracker'!"&amp;ADDRESS(MATCH($N$86, Tracker[Anime Name], 0) + 2, 8)), "")</f>
        <v>Doki</v>
      </c>
      <c r="V86" s="53">
        <f>IF(Completed!$C$85&lt;&gt;"",Completed!$C$85,"")</f>
        <v>2</v>
      </c>
      <c r="W86" s="53">
        <f>IF(Completed!$D$85&lt;&gt;"",Completed!$D$85,"")</f>
        <v>8.5</v>
      </c>
      <c r="X86" s="53">
        <f>IF(Completed!$E$85&lt;&gt;"",Completed!$E$85,"")</f>
        <v>7</v>
      </c>
      <c r="Y86" s="53">
        <f>IF(Completed!$F$85&lt;&gt;"",Completed!$F$85,"")</f>
        <v>9.5</v>
      </c>
      <c r="Z86" s="65">
        <f>IF(Completed!$G$85&lt;&gt;"",Completed!$G$85,"")</f>
        <v>7.7361809045226133</v>
      </c>
      <c r="AA86" s="75">
        <f>IF(Completed!$H$85&lt;&gt;"",Completed!$H$85,"")</f>
        <v>7.7556675062972298</v>
      </c>
      <c r="AB86" s="54">
        <f>IF(Completed!$I$85&lt;&gt;"",Completed!$I$85,"")</f>
        <v>41291</v>
      </c>
      <c r="AC86" s="54">
        <f>IF(Completed!$J$85&lt;&gt;"",Completed!$J$85,"")</f>
        <v>41298</v>
      </c>
      <c r="AD86" s="66" t="str">
        <f>IF(Completed!$K$85&lt;&gt;"",Completed!$K$85,"")</f>
        <v>Minakami Mai</v>
      </c>
      <c r="AE86" s="66" t="str">
        <f>IF(Completed!$L$85&lt;&gt;"",Completed!$L$85,"")</f>
        <v>The ultimate slice of life. Pretty funny, but art style bothers me</v>
      </c>
    </row>
    <row r="87" spans="10:31">
      <c r="J87" s="21" t="str">
        <f>IF(Backlog!$A$86&lt;&gt;"",Backlog!$A$86,"")</f>
        <v/>
      </c>
      <c r="K87" s="28" t="str">
        <f>IF(Backlog!$B$86&lt;&gt;"",Backlog!$B$86,"")</f>
        <v/>
      </c>
      <c r="L87" s="29" t="str">
        <f>IF(Backlog!$C$86&lt;&gt;"",Backlog!$C$86,"")</f>
        <v/>
      </c>
      <c r="N87" s="21" t="str">
        <f>IF(Completed!$A$86&lt;&gt;"",Completed!$A$86,"")</f>
        <v>Coppelion</v>
      </c>
      <c r="O87" s="28">
        <f>IF(Completed!$B$86&lt;&gt;"",Completed!$B$86,"")</f>
        <v>1</v>
      </c>
      <c r="P87" s="28">
        <f ca="1">IF($N$87&lt;&gt;"", INDIRECT("'Tracker'!"&amp;ADDRESS(MATCH($N$87, Tracker[Anime Name], 0) + 2, 3)), "")</f>
        <v>13</v>
      </c>
      <c r="Q87" s="22" t="str">
        <f ca="1">IF($N$87&lt;&gt;"", INDIRECT("'Tracker'!"&amp;ADDRESS(MATCH($N$87, Tracker[Anime Name], 0) + 2, 4)), "")</f>
        <v>A</v>
      </c>
      <c r="R87" s="22" t="str">
        <f ca="1">IF($N$87&lt;&gt;"", INDIRECT("'Tracker'!"&amp;ADDRESS(MATCH($N$87, Tracker[Anime Name], 0) + 2, 5)), "")</f>
        <v>720p</v>
      </c>
      <c r="S87" s="22" t="str">
        <f ca="1">IF($N$87&lt;&gt;"", INDIRECT("'Tracker'!"&amp;ADDRESS(MATCH($N$87, Tracker[Anime Name], 0) + 2, 6)), "")</f>
        <v>Web</v>
      </c>
      <c r="T87" s="22" t="str">
        <f ca="1">IF($N$87&lt;&gt;"", INDIRECT("'Tracker'!"&amp;ADDRESS(MATCH($N$87, Tracker[Anime Name], 0) + 2, 7)), "")</f>
        <v>2013C</v>
      </c>
      <c r="U87" s="28" t="str">
        <f ca="1">IF($N$87&lt;&gt;"", INDIRECT("'Tracker'!"&amp;ADDRESS(MATCH($N$87, Tracker[Anime Name], 0) + 2, 8)), "")</f>
        <v>HorribleSubs</v>
      </c>
      <c r="V87" s="53">
        <f>IF(Completed!$C$86&lt;&gt;"",Completed!$C$86,"")</f>
        <v>8.5</v>
      </c>
      <c r="W87" s="53">
        <f>IF(Completed!$D$86&lt;&gt;"",Completed!$D$86,"")</f>
        <v>7.5</v>
      </c>
      <c r="X87" s="53">
        <f>IF(Completed!$E$86&lt;&gt;"",Completed!$E$86,"")</f>
        <v>2</v>
      </c>
      <c r="Y87" s="53">
        <f>IF(Completed!$F$86&lt;&gt;"",Completed!$F$86,"")</f>
        <v>8</v>
      </c>
      <c r="Z87" s="65">
        <f>IF(Completed!$G$86&lt;&gt;"",Completed!$G$86,"")</f>
        <v>7.6708542713567844</v>
      </c>
      <c r="AA87" s="75">
        <f>IF(Completed!$H$86&lt;&gt;"",Completed!$H$86,"")</f>
        <v>7.6901763224181368</v>
      </c>
      <c r="AB87" s="54">
        <f>IF(Completed!$I$86&lt;&gt;"",Completed!$I$86,"")</f>
        <v>41555</v>
      </c>
      <c r="AC87" s="54">
        <f>IF(Completed!$J$86&lt;&gt;"",Completed!$J$86,"")</f>
        <v>41634</v>
      </c>
      <c r="AD87" s="66" t="str">
        <f>IF(Completed!$K$86&lt;&gt;"",Completed!$K$86,"")</f>
        <v>Nomura Taeko</v>
      </c>
      <c r="AE87" s="66" t="str">
        <f>IF(Completed!$L$86&lt;&gt;"",Completed!$L$86,"")</f>
        <v>Despite a few plot holes, it was pretty good overall</v>
      </c>
    </row>
    <row r="88" spans="10:31">
      <c r="J88" s="21" t="str">
        <f>IF(Backlog!$A$87&lt;&gt;"",Backlog!$A$87,"")</f>
        <v/>
      </c>
      <c r="K88" s="28" t="str">
        <f>IF(Backlog!$B$87&lt;&gt;"",Backlog!$B$87,"")</f>
        <v/>
      </c>
      <c r="L88" s="29" t="str">
        <f>IF(Backlog!$C$87&lt;&gt;"",Backlog!$C$87,"")</f>
        <v/>
      </c>
      <c r="N88" s="21" t="str">
        <f>IF(Completed!$A$87&lt;&gt;"",Completed!$A$87,"")</f>
        <v>Chuunibyou demo Koi ga Shitai! Ren</v>
      </c>
      <c r="O88" s="28">
        <f>IF(Completed!$B$87&lt;&gt;"",Completed!$B$87,"")</f>
        <v>2</v>
      </c>
      <c r="P88" s="28">
        <f ca="1">IF($N$88&lt;&gt;"", INDIRECT("'Tracker'!"&amp;ADDRESS(MATCH($N$88, Tracker[Anime Name], 0) + 2, 3)), "")</f>
        <v>12</v>
      </c>
      <c r="Q88" s="22" t="str">
        <f ca="1">IF($N$88&lt;&gt;"", INDIRECT("'Tracker'!"&amp;ADDRESS(MATCH($N$88, Tracker[Anime Name], 0) + 2, 4)), "")</f>
        <v>A</v>
      </c>
      <c r="R88" s="22" t="str">
        <f ca="1">IF($N$88&lt;&gt;"", INDIRECT("'Tracker'!"&amp;ADDRESS(MATCH($N$88, Tracker[Anime Name], 0) + 2, 5)), "")</f>
        <v>720p</v>
      </c>
      <c r="S88" s="22" t="str">
        <f ca="1">IF($N$88&lt;&gt;"", INDIRECT("'Tracker'!"&amp;ADDRESS(MATCH($N$88, Tracker[Anime Name], 0) + 2, 6)), "")</f>
        <v>TV</v>
      </c>
      <c r="T88" s="22" t="str">
        <f ca="1">IF($N$88&lt;&gt;"", INDIRECT("'Tracker'!"&amp;ADDRESS(MATCH($N$88, Tracker[Anime Name], 0) + 2, 7)), "")</f>
        <v>2013D</v>
      </c>
      <c r="U88" s="28" t="str">
        <f ca="1">IF($N$88&lt;&gt;"", INDIRECT("'Tracker'!"&amp;ADDRESS(MATCH($N$88, Tracker[Anime Name], 0) + 2, 8)), "")</f>
        <v>FFF, UTW (FTW)</v>
      </c>
      <c r="V88" s="53">
        <f>IF(Completed!$C$87&lt;&gt;"",Completed!$C$87,"")</f>
        <v>8</v>
      </c>
      <c r="W88" s="53">
        <f>IF(Completed!$D$87&lt;&gt;"",Completed!$D$87,"")</f>
        <v>8</v>
      </c>
      <c r="X88" s="53">
        <f>IF(Completed!$E$87&lt;&gt;"",Completed!$E$87,"")</f>
        <v>6</v>
      </c>
      <c r="Y88" s="53">
        <f>IF(Completed!$F$87&lt;&gt;"",Completed!$F$87,"")</f>
        <v>7.5</v>
      </c>
      <c r="Z88" s="65">
        <f>IF(Completed!$G$87&lt;&gt;"",Completed!$G$87,"")</f>
        <v>7.6545226130653274</v>
      </c>
      <c r="AA88" s="75">
        <f>IF(Completed!$H$87&lt;&gt;"",Completed!$H$87,"")</f>
        <v>7.6738035264483635</v>
      </c>
      <c r="AB88" s="54">
        <f>IF(Completed!$I$87&lt;&gt;"",Completed!$I$87,"")</f>
        <v>41648</v>
      </c>
      <c r="AC88" s="54">
        <f>IF(Completed!$J$87&lt;&gt;"",Completed!$J$87,"")</f>
        <v>41730</v>
      </c>
      <c r="AD88" s="66" t="str">
        <f>IF(Completed!$K$87&lt;&gt;"",Completed!$K$87,"")</f>
        <v>Togashi Kuzuha</v>
      </c>
      <c r="AE88" s="66" t="str">
        <f>IF(Completed!$L$87&lt;&gt;"",Completed!$L$87,"")</f>
        <v/>
      </c>
    </row>
    <row r="89" spans="10:31">
      <c r="J89" s="21" t="str">
        <f>IF(Backlog!$A$88&lt;&gt;"",Backlog!$A$88,"")</f>
        <v/>
      </c>
      <c r="K89" s="28" t="str">
        <f>IF(Backlog!$B$88&lt;&gt;"",Backlog!$B$88,"")</f>
        <v/>
      </c>
      <c r="L89" s="29" t="str">
        <f>IF(Backlog!$C$88&lt;&gt;"",Backlog!$C$88,"")</f>
        <v/>
      </c>
      <c r="N89" s="21" t="str">
        <f>IF(Completed!$A$88&lt;&gt;"",Completed!$A$88,"")</f>
        <v>Chuunibyou demo Koi ga Shitai!</v>
      </c>
      <c r="O89" s="28">
        <f>IF(Completed!$B$88&lt;&gt;"",Completed!$B$88,"")</f>
        <v>1</v>
      </c>
      <c r="P89" s="28">
        <f ca="1">IF($N$89&lt;&gt;"", INDIRECT("'Tracker'!"&amp;ADDRESS(MATCH($N$89, Tracker[Anime Name], 0) + 2, 3)), "")</f>
        <v>12</v>
      </c>
      <c r="Q89" s="22" t="str">
        <f ca="1">IF($N$89&lt;&gt;"", INDIRECT("'Tracker'!"&amp;ADDRESS(MATCH($N$89, Tracker[Anime Name], 0) + 2, 4)), "")</f>
        <v>A</v>
      </c>
      <c r="R89" s="22" t="str">
        <f ca="1">IF($N$89&lt;&gt;"", INDIRECT("'Tracker'!"&amp;ADDRESS(MATCH($N$89, Tracker[Anime Name], 0) + 2, 5)), "")</f>
        <v>720p</v>
      </c>
      <c r="S89" s="22" t="str">
        <f ca="1">IF($N$89&lt;&gt;"", INDIRECT("'Tracker'!"&amp;ADDRESS(MATCH($N$89, Tracker[Anime Name], 0) + 2, 6)), "")</f>
        <v>TV</v>
      </c>
      <c r="T89" s="22" t="str">
        <f ca="1">IF($N$89&lt;&gt;"", INDIRECT("'Tracker'!"&amp;ADDRESS(MATCH($N$89, Tracker[Anime Name], 0) + 2, 7)), "")</f>
        <v>2012C</v>
      </c>
      <c r="U89" s="28" t="str">
        <f ca="1">IF($N$89&lt;&gt;"", INDIRECT("'Tracker'!"&amp;ADDRESS(MATCH($N$89, Tracker[Anime Name], 0) + 2, 8)), "")</f>
        <v>UTW, rori (URW)</v>
      </c>
      <c r="V89" s="53">
        <f>IF(Completed!$C$88&lt;&gt;"",Completed!$C$88,"")</f>
        <v>8</v>
      </c>
      <c r="W89" s="53">
        <f>IF(Completed!$D$88&lt;&gt;"",Completed!$D$88,"")</f>
        <v>7</v>
      </c>
      <c r="X89" s="53">
        <f>IF(Completed!$E$88&lt;&gt;"",Completed!$E$88,"")</f>
        <v>6</v>
      </c>
      <c r="Y89" s="53">
        <f>IF(Completed!$F$88&lt;&gt;"",Completed!$F$88,"")</f>
        <v>8</v>
      </c>
      <c r="Z89" s="65">
        <f>IF(Completed!$G$88&lt;&gt;"",Completed!$G$88,"")</f>
        <v>7.6356783919597992</v>
      </c>
      <c r="AA89" s="75">
        <f>IF(Completed!$H$88&lt;&gt;"",Completed!$H$88,"")</f>
        <v>7.6549118387909312</v>
      </c>
      <c r="AB89" s="54">
        <f>IF(Completed!$I$88&lt;&gt;"",Completed!$I$88,"")</f>
        <v>41251</v>
      </c>
      <c r="AC89" s="54">
        <f>IF(Completed!$J$88&lt;&gt;"",Completed!$J$88,"")</f>
        <v>41263</v>
      </c>
      <c r="AD89" s="66" t="str">
        <f>IF(Completed!$K$88&lt;&gt;"",Completed!$K$88,"")</f>
        <v>Takanashi Touka</v>
      </c>
      <c r="AE89" s="66" t="str">
        <f>IF(Completed!$L$88&lt;&gt;"",Completed!$L$88,"")</f>
        <v/>
      </c>
    </row>
    <row r="90" spans="10:31">
      <c r="J90" s="21" t="str">
        <f>IF(Backlog!$A$89&lt;&gt;"",Backlog!$A$89,"")</f>
        <v/>
      </c>
      <c r="K90" s="28" t="str">
        <f>IF(Backlog!$B$89&lt;&gt;"",Backlog!$B$89,"")</f>
        <v/>
      </c>
      <c r="L90" s="29" t="str">
        <f>IF(Backlog!$C$89&lt;&gt;"",Backlog!$C$89,"")</f>
        <v/>
      </c>
      <c r="N90" s="21" t="str">
        <f>IF(Completed!$A$89&lt;&gt;"",Completed!$A$89,"")</f>
        <v>Love Lab</v>
      </c>
      <c r="O90" s="28">
        <f>IF(Completed!$B$89&lt;&gt;"",Completed!$B$89,"")</f>
        <v>1</v>
      </c>
      <c r="P90" s="28">
        <f ca="1">IF($N$90&lt;&gt;"", INDIRECT("'Tracker'!"&amp;ADDRESS(MATCH($N$90, Tracker[Anime Name], 0) + 2, 3)), "")</f>
        <v>13</v>
      </c>
      <c r="Q90" s="22" t="str">
        <f ca="1">IF($N$90&lt;&gt;"", INDIRECT("'Tracker'!"&amp;ADDRESS(MATCH($N$90, Tracker[Anime Name], 0) + 2, 4)), "")</f>
        <v>A</v>
      </c>
      <c r="R90" s="22" t="str">
        <f ca="1">IF($N$90&lt;&gt;"", INDIRECT("'Tracker'!"&amp;ADDRESS(MATCH($N$90, Tracker[Anime Name], 0) + 2, 5)), "")</f>
        <v>720p</v>
      </c>
      <c r="S90" s="22" t="str">
        <f ca="1">IF($N$90&lt;&gt;"", INDIRECT("'Tracker'!"&amp;ADDRESS(MATCH($N$90, Tracker[Anime Name], 0) + 2, 6)), "")</f>
        <v>TV</v>
      </c>
      <c r="T90" s="22" t="str">
        <f ca="1">IF($N$90&lt;&gt;"", INDIRECT("'Tracker'!"&amp;ADDRESS(MATCH($N$90, Tracker[Anime Name], 0) + 2, 7)), "")</f>
        <v>2013B</v>
      </c>
      <c r="U90" s="28" t="str">
        <f ca="1">IF($N$90&lt;&gt;"", INDIRECT("'Tracker'!"&amp;ADDRESS(MATCH($N$90, Tracker[Anime Name], 0) + 2, 8)), "")</f>
        <v>FFF</v>
      </c>
      <c r="V90" s="53">
        <f>IF(Completed!$C$89&lt;&gt;"",Completed!$C$89,"")</f>
        <v>8</v>
      </c>
      <c r="W90" s="53">
        <f>IF(Completed!$D$89&lt;&gt;"",Completed!$D$89,"")</f>
        <v>8</v>
      </c>
      <c r="X90" s="53">
        <f>IF(Completed!$E$89&lt;&gt;"",Completed!$E$89,"")</f>
        <v>5.5</v>
      </c>
      <c r="Y90" s="53">
        <f>IF(Completed!$F$89&lt;&gt;"",Completed!$F$89,"")</f>
        <v>7.5</v>
      </c>
      <c r="Z90" s="65">
        <f>IF(Completed!$G$89&lt;&gt;"",Completed!$G$89,"")</f>
        <v>7.6306532663316586</v>
      </c>
      <c r="AA90" s="75">
        <f>IF(Completed!$H$89&lt;&gt;"",Completed!$H$89,"")</f>
        <v>7.6498740554156175</v>
      </c>
      <c r="AB90" s="54">
        <f>IF(Completed!$I$89&lt;&gt;"",Completed!$I$89,"")</f>
        <v>41461</v>
      </c>
      <c r="AC90" s="54">
        <f>IF(Completed!$J$89&lt;&gt;"",Completed!$J$89,"")</f>
        <v>41546</v>
      </c>
      <c r="AD90" s="66" t="str">
        <f>IF(Completed!$K$89&lt;&gt;"",Completed!$K$89,"")</f>
        <v>Kurahashi Riko</v>
      </c>
      <c r="AE90" s="66" t="str">
        <f>IF(Completed!$L$89&lt;&gt;"",Completed!$L$89,"")</f>
        <v/>
      </c>
    </row>
    <row r="91" spans="10:31">
      <c r="J91" s="21" t="str">
        <f>IF(Backlog!$A$90&lt;&gt;"",Backlog!$A$90,"")</f>
        <v/>
      </c>
      <c r="K91" s="28" t="str">
        <f>IF(Backlog!$B$90&lt;&gt;"",Backlog!$B$90,"")</f>
        <v/>
      </c>
      <c r="L91" s="29" t="str">
        <f>IF(Backlog!$C$90&lt;&gt;"",Backlog!$C$90,"")</f>
        <v/>
      </c>
      <c r="N91" s="21" t="str">
        <f>IF(Completed!$A$90&lt;&gt;"",Completed!$A$90,"")</f>
        <v>Kotoura-san</v>
      </c>
      <c r="O91" s="28">
        <f>IF(Completed!$B$90&lt;&gt;"",Completed!$B$90,"")</f>
        <v>1</v>
      </c>
      <c r="P91" s="28">
        <f ca="1">IF($N$91&lt;&gt;"", INDIRECT("'Tracker'!"&amp;ADDRESS(MATCH($N$91, Tracker[Anime Name], 0) + 2, 3)), "")</f>
        <v>12</v>
      </c>
      <c r="Q91" s="22" t="str">
        <f ca="1">IF($N$91&lt;&gt;"", INDIRECT("'Tracker'!"&amp;ADDRESS(MATCH($N$91, Tracker[Anime Name], 0) + 2, 4)), "")</f>
        <v>A</v>
      </c>
      <c r="R91" s="22" t="str">
        <f ca="1">IF($N$91&lt;&gt;"", INDIRECT("'Tracker'!"&amp;ADDRESS(MATCH($N$91, Tracker[Anime Name], 0) + 2, 5)), "")</f>
        <v>720p</v>
      </c>
      <c r="S91" s="22" t="str">
        <f ca="1">IF($N$91&lt;&gt;"", INDIRECT("'Tracker'!"&amp;ADDRESS(MATCH($N$91, Tracker[Anime Name], 0) + 2, 6)), "")</f>
        <v>TV</v>
      </c>
      <c r="T91" s="22" t="str">
        <f ca="1">IF($N$91&lt;&gt;"", INDIRECT("'Tracker'!"&amp;ADDRESS(MATCH($N$91, Tracker[Anime Name], 0) + 2, 7)), "")</f>
        <v>2012D</v>
      </c>
      <c r="U91" s="28" t="str">
        <f ca="1">IF($N$91&lt;&gt;"", INDIRECT("'Tracker'!"&amp;ADDRESS(MATCH($N$91, Tracker[Anime Name], 0) + 2, 8)), "")</f>
        <v>HorribleSubs</v>
      </c>
      <c r="V91" s="53">
        <f>IF(Completed!$C$90&lt;&gt;"",Completed!$C$90,"")</f>
        <v>7</v>
      </c>
      <c r="W91" s="53">
        <f>IF(Completed!$D$90&lt;&gt;"",Completed!$D$90,"")</f>
        <v>7.5</v>
      </c>
      <c r="X91" s="53">
        <f>IF(Completed!$E$90&lt;&gt;"",Completed!$E$90,"")</f>
        <v>6.5</v>
      </c>
      <c r="Y91" s="53">
        <f>IF(Completed!$F$90&lt;&gt;"",Completed!$F$90,"")</f>
        <v>8</v>
      </c>
      <c r="Z91" s="65">
        <f>IF(Completed!$G$90&lt;&gt;"",Completed!$G$90,"")</f>
        <v>7.6105527638190953</v>
      </c>
      <c r="AA91" s="75">
        <f>IF(Completed!$H$90&lt;&gt;"",Completed!$H$90,"")</f>
        <v>7.6297229219143565</v>
      </c>
      <c r="AB91" s="54">
        <f>IF(Completed!$I$90&lt;&gt;"",Completed!$I$90,"")</f>
        <v>41430</v>
      </c>
      <c r="AC91" s="54">
        <f>IF(Completed!$J$90&lt;&gt;"",Completed!$J$90,"")</f>
        <v>41431</v>
      </c>
      <c r="AD91" s="66" t="str">
        <f>IF(Completed!$K$90&lt;&gt;"",Completed!$K$90,"")</f>
        <v>Haruka Kotoura</v>
      </c>
      <c r="AE91" s="66" t="str">
        <f>IF(Completed!$L$90&lt;&gt;"",Completed!$L$90,"")</f>
        <v>So much wasted potential - started out great</v>
      </c>
    </row>
    <row r="92" spans="10:31">
      <c r="J92" s="21" t="str">
        <f>IF(Backlog!$A$91&lt;&gt;"",Backlog!$A$91,"")</f>
        <v/>
      </c>
      <c r="K92" s="28" t="str">
        <f>IF(Backlog!$B$91&lt;&gt;"",Backlog!$B$91,"")</f>
        <v/>
      </c>
      <c r="L92" s="29" t="str">
        <f>IF(Backlog!$C$91&lt;&gt;"",Backlog!$C$91,"")</f>
        <v/>
      </c>
      <c r="N92" s="21" t="str">
        <f>IF(Completed!$A$91&lt;&gt;"",Completed!$A$91,"")</f>
        <v>Black ★ Rock Shooter</v>
      </c>
      <c r="O92" s="28">
        <f>IF(Completed!$B$91&lt;&gt;"",Completed!$B$91,"")</f>
        <v>1</v>
      </c>
      <c r="P92" s="28">
        <f ca="1">IF($N$92&lt;&gt;"", INDIRECT("'Tracker'!"&amp;ADDRESS(MATCH($N$92, Tracker[Anime Name], 0) + 2, 3)), "")</f>
        <v>8</v>
      </c>
      <c r="Q92" s="22" t="str">
        <f ca="1">IF($N$92&lt;&gt;"", INDIRECT("'Tracker'!"&amp;ADDRESS(MATCH($N$92, Tracker[Anime Name], 0) + 2, 4)), "")</f>
        <v>A</v>
      </c>
      <c r="R92" s="22" t="str">
        <f ca="1">IF($N$92&lt;&gt;"", INDIRECT("'Tracker'!"&amp;ADDRESS(MATCH($N$92, Tracker[Anime Name], 0) + 2, 5)), "")</f>
        <v>720p</v>
      </c>
      <c r="S92" s="22" t="str">
        <f ca="1">IF($N$92&lt;&gt;"", INDIRECT("'Tracker'!"&amp;ADDRESS(MATCH($N$92, Tracker[Anime Name], 0) + 2, 6)), "")</f>
        <v>BD</v>
      </c>
      <c r="T92" s="22" t="str">
        <f ca="1">IF($N$92&lt;&gt;"", INDIRECT("'Tracker'!"&amp;ADDRESS(MATCH($N$92, Tracker[Anime Name], 0) + 2, 7)), "")</f>
        <v>2011D</v>
      </c>
      <c r="U92" s="28" t="str">
        <f ca="1">IF($N$92&lt;&gt;"", INDIRECT("'Tracker'!"&amp;ADDRESS(MATCH($N$92, Tracker[Anime Name], 0) + 2, 8)), "")</f>
        <v>Final8</v>
      </c>
      <c r="V92" s="53">
        <f>IF(Completed!$C$91&lt;&gt;"",Completed!$C$91,"")</f>
        <v>7.5</v>
      </c>
      <c r="W92" s="53">
        <f>IF(Completed!$D$91&lt;&gt;"",Completed!$D$91,"")</f>
        <v>7.5</v>
      </c>
      <c r="X92" s="53">
        <f>IF(Completed!$E$91&lt;&gt;"",Completed!$E$91,"")</f>
        <v>3.5</v>
      </c>
      <c r="Y92" s="53">
        <f>IF(Completed!$F$91&lt;&gt;"",Completed!$F$91,"")</f>
        <v>8</v>
      </c>
      <c r="Z92" s="65">
        <f>IF(Completed!$G$91&lt;&gt;"",Completed!$G$91,"")</f>
        <v>7.5590452261306531</v>
      </c>
      <c r="AA92" s="75">
        <f>IF(Completed!$H$91&lt;&gt;"",Completed!$H$91,"")</f>
        <v>7.5780856423173795</v>
      </c>
      <c r="AB92" s="54">
        <f>IF(Completed!$I$91&lt;&gt;"",Completed!$I$91,"")</f>
        <v>41541</v>
      </c>
      <c r="AC92" s="54">
        <f>IF(Completed!$J$91&lt;&gt;"",Completed!$J$91,"")</f>
        <v>41541</v>
      </c>
      <c r="AD92" s="66" t="str">
        <f>IF(Completed!$K$91&lt;&gt;"",Completed!$K$91,"")</f>
        <v>Black Rock Shooter</v>
      </c>
      <c r="AE92" s="66" t="str">
        <f>IF(Completed!$L$91&lt;&gt;"",Completed!$L$91,"")</f>
        <v/>
      </c>
    </row>
    <row r="93" spans="10:31">
      <c r="J93" s="21" t="str">
        <f>IF(Backlog!$A$92&lt;&gt;"",Backlog!$A$92,"")</f>
        <v/>
      </c>
      <c r="K93" s="28" t="str">
        <f>IF(Backlog!$B$92&lt;&gt;"",Backlog!$B$92,"")</f>
        <v/>
      </c>
      <c r="L93" s="29" t="str">
        <f>IF(Backlog!$C$92&lt;&gt;"",Backlog!$C$92,"")</f>
        <v/>
      </c>
      <c r="N93" s="21" t="str">
        <f>IF(Completed!$A$92&lt;&gt;"",Completed!$A$92,"")</f>
        <v>Akuma no Riddle</v>
      </c>
      <c r="O93" s="28">
        <f>IF(Completed!$B$92&lt;&gt;"",Completed!$B$92,"")</f>
        <v>1</v>
      </c>
      <c r="P93" s="28">
        <f ca="1">IF($N$93&lt;&gt;"", INDIRECT("'Tracker'!"&amp;ADDRESS(MATCH($N$93, Tracker[Anime Name], 0) + 2, 3)), "")</f>
        <v>12</v>
      </c>
      <c r="Q93" s="22" t="str">
        <f ca="1">IF($N$93&lt;&gt;"", INDIRECT("'Tracker'!"&amp;ADDRESS(MATCH($N$93, Tracker[Anime Name], 0) + 2, 4)), "")</f>
        <v>B</v>
      </c>
      <c r="R93" s="22" t="str">
        <f ca="1">IF($N$93&lt;&gt;"", INDIRECT("'Tracker'!"&amp;ADDRESS(MATCH($N$93, Tracker[Anime Name], 0) + 2, 5)), "")</f>
        <v>720p</v>
      </c>
      <c r="S93" s="22" t="str">
        <f ca="1">IF($N$93&lt;&gt;"", INDIRECT("'Tracker'!"&amp;ADDRESS(MATCH($N$93, Tracker[Anime Name], 0) + 2, 6)), "")</f>
        <v>Web</v>
      </c>
      <c r="T93" s="22" t="str">
        <f ca="1">IF($N$93&lt;&gt;"", INDIRECT("'Tracker'!"&amp;ADDRESS(MATCH($N$93, Tracker[Anime Name], 0) + 2, 7)), "")</f>
        <v>2014A</v>
      </c>
      <c r="U93" s="28" t="str">
        <f ca="1">IF($N$93&lt;&gt;"", INDIRECT("'Tracker'!"&amp;ADDRESS(MATCH($N$93, Tracker[Anime Name], 0) + 2, 8)), "")</f>
        <v>HorribleSubs</v>
      </c>
      <c r="V93" s="53">
        <f>IF(Completed!$C$92&lt;&gt;"",Completed!$C$92,"")</f>
        <v>7.5</v>
      </c>
      <c r="W93" s="53">
        <f>IF(Completed!$D$92&lt;&gt;"",Completed!$D$92,"")</f>
        <v>8</v>
      </c>
      <c r="X93" s="53">
        <f>IF(Completed!$E$92&lt;&gt;"",Completed!$E$92,"")</f>
        <v>5.5</v>
      </c>
      <c r="Y93" s="53">
        <f>IF(Completed!$F$92&lt;&gt;"",Completed!$F$92,"")</f>
        <v>7.5</v>
      </c>
      <c r="Z93" s="65">
        <f>IF(Completed!$G$92&lt;&gt;"",Completed!$G$92,"")</f>
        <v>7.5389447236180915</v>
      </c>
      <c r="AA93" s="75">
        <f>IF(Completed!$H$92&lt;&gt;"",Completed!$H$92,"")</f>
        <v>7.5579345088161212</v>
      </c>
      <c r="AB93" s="54">
        <f>IF(Completed!$I$92&lt;&gt;"",Completed!$I$92,"")</f>
        <v>41759</v>
      </c>
      <c r="AC93" s="54">
        <f>IF(Completed!$J$92&lt;&gt;"",Completed!$J$92,"")</f>
        <v>41812</v>
      </c>
      <c r="AD93" s="66" t="str">
        <f>IF(Completed!$K$92&lt;&gt;"",Completed!$K$92,"")</f>
        <v>Shutou Suzu</v>
      </c>
      <c r="AE93" s="66" t="str">
        <f>IF(Completed!$L$92&lt;&gt;"",Completed!$L$92,"")</f>
        <v>Tokaku and Haruki come close for best girl though</v>
      </c>
    </row>
    <row r="94" spans="10:31">
      <c r="J94" s="21" t="str">
        <f>IF(Backlog!$A$93&lt;&gt;"",Backlog!$A$93,"")</f>
        <v/>
      </c>
      <c r="K94" s="28" t="str">
        <f>IF(Backlog!$B$93&lt;&gt;"",Backlog!$B$93,"")</f>
        <v/>
      </c>
      <c r="L94" s="29" t="str">
        <f>IF(Backlog!$C$93&lt;&gt;"",Backlog!$C$93,"")</f>
        <v/>
      </c>
      <c r="N94" s="21" t="str">
        <f>IF(Completed!$A$93&lt;&gt;"",Completed!$A$93,"")</f>
        <v>Space ☆ Dandy</v>
      </c>
      <c r="O94" s="28">
        <f>IF(Completed!$B$93&lt;&gt;"",Completed!$B$93,"")</f>
        <v>1</v>
      </c>
      <c r="P94" s="28">
        <f ca="1">IF($N$94&lt;&gt;"", INDIRECT("'Tracker'!"&amp;ADDRESS(MATCH($N$94, Tracker[Anime Name], 0) + 2, 3)), "")</f>
        <v>13</v>
      </c>
      <c r="Q94" s="22" t="str">
        <f ca="1">IF($N$94&lt;&gt;"", INDIRECT("'Tracker'!"&amp;ADDRESS(MATCH($N$94, Tracker[Anime Name], 0) + 2, 4)), "")</f>
        <v>B</v>
      </c>
      <c r="R94" s="22" t="str">
        <f ca="1">IF($N$94&lt;&gt;"", INDIRECT("'Tracker'!"&amp;ADDRESS(MATCH($N$94, Tracker[Anime Name], 0) + 2, 5)), "")</f>
        <v>720p</v>
      </c>
      <c r="S94" s="22" t="str">
        <f ca="1">IF($N$94&lt;&gt;"", INDIRECT("'Tracker'!"&amp;ADDRESS(MATCH($N$94, Tracker[Anime Name], 0) + 2, 6)), "")</f>
        <v>Web</v>
      </c>
      <c r="T94" s="22" t="str">
        <f ca="1">IF($N$94&lt;&gt;"", INDIRECT("'Tracker'!"&amp;ADDRESS(MATCH($N$94, Tracker[Anime Name], 0) + 2, 7)), "")</f>
        <v>2013D</v>
      </c>
      <c r="U94" s="28" t="str">
        <f ca="1">IF($N$94&lt;&gt;"", INDIRECT("'Tracker'!"&amp;ADDRESS(MATCH($N$94, Tracker[Anime Name], 0) + 2, 8)), "")</f>
        <v>HorribleSubs</v>
      </c>
      <c r="V94" s="53">
        <f>IF(Completed!$C$93&lt;&gt;"",Completed!$C$93,"")</f>
        <v>5</v>
      </c>
      <c r="W94" s="53">
        <f>IF(Completed!$D$93&lt;&gt;"",Completed!$D$93,"")</f>
        <v>7</v>
      </c>
      <c r="X94" s="53">
        <f>IF(Completed!$E$93&lt;&gt;"",Completed!$E$93,"")</f>
        <v>4</v>
      </c>
      <c r="Y94" s="53">
        <f>IF(Completed!$F$93&lt;&gt;"",Completed!$F$93,"")</f>
        <v>9</v>
      </c>
      <c r="Z94" s="65">
        <f>IF(Completed!$G$93&lt;&gt;"",Completed!$G$93,"")</f>
        <v>7.4899497487437188</v>
      </c>
      <c r="AA94" s="75">
        <f>IF(Completed!$H$93&lt;&gt;"",Completed!$H$93,"")</f>
        <v>7.5088161209068005</v>
      </c>
      <c r="AB94" s="54">
        <f>IF(Completed!$I$93&lt;&gt;"",Completed!$I$93,"")</f>
        <v>41650</v>
      </c>
      <c r="AC94" s="54">
        <f>IF(Completed!$J$93&lt;&gt;"",Completed!$J$93,"")</f>
        <v>41744</v>
      </c>
      <c r="AD94" s="66" t="str">
        <f>IF(Completed!$K$93&lt;&gt;"",Completed!$K$93,"")</f>
        <v>Adelie</v>
      </c>
      <c r="AE94" s="66" t="str">
        <f>IF(Completed!$L$93&lt;&gt;"",Completed!$L$93,"")</f>
        <v/>
      </c>
    </row>
    <row r="95" spans="10:31">
      <c r="J95" s="21" t="str">
        <f>IF(Backlog!$A$94&lt;&gt;"",Backlog!$A$94,"")</f>
        <v/>
      </c>
      <c r="K95" s="28" t="str">
        <f>IF(Backlog!$B$94&lt;&gt;"",Backlog!$B$94,"")</f>
        <v/>
      </c>
      <c r="L95" s="29" t="str">
        <f>IF(Backlog!$C$94&lt;&gt;"",Backlog!$C$94,"")</f>
        <v/>
      </c>
      <c r="N95" s="21" t="str">
        <f>IF(Completed!$A$94&lt;&gt;"",Completed!$A$94,"")</f>
        <v>Dansai Bunri no Crime Edge</v>
      </c>
      <c r="O95" s="28">
        <f>IF(Completed!$B$94&lt;&gt;"",Completed!$B$94,"")</f>
        <v>1</v>
      </c>
      <c r="P95" s="28">
        <f ca="1">IF($N$95&lt;&gt;"", INDIRECT("'Tracker'!"&amp;ADDRESS(MATCH($N$95, Tracker[Anime Name], 0) + 2, 3)), "")</f>
        <v>13</v>
      </c>
      <c r="Q95" s="22" t="str">
        <f ca="1">IF($N$95&lt;&gt;"", INDIRECT("'Tracker'!"&amp;ADDRESS(MATCH($N$95, Tracker[Anime Name], 0) + 2, 4)), "")</f>
        <v>A</v>
      </c>
      <c r="R95" s="22" t="str">
        <f ca="1">IF($N$95&lt;&gt;"", INDIRECT("'Tracker'!"&amp;ADDRESS(MATCH($N$95, Tracker[Anime Name], 0) + 2, 5)), "")</f>
        <v>720p</v>
      </c>
      <c r="S95" s="22" t="str">
        <f ca="1">IF($N$95&lt;&gt;"", INDIRECT("'Tracker'!"&amp;ADDRESS(MATCH($N$95, Tracker[Anime Name], 0) + 2, 6)), "")</f>
        <v>TV</v>
      </c>
      <c r="T95" s="22" t="str">
        <f ca="1">IF($N$95&lt;&gt;"", INDIRECT("'Tracker'!"&amp;ADDRESS(MATCH($N$95, Tracker[Anime Name], 0) + 2, 7)), "")</f>
        <v>2013A</v>
      </c>
      <c r="U95" s="28" t="str">
        <f ca="1">IF($N$95&lt;&gt;"", INDIRECT("'Tracker'!"&amp;ADDRESS(MATCH($N$95, Tracker[Anime Name], 0) + 2, 8)), "")</f>
        <v>Anime-Koi</v>
      </c>
      <c r="V95" s="53">
        <f>IF(Completed!$C$94&lt;&gt;"",Completed!$C$94,"")</f>
        <v>8</v>
      </c>
      <c r="W95" s="53">
        <f>IF(Completed!$D$94&lt;&gt;"",Completed!$D$94,"")</f>
        <v>7.5</v>
      </c>
      <c r="X95" s="53">
        <f>IF(Completed!$E$94&lt;&gt;"",Completed!$E$94,"")</f>
        <v>5</v>
      </c>
      <c r="Y95" s="53">
        <f>IF(Completed!$F$94&lt;&gt;"",Completed!$F$94,"")</f>
        <v>7.5</v>
      </c>
      <c r="Z95" s="65">
        <f>IF(Completed!$G$94&lt;&gt;"",Completed!$G$94,"")</f>
        <v>7.4723618090452266</v>
      </c>
      <c r="AA95" s="75">
        <f>IF(Completed!$H$94&lt;&gt;"",Completed!$H$94,"")</f>
        <v>7.4911838790931986</v>
      </c>
      <c r="AB95" s="54">
        <f>IF(Completed!$I$94&lt;&gt;"",Completed!$I$94,"")</f>
        <v>41453</v>
      </c>
      <c r="AC95" s="54">
        <f>IF(Completed!$J$94&lt;&gt;"",Completed!$J$94,"")</f>
        <v>41457</v>
      </c>
      <c r="AD95" s="66" t="str">
        <f>IF(Completed!$K$94&lt;&gt;"",Completed!$K$94,"")</f>
        <v>Mushanokouji Iwai</v>
      </c>
      <c r="AE95" s="66" t="str">
        <f>IF(Completed!$L$94&lt;&gt;"",Completed!$L$94,"")</f>
        <v>Besides the obvious fetish scenes, not bad. OP is pretty great</v>
      </c>
    </row>
    <row r="96" spans="10:31">
      <c r="J96" s="21" t="str">
        <f>IF(Backlog!$A$95&lt;&gt;"",Backlog!$A$95,"")</f>
        <v/>
      </c>
      <c r="K96" s="28" t="str">
        <f>IF(Backlog!$B$95&lt;&gt;"",Backlog!$B$95,"")</f>
        <v/>
      </c>
      <c r="L96" s="29" t="str">
        <f>IF(Backlog!$C$95&lt;&gt;"",Backlog!$C$95,"")</f>
        <v/>
      </c>
      <c r="N96" s="21" t="str">
        <f>IF(Completed!$A$95&lt;&gt;"",Completed!$A$95,"")</f>
        <v>Kami-sama no Inai Nichiyoubi</v>
      </c>
      <c r="O96" s="28">
        <f>IF(Completed!$B$95&lt;&gt;"",Completed!$B$95,"")</f>
        <v>1</v>
      </c>
      <c r="P96" s="28">
        <f ca="1">IF($N$96&lt;&gt;"", INDIRECT("'Tracker'!"&amp;ADDRESS(MATCH($N$96, Tracker[Anime Name], 0) + 2, 3)), "")</f>
        <v>12</v>
      </c>
      <c r="Q96" s="22" t="str">
        <f ca="1">IF($N$96&lt;&gt;"", INDIRECT("'Tracker'!"&amp;ADDRESS(MATCH($N$96, Tracker[Anime Name], 0) + 2, 4)), "")</f>
        <v>A</v>
      </c>
      <c r="R96" s="22" t="str">
        <f ca="1">IF($N$96&lt;&gt;"", INDIRECT("'Tracker'!"&amp;ADDRESS(MATCH($N$96, Tracker[Anime Name], 0) + 2, 5)), "")</f>
        <v>720p</v>
      </c>
      <c r="S96" s="22" t="str">
        <f ca="1">IF($N$96&lt;&gt;"", INDIRECT("'Tracker'!"&amp;ADDRESS(MATCH($N$96, Tracker[Anime Name], 0) + 2, 6)), "")</f>
        <v>Web</v>
      </c>
      <c r="T96" s="22" t="str">
        <f ca="1">IF($N$96&lt;&gt;"", INDIRECT("'Tracker'!"&amp;ADDRESS(MATCH($N$96, Tracker[Anime Name], 0) + 2, 7)), "")</f>
        <v>2013B</v>
      </c>
      <c r="U96" s="28" t="str">
        <f ca="1">IF($N$96&lt;&gt;"", INDIRECT("'Tracker'!"&amp;ADDRESS(MATCH($N$96, Tracker[Anime Name], 0) + 2, 8)), "")</f>
        <v>HorribleSubs</v>
      </c>
      <c r="V96" s="53">
        <f>IF(Completed!$C$95&lt;&gt;"",Completed!$C$95,"")</f>
        <v>7</v>
      </c>
      <c r="W96" s="53">
        <f>IF(Completed!$D$95&lt;&gt;"",Completed!$D$95,"")</f>
        <v>7.5</v>
      </c>
      <c r="X96" s="53">
        <f>IF(Completed!$E$95&lt;&gt;"",Completed!$E$95,"")</f>
        <v>3.5</v>
      </c>
      <c r="Y96" s="53">
        <f>IF(Completed!$F$95&lt;&gt;"",Completed!$F$95,"")</f>
        <v>8</v>
      </c>
      <c r="Z96" s="65">
        <f>IF(Completed!$G$95&lt;&gt;"",Completed!$G$95,"")</f>
        <v>7.4673366834170851</v>
      </c>
      <c r="AA96" s="75">
        <f>IF(Completed!$H$95&lt;&gt;"",Completed!$H$95,"")</f>
        <v>7.4861460957178831</v>
      </c>
      <c r="AB96" s="54">
        <f>IF(Completed!$I$95&lt;&gt;"",Completed!$I$95,"")</f>
        <v>41465</v>
      </c>
      <c r="AC96" s="54">
        <f>IF(Completed!$J$95&lt;&gt;"",Completed!$J$95,"")</f>
        <v>41543</v>
      </c>
      <c r="AD96" s="66" t="str">
        <f>IF(Completed!$K$95&lt;&gt;"",Completed!$K$95,"")</f>
        <v>Ulla Euleus Hecmatika</v>
      </c>
      <c r="AE96" s="66" t="str">
        <f>IF(Completed!$L$95&lt;&gt;"",Completed!$L$95,"")</f>
        <v>Plot was questionable, but the art and music gives it points</v>
      </c>
    </row>
    <row r="97" spans="10:31">
      <c r="J97" s="21" t="str">
        <f>IF(Backlog!$A$96&lt;&gt;"",Backlog!$A$96,"")</f>
        <v/>
      </c>
      <c r="K97" s="28" t="str">
        <f>IF(Backlog!$B$96&lt;&gt;"",Backlog!$B$96,"")</f>
        <v/>
      </c>
      <c r="L97" s="29" t="str">
        <f>IF(Backlog!$C$96&lt;&gt;"",Backlog!$C$96,"")</f>
        <v/>
      </c>
      <c r="N97" s="21" t="str">
        <f>IF(Completed!$A$96&lt;&gt;"",Completed!$A$96,"")</f>
        <v>Inu to Hasami wa Tsukaiyou</v>
      </c>
      <c r="O97" s="28">
        <f>IF(Completed!$B$96&lt;&gt;"",Completed!$B$96,"")</f>
        <v>1</v>
      </c>
      <c r="P97" s="28">
        <f ca="1">IF($N$97&lt;&gt;"", INDIRECT("'Tracker'!"&amp;ADDRESS(MATCH($N$97, Tracker[Anime Name], 0) + 2, 3)), "")</f>
        <v>12</v>
      </c>
      <c r="Q97" s="22" t="str">
        <f ca="1">IF($N$97&lt;&gt;"", INDIRECT("'Tracker'!"&amp;ADDRESS(MATCH($N$97, Tracker[Anime Name], 0) + 2, 4)), "")</f>
        <v>A</v>
      </c>
      <c r="R97" s="22" t="str">
        <f ca="1">IF($N$97&lt;&gt;"", INDIRECT("'Tracker'!"&amp;ADDRESS(MATCH($N$97, Tracker[Anime Name], 0) + 2, 5)), "")</f>
        <v>720p</v>
      </c>
      <c r="S97" s="22" t="str">
        <f ca="1">IF($N$97&lt;&gt;"", INDIRECT("'Tracker'!"&amp;ADDRESS(MATCH($N$97, Tracker[Anime Name], 0) + 2, 6)), "")</f>
        <v>TV</v>
      </c>
      <c r="T97" s="22" t="str">
        <f ca="1">IF($N$97&lt;&gt;"", INDIRECT("'Tracker'!"&amp;ADDRESS(MATCH($N$97, Tracker[Anime Name], 0) + 2, 7)), "")</f>
        <v>2013B</v>
      </c>
      <c r="U97" s="28" t="str">
        <f ca="1">IF($N$97&lt;&gt;"", INDIRECT("'Tracker'!"&amp;ADDRESS(MATCH($N$97, Tracker[Anime Name], 0) + 2, 8)), "")</f>
        <v>HorribleSubs</v>
      </c>
      <c r="V97" s="53">
        <f>IF(Completed!$C$96&lt;&gt;"",Completed!$C$96,"")</f>
        <v>6.5</v>
      </c>
      <c r="W97" s="53">
        <f>IF(Completed!$D$96&lt;&gt;"",Completed!$D$96,"")</f>
        <v>7.5</v>
      </c>
      <c r="X97" s="53">
        <f>IF(Completed!$E$96&lt;&gt;"",Completed!$E$96,"")</f>
        <v>5</v>
      </c>
      <c r="Y97" s="53">
        <f>IF(Completed!$F$96&lt;&gt;"",Completed!$F$96,"")</f>
        <v>8</v>
      </c>
      <c r="Z97" s="65">
        <f>IF(Completed!$G$96&lt;&gt;"",Completed!$G$96,"")</f>
        <v>7.4472361809045227</v>
      </c>
      <c r="AA97" s="75">
        <f>IF(Completed!$H$96&lt;&gt;"",Completed!$H$96,"")</f>
        <v>7.465994962216624</v>
      </c>
      <c r="AB97" s="54">
        <f>IF(Completed!$I$96&lt;&gt;"",Completed!$I$96,"")</f>
        <v>41456</v>
      </c>
      <c r="AC97" s="54">
        <f>IF(Completed!$J$96&lt;&gt;"",Completed!$J$96,"")</f>
        <v>41535</v>
      </c>
      <c r="AD97" s="66" t="str">
        <f>IF(Completed!$K$96&lt;&gt;"",Completed!$K$96,"")</f>
        <v>Himehagi Momiji</v>
      </c>
      <c r="AE97" s="66" t="str">
        <f>IF(Completed!$L$96&lt;&gt;"",Completed!$L$96,"")</f>
        <v/>
      </c>
    </row>
    <row r="98" spans="10:31">
      <c r="J98" s="21" t="str">
        <f>IF(Backlog!$A$97&lt;&gt;"",Backlog!$A$97,"")</f>
        <v/>
      </c>
      <c r="K98" s="28" t="str">
        <f>IF(Backlog!$B$97&lt;&gt;"",Backlog!$B$97,"")</f>
        <v/>
      </c>
      <c r="L98" s="29" t="str">
        <f>IF(Backlog!$C$97&lt;&gt;"",Backlog!$C$97,"")</f>
        <v/>
      </c>
      <c r="N98" s="21" t="str">
        <f>IF(Completed!$A$97&lt;&gt;"",Completed!$A$97,"")</f>
        <v>Sakigake! Cromartie High School</v>
      </c>
      <c r="O98" s="28">
        <f>IF(Completed!$B$97&lt;&gt;"",Completed!$B$97,"")</f>
        <v>1</v>
      </c>
      <c r="P98" s="28">
        <f ca="1">IF($N$98&lt;&gt;"", INDIRECT("'Tracker'!"&amp;ADDRESS(MATCH($N$98, Tracker[Anime Name], 0) + 2, 3)), "")</f>
        <v>26</v>
      </c>
      <c r="Q98" s="22" t="str">
        <f ca="1">IF($N$98&lt;&gt;"", INDIRECT("'Tracker'!"&amp;ADDRESS(MATCH($N$98, Tracker[Anime Name], 0) + 2, 4)), "")</f>
        <v>A</v>
      </c>
      <c r="R98" s="22" t="str">
        <f ca="1">IF($N$98&lt;&gt;"", INDIRECT("'Tracker'!"&amp;ADDRESS(MATCH($N$98, Tracker[Anime Name], 0) + 2, 5)), "")</f>
        <v>486p</v>
      </c>
      <c r="S98" s="22" t="str">
        <f ca="1">IF($N$98&lt;&gt;"", INDIRECT("'Tracker'!"&amp;ADDRESS(MATCH($N$98, Tracker[Anime Name], 0) + 2, 6)), "")</f>
        <v>DVD</v>
      </c>
      <c r="T98" s="22" t="str">
        <f ca="1">IF($N$98&lt;&gt;"", INDIRECT("'Tracker'!"&amp;ADDRESS(MATCH($N$98, Tracker[Anime Name], 0) + 2, 7)), "")</f>
        <v>2003C</v>
      </c>
      <c r="U98" s="28" t="str">
        <f ca="1">IF($N$98&lt;&gt;"", INDIRECT("'Tracker'!"&amp;ADDRESS(MATCH($N$98, Tracker[Anime Name], 0) + 2, 8)), "")</f>
        <v>Jarzk</v>
      </c>
      <c r="V98" s="53">
        <f>IF(Completed!$C$97&lt;&gt;"",Completed!$C$97,"")</f>
        <v>4</v>
      </c>
      <c r="W98" s="53">
        <f>IF(Completed!$D$97&lt;&gt;"",Completed!$D$97,"")</f>
        <v>8</v>
      </c>
      <c r="X98" s="53">
        <f>IF(Completed!$E$97&lt;&gt;"",Completed!$E$97,"")</f>
        <v>0</v>
      </c>
      <c r="Y98" s="53">
        <f>IF(Completed!$F$97&lt;&gt;"",Completed!$F$97,"")</f>
        <v>9</v>
      </c>
      <c r="Z98" s="65">
        <f>IF(Completed!$G$97&lt;&gt;"",Completed!$G$97,"")</f>
        <v>7.3844221105527641</v>
      </c>
      <c r="AA98" s="75">
        <f>IF(Completed!$H$97&lt;&gt;"",Completed!$H$97,"")</f>
        <v>7.4030226700251882</v>
      </c>
      <c r="AB98" s="54">
        <f>IF(Completed!$I$97&lt;&gt;"",Completed!$I$97,"")</f>
        <v>41450</v>
      </c>
      <c r="AC98" s="54">
        <f>IF(Completed!$J$97&lt;&gt;"",Completed!$J$97,"")</f>
        <v>41452</v>
      </c>
      <c r="AD98" s="66" t="str">
        <f>IF(Completed!$K$97&lt;&gt;"",Completed!$K$97,"")</f>
        <v>Gorilla</v>
      </c>
      <c r="AE98" s="66" t="str">
        <f>IF(Completed!$L$97&lt;&gt;"",Completed!$L$97,"")</f>
        <v>Like Nichibros, much better than ratings suggest. Also very funny to watch</v>
      </c>
    </row>
    <row r="99" spans="10:31">
      <c r="J99" s="21" t="str">
        <f>IF(Backlog!$A$98&lt;&gt;"",Backlog!$A$98,"")</f>
        <v/>
      </c>
      <c r="K99" s="28" t="str">
        <f>IF(Backlog!$B$98&lt;&gt;"",Backlog!$B$98,"")</f>
        <v/>
      </c>
      <c r="L99" s="29" t="str">
        <f>IF(Backlog!$C$98&lt;&gt;"",Backlog!$C$98,"")</f>
        <v/>
      </c>
      <c r="N99" s="21" t="str">
        <f>IF(Completed!$A$98&lt;&gt;"",Completed!$A$98,"")</f>
        <v>Mahou Sensou</v>
      </c>
      <c r="O99" s="28">
        <f>IF(Completed!$B$98&lt;&gt;"",Completed!$B$98,"")</f>
        <v>1</v>
      </c>
      <c r="P99" s="28">
        <f ca="1">IF($N$99&lt;&gt;"", INDIRECT("'Tracker'!"&amp;ADDRESS(MATCH($N$99, Tracker[Anime Name], 0) + 2, 3)), "")</f>
        <v>12</v>
      </c>
      <c r="Q99" s="22" t="str">
        <f ca="1">IF($N$99&lt;&gt;"", INDIRECT("'Tracker'!"&amp;ADDRESS(MATCH($N$99, Tracker[Anime Name], 0) + 2, 4)), "")</f>
        <v>A</v>
      </c>
      <c r="R99" s="22" t="str">
        <f ca="1">IF($N$99&lt;&gt;"", INDIRECT("'Tracker'!"&amp;ADDRESS(MATCH($N$99, Tracker[Anime Name], 0) + 2, 5)), "")</f>
        <v>720p</v>
      </c>
      <c r="S99" s="22" t="str">
        <f ca="1">IF($N$99&lt;&gt;"", INDIRECT("'Tracker'!"&amp;ADDRESS(MATCH($N$99, Tracker[Anime Name], 0) + 2, 6)), "")</f>
        <v>TV</v>
      </c>
      <c r="T99" s="22" t="str">
        <f ca="1">IF($N$99&lt;&gt;"", INDIRECT("'Tracker'!"&amp;ADDRESS(MATCH($N$99, Tracker[Anime Name], 0) + 2, 7)), "")</f>
        <v>2012D</v>
      </c>
      <c r="U99" s="28" t="str">
        <f ca="1">IF($N$99&lt;&gt;"", INDIRECT("'Tracker'!"&amp;ADDRESS(MATCH($N$99, Tracker[Anime Name], 0) + 2, 8)), "")</f>
        <v>FFF</v>
      </c>
      <c r="V99" s="53">
        <f>IF(Completed!$C$98&lt;&gt;"",Completed!$C$98,"")</f>
        <v>6.5</v>
      </c>
      <c r="W99" s="53">
        <f>IF(Completed!$D$98&lt;&gt;"",Completed!$D$98,"")</f>
        <v>9</v>
      </c>
      <c r="X99" s="53">
        <f>IF(Completed!$E$98&lt;&gt;"",Completed!$E$98,"")</f>
        <v>5</v>
      </c>
      <c r="Y99" s="53">
        <f>IF(Completed!$F$98&lt;&gt;"",Completed!$F$98,"")</f>
        <v>7</v>
      </c>
      <c r="Z99" s="65">
        <f>IF(Completed!$G$98&lt;&gt;"",Completed!$G$98,"")</f>
        <v>7.3505025125628141</v>
      </c>
      <c r="AA99" s="75">
        <f>IF(Completed!$H$98&lt;&gt;"",Completed!$H$98,"")</f>
        <v>7.3690176322418131</v>
      </c>
      <c r="AB99" s="54">
        <f>IF(Completed!$I$98&lt;&gt;"",Completed!$I$98,"")</f>
        <v>41650</v>
      </c>
      <c r="AC99" s="54">
        <f>IF(Completed!$J$98&lt;&gt;"",Completed!$J$98,"")</f>
        <v>41745</v>
      </c>
      <c r="AD99" s="66" t="str">
        <f>IF(Completed!$K$98&lt;&gt;"",Completed!$K$98,"")</f>
        <v>Aiba Mui</v>
      </c>
      <c r="AE99" s="66" t="str">
        <f>IF(Completed!$L$98&lt;&gt;"",Completed!$L$98,"")</f>
        <v>Finales that make more questions than answers suck.</v>
      </c>
    </row>
    <row r="100" spans="10:31">
      <c r="J100" s="21" t="str">
        <f>IF(Backlog!$A$99&lt;&gt;"",Backlog!$A$99,"")</f>
        <v/>
      </c>
      <c r="K100" s="28" t="str">
        <f>IF(Backlog!$B$99&lt;&gt;"",Backlog!$B$99,"")</f>
        <v/>
      </c>
      <c r="L100" s="29" t="str">
        <f>IF(Backlog!$C$99&lt;&gt;"",Backlog!$C$99,"")</f>
        <v/>
      </c>
      <c r="N100" s="21" t="str">
        <f>IF(Completed!$A$99&lt;&gt;"",Completed!$A$99,"")</f>
        <v>Suzumiya Haruhi no Yuuutsu</v>
      </c>
      <c r="O100" s="28">
        <f>IF(Completed!$B$99&lt;&gt;"",Completed!$B$99,"")</f>
        <v>1</v>
      </c>
      <c r="P100" s="28">
        <f ca="1">IF($N$100&lt;&gt;"", INDIRECT("'Tracker'!"&amp;ADDRESS(MATCH($N$100, Tracker[Anime Name], 0) + 2, 3)), "")</f>
        <v>28</v>
      </c>
      <c r="Q100" s="22" t="str">
        <f ca="1">IF($N$100&lt;&gt;"", INDIRECT("'Tracker'!"&amp;ADDRESS(MATCH($N$100, Tracker[Anime Name], 0) + 2, 4)), "")</f>
        <v>A</v>
      </c>
      <c r="R100" s="22" t="str">
        <f ca="1">IF($N$100&lt;&gt;"", INDIRECT("'Tracker'!"&amp;ADDRESS(MATCH($N$100, Tracker[Anime Name], 0) + 2, 5)), "")</f>
        <v>720p</v>
      </c>
      <c r="S100" s="22" t="str">
        <f ca="1">IF($N$100&lt;&gt;"", INDIRECT("'Tracker'!"&amp;ADDRESS(MATCH($N$100, Tracker[Anime Name], 0) + 2, 6)), "")</f>
        <v>BD</v>
      </c>
      <c r="T100" s="22" t="str">
        <f ca="1">IF($N$100&lt;&gt;"", INDIRECT("'Tracker'!"&amp;ADDRESS(MATCH($N$100, Tracker[Anime Name], 0) + 2, 7)), "")</f>
        <v>2006A</v>
      </c>
      <c r="U100" s="28" t="str">
        <f ca="1">IF($N$100&lt;&gt;"", INDIRECT("'Tracker'!"&amp;ADDRESS(MATCH($N$100, Tracker[Anime Name], 0) + 2, 8)), "")</f>
        <v>Elysium</v>
      </c>
      <c r="V100" s="53">
        <f>IF(Completed!$C$99&lt;&gt;"",Completed!$C$99,"")</f>
        <v>7.5</v>
      </c>
      <c r="W100" s="53">
        <f>IF(Completed!$D$99&lt;&gt;"",Completed!$D$99,"")</f>
        <v>7.5</v>
      </c>
      <c r="X100" s="53">
        <f>IF(Completed!$E$99&lt;&gt;"",Completed!$E$99,"")</f>
        <v>4</v>
      </c>
      <c r="Y100" s="53">
        <f>IF(Completed!$F$99&lt;&gt;"",Completed!$F$99,"")</f>
        <v>7.5</v>
      </c>
      <c r="Z100" s="65">
        <f>IF(Completed!$G$99&lt;&gt;"",Completed!$G$99,"")</f>
        <v>7.3329145728643219</v>
      </c>
      <c r="AA100" s="75">
        <f>IF(Completed!$H$99&lt;&gt;"",Completed!$H$99,"")</f>
        <v>7.351385390428212</v>
      </c>
      <c r="AB100" s="54">
        <f>IF(Completed!$I$99&lt;&gt;"",Completed!$I$99,"")</f>
        <v>41330</v>
      </c>
      <c r="AC100" s="54">
        <f>IF(Completed!$J$99&lt;&gt;"",Completed!$J$99,"")</f>
        <v>41346</v>
      </c>
      <c r="AD100" s="66" t="str">
        <f>IF(Completed!$K$99&lt;&gt;"",Completed!$K$99,"")</f>
        <v>Nagato Yuki</v>
      </c>
      <c r="AE100" s="66" t="str">
        <f>IF(Completed!$L$99&lt;&gt;"",Completed!$L$99,"")</f>
        <v>Not what I expected it to be, given the hype</v>
      </c>
    </row>
    <row r="101" spans="10:31">
      <c r="J101" s="21" t="str">
        <f>IF(Backlog!$A$100&lt;&gt;"",Backlog!$A$100,"")</f>
        <v/>
      </c>
      <c r="K101" s="28" t="str">
        <f>IF(Backlog!$B$100&lt;&gt;"",Backlog!$B$100,"")</f>
        <v/>
      </c>
      <c r="L101" s="29" t="str">
        <f>IF(Backlog!$C$100&lt;&gt;"",Backlog!$C$100,"")</f>
        <v/>
      </c>
      <c r="N101" s="21" t="str">
        <f>IF(Completed!$A$100&lt;&gt;"",Completed!$A$100,"")</f>
        <v>Witch Craft Works</v>
      </c>
      <c r="O101" s="28">
        <f>IF(Completed!$B$100&lt;&gt;"",Completed!$B$100,"")</f>
        <v>1</v>
      </c>
      <c r="P101" s="28">
        <f ca="1">IF($N$101&lt;&gt;"", INDIRECT("'Tracker'!"&amp;ADDRESS(MATCH($N$101, Tracker[Anime Name], 0) + 2, 3)), "")</f>
        <v>12</v>
      </c>
      <c r="Q101" s="22" t="str">
        <f ca="1">IF($N$101&lt;&gt;"", INDIRECT("'Tracker'!"&amp;ADDRESS(MATCH($N$101, Tracker[Anime Name], 0) + 2, 4)), "")</f>
        <v>A</v>
      </c>
      <c r="R101" s="22" t="str">
        <f ca="1">IF($N$101&lt;&gt;"", INDIRECT("'Tracker'!"&amp;ADDRESS(MATCH($N$101, Tracker[Anime Name], 0) + 2, 5)), "")</f>
        <v>720p</v>
      </c>
      <c r="S101" s="22" t="str">
        <f ca="1">IF($N$101&lt;&gt;"", INDIRECT("'Tracker'!"&amp;ADDRESS(MATCH($N$101, Tracker[Anime Name], 0) + 2, 6)), "")</f>
        <v>TV</v>
      </c>
      <c r="T101" s="22" t="str">
        <f ca="1">IF($N$101&lt;&gt;"", INDIRECT("'Tracker'!"&amp;ADDRESS(MATCH($N$101, Tracker[Anime Name], 0) + 2, 7)), "")</f>
        <v>2013D</v>
      </c>
      <c r="U101" s="28" t="str">
        <f ca="1">IF($N$101&lt;&gt;"", INDIRECT("'Tracker'!"&amp;ADDRESS(MATCH($N$101, Tracker[Anime Name], 0) + 2, 8)), "")</f>
        <v>FFF</v>
      </c>
      <c r="V101" s="53">
        <f>IF(Completed!$C$100&lt;&gt;"",Completed!$C$100,"")</f>
        <v>7.5</v>
      </c>
      <c r="W101" s="53">
        <f>IF(Completed!$D$100&lt;&gt;"",Completed!$D$100,"")</f>
        <v>7.5</v>
      </c>
      <c r="X101" s="53">
        <f>IF(Completed!$E$100&lt;&gt;"",Completed!$E$100,"")</f>
        <v>3.5</v>
      </c>
      <c r="Y101" s="53">
        <f>IF(Completed!$F$100&lt;&gt;"",Completed!$F$100,"")</f>
        <v>7.5</v>
      </c>
      <c r="Z101" s="65">
        <f>IF(Completed!$G$100&lt;&gt;"",Completed!$G$100,"")</f>
        <v>7.3090452261306531</v>
      </c>
      <c r="AA101" s="75">
        <f>IF(Completed!$H$100&lt;&gt;"",Completed!$H$100,"")</f>
        <v>7.3274559193954651</v>
      </c>
      <c r="AB101" s="54">
        <f>IF(Completed!$I$100&lt;&gt;"",Completed!$I$100,"")</f>
        <v>41650</v>
      </c>
      <c r="AC101" s="54">
        <f>IF(Completed!$J$100&lt;&gt;"",Completed!$J$100,"")</f>
        <v>41749</v>
      </c>
      <c r="AD101" s="66" t="str">
        <f>IF(Completed!$K$100&lt;&gt;"",Completed!$K$100,"")</f>
        <v>Kazari Rin</v>
      </c>
      <c r="AE101" s="66" t="str">
        <f>IF(Completed!$L$100&lt;&gt;"",Completed!$L$100,"")</f>
        <v/>
      </c>
    </row>
    <row r="102" spans="10:31">
      <c r="J102" s="21" t="str">
        <f>IF(Backlog!$A$101&lt;&gt;"",Backlog!$A$101,"")</f>
        <v/>
      </c>
      <c r="K102" s="28" t="str">
        <f>IF(Backlog!$B$101&lt;&gt;"",Backlog!$B$101,"")</f>
        <v/>
      </c>
      <c r="L102" s="29" t="str">
        <f>IF(Backlog!$C$101&lt;&gt;"",Backlog!$C$101,"")</f>
        <v/>
      </c>
      <c r="N102" s="21" t="str">
        <f>IF(Completed!$A$101&lt;&gt;"",Completed!$A$101,"")</f>
        <v>Sora no Otoshimono</v>
      </c>
      <c r="O102" s="28">
        <f>IF(Completed!$B$101&lt;&gt;"",Completed!$B$101,"")</f>
        <v>1</v>
      </c>
      <c r="P102" s="28">
        <f ca="1">IF($N$102&lt;&gt;"", INDIRECT("'Tracker'!"&amp;ADDRESS(MATCH($N$102, Tracker[Anime Name], 0) + 2, 3)), "")</f>
        <v>13</v>
      </c>
      <c r="Q102" s="22" t="str">
        <f ca="1">IF($N$102&lt;&gt;"", INDIRECT("'Tracker'!"&amp;ADDRESS(MATCH($N$102, Tracker[Anime Name], 0) + 2, 4)), "")</f>
        <v>A</v>
      </c>
      <c r="R102" s="22" t="str">
        <f ca="1">IF($N$102&lt;&gt;"", INDIRECT("'Tracker'!"&amp;ADDRESS(MATCH($N$102, Tracker[Anime Name], 0) + 2, 5)), "")</f>
        <v>720p</v>
      </c>
      <c r="S102" s="22" t="str">
        <f ca="1">IF($N$102&lt;&gt;"", INDIRECT("'Tracker'!"&amp;ADDRESS(MATCH($N$102, Tracker[Anime Name], 0) + 2, 6)), "")</f>
        <v>DVD</v>
      </c>
      <c r="T102" s="22" t="str">
        <f ca="1">IF($N$102&lt;&gt;"", INDIRECT("'Tracker'!"&amp;ADDRESS(MATCH($N$102, Tracker[Anime Name], 0) + 2, 7)), "")</f>
        <v>2009C</v>
      </c>
      <c r="U102" s="28" t="str">
        <f ca="1">IF($N$102&lt;&gt;"", INDIRECT("'Tracker'!"&amp;ADDRESS(MATCH($N$102, Tracker[Anime Name], 0) + 2, 8)), "")</f>
        <v>Polished</v>
      </c>
      <c r="V102" s="53">
        <f>IF(Completed!$C$101&lt;&gt;"",Completed!$C$101,"")</f>
        <v>7</v>
      </c>
      <c r="W102" s="53">
        <f>IF(Completed!$D$101&lt;&gt;"",Completed!$D$101,"")</f>
        <v>7</v>
      </c>
      <c r="X102" s="53">
        <f>IF(Completed!$E$101&lt;&gt;"",Completed!$E$101,"")</f>
        <v>7.5</v>
      </c>
      <c r="Y102" s="53">
        <f>IF(Completed!$F$101&lt;&gt;"",Completed!$F$101,"")</f>
        <v>7.5</v>
      </c>
      <c r="Z102" s="65">
        <f>IF(Completed!$G$101&lt;&gt;"",Completed!$G$101,"")</f>
        <v>7.2738693467336688</v>
      </c>
      <c r="AA102" s="75">
        <f>IF(Completed!$H$101&lt;&gt;"",Completed!$H$101,"")</f>
        <v>7.2921914357682622</v>
      </c>
      <c r="AB102" s="54">
        <f>IF(Completed!$I$101&lt;&gt;"",Completed!$I$101,"")</f>
        <v>41496</v>
      </c>
      <c r="AC102" s="54">
        <f>IF(Completed!$J$101&lt;&gt;"",Completed!$J$101,"")</f>
        <v>41512</v>
      </c>
      <c r="AD102" s="66" t="str">
        <f>IF(Completed!$K$101&lt;&gt;"",Completed!$K$101,"")</f>
        <v>Nymph</v>
      </c>
      <c r="AE102" s="66" t="str">
        <f>IF(Completed!$L$101&lt;&gt;"",Completed!$L$101,"")</f>
        <v>Ignoring the ecchi, it would be pretty nice</v>
      </c>
    </row>
    <row r="103" spans="10:31">
      <c r="J103" s="21" t="str">
        <f>IF(Backlog!$A$102&lt;&gt;"",Backlog!$A$102,"")</f>
        <v/>
      </c>
      <c r="K103" s="28" t="str">
        <f>IF(Backlog!$B$102&lt;&gt;"",Backlog!$B$102,"")</f>
        <v/>
      </c>
      <c r="L103" s="29" t="str">
        <f>IF(Backlog!$C$102&lt;&gt;"",Backlog!$C$102,"")</f>
        <v/>
      </c>
      <c r="N103" s="21" t="str">
        <f>IF(Completed!$A$102&lt;&gt;"",Completed!$A$102,"")</f>
        <v>Haiyore! Nyaruko-san</v>
      </c>
      <c r="O103" s="28">
        <f>IF(Completed!$B$102&lt;&gt;"",Completed!$B$102,"")</f>
        <v>1</v>
      </c>
      <c r="P103" s="28">
        <f ca="1">IF($N$103&lt;&gt;"", INDIRECT("'Tracker'!"&amp;ADDRESS(MATCH($N$103, Tracker[Anime Name], 0) + 2, 3)), "")</f>
        <v>13</v>
      </c>
      <c r="Q103" s="22" t="str">
        <f ca="1">IF($N$103&lt;&gt;"", INDIRECT("'Tracker'!"&amp;ADDRESS(MATCH($N$103, Tracker[Anime Name], 0) + 2, 4)), "")</f>
        <v>A</v>
      </c>
      <c r="R103" s="22" t="str">
        <f ca="1">IF($N$103&lt;&gt;"", INDIRECT("'Tracker'!"&amp;ADDRESS(MATCH($N$103, Tracker[Anime Name], 0) + 2, 5)), "")</f>
        <v>720p</v>
      </c>
      <c r="S103" s="22" t="str">
        <f ca="1">IF($N$103&lt;&gt;"", INDIRECT("'Tracker'!"&amp;ADDRESS(MATCH($N$103, Tracker[Anime Name], 0) + 2, 6)), "")</f>
        <v>TV</v>
      </c>
      <c r="T103" s="22" t="str">
        <f ca="1">IF($N$103&lt;&gt;"", INDIRECT("'Tracker'!"&amp;ADDRESS(MATCH($N$103, Tracker[Anime Name], 0) + 2, 7)), "")</f>
        <v>2012A</v>
      </c>
      <c r="U103" s="28" t="str">
        <f ca="1">IF($N$103&lt;&gt;"", INDIRECT("'Tracker'!"&amp;ADDRESS(MATCH($N$103, Tracker[Anime Name], 0) + 2, 8)), "")</f>
        <v>Hatsuyuki</v>
      </c>
      <c r="V103" s="53">
        <f>IF(Completed!$C$102&lt;&gt;"",Completed!$C$102,"")</f>
        <v>6</v>
      </c>
      <c r="W103" s="53">
        <f>IF(Completed!$D$102&lt;&gt;"",Completed!$D$102,"")</f>
        <v>7</v>
      </c>
      <c r="X103" s="53">
        <f>IF(Completed!$E$102&lt;&gt;"",Completed!$E$102,"")</f>
        <v>6</v>
      </c>
      <c r="Y103" s="53">
        <f>IF(Completed!$F$102&lt;&gt;"",Completed!$F$102,"")</f>
        <v>8</v>
      </c>
      <c r="Z103" s="65">
        <f>IF(Completed!$G$102&lt;&gt;"",Completed!$G$102,"")</f>
        <v>7.2688442211055273</v>
      </c>
      <c r="AA103" s="75">
        <f>IF(Completed!$H$102&lt;&gt;"",Completed!$H$102,"")</f>
        <v>7.2871536523929468</v>
      </c>
      <c r="AB103" s="54">
        <f>IF(Completed!$I$102&lt;&gt;"",Completed!$I$102,"")</f>
        <v>41365</v>
      </c>
      <c r="AC103" s="54">
        <f>IF(Completed!$J$102&lt;&gt;"",Completed!$J$102,"")</f>
        <v>41369</v>
      </c>
      <c r="AD103" s="66" t="str">
        <f>IF(Completed!$K$102&lt;&gt;"",Completed!$K$102,"")</f>
        <v>Kuuko</v>
      </c>
      <c r="AE103" s="66" t="str">
        <f>IF(Completed!$L$102&lt;&gt;"",Completed!$L$102,"")</f>
        <v/>
      </c>
    </row>
    <row r="104" spans="10:31">
      <c r="J104" s="21" t="str">
        <f>IF(Backlog!$A$103&lt;&gt;"",Backlog!$A$103,"")</f>
        <v/>
      </c>
      <c r="K104" s="28" t="str">
        <f>IF(Backlog!$B$103&lt;&gt;"",Backlog!$B$103,"")</f>
        <v/>
      </c>
      <c r="L104" s="29" t="str">
        <f>IF(Backlog!$C$103&lt;&gt;"",Backlog!$C$103,"")</f>
        <v/>
      </c>
      <c r="N104" s="21" t="str">
        <f>IF(Completed!$A$103&lt;&gt;"",Completed!$A$103,"")</f>
        <v>Nisemonogatari</v>
      </c>
      <c r="O104" s="28">
        <f>IF(Completed!$B$103&lt;&gt;"",Completed!$B$103,"")</f>
        <v>2</v>
      </c>
      <c r="P104" s="28">
        <f ca="1">IF($N$104&lt;&gt;"", INDIRECT("'Tracker'!"&amp;ADDRESS(MATCH($N$104, Tracker[Anime Name], 0) + 2, 3)), "")</f>
        <v>11</v>
      </c>
      <c r="Q104" s="22" t="str">
        <f ca="1">IF($N$104&lt;&gt;"", INDIRECT("'Tracker'!"&amp;ADDRESS(MATCH($N$104, Tracker[Anime Name], 0) + 2, 4)), "")</f>
        <v>A</v>
      </c>
      <c r="R104" s="22" t="str">
        <f ca="1">IF($N$104&lt;&gt;"", INDIRECT("'Tracker'!"&amp;ADDRESS(MATCH($N$104, Tracker[Anime Name], 0) + 2, 5)), "")</f>
        <v>720p</v>
      </c>
      <c r="S104" s="22" t="str">
        <f ca="1">IF($N$104&lt;&gt;"", INDIRECT("'Tracker'!"&amp;ADDRESS(MATCH($N$104, Tracker[Anime Name], 0) + 2, 6)), "")</f>
        <v>BD</v>
      </c>
      <c r="T104" s="22" t="str">
        <f ca="1">IF($N$104&lt;&gt;"", INDIRECT("'Tracker'!"&amp;ADDRESS(MATCH($N$104, Tracker[Anime Name], 0) + 2, 7)), "")</f>
        <v>2011D</v>
      </c>
      <c r="U104" s="28" t="str">
        <f ca="1">IF($N$104&lt;&gt;"", INDIRECT("'Tracker'!"&amp;ADDRESS(MATCH($N$104, Tracker[Anime Name], 0) + 2, 8)), "")</f>
        <v>Coalgirls, CMS</v>
      </c>
      <c r="V104" s="53">
        <f>IF(Completed!$C$103&lt;&gt;"",Completed!$C$103,"")</f>
        <v>7</v>
      </c>
      <c r="W104" s="53">
        <f>IF(Completed!$D$103&lt;&gt;"",Completed!$D$103,"")</f>
        <v>7.5</v>
      </c>
      <c r="X104" s="53">
        <f>IF(Completed!$E$103&lt;&gt;"",Completed!$E$103,"")</f>
        <v>4.5</v>
      </c>
      <c r="Y104" s="53">
        <f>IF(Completed!$F$103&lt;&gt;"",Completed!$F$103,"")</f>
        <v>7.5</v>
      </c>
      <c r="Z104" s="65">
        <f>IF(Completed!$G$103&lt;&gt;"",Completed!$G$103,"")</f>
        <v>7.2650753768844218</v>
      </c>
      <c r="AA104" s="75">
        <f>IF(Completed!$H$103&lt;&gt;"",Completed!$H$103,"")</f>
        <v>7.2833753148614608</v>
      </c>
      <c r="AB104" s="54">
        <f>IF(Completed!$I$103&lt;&gt;"",Completed!$I$103,"")</f>
        <v>41345</v>
      </c>
      <c r="AC104" s="54">
        <f>IF(Completed!$J$103&lt;&gt;"",Completed!$J$103,"")</f>
        <v>41350</v>
      </c>
      <c r="AD104" s="66" t="str">
        <f>IF(Completed!$K$103&lt;&gt;"",Completed!$K$103,"")</f>
        <v>Oshino Shinobu</v>
      </c>
      <c r="AE104" s="66" t="str">
        <f>IF(Completed!$L$103&lt;&gt;"",Completed!$L$103,"")</f>
        <v/>
      </c>
    </row>
    <row r="105" spans="10:31">
      <c r="J105" s="21" t="str">
        <f>IF(Backlog!$A$104&lt;&gt;"",Backlog!$A$104,"")</f>
        <v/>
      </c>
      <c r="K105" s="28" t="str">
        <f>IF(Backlog!$B$104&lt;&gt;"",Backlog!$B$104,"")</f>
        <v/>
      </c>
      <c r="L105" s="29" t="str">
        <f>IF(Backlog!$C$104&lt;&gt;"",Backlog!$C$104,"")</f>
        <v/>
      </c>
      <c r="N105" s="21" t="str">
        <f>IF(Completed!$A$104&lt;&gt;"",Completed!$A$104,"")</f>
        <v>Yuyushiki</v>
      </c>
      <c r="O105" s="28">
        <f>IF(Completed!$B$104&lt;&gt;"",Completed!$B$104,"")</f>
        <v>1</v>
      </c>
      <c r="P105" s="28">
        <f ca="1">IF($N$105&lt;&gt;"", INDIRECT("'Tracker'!"&amp;ADDRESS(MATCH($N$105, Tracker[Anime Name], 0) + 2, 3)), "")</f>
        <v>12</v>
      </c>
      <c r="Q105" s="22" t="str">
        <f ca="1">IF($N$105&lt;&gt;"", INDIRECT("'Tracker'!"&amp;ADDRESS(MATCH($N$105, Tracker[Anime Name], 0) + 2, 4)), "")</f>
        <v>A</v>
      </c>
      <c r="R105" s="22" t="str">
        <f ca="1">IF($N$105&lt;&gt;"", INDIRECT("'Tracker'!"&amp;ADDRESS(MATCH($N$105, Tracker[Anime Name], 0) + 2, 5)), "")</f>
        <v>720p</v>
      </c>
      <c r="S105" s="22" t="str">
        <f ca="1">IF($N$105&lt;&gt;"", INDIRECT("'Tracker'!"&amp;ADDRESS(MATCH($N$105, Tracker[Anime Name], 0) + 2, 6)), "")</f>
        <v>BD</v>
      </c>
      <c r="T105" s="22" t="str">
        <f ca="1">IF($N$105&lt;&gt;"", INDIRECT("'Tracker'!"&amp;ADDRESS(MATCH($N$105, Tracker[Anime Name], 0) + 2, 7)), "")</f>
        <v>2013A</v>
      </c>
      <c r="U105" s="28" t="str">
        <f ca="1">IF($N$105&lt;&gt;"", INDIRECT("'Tracker'!"&amp;ADDRESS(MATCH($N$105, Tracker[Anime Name], 0) + 2, 8)), "")</f>
        <v>Commie</v>
      </c>
      <c r="V105" s="53">
        <f>IF(Completed!$C$104&lt;&gt;"",Completed!$C$104,"")</f>
        <v>4</v>
      </c>
      <c r="W105" s="53">
        <f>IF(Completed!$D$104&lt;&gt;"",Completed!$D$104,"")</f>
        <v>7</v>
      </c>
      <c r="X105" s="53">
        <f>IF(Completed!$E$104&lt;&gt;"",Completed!$E$104,"")</f>
        <v>8</v>
      </c>
      <c r="Y105" s="53">
        <f>IF(Completed!$F$104&lt;&gt;"",Completed!$F$104,"")</f>
        <v>8.5</v>
      </c>
      <c r="Z105" s="65">
        <f>IF(Completed!$G$104&lt;&gt;"",Completed!$G$104,"")</f>
        <v>7.2474874371859297</v>
      </c>
      <c r="AA105" s="75">
        <f>IF(Completed!$H$104&lt;&gt;"",Completed!$H$104,"")</f>
        <v>7.2657430730478589</v>
      </c>
      <c r="AB105" s="54">
        <f>IF(Completed!$I$104&lt;&gt;"",Completed!$I$104,"")</f>
        <v>41449</v>
      </c>
      <c r="AC105" s="54">
        <f>IF(Completed!$J$104&lt;&gt;"",Completed!$J$104,"")</f>
        <v>41451</v>
      </c>
      <c r="AD105" s="66" t="str">
        <f>IF(Completed!$K$104&lt;&gt;"",Completed!$K$104,"")</f>
        <v>Hinata Yukari</v>
      </c>
      <c r="AE105" s="66" t="str">
        <f>IF(Completed!$L$104&lt;&gt;"",Completed!$L$104,"")</f>
        <v/>
      </c>
    </row>
    <row r="106" spans="10:31">
      <c r="J106" s="21" t="str">
        <f>IF(Backlog!$A$105&lt;&gt;"",Backlog!$A$105,"")</f>
        <v/>
      </c>
      <c r="K106" s="28" t="str">
        <f>IF(Backlog!$B$105&lt;&gt;"",Backlog!$B$105,"")</f>
        <v/>
      </c>
      <c r="L106" s="29" t="str">
        <f>IF(Backlog!$C$105&lt;&gt;"",Backlog!$C$105,"")</f>
        <v/>
      </c>
      <c r="N106" s="21" t="str">
        <f>IF(Completed!$A$105&lt;&gt;"",Completed!$A$105,"")</f>
        <v>Shinryaku! Ika Musume</v>
      </c>
      <c r="O106" s="28">
        <f>IF(Completed!$B$105&lt;&gt;"",Completed!$B$105,"")</f>
        <v>1</v>
      </c>
      <c r="P106" s="28">
        <f ca="1">IF($N$106&lt;&gt;"", INDIRECT("'Tracker'!"&amp;ADDRESS(MATCH($N$106, Tracker[Anime Name], 0) + 2, 3)), "")</f>
        <v>12</v>
      </c>
      <c r="Q106" s="22" t="str">
        <f ca="1">IF($N$106&lt;&gt;"", INDIRECT("'Tracker'!"&amp;ADDRESS(MATCH($N$106, Tracker[Anime Name], 0) + 2, 4)), "")</f>
        <v>A</v>
      </c>
      <c r="R106" s="22" t="str">
        <f ca="1">IF($N$106&lt;&gt;"", INDIRECT("'Tracker'!"&amp;ADDRESS(MATCH($N$106, Tracker[Anime Name], 0) + 2, 5)), "")</f>
        <v>720p</v>
      </c>
      <c r="S106" s="22" t="str">
        <f ca="1">IF($N$106&lt;&gt;"", INDIRECT("'Tracker'!"&amp;ADDRESS(MATCH($N$106, Tracker[Anime Name], 0) + 2, 6)), "")</f>
        <v>BD</v>
      </c>
      <c r="T106" s="22" t="str">
        <f ca="1">IF($N$106&lt;&gt;"", INDIRECT("'Tracker'!"&amp;ADDRESS(MATCH($N$106, Tracker[Anime Name], 0) + 2, 7)), "")</f>
        <v>2010C</v>
      </c>
      <c r="U106" s="28" t="str">
        <f ca="1">IF($N$106&lt;&gt;"", INDIRECT("'Tracker'!"&amp;ADDRESS(MATCH($N$106, Tracker[Anime Name], 0) + 2, 8)), "")</f>
        <v>FFF</v>
      </c>
      <c r="V106" s="53">
        <f>IF(Completed!$C$105&lt;&gt;"",Completed!$C$105,"")</f>
        <v>3</v>
      </c>
      <c r="W106" s="53">
        <f>IF(Completed!$D$105&lt;&gt;"",Completed!$D$105,"")</f>
        <v>8</v>
      </c>
      <c r="X106" s="53">
        <f>IF(Completed!$E$105&lt;&gt;"",Completed!$E$105,"")</f>
        <v>9</v>
      </c>
      <c r="Y106" s="53">
        <f>IF(Completed!$F$105&lt;&gt;"",Completed!$F$105,"")</f>
        <v>8</v>
      </c>
      <c r="Z106" s="65">
        <f>IF(Completed!$G$105&lt;&gt;"",Completed!$G$105,"")</f>
        <v>7.1306532663316586</v>
      </c>
      <c r="AA106" s="75">
        <f>IF(Completed!$H$105&lt;&gt;"",Completed!$H$105,"")</f>
        <v>7.1486146095717888</v>
      </c>
      <c r="AB106" s="54">
        <f>IF(Completed!$I$105&lt;&gt;"",Completed!$I$105,"")</f>
        <v>41288</v>
      </c>
      <c r="AC106" s="54">
        <f>IF(Completed!$J$105&lt;&gt;"",Completed!$J$105,"")</f>
        <v>41288</v>
      </c>
      <c r="AD106" s="66" t="str">
        <f>IF(Completed!$K$105&lt;&gt;"",Completed!$K$105,"")</f>
        <v>Aizawa Chizuru</v>
      </c>
      <c r="AE106" s="66" t="str">
        <f>IF(Completed!$L$105&lt;&gt;"",Completed!$L$105,"")</f>
        <v/>
      </c>
    </row>
    <row r="107" spans="10:31">
      <c r="J107" s="21" t="str">
        <f>IF(Backlog!$A$106&lt;&gt;"",Backlog!$A$106,"")</f>
        <v/>
      </c>
      <c r="K107" s="28" t="str">
        <f>IF(Backlog!$B$106&lt;&gt;"",Backlog!$B$106,"")</f>
        <v/>
      </c>
      <c r="L107" s="29" t="str">
        <f>IF(Backlog!$C$106&lt;&gt;"",Backlog!$C$106,"")</f>
        <v/>
      </c>
      <c r="N107" s="21" t="str">
        <f>IF(Completed!$A$106&lt;&gt;"",Completed!$A$106,"")</f>
        <v>Naruto</v>
      </c>
      <c r="O107" s="28">
        <f>IF(Completed!$B$106&lt;&gt;"",Completed!$B$106,"")</f>
        <v>5</v>
      </c>
      <c r="P107" s="28">
        <f ca="1">IF($N$107&lt;&gt;"", INDIRECT("'Tracker'!"&amp;ADDRESS(MATCH($N$107, Tracker[Anime Name], 0) + 2, 3)), "")</f>
        <v>220</v>
      </c>
      <c r="Q107" s="22" t="str">
        <f ca="1">IF($N$107&lt;&gt;"", INDIRECT("'Tracker'!"&amp;ADDRESS(MATCH($N$107, Tracker[Anime Name], 0) + 2, 4)), "")</f>
        <v>--</v>
      </c>
      <c r="R107" s="22" t="str">
        <f ca="1">IF($N$107&lt;&gt;"", INDIRECT("'Tracker'!"&amp;ADDRESS(MATCH($N$107, Tracker[Anime Name], 0) + 2, 5)), "")</f>
        <v>--</v>
      </c>
      <c r="S107" s="22" t="str">
        <f ca="1">IF($N$107&lt;&gt;"", INDIRECT("'Tracker'!"&amp;ADDRESS(MATCH($N$107, Tracker[Anime Name], 0) + 2, 6)), "")</f>
        <v>--</v>
      </c>
      <c r="T107" s="22" t="str">
        <f ca="1">IF($N$107&lt;&gt;"", INDIRECT("'Tracker'!"&amp;ADDRESS(MATCH($N$107, Tracker[Anime Name], 0) + 2, 7)), "")</f>
        <v>2002C</v>
      </c>
      <c r="U107" s="28" t="str">
        <f ca="1">IF($N$107&lt;&gt;"", INDIRECT("'Tracker'!"&amp;ADDRESS(MATCH($N$107, Tracker[Anime Name], 0) + 2, 8)), "")</f>
        <v>-- NO DL --</v>
      </c>
      <c r="V107" s="53">
        <f>IF(Completed!$C$106&lt;&gt;"",Completed!$C$106,"")</f>
        <v>7.5</v>
      </c>
      <c r="W107" s="53">
        <f>IF(Completed!$D$106&lt;&gt;"",Completed!$D$106,"")</f>
        <v>8</v>
      </c>
      <c r="X107" s="53">
        <f>IF(Completed!$E$106&lt;&gt;"",Completed!$E$106,"")</f>
        <v>0.5</v>
      </c>
      <c r="Y107" s="53">
        <f>IF(Completed!$F$106&lt;&gt;"",Completed!$F$106,"")</f>
        <v>7</v>
      </c>
      <c r="Z107" s="65">
        <f>IF(Completed!$G$106&lt;&gt;"",Completed!$G$106,"")</f>
        <v>7.0502512562814079</v>
      </c>
      <c r="AA107" s="75">
        <f>IF(Completed!$H$106&lt;&gt;"",Completed!$H$106,"")</f>
        <v>7.0680100755667512</v>
      </c>
      <c r="AB107" s="54">
        <f>IF(Completed!$I$106&lt;&gt;"",Completed!$I$106,"")</f>
        <v>41088</v>
      </c>
      <c r="AC107" s="54">
        <f>IF(Completed!$J$106&lt;&gt;"",Completed!$J$106,"")</f>
        <v>41108</v>
      </c>
      <c r="AD107" s="66" t="str">
        <f>IF(Completed!$K$106&lt;&gt;"",Completed!$K$106,"")</f>
        <v>Hyuuga Hinata</v>
      </c>
      <c r="AE107" s="66" t="str">
        <f>IF(Completed!$L$106&lt;&gt;"",Completed!$L$106,"")</f>
        <v>Too many filler arcs killed everything else. Should have waited for the manga to continue instead</v>
      </c>
    </row>
    <row r="108" spans="10:31">
      <c r="J108" s="21" t="str">
        <f>IF(Backlog!$A$107&lt;&gt;"",Backlog!$A$107,"")</f>
        <v/>
      </c>
      <c r="K108" s="28" t="str">
        <f>IF(Backlog!$B$107&lt;&gt;"",Backlog!$B$107,"")</f>
        <v/>
      </c>
      <c r="L108" s="29" t="str">
        <f>IF(Backlog!$C$107&lt;&gt;"",Backlog!$C$107,"")</f>
        <v/>
      </c>
      <c r="N108" s="21" t="str">
        <f>IF(Completed!$A$107&lt;&gt;"",Completed!$A$107,"")</f>
        <v>Watashi ga Motenai no wa Dou Kangaetemo Omaera no Warui!</v>
      </c>
      <c r="O108" s="28">
        <f>IF(Completed!$B$107&lt;&gt;"",Completed!$B$107,"")</f>
        <v>1</v>
      </c>
      <c r="P108" s="28">
        <f ca="1">IF($N$108&lt;&gt;"", INDIRECT("'Tracker'!"&amp;ADDRESS(MATCH($N$108, Tracker[Anime Name], 0) + 2, 3)), "")</f>
        <v>12</v>
      </c>
      <c r="Q108" s="22" t="str">
        <f ca="1">IF($N$108&lt;&gt;"", INDIRECT("'Tracker'!"&amp;ADDRESS(MATCH($N$108, Tracker[Anime Name], 0) + 2, 4)), "")</f>
        <v>A</v>
      </c>
      <c r="R108" s="22" t="str">
        <f ca="1">IF($N$108&lt;&gt;"", INDIRECT("'Tracker'!"&amp;ADDRESS(MATCH($N$108, Tracker[Anime Name], 0) + 2, 5)), "")</f>
        <v>720p</v>
      </c>
      <c r="S108" s="22" t="str">
        <f ca="1">IF($N$108&lt;&gt;"", INDIRECT("'Tracker'!"&amp;ADDRESS(MATCH($N$108, Tracker[Anime Name], 0) + 2, 6)), "")</f>
        <v>TV</v>
      </c>
      <c r="T108" s="22" t="str">
        <f ca="1">IF($N$108&lt;&gt;"", INDIRECT("'Tracker'!"&amp;ADDRESS(MATCH($N$108, Tracker[Anime Name], 0) + 2, 7)), "")</f>
        <v>2013B</v>
      </c>
      <c r="U108" s="28" t="str">
        <f ca="1">IF($N$108&lt;&gt;"", INDIRECT("'Tracker'!"&amp;ADDRESS(MATCH($N$108, Tracker[Anime Name], 0) + 2, 8)), "")</f>
        <v>FFF, UTW (FTW)</v>
      </c>
      <c r="V108" s="53">
        <f>IF(Completed!$C$107&lt;&gt;"",Completed!$C$107,"")</f>
        <v>6.5</v>
      </c>
      <c r="W108" s="53">
        <f>IF(Completed!$D$107&lt;&gt;"",Completed!$D$107,"")</f>
        <v>7</v>
      </c>
      <c r="X108" s="53">
        <f>IF(Completed!$E$107&lt;&gt;"",Completed!$E$107,"")</f>
        <v>4.5</v>
      </c>
      <c r="Y108" s="53">
        <f>IF(Completed!$F$107&lt;&gt;"",Completed!$F$107,"")</f>
        <v>7.5</v>
      </c>
      <c r="Z108" s="65">
        <f>IF(Completed!$G$107&lt;&gt;"",Completed!$G$107,"")</f>
        <v>7.0389447236180906</v>
      </c>
      <c r="AA108" s="75">
        <f>IF(Completed!$H$107&lt;&gt;"",Completed!$H$107,"")</f>
        <v>7.0566750629722916</v>
      </c>
      <c r="AB108" s="54">
        <f>IF(Completed!$I$107&lt;&gt;"",Completed!$I$107,"")</f>
        <v>41464</v>
      </c>
      <c r="AC108" s="54">
        <f>IF(Completed!$J$107&lt;&gt;"",Completed!$J$107,"")</f>
        <v>41543</v>
      </c>
      <c r="AD108" s="66" t="str">
        <f>IF(Completed!$K$107&lt;&gt;"",Completed!$K$107,"")</f>
        <v>Kii</v>
      </c>
      <c r="AE108" s="66" t="str">
        <f>IF(Completed!$L$107&lt;&gt;"",Completed!$L$107,"")</f>
        <v/>
      </c>
    </row>
    <row r="109" spans="10:31">
      <c r="J109" s="21" t="str">
        <f>IF(Backlog!$A$108&lt;&gt;"",Backlog!$A$108,"")</f>
        <v/>
      </c>
      <c r="K109" s="28" t="str">
        <f>IF(Backlog!$B$108&lt;&gt;"",Backlog!$B$108,"")</f>
        <v/>
      </c>
      <c r="L109" s="29" t="str">
        <f>IF(Backlog!$C$108&lt;&gt;"",Backlog!$C$108,"")</f>
        <v/>
      </c>
      <c r="N109" s="21" t="str">
        <f>IF(Completed!$A$108&lt;&gt;"",Completed!$A$108,"")</f>
        <v>Panty &amp; Stocking with Garterbelt</v>
      </c>
      <c r="O109" s="28">
        <f>IF(Completed!$B$108&lt;&gt;"",Completed!$B$108,"")</f>
        <v>1</v>
      </c>
      <c r="P109" s="28">
        <f ca="1">IF($N$109&lt;&gt;"", INDIRECT("'Tracker'!"&amp;ADDRESS(MATCH($N$109, Tracker[Anime Name], 0) + 2, 3)), "")</f>
        <v>13</v>
      </c>
      <c r="Q109" s="22" t="str">
        <f ca="1">IF($N$109&lt;&gt;"", INDIRECT("'Tracker'!"&amp;ADDRESS(MATCH($N$109, Tracker[Anime Name], 0) + 2, 4)), "")</f>
        <v>A</v>
      </c>
      <c r="R109" s="22" t="str">
        <f ca="1">IF($N$109&lt;&gt;"", INDIRECT("'Tracker'!"&amp;ADDRESS(MATCH($N$109, Tracker[Anime Name], 0) + 2, 5)), "")</f>
        <v>720p</v>
      </c>
      <c r="S109" s="22" t="str">
        <f ca="1">IF($N$109&lt;&gt;"", INDIRECT("'Tracker'!"&amp;ADDRESS(MATCH($N$109, Tracker[Anime Name], 0) + 2, 6)), "")</f>
        <v>BD</v>
      </c>
      <c r="T109" s="22" t="str">
        <f ca="1">IF($N$109&lt;&gt;"", INDIRECT("'Tracker'!"&amp;ADDRESS(MATCH($N$109, Tracker[Anime Name], 0) + 2, 7)), "")</f>
        <v>2010C</v>
      </c>
      <c r="U109" s="28" t="str">
        <f ca="1">IF($N$109&lt;&gt;"", INDIRECT("'Tracker'!"&amp;ADDRESS(MATCH($N$109, Tracker[Anime Name], 0) + 2, 8)), "")</f>
        <v>WhyNot</v>
      </c>
      <c r="V109" s="53">
        <f>IF(Completed!$C$108&lt;&gt;"",Completed!$C$108,"")</f>
        <v>5</v>
      </c>
      <c r="W109" s="53">
        <f>IF(Completed!$D$108&lt;&gt;"",Completed!$D$108,"")</f>
        <v>7</v>
      </c>
      <c r="X109" s="53">
        <f>IF(Completed!$E$108&lt;&gt;"",Completed!$E$108,"")</f>
        <v>4.5</v>
      </c>
      <c r="Y109" s="53">
        <f>IF(Completed!$F$108&lt;&gt;"",Completed!$F$108,"")</f>
        <v>8</v>
      </c>
      <c r="Z109" s="65">
        <f>IF(Completed!$G$108&lt;&gt;"",Completed!$G$108,"")</f>
        <v>7.0138190954773867</v>
      </c>
      <c r="AA109" s="75">
        <f>IF(Completed!$H$108&lt;&gt;"",Completed!$H$108,"")</f>
        <v>7.031486146095717</v>
      </c>
      <c r="AB109" s="54">
        <f>IF(Completed!$I$108&lt;&gt;"",Completed!$I$108,"")</f>
        <v>41470</v>
      </c>
      <c r="AC109" s="54">
        <f>IF(Completed!$J$108&lt;&gt;"",Completed!$J$108,"")</f>
        <v>41482</v>
      </c>
      <c r="AD109" s="66" t="str">
        <f>IF(Completed!$K$108&lt;&gt;"",Completed!$K$108,"")</f>
        <v>Stocking Anarchy</v>
      </c>
      <c r="AE109" s="66" t="str">
        <f>IF(Completed!$L$108&lt;&gt;"",Completed!$L$108,"")</f>
        <v>Interesting animation style, nice break from "normal" anime</v>
      </c>
    </row>
    <row r="110" spans="10:31">
      <c r="J110" s="21" t="str">
        <f>IF(Backlog!$A$109&lt;&gt;"",Backlog!$A$109,"")</f>
        <v/>
      </c>
      <c r="K110" s="28" t="str">
        <f>IF(Backlog!$B$109&lt;&gt;"",Backlog!$B$109,"")</f>
        <v/>
      </c>
      <c r="L110" s="29" t="str">
        <f>IF(Backlog!$C$109&lt;&gt;"",Backlog!$C$109,"")</f>
        <v/>
      </c>
      <c r="N110" s="21" t="str">
        <f>IF(Completed!$A$109&lt;&gt;"",Completed!$A$109,"")</f>
        <v>Shinryaku?! Ika Musume</v>
      </c>
      <c r="O110" s="28">
        <f>IF(Completed!$B$109&lt;&gt;"",Completed!$B$109,"")</f>
        <v>2</v>
      </c>
      <c r="P110" s="28">
        <f ca="1">IF($N$110&lt;&gt;"", INDIRECT("'Tracker'!"&amp;ADDRESS(MATCH($N$110, Tracker[Anime Name], 0) + 2, 3)), "")</f>
        <v>12</v>
      </c>
      <c r="Q110" s="22" t="str">
        <f ca="1">IF($N$110&lt;&gt;"", INDIRECT("'Tracker'!"&amp;ADDRESS(MATCH($N$110, Tracker[Anime Name], 0) + 2, 4)), "")</f>
        <v>A</v>
      </c>
      <c r="R110" s="22" t="str">
        <f ca="1">IF($N$110&lt;&gt;"", INDIRECT("'Tracker'!"&amp;ADDRESS(MATCH($N$110, Tracker[Anime Name], 0) + 2, 5)), "")</f>
        <v>720p</v>
      </c>
      <c r="S110" s="22" t="str">
        <f ca="1">IF($N$110&lt;&gt;"", INDIRECT("'Tracker'!"&amp;ADDRESS(MATCH($N$110, Tracker[Anime Name], 0) + 2, 6)), "")</f>
        <v>BD</v>
      </c>
      <c r="T110" s="22" t="str">
        <f ca="1">IF($N$110&lt;&gt;"", INDIRECT("'Tracker'!"&amp;ADDRESS(MATCH($N$110, Tracker[Anime Name], 0) + 2, 7)), "")</f>
        <v>2011C</v>
      </c>
      <c r="U110" s="28" t="str">
        <f ca="1">IF($N$110&lt;&gt;"", INDIRECT("'Tracker'!"&amp;ADDRESS(MATCH($N$110, Tracker[Anime Name], 0) + 2, 8)), "")</f>
        <v>FFF</v>
      </c>
      <c r="V110" s="53">
        <f>IF(Completed!$C$109&lt;&gt;"",Completed!$C$109,"")</f>
        <v>3.5</v>
      </c>
      <c r="W110" s="53">
        <f>IF(Completed!$D$109&lt;&gt;"",Completed!$D$109,"")</f>
        <v>8</v>
      </c>
      <c r="X110" s="53">
        <f>IF(Completed!$E$109&lt;&gt;"",Completed!$E$109,"")</f>
        <v>9</v>
      </c>
      <c r="Y110" s="53">
        <f>IF(Completed!$F$109&lt;&gt;"",Completed!$F$109,"")</f>
        <v>7.5</v>
      </c>
      <c r="Z110" s="65">
        <f>IF(Completed!$G$109&lt;&gt;"",Completed!$G$109,"")</f>
        <v>6.9723618090452257</v>
      </c>
      <c r="AA110" s="75">
        <f>IF(Completed!$H$109&lt;&gt;"",Completed!$H$109,"")</f>
        <v>6.98992443324937</v>
      </c>
      <c r="AB110" s="54">
        <f>IF(Completed!$I$109&lt;&gt;"",Completed!$I$109,"")</f>
        <v>41289</v>
      </c>
      <c r="AC110" s="54">
        <f>IF(Completed!$J$109&lt;&gt;"",Completed!$J$109,"")</f>
        <v>41289</v>
      </c>
      <c r="AD110" s="66" t="str">
        <f>IF(Completed!$K$109&lt;&gt;"",Completed!$K$109,"")</f>
        <v>Aizawa Chizuru</v>
      </c>
      <c r="AE110" s="66" t="str">
        <f>IF(Completed!$L$109&lt;&gt;"",Completed!$L$109,"")</f>
        <v/>
      </c>
    </row>
    <row r="111" spans="10:31">
      <c r="J111" s="21" t="str">
        <f>IF(Backlog!$A$110&lt;&gt;"",Backlog!$A$110,"")</f>
        <v/>
      </c>
      <c r="K111" s="28" t="str">
        <f>IF(Backlog!$B$110&lt;&gt;"",Backlog!$B$110,"")</f>
        <v/>
      </c>
      <c r="L111" s="29" t="str">
        <f>IF(Backlog!$C$110&lt;&gt;"",Backlog!$C$110,"")</f>
        <v/>
      </c>
      <c r="N111" s="21" t="str">
        <f>IF(Completed!$A$110&lt;&gt;"",Completed!$A$110,"")</f>
        <v>Haiyore! Nyaruko-san W</v>
      </c>
      <c r="O111" s="28">
        <f>IF(Completed!$B$110&lt;&gt;"",Completed!$B$110,"")</f>
        <v>2</v>
      </c>
      <c r="P111" s="28">
        <f ca="1">IF($N$111&lt;&gt;"", INDIRECT("'Tracker'!"&amp;ADDRESS(MATCH($N$111, Tracker[Anime Name], 0) + 2, 3)), "")</f>
        <v>12</v>
      </c>
      <c r="Q111" s="22" t="str">
        <f ca="1">IF($N$111&lt;&gt;"", INDIRECT("'Tracker'!"&amp;ADDRESS(MATCH($N$111, Tracker[Anime Name], 0) + 2, 4)), "")</f>
        <v>A</v>
      </c>
      <c r="R111" s="22" t="str">
        <f ca="1">IF($N$111&lt;&gt;"", INDIRECT("'Tracker'!"&amp;ADDRESS(MATCH($N$111, Tracker[Anime Name], 0) + 2, 5)), "")</f>
        <v>720p</v>
      </c>
      <c r="S111" s="22" t="str">
        <f ca="1">IF($N$111&lt;&gt;"", INDIRECT("'Tracker'!"&amp;ADDRESS(MATCH($N$111, Tracker[Anime Name], 0) + 2, 6)), "")</f>
        <v>BD</v>
      </c>
      <c r="T111" s="22" t="str">
        <f ca="1">IF($N$111&lt;&gt;"", INDIRECT("'Tracker'!"&amp;ADDRESS(MATCH($N$111, Tracker[Anime Name], 0) + 2, 7)), "")</f>
        <v>2013A</v>
      </c>
      <c r="U111" s="28" t="str">
        <f ca="1">IF($N$111&lt;&gt;"", INDIRECT("'Tracker'!"&amp;ADDRESS(MATCH($N$111, Tracker[Anime Name], 0) + 2, 8)), "")</f>
        <v>Final8</v>
      </c>
      <c r="V111" s="53">
        <f>IF(Completed!$C$110&lt;&gt;"",Completed!$C$110,"")</f>
        <v>5.5</v>
      </c>
      <c r="W111" s="53">
        <f>IF(Completed!$D$110&lt;&gt;"",Completed!$D$110,"")</f>
        <v>7</v>
      </c>
      <c r="X111" s="53">
        <f>IF(Completed!$E$110&lt;&gt;"",Completed!$E$110,"")</f>
        <v>6.5</v>
      </c>
      <c r="Y111" s="53">
        <f>IF(Completed!$F$110&lt;&gt;"",Completed!$F$110,"")</f>
        <v>7.5</v>
      </c>
      <c r="Z111" s="65">
        <f>IF(Completed!$G$110&lt;&gt;"",Completed!$G$110,"")</f>
        <v>6.9510050251256281</v>
      </c>
      <c r="AA111" s="75">
        <f>IF(Completed!$H$110&lt;&gt;"",Completed!$H$110,"")</f>
        <v>6.9685138539042812</v>
      </c>
      <c r="AB111" s="54">
        <f>IF(Completed!$I$110&lt;&gt;"",Completed!$I$110,"")</f>
        <v>41371</v>
      </c>
      <c r="AC111" s="54">
        <f>IF(Completed!$J$110&lt;&gt;"",Completed!$J$110,"")</f>
        <v>41455</v>
      </c>
      <c r="AD111" s="66" t="str">
        <f>IF(Completed!$K$110&lt;&gt;"",Completed!$K$110,"")</f>
        <v>Kuuko</v>
      </c>
      <c r="AE111" s="66" t="str">
        <f>IF(Completed!$L$110&lt;&gt;"",Completed!$L$110,"")</f>
        <v/>
      </c>
    </row>
    <row r="112" spans="10:31">
      <c r="J112" s="21" t="str">
        <f>IF(Backlog!$A$111&lt;&gt;"",Backlog!$A$111,"")</f>
        <v/>
      </c>
      <c r="K112" s="28" t="str">
        <f>IF(Backlog!$B$111&lt;&gt;"",Backlog!$B$111,"")</f>
        <v/>
      </c>
      <c r="L112" s="29" t="str">
        <f>IF(Backlog!$C$111&lt;&gt;"",Backlog!$C$111,"")</f>
        <v/>
      </c>
      <c r="N112" s="21" t="str">
        <f>IF(Completed!$A$111&lt;&gt;"",Completed!$A$111,"")</f>
        <v>Nekomonogatari Black</v>
      </c>
      <c r="O112" s="28">
        <f>IF(Completed!$B$111&lt;&gt;"",Completed!$B$111,"")</f>
        <v>1</v>
      </c>
      <c r="P112" s="28">
        <f ca="1">IF($N$112&lt;&gt;"", INDIRECT("'Tracker'!"&amp;ADDRESS(MATCH($N$112, Tracker[Anime Name], 0) + 2, 3)), "")</f>
        <v>4</v>
      </c>
      <c r="Q112" s="22" t="str">
        <f ca="1">IF($N$112&lt;&gt;"", INDIRECT("'Tracker'!"&amp;ADDRESS(MATCH($N$112, Tracker[Anime Name], 0) + 2, 4)), "")</f>
        <v>A</v>
      </c>
      <c r="R112" s="22" t="str">
        <f ca="1">IF($N$112&lt;&gt;"", INDIRECT("'Tracker'!"&amp;ADDRESS(MATCH($N$112, Tracker[Anime Name], 0) + 2, 5)), "")</f>
        <v>1080p</v>
      </c>
      <c r="S112" s="22" t="str">
        <f ca="1">IF($N$112&lt;&gt;"", INDIRECT("'Tracker'!"&amp;ADDRESS(MATCH($N$112, Tracker[Anime Name], 0) + 2, 6)), "")</f>
        <v>BD</v>
      </c>
      <c r="T112" s="22" t="str">
        <f ca="1">IF($N$112&lt;&gt;"", INDIRECT("'Tracker'!"&amp;ADDRESS(MATCH($N$112, Tracker[Anime Name], 0) + 2, 7)), "")</f>
        <v>2012D</v>
      </c>
      <c r="U112" s="28" t="str">
        <f ca="1">IF($N$112&lt;&gt;"", INDIRECT("'Tracker'!"&amp;ADDRESS(MATCH($N$112, Tracker[Anime Name], 0) + 2, 8)), "")</f>
        <v>Coalgirls, Mazui</v>
      </c>
      <c r="V112" s="53">
        <f>IF(Completed!$C$111&lt;&gt;"",Completed!$C$111,"")</f>
        <v>7</v>
      </c>
      <c r="W112" s="53">
        <f>IF(Completed!$D$111&lt;&gt;"",Completed!$D$111,"")</f>
        <v>6.5</v>
      </c>
      <c r="X112" s="53">
        <f>IF(Completed!$E$111&lt;&gt;"",Completed!$E$111,"")</f>
        <v>2.5</v>
      </c>
      <c r="Y112" s="53">
        <f>IF(Completed!$F$111&lt;&gt;"",Completed!$F$111,"")</f>
        <v>7.5</v>
      </c>
      <c r="Z112" s="65">
        <f>IF(Completed!$G$111&lt;&gt;"",Completed!$G$111,"")</f>
        <v>6.9007537688442211</v>
      </c>
      <c r="AA112" s="75">
        <f>IF(Completed!$H$111&lt;&gt;"",Completed!$H$111,"")</f>
        <v>6.9181360201511337</v>
      </c>
      <c r="AB112" s="54">
        <f>IF(Completed!$I$111&lt;&gt;"",Completed!$I$111,"")</f>
        <v>41465</v>
      </c>
      <c r="AC112" s="54">
        <f>IF(Completed!$J$111&lt;&gt;"",Completed!$J$111,"")</f>
        <v>41465</v>
      </c>
      <c r="AD112" s="66" t="str">
        <f>IF(Completed!$K$111&lt;&gt;"",Completed!$K$111,"")</f>
        <v>Oshino Shinobu</v>
      </c>
      <c r="AE112" s="66" t="str">
        <f>IF(Completed!$L$111&lt;&gt;"",Completed!$L$111,"")</f>
        <v>Pretty relaxing to watch, got better near the end</v>
      </c>
    </row>
    <row r="113" spans="10:31">
      <c r="J113" s="21" t="str">
        <f>IF(Backlog!$A$112&lt;&gt;"",Backlog!$A$112,"")</f>
        <v/>
      </c>
      <c r="K113" s="28" t="str">
        <f>IF(Backlog!$B$112&lt;&gt;"",Backlog!$B$112,"")</f>
        <v/>
      </c>
      <c r="L113" s="29" t="str">
        <f>IF(Backlog!$C$112&lt;&gt;"",Backlog!$C$112,"")</f>
        <v/>
      </c>
      <c r="N113" s="21" t="str">
        <f>IF(Completed!$A$112&lt;&gt;"",Completed!$A$112,"")</f>
        <v>Photokano</v>
      </c>
      <c r="O113" s="28">
        <f>IF(Completed!$B$112&lt;&gt;"",Completed!$B$112,"")</f>
        <v>1</v>
      </c>
      <c r="P113" s="28">
        <f ca="1">IF($N$113&lt;&gt;"", INDIRECT("'Tracker'!"&amp;ADDRESS(MATCH($N$113, Tracker[Anime Name], 0) + 2, 3)), "")</f>
        <v>13</v>
      </c>
      <c r="Q113" s="22" t="str">
        <f ca="1">IF($N$113&lt;&gt;"", INDIRECT("'Tracker'!"&amp;ADDRESS(MATCH($N$113, Tracker[Anime Name], 0) + 2, 4)), "")</f>
        <v>A</v>
      </c>
      <c r="R113" s="22" t="str">
        <f ca="1">IF($N$113&lt;&gt;"", INDIRECT("'Tracker'!"&amp;ADDRESS(MATCH($N$113, Tracker[Anime Name], 0) + 2, 5)), "")</f>
        <v>720p</v>
      </c>
      <c r="S113" s="22" t="str">
        <f ca="1">IF($N$113&lt;&gt;"", INDIRECT("'Tracker'!"&amp;ADDRESS(MATCH($N$113, Tracker[Anime Name], 0) + 2, 6)), "")</f>
        <v>TV</v>
      </c>
      <c r="T113" s="22" t="str">
        <f ca="1">IF($N$113&lt;&gt;"", INDIRECT("'Tracker'!"&amp;ADDRESS(MATCH($N$113, Tracker[Anime Name], 0) + 2, 7)), "")</f>
        <v>2013A</v>
      </c>
      <c r="U113" s="28" t="str">
        <f ca="1">IF($N$113&lt;&gt;"", INDIRECT("'Tracker'!"&amp;ADDRESS(MATCH($N$113, Tracker[Anime Name], 0) + 2, 8)), "")</f>
        <v>HorribleSubs</v>
      </c>
      <c r="V113" s="53">
        <f>IF(Completed!$C$112&lt;&gt;"",Completed!$C$112,"")</f>
        <v>6.5</v>
      </c>
      <c r="W113" s="53">
        <f>IF(Completed!$D$112&lt;&gt;"",Completed!$D$112,"")</f>
        <v>7</v>
      </c>
      <c r="X113" s="53">
        <f>IF(Completed!$E$112&lt;&gt;"",Completed!$E$112,"")</f>
        <v>6.5</v>
      </c>
      <c r="Y113" s="53">
        <f>IF(Completed!$F$112&lt;&gt;"",Completed!$F$112,"")</f>
        <v>7</v>
      </c>
      <c r="Z113" s="65">
        <f>IF(Completed!$G$112&lt;&gt;"",Completed!$G$112,"")</f>
        <v>6.8844221105527632</v>
      </c>
      <c r="AA113" s="75">
        <f>IF(Completed!$H$112&lt;&gt;"",Completed!$H$112,"")</f>
        <v>6.9017632241813596</v>
      </c>
      <c r="AB113" s="54">
        <f>IF(Completed!$I$112&lt;&gt;"",Completed!$I$112,"")</f>
        <v>41371</v>
      </c>
      <c r="AC113" s="54">
        <f>IF(Completed!$J$112&lt;&gt;"",Completed!$J$112,"")</f>
        <v>41453</v>
      </c>
      <c r="AD113" s="66" t="str">
        <f>IF(Completed!$K$112&lt;&gt;"",Completed!$K$112,"")</f>
        <v>Sakura Mai</v>
      </c>
      <c r="AE113" s="66" t="str">
        <f>IF(Completed!$L$112&lt;&gt;"",Completed!$L$112,"")</f>
        <v/>
      </c>
    </row>
    <row r="114" spans="10:31">
      <c r="J114" s="21" t="str">
        <f>IF(Backlog!$A$113&lt;&gt;"",Backlog!$A$113,"")</f>
        <v/>
      </c>
      <c r="K114" s="28" t="str">
        <f>IF(Backlog!$B$113&lt;&gt;"",Backlog!$B$113,"")</f>
        <v/>
      </c>
      <c r="L114" s="29" t="str">
        <f>IF(Backlog!$C$113&lt;&gt;"",Backlog!$C$113,"")</f>
        <v/>
      </c>
      <c r="N114" s="21" t="str">
        <f>IF(Completed!$A$113&lt;&gt;"",Completed!$A$113,"")</f>
        <v>Sasami-san @ Ganbaranai</v>
      </c>
      <c r="O114" s="28">
        <f>IF(Completed!$B$113&lt;&gt;"",Completed!$B$113,"")</f>
        <v>1</v>
      </c>
      <c r="P114" s="28">
        <f ca="1">IF($N$114&lt;&gt;"", INDIRECT("'Tracker'!"&amp;ADDRESS(MATCH($N$114, Tracker[Anime Name], 0) + 2, 3)), "")</f>
        <v>12</v>
      </c>
      <c r="Q114" s="22" t="str">
        <f ca="1">IF($N$114&lt;&gt;"", INDIRECT("'Tracker'!"&amp;ADDRESS(MATCH($N$114, Tracker[Anime Name], 0) + 2, 4)), "")</f>
        <v>A</v>
      </c>
      <c r="R114" s="22" t="str">
        <f ca="1">IF($N$114&lt;&gt;"", INDIRECT("'Tracker'!"&amp;ADDRESS(MATCH($N$114, Tracker[Anime Name], 0) + 2, 5)), "")</f>
        <v>720p</v>
      </c>
      <c r="S114" s="22" t="str">
        <f ca="1">IF($N$114&lt;&gt;"", INDIRECT("'Tracker'!"&amp;ADDRESS(MATCH($N$114, Tracker[Anime Name], 0) + 2, 6)), "")</f>
        <v>TV</v>
      </c>
      <c r="T114" s="22" t="str">
        <f ca="1">IF($N$114&lt;&gt;"", INDIRECT("'Tracker'!"&amp;ADDRESS(MATCH($N$114, Tracker[Anime Name], 0) + 2, 7)), "")</f>
        <v>2012D</v>
      </c>
      <c r="U114" s="28" t="str">
        <f ca="1">IF($N$114&lt;&gt;"", INDIRECT("'Tracker'!"&amp;ADDRESS(MATCH($N$114, Tracker[Anime Name], 0) + 2, 8)), "")</f>
        <v>FFF</v>
      </c>
      <c r="V114" s="53">
        <f>IF(Completed!$C$113&lt;&gt;"",Completed!$C$113,"")</f>
        <v>7</v>
      </c>
      <c r="W114" s="53">
        <f>IF(Completed!$D$113&lt;&gt;"",Completed!$D$113,"")</f>
        <v>7</v>
      </c>
      <c r="X114" s="53">
        <f>IF(Completed!$E$113&lt;&gt;"",Completed!$E$113,"")</f>
        <v>4.5</v>
      </c>
      <c r="Y114" s="53">
        <f>IF(Completed!$F$113&lt;&gt;"",Completed!$F$113,"")</f>
        <v>7</v>
      </c>
      <c r="Z114" s="65">
        <f>IF(Completed!$G$113&lt;&gt;"",Completed!$G$113,"")</f>
        <v>6.8806532663316577</v>
      </c>
      <c r="AA114" s="75">
        <f>IF(Completed!$H$113&lt;&gt;"",Completed!$H$113,"")</f>
        <v>6.8979848866498727</v>
      </c>
      <c r="AB114" s="54">
        <f>IF(Completed!$I$113&lt;&gt;"",Completed!$I$113,"")</f>
        <v>41292</v>
      </c>
      <c r="AC114" s="54">
        <f>IF(Completed!$J$113&lt;&gt;"",Completed!$J$113,"")</f>
        <v>41369</v>
      </c>
      <c r="AD114" s="66" t="str">
        <f>IF(Completed!$K$113&lt;&gt;"",Completed!$K$113,"")</f>
        <v>Yagami Kagami</v>
      </c>
      <c r="AE114" s="66" t="str">
        <f>IF(Completed!$L$113&lt;&gt;"",Completed!$L$113,"")</f>
        <v/>
      </c>
    </row>
    <row r="115" spans="10:31">
      <c r="J115" s="21" t="str">
        <f>IF(Backlog!$A$114&lt;&gt;"",Backlog!$A$114,"")</f>
        <v/>
      </c>
      <c r="K115" s="28" t="str">
        <f>IF(Backlog!$B$114&lt;&gt;"",Backlog!$B$114,"")</f>
        <v/>
      </c>
      <c r="L115" s="29" t="str">
        <f>IF(Backlog!$C$114&lt;&gt;"",Backlog!$C$114,"")</f>
        <v/>
      </c>
      <c r="N115" s="21" t="str">
        <f>IF(Completed!$A$114&lt;&gt;"",Completed!$A$114,"")</f>
        <v>Red Data Girl</v>
      </c>
      <c r="O115" s="28">
        <f>IF(Completed!$B$114&lt;&gt;"",Completed!$B$114,"")</f>
        <v>1</v>
      </c>
      <c r="P115" s="28">
        <f ca="1">IF($N$115&lt;&gt;"", INDIRECT("'Tracker'!"&amp;ADDRESS(MATCH($N$115, Tracker[Anime Name], 0) + 2, 3)), "")</f>
        <v>12</v>
      </c>
      <c r="Q115" s="22" t="str">
        <f ca="1">IF($N$115&lt;&gt;"", INDIRECT("'Tracker'!"&amp;ADDRESS(MATCH($N$115, Tracker[Anime Name], 0) + 2, 4)), "")</f>
        <v>A</v>
      </c>
      <c r="R115" s="22" t="str">
        <f ca="1">IF($N$115&lt;&gt;"", INDIRECT("'Tracker'!"&amp;ADDRESS(MATCH($N$115, Tracker[Anime Name], 0) + 2, 5)), "")</f>
        <v>720p</v>
      </c>
      <c r="S115" s="22" t="str">
        <f ca="1">IF($N$115&lt;&gt;"", INDIRECT("'Tracker'!"&amp;ADDRESS(MATCH($N$115, Tracker[Anime Name], 0) + 2, 6)), "")</f>
        <v>TV</v>
      </c>
      <c r="T115" s="22" t="str">
        <f ca="1">IF($N$115&lt;&gt;"", INDIRECT("'Tracker'!"&amp;ADDRESS(MATCH($N$115, Tracker[Anime Name], 0) + 2, 7)), "")</f>
        <v>2013A</v>
      </c>
      <c r="U115" s="28" t="str">
        <f ca="1">IF($N$115&lt;&gt;"", INDIRECT("'Tracker'!"&amp;ADDRESS(MATCH($N$115, Tracker[Anime Name], 0) + 2, 8)), "")</f>
        <v>HorribleSubs</v>
      </c>
      <c r="V115" s="53">
        <f>IF(Completed!$C$114&lt;&gt;"",Completed!$C$114,"")</f>
        <v>7</v>
      </c>
      <c r="W115" s="53">
        <f>IF(Completed!$D$114&lt;&gt;"",Completed!$D$114,"")</f>
        <v>6</v>
      </c>
      <c r="X115" s="53">
        <f>IF(Completed!$E$114&lt;&gt;"",Completed!$E$114,"")</f>
        <v>4.5</v>
      </c>
      <c r="Y115" s="53">
        <f>IF(Completed!$F$114&lt;&gt;"",Completed!$F$114,"")</f>
        <v>7.5</v>
      </c>
      <c r="Z115" s="65">
        <f>IF(Completed!$G$114&lt;&gt;"",Completed!$G$114,"")</f>
        <v>6.8618090452261313</v>
      </c>
      <c r="AA115" s="75">
        <f>IF(Completed!$H$114&lt;&gt;"",Completed!$H$114,"")</f>
        <v>6.879093198992444</v>
      </c>
      <c r="AB115" s="54">
        <f>IF(Completed!$I$114&lt;&gt;"",Completed!$I$114,"")</f>
        <v>41379</v>
      </c>
      <c r="AC115" s="54">
        <f>IF(Completed!$J$114&lt;&gt;"",Completed!$J$114,"")</f>
        <v>41464</v>
      </c>
      <c r="AD115" s="66" t="str">
        <f>IF(Completed!$K$114&lt;&gt;"",Completed!$K$114,"")</f>
        <v>Himegami</v>
      </c>
      <c r="AE115" s="66" t="str">
        <f>IF(Completed!$L$114&lt;&gt;"",Completed!$L$114,"")</f>
        <v>They tried a bit too hard. 3strange5me</v>
      </c>
    </row>
    <row r="116" spans="10:31">
      <c r="J116" s="21" t="str">
        <f>IF(Backlog!$A$115&lt;&gt;"",Backlog!$A$115,"")</f>
        <v/>
      </c>
      <c r="K116" s="28" t="str">
        <f>IF(Backlog!$B$115&lt;&gt;"",Backlog!$B$115,"")</f>
        <v/>
      </c>
      <c r="L116" s="29" t="str">
        <f>IF(Backlog!$C$115&lt;&gt;"",Backlog!$C$115,"")</f>
        <v/>
      </c>
      <c r="N116" s="21" t="str">
        <f>IF(Completed!$A$115&lt;&gt;"",Completed!$A$115,"")</f>
        <v>Yuru Yuri ♪♪</v>
      </c>
      <c r="O116" s="28">
        <f>IF(Completed!$B$115&lt;&gt;"",Completed!$B$115,"")</f>
        <v>2</v>
      </c>
      <c r="P116" s="28">
        <f ca="1">IF($N$116&lt;&gt;"", INDIRECT("'Tracker'!"&amp;ADDRESS(MATCH($N$116, Tracker[Anime Name], 0) + 2, 3)), "")</f>
        <v>12</v>
      </c>
      <c r="Q116" s="22" t="str">
        <f ca="1">IF($N$116&lt;&gt;"", INDIRECT("'Tracker'!"&amp;ADDRESS(MATCH($N$116, Tracker[Anime Name], 0) + 2, 4)), "")</f>
        <v>A</v>
      </c>
      <c r="R116" s="22" t="str">
        <f ca="1">IF($N$116&lt;&gt;"", INDIRECT("'Tracker'!"&amp;ADDRESS(MATCH($N$116, Tracker[Anime Name], 0) + 2, 5)), "")</f>
        <v>1080p</v>
      </c>
      <c r="S116" s="22" t="str">
        <f ca="1">IF($N$116&lt;&gt;"", INDIRECT("'Tracker'!"&amp;ADDRESS(MATCH($N$116, Tracker[Anime Name], 0) + 2, 6)), "")</f>
        <v>BD</v>
      </c>
      <c r="T116" s="22" t="str">
        <f ca="1">IF($N$116&lt;&gt;"", INDIRECT("'Tracker'!"&amp;ADDRESS(MATCH($N$116, Tracker[Anime Name], 0) + 2, 7)), "")</f>
        <v>2012B</v>
      </c>
      <c r="U116" s="28" t="str">
        <f ca="1">IF($N$116&lt;&gt;"", INDIRECT("'Tracker'!"&amp;ADDRESS(MATCH($N$116, Tracker[Anime Name], 0) + 2, 8)), "")</f>
        <v>Doki</v>
      </c>
      <c r="V116" s="53">
        <f>IF(Completed!$C$115&lt;&gt;"",Completed!$C$115,"")</f>
        <v>2</v>
      </c>
      <c r="W116" s="53">
        <f>IF(Completed!$D$115&lt;&gt;"",Completed!$D$115,"")</f>
        <v>7.5</v>
      </c>
      <c r="X116" s="53">
        <f>IF(Completed!$E$115&lt;&gt;"",Completed!$E$115,"")</f>
        <v>10</v>
      </c>
      <c r="Y116" s="53">
        <f>IF(Completed!$F$115&lt;&gt;"",Completed!$F$115,"")</f>
        <v>8</v>
      </c>
      <c r="Z116" s="65">
        <f>IF(Completed!$G$115&lt;&gt;"",Completed!$G$115,"")</f>
        <v>6.8605527638190953</v>
      </c>
      <c r="AA116" s="75">
        <f>IF(Completed!$H$115&lt;&gt;"",Completed!$H$115,"")</f>
        <v>6.8778337531486136</v>
      </c>
      <c r="AB116" s="54">
        <f>IF(Completed!$I$115&lt;&gt;"",Completed!$I$115,"")</f>
        <v>41229</v>
      </c>
      <c r="AC116" s="54">
        <f>IF(Completed!$J$115&lt;&gt;"",Completed!$J$115,"")</f>
        <v>41230</v>
      </c>
      <c r="AD116" s="66" t="str">
        <f>IF(Completed!$K$115&lt;&gt;"",Completed!$K$115,"")</f>
        <v>Funami Yui</v>
      </c>
      <c r="AE116" s="66" t="str">
        <f>IF(Completed!$L$115&lt;&gt;"",Completed!$L$115,"")</f>
        <v/>
      </c>
    </row>
    <row r="117" spans="10:31">
      <c r="J117" s="21" t="str">
        <f>IF(Backlog!$A$116&lt;&gt;"",Backlog!$A$116,"")</f>
        <v/>
      </c>
      <c r="K117" s="28" t="str">
        <f>IF(Backlog!$B$116&lt;&gt;"",Backlog!$B$116,"")</f>
        <v/>
      </c>
      <c r="L117" s="29" t="str">
        <f>IF(Backlog!$C$116&lt;&gt;"",Backlog!$C$116,"")</f>
        <v/>
      </c>
      <c r="N117" s="21" t="str">
        <f>IF(Completed!$A$116&lt;&gt;"",Completed!$A$116,"")</f>
        <v>Super Sonico the Animation</v>
      </c>
      <c r="O117" s="28">
        <f>IF(Completed!$B$116&lt;&gt;"",Completed!$B$116,"")</f>
        <v>1</v>
      </c>
      <c r="P117" s="28">
        <f ca="1">IF($N$117&lt;&gt;"", INDIRECT("'Tracker'!"&amp;ADDRESS(MATCH($N$117, Tracker[Anime Name], 0) + 2, 3)), "")</f>
        <v>12</v>
      </c>
      <c r="Q117" s="22" t="str">
        <f ca="1">IF($N$117&lt;&gt;"", INDIRECT("'Tracker'!"&amp;ADDRESS(MATCH($N$117, Tracker[Anime Name], 0) + 2, 4)), "")</f>
        <v>A</v>
      </c>
      <c r="R117" s="22" t="str">
        <f ca="1">IF($N$117&lt;&gt;"", INDIRECT("'Tracker'!"&amp;ADDRESS(MATCH($N$117, Tracker[Anime Name], 0) + 2, 5)), "")</f>
        <v>720p</v>
      </c>
      <c r="S117" s="22" t="str">
        <f ca="1">IF($N$117&lt;&gt;"", INDIRECT("'Tracker'!"&amp;ADDRESS(MATCH($N$117, Tracker[Anime Name], 0) + 2, 6)), "")</f>
        <v>Web</v>
      </c>
      <c r="T117" s="22" t="str">
        <f ca="1">IF($N$117&lt;&gt;"", INDIRECT("'Tracker'!"&amp;ADDRESS(MATCH($N$117, Tracker[Anime Name], 0) + 2, 7)), "")</f>
        <v>2013D</v>
      </c>
      <c r="U117" s="28" t="str">
        <f ca="1">IF($N$117&lt;&gt;"", INDIRECT("'Tracker'!"&amp;ADDRESS(MATCH($N$117, Tracker[Anime Name], 0) + 2, 8)), "")</f>
        <v>HorribleSubs</v>
      </c>
      <c r="V117" s="53">
        <f>IF(Completed!$C$116&lt;&gt;"",Completed!$C$116,"")</f>
        <v>5.5</v>
      </c>
      <c r="W117" s="53">
        <f>IF(Completed!$D$116&lt;&gt;"",Completed!$D$116,"")</f>
        <v>7</v>
      </c>
      <c r="X117" s="53">
        <f>IF(Completed!$E$116&lt;&gt;"",Completed!$E$116,"")</f>
        <v>4.5</v>
      </c>
      <c r="Y117" s="53">
        <f>IF(Completed!$F$116&lt;&gt;"",Completed!$F$116,"")</f>
        <v>7.5</v>
      </c>
      <c r="Z117" s="65">
        <f>IF(Completed!$G$116&lt;&gt;"",Completed!$G$116,"")</f>
        <v>6.8555276381909547</v>
      </c>
      <c r="AA117" s="75">
        <f>IF(Completed!$H$116&lt;&gt;"",Completed!$H$116,"")</f>
        <v>6.8727959697732999</v>
      </c>
      <c r="AB117" s="54">
        <f>IF(Completed!$I$116&lt;&gt;"",Completed!$I$116,"")</f>
        <v>41647</v>
      </c>
      <c r="AC117" s="54">
        <f>IF(Completed!$J$116&lt;&gt;"",Completed!$J$116,"")</f>
        <v>41733</v>
      </c>
      <c r="AD117" s="66" t="str">
        <f>IF(Completed!$K$116&lt;&gt;"",Completed!$K$116,"")</f>
        <v>Leila</v>
      </c>
      <c r="AE117" s="66" t="str">
        <f>IF(Completed!$L$116&lt;&gt;"",Completed!$L$116,"")</f>
        <v/>
      </c>
    </row>
    <row r="118" spans="10:31">
      <c r="J118" s="21" t="str">
        <f>IF(Backlog!$A$117&lt;&gt;"",Backlog!$A$117,"")</f>
        <v/>
      </c>
      <c r="K118" s="28" t="str">
        <f>IF(Backlog!$B$117&lt;&gt;"",Backlog!$B$117,"")</f>
        <v/>
      </c>
      <c r="L118" s="29" t="str">
        <f>IF(Backlog!$C$117&lt;&gt;"",Backlog!$C$117,"")</f>
        <v/>
      </c>
      <c r="N118" s="21" t="str">
        <f>IF(Completed!$A$117&lt;&gt;"",Completed!$A$117,"")</f>
        <v>Yuru Yuri</v>
      </c>
      <c r="O118" s="28">
        <f>IF(Completed!$B$117&lt;&gt;"",Completed!$B$117,"")</f>
        <v>1</v>
      </c>
      <c r="P118" s="28">
        <f ca="1">IF($N$118&lt;&gt;"", INDIRECT("'Tracker'!"&amp;ADDRESS(MATCH($N$118, Tracker[Anime Name], 0) + 2, 3)), "")</f>
        <v>12</v>
      </c>
      <c r="Q118" s="22" t="str">
        <f ca="1">IF($N$118&lt;&gt;"", INDIRECT("'Tracker'!"&amp;ADDRESS(MATCH($N$118, Tracker[Anime Name], 0) + 2, 4)), "")</f>
        <v>A</v>
      </c>
      <c r="R118" s="22" t="str">
        <f ca="1">IF($N$118&lt;&gt;"", INDIRECT("'Tracker'!"&amp;ADDRESS(MATCH($N$118, Tracker[Anime Name], 0) + 2, 5)), "")</f>
        <v>1080p</v>
      </c>
      <c r="S118" s="22" t="str">
        <f ca="1">IF($N$118&lt;&gt;"", INDIRECT("'Tracker'!"&amp;ADDRESS(MATCH($N$118, Tracker[Anime Name], 0) + 2, 6)), "")</f>
        <v>BD</v>
      </c>
      <c r="T118" s="22" t="str">
        <f ca="1">IF($N$118&lt;&gt;"", INDIRECT("'Tracker'!"&amp;ADDRESS(MATCH($N$118, Tracker[Anime Name], 0) + 2, 7)), "")</f>
        <v>2011B</v>
      </c>
      <c r="U118" s="28" t="str">
        <f ca="1">IF($N$118&lt;&gt;"", INDIRECT("'Tracker'!"&amp;ADDRESS(MATCH($N$118, Tracker[Anime Name], 0) + 2, 8)), "")</f>
        <v>Doki</v>
      </c>
      <c r="V118" s="53">
        <f>IF(Completed!$C$117&lt;&gt;"",Completed!$C$117,"")</f>
        <v>2</v>
      </c>
      <c r="W118" s="53">
        <f>IF(Completed!$D$117&lt;&gt;"",Completed!$D$117,"")</f>
        <v>7.5</v>
      </c>
      <c r="X118" s="53">
        <f>IF(Completed!$E$117&lt;&gt;"",Completed!$E$117,"")</f>
        <v>9.5</v>
      </c>
      <c r="Y118" s="53">
        <f>IF(Completed!$F$117&lt;&gt;"",Completed!$F$117,"")</f>
        <v>8</v>
      </c>
      <c r="Z118" s="65">
        <f>IF(Completed!$G$117&lt;&gt;"",Completed!$G$117,"")</f>
        <v>6.8366834170854274</v>
      </c>
      <c r="AA118" s="75">
        <f>IF(Completed!$H$117&lt;&gt;"",Completed!$H$117,"")</f>
        <v>6.8539042821158693</v>
      </c>
      <c r="AB118" s="54">
        <f>IF(Completed!$I$117&lt;&gt;"",Completed!$I$117,"")</f>
        <v>41228</v>
      </c>
      <c r="AC118" s="54">
        <f>IF(Completed!$J$117&lt;&gt;"",Completed!$J$117,"")</f>
        <v>41229</v>
      </c>
      <c r="AD118" s="66" t="str">
        <f>IF(Completed!$K$117&lt;&gt;"",Completed!$K$117,"")</f>
        <v>Funami Yui</v>
      </c>
      <c r="AE118" s="66" t="str">
        <f>IF(Completed!$L$117&lt;&gt;"",Completed!$L$117,"")</f>
        <v/>
      </c>
    </row>
    <row r="119" spans="10:31">
      <c r="J119" s="21" t="str">
        <f>IF(Backlog!$A$118&lt;&gt;"",Backlog!$A$118,"")</f>
        <v/>
      </c>
      <c r="K119" s="28" t="str">
        <f>IF(Backlog!$B$118&lt;&gt;"",Backlog!$B$118,"")</f>
        <v/>
      </c>
      <c r="L119" s="29" t="str">
        <f>IF(Backlog!$C$118&lt;&gt;"",Backlog!$C$118,"")</f>
        <v/>
      </c>
      <c r="N119" s="21" t="str">
        <f>IF(Completed!$A$118&lt;&gt;"",Completed!$A$118,"")</f>
        <v>Miss Monochrome</v>
      </c>
      <c r="O119" s="28">
        <f>IF(Completed!$B$118&lt;&gt;"",Completed!$B$118,"")</f>
        <v>1</v>
      </c>
      <c r="P119" s="28">
        <f ca="1">IF($N$119&lt;&gt;"", INDIRECT("'Tracker'!"&amp;ADDRESS(MATCH($N$119, Tracker[Anime Name], 0) + 2, 3)), "")</f>
        <v>13</v>
      </c>
      <c r="Q119" s="22" t="str">
        <f ca="1">IF($N$119&lt;&gt;"", INDIRECT("'Tracker'!"&amp;ADDRESS(MATCH($N$119, Tracker[Anime Name], 0) + 2, 4)), "")</f>
        <v>B</v>
      </c>
      <c r="R119" s="22" t="str">
        <f ca="1">IF($N$119&lt;&gt;"", INDIRECT("'Tracker'!"&amp;ADDRESS(MATCH($N$119, Tracker[Anime Name], 0) + 2, 5)), "")</f>
        <v>720p</v>
      </c>
      <c r="S119" s="22" t="str">
        <f ca="1">IF($N$119&lt;&gt;"", INDIRECT("'Tracker'!"&amp;ADDRESS(MATCH($N$119, Tracker[Anime Name], 0) + 2, 6)), "")</f>
        <v>Web</v>
      </c>
      <c r="T119" s="22" t="str">
        <f ca="1">IF($N$119&lt;&gt;"", INDIRECT("'Tracker'!"&amp;ADDRESS(MATCH($N$119, Tracker[Anime Name], 0) + 2, 7)), "")</f>
        <v>2013C</v>
      </c>
      <c r="U119" s="28" t="str">
        <f ca="1">IF($N$119&lt;&gt;"", INDIRECT("'Tracker'!"&amp;ADDRESS(MATCH($N$119, Tracker[Anime Name], 0) + 2, 8)), "")</f>
        <v>HorribleSubs</v>
      </c>
      <c r="V119" s="53">
        <f>IF(Completed!$C$118&lt;&gt;"",Completed!$C$118,"")</f>
        <v>5</v>
      </c>
      <c r="W119" s="53">
        <f>IF(Completed!$D$118&lt;&gt;"",Completed!$D$118,"")</f>
        <v>7.5</v>
      </c>
      <c r="X119" s="53">
        <f>IF(Completed!$E$118&lt;&gt;"",Completed!$E$118,"")</f>
        <v>7.5</v>
      </c>
      <c r="Y119" s="53">
        <f>IF(Completed!$F$118&lt;&gt;"",Completed!$F$118,"")</f>
        <v>6.5</v>
      </c>
      <c r="Z119" s="65">
        <f>IF(Completed!$G$118&lt;&gt;"",Completed!$G$118,"")</f>
        <v>6.5414572864321618</v>
      </c>
      <c r="AA119" s="75">
        <f>IF(Completed!$H$118&lt;&gt;"",Completed!$H$118,"")</f>
        <v>6.5579345088161212</v>
      </c>
      <c r="AB119" s="54">
        <f>IF(Completed!$I$118&lt;&gt;"",Completed!$I$118,"")</f>
        <v>41550</v>
      </c>
      <c r="AC119" s="54">
        <f>IF(Completed!$J$118&lt;&gt;"",Completed!$J$118,"")</f>
        <v>41634</v>
      </c>
      <c r="AD119" s="66" t="str">
        <f>IF(Completed!$K$118&lt;&gt;"",Completed!$K$118,"")</f>
        <v>Miss Monochrome</v>
      </c>
      <c r="AE119" s="66" t="str">
        <f>IF(Completed!$L$118&lt;&gt;"",Completed!$L$118,"")</f>
        <v>Too short to give accurate ratings, but entertaining nonetheless</v>
      </c>
    </row>
    <row r="120" spans="10:31">
      <c r="J120" s="21" t="str">
        <f>IF(Backlog!$A$119&lt;&gt;"",Backlog!$A$119,"")</f>
        <v/>
      </c>
      <c r="K120" s="28" t="str">
        <f>IF(Backlog!$B$119&lt;&gt;"",Backlog!$B$119,"")</f>
        <v/>
      </c>
      <c r="L120" s="29" t="str">
        <f>IF(Backlog!$C$119&lt;&gt;"",Backlog!$C$119,"")</f>
        <v/>
      </c>
      <c r="N120" s="21" t="str">
        <f>IF(Completed!$A$119&lt;&gt;"",Completed!$A$119,"")</f>
        <v>Kanojo no Flag wo Oraretara</v>
      </c>
      <c r="O120" s="28">
        <f>IF(Completed!$B$119&lt;&gt;"",Completed!$B$119,"")</f>
        <v>1</v>
      </c>
      <c r="P120" s="28">
        <f ca="1">IF($N$120&lt;&gt;"", INDIRECT("'Tracker'!"&amp;ADDRESS(MATCH($N$120, Tracker[Anime Name], 0) + 2, 3)), "")</f>
        <v>13</v>
      </c>
      <c r="Q120" s="22" t="str">
        <f ca="1">IF($N$120&lt;&gt;"", INDIRECT("'Tracker'!"&amp;ADDRESS(MATCH($N$120, Tracker[Anime Name], 0) + 2, 4)), "")</f>
        <v>B</v>
      </c>
      <c r="R120" s="22" t="str">
        <f ca="1">IF($N$120&lt;&gt;"", INDIRECT("'Tracker'!"&amp;ADDRESS(MATCH($N$120, Tracker[Anime Name], 0) + 2, 5)), "")</f>
        <v>720p</v>
      </c>
      <c r="S120" s="22" t="str">
        <f ca="1">IF($N$120&lt;&gt;"", INDIRECT("'Tracker'!"&amp;ADDRESS(MATCH($N$120, Tracker[Anime Name], 0) + 2, 6)), "")</f>
        <v>TV</v>
      </c>
      <c r="T120" s="22" t="str">
        <f ca="1">IF($N$120&lt;&gt;"", INDIRECT("'Tracker'!"&amp;ADDRESS(MATCH($N$120, Tracker[Anime Name], 0) + 2, 7)), "")</f>
        <v>2014A</v>
      </c>
      <c r="U120" s="28" t="str">
        <f ca="1">IF($N$120&lt;&gt;"", INDIRECT("'Tracker'!"&amp;ADDRESS(MATCH($N$120, Tracker[Anime Name], 0) + 2, 8)), "")</f>
        <v>Underwater</v>
      </c>
      <c r="V120" s="53">
        <f>IF(Completed!$C$119&lt;&gt;"",Completed!$C$119,"")</f>
        <v>6</v>
      </c>
      <c r="W120" s="53">
        <f>IF(Completed!$D$119&lt;&gt;"",Completed!$D$119,"")</f>
        <v>7.5</v>
      </c>
      <c r="X120" s="53">
        <f>IF(Completed!$E$119&lt;&gt;"",Completed!$E$119,"")</f>
        <v>6</v>
      </c>
      <c r="Y120" s="53">
        <f>IF(Completed!$F$119&lt;&gt;"",Completed!$F$119,"")</f>
        <v>6</v>
      </c>
      <c r="Z120" s="65">
        <f>IF(Completed!$G$119&lt;&gt;"",Completed!$G$119,"")</f>
        <v>6.4032663316582914</v>
      </c>
      <c r="AA120" s="75">
        <f>IF(Completed!$H$119&lt;&gt;"",Completed!$H$119,"")</f>
        <v>6.4193954659949615</v>
      </c>
      <c r="AB120" s="54">
        <f>IF(Completed!$I$119&lt;&gt;"",Completed!$I$119,"")</f>
        <v>41796</v>
      </c>
      <c r="AC120" s="54">
        <f>IF(Completed!$J$119&lt;&gt;"",Completed!$J$119,"")</f>
        <v>41820</v>
      </c>
      <c r="AD120" s="66" t="str">
        <f>IF(Completed!$K$119&lt;&gt;"",Completed!$K$119,"")</f>
        <v>Nanami Bladefield</v>
      </c>
      <c r="AE120" s="66" t="str">
        <f>IF(Completed!$L$119&lt;&gt;"",Completed!$L$119,"")</f>
        <v>It would've been nicer if it kept the tone of the first few episodes</v>
      </c>
    </row>
    <row r="121" spans="10:31">
      <c r="J121" s="21" t="str">
        <f>IF(Backlog!$A$120&lt;&gt;"",Backlog!$A$120,"")</f>
        <v/>
      </c>
      <c r="K121" s="28" t="str">
        <f>IF(Backlog!$B$120&lt;&gt;"",Backlog!$B$120,"")</f>
        <v/>
      </c>
      <c r="L121" s="29" t="str">
        <f>IF(Backlog!$C$120&lt;&gt;"",Backlog!$C$120,"")</f>
        <v/>
      </c>
      <c r="N121" s="21" t="str">
        <f>IF(Completed!$A$120&lt;&gt;"",Completed!$A$120,"")</f>
        <v>Namiuchigiwa no Muromi-san</v>
      </c>
      <c r="O121" s="28">
        <f>IF(Completed!$B$120&lt;&gt;"",Completed!$B$120,"")</f>
        <v>1</v>
      </c>
      <c r="P121" s="28">
        <f ca="1">IF($N$121&lt;&gt;"", INDIRECT("'Tracker'!"&amp;ADDRESS(MATCH($N$121, Tracker[Anime Name], 0) + 2, 3)), "")</f>
        <v>13</v>
      </c>
      <c r="Q121" s="22" t="str">
        <f ca="1">IF($N$121&lt;&gt;"", INDIRECT("'Tracker'!"&amp;ADDRESS(MATCH($N$121, Tracker[Anime Name], 0) + 2, 4)), "")</f>
        <v>A</v>
      </c>
      <c r="R121" s="22" t="str">
        <f ca="1">IF($N$121&lt;&gt;"", INDIRECT("'Tracker'!"&amp;ADDRESS(MATCH($N$121, Tracker[Anime Name], 0) + 2, 5)), "")</f>
        <v>720p</v>
      </c>
      <c r="S121" s="22" t="str">
        <f ca="1">IF($N$121&lt;&gt;"", INDIRECT("'Tracker'!"&amp;ADDRESS(MATCH($N$121, Tracker[Anime Name], 0) + 2, 6)), "")</f>
        <v>Web</v>
      </c>
      <c r="T121" s="22" t="str">
        <f ca="1">IF($N$121&lt;&gt;"", INDIRECT("'Tracker'!"&amp;ADDRESS(MATCH($N$121, Tracker[Anime Name], 0) + 2, 7)), "")</f>
        <v>2013A</v>
      </c>
      <c r="U121" s="28" t="str">
        <f ca="1">IF($N$121&lt;&gt;"", INDIRECT("'Tracker'!"&amp;ADDRESS(MATCH($N$121, Tracker[Anime Name], 0) + 2, 8)), "")</f>
        <v>HorribleSubs</v>
      </c>
      <c r="V121" s="53">
        <f>IF(Completed!$C$120&lt;&gt;"",Completed!$C$120,"")</f>
        <v>3</v>
      </c>
      <c r="W121" s="53">
        <f>IF(Completed!$D$120&lt;&gt;"",Completed!$D$120,"")</f>
        <v>6.5</v>
      </c>
      <c r="X121" s="53">
        <f>IF(Completed!$E$120&lt;&gt;"",Completed!$E$120,"")</f>
        <v>6.5</v>
      </c>
      <c r="Y121" s="53">
        <f>IF(Completed!$F$120&lt;&gt;"",Completed!$F$120,"")</f>
        <v>7.5</v>
      </c>
      <c r="Z121" s="65">
        <f>IF(Completed!$G$120&lt;&gt;"",Completed!$G$120,"")</f>
        <v>6.358040201005025</v>
      </c>
      <c r="AA121" s="75">
        <f>IF(Completed!$H$120&lt;&gt;"",Completed!$H$120,"")</f>
        <v>6.3740554156171276</v>
      </c>
      <c r="AB121" s="54">
        <f>IF(Completed!$I$120&lt;&gt;"",Completed!$I$120,"")</f>
        <v>41448</v>
      </c>
      <c r="AC121" s="54">
        <f>IF(Completed!$J$120&lt;&gt;"",Completed!$J$120,"")</f>
        <v>41455</v>
      </c>
      <c r="AD121" s="66" t="str">
        <f>IF(Completed!$K$120&lt;&gt;"",Completed!$K$120,"")</f>
        <v>Levia-san</v>
      </c>
      <c r="AE121" s="66" t="str">
        <f>IF(Completed!$L$120&lt;&gt;"",Completed!$L$120,"")</f>
        <v>Not a bad show, despite low ratings. Pretty entertaining to watch overall</v>
      </c>
    </row>
    <row r="122" spans="10:31">
      <c r="J122" s="21" t="str">
        <f>IF(Backlog!$A$121&lt;&gt;"",Backlog!$A$121,"")</f>
        <v/>
      </c>
      <c r="K122" s="28" t="str">
        <f>IF(Backlog!$B$121&lt;&gt;"",Backlog!$B$121,"")</f>
        <v/>
      </c>
      <c r="L122" s="29" t="str">
        <f>IF(Backlog!$C$121&lt;&gt;"",Backlog!$C$121,"")</f>
        <v/>
      </c>
      <c r="N122" s="21" t="str">
        <f>IF(Completed!$A$121&lt;&gt;"",Completed!$A$121,"")</f>
        <v>Mangaka-san to Assistant-san to</v>
      </c>
      <c r="O122" s="28">
        <f>IF(Completed!$B$121&lt;&gt;"",Completed!$B$121,"")</f>
        <v>1</v>
      </c>
      <c r="P122" s="28">
        <f ca="1">IF($N$122&lt;&gt;"", INDIRECT("'Tracker'!"&amp;ADDRESS(MATCH($N$122, Tracker[Anime Name], 0) + 2, 3)), "")</f>
        <v>12</v>
      </c>
      <c r="Q122" s="22" t="str">
        <f ca="1">IF($N$122&lt;&gt;"", INDIRECT("'Tracker'!"&amp;ADDRESS(MATCH($N$122, Tracker[Anime Name], 0) + 2, 4)), "")</f>
        <v>B</v>
      </c>
      <c r="R122" s="22" t="str">
        <f ca="1">IF($N$122&lt;&gt;"", INDIRECT("'Tracker'!"&amp;ADDRESS(MATCH($N$122, Tracker[Anime Name], 0) + 2, 5)), "")</f>
        <v>720p</v>
      </c>
      <c r="S122" s="22" t="str">
        <f ca="1">IF($N$122&lt;&gt;"", INDIRECT("'Tracker'!"&amp;ADDRESS(MATCH($N$122, Tracker[Anime Name], 0) + 2, 6)), "")</f>
        <v>TV</v>
      </c>
      <c r="T122" s="22" t="str">
        <f ca="1">IF($N$122&lt;&gt;"", INDIRECT("'Tracker'!"&amp;ADDRESS(MATCH($N$122, Tracker[Anime Name], 0) + 2, 7)), "")</f>
        <v>2014A</v>
      </c>
      <c r="U122" s="28" t="str">
        <f ca="1">IF($N$122&lt;&gt;"", INDIRECT("'Tracker'!"&amp;ADDRESS(MATCH($N$122, Tracker[Anime Name], 0) + 2, 8)), "")</f>
        <v>Doki</v>
      </c>
      <c r="V122" s="53">
        <f>IF(Completed!$C$121&lt;&gt;"",Completed!$C$121,"")</f>
        <v>5</v>
      </c>
      <c r="W122" s="53">
        <f>IF(Completed!$D$121&lt;&gt;"",Completed!$D$121,"")</f>
        <v>6.5</v>
      </c>
      <c r="X122" s="53">
        <f>IF(Completed!$E$121&lt;&gt;"",Completed!$E$121,"")</f>
        <v>8</v>
      </c>
      <c r="Y122" s="53">
        <f>IF(Completed!$F$121&lt;&gt;"",Completed!$F$121,"")</f>
        <v>6.5</v>
      </c>
      <c r="Z122" s="65">
        <f>IF(Completed!$G$121&lt;&gt;"",Completed!$G$121,"")</f>
        <v>6.2964824120603025</v>
      </c>
      <c r="AA122" s="75">
        <f>IF(Completed!$H$121&lt;&gt;"",Completed!$H$121,"")</f>
        <v>6.3123425692695223</v>
      </c>
      <c r="AB122" s="54">
        <f>IF(Completed!$I$121&lt;&gt;"",Completed!$I$121,"")</f>
        <v>41785</v>
      </c>
      <c r="AC122" s="54">
        <f>IF(Completed!$J$121&lt;&gt;"",Completed!$J$121,"")</f>
        <v>41814</v>
      </c>
      <c r="AD122" s="66" t="str">
        <f>IF(Completed!$K$121&lt;&gt;"",Completed!$K$121,"")</f>
        <v>Sahoto Ashisu</v>
      </c>
      <c r="AE122" s="66" t="str">
        <f>IF(Completed!$L$121&lt;&gt;"",Completed!$L$121,"")</f>
        <v/>
      </c>
    </row>
    <row r="123" spans="10:31">
      <c r="J123" s="21" t="str">
        <f>IF(Backlog!$A$122&lt;&gt;"",Backlog!$A$122,"")</f>
        <v/>
      </c>
      <c r="K123" s="28" t="str">
        <f>IF(Backlog!$B$122&lt;&gt;"",Backlog!$B$122,"")</f>
        <v/>
      </c>
      <c r="L123" s="29" t="str">
        <f>IF(Backlog!$C$122&lt;&gt;"",Backlog!$C$122,"")</f>
        <v/>
      </c>
      <c r="N123" s="21" t="str">
        <f>IF(Completed!$A$122&lt;&gt;"",Completed!$A$122,"")</f>
        <v>Ore no Nounai Sentakushi ga, Gakuen Love Comedy wo Zenryoku de Jama Shiteiru</v>
      </c>
      <c r="O123" s="28">
        <f>IF(Completed!$B$122&lt;&gt;"",Completed!$B$122,"")</f>
        <v>1</v>
      </c>
      <c r="P123" s="28">
        <f ca="1">IF($N$123&lt;&gt;"", INDIRECT("'Tracker'!"&amp;ADDRESS(MATCH($N$123, Tracker[Anime Name], 0) + 2, 3)), "")</f>
        <v>10</v>
      </c>
      <c r="Q123" s="22" t="str">
        <f ca="1">IF($N$123&lt;&gt;"", INDIRECT("'Tracker'!"&amp;ADDRESS(MATCH($N$123, Tracker[Anime Name], 0) + 2, 4)), "")</f>
        <v>A</v>
      </c>
      <c r="R123" s="22" t="str">
        <f ca="1">IF($N$123&lt;&gt;"", INDIRECT("'Tracker'!"&amp;ADDRESS(MATCH($N$123, Tracker[Anime Name], 0) + 2, 5)), "")</f>
        <v>720p</v>
      </c>
      <c r="S123" s="22" t="str">
        <f ca="1">IF($N$123&lt;&gt;"", INDIRECT("'Tracker'!"&amp;ADDRESS(MATCH($N$123, Tracker[Anime Name], 0) + 2, 6)), "")</f>
        <v>TV</v>
      </c>
      <c r="T123" s="22" t="str">
        <f ca="1">IF($N$123&lt;&gt;"", INDIRECT("'Tracker'!"&amp;ADDRESS(MATCH($N$123, Tracker[Anime Name], 0) + 2, 7)), "")</f>
        <v>2013C</v>
      </c>
      <c r="U123" s="28" t="str">
        <f ca="1">IF($N$123&lt;&gt;"", INDIRECT("'Tracker'!"&amp;ADDRESS(MATCH($N$123, Tracker[Anime Name], 0) + 2, 8)), "")</f>
        <v>HorribleSubs</v>
      </c>
      <c r="V123" s="53">
        <f>IF(Completed!$C$122&lt;&gt;"",Completed!$C$122,"")</f>
        <v>6.5</v>
      </c>
      <c r="W123" s="53">
        <f>IF(Completed!$D$122&lt;&gt;"",Completed!$D$122,"")</f>
        <v>5.5</v>
      </c>
      <c r="X123" s="53">
        <f>IF(Completed!$E$122&lt;&gt;"",Completed!$E$122,"")</f>
        <v>7.5</v>
      </c>
      <c r="Y123" s="53">
        <f>IF(Completed!$F$122&lt;&gt;"",Completed!$F$122,"")</f>
        <v>6.5</v>
      </c>
      <c r="Z123" s="65">
        <f>IF(Completed!$G$122&lt;&gt;"",Completed!$G$122,"")</f>
        <v>6.2788944723618094</v>
      </c>
      <c r="AA123" s="75">
        <f>IF(Completed!$H$122&lt;&gt;"",Completed!$H$122,"")</f>
        <v>6.2947103274559195</v>
      </c>
      <c r="AB123" s="54">
        <f>IF(Completed!$I$122&lt;&gt;"",Completed!$I$122,"")</f>
        <v>41560</v>
      </c>
      <c r="AC123" s="54">
        <f>IF(Completed!$J$122&lt;&gt;"",Completed!$J$122,"")</f>
        <v>41618</v>
      </c>
      <c r="AD123" s="66" t="str">
        <f>IF(Completed!$K$122&lt;&gt;"",Completed!$K$122,"")</f>
        <v>Chocolat</v>
      </c>
      <c r="AE123" s="66" t="str">
        <f>IF(Completed!$L$122&lt;&gt;"",Completed!$L$122,"")</f>
        <v/>
      </c>
    </row>
    <row r="124" spans="10:31">
      <c r="J124" s="21" t="str">
        <f>IF(Backlog!$A$123&lt;&gt;"",Backlog!$A$123,"")</f>
        <v/>
      </c>
      <c r="K124" s="28" t="str">
        <f>IF(Backlog!$B$123&lt;&gt;"",Backlog!$B$123,"")</f>
        <v/>
      </c>
      <c r="L124" s="29" t="str">
        <f>IF(Backlog!$C$123&lt;&gt;"",Backlog!$C$123,"")</f>
        <v/>
      </c>
      <c r="N124" s="21" t="str">
        <f>IF(Completed!$A$123&lt;&gt;"",Completed!$A$123,"")</f>
        <v>Miyakawa-ke no Kuufuku</v>
      </c>
      <c r="O124" s="28">
        <f>IF(Completed!$B$123&lt;&gt;"",Completed!$B$123,"")</f>
        <v>1</v>
      </c>
      <c r="P124" s="28">
        <f ca="1">IF($N$124&lt;&gt;"", INDIRECT("'Tracker'!"&amp;ADDRESS(MATCH($N$124, Tracker[Anime Name], 0) + 2, 3)), "")</f>
        <v>10</v>
      </c>
      <c r="Q124" s="22" t="str">
        <f ca="1">IF($N$124&lt;&gt;"", INDIRECT("'Tracker'!"&amp;ADDRESS(MATCH($N$124, Tracker[Anime Name], 0) + 2, 4)), "")</f>
        <v>B</v>
      </c>
      <c r="R124" s="22" t="str">
        <f ca="1">IF($N$124&lt;&gt;"", INDIRECT("'Tracker'!"&amp;ADDRESS(MATCH($N$124, Tracker[Anime Name], 0) + 2, 5)), "")</f>
        <v>240p</v>
      </c>
      <c r="S124" s="22" t="str">
        <f ca="1">IF($N$124&lt;&gt;"", INDIRECT("'Tracker'!"&amp;ADDRESS(MATCH($N$124, Tracker[Anime Name], 0) + 2, 6)), "")</f>
        <v>TV</v>
      </c>
      <c r="T124" s="22" t="str">
        <f ca="1">IF($N$124&lt;&gt;"", INDIRECT("'Tracker'!"&amp;ADDRESS(MATCH($N$124, Tracker[Anime Name], 0) + 2, 7)), "")</f>
        <v>2013A</v>
      </c>
      <c r="U124" s="28" t="str">
        <f ca="1">IF($N$124&lt;&gt;"", INDIRECT("'Tracker'!"&amp;ADDRESS(MATCH($N$124, Tracker[Anime Name], 0) + 2, 8)), "")</f>
        <v>Miya-k</v>
      </c>
      <c r="V124" s="53">
        <f>IF(Completed!$C$123&lt;&gt;"",Completed!$C$123,"")</f>
        <v>2.5</v>
      </c>
      <c r="W124" s="53">
        <f>IF(Completed!$D$123&lt;&gt;"",Completed!$D$123,"")</f>
        <v>7.5</v>
      </c>
      <c r="X124" s="53">
        <f>IF(Completed!$E$123&lt;&gt;"",Completed!$E$123,"")</f>
        <v>5.5</v>
      </c>
      <c r="Y124" s="53">
        <f>IF(Completed!$F$123&lt;&gt;"",Completed!$F$123,"")</f>
        <v>6</v>
      </c>
      <c r="Z124" s="65">
        <f>IF(Completed!$G$123&lt;&gt;"",Completed!$G$123,"")</f>
        <v>5.7374371859296485</v>
      </c>
      <c r="AA124" s="75">
        <f>IF(Completed!$H$123&lt;&gt;"",Completed!$H$123,"")</f>
        <v>5.751889168765743</v>
      </c>
      <c r="AB124" s="54">
        <f>IF(Completed!$I$123&lt;&gt;"",Completed!$I$123,"")</f>
        <v>41488</v>
      </c>
      <c r="AC124" s="54">
        <f>IF(Completed!$J$123&lt;&gt;"",Completed!$J$123,"")</f>
        <v>41492</v>
      </c>
      <c r="AD124" s="66" t="str">
        <f>IF(Completed!$K$123&lt;&gt;"",Completed!$K$123,"")</f>
        <v>Miyakawa Hikage</v>
      </c>
      <c r="AE124" s="66" t="str">
        <f>IF(Completed!$L$123&lt;&gt;"",Completed!$L$123,"")</f>
        <v>Need a higher resolution copy</v>
      </c>
    </row>
    <row r="125" spans="10:31">
      <c r="J125" s="21" t="str">
        <f>IF(Backlog!$A$124&lt;&gt;"",Backlog!$A$124,"")</f>
        <v/>
      </c>
      <c r="K125" s="28" t="str">
        <f>IF(Backlog!$B$124&lt;&gt;"",Backlog!$B$124,"")</f>
        <v/>
      </c>
      <c r="L125" s="29" t="str">
        <f>IF(Backlog!$C$124&lt;&gt;"",Backlog!$C$124,"")</f>
        <v/>
      </c>
      <c r="N125" s="21" t="str">
        <f>IF(Completed!$A$124&lt;&gt;"",Completed!$A$124,"")</f>
        <v>Tamako Market</v>
      </c>
      <c r="O125" s="28">
        <f>IF(Completed!$B$124&lt;&gt;"",Completed!$B$124,"")</f>
        <v>1</v>
      </c>
      <c r="P125" s="28">
        <f ca="1">IF($N$125&lt;&gt;"", INDIRECT("'Tracker'!"&amp;ADDRESS(MATCH($N$125, Tracker[Anime Name], 0) + 2, 3)), "")</f>
        <v>12</v>
      </c>
      <c r="Q125" s="22" t="str">
        <f ca="1">IF($N$125&lt;&gt;"", INDIRECT("'Tracker'!"&amp;ADDRESS(MATCH($N$125, Tracker[Anime Name], 0) + 2, 4)), "")</f>
        <v>A</v>
      </c>
      <c r="R125" s="22" t="str">
        <f ca="1">IF($N$125&lt;&gt;"", INDIRECT("'Tracker'!"&amp;ADDRESS(MATCH($N$125, Tracker[Anime Name], 0) + 2, 5)), "")</f>
        <v>720p</v>
      </c>
      <c r="S125" s="22" t="str">
        <f ca="1">IF($N$125&lt;&gt;"", INDIRECT("'Tracker'!"&amp;ADDRESS(MATCH($N$125, Tracker[Anime Name], 0) + 2, 6)), "")</f>
        <v>TV</v>
      </c>
      <c r="T125" s="22" t="str">
        <f ca="1">IF($N$125&lt;&gt;"", INDIRECT("'Tracker'!"&amp;ADDRESS(MATCH($N$125, Tracker[Anime Name], 0) + 2, 7)), "")</f>
        <v>2012D</v>
      </c>
      <c r="U125" s="28" t="str">
        <f ca="1">IF($N$125&lt;&gt;"", INDIRECT("'Tracker'!"&amp;ADDRESS(MATCH($N$125, Tracker[Anime Name], 0) + 2, 8)), "")</f>
        <v>Mazui</v>
      </c>
      <c r="V125" s="53">
        <f>IF(Completed!$C$124&lt;&gt;"",Completed!$C$124,"")</f>
        <v>5.5</v>
      </c>
      <c r="W125" s="53">
        <f>IF(Completed!$D$124&lt;&gt;"",Completed!$D$124,"")</f>
        <v>5.5</v>
      </c>
      <c r="X125" s="53">
        <f>IF(Completed!$E$124&lt;&gt;"",Completed!$E$124,"")</f>
        <v>5</v>
      </c>
      <c r="Y125" s="53">
        <f>IF(Completed!$F$124&lt;&gt;"",Completed!$F$124,"")</f>
        <v>6</v>
      </c>
      <c r="Z125" s="65">
        <f>IF(Completed!$G$124&lt;&gt;"",Completed!$G$124,"")</f>
        <v>5.7261306532663312</v>
      </c>
      <c r="AA125" s="75">
        <f>IF(Completed!$H$124&lt;&gt;"",Completed!$H$124,"")</f>
        <v>5.7405541561712843</v>
      </c>
      <c r="AB125" s="54">
        <f>IF(Completed!$I$124&lt;&gt;"",Completed!$I$124,"")</f>
        <v>41302</v>
      </c>
      <c r="AC125" s="54">
        <f>IF(Completed!$J$124&lt;&gt;"",Completed!$J$124,"")</f>
        <v>41360</v>
      </c>
      <c r="AD125" s="66" t="str">
        <f>IF(Completed!$K$124&lt;&gt;"",Completed!$K$124,"")</f>
        <v>Makino Kanna</v>
      </c>
      <c r="AE125" s="66" t="str">
        <f>IF(Completed!$L$124&lt;&gt;"",Completed!$L$124,"")</f>
        <v/>
      </c>
    </row>
    <row r="126" spans="10:31">
      <c r="J126" s="21" t="str">
        <f>IF(Backlog!$A$125&lt;&gt;"",Backlog!$A$125,"")</f>
        <v/>
      </c>
      <c r="K126" s="28" t="str">
        <f>IF(Backlog!$B$125&lt;&gt;"",Backlog!$B$125,"")</f>
        <v/>
      </c>
      <c r="L126" s="29" t="str">
        <f>IF(Backlog!$C$125&lt;&gt;"",Backlog!$C$125,"")</f>
        <v/>
      </c>
      <c r="N126" s="21" t="str">
        <f>IF(Completed!$A$125&lt;&gt;"",Completed!$A$125,"")</f>
        <v>Shiba Inuko-san</v>
      </c>
      <c r="O126" s="28">
        <f>IF(Completed!$B$125&lt;&gt;"",Completed!$B$125,"")</f>
        <v>1</v>
      </c>
      <c r="P126" s="28">
        <f ca="1">IF($N$126&lt;&gt;"", INDIRECT("'Tracker'!"&amp;ADDRESS(MATCH($N$126, Tracker[Anime Name], 0) + 2, 3)), "")</f>
        <v>26</v>
      </c>
      <c r="Q126" s="22" t="str">
        <f ca="1">IF($N$126&lt;&gt;"", INDIRECT("'Tracker'!"&amp;ADDRESS(MATCH($N$126, Tracker[Anime Name], 0) + 2, 4)), "")</f>
        <v>B</v>
      </c>
      <c r="R126" s="22" t="str">
        <f ca="1">IF($N$126&lt;&gt;"", INDIRECT("'Tracker'!"&amp;ADDRESS(MATCH($N$126, Tracker[Anime Name], 0) + 2, 5)), "")</f>
        <v>720p</v>
      </c>
      <c r="S126" s="22" t="str">
        <f ca="1">IF($N$126&lt;&gt;"", INDIRECT("'Tracker'!"&amp;ADDRESS(MATCH($N$126, Tracker[Anime Name], 0) + 2, 6)), "")</f>
        <v>TV</v>
      </c>
      <c r="T126" s="22" t="str">
        <f ca="1">IF($N$126&lt;&gt;"", INDIRECT("'Tracker'!"&amp;ADDRESS(MATCH($N$126, Tracker[Anime Name], 0) + 2, 7)), "")</f>
        <v>2012A</v>
      </c>
      <c r="U126" s="28" t="str">
        <f ca="1">IF($N$126&lt;&gt;"", INDIRECT("'Tracker'!"&amp;ADDRESS(MATCH($N$126, Tracker[Anime Name], 0) + 2, 8)), "")</f>
        <v>Migoto</v>
      </c>
      <c r="V126" s="53">
        <f>IF(Completed!$C$125&lt;&gt;"",Completed!$C$125,"")</f>
        <v>1.5</v>
      </c>
      <c r="W126" s="53">
        <f>IF(Completed!$D$125&lt;&gt;"",Completed!$D$125,"")</f>
        <v>5</v>
      </c>
      <c r="X126" s="53">
        <f>IF(Completed!$E$125&lt;&gt;"",Completed!$E$125,"")</f>
        <v>4</v>
      </c>
      <c r="Y126" s="53">
        <f>IF(Completed!$F$125&lt;&gt;"",Completed!$F$125,"")</f>
        <v>6.5</v>
      </c>
      <c r="Z126" s="65">
        <f>IF(Completed!$G$125&lt;&gt;"",Completed!$G$125,"")</f>
        <v>5.0603015075376883</v>
      </c>
      <c r="AA126" s="75">
        <f>IF(Completed!$H$125&lt;&gt;"",Completed!$H$125,"")</f>
        <v>5.0730478589420649</v>
      </c>
      <c r="AB126" s="54">
        <f>IF(Completed!$I$125&lt;&gt;"",Completed!$I$125,"")</f>
        <v>41705</v>
      </c>
      <c r="AC126" s="54">
        <f>IF(Completed!$J$125&lt;&gt;"",Completed!$J$125,"")</f>
        <v>41705</v>
      </c>
      <c r="AD126" s="66" t="str">
        <f>IF(Completed!$K$125&lt;&gt;"",Completed!$K$125,"")</f>
        <v>Ishibashi Chako</v>
      </c>
      <c r="AE126" s="66" t="str">
        <f>IF(Completed!$L$125&lt;&gt;"",Completed!$L$125,"")</f>
        <v>Wow</v>
      </c>
    </row>
    <row r="127" spans="10:31">
      <c r="J127" s="21" t="str">
        <f>IF(Backlog!$A$126&lt;&gt;"",Backlog!$A$126,"")</f>
        <v/>
      </c>
      <c r="K127" s="28" t="str">
        <f>IF(Backlog!$B$126&lt;&gt;"",Backlog!$B$126,"")</f>
        <v/>
      </c>
      <c r="L127" s="29" t="str">
        <f>IF(Backlog!$C$126&lt;&gt;"",Backlog!$C$126,"")</f>
        <v/>
      </c>
      <c r="N127" s="21" t="str">
        <f>IF(Completed!$A$126&lt;&gt;"",Completed!$A$126,"")</f>
        <v>Oku-sama wa Joushikousei</v>
      </c>
      <c r="O127" s="28">
        <f>IF(Completed!$B$126&lt;&gt;"",Completed!$B$126,"")</f>
        <v>1</v>
      </c>
      <c r="P127" s="28">
        <f ca="1">IF($N$127&lt;&gt;"", INDIRECT("'Tracker'!"&amp;ADDRESS(MATCH($N$127, Tracker[Anime Name], 0) + 2, 3)), "")</f>
        <v>13</v>
      </c>
      <c r="Q127" s="22" t="str">
        <f ca="1">IF($N$127&lt;&gt;"", INDIRECT("'Tracker'!"&amp;ADDRESS(MATCH($N$127, Tracker[Anime Name], 0) + 2, 4)), "")</f>
        <v>A</v>
      </c>
      <c r="R127" s="22" t="str">
        <f ca="1">IF($N$127&lt;&gt;"", INDIRECT("'Tracker'!"&amp;ADDRESS(MATCH($N$127, Tracker[Anime Name], 0) + 2, 5)), "")</f>
        <v>480p</v>
      </c>
      <c r="S127" s="22" t="str">
        <f ca="1">IF($N$127&lt;&gt;"", INDIRECT("'Tracker'!"&amp;ADDRESS(MATCH($N$127, Tracker[Anime Name], 0) + 2, 6)), "")</f>
        <v>TV</v>
      </c>
      <c r="T127" s="22" t="str">
        <f ca="1">IF($N$127&lt;&gt;"", INDIRECT("'Tracker'!"&amp;ADDRESS(MATCH($N$127, Tracker[Anime Name], 0) + 2, 7)), "")</f>
        <v>2005C</v>
      </c>
      <c r="U127" s="28" t="str">
        <f ca="1">IF($N$127&lt;&gt;"", INDIRECT("'Tracker'!"&amp;ADDRESS(MATCH($N$127, Tracker[Anime Name], 0) + 2, 8)), "")</f>
        <v>LIME</v>
      </c>
      <c r="V127" s="53">
        <f>IF(Completed!$C$126&lt;&gt;"",Completed!$C$126,"")</f>
        <v>3.5</v>
      </c>
      <c r="W127" s="53">
        <f>IF(Completed!$D$126&lt;&gt;"",Completed!$D$126,"")</f>
        <v>5.5</v>
      </c>
      <c r="X127" s="53">
        <f>IF(Completed!$E$126&lt;&gt;"",Completed!$E$126,"")</f>
        <v>6</v>
      </c>
      <c r="Y127" s="53">
        <f>IF(Completed!$F$126&lt;&gt;"",Completed!$F$126,"")</f>
        <v>5</v>
      </c>
      <c r="Z127" s="65">
        <f>IF(Completed!$G$126&lt;&gt;"",Completed!$G$126,"")</f>
        <v>4.9070351758793969</v>
      </c>
      <c r="AA127" s="75">
        <f>IF(Completed!$H$126&lt;&gt;"",Completed!$H$126,"")</f>
        <v>4.9193954659949615</v>
      </c>
      <c r="AB127" s="54">
        <f>IF(Completed!$I$126&lt;&gt;"",Completed!$I$126,"")</f>
        <v>40674</v>
      </c>
      <c r="AC127" s="54">
        <f>IF(Completed!$J$126&lt;&gt;"",Completed!$J$126,"")</f>
        <v>40675</v>
      </c>
      <c r="AD127" s="66" t="str">
        <f>IF(Completed!$K$126&lt;&gt;"",Completed!$K$126,"")</f>
        <v>--</v>
      </c>
      <c r="AE127" s="66" t="str">
        <f>IF(Completed!$L$126&lt;&gt;"",Completed!$L$126,"")</f>
        <v/>
      </c>
    </row>
    <row r="128" spans="10:31">
      <c r="J128" s="21" t="str">
        <f>IF(Backlog!$A$127&lt;&gt;"",Backlog!$A$127,"")</f>
        <v/>
      </c>
      <c r="K128" s="28" t="str">
        <f>IF(Backlog!$B$127&lt;&gt;"",Backlog!$B$127,"")</f>
        <v/>
      </c>
      <c r="L128" s="29" t="str">
        <f>IF(Backlog!$C$127&lt;&gt;"",Backlog!$C$127,"")</f>
        <v/>
      </c>
      <c r="N128" s="21" t="str">
        <f>IF(Completed!$A$127&lt;&gt;"",Completed!$A$127,"")</f>
        <v>Onii-chan dakedo Ai sae Areba Kankeinai yone!</v>
      </c>
      <c r="O128" s="28">
        <f>IF(Completed!$B$127&lt;&gt;"",Completed!$B$127,"")</f>
        <v>1</v>
      </c>
      <c r="P128" s="28">
        <f ca="1">IF($N$128&lt;&gt;"", INDIRECT("'Tracker'!"&amp;ADDRESS(MATCH($N$128, Tracker[Anime Name], 0) + 2, 3)), "")</f>
        <v>12</v>
      </c>
      <c r="Q128" s="22" t="str">
        <f ca="1">IF($N$128&lt;&gt;"", INDIRECT("'Tracker'!"&amp;ADDRESS(MATCH($N$128, Tracker[Anime Name], 0) + 2, 4)), "")</f>
        <v>--</v>
      </c>
      <c r="R128" s="22" t="str">
        <f ca="1">IF($N$128&lt;&gt;"", INDIRECT("'Tracker'!"&amp;ADDRESS(MATCH($N$128, Tracker[Anime Name], 0) + 2, 5)), "")</f>
        <v>--</v>
      </c>
      <c r="S128" s="22" t="str">
        <f ca="1">IF($N$128&lt;&gt;"", INDIRECT("'Tracker'!"&amp;ADDRESS(MATCH($N$128, Tracker[Anime Name], 0) + 2, 6)), "")</f>
        <v>--</v>
      </c>
      <c r="T128" s="22" t="str">
        <f ca="1">IF($N$128&lt;&gt;"", INDIRECT("'Tracker'!"&amp;ADDRESS(MATCH($N$128, Tracker[Anime Name], 0) + 2, 7)), "")</f>
        <v>2012C</v>
      </c>
      <c r="U128" s="28" t="str">
        <f ca="1">IF($N$128&lt;&gt;"", INDIRECT("'Tracker'!"&amp;ADDRESS(MATCH($N$128, Tracker[Anime Name], 0) + 2, 8)), "")</f>
        <v>-- NO DL --</v>
      </c>
      <c r="V128" s="53">
        <f>IF(Completed!$C$127&lt;&gt;"",Completed!$C$127,"")</f>
        <v>3</v>
      </c>
      <c r="W128" s="53">
        <f>IF(Completed!$D$127&lt;&gt;"",Completed!$D$127,"")</f>
        <v>2</v>
      </c>
      <c r="X128" s="53">
        <f>IF(Completed!$E$127&lt;&gt;"",Completed!$E$127,"")</f>
        <v>7</v>
      </c>
      <c r="Y128" s="53">
        <f>IF(Completed!$F$127&lt;&gt;"",Completed!$F$127,"")</f>
        <v>3</v>
      </c>
      <c r="Z128" s="65">
        <f>IF(Completed!$G$127&lt;&gt;"",Completed!$G$127,"")</f>
        <v>2.9221105527638187</v>
      </c>
      <c r="AA128" s="75">
        <f>IF(Completed!$H$127&lt;&gt;"",Completed!$H$127,"")</f>
        <v>2.9294710327455915</v>
      </c>
      <c r="AB128" s="54">
        <f>IF(Completed!$I$127&lt;&gt;"",Completed!$I$127,"")</f>
        <v>41254</v>
      </c>
      <c r="AC128" s="54">
        <f>IF(Completed!$J$127&lt;&gt;"",Completed!$J$127,"")</f>
        <v>41264</v>
      </c>
      <c r="AD128" s="66" t="str">
        <f>IF(Completed!$K$127&lt;&gt;"",Completed!$K$127,"")</f>
        <v>Sawatari Ginbei</v>
      </c>
      <c r="AE128" s="66" t="str">
        <f>IF(Completed!$L$127&lt;&gt;"",Completed!$L$127,"")</f>
        <v/>
      </c>
    </row>
    <row r="129" spans="10:31">
      <c r="J129" s="21" t="str">
        <f>IF(Backlog!$A$128&lt;&gt;"",Backlog!$A$128,"")</f>
        <v/>
      </c>
      <c r="K129" s="28" t="str">
        <f>IF(Backlog!$B$128&lt;&gt;"",Backlog!$B$128,"")</f>
        <v/>
      </c>
      <c r="L129" s="29" t="str">
        <f>IF(Backlog!$C$128&lt;&gt;"",Backlog!$C$128,"")</f>
        <v/>
      </c>
      <c r="N129" s="21" t="str">
        <f>IF(Completed!$A$128&lt;&gt;"",Completed!$A$128,"")</f>
        <v>Cyclops Shoujo Saipu</v>
      </c>
      <c r="O129" s="28">
        <f>IF(Completed!$B$128&lt;&gt;"",Completed!$B$128,"")</f>
        <v>1</v>
      </c>
      <c r="P129" s="28">
        <f ca="1">IF($N$129&lt;&gt;"", INDIRECT("'Tracker'!"&amp;ADDRESS(MATCH($N$129, Tracker[Anime Name], 0) + 2, 3)), "")</f>
        <v>12</v>
      </c>
      <c r="Q129" s="22" t="str">
        <f ca="1">IF($N$129&lt;&gt;"", INDIRECT("'Tracker'!"&amp;ADDRESS(MATCH($N$129, Tracker[Anime Name], 0) + 2, 4)), "")</f>
        <v>A</v>
      </c>
      <c r="R129" s="22" t="str">
        <f ca="1">IF($N$129&lt;&gt;"", INDIRECT("'Tracker'!"&amp;ADDRESS(MATCH($N$129, Tracker[Anime Name], 0) + 2, 5)), "")</f>
        <v>720p</v>
      </c>
      <c r="S129" s="22" t="str">
        <f ca="1">IF($N$129&lt;&gt;"", INDIRECT("'Tracker'!"&amp;ADDRESS(MATCH($N$129, Tracker[Anime Name], 0) + 2, 6)), "")</f>
        <v>TV</v>
      </c>
      <c r="T129" s="22" t="str">
        <f ca="1">IF($N$129&lt;&gt;"", INDIRECT("'Tracker'!"&amp;ADDRESS(MATCH($N$129, Tracker[Anime Name], 0) + 2, 7)), "")</f>
        <v>2013A</v>
      </c>
      <c r="U129" s="28" t="str">
        <f ca="1">IF($N$129&lt;&gt;"", INDIRECT("'Tracker'!"&amp;ADDRESS(MATCH($N$129, Tracker[Anime Name], 0) + 2, 8)), "")</f>
        <v>Migoto</v>
      </c>
      <c r="V129" s="53">
        <f>IF(Completed!$C$128&lt;&gt;"",Completed!$C$128,"")</f>
        <v>1.5</v>
      </c>
      <c r="W129" s="53">
        <f>IF(Completed!$D$128&lt;&gt;"",Completed!$D$128,"")</f>
        <v>2</v>
      </c>
      <c r="X129" s="53">
        <f>IF(Completed!$E$128&lt;&gt;"",Completed!$E$128,"")</f>
        <v>4</v>
      </c>
      <c r="Y129" s="53">
        <f>IF(Completed!$F$128&lt;&gt;"",Completed!$F$128,"")</f>
        <v>3</v>
      </c>
      <c r="Z129" s="65">
        <f>IF(Completed!$G$128&lt;&gt;"",Completed!$G$128,"")</f>
        <v>2.5037688442211055</v>
      </c>
      <c r="AA129" s="75">
        <f>IF(Completed!$H$128&lt;&gt;"",Completed!$H$128,"")</f>
        <v>2.5100755667506296</v>
      </c>
      <c r="AB129" s="54">
        <f>IF(Completed!$I$128&lt;&gt;"",Completed!$I$128,"")</f>
        <v>41355</v>
      </c>
      <c r="AC129" s="54">
        <f>IF(Completed!$J$128&lt;&gt;"",Completed!$J$128,"")</f>
        <v>41451</v>
      </c>
      <c r="AD129" s="66" t="str">
        <f>IF(Completed!$K$128&lt;&gt;"",Completed!$K$128,"")</f>
        <v>--</v>
      </c>
      <c r="AE129" s="66" t="str">
        <f>IF(Completed!$L$128&lt;&gt;"",Completed!$L$128,"")</f>
        <v>Only watched because each episode was short enough to care about</v>
      </c>
    </row>
    <row r="130" spans="10:31">
      <c r="J130" s="21" t="str">
        <f>IF(Backlog!$A$129&lt;&gt;"",Backlog!$A$129,"")</f>
        <v/>
      </c>
      <c r="K130" s="28" t="str">
        <f>IF(Backlog!$B$129&lt;&gt;"",Backlog!$B$129,"")</f>
        <v/>
      </c>
      <c r="L130" s="29" t="str">
        <f>IF(Backlog!$C$129&lt;&gt;"",Backlog!$C$129,"")</f>
        <v/>
      </c>
      <c r="N130" s="21" t="str">
        <f>IF(Completed!$A$129&lt;&gt;"",Completed!$A$129,"")</f>
        <v/>
      </c>
      <c r="O130" s="28" t="str">
        <f>IF(Completed!$B$129&lt;&gt;"",Completed!$B$129,"")</f>
        <v/>
      </c>
      <c r="P130" s="28" t="str">
        <f ca="1">IF($N$130&lt;&gt;"", INDIRECT("'Tracker'!"&amp;ADDRESS(MATCH($N$130, Tracker[Anime Name], 0) + 2, 3)), "")</f>
        <v/>
      </c>
      <c r="Q130" s="22" t="str">
        <f ca="1">IF($N$130&lt;&gt;"", INDIRECT("'Tracker'!"&amp;ADDRESS(MATCH($N$130, Tracker[Anime Name], 0) + 2, 4)), "")</f>
        <v/>
      </c>
      <c r="R130" s="22" t="str">
        <f ca="1">IF($N$130&lt;&gt;"", INDIRECT("'Tracker'!"&amp;ADDRESS(MATCH($N$130, Tracker[Anime Name], 0) + 2, 5)), "")</f>
        <v/>
      </c>
      <c r="S130" s="22" t="str">
        <f ca="1">IF($N$130&lt;&gt;"", INDIRECT("'Tracker'!"&amp;ADDRESS(MATCH($N$130, Tracker[Anime Name], 0) + 2, 6)), "")</f>
        <v/>
      </c>
      <c r="T130" s="22" t="str">
        <f ca="1">IF($N$130&lt;&gt;"", INDIRECT("'Tracker'!"&amp;ADDRESS(MATCH($N$130, Tracker[Anime Name], 0) + 2, 7)), "")</f>
        <v/>
      </c>
      <c r="U130" s="28" t="str">
        <f ca="1">IF($N$130&lt;&gt;"", INDIRECT("'Tracker'!"&amp;ADDRESS(MATCH($N$130, Tracker[Anime Name], 0) + 2, 8)), "")</f>
        <v/>
      </c>
      <c r="V130" s="53" t="str">
        <f>IF(Completed!$C$129&lt;&gt;"",Completed!$C$129,"")</f>
        <v/>
      </c>
      <c r="W130" s="53" t="str">
        <f>IF(Completed!$D$129&lt;&gt;"",Completed!$D$129,"")</f>
        <v/>
      </c>
      <c r="X130" s="53" t="str">
        <f>IF(Completed!$E$129&lt;&gt;"",Completed!$E$129,"")</f>
        <v/>
      </c>
      <c r="Y130" s="53" t="str">
        <f>IF(Completed!$F$129&lt;&gt;"",Completed!$F$129,"")</f>
        <v/>
      </c>
      <c r="Z130" s="65" t="str">
        <f>IF(Completed!$G$129&lt;&gt;"",Completed!$G$129,"")</f>
        <v/>
      </c>
      <c r="AA130" s="75" t="str">
        <f>IF(Completed!$H$129&lt;&gt;"",Completed!$H$129,"")</f>
        <v/>
      </c>
      <c r="AB130" s="54" t="str">
        <f>IF(Completed!$I$129&lt;&gt;"",Completed!$I$129,"")</f>
        <v/>
      </c>
      <c r="AC130" s="54" t="str">
        <f>IF(Completed!$J$129&lt;&gt;"",Completed!$J$129,"")</f>
        <v/>
      </c>
      <c r="AD130" s="66" t="str">
        <f>IF(Completed!$K$129&lt;&gt;"",Completed!$K$129,"")</f>
        <v/>
      </c>
      <c r="AE130" s="66" t="str">
        <f>IF(Completed!$L$129&lt;&gt;"",Completed!$L$129,"")</f>
        <v/>
      </c>
    </row>
    <row r="131" spans="10:31">
      <c r="J131" s="21" t="str">
        <f>IF(Backlog!$A$130&lt;&gt;"",Backlog!$A$130,"")</f>
        <v/>
      </c>
      <c r="K131" s="28" t="str">
        <f>IF(Backlog!$B$130&lt;&gt;"",Backlog!$B$130,"")</f>
        <v/>
      </c>
      <c r="L131" s="29" t="str">
        <f>IF(Backlog!$C$130&lt;&gt;"",Backlog!$C$130,"")</f>
        <v/>
      </c>
      <c r="N131" s="21" t="str">
        <f>IF(Completed!$A$130&lt;&gt;"",Completed!$A$130,"")</f>
        <v/>
      </c>
      <c r="O131" s="28" t="str">
        <f>IF(Completed!$B$130&lt;&gt;"",Completed!$B$130,"")</f>
        <v/>
      </c>
      <c r="P131" s="28" t="str">
        <f ca="1">IF($N$131&lt;&gt;"", INDIRECT("'Tracker'!"&amp;ADDRESS(MATCH($N$131, Tracker[Anime Name], 0) + 2, 3)), "")</f>
        <v/>
      </c>
      <c r="Q131" s="22" t="str">
        <f ca="1">IF($N$131&lt;&gt;"", INDIRECT("'Tracker'!"&amp;ADDRESS(MATCH($N$131, Tracker[Anime Name], 0) + 2, 4)), "")</f>
        <v/>
      </c>
      <c r="R131" s="22" t="str">
        <f ca="1">IF($N$131&lt;&gt;"", INDIRECT("'Tracker'!"&amp;ADDRESS(MATCH($N$131, Tracker[Anime Name], 0) + 2, 5)), "")</f>
        <v/>
      </c>
      <c r="S131" s="22" t="str">
        <f ca="1">IF($N$131&lt;&gt;"", INDIRECT("'Tracker'!"&amp;ADDRESS(MATCH($N$131, Tracker[Anime Name], 0) + 2, 6)), "")</f>
        <v/>
      </c>
      <c r="T131" s="22" t="str">
        <f ca="1">IF($N$131&lt;&gt;"", INDIRECT("'Tracker'!"&amp;ADDRESS(MATCH($N$131, Tracker[Anime Name], 0) + 2, 7)), "")</f>
        <v/>
      </c>
      <c r="U131" s="28" t="str">
        <f ca="1">IF($N$131&lt;&gt;"", INDIRECT("'Tracker'!"&amp;ADDRESS(MATCH($N$131, Tracker[Anime Name], 0) + 2, 8)), "")</f>
        <v/>
      </c>
      <c r="V131" s="53" t="str">
        <f>IF(Completed!$C$130&lt;&gt;"",Completed!$C$130,"")</f>
        <v/>
      </c>
      <c r="W131" s="53" t="str">
        <f>IF(Completed!$D$130&lt;&gt;"",Completed!$D$130,"")</f>
        <v/>
      </c>
      <c r="X131" s="53" t="str">
        <f>IF(Completed!$E$130&lt;&gt;"",Completed!$E$130,"")</f>
        <v/>
      </c>
      <c r="Y131" s="53" t="str">
        <f>IF(Completed!$F$130&lt;&gt;"",Completed!$F$130,"")</f>
        <v/>
      </c>
      <c r="Z131" s="65" t="str">
        <f>IF(Completed!$G$130&lt;&gt;"",Completed!$G$130,"")</f>
        <v/>
      </c>
      <c r="AA131" s="75" t="str">
        <f>IF(Completed!$H$130&lt;&gt;"",Completed!$H$130,"")</f>
        <v/>
      </c>
      <c r="AB131" s="54" t="str">
        <f>IF(Completed!$I$130&lt;&gt;"",Completed!$I$130,"")</f>
        <v/>
      </c>
      <c r="AC131" s="54" t="str">
        <f>IF(Completed!$J$130&lt;&gt;"",Completed!$J$130,"")</f>
        <v/>
      </c>
      <c r="AD131" s="66" t="str">
        <f>IF(Completed!$K$130&lt;&gt;"",Completed!$K$130,"")</f>
        <v/>
      </c>
      <c r="AE131" s="66" t="str">
        <f>IF(Completed!$L$130&lt;&gt;"",Completed!$L$130,"")</f>
        <v/>
      </c>
    </row>
    <row r="132" spans="10:31">
      <c r="J132" s="21" t="str">
        <f>IF(Backlog!$A$131&lt;&gt;"",Backlog!$A$131,"")</f>
        <v/>
      </c>
      <c r="K132" s="28" t="str">
        <f>IF(Backlog!$B$131&lt;&gt;"",Backlog!$B$131,"")</f>
        <v/>
      </c>
      <c r="L132" s="29" t="str">
        <f>IF(Backlog!$C$131&lt;&gt;"",Backlog!$C$131,"")</f>
        <v/>
      </c>
      <c r="N132" s="21" t="str">
        <f>IF(Completed!$A$131&lt;&gt;"",Completed!$A$131,"")</f>
        <v/>
      </c>
      <c r="O132" s="28" t="str">
        <f>IF(Completed!$B$131&lt;&gt;"",Completed!$B$131,"")</f>
        <v/>
      </c>
      <c r="P132" s="28" t="str">
        <f ca="1">IF($N$132&lt;&gt;"", INDIRECT("'Tracker'!"&amp;ADDRESS(MATCH($N$132, Tracker[Anime Name], 0) + 2, 3)), "")</f>
        <v/>
      </c>
      <c r="Q132" s="22" t="str">
        <f ca="1">IF($N$132&lt;&gt;"", INDIRECT("'Tracker'!"&amp;ADDRESS(MATCH($N$132, Tracker[Anime Name], 0) + 2, 4)), "")</f>
        <v/>
      </c>
      <c r="R132" s="22" t="str">
        <f ca="1">IF($N$132&lt;&gt;"", INDIRECT("'Tracker'!"&amp;ADDRESS(MATCH($N$132, Tracker[Anime Name], 0) + 2, 5)), "")</f>
        <v/>
      </c>
      <c r="S132" s="22" t="str">
        <f ca="1">IF($N$132&lt;&gt;"", INDIRECT("'Tracker'!"&amp;ADDRESS(MATCH($N$132, Tracker[Anime Name], 0) + 2, 6)), "")</f>
        <v/>
      </c>
      <c r="T132" s="22" t="str">
        <f ca="1">IF($N$132&lt;&gt;"", INDIRECT("'Tracker'!"&amp;ADDRESS(MATCH($N$132, Tracker[Anime Name], 0) + 2, 7)), "")</f>
        <v/>
      </c>
      <c r="U132" s="28" t="str">
        <f ca="1">IF($N$132&lt;&gt;"", INDIRECT("'Tracker'!"&amp;ADDRESS(MATCH($N$132, Tracker[Anime Name], 0) + 2, 8)), "")</f>
        <v/>
      </c>
      <c r="V132" s="53" t="str">
        <f>IF(Completed!$C$131&lt;&gt;"",Completed!$C$131,"")</f>
        <v/>
      </c>
      <c r="W132" s="53" t="str">
        <f>IF(Completed!$D$131&lt;&gt;"",Completed!$D$131,"")</f>
        <v/>
      </c>
      <c r="X132" s="53" t="str">
        <f>IF(Completed!$E$131&lt;&gt;"",Completed!$E$131,"")</f>
        <v/>
      </c>
      <c r="Y132" s="53" t="str">
        <f>IF(Completed!$F$131&lt;&gt;"",Completed!$F$131,"")</f>
        <v/>
      </c>
      <c r="Z132" s="65" t="str">
        <f>IF(Completed!$G$131&lt;&gt;"",Completed!$G$131,"")</f>
        <v/>
      </c>
      <c r="AA132" s="75" t="str">
        <f>IF(Completed!$H$131&lt;&gt;"",Completed!$H$131,"")</f>
        <v/>
      </c>
      <c r="AB132" s="54" t="str">
        <f>IF(Completed!$I$131&lt;&gt;"",Completed!$I$131,"")</f>
        <v/>
      </c>
      <c r="AC132" s="54" t="str">
        <f>IF(Completed!$J$131&lt;&gt;"",Completed!$J$131,"")</f>
        <v/>
      </c>
      <c r="AD132" s="66" t="str">
        <f>IF(Completed!$K$131&lt;&gt;"",Completed!$K$131,"")</f>
        <v/>
      </c>
      <c r="AE132" s="66" t="str">
        <f>IF(Completed!$L$131&lt;&gt;"",Completed!$L$131,"")</f>
        <v/>
      </c>
    </row>
    <row r="133" spans="10:31">
      <c r="J133" s="21" t="str">
        <f>IF(Backlog!$A$132&lt;&gt;"",Backlog!$A$132,"")</f>
        <v/>
      </c>
      <c r="K133" s="28" t="str">
        <f>IF(Backlog!$B$132&lt;&gt;"",Backlog!$B$132,"")</f>
        <v/>
      </c>
      <c r="L133" s="29" t="str">
        <f>IF(Backlog!$C$132&lt;&gt;"",Backlog!$C$132,"")</f>
        <v/>
      </c>
      <c r="N133" s="21" t="str">
        <f>IF(Completed!$A$132&lt;&gt;"",Completed!$A$132,"")</f>
        <v/>
      </c>
      <c r="O133" s="28" t="str">
        <f>IF(Completed!$B$132&lt;&gt;"",Completed!$B$132,"")</f>
        <v/>
      </c>
      <c r="P133" s="28" t="str">
        <f ca="1">IF($N$133&lt;&gt;"", INDIRECT("'Tracker'!"&amp;ADDRESS(MATCH($N$133, Tracker[Anime Name], 0) + 2, 3)), "")</f>
        <v/>
      </c>
      <c r="Q133" s="22" t="str">
        <f ca="1">IF($N$133&lt;&gt;"", INDIRECT("'Tracker'!"&amp;ADDRESS(MATCH($N$133, Tracker[Anime Name], 0) + 2, 4)), "")</f>
        <v/>
      </c>
      <c r="R133" s="22" t="str">
        <f ca="1">IF($N$133&lt;&gt;"", INDIRECT("'Tracker'!"&amp;ADDRESS(MATCH($N$133, Tracker[Anime Name], 0) + 2, 5)), "")</f>
        <v/>
      </c>
      <c r="S133" s="22" t="str">
        <f ca="1">IF($N$133&lt;&gt;"", INDIRECT("'Tracker'!"&amp;ADDRESS(MATCH($N$133, Tracker[Anime Name], 0) + 2, 6)), "")</f>
        <v/>
      </c>
      <c r="T133" s="22" t="str">
        <f ca="1">IF($N$133&lt;&gt;"", INDIRECT("'Tracker'!"&amp;ADDRESS(MATCH($N$133, Tracker[Anime Name], 0) + 2, 7)), "")</f>
        <v/>
      </c>
      <c r="U133" s="28" t="str">
        <f ca="1">IF($N$133&lt;&gt;"", INDIRECT("'Tracker'!"&amp;ADDRESS(MATCH($N$133, Tracker[Anime Name], 0) + 2, 8)), "")</f>
        <v/>
      </c>
      <c r="V133" s="53" t="str">
        <f>IF(Completed!$C$132&lt;&gt;"",Completed!$C$132,"")</f>
        <v/>
      </c>
      <c r="W133" s="53" t="str">
        <f>IF(Completed!$D$132&lt;&gt;"",Completed!$D$132,"")</f>
        <v/>
      </c>
      <c r="X133" s="53" t="str">
        <f>IF(Completed!$E$132&lt;&gt;"",Completed!$E$132,"")</f>
        <v/>
      </c>
      <c r="Y133" s="53" t="str">
        <f>IF(Completed!$F$132&lt;&gt;"",Completed!$F$132,"")</f>
        <v/>
      </c>
      <c r="Z133" s="65" t="str">
        <f>IF(Completed!$G$132&lt;&gt;"",Completed!$G$132,"")</f>
        <v/>
      </c>
      <c r="AA133" s="75" t="str">
        <f>IF(Completed!$H$132&lt;&gt;"",Completed!$H$132,"")</f>
        <v/>
      </c>
      <c r="AB133" s="54" t="str">
        <f>IF(Completed!$I$132&lt;&gt;"",Completed!$I$132,"")</f>
        <v/>
      </c>
      <c r="AC133" s="54" t="str">
        <f>IF(Completed!$J$132&lt;&gt;"",Completed!$J$132,"")</f>
        <v/>
      </c>
      <c r="AD133" s="66" t="str">
        <f>IF(Completed!$K$132&lt;&gt;"",Completed!$K$132,"")</f>
        <v/>
      </c>
      <c r="AE133" s="66" t="str">
        <f>IF(Completed!$L$132&lt;&gt;"",Completed!$L$132,"")</f>
        <v/>
      </c>
    </row>
    <row r="134" spans="10:31">
      <c r="J134" s="21" t="str">
        <f>IF(Backlog!$A$133&lt;&gt;"",Backlog!$A$133,"")</f>
        <v/>
      </c>
      <c r="K134" s="28" t="str">
        <f>IF(Backlog!$B$133&lt;&gt;"",Backlog!$B$133,"")</f>
        <v/>
      </c>
      <c r="L134" s="29" t="str">
        <f>IF(Backlog!$C$133&lt;&gt;"",Backlog!$C$133,"")</f>
        <v/>
      </c>
      <c r="N134" s="21" t="str">
        <f>IF(Completed!$A$133&lt;&gt;"",Completed!$A$133,"")</f>
        <v/>
      </c>
      <c r="O134" s="28" t="str">
        <f>IF(Completed!$B$133&lt;&gt;"",Completed!$B$133,"")</f>
        <v/>
      </c>
      <c r="P134" s="28" t="str">
        <f ca="1">IF($N$134&lt;&gt;"", INDIRECT("'Tracker'!"&amp;ADDRESS(MATCH($N$134, Tracker[Anime Name], 0) + 2, 3)), "")</f>
        <v/>
      </c>
      <c r="Q134" s="22" t="str">
        <f ca="1">IF($N$134&lt;&gt;"", INDIRECT("'Tracker'!"&amp;ADDRESS(MATCH($N$134, Tracker[Anime Name], 0) + 2, 4)), "")</f>
        <v/>
      </c>
      <c r="R134" s="22" t="str">
        <f ca="1">IF($N$134&lt;&gt;"", INDIRECT("'Tracker'!"&amp;ADDRESS(MATCH($N$134, Tracker[Anime Name], 0) + 2, 5)), "")</f>
        <v/>
      </c>
      <c r="S134" s="22" t="str">
        <f ca="1">IF($N$134&lt;&gt;"", INDIRECT("'Tracker'!"&amp;ADDRESS(MATCH($N$134, Tracker[Anime Name], 0) + 2, 6)), "")</f>
        <v/>
      </c>
      <c r="T134" s="22" t="str">
        <f ca="1">IF($N$134&lt;&gt;"", INDIRECT("'Tracker'!"&amp;ADDRESS(MATCH($N$134, Tracker[Anime Name], 0) + 2, 7)), "")</f>
        <v/>
      </c>
      <c r="U134" s="28" t="str">
        <f ca="1">IF($N$134&lt;&gt;"", INDIRECT("'Tracker'!"&amp;ADDRESS(MATCH($N$134, Tracker[Anime Name], 0) + 2, 8)), "")</f>
        <v/>
      </c>
      <c r="V134" s="53" t="str">
        <f>IF(Completed!$C$133&lt;&gt;"",Completed!$C$133,"")</f>
        <v/>
      </c>
      <c r="W134" s="53" t="str">
        <f>IF(Completed!$D$133&lt;&gt;"",Completed!$D$133,"")</f>
        <v/>
      </c>
      <c r="X134" s="53" t="str">
        <f>IF(Completed!$E$133&lt;&gt;"",Completed!$E$133,"")</f>
        <v/>
      </c>
      <c r="Y134" s="53" t="str">
        <f>IF(Completed!$F$133&lt;&gt;"",Completed!$F$133,"")</f>
        <v/>
      </c>
      <c r="Z134" s="65" t="str">
        <f>IF(Completed!$G$133&lt;&gt;"",Completed!$G$133,"")</f>
        <v/>
      </c>
      <c r="AA134" s="75" t="str">
        <f>IF(Completed!$H$133&lt;&gt;"",Completed!$H$133,"")</f>
        <v/>
      </c>
      <c r="AB134" s="54" t="str">
        <f>IF(Completed!$I$133&lt;&gt;"",Completed!$I$133,"")</f>
        <v/>
      </c>
      <c r="AC134" s="54" t="str">
        <f>IF(Completed!$J$133&lt;&gt;"",Completed!$J$133,"")</f>
        <v/>
      </c>
      <c r="AD134" s="66" t="str">
        <f>IF(Completed!$K$133&lt;&gt;"",Completed!$K$133,"")</f>
        <v/>
      </c>
      <c r="AE134" s="66" t="str">
        <f>IF(Completed!$L$133&lt;&gt;"",Completed!$L$133,"")</f>
        <v/>
      </c>
    </row>
    <row r="135" spans="10:31">
      <c r="J135" s="21" t="str">
        <f>IF(Backlog!$A$134&lt;&gt;"",Backlog!$A$134,"")</f>
        <v/>
      </c>
      <c r="K135" s="28" t="str">
        <f>IF(Backlog!$B$134&lt;&gt;"",Backlog!$B$134,"")</f>
        <v/>
      </c>
      <c r="L135" s="29" t="str">
        <f>IF(Backlog!$C$134&lt;&gt;"",Backlog!$C$134,"")</f>
        <v/>
      </c>
      <c r="N135" s="21" t="str">
        <f>IF(Completed!$A$134&lt;&gt;"",Completed!$A$134,"")</f>
        <v/>
      </c>
      <c r="O135" s="28" t="str">
        <f>IF(Completed!$B$134&lt;&gt;"",Completed!$B$134,"")</f>
        <v/>
      </c>
      <c r="P135" s="28" t="str">
        <f ca="1">IF($N$135&lt;&gt;"", INDIRECT("'Tracker'!"&amp;ADDRESS(MATCH($N$135, Tracker[Anime Name], 0) + 2, 3)), "")</f>
        <v/>
      </c>
      <c r="Q135" s="22" t="str">
        <f ca="1">IF($N$135&lt;&gt;"", INDIRECT("'Tracker'!"&amp;ADDRESS(MATCH($N$135, Tracker[Anime Name], 0) + 2, 4)), "")</f>
        <v/>
      </c>
      <c r="R135" s="22" t="str">
        <f ca="1">IF($N$135&lt;&gt;"", INDIRECT("'Tracker'!"&amp;ADDRESS(MATCH($N$135, Tracker[Anime Name], 0) + 2, 5)), "")</f>
        <v/>
      </c>
      <c r="S135" s="22" t="str">
        <f ca="1">IF($N$135&lt;&gt;"", INDIRECT("'Tracker'!"&amp;ADDRESS(MATCH($N$135, Tracker[Anime Name], 0) + 2, 6)), "")</f>
        <v/>
      </c>
      <c r="T135" s="22" t="str">
        <f ca="1">IF($N$135&lt;&gt;"", INDIRECT("'Tracker'!"&amp;ADDRESS(MATCH($N$135, Tracker[Anime Name], 0) + 2, 7)), "")</f>
        <v/>
      </c>
      <c r="U135" s="28" t="str">
        <f ca="1">IF($N$135&lt;&gt;"", INDIRECT("'Tracker'!"&amp;ADDRESS(MATCH($N$135, Tracker[Anime Name], 0) + 2, 8)), "")</f>
        <v/>
      </c>
      <c r="V135" s="53" t="str">
        <f>IF(Completed!$C$134&lt;&gt;"",Completed!$C$134,"")</f>
        <v/>
      </c>
      <c r="W135" s="53" t="str">
        <f>IF(Completed!$D$134&lt;&gt;"",Completed!$D$134,"")</f>
        <v/>
      </c>
      <c r="X135" s="53" t="str">
        <f>IF(Completed!$E$134&lt;&gt;"",Completed!$E$134,"")</f>
        <v/>
      </c>
      <c r="Y135" s="53" t="str">
        <f>IF(Completed!$F$134&lt;&gt;"",Completed!$F$134,"")</f>
        <v/>
      </c>
      <c r="Z135" s="65" t="str">
        <f>IF(Completed!$G$134&lt;&gt;"",Completed!$G$134,"")</f>
        <v/>
      </c>
      <c r="AA135" s="75" t="str">
        <f>IF(Completed!$H$134&lt;&gt;"",Completed!$H$134,"")</f>
        <v/>
      </c>
      <c r="AB135" s="54" t="str">
        <f>IF(Completed!$I$134&lt;&gt;"",Completed!$I$134,"")</f>
        <v/>
      </c>
      <c r="AC135" s="54" t="str">
        <f>IF(Completed!$J$134&lt;&gt;"",Completed!$J$134,"")</f>
        <v/>
      </c>
      <c r="AD135" s="66" t="str">
        <f>IF(Completed!$K$134&lt;&gt;"",Completed!$K$134,"")</f>
        <v/>
      </c>
      <c r="AE135" s="66" t="str">
        <f>IF(Completed!$L$134&lt;&gt;"",Completed!$L$134,"")</f>
        <v/>
      </c>
    </row>
    <row r="136" spans="10:31">
      <c r="J136" s="21" t="str">
        <f>IF(Backlog!$A$135&lt;&gt;"",Backlog!$A$135,"")</f>
        <v/>
      </c>
      <c r="K136" s="28" t="str">
        <f>IF(Backlog!$B$135&lt;&gt;"",Backlog!$B$135,"")</f>
        <v/>
      </c>
      <c r="L136" s="29" t="str">
        <f>IF(Backlog!$C$135&lt;&gt;"",Backlog!$C$135,"")</f>
        <v/>
      </c>
      <c r="N136" s="21" t="str">
        <f>IF(Completed!$A$135&lt;&gt;"",Completed!$A$135,"")</f>
        <v/>
      </c>
      <c r="O136" s="28" t="str">
        <f>IF(Completed!$B$135&lt;&gt;"",Completed!$B$135,"")</f>
        <v/>
      </c>
      <c r="P136" s="28" t="str">
        <f ca="1">IF($N$136&lt;&gt;"", INDIRECT("'Tracker'!"&amp;ADDRESS(MATCH($N$136, Tracker[Anime Name], 0) + 2, 3)), "")</f>
        <v/>
      </c>
      <c r="Q136" s="22" t="str">
        <f ca="1">IF($N$136&lt;&gt;"", INDIRECT("'Tracker'!"&amp;ADDRESS(MATCH($N$136, Tracker[Anime Name], 0) + 2, 4)), "")</f>
        <v/>
      </c>
      <c r="R136" s="22" t="str">
        <f ca="1">IF($N$136&lt;&gt;"", INDIRECT("'Tracker'!"&amp;ADDRESS(MATCH($N$136, Tracker[Anime Name], 0) + 2, 5)), "")</f>
        <v/>
      </c>
      <c r="S136" s="22" t="str">
        <f ca="1">IF($N$136&lt;&gt;"", INDIRECT("'Tracker'!"&amp;ADDRESS(MATCH($N$136, Tracker[Anime Name], 0) + 2, 6)), "")</f>
        <v/>
      </c>
      <c r="T136" s="22" t="str">
        <f ca="1">IF($N$136&lt;&gt;"", INDIRECT("'Tracker'!"&amp;ADDRESS(MATCH($N$136, Tracker[Anime Name], 0) + 2, 7)), "")</f>
        <v/>
      </c>
      <c r="U136" s="28" t="str">
        <f ca="1">IF($N$136&lt;&gt;"", INDIRECT("'Tracker'!"&amp;ADDRESS(MATCH($N$136, Tracker[Anime Name], 0) + 2, 8)), "")</f>
        <v/>
      </c>
      <c r="V136" s="53" t="str">
        <f>IF(Completed!$C$135&lt;&gt;"",Completed!$C$135,"")</f>
        <v/>
      </c>
      <c r="W136" s="53" t="str">
        <f>IF(Completed!$D$135&lt;&gt;"",Completed!$D$135,"")</f>
        <v/>
      </c>
      <c r="X136" s="53" t="str">
        <f>IF(Completed!$E$135&lt;&gt;"",Completed!$E$135,"")</f>
        <v/>
      </c>
      <c r="Y136" s="53" t="str">
        <f>IF(Completed!$F$135&lt;&gt;"",Completed!$F$135,"")</f>
        <v/>
      </c>
      <c r="Z136" s="65" t="str">
        <f>IF(Completed!$G$135&lt;&gt;"",Completed!$G$135,"")</f>
        <v/>
      </c>
      <c r="AA136" s="75" t="str">
        <f>IF(Completed!$H$135&lt;&gt;"",Completed!$H$135,"")</f>
        <v/>
      </c>
      <c r="AB136" s="54" t="str">
        <f>IF(Completed!$I$135&lt;&gt;"",Completed!$I$135,"")</f>
        <v/>
      </c>
      <c r="AC136" s="54" t="str">
        <f>IF(Completed!$J$135&lt;&gt;"",Completed!$J$135,"")</f>
        <v/>
      </c>
      <c r="AD136" s="66" t="str">
        <f>IF(Completed!$K$135&lt;&gt;"",Completed!$K$135,"")</f>
        <v/>
      </c>
      <c r="AE136" s="66" t="str">
        <f>IF(Completed!$L$135&lt;&gt;"",Completed!$L$135,"")</f>
        <v/>
      </c>
    </row>
    <row r="137" spans="10:31">
      <c r="J137" s="21" t="str">
        <f>IF(Backlog!$A$136&lt;&gt;"",Backlog!$A$136,"")</f>
        <v/>
      </c>
      <c r="K137" s="28" t="str">
        <f>IF(Backlog!$B$136&lt;&gt;"",Backlog!$B$136,"")</f>
        <v/>
      </c>
      <c r="L137" s="29" t="str">
        <f>IF(Backlog!$C$136&lt;&gt;"",Backlog!$C$136,"")</f>
        <v/>
      </c>
      <c r="N137" s="21" t="str">
        <f>IF(Completed!$A$136&lt;&gt;"",Completed!$A$136,"")</f>
        <v/>
      </c>
      <c r="O137" s="28" t="str">
        <f>IF(Completed!$B$136&lt;&gt;"",Completed!$B$136,"")</f>
        <v/>
      </c>
      <c r="P137" s="28" t="str">
        <f ca="1">IF($N$137&lt;&gt;"", INDIRECT("'Tracker'!"&amp;ADDRESS(MATCH($N$137, Tracker[Anime Name], 0) + 2, 3)), "")</f>
        <v/>
      </c>
      <c r="Q137" s="22" t="str">
        <f ca="1">IF($N$137&lt;&gt;"", INDIRECT("'Tracker'!"&amp;ADDRESS(MATCH($N$137, Tracker[Anime Name], 0) + 2, 4)), "")</f>
        <v/>
      </c>
      <c r="R137" s="22" t="str">
        <f ca="1">IF($N$137&lt;&gt;"", INDIRECT("'Tracker'!"&amp;ADDRESS(MATCH($N$137, Tracker[Anime Name], 0) + 2, 5)), "")</f>
        <v/>
      </c>
      <c r="S137" s="22" t="str">
        <f ca="1">IF($N$137&lt;&gt;"", INDIRECT("'Tracker'!"&amp;ADDRESS(MATCH($N$137, Tracker[Anime Name], 0) + 2, 6)), "")</f>
        <v/>
      </c>
      <c r="T137" s="22" t="str">
        <f ca="1">IF($N$137&lt;&gt;"", INDIRECT("'Tracker'!"&amp;ADDRESS(MATCH($N$137, Tracker[Anime Name], 0) + 2, 7)), "")</f>
        <v/>
      </c>
      <c r="U137" s="28" t="str">
        <f ca="1">IF($N$137&lt;&gt;"", INDIRECT("'Tracker'!"&amp;ADDRESS(MATCH($N$137, Tracker[Anime Name], 0) + 2, 8)), "")</f>
        <v/>
      </c>
      <c r="V137" s="53" t="str">
        <f>IF(Completed!$C$136&lt;&gt;"",Completed!$C$136,"")</f>
        <v/>
      </c>
      <c r="W137" s="53" t="str">
        <f>IF(Completed!$D$136&lt;&gt;"",Completed!$D$136,"")</f>
        <v/>
      </c>
      <c r="X137" s="53" t="str">
        <f>IF(Completed!$E$136&lt;&gt;"",Completed!$E$136,"")</f>
        <v/>
      </c>
      <c r="Y137" s="53" t="str">
        <f>IF(Completed!$F$136&lt;&gt;"",Completed!$F$136,"")</f>
        <v/>
      </c>
      <c r="Z137" s="65" t="str">
        <f>IF(Completed!$G$136&lt;&gt;"",Completed!$G$136,"")</f>
        <v/>
      </c>
      <c r="AA137" s="75" t="str">
        <f>IF(Completed!$H$136&lt;&gt;"",Completed!$H$136,"")</f>
        <v/>
      </c>
      <c r="AB137" s="54" t="str">
        <f>IF(Completed!$I$136&lt;&gt;"",Completed!$I$136,"")</f>
        <v/>
      </c>
      <c r="AC137" s="54" t="str">
        <f>IF(Completed!$J$136&lt;&gt;"",Completed!$J$136,"")</f>
        <v/>
      </c>
      <c r="AD137" s="66" t="str">
        <f>IF(Completed!$K$136&lt;&gt;"",Completed!$K$136,"")</f>
        <v/>
      </c>
      <c r="AE137" s="66" t="str">
        <f>IF(Completed!$L$136&lt;&gt;"",Completed!$L$136,"")</f>
        <v/>
      </c>
    </row>
    <row r="138" spans="10:31">
      <c r="J138" s="21" t="str">
        <f>IF(Backlog!$A$137&lt;&gt;"",Backlog!$A$137,"")</f>
        <v/>
      </c>
      <c r="K138" s="28" t="str">
        <f>IF(Backlog!$B$137&lt;&gt;"",Backlog!$B$137,"")</f>
        <v/>
      </c>
      <c r="L138" s="29" t="str">
        <f>IF(Backlog!$C$137&lt;&gt;"",Backlog!$C$137,"")</f>
        <v/>
      </c>
      <c r="N138" s="21" t="str">
        <f>IF(Completed!$A$137&lt;&gt;"",Completed!$A$137,"")</f>
        <v/>
      </c>
      <c r="O138" s="28" t="str">
        <f>IF(Completed!$B$137&lt;&gt;"",Completed!$B$137,"")</f>
        <v/>
      </c>
      <c r="P138" s="28" t="str">
        <f ca="1">IF($N$138&lt;&gt;"", INDIRECT("'Tracker'!"&amp;ADDRESS(MATCH($N$138, Tracker[Anime Name], 0) + 2, 3)), "")</f>
        <v/>
      </c>
      <c r="Q138" s="22" t="str">
        <f ca="1">IF($N$138&lt;&gt;"", INDIRECT("'Tracker'!"&amp;ADDRESS(MATCH($N$138, Tracker[Anime Name], 0) + 2, 4)), "")</f>
        <v/>
      </c>
      <c r="R138" s="22" t="str">
        <f ca="1">IF($N$138&lt;&gt;"", INDIRECT("'Tracker'!"&amp;ADDRESS(MATCH($N$138, Tracker[Anime Name], 0) + 2, 5)), "")</f>
        <v/>
      </c>
      <c r="S138" s="22" t="str">
        <f ca="1">IF($N$138&lt;&gt;"", INDIRECT("'Tracker'!"&amp;ADDRESS(MATCH($N$138, Tracker[Anime Name], 0) + 2, 6)), "")</f>
        <v/>
      </c>
      <c r="T138" s="22" t="str">
        <f ca="1">IF($N$138&lt;&gt;"", INDIRECT("'Tracker'!"&amp;ADDRESS(MATCH($N$138, Tracker[Anime Name], 0) + 2, 7)), "")</f>
        <v/>
      </c>
      <c r="U138" s="28" t="str">
        <f ca="1">IF($N$138&lt;&gt;"", INDIRECT("'Tracker'!"&amp;ADDRESS(MATCH($N$138, Tracker[Anime Name], 0) + 2, 8)), "")</f>
        <v/>
      </c>
      <c r="V138" s="53" t="str">
        <f>IF(Completed!$C$137&lt;&gt;"",Completed!$C$137,"")</f>
        <v/>
      </c>
      <c r="W138" s="53" t="str">
        <f>IF(Completed!$D$137&lt;&gt;"",Completed!$D$137,"")</f>
        <v/>
      </c>
      <c r="X138" s="53" t="str">
        <f>IF(Completed!$E$137&lt;&gt;"",Completed!$E$137,"")</f>
        <v/>
      </c>
      <c r="Y138" s="53" t="str">
        <f>IF(Completed!$F$137&lt;&gt;"",Completed!$F$137,"")</f>
        <v/>
      </c>
      <c r="Z138" s="65" t="str">
        <f>IF(Completed!$G$137&lt;&gt;"",Completed!$G$137,"")</f>
        <v/>
      </c>
      <c r="AA138" s="75" t="str">
        <f>IF(Completed!$H$137&lt;&gt;"",Completed!$H$137,"")</f>
        <v/>
      </c>
      <c r="AB138" s="54" t="str">
        <f>IF(Completed!$I$137&lt;&gt;"",Completed!$I$137,"")</f>
        <v/>
      </c>
      <c r="AC138" s="54" t="str">
        <f>IF(Completed!$J$137&lt;&gt;"",Completed!$J$137,"")</f>
        <v/>
      </c>
      <c r="AD138" s="66" t="str">
        <f>IF(Completed!$K$137&lt;&gt;"",Completed!$K$137,"")</f>
        <v/>
      </c>
      <c r="AE138" s="66" t="str">
        <f>IF(Completed!$L$137&lt;&gt;"",Completed!$L$137,"")</f>
        <v/>
      </c>
    </row>
    <row r="139" spans="10:31">
      <c r="J139" s="21" t="str">
        <f>IF(Backlog!$A$138&lt;&gt;"",Backlog!$A$138,"")</f>
        <v/>
      </c>
      <c r="K139" s="28" t="str">
        <f>IF(Backlog!$B$138&lt;&gt;"",Backlog!$B$138,"")</f>
        <v/>
      </c>
      <c r="L139" s="29" t="str">
        <f>IF(Backlog!$C$138&lt;&gt;"",Backlog!$C$138,"")</f>
        <v/>
      </c>
      <c r="N139" s="21" t="str">
        <f>IF(Completed!$A$138&lt;&gt;"",Completed!$A$138,"")</f>
        <v/>
      </c>
      <c r="O139" s="28" t="str">
        <f>IF(Completed!$B$138&lt;&gt;"",Completed!$B$138,"")</f>
        <v/>
      </c>
      <c r="P139" s="28" t="str">
        <f ca="1">IF($N$139&lt;&gt;"", INDIRECT("'Tracker'!"&amp;ADDRESS(MATCH($N$139, Tracker[Anime Name], 0) + 2, 3)), "")</f>
        <v/>
      </c>
      <c r="Q139" s="22" t="str">
        <f ca="1">IF($N$139&lt;&gt;"", INDIRECT("'Tracker'!"&amp;ADDRESS(MATCH($N$139, Tracker[Anime Name], 0) + 2, 4)), "")</f>
        <v/>
      </c>
      <c r="R139" s="22" t="str">
        <f ca="1">IF($N$139&lt;&gt;"", INDIRECT("'Tracker'!"&amp;ADDRESS(MATCH($N$139, Tracker[Anime Name], 0) + 2, 5)), "")</f>
        <v/>
      </c>
      <c r="S139" s="22" t="str">
        <f ca="1">IF($N$139&lt;&gt;"", INDIRECT("'Tracker'!"&amp;ADDRESS(MATCH($N$139, Tracker[Anime Name], 0) + 2, 6)), "")</f>
        <v/>
      </c>
      <c r="T139" s="22" t="str">
        <f ca="1">IF($N$139&lt;&gt;"", INDIRECT("'Tracker'!"&amp;ADDRESS(MATCH($N$139, Tracker[Anime Name], 0) + 2, 7)), "")</f>
        <v/>
      </c>
      <c r="U139" s="28" t="str">
        <f ca="1">IF($N$139&lt;&gt;"", INDIRECT("'Tracker'!"&amp;ADDRESS(MATCH($N$139, Tracker[Anime Name], 0) + 2, 8)), "")</f>
        <v/>
      </c>
      <c r="V139" s="53" t="str">
        <f>IF(Completed!$C$138&lt;&gt;"",Completed!$C$138,"")</f>
        <v/>
      </c>
      <c r="W139" s="53" t="str">
        <f>IF(Completed!$D$138&lt;&gt;"",Completed!$D$138,"")</f>
        <v/>
      </c>
      <c r="X139" s="53" t="str">
        <f>IF(Completed!$E$138&lt;&gt;"",Completed!$E$138,"")</f>
        <v/>
      </c>
      <c r="Y139" s="53" t="str">
        <f>IF(Completed!$F$138&lt;&gt;"",Completed!$F$138,"")</f>
        <v/>
      </c>
      <c r="Z139" s="65" t="str">
        <f>IF(Completed!$G$138&lt;&gt;"",Completed!$G$138,"")</f>
        <v/>
      </c>
      <c r="AA139" s="75" t="str">
        <f>IF(Completed!$H$138&lt;&gt;"",Completed!$H$138,"")</f>
        <v/>
      </c>
      <c r="AB139" s="54" t="str">
        <f>IF(Completed!$I$138&lt;&gt;"",Completed!$I$138,"")</f>
        <v/>
      </c>
      <c r="AC139" s="54" t="str">
        <f>IF(Completed!$J$138&lt;&gt;"",Completed!$J$138,"")</f>
        <v/>
      </c>
      <c r="AD139" s="66" t="str">
        <f>IF(Completed!$K$138&lt;&gt;"",Completed!$K$138,"")</f>
        <v/>
      </c>
      <c r="AE139" s="66" t="str">
        <f>IF(Completed!$L$138&lt;&gt;"",Completed!$L$138,"")</f>
        <v/>
      </c>
    </row>
    <row r="140" spans="10:31">
      <c r="J140" s="21" t="str">
        <f>IF(Backlog!$A$139&lt;&gt;"",Backlog!$A$139,"")</f>
        <v/>
      </c>
      <c r="K140" s="28" t="str">
        <f>IF(Backlog!$B$139&lt;&gt;"",Backlog!$B$139,"")</f>
        <v/>
      </c>
      <c r="L140" s="29" t="str">
        <f>IF(Backlog!$C$139&lt;&gt;"",Backlog!$C$139,"")</f>
        <v/>
      </c>
      <c r="N140" s="21" t="str">
        <f>IF(Completed!$A$139&lt;&gt;"",Completed!$A$139,"")</f>
        <v/>
      </c>
      <c r="O140" s="28" t="str">
        <f>IF(Completed!$B$139&lt;&gt;"",Completed!$B$139,"")</f>
        <v/>
      </c>
      <c r="P140" s="28" t="str">
        <f ca="1">IF($N$140&lt;&gt;"", INDIRECT("'Tracker'!"&amp;ADDRESS(MATCH($N$140, Tracker[Anime Name], 0) + 2, 3)), "")</f>
        <v/>
      </c>
      <c r="Q140" s="22" t="str">
        <f ca="1">IF($N$140&lt;&gt;"", INDIRECT("'Tracker'!"&amp;ADDRESS(MATCH($N$140, Tracker[Anime Name], 0) + 2, 4)), "")</f>
        <v/>
      </c>
      <c r="R140" s="22" t="str">
        <f ca="1">IF($N$140&lt;&gt;"", INDIRECT("'Tracker'!"&amp;ADDRESS(MATCH($N$140, Tracker[Anime Name], 0) + 2, 5)), "")</f>
        <v/>
      </c>
      <c r="S140" s="22" t="str">
        <f ca="1">IF($N$140&lt;&gt;"", INDIRECT("'Tracker'!"&amp;ADDRESS(MATCH($N$140, Tracker[Anime Name], 0) + 2, 6)), "")</f>
        <v/>
      </c>
      <c r="T140" s="22" t="str">
        <f ca="1">IF($N$140&lt;&gt;"", INDIRECT("'Tracker'!"&amp;ADDRESS(MATCH($N$140, Tracker[Anime Name], 0) + 2, 7)), "")</f>
        <v/>
      </c>
      <c r="U140" s="28" t="str">
        <f ca="1">IF($N$140&lt;&gt;"", INDIRECT("'Tracker'!"&amp;ADDRESS(MATCH($N$140, Tracker[Anime Name], 0) + 2, 8)), "")</f>
        <v/>
      </c>
      <c r="V140" s="53" t="str">
        <f>IF(Completed!$C$139&lt;&gt;"",Completed!$C$139,"")</f>
        <v/>
      </c>
      <c r="W140" s="53" t="str">
        <f>IF(Completed!$D$139&lt;&gt;"",Completed!$D$139,"")</f>
        <v/>
      </c>
      <c r="X140" s="53" t="str">
        <f>IF(Completed!$E$139&lt;&gt;"",Completed!$E$139,"")</f>
        <v/>
      </c>
      <c r="Y140" s="53" t="str">
        <f>IF(Completed!$F$139&lt;&gt;"",Completed!$F$139,"")</f>
        <v/>
      </c>
      <c r="Z140" s="65" t="str">
        <f>IF(Completed!$G$139&lt;&gt;"",Completed!$G$139,"")</f>
        <v/>
      </c>
      <c r="AA140" s="75" t="str">
        <f>IF(Completed!$H$139&lt;&gt;"",Completed!$H$139,"")</f>
        <v/>
      </c>
      <c r="AB140" s="54" t="str">
        <f>IF(Completed!$I$139&lt;&gt;"",Completed!$I$139,"")</f>
        <v/>
      </c>
      <c r="AC140" s="54" t="str">
        <f>IF(Completed!$J$139&lt;&gt;"",Completed!$J$139,"")</f>
        <v/>
      </c>
      <c r="AD140" s="66" t="str">
        <f>IF(Completed!$K$139&lt;&gt;"",Completed!$K$139,"")</f>
        <v/>
      </c>
      <c r="AE140" s="66" t="str">
        <f>IF(Completed!$L$139&lt;&gt;"",Completed!$L$139,"")</f>
        <v/>
      </c>
    </row>
    <row r="141" spans="10:31">
      <c r="J141" s="21" t="str">
        <f>IF(Backlog!$A$140&lt;&gt;"",Backlog!$A$140,"")</f>
        <v/>
      </c>
      <c r="K141" s="28" t="str">
        <f>IF(Backlog!$B$140&lt;&gt;"",Backlog!$B$140,"")</f>
        <v/>
      </c>
      <c r="L141" s="29" t="str">
        <f>IF(Backlog!$C$140&lt;&gt;"",Backlog!$C$140,"")</f>
        <v/>
      </c>
      <c r="N141" s="21" t="str">
        <f>IF(Completed!$A$140&lt;&gt;"",Completed!$A$140,"")</f>
        <v/>
      </c>
      <c r="O141" s="28" t="str">
        <f>IF(Completed!$B$140&lt;&gt;"",Completed!$B$140,"")</f>
        <v/>
      </c>
      <c r="P141" s="28" t="str">
        <f ca="1">IF($N$141&lt;&gt;"", INDIRECT("'Tracker'!"&amp;ADDRESS(MATCH($N$141, Tracker[Anime Name], 0) + 2, 3)), "")</f>
        <v/>
      </c>
      <c r="Q141" s="22" t="str">
        <f ca="1">IF($N$141&lt;&gt;"", INDIRECT("'Tracker'!"&amp;ADDRESS(MATCH($N$141, Tracker[Anime Name], 0) + 2, 4)), "")</f>
        <v/>
      </c>
      <c r="R141" s="22" t="str">
        <f ca="1">IF($N$141&lt;&gt;"", INDIRECT("'Tracker'!"&amp;ADDRESS(MATCH($N$141, Tracker[Anime Name], 0) + 2, 5)), "")</f>
        <v/>
      </c>
      <c r="S141" s="22" t="str">
        <f ca="1">IF($N$141&lt;&gt;"", INDIRECT("'Tracker'!"&amp;ADDRESS(MATCH($N$141, Tracker[Anime Name], 0) + 2, 6)), "")</f>
        <v/>
      </c>
      <c r="T141" s="22" t="str">
        <f ca="1">IF($N$141&lt;&gt;"", INDIRECT("'Tracker'!"&amp;ADDRESS(MATCH($N$141, Tracker[Anime Name], 0) + 2, 7)), "")</f>
        <v/>
      </c>
      <c r="U141" s="28" t="str">
        <f ca="1">IF($N$141&lt;&gt;"", INDIRECT("'Tracker'!"&amp;ADDRESS(MATCH($N$141, Tracker[Anime Name], 0) + 2, 8)), "")</f>
        <v/>
      </c>
      <c r="V141" s="53" t="str">
        <f>IF(Completed!$C$140&lt;&gt;"",Completed!$C$140,"")</f>
        <v/>
      </c>
      <c r="W141" s="53" t="str">
        <f>IF(Completed!$D$140&lt;&gt;"",Completed!$D$140,"")</f>
        <v/>
      </c>
      <c r="X141" s="53" t="str">
        <f>IF(Completed!$E$140&lt;&gt;"",Completed!$E$140,"")</f>
        <v/>
      </c>
      <c r="Y141" s="53" t="str">
        <f>IF(Completed!$F$140&lt;&gt;"",Completed!$F$140,"")</f>
        <v/>
      </c>
      <c r="Z141" s="65" t="str">
        <f>IF(Completed!$G$140&lt;&gt;"",Completed!$G$140,"")</f>
        <v/>
      </c>
      <c r="AA141" s="75" t="str">
        <f>IF(Completed!$H$140&lt;&gt;"",Completed!$H$140,"")</f>
        <v/>
      </c>
      <c r="AB141" s="54" t="str">
        <f>IF(Completed!$I$140&lt;&gt;"",Completed!$I$140,"")</f>
        <v/>
      </c>
      <c r="AC141" s="54" t="str">
        <f>IF(Completed!$J$140&lt;&gt;"",Completed!$J$140,"")</f>
        <v/>
      </c>
      <c r="AD141" s="66" t="str">
        <f>IF(Completed!$K$140&lt;&gt;"",Completed!$K$140,"")</f>
        <v/>
      </c>
      <c r="AE141" s="66" t="str">
        <f>IF(Completed!$L$140&lt;&gt;"",Completed!$L$140,"")</f>
        <v/>
      </c>
    </row>
    <row r="142" spans="10:31">
      <c r="J142" s="21" t="str">
        <f>IF(Backlog!$A$141&lt;&gt;"",Backlog!$A$141,"")</f>
        <v/>
      </c>
      <c r="K142" s="28" t="str">
        <f>IF(Backlog!$B$141&lt;&gt;"",Backlog!$B$141,"")</f>
        <v/>
      </c>
      <c r="L142" s="29" t="str">
        <f>IF(Backlog!$C$141&lt;&gt;"",Backlog!$C$141,"")</f>
        <v/>
      </c>
      <c r="N142" s="21" t="str">
        <f>IF(Completed!$A$141&lt;&gt;"",Completed!$A$141,"")</f>
        <v/>
      </c>
      <c r="O142" s="28" t="str">
        <f>IF(Completed!$B$141&lt;&gt;"",Completed!$B$141,"")</f>
        <v/>
      </c>
      <c r="P142" s="28" t="str">
        <f ca="1">IF($N$142&lt;&gt;"", INDIRECT("'Tracker'!"&amp;ADDRESS(MATCH($N$142, Tracker[Anime Name], 0) + 2, 3)), "")</f>
        <v/>
      </c>
      <c r="Q142" s="22" t="str">
        <f ca="1">IF($N$142&lt;&gt;"", INDIRECT("'Tracker'!"&amp;ADDRESS(MATCH($N$142, Tracker[Anime Name], 0) + 2, 4)), "")</f>
        <v/>
      </c>
      <c r="R142" s="22" t="str">
        <f ca="1">IF($N$142&lt;&gt;"", INDIRECT("'Tracker'!"&amp;ADDRESS(MATCH($N$142, Tracker[Anime Name], 0) + 2, 5)), "")</f>
        <v/>
      </c>
      <c r="S142" s="22" t="str">
        <f ca="1">IF($N$142&lt;&gt;"", INDIRECT("'Tracker'!"&amp;ADDRESS(MATCH($N$142, Tracker[Anime Name], 0) + 2, 6)), "")</f>
        <v/>
      </c>
      <c r="T142" s="22" t="str">
        <f ca="1">IF($N$142&lt;&gt;"", INDIRECT("'Tracker'!"&amp;ADDRESS(MATCH($N$142, Tracker[Anime Name], 0) + 2, 7)), "")</f>
        <v/>
      </c>
      <c r="U142" s="28" t="str">
        <f ca="1">IF($N$142&lt;&gt;"", INDIRECT("'Tracker'!"&amp;ADDRESS(MATCH($N$142, Tracker[Anime Name], 0) + 2, 8)), "")</f>
        <v/>
      </c>
      <c r="V142" s="53" t="str">
        <f>IF(Completed!$C$141&lt;&gt;"",Completed!$C$141,"")</f>
        <v/>
      </c>
      <c r="W142" s="53" t="str">
        <f>IF(Completed!$D$141&lt;&gt;"",Completed!$D$141,"")</f>
        <v/>
      </c>
      <c r="X142" s="53" t="str">
        <f>IF(Completed!$E$141&lt;&gt;"",Completed!$E$141,"")</f>
        <v/>
      </c>
      <c r="Y142" s="53" t="str">
        <f>IF(Completed!$F$141&lt;&gt;"",Completed!$F$141,"")</f>
        <v/>
      </c>
      <c r="Z142" s="65" t="str">
        <f>IF(Completed!$G$141&lt;&gt;"",Completed!$G$141,"")</f>
        <v/>
      </c>
      <c r="AA142" s="75" t="str">
        <f>IF(Completed!$H$141&lt;&gt;"",Completed!$H$141,"")</f>
        <v/>
      </c>
      <c r="AB142" s="54" t="str">
        <f>IF(Completed!$I$141&lt;&gt;"",Completed!$I$141,"")</f>
        <v/>
      </c>
      <c r="AC142" s="54" t="str">
        <f>IF(Completed!$J$141&lt;&gt;"",Completed!$J$141,"")</f>
        <v/>
      </c>
      <c r="AD142" s="66" t="str">
        <f>IF(Completed!$K$141&lt;&gt;"",Completed!$K$141,"")</f>
        <v/>
      </c>
      <c r="AE142" s="66" t="str">
        <f>IF(Completed!$L$141&lt;&gt;"",Completed!$L$141,"")</f>
        <v/>
      </c>
    </row>
    <row r="143" spans="10:31">
      <c r="J143" s="21" t="str">
        <f>IF(Backlog!$A$142&lt;&gt;"",Backlog!$A$142,"")</f>
        <v/>
      </c>
      <c r="K143" s="28" t="str">
        <f>IF(Backlog!$B$142&lt;&gt;"",Backlog!$B$142,"")</f>
        <v/>
      </c>
      <c r="L143" s="29" t="str">
        <f>IF(Backlog!$C$142&lt;&gt;"",Backlog!$C$142,"")</f>
        <v/>
      </c>
      <c r="N143" s="21" t="str">
        <f>IF(Completed!$A$142&lt;&gt;"",Completed!$A$142,"")</f>
        <v/>
      </c>
      <c r="O143" s="28" t="str">
        <f>IF(Completed!$B$142&lt;&gt;"",Completed!$B$142,"")</f>
        <v/>
      </c>
      <c r="P143" s="28" t="str">
        <f ca="1">IF($N$143&lt;&gt;"", INDIRECT("'Tracker'!"&amp;ADDRESS(MATCH($N$143, Tracker[Anime Name], 0) + 2, 3)), "")</f>
        <v/>
      </c>
      <c r="Q143" s="22" t="str">
        <f ca="1">IF($N$143&lt;&gt;"", INDIRECT("'Tracker'!"&amp;ADDRESS(MATCH($N$143, Tracker[Anime Name], 0) + 2, 4)), "")</f>
        <v/>
      </c>
      <c r="R143" s="22" t="str">
        <f ca="1">IF($N$143&lt;&gt;"", INDIRECT("'Tracker'!"&amp;ADDRESS(MATCH($N$143, Tracker[Anime Name], 0) + 2, 5)), "")</f>
        <v/>
      </c>
      <c r="S143" s="22" t="str">
        <f ca="1">IF($N$143&lt;&gt;"", INDIRECT("'Tracker'!"&amp;ADDRESS(MATCH($N$143, Tracker[Anime Name], 0) + 2, 6)), "")</f>
        <v/>
      </c>
      <c r="T143" s="22" t="str">
        <f ca="1">IF($N$143&lt;&gt;"", INDIRECT("'Tracker'!"&amp;ADDRESS(MATCH($N$143, Tracker[Anime Name], 0) + 2, 7)), "")</f>
        <v/>
      </c>
      <c r="U143" s="28" t="str">
        <f ca="1">IF($N$143&lt;&gt;"", INDIRECT("'Tracker'!"&amp;ADDRESS(MATCH($N$143, Tracker[Anime Name], 0) + 2, 8)), "")</f>
        <v/>
      </c>
      <c r="V143" s="53" t="str">
        <f>IF(Completed!$C$142&lt;&gt;"",Completed!$C$142,"")</f>
        <v/>
      </c>
      <c r="W143" s="53" t="str">
        <f>IF(Completed!$D$142&lt;&gt;"",Completed!$D$142,"")</f>
        <v/>
      </c>
      <c r="X143" s="53" t="str">
        <f>IF(Completed!$E$142&lt;&gt;"",Completed!$E$142,"")</f>
        <v/>
      </c>
      <c r="Y143" s="53" t="str">
        <f>IF(Completed!$F$142&lt;&gt;"",Completed!$F$142,"")</f>
        <v/>
      </c>
      <c r="Z143" s="65" t="str">
        <f>IF(Completed!$G$142&lt;&gt;"",Completed!$G$142,"")</f>
        <v/>
      </c>
      <c r="AA143" s="75" t="str">
        <f>IF(Completed!$H$142&lt;&gt;"",Completed!$H$142,"")</f>
        <v/>
      </c>
      <c r="AB143" s="54" t="str">
        <f>IF(Completed!$I$142&lt;&gt;"",Completed!$I$142,"")</f>
        <v/>
      </c>
      <c r="AC143" s="54" t="str">
        <f>IF(Completed!$J$142&lt;&gt;"",Completed!$J$142,"")</f>
        <v/>
      </c>
      <c r="AD143" s="66" t="str">
        <f>IF(Completed!$K$142&lt;&gt;"",Completed!$K$142,"")</f>
        <v/>
      </c>
      <c r="AE143" s="66" t="str">
        <f>IF(Completed!$L$142&lt;&gt;"",Completed!$L$142,"")</f>
        <v/>
      </c>
    </row>
    <row r="144" spans="10:31">
      <c r="J144" s="21" t="str">
        <f>IF(Backlog!$A$143&lt;&gt;"",Backlog!$A$143,"")</f>
        <v/>
      </c>
      <c r="K144" s="28" t="str">
        <f>IF(Backlog!$B$143&lt;&gt;"",Backlog!$B$143,"")</f>
        <v/>
      </c>
      <c r="L144" s="29" t="str">
        <f>IF(Backlog!$C$143&lt;&gt;"",Backlog!$C$143,"")</f>
        <v/>
      </c>
      <c r="N144" s="21" t="str">
        <f>IF(Completed!$A$143&lt;&gt;"",Completed!$A$143,"")</f>
        <v/>
      </c>
      <c r="O144" s="28" t="str">
        <f>IF(Completed!$B$143&lt;&gt;"",Completed!$B$143,"")</f>
        <v/>
      </c>
      <c r="P144" s="28" t="str">
        <f ca="1">IF($N$144&lt;&gt;"", INDIRECT("'Tracker'!"&amp;ADDRESS(MATCH($N$144, Tracker[Anime Name], 0) + 2, 3)), "")</f>
        <v/>
      </c>
      <c r="Q144" s="22" t="str">
        <f ca="1">IF($N$144&lt;&gt;"", INDIRECT("'Tracker'!"&amp;ADDRESS(MATCH($N$144, Tracker[Anime Name], 0) + 2, 4)), "")</f>
        <v/>
      </c>
      <c r="R144" s="22" t="str">
        <f ca="1">IF($N$144&lt;&gt;"", INDIRECT("'Tracker'!"&amp;ADDRESS(MATCH($N$144, Tracker[Anime Name], 0) + 2, 5)), "")</f>
        <v/>
      </c>
      <c r="S144" s="22" t="str">
        <f ca="1">IF($N$144&lt;&gt;"", INDIRECT("'Tracker'!"&amp;ADDRESS(MATCH($N$144, Tracker[Anime Name], 0) + 2, 6)), "")</f>
        <v/>
      </c>
      <c r="T144" s="22" t="str">
        <f ca="1">IF($N$144&lt;&gt;"", INDIRECT("'Tracker'!"&amp;ADDRESS(MATCH($N$144, Tracker[Anime Name], 0) + 2, 7)), "")</f>
        <v/>
      </c>
      <c r="U144" s="28" t="str">
        <f ca="1">IF($N$144&lt;&gt;"", INDIRECT("'Tracker'!"&amp;ADDRESS(MATCH($N$144, Tracker[Anime Name], 0) + 2, 8)), "")</f>
        <v/>
      </c>
      <c r="V144" s="53" t="str">
        <f>IF(Completed!$C$143&lt;&gt;"",Completed!$C$143,"")</f>
        <v/>
      </c>
      <c r="W144" s="53" t="str">
        <f>IF(Completed!$D$143&lt;&gt;"",Completed!$D$143,"")</f>
        <v/>
      </c>
      <c r="X144" s="53" t="str">
        <f>IF(Completed!$E$143&lt;&gt;"",Completed!$E$143,"")</f>
        <v/>
      </c>
      <c r="Y144" s="53" t="str">
        <f>IF(Completed!$F$143&lt;&gt;"",Completed!$F$143,"")</f>
        <v/>
      </c>
      <c r="Z144" s="65" t="str">
        <f>IF(Completed!$G$143&lt;&gt;"",Completed!$G$143,"")</f>
        <v/>
      </c>
      <c r="AA144" s="75" t="str">
        <f>IF(Completed!$H$143&lt;&gt;"",Completed!$H$143,"")</f>
        <v/>
      </c>
      <c r="AB144" s="54" t="str">
        <f>IF(Completed!$I$143&lt;&gt;"",Completed!$I$143,"")</f>
        <v/>
      </c>
      <c r="AC144" s="54" t="str">
        <f>IF(Completed!$J$143&lt;&gt;"",Completed!$J$143,"")</f>
        <v/>
      </c>
      <c r="AD144" s="66" t="str">
        <f>IF(Completed!$K$143&lt;&gt;"",Completed!$K$143,"")</f>
        <v/>
      </c>
      <c r="AE144" s="66" t="str">
        <f>IF(Completed!$L$143&lt;&gt;"",Completed!$L$143,"")</f>
        <v/>
      </c>
    </row>
    <row r="145" spans="10:31">
      <c r="J145" s="21" t="str">
        <f>IF(Backlog!$A$144&lt;&gt;"",Backlog!$A$144,"")</f>
        <v/>
      </c>
      <c r="K145" s="28" t="str">
        <f>IF(Backlog!$B$144&lt;&gt;"",Backlog!$B$144,"")</f>
        <v/>
      </c>
      <c r="L145" s="29" t="str">
        <f>IF(Backlog!$C$144&lt;&gt;"",Backlog!$C$144,"")</f>
        <v/>
      </c>
      <c r="N145" s="21" t="str">
        <f>IF(Completed!$A$144&lt;&gt;"",Completed!$A$144,"")</f>
        <v/>
      </c>
      <c r="O145" s="28" t="str">
        <f>IF(Completed!$B$144&lt;&gt;"",Completed!$B$144,"")</f>
        <v/>
      </c>
      <c r="P145" s="28" t="str">
        <f ca="1">IF($N$145&lt;&gt;"", INDIRECT("'Tracker'!"&amp;ADDRESS(MATCH($N$145, Tracker[Anime Name], 0) + 2, 3)), "")</f>
        <v/>
      </c>
      <c r="Q145" s="22" t="str">
        <f ca="1">IF($N$145&lt;&gt;"", INDIRECT("'Tracker'!"&amp;ADDRESS(MATCH($N$145, Tracker[Anime Name], 0) + 2, 4)), "")</f>
        <v/>
      </c>
      <c r="R145" s="22" t="str">
        <f ca="1">IF($N$145&lt;&gt;"", INDIRECT("'Tracker'!"&amp;ADDRESS(MATCH($N$145, Tracker[Anime Name], 0) + 2, 5)), "")</f>
        <v/>
      </c>
      <c r="S145" s="22" t="str">
        <f ca="1">IF($N$145&lt;&gt;"", INDIRECT("'Tracker'!"&amp;ADDRESS(MATCH($N$145, Tracker[Anime Name], 0) + 2, 6)), "")</f>
        <v/>
      </c>
      <c r="T145" s="22" t="str">
        <f ca="1">IF($N$145&lt;&gt;"", INDIRECT("'Tracker'!"&amp;ADDRESS(MATCH($N$145, Tracker[Anime Name], 0) + 2, 7)), "")</f>
        <v/>
      </c>
      <c r="U145" s="28" t="str">
        <f ca="1">IF($N$145&lt;&gt;"", INDIRECT("'Tracker'!"&amp;ADDRESS(MATCH($N$145, Tracker[Anime Name], 0) + 2, 8)), "")</f>
        <v/>
      </c>
      <c r="V145" s="53" t="str">
        <f>IF(Completed!$C$144&lt;&gt;"",Completed!$C$144,"")</f>
        <v/>
      </c>
      <c r="W145" s="53" t="str">
        <f>IF(Completed!$D$144&lt;&gt;"",Completed!$D$144,"")</f>
        <v/>
      </c>
      <c r="X145" s="53" t="str">
        <f>IF(Completed!$E$144&lt;&gt;"",Completed!$E$144,"")</f>
        <v/>
      </c>
      <c r="Y145" s="53" t="str">
        <f>IF(Completed!$F$144&lt;&gt;"",Completed!$F$144,"")</f>
        <v/>
      </c>
      <c r="Z145" s="65" t="str">
        <f>IF(Completed!$G$144&lt;&gt;"",Completed!$G$144,"")</f>
        <v/>
      </c>
      <c r="AA145" s="75" t="str">
        <f>IF(Completed!$H$144&lt;&gt;"",Completed!$H$144,"")</f>
        <v/>
      </c>
      <c r="AB145" s="54" t="str">
        <f>IF(Completed!$I$144&lt;&gt;"",Completed!$I$144,"")</f>
        <v/>
      </c>
      <c r="AC145" s="54" t="str">
        <f>IF(Completed!$J$144&lt;&gt;"",Completed!$J$144,"")</f>
        <v/>
      </c>
      <c r="AD145" s="66" t="str">
        <f>IF(Completed!$K$144&lt;&gt;"",Completed!$K$144,"")</f>
        <v/>
      </c>
      <c r="AE145" s="66" t="str">
        <f>IF(Completed!$L$144&lt;&gt;"",Completed!$L$144,"")</f>
        <v/>
      </c>
    </row>
    <row r="146" spans="10:31">
      <c r="J146" s="21" t="str">
        <f>IF(Backlog!$A$145&lt;&gt;"",Backlog!$A$145,"")</f>
        <v/>
      </c>
      <c r="K146" s="28" t="str">
        <f>IF(Backlog!$B$145&lt;&gt;"",Backlog!$B$145,"")</f>
        <v/>
      </c>
      <c r="L146" s="29" t="str">
        <f>IF(Backlog!$C$145&lt;&gt;"",Backlog!$C$145,"")</f>
        <v/>
      </c>
      <c r="N146" s="21" t="str">
        <f>IF(Completed!$A$145&lt;&gt;"",Completed!$A$145,"")</f>
        <v/>
      </c>
      <c r="O146" s="28" t="str">
        <f>IF(Completed!$B$145&lt;&gt;"",Completed!$B$145,"")</f>
        <v/>
      </c>
      <c r="P146" s="28" t="str">
        <f ca="1">IF($N$146&lt;&gt;"", INDIRECT("'Tracker'!"&amp;ADDRESS(MATCH($N$146, Tracker[Anime Name], 0) + 2, 3)), "")</f>
        <v/>
      </c>
      <c r="Q146" s="22" t="str">
        <f ca="1">IF($N$146&lt;&gt;"", INDIRECT("'Tracker'!"&amp;ADDRESS(MATCH($N$146, Tracker[Anime Name], 0) + 2, 4)), "")</f>
        <v/>
      </c>
      <c r="R146" s="22" t="str">
        <f ca="1">IF($N$146&lt;&gt;"", INDIRECT("'Tracker'!"&amp;ADDRESS(MATCH($N$146, Tracker[Anime Name], 0) + 2, 5)), "")</f>
        <v/>
      </c>
      <c r="S146" s="22" t="str">
        <f ca="1">IF($N$146&lt;&gt;"", INDIRECT("'Tracker'!"&amp;ADDRESS(MATCH($N$146, Tracker[Anime Name], 0) + 2, 6)), "")</f>
        <v/>
      </c>
      <c r="T146" s="22" t="str">
        <f ca="1">IF($N$146&lt;&gt;"", INDIRECT("'Tracker'!"&amp;ADDRESS(MATCH($N$146, Tracker[Anime Name], 0) + 2, 7)), "")</f>
        <v/>
      </c>
      <c r="U146" s="28" t="str">
        <f ca="1">IF($N$146&lt;&gt;"", INDIRECT("'Tracker'!"&amp;ADDRESS(MATCH($N$146, Tracker[Anime Name], 0) + 2, 8)), "")</f>
        <v/>
      </c>
      <c r="V146" s="53" t="str">
        <f>IF(Completed!$C$145&lt;&gt;"",Completed!$C$145,"")</f>
        <v/>
      </c>
      <c r="W146" s="53" t="str">
        <f>IF(Completed!$D$145&lt;&gt;"",Completed!$D$145,"")</f>
        <v/>
      </c>
      <c r="X146" s="53" t="str">
        <f>IF(Completed!$E$145&lt;&gt;"",Completed!$E$145,"")</f>
        <v/>
      </c>
      <c r="Y146" s="53" t="str">
        <f>IF(Completed!$F$145&lt;&gt;"",Completed!$F$145,"")</f>
        <v/>
      </c>
      <c r="Z146" s="65" t="str">
        <f>IF(Completed!$G$145&lt;&gt;"",Completed!$G$145,"")</f>
        <v/>
      </c>
      <c r="AA146" s="75" t="str">
        <f>IF(Completed!$H$145&lt;&gt;"",Completed!$H$145,"")</f>
        <v/>
      </c>
      <c r="AB146" s="54" t="str">
        <f>IF(Completed!$I$145&lt;&gt;"",Completed!$I$145,"")</f>
        <v/>
      </c>
      <c r="AC146" s="54" t="str">
        <f>IF(Completed!$J$145&lt;&gt;"",Completed!$J$145,"")</f>
        <v/>
      </c>
      <c r="AD146" s="66" t="str">
        <f>IF(Completed!$K$145&lt;&gt;"",Completed!$K$145,"")</f>
        <v/>
      </c>
      <c r="AE146" s="66" t="str">
        <f>IF(Completed!$L$145&lt;&gt;"",Completed!$L$145,"")</f>
        <v/>
      </c>
    </row>
    <row r="147" spans="10:31">
      <c r="J147" s="21" t="str">
        <f>IF(Backlog!$A$146&lt;&gt;"",Backlog!$A$146,"")</f>
        <v/>
      </c>
      <c r="K147" s="28" t="str">
        <f>IF(Backlog!$B$146&lt;&gt;"",Backlog!$B$146,"")</f>
        <v/>
      </c>
      <c r="L147" s="29" t="str">
        <f>IF(Backlog!$C$146&lt;&gt;"",Backlog!$C$146,"")</f>
        <v/>
      </c>
      <c r="N147" s="21" t="str">
        <f>IF(Completed!$A$146&lt;&gt;"",Completed!$A$146,"")</f>
        <v/>
      </c>
      <c r="O147" s="28" t="str">
        <f>IF(Completed!$B$146&lt;&gt;"",Completed!$B$146,"")</f>
        <v/>
      </c>
      <c r="P147" s="28" t="str">
        <f ca="1">IF($N$147&lt;&gt;"", INDIRECT("'Tracker'!"&amp;ADDRESS(MATCH($N$147, Tracker[Anime Name], 0) + 2, 3)), "")</f>
        <v/>
      </c>
      <c r="Q147" s="22" t="str">
        <f ca="1">IF($N$147&lt;&gt;"", INDIRECT("'Tracker'!"&amp;ADDRESS(MATCH($N$147, Tracker[Anime Name], 0) + 2, 4)), "")</f>
        <v/>
      </c>
      <c r="R147" s="22" t="str">
        <f ca="1">IF($N$147&lt;&gt;"", INDIRECT("'Tracker'!"&amp;ADDRESS(MATCH($N$147, Tracker[Anime Name], 0) + 2, 5)), "")</f>
        <v/>
      </c>
      <c r="S147" s="22" t="str">
        <f ca="1">IF($N$147&lt;&gt;"", INDIRECT("'Tracker'!"&amp;ADDRESS(MATCH($N$147, Tracker[Anime Name], 0) + 2, 6)), "")</f>
        <v/>
      </c>
      <c r="T147" s="22" t="str">
        <f ca="1">IF($N$147&lt;&gt;"", INDIRECT("'Tracker'!"&amp;ADDRESS(MATCH($N$147, Tracker[Anime Name], 0) + 2, 7)), "")</f>
        <v/>
      </c>
      <c r="U147" s="28" t="str">
        <f ca="1">IF($N$147&lt;&gt;"", INDIRECT("'Tracker'!"&amp;ADDRESS(MATCH($N$147, Tracker[Anime Name], 0) + 2, 8)), "")</f>
        <v/>
      </c>
      <c r="V147" s="53" t="str">
        <f>IF(Completed!$C$146&lt;&gt;"",Completed!$C$146,"")</f>
        <v/>
      </c>
      <c r="W147" s="53" t="str">
        <f>IF(Completed!$D$146&lt;&gt;"",Completed!$D$146,"")</f>
        <v/>
      </c>
      <c r="X147" s="53" t="str">
        <f>IF(Completed!$E$146&lt;&gt;"",Completed!$E$146,"")</f>
        <v/>
      </c>
      <c r="Y147" s="53" t="str">
        <f>IF(Completed!$F$146&lt;&gt;"",Completed!$F$146,"")</f>
        <v/>
      </c>
      <c r="Z147" s="65" t="str">
        <f>IF(Completed!$G$146&lt;&gt;"",Completed!$G$146,"")</f>
        <v/>
      </c>
      <c r="AA147" s="75" t="str">
        <f>IF(Completed!$H$146&lt;&gt;"",Completed!$H$146,"")</f>
        <v/>
      </c>
      <c r="AB147" s="54" t="str">
        <f>IF(Completed!$I$146&lt;&gt;"",Completed!$I$146,"")</f>
        <v/>
      </c>
      <c r="AC147" s="54" t="str">
        <f>IF(Completed!$J$146&lt;&gt;"",Completed!$J$146,"")</f>
        <v/>
      </c>
      <c r="AD147" s="66" t="str">
        <f>IF(Completed!$K$146&lt;&gt;"",Completed!$K$146,"")</f>
        <v/>
      </c>
      <c r="AE147" s="66" t="str">
        <f>IF(Completed!$L$146&lt;&gt;"",Completed!$L$146,"")</f>
        <v/>
      </c>
    </row>
    <row r="148" spans="10:31">
      <c r="J148" s="21" t="str">
        <f>IF(Backlog!$A$147&lt;&gt;"",Backlog!$A$147,"")</f>
        <v/>
      </c>
      <c r="K148" s="28" t="str">
        <f>IF(Backlog!$B$147&lt;&gt;"",Backlog!$B$147,"")</f>
        <v/>
      </c>
      <c r="L148" s="29" t="str">
        <f>IF(Backlog!$C$147&lt;&gt;"",Backlog!$C$147,"")</f>
        <v/>
      </c>
      <c r="N148" s="21" t="str">
        <f>IF(Completed!$A$147&lt;&gt;"",Completed!$A$147,"")</f>
        <v/>
      </c>
      <c r="O148" s="28" t="str">
        <f>IF(Completed!$B$147&lt;&gt;"",Completed!$B$147,"")</f>
        <v/>
      </c>
      <c r="P148" s="28" t="str">
        <f ca="1">IF($N$148&lt;&gt;"", INDIRECT("'Tracker'!"&amp;ADDRESS(MATCH($N$148, Tracker[Anime Name], 0) + 2, 3)), "")</f>
        <v/>
      </c>
      <c r="Q148" s="22" t="str">
        <f ca="1">IF($N$148&lt;&gt;"", INDIRECT("'Tracker'!"&amp;ADDRESS(MATCH($N$148, Tracker[Anime Name], 0) + 2, 4)), "")</f>
        <v/>
      </c>
      <c r="R148" s="22" t="str">
        <f ca="1">IF($N$148&lt;&gt;"", INDIRECT("'Tracker'!"&amp;ADDRESS(MATCH($N$148, Tracker[Anime Name], 0) + 2, 5)), "")</f>
        <v/>
      </c>
      <c r="S148" s="22" t="str">
        <f ca="1">IF($N$148&lt;&gt;"", INDIRECT("'Tracker'!"&amp;ADDRESS(MATCH($N$148, Tracker[Anime Name], 0) + 2, 6)), "")</f>
        <v/>
      </c>
      <c r="T148" s="22" t="str">
        <f ca="1">IF($N$148&lt;&gt;"", INDIRECT("'Tracker'!"&amp;ADDRESS(MATCH($N$148, Tracker[Anime Name], 0) + 2, 7)), "")</f>
        <v/>
      </c>
      <c r="U148" s="28" t="str">
        <f ca="1">IF($N$148&lt;&gt;"", INDIRECT("'Tracker'!"&amp;ADDRESS(MATCH($N$148, Tracker[Anime Name], 0) + 2, 8)), "")</f>
        <v/>
      </c>
      <c r="V148" s="53" t="str">
        <f>IF(Completed!$C$147&lt;&gt;"",Completed!$C$147,"")</f>
        <v/>
      </c>
      <c r="W148" s="53" t="str">
        <f>IF(Completed!$D$147&lt;&gt;"",Completed!$D$147,"")</f>
        <v/>
      </c>
      <c r="X148" s="53" t="str">
        <f>IF(Completed!$E$147&lt;&gt;"",Completed!$E$147,"")</f>
        <v/>
      </c>
      <c r="Y148" s="53" t="str">
        <f>IF(Completed!$F$147&lt;&gt;"",Completed!$F$147,"")</f>
        <v/>
      </c>
      <c r="Z148" s="65" t="str">
        <f>IF(Completed!$G$147&lt;&gt;"",Completed!$G$147,"")</f>
        <v/>
      </c>
      <c r="AA148" s="75" t="str">
        <f>IF(Completed!$H$147&lt;&gt;"",Completed!$H$147,"")</f>
        <v/>
      </c>
      <c r="AB148" s="54" t="str">
        <f>IF(Completed!$I$147&lt;&gt;"",Completed!$I$147,"")</f>
        <v/>
      </c>
      <c r="AC148" s="54" t="str">
        <f>IF(Completed!$J$147&lt;&gt;"",Completed!$J$147,"")</f>
        <v/>
      </c>
      <c r="AD148" s="66" t="str">
        <f>IF(Completed!$K$147&lt;&gt;"",Completed!$K$147,"")</f>
        <v/>
      </c>
      <c r="AE148" s="66" t="str">
        <f>IF(Completed!$L$147&lt;&gt;"",Completed!$L$147,"")</f>
        <v/>
      </c>
    </row>
    <row r="149" spans="10:31">
      <c r="J149" s="21" t="str">
        <f>IF(Backlog!$A$148&lt;&gt;"",Backlog!$A$148,"")</f>
        <v/>
      </c>
      <c r="K149" s="28" t="str">
        <f>IF(Backlog!$B$148&lt;&gt;"",Backlog!$B$148,"")</f>
        <v/>
      </c>
      <c r="L149" s="29" t="str">
        <f>IF(Backlog!$C$148&lt;&gt;"",Backlog!$C$148,"")</f>
        <v/>
      </c>
      <c r="N149" s="21" t="str">
        <f>IF(Completed!$A$148&lt;&gt;"",Completed!$A$148,"")</f>
        <v/>
      </c>
      <c r="O149" s="28" t="str">
        <f>IF(Completed!$B$148&lt;&gt;"",Completed!$B$148,"")</f>
        <v/>
      </c>
      <c r="P149" s="28" t="str">
        <f ca="1">IF($N$149&lt;&gt;"", INDIRECT("'Tracker'!"&amp;ADDRESS(MATCH($N$149, Tracker[Anime Name], 0) + 2, 3)), "")</f>
        <v/>
      </c>
      <c r="Q149" s="22" t="str">
        <f ca="1">IF($N$149&lt;&gt;"", INDIRECT("'Tracker'!"&amp;ADDRESS(MATCH($N$149, Tracker[Anime Name], 0) + 2, 4)), "")</f>
        <v/>
      </c>
      <c r="R149" s="22" t="str">
        <f ca="1">IF($N$149&lt;&gt;"", INDIRECT("'Tracker'!"&amp;ADDRESS(MATCH($N$149, Tracker[Anime Name], 0) + 2, 5)), "")</f>
        <v/>
      </c>
      <c r="S149" s="22" t="str">
        <f ca="1">IF($N$149&lt;&gt;"", INDIRECT("'Tracker'!"&amp;ADDRESS(MATCH($N$149, Tracker[Anime Name], 0) + 2, 6)), "")</f>
        <v/>
      </c>
      <c r="T149" s="22" t="str">
        <f ca="1">IF($N$149&lt;&gt;"", INDIRECT("'Tracker'!"&amp;ADDRESS(MATCH($N$149, Tracker[Anime Name], 0) + 2, 7)), "")</f>
        <v/>
      </c>
      <c r="U149" s="28" t="str">
        <f ca="1">IF($N$149&lt;&gt;"", INDIRECT("'Tracker'!"&amp;ADDRESS(MATCH($N$149, Tracker[Anime Name], 0) + 2, 8)), "")</f>
        <v/>
      </c>
      <c r="V149" s="53" t="str">
        <f>IF(Completed!$C$148&lt;&gt;"",Completed!$C$148,"")</f>
        <v/>
      </c>
      <c r="W149" s="53" t="str">
        <f>IF(Completed!$D$148&lt;&gt;"",Completed!$D$148,"")</f>
        <v/>
      </c>
      <c r="X149" s="53" t="str">
        <f>IF(Completed!$E$148&lt;&gt;"",Completed!$E$148,"")</f>
        <v/>
      </c>
      <c r="Y149" s="53" t="str">
        <f>IF(Completed!$F$148&lt;&gt;"",Completed!$F$148,"")</f>
        <v/>
      </c>
      <c r="Z149" s="65" t="str">
        <f>IF(Completed!$G$148&lt;&gt;"",Completed!$G$148,"")</f>
        <v/>
      </c>
      <c r="AA149" s="75" t="str">
        <f>IF(Completed!$H$148&lt;&gt;"",Completed!$H$148,"")</f>
        <v/>
      </c>
      <c r="AB149" s="54" t="str">
        <f>IF(Completed!$I$148&lt;&gt;"",Completed!$I$148,"")</f>
        <v/>
      </c>
      <c r="AC149" s="54" t="str">
        <f>IF(Completed!$J$148&lt;&gt;"",Completed!$J$148,"")</f>
        <v/>
      </c>
      <c r="AD149" s="66" t="str">
        <f>IF(Completed!$K$148&lt;&gt;"",Completed!$K$148,"")</f>
        <v/>
      </c>
      <c r="AE149" s="66" t="str">
        <f>IF(Completed!$L$148&lt;&gt;"",Completed!$L$148,"")</f>
        <v/>
      </c>
    </row>
    <row r="150" spans="10:31">
      <c r="J150" s="21" t="str">
        <f>IF(Backlog!$A$149&lt;&gt;"",Backlog!$A$149,"")</f>
        <v/>
      </c>
      <c r="K150" s="28" t="str">
        <f>IF(Backlog!$B$149&lt;&gt;"",Backlog!$B$149,"")</f>
        <v/>
      </c>
      <c r="L150" s="29" t="str">
        <f>IF(Backlog!$C$149&lt;&gt;"",Backlog!$C$149,"")</f>
        <v/>
      </c>
      <c r="N150" s="21" t="str">
        <f>IF(Completed!$A$149&lt;&gt;"",Completed!$A$149,"")</f>
        <v/>
      </c>
      <c r="O150" s="28" t="str">
        <f>IF(Completed!$B$149&lt;&gt;"",Completed!$B$149,"")</f>
        <v/>
      </c>
      <c r="P150" s="28" t="str">
        <f ca="1">IF($N$150&lt;&gt;"", INDIRECT("'Tracker'!"&amp;ADDRESS(MATCH($N$150, Tracker[Anime Name], 0) + 2, 3)), "")</f>
        <v/>
      </c>
      <c r="Q150" s="22" t="str">
        <f ca="1">IF($N$150&lt;&gt;"", INDIRECT("'Tracker'!"&amp;ADDRESS(MATCH($N$150, Tracker[Anime Name], 0) + 2, 4)), "")</f>
        <v/>
      </c>
      <c r="R150" s="22" t="str">
        <f ca="1">IF($N$150&lt;&gt;"", INDIRECT("'Tracker'!"&amp;ADDRESS(MATCH($N$150, Tracker[Anime Name], 0) + 2, 5)), "")</f>
        <v/>
      </c>
      <c r="S150" s="22" t="str">
        <f ca="1">IF($N$150&lt;&gt;"", INDIRECT("'Tracker'!"&amp;ADDRESS(MATCH($N$150, Tracker[Anime Name], 0) + 2, 6)), "")</f>
        <v/>
      </c>
      <c r="T150" s="22" t="str">
        <f ca="1">IF($N$150&lt;&gt;"", INDIRECT("'Tracker'!"&amp;ADDRESS(MATCH($N$150, Tracker[Anime Name], 0) + 2, 7)), "")</f>
        <v/>
      </c>
      <c r="U150" s="28" t="str">
        <f ca="1">IF($N$150&lt;&gt;"", INDIRECT("'Tracker'!"&amp;ADDRESS(MATCH($N$150, Tracker[Anime Name], 0) + 2, 8)), "")</f>
        <v/>
      </c>
      <c r="V150" s="53" t="str">
        <f>IF(Completed!$C$149&lt;&gt;"",Completed!$C$149,"")</f>
        <v/>
      </c>
      <c r="W150" s="53" t="str">
        <f>IF(Completed!$D$149&lt;&gt;"",Completed!$D$149,"")</f>
        <v/>
      </c>
      <c r="X150" s="53" t="str">
        <f>IF(Completed!$E$149&lt;&gt;"",Completed!$E$149,"")</f>
        <v/>
      </c>
      <c r="Y150" s="53" t="str">
        <f>IF(Completed!$F$149&lt;&gt;"",Completed!$F$149,"")</f>
        <v/>
      </c>
      <c r="Z150" s="65" t="str">
        <f>IF(Completed!$G$149&lt;&gt;"",Completed!$G$149,"")</f>
        <v/>
      </c>
      <c r="AA150" s="75" t="str">
        <f>IF(Completed!$H$149&lt;&gt;"",Completed!$H$149,"")</f>
        <v/>
      </c>
      <c r="AB150" s="54" t="str">
        <f>IF(Completed!$I$149&lt;&gt;"",Completed!$I$149,"")</f>
        <v/>
      </c>
      <c r="AC150" s="54" t="str">
        <f>IF(Completed!$J$149&lt;&gt;"",Completed!$J$149,"")</f>
        <v/>
      </c>
      <c r="AD150" s="66" t="str">
        <f>IF(Completed!$K$149&lt;&gt;"",Completed!$K$149,"")</f>
        <v/>
      </c>
      <c r="AE150" s="66" t="str">
        <f>IF(Completed!$L$149&lt;&gt;"",Completed!$L$149,"")</f>
        <v/>
      </c>
    </row>
    <row r="151" spans="10:31">
      <c r="J151" s="21" t="str">
        <f>IF(Backlog!$A$150&lt;&gt;"",Backlog!$A$150,"")</f>
        <v/>
      </c>
      <c r="K151" s="28" t="str">
        <f>IF(Backlog!$B$150&lt;&gt;"",Backlog!$B$150,"")</f>
        <v/>
      </c>
      <c r="L151" s="29" t="str">
        <f>IF(Backlog!$C$150&lt;&gt;"",Backlog!$C$150,"")</f>
        <v/>
      </c>
      <c r="N151" s="21" t="str">
        <f>IF(Completed!$A$150&lt;&gt;"",Completed!$A$150,"")</f>
        <v/>
      </c>
      <c r="O151" s="28" t="str">
        <f>IF(Completed!$B$150&lt;&gt;"",Completed!$B$150,"")</f>
        <v/>
      </c>
      <c r="P151" s="28" t="str">
        <f ca="1">IF($N$151&lt;&gt;"", INDIRECT("'Tracker'!"&amp;ADDRESS(MATCH($N$151, Tracker[Anime Name], 0) + 2, 3)), "")</f>
        <v/>
      </c>
      <c r="Q151" s="22" t="str">
        <f ca="1">IF($N$151&lt;&gt;"", INDIRECT("'Tracker'!"&amp;ADDRESS(MATCH($N$151, Tracker[Anime Name], 0) + 2, 4)), "")</f>
        <v/>
      </c>
      <c r="R151" s="22" t="str">
        <f ca="1">IF($N$151&lt;&gt;"", INDIRECT("'Tracker'!"&amp;ADDRESS(MATCH($N$151, Tracker[Anime Name], 0) + 2, 5)), "")</f>
        <v/>
      </c>
      <c r="S151" s="22" t="str">
        <f ca="1">IF($N$151&lt;&gt;"", INDIRECT("'Tracker'!"&amp;ADDRESS(MATCH($N$151, Tracker[Anime Name], 0) + 2, 6)), "")</f>
        <v/>
      </c>
      <c r="T151" s="22" t="str">
        <f ca="1">IF($N$151&lt;&gt;"", INDIRECT("'Tracker'!"&amp;ADDRESS(MATCH($N$151, Tracker[Anime Name], 0) + 2, 7)), "")</f>
        <v/>
      </c>
      <c r="U151" s="28" t="str">
        <f ca="1">IF($N$151&lt;&gt;"", INDIRECT("'Tracker'!"&amp;ADDRESS(MATCH($N$151, Tracker[Anime Name], 0) + 2, 8)), "")</f>
        <v/>
      </c>
      <c r="V151" s="53" t="str">
        <f>IF(Completed!$C$150&lt;&gt;"",Completed!$C$150,"")</f>
        <v/>
      </c>
      <c r="W151" s="53" t="str">
        <f>IF(Completed!$D$150&lt;&gt;"",Completed!$D$150,"")</f>
        <v/>
      </c>
      <c r="X151" s="53" t="str">
        <f>IF(Completed!$E$150&lt;&gt;"",Completed!$E$150,"")</f>
        <v/>
      </c>
      <c r="Y151" s="53" t="str">
        <f>IF(Completed!$F$150&lt;&gt;"",Completed!$F$150,"")</f>
        <v/>
      </c>
      <c r="Z151" s="65" t="str">
        <f>IF(Completed!$G$150&lt;&gt;"",Completed!$G$150,"")</f>
        <v/>
      </c>
      <c r="AA151" s="75" t="str">
        <f>IF(Completed!$H$150&lt;&gt;"",Completed!$H$150,"")</f>
        <v/>
      </c>
      <c r="AB151" s="54" t="str">
        <f>IF(Completed!$I$150&lt;&gt;"",Completed!$I$150,"")</f>
        <v/>
      </c>
      <c r="AC151" s="54" t="str">
        <f>IF(Completed!$J$150&lt;&gt;"",Completed!$J$150,"")</f>
        <v/>
      </c>
      <c r="AD151" s="66" t="str">
        <f>IF(Completed!$K$150&lt;&gt;"",Completed!$K$150,"")</f>
        <v/>
      </c>
      <c r="AE151" s="66" t="str">
        <f>IF(Completed!$L$150&lt;&gt;"",Completed!$L$150,"")</f>
        <v/>
      </c>
    </row>
    <row r="152" spans="10:31">
      <c r="J152" s="21" t="str">
        <f>IF(Backlog!$A$151&lt;&gt;"",Backlog!$A$151,"")</f>
        <v/>
      </c>
      <c r="K152" s="28" t="str">
        <f>IF(Backlog!$B$151&lt;&gt;"",Backlog!$B$151,"")</f>
        <v/>
      </c>
      <c r="L152" s="29" t="str">
        <f>IF(Backlog!$C$151&lt;&gt;"",Backlog!$C$151,"")</f>
        <v/>
      </c>
      <c r="N152" s="21" t="str">
        <f>IF(Completed!$A$151&lt;&gt;"",Completed!$A$151,"")</f>
        <v/>
      </c>
      <c r="O152" s="28" t="str">
        <f>IF(Completed!$B$151&lt;&gt;"",Completed!$B$151,"")</f>
        <v/>
      </c>
      <c r="P152" s="28" t="str">
        <f ca="1">IF($N$152&lt;&gt;"", INDIRECT("'Tracker'!"&amp;ADDRESS(MATCH($N$152, Tracker[Anime Name], 0) + 2, 3)), "")</f>
        <v/>
      </c>
      <c r="Q152" s="22" t="str">
        <f ca="1">IF($N$152&lt;&gt;"", INDIRECT("'Tracker'!"&amp;ADDRESS(MATCH($N$152, Tracker[Anime Name], 0) + 2, 4)), "")</f>
        <v/>
      </c>
      <c r="R152" s="22" t="str">
        <f ca="1">IF($N$152&lt;&gt;"", INDIRECT("'Tracker'!"&amp;ADDRESS(MATCH($N$152, Tracker[Anime Name], 0) + 2, 5)), "")</f>
        <v/>
      </c>
      <c r="S152" s="22" t="str">
        <f ca="1">IF($N$152&lt;&gt;"", INDIRECT("'Tracker'!"&amp;ADDRESS(MATCH($N$152, Tracker[Anime Name], 0) + 2, 6)), "")</f>
        <v/>
      </c>
      <c r="T152" s="22" t="str">
        <f ca="1">IF($N$152&lt;&gt;"", INDIRECT("'Tracker'!"&amp;ADDRESS(MATCH($N$152, Tracker[Anime Name], 0) + 2, 7)), "")</f>
        <v/>
      </c>
      <c r="U152" s="28" t="str">
        <f ca="1">IF($N$152&lt;&gt;"", INDIRECT("'Tracker'!"&amp;ADDRESS(MATCH($N$152, Tracker[Anime Name], 0) + 2, 8)), "")</f>
        <v/>
      </c>
      <c r="V152" s="53" t="str">
        <f>IF(Completed!$C$151&lt;&gt;"",Completed!$C$151,"")</f>
        <v/>
      </c>
      <c r="W152" s="53" t="str">
        <f>IF(Completed!$D$151&lt;&gt;"",Completed!$D$151,"")</f>
        <v/>
      </c>
      <c r="X152" s="53" t="str">
        <f>IF(Completed!$E$151&lt;&gt;"",Completed!$E$151,"")</f>
        <v/>
      </c>
      <c r="Y152" s="53" t="str">
        <f>IF(Completed!$F$151&lt;&gt;"",Completed!$F$151,"")</f>
        <v/>
      </c>
      <c r="Z152" s="65" t="str">
        <f>IF(Completed!$G$151&lt;&gt;"",Completed!$G$151,"")</f>
        <v/>
      </c>
      <c r="AA152" s="75" t="str">
        <f>IF(Completed!$H$151&lt;&gt;"",Completed!$H$151,"")</f>
        <v/>
      </c>
      <c r="AB152" s="54" t="str">
        <f>IF(Completed!$I$151&lt;&gt;"",Completed!$I$151,"")</f>
        <v/>
      </c>
      <c r="AC152" s="54" t="str">
        <f>IF(Completed!$J$151&lt;&gt;"",Completed!$J$151,"")</f>
        <v/>
      </c>
      <c r="AD152" s="66" t="str">
        <f>IF(Completed!$K$151&lt;&gt;"",Completed!$K$151,"")</f>
        <v/>
      </c>
      <c r="AE152" s="66" t="str">
        <f>IF(Completed!$L$151&lt;&gt;"",Completed!$L$151,"")</f>
        <v/>
      </c>
    </row>
    <row r="153" spans="10:31">
      <c r="J153" s="21" t="str">
        <f>IF(Backlog!$A$152&lt;&gt;"",Backlog!$A$152,"")</f>
        <v/>
      </c>
      <c r="K153" s="28" t="str">
        <f>IF(Backlog!$B$152&lt;&gt;"",Backlog!$B$152,"")</f>
        <v/>
      </c>
      <c r="L153" s="29" t="str">
        <f>IF(Backlog!$C$152&lt;&gt;"",Backlog!$C$152,"")</f>
        <v/>
      </c>
      <c r="N153" s="21" t="str">
        <f>IF(Completed!$A$152&lt;&gt;"",Completed!$A$152,"")</f>
        <v/>
      </c>
      <c r="O153" s="28" t="str">
        <f>IF(Completed!$B$152&lt;&gt;"",Completed!$B$152,"")</f>
        <v/>
      </c>
      <c r="P153" s="28" t="str">
        <f ca="1">IF($N$153&lt;&gt;"", INDIRECT("'Tracker'!"&amp;ADDRESS(MATCH($N$153, Tracker[Anime Name], 0) + 2, 3)), "")</f>
        <v/>
      </c>
      <c r="Q153" s="22" t="str">
        <f ca="1">IF($N$153&lt;&gt;"", INDIRECT("'Tracker'!"&amp;ADDRESS(MATCH($N$153, Tracker[Anime Name], 0) + 2, 4)), "")</f>
        <v/>
      </c>
      <c r="R153" s="22" t="str">
        <f ca="1">IF($N$153&lt;&gt;"", INDIRECT("'Tracker'!"&amp;ADDRESS(MATCH($N$153, Tracker[Anime Name], 0) + 2, 5)), "")</f>
        <v/>
      </c>
      <c r="S153" s="22" t="str">
        <f ca="1">IF($N$153&lt;&gt;"", INDIRECT("'Tracker'!"&amp;ADDRESS(MATCH($N$153, Tracker[Anime Name], 0) + 2, 6)), "")</f>
        <v/>
      </c>
      <c r="T153" s="22" t="str">
        <f ca="1">IF($N$153&lt;&gt;"", INDIRECT("'Tracker'!"&amp;ADDRESS(MATCH($N$153, Tracker[Anime Name], 0) + 2, 7)), "")</f>
        <v/>
      </c>
      <c r="U153" s="28" t="str">
        <f ca="1">IF($N$153&lt;&gt;"", INDIRECT("'Tracker'!"&amp;ADDRESS(MATCH($N$153, Tracker[Anime Name], 0) + 2, 8)), "")</f>
        <v/>
      </c>
      <c r="V153" s="53" t="str">
        <f>IF(Completed!$C$152&lt;&gt;"",Completed!$C$152,"")</f>
        <v/>
      </c>
      <c r="W153" s="53" t="str">
        <f>IF(Completed!$D$152&lt;&gt;"",Completed!$D$152,"")</f>
        <v/>
      </c>
      <c r="X153" s="53" t="str">
        <f>IF(Completed!$E$152&lt;&gt;"",Completed!$E$152,"")</f>
        <v/>
      </c>
      <c r="Y153" s="53" t="str">
        <f>IF(Completed!$F$152&lt;&gt;"",Completed!$F$152,"")</f>
        <v/>
      </c>
      <c r="Z153" s="65" t="str">
        <f>IF(Completed!$G$152&lt;&gt;"",Completed!$G$152,"")</f>
        <v/>
      </c>
      <c r="AA153" s="75" t="str">
        <f>IF(Completed!$H$152&lt;&gt;"",Completed!$H$152,"")</f>
        <v/>
      </c>
      <c r="AB153" s="54" t="str">
        <f>IF(Completed!$I$152&lt;&gt;"",Completed!$I$152,"")</f>
        <v/>
      </c>
      <c r="AC153" s="54" t="str">
        <f>IF(Completed!$J$152&lt;&gt;"",Completed!$J$152,"")</f>
        <v/>
      </c>
      <c r="AD153" s="66" t="str">
        <f>IF(Completed!$K$152&lt;&gt;"",Completed!$K$152,"")</f>
        <v/>
      </c>
      <c r="AE153" s="66" t="str">
        <f>IF(Completed!$L$152&lt;&gt;"",Completed!$L$152,"")</f>
        <v/>
      </c>
    </row>
    <row r="154" spans="10:31">
      <c r="J154" s="21" t="str">
        <f>IF(Backlog!$A$153&lt;&gt;"",Backlog!$A$153,"")</f>
        <v/>
      </c>
      <c r="K154" s="28" t="str">
        <f>IF(Backlog!$B$153&lt;&gt;"",Backlog!$B$153,"")</f>
        <v/>
      </c>
      <c r="L154" s="29" t="str">
        <f>IF(Backlog!$C$153&lt;&gt;"",Backlog!$C$153,"")</f>
        <v/>
      </c>
      <c r="N154" s="21" t="str">
        <f>IF(Completed!$A$153&lt;&gt;"",Completed!$A$153,"")</f>
        <v/>
      </c>
      <c r="O154" s="28" t="str">
        <f>IF(Completed!$B$153&lt;&gt;"",Completed!$B$153,"")</f>
        <v/>
      </c>
      <c r="P154" s="28" t="str">
        <f ca="1">IF($N$154&lt;&gt;"", INDIRECT("'Tracker'!"&amp;ADDRESS(MATCH($N$154, Tracker[Anime Name], 0) + 2, 3)), "")</f>
        <v/>
      </c>
      <c r="Q154" s="22" t="str">
        <f ca="1">IF($N$154&lt;&gt;"", INDIRECT("'Tracker'!"&amp;ADDRESS(MATCH($N$154, Tracker[Anime Name], 0) + 2, 4)), "")</f>
        <v/>
      </c>
      <c r="R154" s="22" t="str">
        <f ca="1">IF($N$154&lt;&gt;"", INDIRECT("'Tracker'!"&amp;ADDRESS(MATCH($N$154, Tracker[Anime Name], 0) + 2, 5)), "")</f>
        <v/>
      </c>
      <c r="S154" s="22" t="str">
        <f ca="1">IF($N$154&lt;&gt;"", INDIRECT("'Tracker'!"&amp;ADDRESS(MATCH($N$154, Tracker[Anime Name], 0) + 2, 6)), "")</f>
        <v/>
      </c>
      <c r="T154" s="22" t="str">
        <f ca="1">IF($N$154&lt;&gt;"", INDIRECT("'Tracker'!"&amp;ADDRESS(MATCH($N$154, Tracker[Anime Name], 0) + 2, 7)), "")</f>
        <v/>
      </c>
      <c r="U154" s="28" t="str">
        <f ca="1">IF($N$154&lt;&gt;"", INDIRECT("'Tracker'!"&amp;ADDRESS(MATCH($N$154, Tracker[Anime Name], 0) + 2, 8)), "")</f>
        <v/>
      </c>
      <c r="V154" s="53" t="str">
        <f>IF(Completed!$C$153&lt;&gt;"",Completed!$C$153,"")</f>
        <v/>
      </c>
      <c r="W154" s="53" t="str">
        <f>IF(Completed!$D$153&lt;&gt;"",Completed!$D$153,"")</f>
        <v/>
      </c>
      <c r="X154" s="53" t="str">
        <f>IF(Completed!$E$153&lt;&gt;"",Completed!$E$153,"")</f>
        <v/>
      </c>
      <c r="Y154" s="53" t="str">
        <f>IF(Completed!$F$153&lt;&gt;"",Completed!$F$153,"")</f>
        <v/>
      </c>
      <c r="Z154" s="65" t="str">
        <f>IF(Completed!$G$153&lt;&gt;"",Completed!$G$153,"")</f>
        <v/>
      </c>
      <c r="AA154" s="75" t="str">
        <f>IF(Completed!$H$153&lt;&gt;"",Completed!$H$153,"")</f>
        <v/>
      </c>
      <c r="AB154" s="54" t="str">
        <f>IF(Completed!$I$153&lt;&gt;"",Completed!$I$153,"")</f>
        <v/>
      </c>
      <c r="AC154" s="54" t="str">
        <f>IF(Completed!$J$153&lt;&gt;"",Completed!$J$153,"")</f>
        <v/>
      </c>
      <c r="AD154" s="66" t="str">
        <f>IF(Completed!$K$153&lt;&gt;"",Completed!$K$153,"")</f>
        <v/>
      </c>
      <c r="AE154" s="66" t="str">
        <f>IF(Completed!$L$153&lt;&gt;"",Completed!$L$153,"")</f>
        <v/>
      </c>
    </row>
    <row r="155" spans="10:31">
      <c r="J155" s="21" t="str">
        <f>IF(Backlog!$A$154&lt;&gt;"",Backlog!$A$154,"")</f>
        <v/>
      </c>
      <c r="K155" s="28" t="str">
        <f>IF(Backlog!$B$154&lt;&gt;"",Backlog!$B$154,"")</f>
        <v/>
      </c>
      <c r="L155" s="29" t="str">
        <f>IF(Backlog!$C$154&lt;&gt;"",Backlog!$C$154,"")</f>
        <v/>
      </c>
      <c r="N155" s="21" t="str">
        <f>IF(Completed!$A$154&lt;&gt;"",Completed!$A$154,"")</f>
        <v/>
      </c>
      <c r="O155" s="28" t="str">
        <f>IF(Completed!$B$154&lt;&gt;"",Completed!$B$154,"")</f>
        <v/>
      </c>
      <c r="P155" s="28" t="str">
        <f ca="1">IF($N$155&lt;&gt;"", INDIRECT("'Tracker'!"&amp;ADDRESS(MATCH($N$155, Tracker[Anime Name], 0) + 2, 3)), "")</f>
        <v/>
      </c>
      <c r="Q155" s="22" t="str">
        <f ca="1">IF($N$155&lt;&gt;"", INDIRECT("'Tracker'!"&amp;ADDRESS(MATCH($N$155, Tracker[Anime Name], 0) + 2, 4)), "")</f>
        <v/>
      </c>
      <c r="R155" s="22" t="str">
        <f ca="1">IF($N$155&lt;&gt;"", INDIRECT("'Tracker'!"&amp;ADDRESS(MATCH($N$155, Tracker[Anime Name], 0) + 2, 5)), "")</f>
        <v/>
      </c>
      <c r="S155" s="22" t="str">
        <f ca="1">IF($N$155&lt;&gt;"", INDIRECT("'Tracker'!"&amp;ADDRESS(MATCH($N$155, Tracker[Anime Name], 0) + 2, 6)), "")</f>
        <v/>
      </c>
      <c r="T155" s="22" t="str">
        <f ca="1">IF($N$155&lt;&gt;"", INDIRECT("'Tracker'!"&amp;ADDRESS(MATCH($N$155, Tracker[Anime Name], 0) + 2, 7)), "")</f>
        <v/>
      </c>
      <c r="U155" s="28" t="str">
        <f ca="1">IF($N$155&lt;&gt;"", INDIRECT("'Tracker'!"&amp;ADDRESS(MATCH($N$155, Tracker[Anime Name], 0) + 2, 8)), "")</f>
        <v/>
      </c>
      <c r="V155" s="53" t="str">
        <f>IF(Completed!$C$154&lt;&gt;"",Completed!$C$154,"")</f>
        <v/>
      </c>
      <c r="W155" s="53" t="str">
        <f>IF(Completed!$D$154&lt;&gt;"",Completed!$D$154,"")</f>
        <v/>
      </c>
      <c r="X155" s="53" t="str">
        <f>IF(Completed!$E$154&lt;&gt;"",Completed!$E$154,"")</f>
        <v/>
      </c>
      <c r="Y155" s="53" t="str">
        <f>IF(Completed!$F$154&lt;&gt;"",Completed!$F$154,"")</f>
        <v/>
      </c>
      <c r="Z155" s="65" t="str">
        <f>IF(Completed!$G$154&lt;&gt;"",Completed!$G$154,"")</f>
        <v/>
      </c>
      <c r="AA155" s="75" t="str">
        <f>IF(Completed!$H$154&lt;&gt;"",Completed!$H$154,"")</f>
        <v/>
      </c>
      <c r="AB155" s="54" t="str">
        <f>IF(Completed!$I$154&lt;&gt;"",Completed!$I$154,"")</f>
        <v/>
      </c>
      <c r="AC155" s="54" t="str">
        <f>IF(Completed!$J$154&lt;&gt;"",Completed!$J$154,"")</f>
        <v/>
      </c>
      <c r="AD155" s="66" t="str">
        <f>IF(Completed!$K$154&lt;&gt;"",Completed!$K$154,"")</f>
        <v/>
      </c>
      <c r="AE155" s="66" t="str">
        <f>IF(Completed!$L$154&lt;&gt;"",Completed!$L$154,"")</f>
        <v/>
      </c>
    </row>
    <row r="156" spans="10:31">
      <c r="J156" s="21" t="str">
        <f>IF(Backlog!$A$155&lt;&gt;"",Backlog!$A$155,"")</f>
        <v/>
      </c>
      <c r="K156" s="28" t="str">
        <f>IF(Backlog!$B$155&lt;&gt;"",Backlog!$B$155,"")</f>
        <v/>
      </c>
      <c r="L156" s="29" t="str">
        <f>IF(Backlog!$C$155&lt;&gt;"",Backlog!$C$155,"")</f>
        <v/>
      </c>
      <c r="N156" s="21" t="str">
        <f>IF(Completed!$A$155&lt;&gt;"",Completed!$A$155,"")</f>
        <v/>
      </c>
      <c r="O156" s="28" t="str">
        <f>IF(Completed!$B$155&lt;&gt;"",Completed!$B$155,"")</f>
        <v/>
      </c>
      <c r="P156" s="28" t="str">
        <f ca="1">IF($N$156&lt;&gt;"", INDIRECT("'Tracker'!"&amp;ADDRESS(MATCH($N$156, Tracker[Anime Name], 0) + 2, 3)), "")</f>
        <v/>
      </c>
      <c r="Q156" s="22" t="str">
        <f ca="1">IF($N$156&lt;&gt;"", INDIRECT("'Tracker'!"&amp;ADDRESS(MATCH($N$156, Tracker[Anime Name], 0) + 2, 4)), "")</f>
        <v/>
      </c>
      <c r="R156" s="22" t="str">
        <f ca="1">IF($N$156&lt;&gt;"", INDIRECT("'Tracker'!"&amp;ADDRESS(MATCH($N$156, Tracker[Anime Name], 0) + 2, 5)), "")</f>
        <v/>
      </c>
      <c r="S156" s="22" t="str">
        <f ca="1">IF($N$156&lt;&gt;"", INDIRECT("'Tracker'!"&amp;ADDRESS(MATCH($N$156, Tracker[Anime Name], 0) + 2, 6)), "")</f>
        <v/>
      </c>
      <c r="T156" s="22" t="str">
        <f ca="1">IF($N$156&lt;&gt;"", INDIRECT("'Tracker'!"&amp;ADDRESS(MATCH($N$156, Tracker[Anime Name], 0) + 2, 7)), "")</f>
        <v/>
      </c>
      <c r="U156" s="28" t="str">
        <f ca="1">IF($N$156&lt;&gt;"", INDIRECT("'Tracker'!"&amp;ADDRESS(MATCH($N$156, Tracker[Anime Name], 0) + 2, 8)), "")</f>
        <v/>
      </c>
      <c r="V156" s="53" t="str">
        <f>IF(Completed!$C$155&lt;&gt;"",Completed!$C$155,"")</f>
        <v/>
      </c>
      <c r="W156" s="53" t="str">
        <f>IF(Completed!$D$155&lt;&gt;"",Completed!$D$155,"")</f>
        <v/>
      </c>
      <c r="X156" s="53" t="str">
        <f>IF(Completed!$E$155&lt;&gt;"",Completed!$E$155,"")</f>
        <v/>
      </c>
      <c r="Y156" s="53" t="str">
        <f>IF(Completed!$F$155&lt;&gt;"",Completed!$F$155,"")</f>
        <v/>
      </c>
      <c r="Z156" s="65" t="str">
        <f>IF(Completed!$G$155&lt;&gt;"",Completed!$G$155,"")</f>
        <v/>
      </c>
      <c r="AA156" s="75" t="str">
        <f>IF(Completed!$H$155&lt;&gt;"",Completed!$H$155,"")</f>
        <v/>
      </c>
      <c r="AB156" s="54" t="str">
        <f>IF(Completed!$I$155&lt;&gt;"",Completed!$I$155,"")</f>
        <v/>
      </c>
      <c r="AC156" s="54" t="str">
        <f>IF(Completed!$J$155&lt;&gt;"",Completed!$J$155,"")</f>
        <v/>
      </c>
      <c r="AD156" s="66" t="str">
        <f>IF(Completed!$K$155&lt;&gt;"",Completed!$K$155,"")</f>
        <v/>
      </c>
      <c r="AE156" s="66" t="str">
        <f>IF(Completed!$L$155&lt;&gt;"",Completed!$L$155,"")</f>
        <v/>
      </c>
    </row>
    <row r="157" spans="10:31">
      <c r="J157" s="21" t="str">
        <f>IF(Backlog!$A$156&lt;&gt;"",Backlog!$A$156,"")</f>
        <v/>
      </c>
      <c r="K157" s="28" t="str">
        <f>IF(Backlog!$B$156&lt;&gt;"",Backlog!$B$156,"")</f>
        <v/>
      </c>
      <c r="L157" s="29" t="str">
        <f>IF(Backlog!$C$156&lt;&gt;"",Backlog!$C$156,"")</f>
        <v/>
      </c>
      <c r="N157" s="21" t="str">
        <f>IF(Completed!$A$156&lt;&gt;"",Completed!$A$156,"")</f>
        <v/>
      </c>
      <c r="O157" s="28" t="str">
        <f>IF(Completed!$B$156&lt;&gt;"",Completed!$B$156,"")</f>
        <v/>
      </c>
      <c r="P157" s="28" t="str">
        <f ca="1">IF($N$157&lt;&gt;"", INDIRECT("'Tracker'!"&amp;ADDRESS(MATCH($N$157, Tracker[Anime Name], 0) + 2, 3)), "")</f>
        <v/>
      </c>
      <c r="Q157" s="22" t="str">
        <f ca="1">IF($N$157&lt;&gt;"", INDIRECT("'Tracker'!"&amp;ADDRESS(MATCH($N$157, Tracker[Anime Name], 0) + 2, 4)), "")</f>
        <v/>
      </c>
      <c r="R157" s="22" t="str">
        <f ca="1">IF($N$157&lt;&gt;"", INDIRECT("'Tracker'!"&amp;ADDRESS(MATCH($N$157, Tracker[Anime Name], 0) + 2, 5)), "")</f>
        <v/>
      </c>
      <c r="S157" s="22" t="str">
        <f ca="1">IF($N$157&lt;&gt;"", INDIRECT("'Tracker'!"&amp;ADDRESS(MATCH($N$157, Tracker[Anime Name], 0) + 2, 6)), "")</f>
        <v/>
      </c>
      <c r="T157" s="22" t="str">
        <f ca="1">IF($N$157&lt;&gt;"", INDIRECT("'Tracker'!"&amp;ADDRESS(MATCH($N$157, Tracker[Anime Name], 0) + 2, 7)), "")</f>
        <v/>
      </c>
      <c r="U157" s="28" t="str">
        <f ca="1">IF($N$157&lt;&gt;"", INDIRECT("'Tracker'!"&amp;ADDRESS(MATCH($N$157, Tracker[Anime Name], 0) + 2, 8)), "")</f>
        <v/>
      </c>
      <c r="V157" s="53" t="str">
        <f>IF(Completed!$C$156&lt;&gt;"",Completed!$C$156,"")</f>
        <v/>
      </c>
      <c r="W157" s="53" t="str">
        <f>IF(Completed!$D$156&lt;&gt;"",Completed!$D$156,"")</f>
        <v/>
      </c>
      <c r="X157" s="53" t="str">
        <f>IF(Completed!$E$156&lt;&gt;"",Completed!$E$156,"")</f>
        <v/>
      </c>
      <c r="Y157" s="53" t="str">
        <f>IF(Completed!$F$156&lt;&gt;"",Completed!$F$156,"")</f>
        <v/>
      </c>
      <c r="Z157" s="65" t="str">
        <f>IF(Completed!$G$156&lt;&gt;"",Completed!$G$156,"")</f>
        <v/>
      </c>
      <c r="AA157" s="75" t="str">
        <f>IF(Completed!$H$156&lt;&gt;"",Completed!$H$156,"")</f>
        <v/>
      </c>
      <c r="AB157" s="54" t="str">
        <f>IF(Completed!$I$156&lt;&gt;"",Completed!$I$156,"")</f>
        <v/>
      </c>
      <c r="AC157" s="54" t="str">
        <f>IF(Completed!$J$156&lt;&gt;"",Completed!$J$156,"")</f>
        <v/>
      </c>
      <c r="AD157" s="66" t="str">
        <f>IF(Completed!$K$156&lt;&gt;"",Completed!$K$156,"")</f>
        <v/>
      </c>
      <c r="AE157" s="66" t="str">
        <f>IF(Completed!$L$156&lt;&gt;"",Completed!$L$156,"")</f>
        <v/>
      </c>
    </row>
    <row r="158" spans="10:31">
      <c r="J158" s="21" t="str">
        <f>IF(Backlog!$A$157&lt;&gt;"",Backlog!$A$157,"")</f>
        <v/>
      </c>
      <c r="K158" s="28" t="str">
        <f>IF(Backlog!$B$157&lt;&gt;"",Backlog!$B$157,"")</f>
        <v/>
      </c>
      <c r="L158" s="29" t="str">
        <f>IF(Backlog!$C$157&lt;&gt;"",Backlog!$C$157,"")</f>
        <v/>
      </c>
      <c r="N158" s="21" t="str">
        <f>IF(Completed!$A$157&lt;&gt;"",Completed!$A$157,"")</f>
        <v/>
      </c>
      <c r="O158" s="28" t="str">
        <f>IF(Completed!$B$157&lt;&gt;"",Completed!$B$157,"")</f>
        <v/>
      </c>
      <c r="P158" s="28" t="str">
        <f ca="1">IF($N$158&lt;&gt;"", INDIRECT("'Tracker'!"&amp;ADDRESS(MATCH($N$158, Tracker[Anime Name], 0) + 2, 3)), "")</f>
        <v/>
      </c>
      <c r="Q158" s="22" t="str">
        <f ca="1">IF($N$158&lt;&gt;"", INDIRECT("'Tracker'!"&amp;ADDRESS(MATCH($N$158, Tracker[Anime Name], 0) + 2, 4)), "")</f>
        <v/>
      </c>
      <c r="R158" s="22" t="str">
        <f ca="1">IF($N$158&lt;&gt;"", INDIRECT("'Tracker'!"&amp;ADDRESS(MATCH($N$158, Tracker[Anime Name], 0) + 2, 5)), "")</f>
        <v/>
      </c>
      <c r="S158" s="22" t="str">
        <f ca="1">IF($N$158&lt;&gt;"", INDIRECT("'Tracker'!"&amp;ADDRESS(MATCH($N$158, Tracker[Anime Name], 0) + 2, 6)), "")</f>
        <v/>
      </c>
      <c r="T158" s="22" t="str">
        <f ca="1">IF($N$158&lt;&gt;"", INDIRECT("'Tracker'!"&amp;ADDRESS(MATCH($N$158, Tracker[Anime Name], 0) + 2, 7)), "")</f>
        <v/>
      </c>
      <c r="U158" s="28" t="str">
        <f ca="1">IF($N$158&lt;&gt;"", INDIRECT("'Tracker'!"&amp;ADDRESS(MATCH($N$158, Tracker[Anime Name], 0) + 2, 8)), "")</f>
        <v/>
      </c>
      <c r="V158" s="53" t="str">
        <f>IF(Completed!$C$157&lt;&gt;"",Completed!$C$157,"")</f>
        <v/>
      </c>
      <c r="W158" s="53" t="str">
        <f>IF(Completed!$D$157&lt;&gt;"",Completed!$D$157,"")</f>
        <v/>
      </c>
      <c r="X158" s="53" t="str">
        <f>IF(Completed!$E$157&lt;&gt;"",Completed!$E$157,"")</f>
        <v/>
      </c>
      <c r="Y158" s="53" t="str">
        <f>IF(Completed!$F$157&lt;&gt;"",Completed!$F$157,"")</f>
        <v/>
      </c>
      <c r="Z158" s="65" t="str">
        <f>IF(Completed!$G$157&lt;&gt;"",Completed!$G$157,"")</f>
        <v/>
      </c>
      <c r="AA158" s="75" t="str">
        <f>IF(Completed!$H$157&lt;&gt;"",Completed!$H$157,"")</f>
        <v/>
      </c>
      <c r="AB158" s="54" t="str">
        <f>IF(Completed!$I$157&lt;&gt;"",Completed!$I$157,"")</f>
        <v/>
      </c>
      <c r="AC158" s="54" t="str">
        <f>IF(Completed!$J$157&lt;&gt;"",Completed!$J$157,"")</f>
        <v/>
      </c>
      <c r="AD158" s="66" t="str">
        <f>IF(Completed!$K$157&lt;&gt;"",Completed!$K$157,"")</f>
        <v/>
      </c>
      <c r="AE158" s="66" t="str">
        <f>IF(Completed!$L$157&lt;&gt;"",Completed!$L$157,"")</f>
        <v/>
      </c>
    </row>
    <row r="159" spans="10:31">
      <c r="J159" s="21" t="str">
        <f>IF(Backlog!$A$158&lt;&gt;"",Backlog!$A$158,"")</f>
        <v/>
      </c>
      <c r="K159" s="28" t="str">
        <f>IF(Backlog!$B$158&lt;&gt;"",Backlog!$B$158,"")</f>
        <v/>
      </c>
      <c r="L159" s="29" t="str">
        <f>IF(Backlog!$C$158&lt;&gt;"",Backlog!$C$158,"")</f>
        <v/>
      </c>
      <c r="N159" s="21" t="str">
        <f>IF(Completed!$A$158&lt;&gt;"",Completed!$A$158,"")</f>
        <v/>
      </c>
      <c r="O159" s="28" t="str">
        <f>IF(Completed!$B$158&lt;&gt;"",Completed!$B$158,"")</f>
        <v/>
      </c>
      <c r="P159" s="28" t="str">
        <f ca="1">IF($N$159&lt;&gt;"", INDIRECT("'Tracker'!"&amp;ADDRESS(MATCH($N$159, Tracker[Anime Name], 0) + 2, 3)), "")</f>
        <v/>
      </c>
      <c r="Q159" s="22" t="str">
        <f ca="1">IF($N$159&lt;&gt;"", INDIRECT("'Tracker'!"&amp;ADDRESS(MATCH($N$159, Tracker[Anime Name], 0) + 2, 4)), "")</f>
        <v/>
      </c>
      <c r="R159" s="22" t="str">
        <f ca="1">IF($N$159&lt;&gt;"", INDIRECT("'Tracker'!"&amp;ADDRESS(MATCH($N$159, Tracker[Anime Name], 0) + 2, 5)), "")</f>
        <v/>
      </c>
      <c r="S159" s="22" t="str">
        <f ca="1">IF($N$159&lt;&gt;"", INDIRECT("'Tracker'!"&amp;ADDRESS(MATCH($N$159, Tracker[Anime Name], 0) + 2, 6)), "")</f>
        <v/>
      </c>
      <c r="T159" s="22" t="str">
        <f ca="1">IF($N$159&lt;&gt;"", INDIRECT("'Tracker'!"&amp;ADDRESS(MATCH($N$159, Tracker[Anime Name], 0) + 2, 7)), "")</f>
        <v/>
      </c>
      <c r="U159" s="28" t="str">
        <f ca="1">IF($N$159&lt;&gt;"", INDIRECT("'Tracker'!"&amp;ADDRESS(MATCH($N$159, Tracker[Anime Name], 0) + 2, 8)), "")</f>
        <v/>
      </c>
      <c r="V159" s="53" t="str">
        <f>IF(Completed!$C$158&lt;&gt;"",Completed!$C$158,"")</f>
        <v/>
      </c>
      <c r="W159" s="53" t="str">
        <f>IF(Completed!$D$158&lt;&gt;"",Completed!$D$158,"")</f>
        <v/>
      </c>
      <c r="X159" s="53" t="str">
        <f>IF(Completed!$E$158&lt;&gt;"",Completed!$E$158,"")</f>
        <v/>
      </c>
      <c r="Y159" s="53" t="str">
        <f>IF(Completed!$F$158&lt;&gt;"",Completed!$F$158,"")</f>
        <v/>
      </c>
      <c r="Z159" s="65" t="str">
        <f>IF(Completed!$G$158&lt;&gt;"",Completed!$G$158,"")</f>
        <v/>
      </c>
      <c r="AA159" s="75" t="str">
        <f>IF(Completed!$H$158&lt;&gt;"",Completed!$H$158,"")</f>
        <v/>
      </c>
      <c r="AB159" s="54" t="str">
        <f>IF(Completed!$I$158&lt;&gt;"",Completed!$I$158,"")</f>
        <v/>
      </c>
      <c r="AC159" s="54" t="str">
        <f>IF(Completed!$J$158&lt;&gt;"",Completed!$J$158,"")</f>
        <v/>
      </c>
      <c r="AD159" s="66" t="str">
        <f>IF(Completed!$K$158&lt;&gt;"",Completed!$K$158,"")</f>
        <v/>
      </c>
      <c r="AE159" s="66" t="str">
        <f>IF(Completed!$L$158&lt;&gt;"",Completed!$L$158,"")</f>
        <v/>
      </c>
    </row>
    <row r="160" spans="10:31">
      <c r="J160" s="21" t="str">
        <f>IF(Backlog!$A$159&lt;&gt;"",Backlog!$A$159,"")</f>
        <v/>
      </c>
      <c r="K160" s="28" t="str">
        <f>IF(Backlog!$B$159&lt;&gt;"",Backlog!$B$159,"")</f>
        <v/>
      </c>
      <c r="L160" s="29" t="str">
        <f>IF(Backlog!$C$159&lt;&gt;"",Backlog!$C$159,"")</f>
        <v/>
      </c>
      <c r="N160" s="21" t="str">
        <f>IF(Completed!$A$159&lt;&gt;"",Completed!$A$159,"")</f>
        <v/>
      </c>
      <c r="O160" s="28" t="str">
        <f>IF(Completed!$B$159&lt;&gt;"",Completed!$B$159,"")</f>
        <v/>
      </c>
      <c r="P160" s="28" t="str">
        <f ca="1">IF($N$160&lt;&gt;"", INDIRECT("'Tracker'!"&amp;ADDRESS(MATCH($N$160, Tracker[Anime Name], 0) + 2, 3)), "")</f>
        <v/>
      </c>
      <c r="Q160" s="22" t="str">
        <f ca="1">IF($N$160&lt;&gt;"", INDIRECT("'Tracker'!"&amp;ADDRESS(MATCH($N$160, Tracker[Anime Name], 0) + 2, 4)), "")</f>
        <v/>
      </c>
      <c r="R160" s="22" t="str">
        <f ca="1">IF($N$160&lt;&gt;"", INDIRECT("'Tracker'!"&amp;ADDRESS(MATCH($N$160, Tracker[Anime Name], 0) + 2, 5)), "")</f>
        <v/>
      </c>
      <c r="S160" s="22" t="str">
        <f ca="1">IF($N$160&lt;&gt;"", INDIRECT("'Tracker'!"&amp;ADDRESS(MATCH($N$160, Tracker[Anime Name], 0) + 2, 6)), "")</f>
        <v/>
      </c>
      <c r="T160" s="22" t="str">
        <f ca="1">IF($N$160&lt;&gt;"", INDIRECT("'Tracker'!"&amp;ADDRESS(MATCH($N$160, Tracker[Anime Name], 0) + 2, 7)), "")</f>
        <v/>
      </c>
      <c r="U160" s="28" t="str">
        <f ca="1">IF($N$160&lt;&gt;"", INDIRECT("'Tracker'!"&amp;ADDRESS(MATCH($N$160, Tracker[Anime Name], 0) + 2, 8)), "")</f>
        <v/>
      </c>
      <c r="V160" s="53" t="str">
        <f>IF(Completed!$C$159&lt;&gt;"",Completed!$C$159,"")</f>
        <v/>
      </c>
      <c r="W160" s="53" t="str">
        <f>IF(Completed!$D$159&lt;&gt;"",Completed!$D$159,"")</f>
        <v/>
      </c>
      <c r="X160" s="53" t="str">
        <f>IF(Completed!$E$159&lt;&gt;"",Completed!$E$159,"")</f>
        <v/>
      </c>
      <c r="Y160" s="53" t="str">
        <f>IF(Completed!$F$159&lt;&gt;"",Completed!$F$159,"")</f>
        <v/>
      </c>
      <c r="Z160" s="65" t="str">
        <f>IF(Completed!$G$159&lt;&gt;"",Completed!$G$159,"")</f>
        <v/>
      </c>
      <c r="AA160" s="75" t="str">
        <f>IF(Completed!$H$159&lt;&gt;"",Completed!$H$159,"")</f>
        <v/>
      </c>
      <c r="AB160" s="54" t="str">
        <f>IF(Completed!$I$159&lt;&gt;"",Completed!$I$159,"")</f>
        <v/>
      </c>
      <c r="AC160" s="54" t="str">
        <f>IF(Completed!$J$159&lt;&gt;"",Completed!$J$159,"")</f>
        <v/>
      </c>
      <c r="AD160" s="66" t="str">
        <f>IF(Completed!$K$159&lt;&gt;"",Completed!$K$159,"")</f>
        <v/>
      </c>
      <c r="AE160" s="66" t="str">
        <f>IF(Completed!$L$159&lt;&gt;"",Completed!$L$159,"")</f>
        <v/>
      </c>
    </row>
    <row r="161" spans="10:31">
      <c r="J161" s="21" t="str">
        <f>IF(Backlog!$A$160&lt;&gt;"",Backlog!$A$160,"")</f>
        <v/>
      </c>
      <c r="K161" s="28" t="str">
        <f>IF(Backlog!$B$160&lt;&gt;"",Backlog!$B$160,"")</f>
        <v/>
      </c>
      <c r="L161" s="29" t="str">
        <f>IF(Backlog!$C$160&lt;&gt;"",Backlog!$C$160,"")</f>
        <v/>
      </c>
      <c r="N161" s="21" t="str">
        <f>IF(Completed!$A$160&lt;&gt;"",Completed!$A$160,"")</f>
        <v/>
      </c>
      <c r="O161" s="28" t="str">
        <f>IF(Completed!$B$160&lt;&gt;"",Completed!$B$160,"")</f>
        <v/>
      </c>
      <c r="P161" s="28" t="str">
        <f ca="1">IF($N$161&lt;&gt;"", INDIRECT("'Tracker'!"&amp;ADDRESS(MATCH($N$161, Tracker[Anime Name], 0) + 2, 3)), "")</f>
        <v/>
      </c>
      <c r="Q161" s="22" t="str">
        <f ca="1">IF($N$161&lt;&gt;"", INDIRECT("'Tracker'!"&amp;ADDRESS(MATCH($N$161, Tracker[Anime Name], 0) + 2, 4)), "")</f>
        <v/>
      </c>
      <c r="R161" s="22" t="str">
        <f ca="1">IF($N$161&lt;&gt;"", INDIRECT("'Tracker'!"&amp;ADDRESS(MATCH($N$161, Tracker[Anime Name], 0) + 2, 5)), "")</f>
        <v/>
      </c>
      <c r="S161" s="22" t="str">
        <f ca="1">IF($N$161&lt;&gt;"", INDIRECT("'Tracker'!"&amp;ADDRESS(MATCH($N$161, Tracker[Anime Name], 0) + 2, 6)), "")</f>
        <v/>
      </c>
      <c r="T161" s="22" t="str">
        <f ca="1">IF($N$161&lt;&gt;"", INDIRECT("'Tracker'!"&amp;ADDRESS(MATCH($N$161, Tracker[Anime Name], 0) + 2, 7)), "")</f>
        <v/>
      </c>
      <c r="U161" s="28" t="str">
        <f ca="1">IF($N$161&lt;&gt;"", INDIRECT("'Tracker'!"&amp;ADDRESS(MATCH($N$161, Tracker[Anime Name], 0) + 2, 8)), "")</f>
        <v/>
      </c>
      <c r="V161" s="53" t="str">
        <f>IF(Completed!$C$160&lt;&gt;"",Completed!$C$160,"")</f>
        <v/>
      </c>
      <c r="W161" s="53" t="str">
        <f>IF(Completed!$D$160&lt;&gt;"",Completed!$D$160,"")</f>
        <v/>
      </c>
      <c r="X161" s="53" t="str">
        <f>IF(Completed!$E$160&lt;&gt;"",Completed!$E$160,"")</f>
        <v/>
      </c>
      <c r="Y161" s="53" t="str">
        <f>IF(Completed!$F$160&lt;&gt;"",Completed!$F$160,"")</f>
        <v/>
      </c>
      <c r="Z161" s="65" t="str">
        <f>IF(Completed!$G$160&lt;&gt;"",Completed!$G$160,"")</f>
        <v/>
      </c>
      <c r="AA161" s="75" t="str">
        <f>IF(Completed!$H$160&lt;&gt;"",Completed!$H$160,"")</f>
        <v/>
      </c>
      <c r="AB161" s="54" t="str">
        <f>IF(Completed!$I$160&lt;&gt;"",Completed!$I$160,"")</f>
        <v/>
      </c>
      <c r="AC161" s="54" t="str">
        <f>IF(Completed!$J$160&lt;&gt;"",Completed!$J$160,"")</f>
        <v/>
      </c>
      <c r="AD161" s="66" t="str">
        <f>IF(Completed!$K$160&lt;&gt;"",Completed!$K$160,"")</f>
        <v/>
      </c>
      <c r="AE161" s="66" t="str">
        <f>IF(Completed!$L$160&lt;&gt;"",Completed!$L$160,"")</f>
        <v/>
      </c>
    </row>
    <row r="162" spans="10:31">
      <c r="J162" s="21" t="str">
        <f>IF(Backlog!$A$161&lt;&gt;"",Backlog!$A$161,"")</f>
        <v/>
      </c>
      <c r="K162" s="28" t="str">
        <f>IF(Backlog!$B$161&lt;&gt;"",Backlog!$B$161,"")</f>
        <v/>
      </c>
      <c r="L162" s="29" t="str">
        <f>IF(Backlog!$C$161&lt;&gt;"",Backlog!$C$161,"")</f>
        <v/>
      </c>
      <c r="N162" s="21" t="str">
        <f>IF(Completed!$A$161&lt;&gt;"",Completed!$A$161,"")</f>
        <v/>
      </c>
      <c r="O162" s="28" t="str">
        <f>IF(Completed!$B$161&lt;&gt;"",Completed!$B$161,"")</f>
        <v/>
      </c>
      <c r="P162" s="28" t="str">
        <f ca="1">IF($N$162&lt;&gt;"", INDIRECT("'Tracker'!"&amp;ADDRESS(MATCH($N$162, Tracker[Anime Name], 0) + 2, 3)), "")</f>
        <v/>
      </c>
      <c r="Q162" s="22" t="str">
        <f ca="1">IF($N$162&lt;&gt;"", INDIRECT("'Tracker'!"&amp;ADDRESS(MATCH($N$162, Tracker[Anime Name], 0) + 2, 4)), "")</f>
        <v/>
      </c>
      <c r="R162" s="22" t="str">
        <f ca="1">IF($N$162&lt;&gt;"", INDIRECT("'Tracker'!"&amp;ADDRESS(MATCH($N$162, Tracker[Anime Name], 0) + 2, 5)), "")</f>
        <v/>
      </c>
      <c r="S162" s="22" t="str">
        <f ca="1">IF($N$162&lt;&gt;"", INDIRECT("'Tracker'!"&amp;ADDRESS(MATCH($N$162, Tracker[Anime Name], 0) + 2, 6)), "")</f>
        <v/>
      </c>
      <c r="T162" s="22" t="str">
        <f ca="1">IF($N$162&lt;&gt;"", INDIRECT("'Tracker'!"&amp;ADDRESS(MATCH($N$162, Tracker[Anime Name], 0) + 2, 7)), "")</f>
        <v/>
      </c>
      <c r="U162" s="28" t="str">
        <f ca="1">IF($N$162&lt;&gt;"", INDIRECT("'Tracker'!"&amp;ADDRESS(MATCH($N$162, Tracker[Anime Name], 0) + 2, 8)), "")</f>
        <v/>
      </c>
      <c r="V162" s="53" t="str">
        <f>IF(Completed!$C$161&lt;&gt;"",Completed!$C$161,"")</f>
        <v/>
      </c>
      <c r="W162" s="53" t="str">
        <f>IF(Completed!$D$161&lt;&gt;"",Completed!$D$161,"")</f>
        <v/>
      </c>
      <c r="X162" s="53" t="str">
        <f>IF(Completed!$E$161&lt;&gt;"",Completed!$E$161,"")</f>
        <v/>
      </c>
      <c r="Y162" s="53" t="str">
        <f>IF(Completed!$F$161&lt;&gt;"",Completed!$F$161,"")</f>
        <v/>
      </c>
      <c r="Z162" s="65" t="str">
        <f>IF(Completed!$G$161&lt;&gt;"",Completed!$G$161,"")</f>
        <v/>
      </c>
      <c r="AA162" s="75" t="str">
        <f>IF(Completed!$H$161&lt;&gt;"",Completed!$H$161,"")</f>
        <v/>
      </c>
      <c r="AB162" s="54" t="str">
        <f>IF(Completed!$I$161&lt;&gt;"",Completed!$I$161,"")</f>
        <v/>
      </c>
      <c r="AC162" s="54" t="str">
        <f>IF(Completed!$J$161&lt;&gt;"",Completed!$J$161,"")</f>
        <v/>
      </c>
      <c r="AD162" s="66" t="str">
        <f>IF(Completed!$K$161&lt;&gt;"",Completed!$K$161,"")</f>
        <v/>
      </c>
      <c r="AE162" s="66" t="str">
        <f>IF(Completed!$L$161&lt;&gt;"",Completed!$L$161,"")</f>
        <v/>
      </c>
    </row>
    <row r="163" spans="10:31">
      <c r="J163" s="21" t="str">
        <f>IF(Backlog!$A$162&lt;&gt;"",Backlog!$A$162,"")</f>
        <v/>
      </c>
      <c r="K163" s="28" t="str">
        <f>IF(Backlog!$B$162&lt;&gt;"",Backlog!$B$162,"")</f>
        <v/>
      </c>
      <c r="L163" s="29" t="str">
        <f>IF(Backlog!$C$162&lt;&gt;"",Backlog!$C$162,"")</f>
        <v/>
      </c>
      <c r="N163" s="21" t="str">
        <f>IF(Completed!$A$162&lt;&gt;"",Completed!$A$162,"")</f>
        <v/>
      </c>
      <c r="O163" s="28" t="str">
        <f>IF(Completed!$B$162&lt;&gt;"",Completed!$B$162,"")</f>
        <v/>
      </c>
      <c r="P163" s="28" t="str">
        <f ca="1">IF($N$163&lt;&gt;"", INDIRECT("'Tracker'!"&amp;ADDRESS(MATCH($N$163, Tracker[Anime Name], 0) + 2, 3)), "")</f>
        <v/>
      </c>
      <c r="Q163" s="22" t="str">
        <f ca="1">IF($N$163&lt;&gt;"", INDIRECT("'Tracker'!"&amp;ADDRESS(MATCH($N$163, Tracker[Anime Name], 0) + 2, 4)), "")</f>
        <v/>
      </c>
      <c r="R163" s="22" t="str">
        <f ca="1">IF($N$163&lt;&gt;"", INDIRECT("'Tracker'!"&amp;ADDRESS(MATCH($N$163, Tracker[Anime Name], 0) + 2, 5)), "")</f>
        <v/>
      </c>
      <c r="S163" s="22" t="str">
        <f ca="1">IF($N$163&lt;&gt;"", INDIRECT("'Tracker'!"&amp;ADDRESS(MATCH($N$163, Tracker[Anime Name], 0) + 2, 6)), "")</f>
        <v/>
      </c>
      <c r="T163" s="22" t="str">
        <f ca="1">IF($N$163&lt;&gt;"", INDIRECT("'Tracker'!"&amp;ADDRESS(MATCH($N$163, Tracker[Anime Name], 0) + 2, 7)), "")</f>
        <v/>
      </c>
      <c r="U163" s="28" t="str">
        <f ca="1">IF($N$163&lt;&gt;"", INDIRECT("'Tracker'!"&amp;ADDRESS(MATCH($N$163, Tracker[Anime Name], 0) + 2, 8)), "")</f>
        <v/>
      </c>
      <c r="V163" s="53" t="str">
        <f>IF(Completed!$C$162&lt;&gt;"",Completed!$C$162,"")</f>
        <v/>
      </c>
      <c r="W163" s="53" t="str">
        <f>IF(Completed!$D$162&lt;&gt;"",Completed!$D$162,"")</f>
        <v/>
      </c>
      <c r="X163" s="53" t="str">
        <f>IF(Completed!$E$162&lt;&gt;"",Completed!$E$162,"")</f>
        <v/>
      </c>
      <c r="Y163" s="53" t="str">
        <f>IF(Completed!$F$162&lt;&gt;"",Completed!$F$162,"")</f>
        <v/>
      </c>
      <c r="Z163" s="65" t="str">
        <f>IF(Completed!$G$162&lt;&gt;"",Completed!$G$162,"")</f>
        <v/>
      </c>
      <c r="AA163" s="75" t="str">
        <f>IF(Completed!$H$162&lt;&gt;"",Completed!$H$162,"")</f>
        <v/>
      </c>
      <c r="AB163" s="54" t="str">
        <f>IF(Completed!$I$162&lt;&gt;"",Completed!$I$162,"")</f>
        <v/>
      </c>
      <c r="AC163" s="54" t="str">
        <f>IF(Completed!$J$162&lt;&gt;"",Completed!$J$162,"")</f>
        <v/>
      </c>
      <c r="AD163" s="66" t="str">
        <f>IF(Completed!$K$162&lt;&gt;"",Completed!$K$162,"")</f>
        <v/>
      </c>
      <c r="AE163" s="66" t="str">
        <f>IF(Completed!$L$162&lt;&gt;"",Completed!$L$162,"")</f>
        <v/>
      </c>
    </row>
    <row r="164" spans="10:31">
      <c r="J164" s="21" t="str">
        <f>IF(Backlog!$A$163&lt;&gt;"",Backlog!$A$163,"")</f>
        <v/>
      </c>
      <c r="K164" s="28" t="str">
        <f>IF(Backlog!$B$163&lt;&gt;"",Backlog!$B$163,"")</f>
        <v/>
      </c>
      <c r="L164" s="29" t="str">
        <f>IF(Backlog!$C$163&lt;&gt;"",Backlog!$C$163,"")</f>
        <v/>
      </c>
      <c r="N164" s="21" t="str">
        <f>IF(Completed!$A$163&lt;&gt;"",Completed!$A$163,"")</f>
        <v/>
      </c>
      <c r="O164" s="28" t="str">
        <f>IF(Completed!$B$163&lt;&gt;"",Completed!$B$163,"")</f>
        <v/>
      </c>
      <c r="P164" s="28" t="str">
        <f ca="1">IF($N$164&lt;&gt;"", INDIRECT("'Tracker'!"&amp;ADDRESS(MATCH($N$164, Tracker[Anime Name], 0) + 2, 3)), "")</f>
        <v/>
      </c>
      <c r="Q164" s="22" t="str">
        <f ca="1">IF($N$164&lt;&gt;"", INDIRECT("'Tracker'!"&amp;ADDRESS(MATCH($N$164, Tracker[Anime Name], 0) + 2, 4)), "")</f>
        <v/>
      </c>
      <c r="R164" s="22" t="str">
        <f ca="1">IF($N$164&lt;&gt;"", INDIRECT("'Tracker'!"&amp;ADDRESS(MATCH($N$164, Tracker[Anime Name], 0) + 2, 5)), "")</f>
        <v/>
      </c>
      <c r="S164" s="22" t="str">
        <f ca="1">IF($N$164&lt;&gt;"", INDIRECT("'Tracker'!"&amp;ADDRESS(MATCH($N$164, Tracker[Anime Name], 0) + 2, 6)), "")</f>
        <v/>
      </c>
      <c r="T164" s="22" t="str">
        <f ca="1">IF($N$164&lt;&gt;"", INDIRECT("'Tracker'!"&amp;ADDRESS(MATCH($N$164, Tracker[Anime Name], 0) + 2, 7)), "")</f>
        <v/>
      </c>
      <c r="U164" s="28" t="str">
        <f ca="1">IF($N$164&lt;&gt;"", INDIRECT("'Tracker'!"&amp;ADDRESS(MATCH($N$164, Tracker[Anime Name], 0) + 2, 8)), "")</f>
        <v/>
      </c>
      <c r="V164" s="53" t="str">
        <f>IF(Completed!$C$163&lt;&gt;"",Completed!$C$163,"")</f>
        <v/>
      </c>
      <c r="W164" s="53" t="str">
        <f>IF(Completed!$D$163&lt;&gt;"",Completed!$D$163,"")</f>
        <v/>
      </c>
      <c r="X164" s="53" t="str">
        <f>IF(Completed!$E$163&lt;&gt;"",Completed!$E$163,"")</f>
        <v/>
      </c>
      <c r="Y164" s="53" t="str">
        <f>IF(Completed!$F$163&lt;&gt;"",Completed!$F$163,"")</f>
        <v/>
      </c>
      <c r="Z164" s="65" t="str">
        <f>IF(Completed!$G$163&lt;&gt;"",Completed!$G$163,"")</f>
        <v/>
      </c>
      <c r="AA164" s="75" t="str">
        <f>IF(Completed!$H$163&lt;&gt;"",Completed!$H$163,"")</f>
        <v/>
      </c>
      <c r="AB164" s="54" t="str">
        <f>IF(Completed!$I$163&lt;&gt;"",Completed!$I$163,"")</f>
        <v/>
      </c>
      <c r="AC164" s="54" t="str">
        <f>IF(Completed!$J$163&lt;&gt;"",Completed!$J$163,"")</f>
        <v/>
      </c>
      <c r="AD164" s="66" t="str">
        <f>IF(Completed!$K$163&lt;&gt;"",Completed!$K$163,"")</f>
        <v/>
      </c>
      <c r="AE164" s="66" t="str">
        <f>IF(Completed!$L$163&lt;&gt;"",Completed!$L$163,"")</f>
        <v/>
      </c>
    </row>
    <row r="165" spans="10:31">
      <c r="J165" s="21" t="str">
        <f>IF(Backlog!$A$164&lt;&gt;"",Backlog!$A$164,"")</f>
        <v/>
      </c>
      <c r="K165" s="28" t="str">
        <f>IF(Backlog!$B$164&lt;&gt;"",Backlog!$B$164,"")</f>
        <v/>
      </c>
      <c r="L165" s="29" t="str">
        <f>IF(Backlog!$C$164&lt;&gt;"",Backlog!$C$164,"")</f>
        <v/>
      </c>
      <c r="N165" s="21" t="str">
        <f>IF(Completed!$A$164&lt;&gt;"",Completed!$A$164,"")</f>
        <v/>
      </c>
      <c r="O165" s="28" t="str">
        <f>IF(Completed!$B$164&lt;&gt;"",Completed!$B$164,"")</f>
        <v/>
      </c>
      <c r="P165" s="28" t="str">
        <f ca="1">IF($N$165&lt;&gt;"", INDIRECT("'Tracker'!"&amp;ADDRESS(MATCH($N$165, Tracker[Anime Name], 0) + 2, 3)), "")</f>
        <v/>
      </c>
      <c r="Q165" s="22" t="str">
        <f ca="1">IF($N$165&lt;&gt;"", INDIRECT("'Tracker'!"&amp;ADDRESS(MATCH($N$165, Tracker[Anime Name], 0) + 2, 4)), "")</f>
        <v/>
      </c>
      <c r="R165" s="22" t="str">
        <f ca="1">IF($N$165&lt;&gt;"", INDIRECT("'Tracker'!"&amp;ADDRESS(MATCH($N$165, Tracker[Anime Name], 0) + 2, 5)), "")</f>
        <v/>
      </c>
      <c r="S165" s="22" t="str">
        <f ca="1">IF($N$165&lt;&gt;"", INDIRECT("'Tracker'!"&amp;ADDRESS(MATCH($N$165, Tracker[Anime Name], 0) + 2, 6)), "")</f>
        <v/>
      </c>
      <c r="T165" s="22" t="str">
        <f ca="1">IF($N$165&lt;&gt;"", INDIRECT("'Tracker'!"&amp;ADDRESS(MATCH($N$165, Tracker[Anime Name], 0) + 2, 7)), "")</f>
        <v/>
      </c>
      <c r="U165" s="28" t="str">
        <f ca="1">IF($N$165&lt;&gt;"", INDIRECT("'Tracker'!"&amp;ADDRESS(MATCH($N$165, Tracker[Anime Name], 0) + 2, 8)), "")</f>
        <v/>
      </c>
      <c r="V165" s="53" t="str">
        <f>IF(Completed!$C$164&lt;&gt;"",Completed!$C$164,"")</f>
        <v/>
      </c>
      <c r="W165" s="53" t="str">
        <f>IF(Completed!$D$164&lt;&gt;"",Completed!$D$164,"")</f>
        <v/>
      </c>
      <c r="X165" s="53" t="str">
        <f>IF(Completed!$E$164&lt;&gt;"",Completed!$E$164,"")</f>
        <v/>
      </c>
      <c r="Y165" s="53" t="str">
        <f>IF(Completed!$F$164&lt;&gt;"",Completed!$F$164,"")</f>
        <v/>
      </c>
      <c r="Z165" s="65" t="str">
        <f>IF(Completed!$G$164&lt;&gt;"",Completed!$G$164,"")</f>
        <v/>
      </c>
      <c r="AA165" s="75" t="str">
        <f>IF(Completed!$H$164&lt;&gt;"",Completed!$H$164,"")</f>
        <v/>
      </c>
      <c r="AB165" s="54" t="str">
        <f>IF(Completed!$I$164&lt;&gt;"",Completed!$I$164,"")</f>
        <v/>
      </c>
      <c r="AC165" s="54" t="str">
        <f>IF(Completed!$J$164&lt;&gt;"",Completed!$J$164,"")</f>
        <v/>
      </c>
      <c r="AD165" s="66" t="str">
        <f>IF(Completed!$K$164&lt;&gt;"",Completed!$K$164,"")</f>
        <v/>
      </c>
      <c r="AE165" s="66" t="str">
        <f>IF(Completed!$L$164&lt;&gt;"",Completed!$L$164,"")</f>
        <v/>
      </c>
    </row>
    <row r="166" spans="10:31">
      <c r="J166" s="21" t="str">
        <f>IF(Backlog!$A$165&lt;&gt;"",Backlog!$A$165,"")</f>
        <v/>
      </c>
      <c r="K166" s="28" t="str">
        <f>IF(Backlog!$B$165&lt;&gt;"",Backlog!$B$165,"")</f>
        <v/>
      </c>
      <c r="L166" s="29" t="str">
        <f>IF(Backlog!$C$165&lt;&gt;"",Backlog!$C$165,"")</f>
        <v/>
      </c>
      <c r="N166" s="21" t="str">
        <f>IF(Completed!$A$165&lt;&gt;"",Completed!$A$165,"")</f>
        <v/>
      </c>
      <c r="O166" s="28" t="str">
        <f>IF(Completed!$B$165&lt;&gt;"",Completed!$B$165,"")</f>
        <v/>
      </c>
      <c r="P166" s="28" t="str">
        <f ca="1">IF($N$166&lt;&gt;"", INDIRECT("'Tracker'!"&amp;ADDRESS(MATCH($N$166, Tracker[Anime Name], 0) + 2, 3)), "")</f>
        <v/>
      </c>
      <c r="Q166" s="22" t="str">
        <f ca="1">IF($N$166&lt;&gt;"", INDIRECT("'Tracker'!"&amp;ADDRESS(MATCH($N$166, Tracker[Anime Name], 0) + 2, 4)), "")</f>
        <v/>
      </c>
      <c r="R166" s="22" t="str">
        <f ca="1">IF($N$166&lt;&gt;"", INDIRECT("'Tracker'!"&amp;ADDRESS(MATCH($N$166, Tracker[Anime Name], 0) + 2, 5)), "")</f>
        <v/>
      </c>
      <c r="S166" s="22" t="str">
        <f ca="1">IF($N$166&lt;&gt;"", INDIRECT("'Tracker'!"&amp;ADDRESS(MATCH($N$166, Tracker[Anime Name], 0) + 2, 6)), "")</f>
        <v/>
      </c>
      <c r="T166" s="22" t="str">
        <f ca="1">IF($N$166&lt;&gt;"", INDIRECT("'Tracker'!"&amp;ADDRESS(MATCH($N$166, Tracker[Anime Name], 0) + 2, 7)), "")</f>
        <v/>
      </c>
      <c r="U166" s="28" t="str">
        <f ca="1">IF($N$166&lt;&gt;"", INDIRECT("'Tracker'!"&amp;ADDRESS(MATCH($N$166, Tracker[Anime Name], 0) + 2, 8)), "")</f>
        <v/>
      </c>
      <c r="V166" s="53" t="str">
        <f>IF(Completed!$C$165&lt;&gt;"",Completed!$C$165,"")</f>
        <v/>
      </c>
      <c r="W166" s="53" t="str">
        <f>IF(Completed!$D$165&lt;&gt;"",Completed!$D$165,"")</f>
        <v/>
      </c>
      <c r="X166" s="53" t="str">
        <f>IF(Completed!$E$165&lt;&gt;"",Completed!$E$165,"")</f>
        <v/>
      </c>
      <c r="Y166" s="53" t="str">
        <f>IF(Completed!$F$165&lt;&gt;"",Completed!$F$165,"")</f>
        <v/>
      </c>
      <c r="Z166" s="65" t="str">
        <f>IF(Completed!$G$165&lt;&gt;"",Completed!$G$165,"")</f>
        <v/>
      </c>
      <c r="AA166" s="75" t="str">
        <f>IF(Completed!$H$165&lt;&gt;"",Completed!$H$165,"")</f>
        <v/>
      </c>
      <c r="AB166" s="54" t="str">
        <f>IF(Completed!$I$165&lt;&gt;"",Completed!$I$165,"")</f>
        <v/>
      </c>
      <c r="AC166" s="54" t="str">
        <f>IF(Completed!$J$165&lt;&gt;"",Completed!$J$165,"")</f>
        <v/>
      </c>
      <c r="AD166" s="66" t="str">
        <f>IF(Completed!$K$165&lt;&gt;"",Completed!$K$165,"")</f>
        <v/>
      </c>
      <c r="AE166" s="66" t="str">
        <f>IF(Completed!$L$165&lt;&gt;"",Completed!$L$165,"")</f>
        <v/>
      </c>
    </row>
    <row r="167" spans="10:31">
      <c r="J167" s="21" t="str">
        <f>IF(Backlog!$A$166&lt;&gt;"",Backlog!$A$166,"")</f>
        <v/>
      </c>
      <c r="K167" s="28" t="str">
        <f>IF(Backlog!$B$166&lt;&gt;"",Backlog!$B$166,"")</f>
        <v/>
      </c>
      <c r="L167" s="29" t="str">
        <f>IF(Backlog!$C$166&lt;&gt;"",Backlog!$C$166,"")</f>
        <v/>
      </c>
      <c r="N167" s="21" t="str">
        <f>IF(Completed!$A$166&lt;&gt;"",Completed!$A$166,"")</f>
        <v/>
      </c>
      <c r="O167" s="28" t="str">
        <f>IF(Completed!$B$166&lt;&gt;"",Completed!$B$166,"")</f>
        <v/>
      </c>
      <c r="P167" s="28" t="str">
        <f ca="1">IF($N$167&lt;&gt;"", INDIRECT("'Tracker'!"&amp;ADDRESS(MATCH($N$167, Tracker[Anime Name], 0) + 2, 3)), "")</f>
        <v/>
      </c>
      <c r="Q167" s="22" t="str">
        <f ca="1">IF($N$167&lt;&gt;"", INDIRECT("'Tracker'!"&amp;ADDRESS(MATCH($N$167, Tracker[Anime Name], 0) + 2, 4)), "")</f>
        <v/>
      </c>
      <c r="R167" s="22" t="str">
        <f ca="1">IF($N$167&lt;&gt;"", INDIRECT("'Tracker'!"&amp;ADDRESS(MATCH($N$167, Tracker[Anime Name], 0) + 2, 5)), "")</f>
        <v/>
      </c>
      <c r="S167" s="22" t="str">
        <f ca="1">IF($N$167&lt;&gt;"", INDIRECT("'Tracker'!"&amp;ADDRESS(MATCH($N$167, Tracker[Anime Name], 0) + 2, 6)), "")</f>
        <v/>
      </c>
      <c r="T167" s="22" t="str">
        <f ca="1">IF($N$167&lt;&gt;"", INDIRECT("'Tracker'!"&amp;ADDRESS(MATCH($N$167, Tracker[Anime Name], 0) + 2, 7)), "")</f>
        <v/>
      </c>
      <c r="U167" s="28" t="str">
        <f ca="1">IF($N$167&lt;&gt;"", INDIRECT("'Tracker'!"&amp;ADDRESS(MATCH($N$167, Tracker[Anime Name], 0) + 2, 8)), "")</f>
        <v/>
      </c>
      <c r="V167" s="53" t="str">
        <f>IF(Completed!$C$166&lt;&gt;"",Completed!$C$166,"")</f>
        <v/>
      </c>
      <c r="W167" s="53" t="str">
        <f>IF(Completed!$D$166&lt;&gt;"",Completed!$D$166,"")</f>
        <v/>
      </c>
      <c r="X167" s="53" t="str">
        <f>IF(Completed!$E$166&lt;&gt;"",Completed!$E$166,"")</f>
        <v/>
      </c>
      <c r="Y167" s="53" t="str">
        <f>IF(Completed!$F$166&lt;&gt;"",Completed!$F$166,"")</f>
        <v/>
      </c>
      <c r="Z167" s="65" t="str">
        <f>IF(Completed!$G$166&lt;&gt;"",Completed!$G$166,"")</f>
        <v/>
      </c>
      <c r="AA167" s="75" t="str">
        <f>IF(Completed!$H$166&lt;&gt;"",Completed!$H$166,"")</f>
        <v/>
      </c>
      <c r="AB167" s="54" t="str">
        <f>IF(Completed!$I$166&lt;&gt;"",Completed!$I$166,"")</f>
        <v/>
      </c>
      <c r="AC167" s="54" t="str">
        <f>IF(Completed!$J$166&lt;&gt;"",Completed!$J$166,"")</f>
        <v/>
      </c>
      <c r="AD167" s="66" t="str">
        <f>IF(Completed!$K$166&lt;&gt;"",Completed!$K$166,"")</f>
        <v/>
      </c>
      <c r="AE167" s="66" t="str">
        <f>IF(Completed!$L$166&lt;&gt;"",Completed!$L$166,"")</f>
        <v/>
      </c>
    </row>
    <row r="168" spans="10:31">
      <c r="J168" s="21" t="str">
        <f>IF(Backlog!$A$167&lt;&gt;"",Backlog!$A$167,"")</f>
        <v/>
      </c>
      <c r="K168" s="28" t="str">
        <f>IF(Backlog!$B$167&lt;&gt;"",Backlog!$B$167,"")</f>
        <v/>
      </c>
      <c r="L168" s="29" t="str">
        <f>IF(Backlog!$C$167&lt;&gt;"",Backlog!$C$167,"")</f>
        <v/>
      </c>
      <c r="N168" s="21" t="str">
        <f>IF(Completed!$A$167&lt;&gt;"",Completed!$A$167,"")</f>
        <v/>
      </c>
      <c r="O168" s="28" t="str">
        <f>IF(Completed!$B$167&lt;&gt;"",Completed!$B$167,"")</f>
        <v/>
      </c>
      <c r="P168" s="28" t="str">
        <f ca="1">IF($N$168&lt;&gt;"", INDIRECT("'Tracker'!"&amp;ADDRESS(MATCH($N$168, Tracker[Anime Name], 0) + 2, 3)), "")</f>
        <v/>
      </c>
      <c r="Q168" s="22" t="str">
        <f ca="1">IF($N$168&lt;&gt;"", INDIRECT("'Tracker'!"&amp;ADDRESS(MATCH($N$168, Tracker[Anime Name], 0) + 2, 4)), "")</f>
        <v/>
      </c>
      <c r="R168" s="22" t="str">
        <f ca="1">IF($N$168&lt;&gt;"", INDIRECT("'Tracker'!"&amp;ADDRESS(MATCH($N$168, Tracker[Anime Name], 0) + 2, 5)), "")</f>
        <v/>
      </c>
      <c r="S168" s="22" t="str">
        <f ca="1">IF($N$168&lt;&gt;"", INDIRECT("'Tracker'!"&amp;ADDRESS(MATCH($N$168, Tracker[Anime Name], 0) + 2, 6)), "")</f>
        <v/>
      </c>
      <c r="T168" s="22" t="str">
        <f ca="1">IF($N$168&lt;&gt;"", INDIRECT("'Tracker'!"&amp;ADDRESS(MATCH($N$168, Tracker[Anime Name], 0) + 2, 7)), "")</f>
        <v/>
      </c>
      <c r="U168" s="28" t="str">
        <f ca="1">IF($N$168&lt;&gt;"", INDIRECT("'Tracker'!"&amp;ADDRESS(MATCH($N$168, Tracker[Anime Name], 0) + 2, 8)), "")</f>
        <v/>
      </c>
      <c r="V168" s="53" t="str">
        <f>IF(Completed!$C$167&lt;&gt;"",Completed!$C$167,"")</f>
        <v/>
      </c>
      <c r="W168" s="53" t="str">
        <f>IF(Completed!$D$167&lt;&gt;"",Completed!$D$167,"")</f>
        <v/>
      </c>
      <c r="X168" s="53" t="str">
        <f>IF(Completed!$E$167&lt;&gt;"",Completed!$E$167,"")</f>
        <v/>
      </c>
      <c r="Y168" s="53" t="str">
        <f>IF(Completed!$F$167&lt;&gt;"",Completed!$F$167,"")</f>
        <v/>
      </c>
      <c r="Z168" s="65" t="str">
        <f>IF(Completed!$G$167&lt;&gt;"",Completed!$G$167,"")</f>
        <v/>
      </c>
      <c r="AA168" s="75" t="str">
        <f>IF(Completed!$H$167&lt;&gt;"",Completed!$H$167,"")</f>
        <v/>
      </c>
      <c r="AB168" s="54" t="str">
        <f>IF(Completed!$I$167&lt;&gt;"",Completed!$I$167,"")</f>
        <v/>
      </c>
      <c r="AC168" s="54" t="str">
        <f>IF(Completed!$J$167&lt;&gt;"",Completed!$J$167,"")</f>
        <v/>
      </c>
      <c r="AD168" s="66" t="str">
        <f>IF(Completed!$K$167&lt;&gt;"",Completed!$K$167,"")</f>
        <v/>
      </c>
      <c r="AE168" s="66" t="str">
        <f>IF(Completed!$L$167&lt;&gt;"",Completed!$L$167,"")</f>
        <v/>
      </c>
    </row>
    <row r="169" spans="10:31">
      <c r="J169" s="21" t="str">
        <f>IF(Backlog!$A$168&lt;&gt;"",Backlog!$A$168,"")</f>
        <v/>
      </c>
      <c r="K169" s="28" t="str">
        <f>IF(Backlog!$B$168&lt;&gt;"",Backlog!$B$168,"")</f>
        <v/>
      </c>
      <c r="L169" s="29" t="str">
        <f>IF(Backlog!$C$168&lt;&gt;"",Backlog!$C$168,"")</f>
        <v/>
      </c>
      <c r="N169" s="21" t="str">
        <f>IF(Completed!$A$168&lt;&gt;"",Completed!$A$168,"")</f>
        <v/>
      </c>
      <c r="O169" s="28" t="str">
        <f>IF(Completed!$B$168&lt;&gt;"",Completed!$B$168,"")</f>
        <v/>
      </c>
      <c r="P169" s="28" t="str">
        <f ca="1">IF($N$169&lt;&gt;"", INDIRECT("'Tracker'!"&amp;ADDRESS(MATCH($N$169, Tracker[Anime Name], 0) + 2, 3)), "")</f>
        <v/>
      </c>
      <c r="Q169" s="22" t="str">
        <f ca="1">IF($N$169&lt;&gt;"", INDIRECT("'Tracker'!"&amp;ADDRESS(MATCH($N$169, Tracker[Anime Name], 0) + 2, 4)), "")</f>
        <v/>
      </c>
      <c r="R169" s="22" t="str">
        <f ca="1">IF($N$169&lt;&gt;"", INDIRECT("'Tracker'!"&amp;ADDRESS(MATCH($N$169, Tracker[Anime Name], 0) + 2, 5)), "")</f>
        <v/>
      </c>
      <c r="S169" s="22" t="str">
        <f ca="1">IF($N$169&lt;&gt;"", INDIRECT("'Tracker'!"&amp;ADDRESS(MATCH($N$169, Tracker[Anime Name], 0) + 2, 6)), "")</f>
        <v/>
      </c>
      <c r="T169" s="22" t="str">
        <f ca="1">IF($N$169&lt;&gt;"", INDIRECT("'Tracker'!"&amp;ADDRESS(MATCH($N$169, Tracker[Anime Name], 0) + 2, 7)), "")</f>
        <v/>
      </c>
      <c r="U169" s="28" t="str">
        <f ca="1">IF($N$169&lt;&gt;"", INDIRECT("'Tracker'!"&amp;ADDRESS(MATCH($N$169, Tracker[Anime Name], 0) + 2, 8)), "")</f>
        <v/>
      </c>
      <c r="V169" s="53" t="str">
        <f>IF(Completed!$C$168&lt;&gt;"",Completed!$C$168,"")</f>
        <v/>
      </c>
      <c r="W169" s="53" t="str">
        <f>IF(Completed!$D$168&lt;&gt;"",Completed!$D$168,"")</f>
        <v/>
      </c>
      <c r="X169" s="53" t="str">
        <f>IF(Completed!$E$168&lt;&gt;"",Completed!$E$168,"")</f>
        <v/>
      </c>
      <c r="Y169" s="53" t="str">
        <f>IF(Completed!$F$168&lt;&gt;"",Completed!$F$168,"")</f>
        <v/>
      </c>
      <c r="Z169" s="65" t="str">
        <f>IF(Completed!$G$168&lt;&gt;"",Completed!$G$168,"")</f>
        <v/>
      </c>
      <c r="AA169" s="75" t="str">
        <f>IF(Completed!$H$168&lt;&gt;"",Completed!$H$168,"")</f>
        <v/>
      </c>
      <c r="AB169" s="54" t="str">
        <f>IF(Completed!$I$168&lt;&gt;"",Completed!$I$168,"")</f>
        <v/>
      </c>
      <c r="AC169" s="54" t="str">
        <f>IF(Completed!$J$168&lt;&gt;"",Completed!$J$168,"")</f>
        <v/>
      </c>
      <c r="AD169" s="66" t="str">
        <f>IF(Completed!$K$168&lt;&gt;"",Completed!$K$168,"")</f>
        <v/>
      </c>
      <c r="AE169" s="66" t="str">
        <f>IF(Completed!$L$168&lt;&gt;"",Completed!$L$168,"")</f>
        <v/>
      </c>
    </row>
    <row r="170" spans="10:31">
      <c r="J170" s="21" t="str">
        <f>IF(Backlog!$A$169&lt;&gt;"",Backlog!$A$169,"")</f>
        <v/>
      </c>
      <c r="K170" s="28" t="str">
        <f>IF(Backlog!$B$169&lt;&gt;"",Backlog!$B$169,"")</f>
        <v/>
      </c>
      <c r="L170" s="29" t="str">
        <f>IF(Backlog!$C$169&lt;&gt;"",Backlog!$C$169,"")</f>
        <v/>
      </c>
      <c r="N170" s="21" t="str">
        <f>IF(Completed!$A$169&lt;&gt;"",Completed!$A$169,"")</f>
        <v/>
      </c>
      <c r="O170" s="28" t="str">
        <f>IF(Completed!$B$169&lt;&gt;"",Completed!$B$169,"")</f>
        <v/>
      </c>
      <c r="P170" s="28" t="str">
        <f ca="1">IF($N$170&lt;&gt;"", INDIRECT("'Tracker'!"&amp;ADDRESS(MATCH($N$170, Tracker[Anime Name], 0) + 2, 3)), "")</f>
        <v/>
      </c>
      <c r="Q170" s="22" t="str">
        <f ca="1">IF($N$170&lt;&gt;"", INDIRECT("'Tracker'!"&amp;ADDRESS(MATCH($N$170, Tracker[Anime Name], 0) + 2, 4)), "")</f>
        <v/>
      </c>
      <c r="R170" s="22" t="str">
        <f ca="1">IF($N$170&lt;&gt;"", INDIRECT("'Tracker'!"&amp;ADDRESS(MATCH($N$170, Tracker[Anime Name], 0) + 2, 5)), "")</f>
        <v/>
      </c>
      <c r="S170" s="22" t="str">
        <f ca="1">IF($N$170&lt;&gt;"", INDIRECT("'Tracker'!"&amp;ADDRESS(MATCH($N$170, Tracker[Anime Name], 0) + 2, 6)), "")</f>
        <v/>
      </c>
      <c r="T170" s="22" t="str">
        <f ca="1">IF($N$170&lt;&gt;"", INDIRECT("'Tracker'!"&amp;ADDRESS(MATCH($N$170, Tracker[Anime Name], 0) + 2, 7)), "")</f>
        <v/>
      </c>
      <c r="U170" s="28" t="str">
        <f ca="1">IF($N$170&lt;&gt;"", INDIRECT("'Tracker'!"&amp;ADDRESS(MATCH($N$170, Tracker[Anime Name], 0) + 2, 8)), "")</f>
        <v/>
      </c>
      <c r="V170" s="53" t="str">
        <f>IF(Completed!$C$169&lt;&gt;"",Completed!$C$169,"")</f>
        <v/>
      </c>
      <c r="W170" s="53" t="str">
        <f>IF(Completed!$D$169&lt;&gt;"",Completed!$D$169,"")</f>
        <v/>
      </c>
      <c r="X170" s="53" t="str">
        <f>IF(Completed!$E$169&lt;&gt;"",Completed!$E$169,"")</f>
        <v/>
      </c>
      <c r="Y170" s="53" t="str">
        <f>IF(Completed!$F$169&lt;&gt;"",Completed!$F$169,"")</f>
        <v/>
      </c>
      <c r="Z170" s="65" t="str">
        <f>IF(Completed!$G$169&lt;&gt;"",Completed!$G$169,"")</f>
        <v/>
      </c>
      <c r="AA170" s="75" t="str">
        <f>IF(Completed!$H$169&lt;&gt;"",Completed!$H$169,"")</f>
        <v/>
      </c>
      <c r="AB170" s="54" t="str">
        <f>IF(Completed!$I$169&lt;&gt;"",Completed!$I$169,"")</f>
        <v/>
      </c>
      <c r="AC170" s="54" t="str">
        <f>IF(Completed!$J$169&lt;&gt;"",Completed!$J$169,"")</f>
        <v/>
      </c>
      <c r="AD170" s="66" t="str">
        <f>IF(Completed!$K$169&lt;&gt;"",Completed!$K$169,"")</f>
        <v/>
      </c>
      <c r="AE170" s="66" t="str">
        <f>IF(Completed!$L$169&lt;&gt;"",Completed!$L$169,"")</f>
        <v/>
      </c>
    </row>
    <row r="171" spans="10:31">
      <c r="J171" s="21" t="str">
        <f>IF(Backlog!$A$170&lt;&gt;"",Backlog!$A$170,"")</f>
        <v/>
      </c>
      <c r="K171" s="28" t="str">
        <f>IF(Backlog!$B$170&lt;&gt;"",Backlog!$B$170,"")</f>
        <v/>
      </c>
      <c r="L171" s="29" t="str">
        <f>IF(Backlog!$C$170&lt;&gt;"",Backlog!$C$170,"")</f>
        <v/>
      </c>
      <c r="N171" s="21" t="str">
        <f>IF(Completed!$A$170&lt;&gt;"",Completed!$A$170,"")</f>
        <v/>
      </c>
      <c r="O171" s="28" t="str">
        <f>IF(Completed!$B$170&lt;&gt;"",Completed!$B$170,"")</f>
        <v/>
      </c>
      <c r="P171" s="28" t="str">
        <f ca="1">IF($N$171&lt;&gt;"", INDIRECT("'Tracker'!"&amp;ADDRESS(MATCH($N$171, Tracker[Anime Name], 0) + 2, 3)), "")</f>
        <v/>
      </c>
      <c r="Q171" s="22" t="str">
        <f ca="1">IF($N$171&lt;&gt;"", INDIRECT("'Tracker'!"&amp;ADDRESS(MATCH($N$171, Tracker[Anime Name], 0) + 2, 4)), "")</f>
        <v/>
      </c>
      <c r="R171" s="22" t="str">
        <f ca="1">IF($N$171&lt;&gt;"", INDIRECT("'Tracker'!"&amp;ADDRESS(MATCH($N$171, Tracker[Anime Name], 0) + 2, 5)), "")</f>
        <v/>
      </c>
      <c r="S171" s="22" t="str">
        <f ca="1">IF($N$171&lt;&gt;"", INDIRECT("'Tracker'!"&amp;ADDRESS(MATCH($N$171, Tracker[Anime Name], 0) + 2, 6)), "")</f>
        <v/>
      </c>
      <c r="T171" s="22" t="str">
        <f ca="1">IF($N$171&lt;&gt;"", INDIRECT("'Tracker'!"&amp;ADDRESS(MATCH($N$171, Tracker[Anime Name], 0) + 2, 7)), "")</f>
        <v/>
      </c>
      <c r="U171" s="28" t="str">
        <f ca="1">IF($N$171&lt;&gt;"", INDIRECT("'Tracker'!"&amp;ADDRESS(MATCH($N$171, Tracker[Anime Name], 0) + 2, 8)), "")</f>
        <v/>
      </c>
      <c r="V171" s="53" t="str">
        <f>IF(Completed!$C$170&lt;&gt;"",Completed!$C$170,"")</f>
        <v/>
      </c>
      <c r="W171" s="53" t="str">
        <f>IF(Completed!$D$170&lt;&gt;"",Completed!$D$170,"")</f>
        <v/>
      </c>
      <c r="X171" s="53" t="str">
        <f>IF(Completed!$E$170&lt;&gt;"",Completed!$E$170,"")</f>
        <v/>
      </c>
      <c r="Y171" s="53" t="str">
        <f>IF(Completed!$F$170&lt;&gt;"",Completed!$F$170,"")</f>
        <v/>
      </c>
      <c r="Z171" s="65" t="str">
        <f>IF(Completed!$G$170&lt;&gt;"",Completed!$G$170,"")</f>
        <v/>
      </c>
      <c r="AA171" s="75" t="str">
        <f>IF(Completed!$H$170&lt;&gt;"",Completed!$H$170,"")</f>
        <v/>
      </c>
      <c r="AB171" s="54" t="str">
        <f>IF(Completed!$I$170&lt;&gt;"",Completed!$I$170,"")</f>
        <v/>
      </c>
      <c r="AC171" s="54" t="str">
        <f>IF(Completed!$J$170&lt;&gt;"",Completed!$J$170,"")</f>
        <v/>
      </c>
      <c r="AD171" s="66" t="str">
        <f>IF(Completed!$K$170&lt;&gt;"",Completed!$K$170,"")</f>
        <v/>
      </c>
      <c r="AE171" s="66" t="str">
        <f>IF(Completed!$L$170&lt;&gt;"",Completed!$L$170,"")</f>
        <v/>
      </c>
    </row>
    <row r="172" spans="10:31">
      <c r="J172" s="21" t="str">
        <f>IF(Backlog!$A$171&lt;&gt;"",Backlog!$A$171,"")</f>
        <v/>
      </c>
      <c r="K172" s="28" t="str">
        <f>IF(Backlog!$B$171&lt;&gt;"",Backlog!$B$171,"")</f>
        <v/>
      </c>
      <c r="L172" s="29" t="str">
        <f>IF(Backlog!$C$171&lt;&gt;"",Backlog!$C$171,"")</f>
        <v/>
      </c>
      <c r="N172" s="21" t="str">
        <f>IF(Completed!$A$171&lt;&gt;"",Completed!$A$171,"")</f>
        <v/>
      </c>
      <c r="O172" s="28" t="str">
        <f>IF(Completed!$B$171&lt;&gt;"",Completed!$B$171,"")</f>
        <v/>
      </c>
      <c r="P172" s="28" t="str">
        <f ca="1">IF($N$172&lt;&gt;"", INDIRECT("'Tracker'!"&amp;ADDRESS(MATCH($N$172, Tracker[Anime Name], 0) + 2, 3)), "")</f>
        <v/>
      </c>
      <c r="Q172" s="22" t="str">
        <f ca="1">IF($N$172&lt;&gt;"", INDIRECT("'Tracker'!"&amp;ADDRESS(MATCH($N$172, Tracker[Anime Name], 0) + 2, 4)), "")</f>
        <v/>
      </c>
      <c r="R172" s="22" t="str">
        <f ca="1">IF($N$172&lt;&gt;"", INDIRECT("'Tracker'!"&amp;ADDRESS(MATCH($N$172, Tracker[Anime Name], 0) + 2, 5)), "")</f>
        <v/>
      </c>
      <c r="S172" s="22" t="str">
        <f ca="1">IF($N$172&lt;&gt;"", INDIRECT("'Tracker'!"&amp;ADDRESS(MATCH($N$172, Tracker[Anime Name], 0) + 2, 6)), "")</f>
        <v/>
      </c>
      <c r="T172" s="22" t="str">
        <f ca="1">IF($N$172&lt;&gt;"", INDIRECT("'Tracker'!"&amp;ADDRESS(MATCH($N$172, Tracker[Anime Name], 0) + 2, 7)), "")</f>
        <v/>
      </c>
      <c r="U172" s="28" t="str">
        <f ca="1">IF($N$172&lt;&gt;"", INDIRECT("'Tracker'!"&amp;ADDRESS(MATCH($N$172, Tracker[Anime Name], 0) + 2, 8)), "")</f>
        <v/>
      </c>
      <c r="V172" s="53" t="str">
        <f>IF(Completed!$C$171&lt;&gt;"",Completed!$C$171,"")</f>
        <v/>
      </c>
      <c r="W172" s="53" t="str">
        <f>IF(Completed!$D$171&lt;&gt;"",Completed!$D$171,"")</f>
        <v/>
      </c>
      <c r="X172" s="53" t="str">
        <f>IF(Completed!$E$171&lt;&gt;"",Completed!$E$171,"")</f>
        <v/>
      </c>
      <c r="Y172" s="53" t="str">
        <f>IF(Completed!$F$171&lt;&gt;"",Completed!$F$171,"")</f>
        <v/>
      </c>
      <c r="Z172" s="65" t="str">
        <f>IF(Completed!$G$171&lt;&gt;"",Completed!$G$171,"")</f>
        <v/>
      </c>
      <c r="AA172" s="75" t="str">
        <f>IF(Completed!$H$171&lt;&gt;"",Completed!$H$171,"")</f>
        <v/>
      </c>
      <c r="AB172" s="54" t="str">
        <f>IF(Completed!$I$171&lt;&gt;"",Completed!$I$171,"")</f>
        <v/>
      </c>
      <c r="AC172" s="54" t="str">
        <f>IF(Completed!$J$171&lt;&gt;"",Completed!$J$171,"")</f>
        <v/>
      </c>
      <c r="AD172" s="66" t="str">
        <f>IF(Completed!$K$171&lt;&gt;"",Completed!$K$171,"")</f>
        <v/>
      </c>
      <c r="AE172" s="66" t="str">
        <f>IF(Completed!$L$171&lt;&gt;"",Completed!$L$171,"")</f>
        <v/>
      </c>
    </row>
    <row r="173" spans="10:31">
      <c r="J173" s="21" t="str">
        <f>IF(Backlog!$A$172&lt;&gt;"",Backlog!$A$172,"")</f>
        <v/>
      </c>
      <c r="K173" s="28" t="str">
        <f>IF(Backlog!$B$172&lt;&gt;"",Backlog!$B$172,"")</f>
        <v/>
      </c>
      <c r="L173" s="29" t="str">
        <f>IF(Backlog!$C$172&lt;&gt;"",Backlog!$C$172,"")</f>
        <v/>
      </c>
      <c r="N173" s="21" t="str">
        <f>IF(Completed!$A$172&lt;&gt;"",Completed!$A$172,"")</f>
        <v/>
      </c>
      <c r="O173" s="28" t="str">
        <f>IF(Completed!$B$172&lt;&gt;"",Completed!$B$172,"")</f>
        <v/>
      </c>
      <c r="P173" s="28" t="str">
        <f ca="1">IF($N$173&lt;&gt;"", INDIRECT("'Tracker'!"&amp;ADDRESS(MATCH($N$173, Tracker[Anime Name], 0) + 2, 3)), "")</f>
        <v/>
      </c>
      <c r="Q173" s="22" t="str">
        <f ca="1">IF($N$173&lt;&gt;"", INDIRECT("'Tracker'!"&amp;ADDRESS(MATCH($N$173, Tracker[Anime Name], 0) + 2, 4)), "")</f>
        <v/>
      </c>
      <c r="R173" s="22" t="str">
        <f ca="1">IF($N$173&lt;&gt;"", INDIRECT("'Tracker'!"&amp;ADDRESS(MATCH($N$173, Tracker[Anime Name], 0) + 2, 5)), "")</f>
        <v/>
      </c>
      <c r="S173" s="22" t="str">
        <f ca="1">IF($N$173&lt;&gt;"", INDIRECT("'Tracker'!"&amp;ADDRESS(MATCH($N$173, Tracker[Anime Name], 0) + 2, 6)), "")</f>
        <v/>
      </c>
      <c r="T173" s="22" t="str">
        <f ca="1">IF($N$173&lt;&gt;"", INDIRECT("'Tracker'!"&amp;ADDRESS(MATCH($N$173, Tracker[Anime Name], 0) + 2, 7)), "")</f>
        <v/>
      </c>
      <c r="U173" s="28" t="str">
        <f ca="1">IF($N$173&lt;&gt;"", INDIRECT("'Tracker'!"&amp;ADDRESS(MATCH($N$173, Tracker[Anime Name], 0) + 2, 8)), "")</f>
        <v/>
      </c>
      <c r="V173" s="53" t="str">
        <f>IF(Completed!$C$172&lt;&gt;"",Completed!$C$172,"")</f>
        <v/>
      </c>
      <c r="W173" s="53" t="str">
        <f>IF(Completed!$D$172&lt;&gt;"",Completed!$D$172,"")</f>
        <v/>
      </c>
      <c r="X173" s="53" t="str">
        <f>IF(Completed!$E$172&lt;&gt;"",Completed!$E$172,"")</f>
        <v/>
      </c>
      <c r="Y173" s="53" t="str">
        <f>IF(Completed!$F$172&lt;&gt;"",Completed!$F$172,"")</f>
        <v/>
      </c>
      <c r="Z173" s="65" t="str">
        <f>IF(Completed!$G$172&lt;&gt;"",Completed!$G$172,"")</f>
        <v/>
      </c>
      <c r="AA173" s="75" t="str">
        <f>IF(Completed!$H$172&lt;&gt;"",Completed!$H$172,"")</f>
        <v/>
      </c>
      <c r="AB173" s="54" t="str">
        <f>IF(Completed!$I$172&lt;&gt;"",Completed!$I$172,"")</f>
        <v/>
      </c>
      <c r="AC173" s="54" t="str">
        <f>IF(Completed!$J$172&lt;&gt;"",Completed!$J$172,"")</f>
        <v/>
      </c>
      <c r="AD173" s="66" t="str">
        <f>IF(Completed!$K$172&lt;&gt;"",Completed!$K$172,"")</f>
        <v/>
      </c>
      <c r="AE173" s="66" t="str">
        <f>IF(Completed!$L$172&lt;&gt;"",Completed!$L$172,"")</f>
        <v/>
      </c>
    </row>
    <row r="174" spans="10:31">
      <c r="J174" s="21" t="str">
        <f>IF(Backlog!$A$173&lt;&gt;"",Backlog!$A$173,"")</f>
        <v/>
      </c>
      <c r="K174" s="28" t="str">
        <f>IF(Backlog!$B$173&lt;&gt;"",Backlog!$B$173,"")</f>
        <v/>
      </c>
      <c r="L174" s="29" t="str">
        <f>IF(Backlog!$C$173&lt;&gt;"",Backlog!$C$173,"")</f>
        <v/>
      </c>
      <c r="N174" s="21" t="str">
        <f>IF(Completed!$A$173&lt;&gt;"",Completed!$A$173,"")</f>
        <v/>
      </c>
      <c r="O174" s="28" t="str">
        <f>IF(Completed!$B$173&lt;&gt;"",Completed!$B$173,"")</f>
        <v/>
      </c>
      <c r="P174" s="28" t="str">
        <f ca="1">IF($N$174&lt;&gt;"", INDIRECT("'Tracker'!"&amp;ADDRESS(MATCH($N$174, Tracker[Anime Name], 0) + 2, 3)), "")</f>
        <v/>
      </c>
      <c r="Q174" s="22" t="str">
        <f ca="1">IF($N$174&lt;&gt;"", INDIRECT("'Tracker'!"&amp;ADDRESS(MATCH($N$174, Tracker[Anime Name], 0) + 2, 4)), "")</f>
        <v/>
      </c>
      <c r="R174" s="22" t="str">
        <f ca="1">IF($N$174&lt;&gt;"", INDIRECT("'Tracker'!"&amp;ADDRESS(MATCH($N$174, Tracker[Anime Name], 0) + 2, 5)), "")</f>
        <v/>
      </c>
      <c r="S174" s="22" t="str">
        <f ca="1">IF($N$174&lt;&gt;"", INDIRECT("'Tracker'!"&amp;ADDRESS(MATCH($N$174, Tracker[Anime Name], 0) + 2, 6)), "")</f>
        <v/>
      </c>
      <c r="T174" s="22" t="str">
        <f ca="1">IF($N$174&lt;&gt;"", INDIRECT("'Tracker'!"&amp;ADDRESS(MATCH($N$174, Tracker[Anime Name], 0) + 2, 7)), "")</f>
        <v/>
      </c>
      <c r="U174" s="28" t="str">
        <f ca="1">IF($N$174&lt;&gt;"", INDIRECT("'Tracker'!"&amp;ADDRESS(MATCH($N$174, Tracker[Anime Name], 0) + 2, 8)), "")</f>
        <v/>
      </c>
      <c r="V174" s="53" t="str">
        <f>IF(Completed!$C$173&lt;&gt;"",Completed!$C$173,"")</f>
        <v/>
      </c>
      <c r="W174" s="53" t="str">
        <f>IF(Completed!$D$173&lt;&gt;"",Completed!$D$173,"")</f>
        <v/>
      </c>
      <c r="X174" s="53" t="str">
        <f>IF(Completed!$E$173&lt;&gt;"",Completed!$E$173,"")</f>
        <v/>
      </c>
      <c r="Y174" s="53" t="str">
        <f>IF(Completed!$F$173&lt;&gt;"",Completed!$F$173,"")</f>
        <v/>
      </c>
      <c r="Z174" s="65" t="str">
        <f>IF(Completed!$G$173&lt;&gt;"",Completed!$G$173,"")</f>
        <v/>
      </c>
      <c r="AA174" s="75" t="str">
        <f>IF(Completed!$H$173&lt;&gt;"",Completed!$H$173,"")</f>
        <v/>
      </c>
      <c r="AB174" s="54" t="str">
        <f>IF(Completed!$I$173&lt;&gt;"",Completed!$I$173,"")</f>
        <v/>
      </c>
      <c r="AC174" s="54" t="str">
        <f>IF(Completed!$J$173&lt;&gt;"",Completed!$J$173,"")</f>
        <v/>
      </c>
      <c r="AD174" s="66" t="str">
        <f>IF(Completed!$K$173&lt;&gt;"",Completed!$K$173,"")</f>
        <v/>
      </c>
      <c r="AE174" s="66" t="str">
        <f>IF(Completed!$L$173&lt;&gt;"",Completed!$L$173,"")</f>
        <v/>
      </c>
    </row>
    <row r="175" spans="10:31">
      <c r="J175" s="21" t="str">
        <f>IF(Backlog!$A$174&lt;&gt;"",Backlog!$A$174,"")</f>
        <v/>
      </c>
      <c r="K175" s="28" t="str">
        <f>IF(Backlog!$B$174&lt;&gt;"",Backlog!$B$174,"")</f>
        <v/>
      </c>
      <c r="L175" s="29" t="str">
        <f>IF(Backlog!$C$174&lt;&gt;"",Backlog!$C$174,"")</f>
        <v/>
      </c>
      <c r="N175" s="21" t="str">
        <f>IF(Completed!$A$174&lt;&gt;"",Completed!$A$174,"")</f>
        <v/>
      </c>
      <c r="O175" s="28" t="str">
        <f>IF(Completed!$B$174&lt;&gt;"",Completed!$B$174,"")</f>
        <v/>
      </c>
      <c r="P175" s="28" t="str">
        <f ca="1">IF($N$175&lt;&gt;"", INDIRECT("'Tracker'!"&amp;ADDRESS(MATCH($N$175, Tracker[Anime Name], 0) + 2, 3)), "")</f>
        <v/>
      </c>
      <c r="Q175" s="22" t="str">
        <f ca="1">IF($N$175&lt;&gt;"", INDIRECT("'Tracker'!"&amp;ADDRESS(MATCH($N$175, Tracker[Anime Name], 0) + 2, 4)), "")</f>
        <v/>
      </c>
      <c r="R175" s="22" t="str">
        <f ca="1">IF($N$175&lt;&gt;"", INDIRECT("'Tracker'!"&amp;ADDRESS(MATCH($N$175, Tracker[Anime Name], 0) + 2, 5)), "")</f>
        <v/>
      </c>
      <c r="S175" s="22" t="str">
        <f ca="1">IF($N$175&lt;&gt;"", INDIRECT("'Tracker'!"&amp;ADDRESS(MATCH($N$175, Tracker[Anime Name], 0) + 2, 6)), "")</f>
        <v/>
      </c>
      <c r="T175" s="22" t="str">
        <f ca="1">IF($N$175&lt;&gt;"", INDIRECT("'Tracker'!"&amp;ADDRESS(MATCH($N$175, Tracker[Anime Name], 0) + 2, 7)), "")</f>
        <v/>
      </c>
      <c r="U175" s="28" t="str">
        <f ca="1">IF($N$175&lt;&gt;"", INDIRECT("'Tracker'!"&amp;ADDRESS(MATCH($N$175, Tracker[Anime Name], 0) + 2, 8)), "")</f>
        <v/>
      </c>
      <c r="V175" s="53" t="str">
        <f>IF(Completed!$C$174&lt;&gt;"",Completed!$C$174,"")</f>
        <v/>
      </c>
      <c r="W175" s="53" t="str">
        <f>IF(Completed!$D$174&lt;&gt;"",Completed!$D$174,"")</f>
        <v/>
      </c>
      <c r="X175" s="53" t="str">
        <f>IF(Completed!$E$174&lt;&gt;"",Completed!$E$174,"")</f>
        <v/>
      </c>
      <c r="Y175" s="53" t="str">
        <f>IF(Completed!$F$174&lt;&gt;"",Completed!$F$174,"")</f>
        <v/>
      </c>
      <c r="Z175" s="65" t="str">
        <f>IF(Completed!$G$174&lt;&gt;"",Completed!$G$174,"")</f>
        <v/>
      </c>
      <c r="AA175" s="75" t="str">
        <f>IF(Completed!$H$174&lt;&gt;"",Completed!$H$174,"")</f>
        <v/>
      </c>
      <c r="AB175" s="54" t="str">
        <f>IF(Completed!$I$174&lt;&gt;"",Completed!$I$174,"")</f>
        <v/>
      </c>
      <c r="AC175" s="54" t="str">
        <f>IF(Completed!$J$174&lt;&gt;"",Completed!$J$174,"")</f>
        <v/>
      </c>
      <c r="AD175" s="66" t="str">
        <f>IF(Completed!$K$174&lt;&gt;"",Completed!$K$174,"")</f>
        <v/>
      </c>
      <c r="AE175" s="66" t="str">
        <f>IF(Completed!$L$174&lt;&gt;"",Completed!$L$174,"")</f>
        <v/>
      </c>
    </row>
    <row r="176" spans="10:31">
      <c r="J176" s="21" t="str">
        <f>IF(Backlog!$A$175&lt;&gt;"",Backlog!$A$175,"")</f>
        <v/>
      </c>
      <c r="K176" s="28" t="str">
        <f>IF(Backlog!$B$175&lt;&gt;"",Backlog!$B$175,"")</f>
        <v/>
      </c>
      <c r="L176" s="29" t="str">
        <f>IF(Backlog!$C$175&lt;&gt;"",Backlog!$C$175,"")</f>
        <v/>
      </c>
      <c r="N176" s="21" t="str">
        <f>IF(Completed!$A$175&lt;&gt;"",Completed!$A$175,"")</f>
        <v/>
      </c>
      <c r="O176" s="28" t="str">
        <f>IF(Completed!$B$175&lt;&gt;"",Completed!$B$175,"")</f>
        <v/>
      </c>
      <c r="P176" s="28" t="str">
        <f ca="1">IF($N$176&lt;&gt;"", INDIRECT("'Tracker'!"&amp;ADDRESS(MATCH($N$176, Tracker[Anime Name], 0) + 2, 3)), "")</f>
        <v/>
      </c>
      <c r="Q176" s="22" t="str">
        <f ca="1">IF($N$176&lt;&gt;"", INDIRECT("'Tracker'!"&amp;ADDRESS(MATCH($N$176, Tracker[Anime Name], 0) + 2, 4)), "")</f>
        <v/>
      </c>
      <c r="R176" s="22" t="str">
        <f ca="1">IF($N$176&lt;&gt;"", INDIRECT("'Tracker'!"&amp;ADDRESS(MATCH($N$176, Tracker[Anime Name], 0) + 2, 5)), "")</f>
        <v/>
      </c>
      <c r="S176" s="22" t="str">
        <f ca="1">IF($N$176&lt;&gt;"", INDIRECT("'Tracker'!"&amp;ADDRESS(MATCH($N$176, Tracker[Anime Name], 0) + 2, 6)), "")</f>
        <v/>
      </c>
      <c r="T176" s="22" t="str">
        <f ca="1">IF($N$176&lt;&gt;"", INDIRECT("'Tracker'!"&amp;ADDRESS(MATCH($N$176, Tracker[Anime Name], 0) + 2, 7)), "")</f>
        <v/>
      </c>
      <c r="U176" s="28" t="str">
        <f ca="1">IF($N$176&lt;&gt;"", INDIRECT("'Tracker'!"&amp;ADDRESS(MATCH($N$176, Tracker[Anime Name], 0) + 2, 8)), "")</f>
        <v/>
      </c>
      <c r="V176" s="53" t="str">
        <f>IF(Completed!$C$175&lt;&gt;"",Completed!$C$175,"")</f>
        <v/>
      </c>
      <c r="W176" s="53" t="str">
        <f>IF(Completed!$D$175&lt;&gt;"",Completed!$D$175,"")</f>
        <v/>
      </c>
      <c r="X176" s="53" t="str">
        <f>IF(Completed!$E$175&lt;&gt;"",Completed!$E$175,"")</f>
        <v/>
      </c>
      <c r="Y176" s="53" t="str">
        <f>IF(Completed!$F$175&lt;&gt;"",Completed!$F$175,"")</f>
        <v/>
      </c>
      <c r="Z176" s="65" t="str">
        <f>IF(Completed!$G$175&lt;&gt;"",Completed!$G$175,"")</f>
        <v/>
      </c>
      <c r="AA176" s="75" t="str">
        <f>IF(Completed!$H$175&lt;&gt;"",Completed!$H$175,"")</f>
        <v/>
      </c>
      <c r="AB176" s="54" t="str">
        <f>IF(Completed!$I$175&lt;&gt;"",Completed!$I$175,"")</f>
        <v/>
      </c>
      <c r="AC176" s="54" t="str">
        <f>IF(Completed!$J$175&lt;&gt;"",Completed!$J$175,"")</f>
        <v/>
      </c>
      <c r="AD176" s="66" t="str">
        <f>IF(Completed!$K$175&lt;&gt;"",Completed!$K$175,"")</f>
        <v/>
      </c>
      <c r="AE176" s="66" t="str">
        <f>IF(Completed!$L$175&lt;&gt;"",Completed!$L$175,"")</f>
        <v/>
      </c>
    </row>
    <row r="177" spans="10:31">
      <c r="J177" s="21" t="str">
        <f>IF(Backlog!$A$176&lt;&gt;"",Backlog!$A$176,"")</f>
        <v/>
      </c>
      <c r="K177" s="28" t="str">
        <f>IF(Backlog!$B$176&lt;&gt;"",Backlog!$B$176,"")</f>
        <v/>
      </c>
      <c r="L177" s="29" t="str">
        <f>IF(Backlog!$C$176&lt;&gt;"",Backlog!$C$176,"")</f>
        <v/>
      </c>
      <c r="N177" s="21" t="str">
        <f>IF(Completed!$A$176&lt;&gt;"",Completed!$A$176,"")</f>
        <v/>
      </c>
      <c r="O177" s="28" t="str">
        <f>IF(Completed!$B$176&lt;&gt;"",Completed!$B$176,"")</f>
        <v/>
      </c>
      <c r="P177" s="28" t="str">
        <f ca="1">IF($N$177&lt;&gt;"", INDIRECT("'Tracker'!"&amp;ADDRESS(MATCH($N$177, Tracker[Anime Name], 0) + 2, 3)), "")</f>
        <v/>
      </c>
      <c r="Q177" s="22" t="str">
        <f ca="1">IF($N$177&lt;&gt;"", INDIRECT("'Tracker'!"&amp;ADDRESS(MATCH($N$177, Tracker[Anime Name], 0) + 2, 4)), "")</f>
        <v/>
      </c>
      <c r="R177" s="22" t="str">
        <f ca="1">IF($N$177&lt;&gt;"", INDIRECT("'Tracker'!"&amp;ADDRESS(MATCH($N$177, Tracker[Anime Name], 0) + 2, 5)), "")</f>
        <v/>
      </c>
      <c r="S177" s="22" t="str">
        <f ca="1">IF($N$177&lt;&gt;"", INDIRECT("'Tracker'!"&amp;ADDRESS(MATCH($N$177, Tracker[Anime Name], 0) + 2, 6)), "")</f>
        <v/>
      </c>
      <c r="T177" s="22" t="str">
        <f ca="1">IF($N$177&lt;&gt;"", INDIRECT("'Tracker'!"&amp;ADDRESS(MATCH($N$177, Tracker[Anime Name], 0) + 2, 7)), "")</f>
        <v/>
      </c>
      <c r="U177" s="28" t="str">
        <f ca="1">IF($N$177&lt;&gt;"", INDIRECT("'Tracker'!"&amp;ADDRESS(MATCH($N$177, Tracker[Anime Name], 0) + 2, 8)), "")</f>
        <v/>
      </c>
      <c r="V177" s="53" t="str">
        <f>IF(Completed!$C$176&lt;&gt;"",Completed!$C$176,"")</f>
        <v/>
      </c>
      <c r="W177" s="53" t="str">
        <f>IF(Completed!$D$176&lt;&gt;"",Completed!$D$176,"")</f>
        <v/>
      </c>
      <c r="X177" s="53" t="str">
        <f>IF(Completed!$E$176&lt;&gt;"",Completed!$E$176,"")</f>
        <v/>
      </c>
      <c r="Y177" s="53" t="str">
        <f>IF(Completed!$F$176&lt;&gt;"",Completed!$F$176,"")</f>
        <v/>
      </c>
      <c r="Z177" s="65" t="str">
        <f>IF(Completed!$G$176&lt;&gt;"",Completed!$G$176,"")</f>
        <v/>
      </c>
      <c r="AA177" s="75" t="str">
        <f>IF(Completed!$H$176&lt;&gt;"",Completed!$H$176,"")</f>
        <v/>
      </c>
      <c r="AB177" s="54" t="str">
        <f>IF(Completed!$I$176&lt;&gt;"",Completed!$I$176,"")</f>
        <v/>
      </c>
      <c r="AC177" s="54" t="str">
        <f>IF(Completed!$J$176&lt;&gt;"",Completed!$J$176,"")</f>
        <v/>
      </c>
      <c r="AD177" s="66" t="str">
        <f>IF(Completed!$K$176&lt;&gt;"",Completed!$K$176,"")</f>
        <v/>
      </c>
      <c r="AE177" s="66" t="str">
        <f>IF(Completed!$L$176&lt;&gt;"",Completed!$L$176,"")</f>
        <v/>
      </c>
    </row>
    <row r="178" spans="10:31">
      <c r="J178" s="21" t="str">
        <f>IF(Backlog!$A$177&lt;&gt;"",Backlog!$A$177,"")</f>
        <v/>
      </c>
      <c r="K178" s="28" t="str">
        <f>IF(Backlog!$B$177&lt;&gt;"",Backlog!$B$177,"")</f>
        <v/>
      </c>
      <c r="L178" s="29" t="str">
        <f>IF(Backlog!$C$177&lt;&gt;"",Backlog!$C$177,"")</f>
        <v/>
      </c>
      <c r="N178" s="21" t="str">
        <f>IF(Completed!$A$177&lt;&gt;"",Completed!$A$177,"")</f>
        <v/>
      </c>
      <c r="O178" s="28" t="str">
        <f>IF(Completed!$B$177&lt;&gt;"",Completed!$B$177,"")</f>
        <v/>
      </c>
      <c r="P178" s="28" t="str">
        <f ca="1">IF($N$178&lt;&gt;"", INDIRECT("'Tracker'!"&amp;ADDRESS(MATCH($N$178, Tracker[Anime Name], 0) + 2, 3)), "")</f>
        <v/>
      </c>
      <c r="Q178" s="22" t="str">
        <f ca="1">IF($N$178&lt;&gt;"", INDIRECT("'Tracker'!"&amp;ADDRESS(MATCH($N$178, Tracker[Anime Name], 0) + 2, 4)), "")</f>
        <v/>
      </c>
      <c r="R178" s="22" t="str">
        <f ca="1">IF($N$178&lt;&gt;"", INDIRECT("'Tracker'!"&amp;ADDRESS(MATCH($N$178, Tracker[Anime Name], 0) + 2, 5)), "")</f>
        <v/>
      </c>
      <c r="S178" s="22" t="str">
        <f ca="1">IF($N$178&lt;&gt;"", INDIRECT("'Tracker'!"&amp;ADDRESS(MATCH($N$178, Tracker[Anime Name], 0) + 2, 6)), "")</f>
        <v/>
      </c>
      <c r="T178" s="22" t="str">
        <f ca="1">IF($N$178&lt;&gt;"", INDIRECT("'Tracker'!"&amp;ADDRESS(MATCH($N$178, Tracker[Anime Name], 0) + 2, 7)), "")</f>
        <v/>
      </c>
      <c r="U178" s="28" t="str">
        <f ca="1">IF($N$178&lt;&gt;"", INDIRECT("'Tracker'!"&amp;ADDRESS(MATCH($N$178, Tracker[Anime Name], 0) + 2, 8)), "")</f>
        <v/>
      </c>
      <c r="V178" s="53" t="str">
        <f>IF(Completed!$C$177&lt;&gt;"",Completed!$C$177,"")</f>
        <v/>
      </c>
      <c r="W178" s="53" t="str">
        <f>IF(Completed!$D$177&lt;&gt;"",Completed!$D$177,"")</f>
        <v/>
      </c>
      <c r="X178" s="53" t="str">
        <f>IF(Completed!$E$177&lt;&gt;"",Completed!$E$177,"")</f>
        <v/>
      </c>
      <c r="Y178" s="53" t="str">
        <f>IF(Completed!$F$177&lt;&gt;"",Completed!$F$177,"")</f>
        <v/>
      </c>
      <c r="Z178" s="65" t="str">
        <f>IF(Completed!$G$177&lt;&gt;"",Completed!$G$177,"")</f>
        <v/>
      </c>
      <c r="AA178" s="75" t="str">
        <f>IF(Completed!$H$177&lt;&gt;"",Completed!$H$177,"")</f>
        <v/>
      </c>
      <c r="AB178" s="54" t="str">
        <f>IF(Completed!$I$177&lt;&gt;"",Completed!$I$177,"")</f>
        <v/>
      </c>
      <c r="AC178" s="54" t="str">
        <f>IF(Completed!$J$177&lt;&gt;"",Completed!$J$177,"")</f>
        <v/>
      </c>
      <c r="AD178" s="66" t="str">
        <f>IF(Completed!$K$177&lt;&gt;"",Completed!$K$177,"")</f>
        <v/>
      </c>
      <c r="AE178" s="66" t="str">
        <f>IF(Completed!$L$177&lt;&gt;"",Completed!$L$177,"")</f>
        <v/>
      </c>
    </row>
    <row r="179" spans="10:31">
      <c r="J179" s="21" t="str">
        <f>IF(Backlog!$A$178&lt;&gt;"",Backlog!$A$178,"")</f>
        <v/>
      </c>
      <c r="K179" s="28" t="str">
        <f>IF(Backlog!$B$178&lt;&gt;"",Backlog!$B$178,"")</f>
        <v/>
      </c>
      <c r="L179" s="29" t="str">
        <f>IF(Backlog!$C$178&lt;&gt;"",Backlog!$C$178,"")</f>
        <v/>
      </c>
      <c r="N179" s="21" t="str">
        <f>IF(Completed!$A$178&lt;&gt;"",Completed!$A$178,"")</f>
        <v/>
      </c>
      <c r="O179" s="28" t="str">
        <f>IF(Completed!$B$178&lt;&gt;"",Completed!$B$178,"")</f>
        <v/>
      </c>
      <c r="P179" s="28" t="str">
        <f ca="1">IF($N$179&lt;&gt;"", INDIRECT("'Tracker'!"&amp;ADDRESS(MATCH($N$179, Tracker[Anime Name], 0) + 2, 3)), "")</f>
        <v/>
      </c>
      <c r="Q179" s="22" t="str">
        <f ca="1">IF($N$179&lt;&gt;"", INDIRECT("'Tracker'!"&amp;ADDRESS(MATCH($N$179, Tracker[Anime Name], 0) + 2, 4)), "")</f>
        <v/>
      </c>
      <c r="R179" s="22" t="str">
        <f ca="1">IF($N$179&lt;&gt;"", INDIRECT("'Tracker'!"&amp;ADDRESS(MATCH($N$179, Tracker[Anime Name], 0) + 2, 5)), "")</f>
        <v/>
      </c>
      <c r="S179" s="22" t="str">
        <f ca="1">IF($N$179&lt;&gt;"", INDIRECT("'Tracker'!"&amp;ADDRESS(MATCH($N$179, Tracker[Anime Name], 0) + 2, 6)), "")</f>
        <v/>
      </c>
      <c r="T179" s="22" t="str">
        <f ca="1">IF($N$179&lt;&gt;"", INDIRECT("'Tracker'!"&amp;ADDRESS(MATCH($N$179, Tracker[Anime Name], 0) + 2, 7)), "")</f>
        <v/>
      </c>
      <c r="U179" s="28" t="str">
        <f ca="1">IF($N$179&lt;&gt;"", INDIRECT("'Tracker'!"&amp;ADDRESS(MATCH($N$179, Tracker[Anime Name], 0) + 2, 8)), "")</f>
        <v/>
      </c>
      <c r="V179" s="53" t="str">
        <f>IF(Completed!$C$178&lt;&gt;"",Completed!$C$178,"")</f>
        <v/>
      </c>
      <c r="W179" s="53" t="str">
        <f>IF(Completed!$D$178&lt;&gt;"",Completed!$D$178,"")</f>
        <v/>
      </c>
      <c r="X179" s="53" t="str">
        <f>IF(Completed!$E$178&lt;&gt;"",Completed!$E$178,"")</f>
        <v/>
      </c>
      <c r="Y179" s="53" t="str">
        <f>IF(Completed!$F$178&lt;&gt;"",Completed!$F$178,"")</f>
        <v/>
      </c>
      <c r="Z179" s="65" t="str">
        <f>IF(Completed!$G$178&lt;&gt;"",Completed!$G$178,"")</f>
        <v/>
      </c>
      <c r="AA179" s="75" t="str">
        <f>IF(Completed!$H$178&lt;&gt;"",Completed!$H$178,"")</f>
        <v/>
      </c>
      <c r="AB179" s="54" t="str">
        <f>IF(Completed!$I$178&lt;&gt;"",Completed!$I$178,"")</f>
        <v/>
      </c>
      <c r="AC179" s="54" t="str">
        <f>IF(Completed!$J$178&lt;&gt;"",Completed!$J$178,"")</f>
        <v/>
      </c>
      <c r="AD179" s="66" t="str">
        <f>IF(Completed!$K$178&lt;&gt;"",Completed!$K$178,"")</f>
        <v/>
      </c>
      <c r="AE179" s="66" t="str">
        <f>IF(Completed!$L$178&lt;&gt;"",Completed!$L$178,"")</f>
        <v/>
      </c>
    </row>
    <row r="180" spans="10:31">
      <c r="J180" s="21" t="str">
        <f>IF(Backlog!$A$179&lt;&gt;"",Backlog!$A$179,"")</f>
        <v/>
      </c>
      <c r="K180" s="28" t="str">
        <f>IF(Backlog!$B$179&lt;&gt;"",Backlog!$B$179,"")</f>
        <v/>
      </c>
      <c r="L180" s="29" t="str">
        <f>IF(Backlog!$C$179&lt;&gt;"",Backlog!$C$179,"")</f>
        <v/>
      </c>
      <c r="N180" s="21" t="str">
        <f>IF(Completed!$A$179&lt;&gt;"",Completed!$A$179,"")</f>
        <v/>
      </c>
      <c r="O180" s="28" t="str">
        <f>IF(Completed!$B$179&lt;&gt;"",Completed!$B$179,"")</f>
        <v/>
      </c>
      <c r="P180" s="28" t="str">
        <f ca="1">IF($N$180&lt;&gt;"", INDIRECT("'Tracker'!"&amp;ADDRESS(MATCH($N$180, Tracker[Anime Name], 0) + 2, 3)), "")</f>
        <v/>
      </c>
      <c r="Q180" s="22" t="str">
        <f ca="1">IF($N$180&lt;&gt;"", INDIRECT("'Tracker'!"&amp;ADDRESS(MATCH($N$180, Tracker[Anime Name], 0) + 2, 4)), "")</f>
        <v/>
      </c>
      <c r="R180" s="22" t="str">
        <f ca="1">IF($N$180&lt;&gt;"", INDIRECT("'Tracker'!"&amp;ADDRESS(MATCH($N$180, Tracker[Anime Name], 0) + 2, 5)), "")</f>
        <v/>
      </c>
      <c r="S180" s="22" t="str">
        <f ca="1">IF($N$180&lt;&gt;"", INDIRECT("'Tracker'!"&amp;ADDRESS(MATCH($N$180, Tracker[Anime Name], 0) + 2, 6)), "")</f>
        <v/>
      </c>
      <c r="T180" s="22" t="str">
        <f ca="1">IF($N$180&lt;&gt;"", INDIRECT("'Tracker'!"&amp;ADDRESS(MATCH($N$180, Tracker[Anime Name], 0) + 2, 7)), "")</f>
        <v/>
      </c>
      <c r="U180" s="28" t="str">
        <f ca="1">IF($N$180&lt;&gt;"", INDIRECT("'Tracker'!"&amp;ADDRESS(MATCH($N$180, Tracker[Anime Name], 0) + 2, 8)), "")</f>
        <v/>
      </c>
      <c r="V180" s="53" t="str">
        <f>IF(Completed!$C$179&lt;&gt;"",Completed!$C$179,"")</f>
        <v/>
      </c>
      <c r="W180" s="53" t="str">
        <f>IF(Completed!$D$179&lt;&gt;"",Completed!$D$179,"")</f>
        <v/>
      </c>
      <c r="X180" s="53" t="str">
        <f>IF(Completed!$E$179&lt;&gt;"",Completed!$E$179,"")</f>
        <v/>
      </c>
      <c r="Y180" s="53" t="str">
        <f>IF(Completed!$F$179&lt;&gt;"",Completed!$F$179,"")</f>
        <v/>
      </c>
      <c r="Z180" s="65" t="str">
        <f>IF(Completed!$G$179&lt;&gt;"",Completed!$G$179,"")</f>
        <v/>
      </c>
      <c r="AA180" s="75" t="str">
        <f>IF(Completed!$H$179&lt;&gt;"",Completed!$H$179,"")</f>
        <v/>
      </c>
      <c r="AB180" s="54" t="str">
        <f>IF(Completed!$I$179&lt;&gt;"",Completed!$I$179,"")</f>
        <v/>
      </c>
      <c r="AC180" s="54" t="str">
        <f>IF(Completed!$J$179&lt;&gt;"",Completed!$J$179,"")</f>
        <v/>
      </c>
      <c r="AD180" s="66" t="str">
        <f>IF(Completed!$K$179&lt;&gt;"",Completed!$K$179,"")</f>
        <v/>
      </c>
      <c r="AE180" s="66" t="str">
        <f>IF(Completed!$L$179&lt;&gt;"",Completed!$L$179,"")</f>
        <v/>
      </c>
    </row>
    <row r="181" spans="10:31">
      <c r="J181" s="21" t="str">
        <f>IF(Backlog!$A$180&lt;&gt;"",Backlog!$A$180,"")</f>
        <v/>
      </c>
      <c r="K181" s="28" t="str">
        <f>IF(Backlog!$B$180&lt;&gt;"",Backlog!$B$180,"")</f>
        <v/>
      </c>
      <c r="L181" s="29" t="str">
        <f>IF(Backlog!$C$180&lt;&gt;"",Backlog!$C$180,"")</f>
        <v/>
      </c>
      <c r="N181" s="21" t="str">
        <f>IF(Completed!$A$180&lt;&gt;"",Completed!$A$180,"")</f>
        <v/>
      </c>
      <c r="O181" s="28" t="str">
        <f>IF(Completed!$B$180&lt;&gt;"",Completed!$B$180,"")</f>
        <v/>
      </c>
      <c r="P181" s="28" t="str">
        <f ca="1">IF($N$181&lt;&gt;"", INDIRECT("'Tracker'!"&amp;ADDRESS(MATCH($N$181, Tracker[Anime Name], 0) + 2, 3)), "")</f>
        <v/>
      </c>
      <c r="Q181" s="22" t="str">
        <f ca="1">IF($N$181&lt;&gt;"", INDIRECT("'Tracker'!"&amp;ADDRESS(MATCH($N$181, Tracker[Anime Name], 0) + 2, 4)), "")</f>
        <v/>
      </c>
      <c r="R181" s="22" t="str">
        <f ca="1">IF($N$181&lt;&gt;"", INDIRECT("'Tracker'!"&amp;ADDRESS(MATCH($N$181, Tracker[Anime Name], 0) + 2, 5)), "")</f>
        <v/>
      </c>
      <c r="S181" s="22" t="str">
        <f ca="1">IF($N$181&lt;&gt;"", INDIRECT("'Tracker'!"&amp;ADDRESS(MATCH($N$181, Tracker[Anime Name], 0) + 2, 6)), "")</f>
        <v/>
      </c>
      <c r="T181" s="22" t="str">
        <f ca="1">IF($N$181&lt;&gt;"", INDIRECT("'Tracker'!"&amp;ADDRESS(MATCH($N$181, Tracker[Anime Name], 0) + 2, 7)), "")</f>
        <v/>
      </c>
      <c r="U181" s="28" t="str">
        <f ca="1">IF($N$181&lt;&gt;"", INDIRECT("'Tracker'!"&amp;ADDRESS(MATCH($N$181, Tracker[Anime Name], 0) + 2, 8)), "")</f>
        <v/>
      </c>
      <c r="V181" s="53" t="str">
        <f>IF(Completed!$C$180&lt;&gt;"",Completed!$C$180,"")</f>
        <v/>
      </c>
      <c r="W181" s="53" t="str">
        <f>IF(Completed!$D$180&lt;&gt;"",Completed!$D$180,"")</f>
        <v/>
      </c>
      <c r="X181" s="53" t="str">
        <f>IF(Completed!$E$180&lt;&gt;"",Completed!$E$180,"")</f>
        <v/>
      </c>
      <c r="Y181" s="53" t="str">
        <f>IF(Completed!$F$180&lt;&gt;"",Completed!$F$180,"")</f>
        <v/>
      </c>
      <c r="Z181" s="65" t="str">
        <f>IF(Completed!$G$180&lt;&gt;"",Completed!$G$180,"")</f>
        <v/>
      </c>
      <c r="AA181" s="75" t="str">
        <f>IF(Completed!$H$180&lt;&gt;"",Completed!$H$180,"")</f>
        <v/>
      </c>
      <c r="AB181" s="54" t="str">
        <f>IF(Completed!$I$180&lt;&gt;"",Completed!$I$180,"")</f>
        <v/>
      </c>
      <c r="AC181" s="54" t="str">
        <f>IF(Completed!$J$180&lt;&gt;"",Completed!$J$180,"")</f>
        <v/>
      </c>
      <c r="AD181" s="66" t="str">
        <f>IF(Completed!$K$180&lt;&gt;"",Completed!$K$180,"")</f>
        <v/>
      </c>
      <c r="AE181" s="66" t="str">
        <f>IF(Completed!$L$180&lt;&gt;"",Completed!$L$180,"")</f>
        <v/>
      </c>
    </row>
    <row r="182" spans="10:31">
      <c r="J182" s="21" t="str">
        <f>IF(Backlog!$A$181&lt;&gt;"",Backlog!$A$181,"")</f>
        <v/>
      </c>
      <c r="K182" s="28" t="str">
        <f>IF(Backlog!$B$181&lt;&gt;"",Backlog!$B$181,"")</f>
        <v/>
      </c>
      <c r="L182" s="29" t="str">
        <f>IF(Backlog!$C$181&lt;&gt;"",Backlog!$C$181,"")</f>
        <v/>
      </c>
      <c r="N182" s="21" t="str">
        <f>IF(Completed!$A$181&lt;&gt;"",Completed!$A$181,"")</f>
        <v/>
      </c>
      <c r="O182" s="28" t="str">
        <f>IF(Completed!$B$181&lt;&gt;"",Completed!$B$181,"")</f>
        <v/>
      </c>
      <c r="P182" s="28" t="str">
        <f ca="1">IF($N$182&lt;&gt;"", INDIRECT("'Tracker'!"&amp;ADDRESS(MATCH($N$182, Tracker[Anime Name], 0) + 2, 3)), "")</f>
        <v/>
      </c>
      <c r="Q182" s="22" t="str">
        <f ca="1">IF($N$182&lt;&gt;"", INDIRECT("'Tracker'!"&amp;ADDRESS(MATCH($N$182, Tracker[Anime Name], 0) + 2, 4)), "")</f>
        <v/>
      </c>
      <c r="R182" s="22" t="str">
        <f ca="1">IF($N$182&lt;&gt;"", INDIRECT("'Tracker'!"&amp;ADDRESS(MATCH($N$182, Tracker[Anime Name], 0) + 2, 5)), "")</f>
        <v/>
      </c>
      <c r="S182" s="22" t="str">
        <f ca="1">IF($N$182&lt;&gt;"", INDIRECT("'Tracker'!"&amp;ADDRESS(MATCH($N$182, Tracker[Anime Name], 0) + 2, 6)), "")</f>
        <v/>
      </c>
      <c r="T182" s="22" t="str">
        <f ca="1">IF($N$182&lt;&gt;"", INDIRECT("'Tracker'!"&amp;ADDRESS(MATCH($N$182, Tracker[Anime Name], 0) + 2, 7)), "")</f>
        <v/>
      </c>
      <c r="U182" s="28" t="str">
        <f ca="1">IF($N$182&lt;&gt;"", INDIRECT("'Tracker'!"&amp;ADDRESS(MATCH($N$182, Tracker[Anime Name], 0) + 2, 8)), "")</f>
        <v/>
      </c>
      <c r="V182" s="53" t="str">
        <f>IF(Completed!$C$181&lt;&gt;"",Completed!$C$181,"")</f>
        <v/>
      </c>
      <c r="W182" s="53" t="str">
        <f>IF(Completed!$D$181&lt;&gt;"",Completed!$D$181,"")</f>
        <v/>
      </c>
      <c r="X182" s="53" t="str">
        <f>IF(Completed!$E$181&lt;&gt;"",Completed!$E$181,"")</f>
        <v/>
      </c>
      <c r="Y182" s="53" t="str">
        <f>IF(Completed!$F$181&lt;&gt;"",Completed!$F$181,"")</f>
        <v/>
      </c>
      <c r="Z182" s="65" t="str">
        <f>IF(Completed!$G$181&lt;&gt;"",Completed!$G$181,"")</f>
        <v/>
      </c>
      <c r="AA182" s="75" t="str">
        <f>IF(Completed!$H$181&lt;&gt;"",Completed!$H$181,"")</f>
        <v/>
      </c>
      <c r="AB182" s="54" t="str">
        <f>IF(Completed!$I$181&lt;&gt;"",Completed!$I$181,"")</f>
        <v/>
      </c>
      <c r="AC182" s="54" t="str">
        <f>IF(Completed!$J$181&lt;&gt;"",Completed!$J$181,"")</f>
        <v/>
      </c>
      <c r="AD182" s="66" t="str">
        <f>IF(Completed!$K$181&lt;&gt;"",Completed!$K$181,"")</f>
        <v/>
      </c>
      <c r="AE182" s="66" t="str">
        <f>IF(Completed!$L$181&lt;&gt;"",Completed!$L$181,"")</f>
        <v/>
      </c>
    </row>
    <row r="183" spans="10:31">
      <c r="J183" s="21" t="str">
        <f>IF(Backlog!$A$182&lt;&gt;"",Backlog!$A$182,"")</f>
        <v/>
      </c>
      <c r="K183" s="28" t="str">
        <f>IF(Backlog!$B$182&lt;&gt;"",Backlog!$B$182,"")</f>
        <v/>
      </c>
      <c r="L183" s="29" t="str">
        <f>IF(Backlog!$C$182&lt;&gt;"",Backlog!$C$182,"")</f>
        <v/>
      </c>
      <c r="N183" s="21" t="str">
        <f>IF(Completed!$A$182&lt;&gt;"",Completed!$A$182,"")</f>
        <v/>
      </c>
      <c r="O183" s="28" t="str">
        <f>IF(Completed!$B$182&lt;&gt;"",Completed!$B$182,"")</f>
        <v/>
      </c>
      <c r="P183" s="28" t="str">
        <f ca="1">IF($N$183&lt;&gt;"", INDIRECT("'Tracker'!"&amp;ADDRESS(MATCH($N$183, Tracker[Anime Name], 0) + 2, 3)), "")</f>
        <v/>
      </c>
      <c r="Q183" s="22" t="str">
        <f ca="1">IF($N$183&lt;&gt;"", INDIRECT("'Tracker'!"&amp;ADDRESS(MATCH($N$183, Tracker[Anime Name], 0) + 2, 4)), "")</f>
        <v/>
      </c>
      <c r="R183" s="22" t="str">
        <f ca="1">IF($N$183&lt;&gt;"", INDIRECT("'Tracker'!"&amp;ADDRESS(MATCH($N$183, Tracker[Anime Name], 0) + 2, 5)), "")</f>
        <v/>
      </c>
      <c r="S183" s="22" t="str">
        <f ca="1">IF($N$183&lt;&gt;"", INDIRECT("'Tracker'!"&amp;ADDRESS(MATCH($N$183, Tracker[Anime Name], 0) + 2, 6)), "")</f>
        <v/>
      </c>
      <c r="T183" s="22" t="str">
        <f ca="1">IF($N$183&lt;&gt;"", INDIRECT("'Tracker'!"&amp;ADDRESS(MATCH($N$183, Tracker[Anime Name], 0) + 2, 7)), "")</f>
        <v/>
      </c>
      <c r="U183" s="28" t="str">
        <f ca="1">IF($N$183&lt;&gt;"", INDIRECT("'Tracker'!"&amp;ADDRESS(MATCH($N$183, Tracker[Anime Name], 0) + 2, 8)), "")</f>
        <v/>
      </c>
      <c r="V183" s="53" t="str">
        <f>IF(Completed!$C$182&lt;&gt;"",Completed!$C$182,"")</f>
        <v/>
      </c>
      <c r="W183" s="53" t="str">
        <f>IF(Completed!$D$182&lt;&gt;"",Completed!$D$182,"")</f>
        <v/>
      </c>
      <c r="X183" s="53" t="str">
        <f>IF(Completed!$E$182&lt;&gt;"",Completed!$E$182,"")</f>
        <v/>
      </c>
      <c r="Y183" s="53" t="str">
        <f>IF(Completed!$F$182&lt;&gt;"",Completed!$F$182,"")</f>
        <v/>
      </c>
      <c r="Z183" s="65" t="str">
        <f>IF(Completed!$G$182&lt;&gt;"",Completed!$G$182,"")</f>
        <v/>
      </c>
      <c r="AA183" s="75" t="str">
        <f>IF(Completed!$H$182&lt;&gt;"",Completed!$H$182,"")</f>
        <v/>
      </c>
      <c r="AB183" s="54" t="str">
        <f>IF(Completed!$I$182&lt;&gt;"",Completed!$I$182,"")</f>
        <v/>
      </c>
      <c r="AC183" s="54" t="str">
        <f>IF(Completed!$J$182&lt;&gt;"",Completed!$J$182,"")</f>
        <v/>
      </c>
      <c r="AD183" s="66" t="str">
        <f>IF(Completed!$K$182&lt;&gt;"",Completed!$K$182,"")</f>
        <v/>
      </c>
      <c r="AE183" s="66" t="str">
        <f>IF(Completed!$L$182&lt;&gt;"",Completed!$L$182,"")</f>
        <v/>
      </c>
    </row>
    <row r="184" spans="10:31">
      <c r="J184" s="21" t="str">
        <f>IF(Backlog!$A$183&lt;&gt;"",Backlog!$A$183,"")</f>
        <v/>
      </c>
      <c r="K184" s="28" t="str">
        <f>IF(Backlog!$B$183&lt;&gt;"",Backlog!$B$183,"")</f>
        <v/>
      </c>
      <c r="L184" s="29" t="str">
        <f>IF(Backlog!$C$183&lt;&gt;"",Backlog!$C$183,"")</f>
        <v/>
      </c>
      <c r="N184" s="21" t="str">
        <f>IF(Completed!$A$183&lt;&gt;"",Completed!$A$183,"")</f>
        <v/>
      </c>
      <c r="O184" s="28" t="str">
        <f>IF(Completed!$B$183&lt;&gt;"",Completed!$B$183,"")</f>
        <v/>
      </c>
      <c r="P184" s="28" t="str">
        <f ca="1">IF($N$184&lt;&gt;"", INDIRECT("'Tracker'!"&amp;ADDRESS(MATCH($N$184, Tracker[Anime Name], 0) + 2, 3)), "")</f>
        <v/>
      </c>
      <c r="Q184" s="22" t="str">
        <f ca="1">IF($N$184&lt;&gt;"", INDIRECT("'Tracker'!"&amp;ADDRESS(MATCH($N$184, Tracker[Anime Name], 0) + 2, 4)), "")</f>
        <v/>
      </c>
      <c r="R184" s="22" t="str">
        <f ca="1">IF($N$184&lt;&gt;"", INDIRECT("'Tracker'!"&amp;ADDRESS(MATCH($N$184, Tracker[Anime Name], 0) + 2, 5)), "")</f>
        <v/>
      </c>
      <c r="S184" s="22" t="str">
        <f ca="1">IF($N$184&lt;&gt;"", INDIRECT("'Tracker'!"&amp;ADDRESS(MATCH($N$184, Tracker[Anime Name], 0) + 2, 6)), "")</f>
        <v/>
      </c>
      <c r="T184" s="22" t="str">
        <f ca="1">IF($N$184&lt;&gt;"", INDIRECT("'Tracker'!"&amp;ADDRESS(MATCH($N$184, Tracker[Anime Name], 0) + 2, 7)), "")</f>
        <v/>
      </c>
      <c r="U184" s="28" t="str">
        <f ca="1">IF($N$184&lt;&gt;"", INDIRECT("'Tracker'!"&amp;ADDRESS(MATCH($N$184, Tracker[Anime Name], 0) + 2, 8)), "")</f>
        <v/>
      </c>
      <c r="V184" s="53" t="str">
        <f>IF(Completed!$C$183&lt;&gt;"",Completed!$C$183,"")</f>
        <v/>
      </c>
      <c r="W184" s="53" t="str">
        <f>IF(Completed!$D$183&lt;&gt;"",Completed!$D$183,"")</f>
        <v/>
      </c>
      <c r="X184" s="53" t="str">
        <f>IF(Completed!$E$183&lt;&gt;"",Completed!$E$183,"")</f>
        <v/>
      </c>
      <c r="Y184" s="53" t="str">
        <f>IF(Completed!$F$183&lt;&gt;"",Completed!$F$183,"")</f>
        <v/>
      </c>
      <c r="Z184" s="65" t="str">
        <f>IF(Completed!$G$183&lt;&gt;"",Completed!$G$183,"")</f>
        <v/>
      </c>
      <c r="AA184" s="75" t="str">
        <f>IF(Completed!$H$183&lt;&gt;"",Completed!$H$183,"")</f>
        <v/>
      </c>
      <c r="AB184" s="54" t="str">
        <f>IF(Completed!$I$183&lt;&gt;"",Completed!$I$183,"")</f>
        <v/>
      </c>
      <c r="AC184" s="54" t="str">
        <f>IF(Completed!$J$183&lt;&gt;"",Completed!$J$183,"")</f>
        <v/>
      </c>
      <c r="AD184" s="66" t="str">
        <f>IF(Completed!$K$183&lt;&gt;"",Completed!$K$183,"")</f>
        <v/>
      </c>
      <c r="AE184" s="66" t="str">
        <f>IF(Completed!$L$183&lt;&gt;"",Completed!$L$183,"")</f>
        <v/>
      </c>
    </row>
    <row r="185" spans="10:31">
      <c r="J185" s="21" t="str">
        <f>IF(Backlog!$A$184&lt;&gt;"",Backlog!$A$184,"")</f>
        <v/>
      </c>
      <c r="K185" s="28" t="str">
        <f>IF(Backlog!$B$184&lt;&gt;"",Backlog!$B$184,"")</f>
        <v/>
      </c>
      <c r="L185" s="29" t="str">
        <f>IF(Backlog!$C$184&lt;&gt;"",Backlog!$C$184,"")</f>
        <v/>
      </c>
      <c r="N185" s="21" t="str">
        <f>IF(Completed!$A$184&lt;&gt;"",Completed!$A$184,"")</f>
        <v/>
      </c>
      <c r="O185" s="28" t="str">
        <f>IF(Completed!$B$184&lt;&gt;"",Completed!$B$184,"")</f>
        <v/>
      </c>
      <c r="P185" s="28" t="str">
        <f ca="1">IF($N$185&lt;&gt;"", INDIRECT("'Tracker'!"&amp;ADDRESS(MATCH($N$185, Tracker[Anime Name], 0) + 2, 3)), "")</f>
        <v/>
      </c>
      <c r="Q185" s="22" t="str">
        <f ca="1">IF($N$185&lt;&gt;"", INDIRECT("'Tracker'!"&amp;ADDRESS(MATCH($N$185, Tracker[Anime Name], 0) + 2, 4)), "")</f>
        <v/>
      </c>
      <c r="R185" s="22" t="str">
        <f ca="1">IF($N$185&lt;&gt;"", INDIRECT("'Tracker'!"&amp;ADDRESS(MATCH($N$185, Tracker[Anime Name], 0) + 2, 5)), "")</f>
        <v/>
      </c>
      <c r="S185" s="22" t="str">
        <f ca="1">IF($N$185&lt;&gt;"", INDIRECT("'Tracker'!"&amp;ADDRESS(MATCH($N$185, Tracker[Anime Name], 0) + 2, 6)), "")</f>
        <v/>
      </c>
      <c r="T185" s="22" t="str">
        <f ca="1">IF($N$185&lt;&gt;"", INDIRECT("'Tracker'!"&amp;ADDRESS(MATCH($N$185, Tracker[Anime Name], 0) + 2, 7)), "")</f>
        <v/>
      </c>
      <c r="U185" s="28" t="str">
        <f ca="1">IF($N$185&lt;&gt;"", INDIRECT("'Tracker'!"&amp;ADDRESS(MATCH($N$185, Tracker[Anime Name], 0) + 2, 8)), "")</f>
        <v/>
      </c>
      <c r="V185" s="53" t="str">
        <f>IF(Completed!$C$184&lt;&gt;"",Completed!$C$184,"")</f>
        <v/>
      </c>
      <c r="W185" s="53" t="str">
        <f>IF(Completed!$D$184&lt;&gt;"",Completed!$D$184,"")</f>
        <v/>
      </c>
      <c r="X185" s="53" t="str">
        <f>IF(Completed!$E$184&lt;&gt;"",Completed!$E$184,"")</f>
        <v/>
      </c>
      <c r="Y185" s="53" t="str">
        <f>IF(Completed!$F$184&lt;&gt;"",Completed!$F$184,"")</f>
        <v/>
      </c>
      <c r="Z185" s="65" t="str">
        <f>IF(Completed!$G$184&lt;&gt;"",Completed!$G$184,"")</f>
        <v/>
      </c>
      <c r="AA185" s="75" t="str">
        <f>IF(Completed!$H$184&lt;&gt;"",Completed!$H$184,"")</f>
        <v/>
      </c>
      <c r="AB185" s="54" t="str">
        <f>IF(Completed!$I$184&lt;&gt;"",Completed!$I$184,"")</f>
        <v/>
      </c>
      <c r="AC185" s="54" t="str">
        <f>IF(Completed!$J$184&lt;&gt;"",Completed!$J$184,"")</f>
        <v/>
      </c>
      <c r="AD185" s="66" t="str">
        <f>IF(Completed!$K$184&lt;&gt;"",Completed!$K$184,"")</f>
        <v/>
      </c>
      <c r="AE185" s="66" t="str">
        <f>IF(Completed!$L$184&lt;&gt;"",Completed!$L$184,"")</f>
        <v/>
      </c>
    </row>
    <row r="186" spans="10:31">
      <c r="J186" s="21" t="str">
        <f>IF(Backlog!$A$185&lt;&gt;"",Backlog!$A$185,"")</f>
        <v/>
      </c>
      <c r="K186" s="28" t="str">
        <f>IF(Backlog!$B$185&lt;&gt;"",Backlog!$B$185,"")</f>
        <v/>
      </c>
      <c r="L186" s="29" t="str">
        <f>IF(Backlog!$C$185&lt;&gt;"",Backlog!$C$185,"")</f>
        <v/>
      </c>
      <c r="N186" s="21" t="str">
        <f>IF(Completed!$A$185&lt;&gt;"",Completed!$A$185,"")</f>
        <v/>
      </c>
      <c r="O186" s="28" t="str">
        <f>IF(Completed!$B$185&lt;&gt;"",Completed!$B$185,"")</f>
        <v/>
      </c>
      <c r="P186" s="28" t="str">
        <f ca="1">IF($N$186&lt;&gt;"", INDIRECT("'Tracker'!"&amp;ADDRESS(MATCH($N$186, Tracker[Anime Name], 0) + 2, 3)), "")</f>
        <v/>
      </c>
      <c r="Q186" s="22" t="str">
        <f ca="1">IF($N$186&lt;&gt;"", INDIRECT("'Tracker'!"&amp;ADDRESS(MATCH($N$186, Tracker[Anime Name], 0) + 2, 4)), "")</f>
        <v/>
      </c>
      <c r="R186" s="22" t="str">
        <f ca="1">IF($N$186&lt;&gt;"", INDIRECT("'Tracker'!"&amp;ADDRESS(MATCH($N$186, Tracker[Anime Name], 0) + 2, 5)), "")</f>
        <v/>
      </c>
      <c r="S186" s="22" t="str">
        <f ca="1">IF($N$186&lt;&gt;"", INDIRECT("'Tracker'!"&amp;ADDRESS(MATCH($N$186, Tracker[Anime Name], 0) + 2, 6)), "")</f>
        <v/>
      </c>
      <c r="T186" s="22" t="str">
        <f ca="1">IF($N$186&lt;&gt;"", INDIRECT("'Tracker'!"&amp;ADDRESS(MATCH($N$186, Tracker[Anime Name], 0) + 2, 7)), "")</f>
        <v/>
      </c>
      <c r="U186" s="28" t="str">
        <f ca="1">IF($N$186&lt;&gt;"", INDIRECT("'Tracker'!"&amp;ADDRESS(MATCH($N$186, Tracker[Anime Name], 0) + 2, 8)), "")</f>
        <v/>
      </c>
      <c r="V186" s="53" t="str">
        <f>IF(Completed!$C$185&lt;&gt;"",Completed!$C$185,"")</f>
        <v/>
      </c>
      <c r="W186" s="53" t="str">
        <f>IF(Completed!$D$185&lt;&gt;"",Completed!$D$185,"")</f>
        <v/>
      </c>
      <c r="X186" s="53" t="str">
        <f>IF(Completed!$E$185&lt;&gt;"",Completed!$E$185,"")</f>
        <v/>
      </c>
      <c r="Y186" s="53" t="str">
        <f>IF(Completed!$F$185&lt;&gt;"",Completed!$F$185,"")</f>
        <v/>
      </c>
      <c r="Z186" s="65" t="str">
        <f>IF(Completed!$G$185&lt;&gt;"",Completed!$G$185,"")</f>
        <v/>
      </c>
      <c r="AA186" s="75" t="str">
        <f>IF(Completed!$H$185&lt;&gt;"",Completed!$H$185,"")</f>
        <v/>
      </c>
      <c r="AB186" s="54" t="str">
        <f>IF(Completed!$I$185&lt;&gt;"",Completed!$I$185,"")</f>
        <v/>
      </c>
      <c r="AC186" s="54" t="str">
        <f>IF(Completed!$J$185&lt;&gt;"",Completed!$J$185,"")</f>
        <v/>
      </c>
      <c r="AD186" s="66" t="str">
        <f>IF(Completed!$K$185&lt;&gt;"",Completed!$K$185,"")</f>
        <v/>
      </c>
      <c r="AE186" s="66" t="str">
        <f>IF(Completed!$L$185&lt;&gt;"",Completed!$L$185,"")</f>
        <v/>
      </c>
    </row>
    <row r="187" spans="10:31">
      <c r="J187" s="21" t="str">
        <f>IF(Backlog!$A$186&lt;&gt;"",Backlog!$A$186,"")</f>
        <v/>
      </c>
      <c r="K187" s="28" t="str">
        <f>IF(Backlog!$B$186&lt;&gt;"",Backlog!$B$186,"")</f>
        <v/>
      </c>
      <c r="L187" s="29" t="str">
        <f>IF(Backlog!$C$186&lt;&gt;"",Backlog!$C$186,"")</f>
        <v/>
      </c>
      <c r="N187" s="21" t="str">
        <f>IF(Completed!$A$186&lt;&gt;"",Completed!$A$186,"")</f>
        <v/>
      </c>
      <c r="O187" s="28" t="str">
        <f>IF(Completed!$B$186&lt;&gt;"",Completed!$B$186,"")</f>
        <v/>
      </c>
      <c r="P187" s="28" t="str">
        <f ca="1">IF($N$187&lt;&gt;"", INDIRECT("'Tracker'!"&amp;ADDRESS(MATCH($N$187, Tracker[Anime Name], 0) + 2, 3)), "")</f>
        <v/>
      </c>
      <c r="Q187" s="22" t="str">
        <f ca="1">IF($N$187&lt;&gt;"", INDIRECT("'Tracker'!"&amp;ADDRESS(MATCH($N$187, Tracker[Anime Name], 0) + 2, 4)), "")</f>
        <v/>
      </c>
      <c r="R187" s="22" t="str">
        <f ca="1">IF($N$187&lt;&gt;"", INDIRECT("'Tracker'!"&amp;ADDRESS(MATCH($N$187, Tracker[Anime Name], 0) + 2, 5)), "")</f>
        <v/>
      </c>
      <c r="S187" s="22" t="str">
        <f ca="1">IF($N$187&lt;&gt;"", INDIRECT("'Tracker'!"&amp;ADDRESS(MATCH($N$187, Tracker[Anime Name], 0) + 2, 6)), "")</f>
        <v/>
      </c>
      <c r="T187" s="22" t="str">
        <f ca="1">IF($N$187&lt;&gt;"", INDIRECT("'Tracker'!"&amp;ADDRESS(MATCH($N$187, Tracker[Anime Name], 0) + 2, 7)), "")</f>
        <v/>
      </c>
      <c r="U187" s="28" t="str">
        <f ca="1">IF($N$187&lt;&gt;"", INDIRECT("'Tracker'!"&amp;ADDRESS(MATCH($N$187, Tracker[Anime Name], 0) + 2, 8)), "")</f>
        <v/>
      </c>
      <c r="V187" s="53" t="str">
        <f>IF(Completed!$C$186&lt;&gt;"",Completed!$C$186,"")</f>
        <v/>
      </c>
      <c r="W187" s="53" t="str">
        <f>IF(Completed!$D$186&lt;&gt;"",Completed!$D$186,"")</f>
        <v/>
      </c>
      <c r="X187" s="53" t="str">
        <f>IF(Completed!$E$186&lt;&gt;"",Completed!$E$186,"")</f>
        <v/>
      </c>
      <c r="Y187" s="53" t="str">
        <f>IF(Completed!$F$186&lt;&gt;"",Completed!$F$186,"")</f>
        <v/>
      </c>
      <c r="Z187" s="65" t="str">
        <f>IF(Completed!$G$186&lt;&gt;"",Completed!$G$186,"")</f>
        <v/>
      </c>
      <c r="AA187" s="75" t="str">
        <f>IF(Completed!$H$186&lt;&gt;"",Completed!$H$186,"")</f>
        <v/>
      </c>
      <c r="AB187" s="54" t="str">
        <f>IF(Completed!$I$186&lt;&gt;"",Completed!$I$186,"")</f>
        <v/>
      </c>
      <c r="AC187" s="54" t="str">
        <f>IF(Completed!$J$186&lt;&gt;"",Completed!$J$186,"")</f>
        <v/>
      </c>
      <c r="AD187" s="66" t="str">
        <f>IF(Completed!$K$186&lt;&gt;"",Completed!$K$186,"")</f>
        <v/>
      </c>
      <c r="AE187" s="66" t="str">
        <f>IF(Completed!$L$186&lt;&gt;"",Completed!$L$186,"")</f>
        <v/>
      </c>
    </row>
    <row r="188" spans="10:31">
      <c r="J188" s="21" t="str">
        <f>IF(Backlog!$A$187&lt;&gt;"",Backlog!$A$187,"")</f>
        <v/>
      </c>
      <c r="K188" s="28" t="str">
        <f>IF(Backlog!$B$187&lt;&gt;"",Backlog!$B$187,"")</f>
        <v/>
      </c>
      <c r="L188" s="29" t="str">
        <f>IF(Backlog!$C$187&lt;&gt;"",Backlog!$C$187,"")</f>
        <v/>
      </c>
      <c r="N188" s="21" t="str">
        <f>IF(Completed!$A$187&lt;&gt;"",Completed!$A$187,"")</f>
        <v/>
      </c>
      <c r="O188" s="28" t="str">
        <f>IF(Completed!$B$187&lt;&gt;"",Completed!$B$187,"")</f>
        <v/>
      </c>
      <c r="P188" s="28" t="str">
        <f ca="1">IF($N$188&lt;&gt;"", INDIRECT("'Tracker'!"&amp;ADDRESS(MATCH($N$188, Tracker[Anime Name], 0) + 2, 3)), "")</f>
        <v/>
      </c>
      <c r="Q188" s="22" t="str">
        <f ca="1">IF($N$188&lt;&gt;"", INDIRECT("'Tracker'!"&amp;ADDRESS(MATCH($N$188, Tracker[Anime Name], 0) + 2, 4)), "")</f>
        <v/>
      </c>
      <c r="R188" s="22" t="str">
        <f ca="1">IF($N$188&lt;&gt;"", INDIRECT("'Tracker'!"&amp;ADDRESS(MATCH($N$188, Tracker[Anime Name], 0) + 2, 5)), "")</f>
        <v/>
      </c>
      <c r="S188" s="22" t="str">
        <f ca="1">IF($N$188&lt;&gt;"", INDIRECT("'Tracker'!"&amp;ADDRESS(MATCH($N$188, Tracker[Anime Name], 0) + 2, 6)), "")</f>
        <v/>
      </c>
      <c r="T188" s="22" t="str">
        <f ca="1">IF($N$188&lt;&gt;"", INDIRECT("'Tracker'!"&amp;ADDRESS(MATCH($N$188, Tracker[Anime Name], 0) + 2, 7)), "")</f>
        <v/>
      </c>
      <c r="U188" s="28" t="str">
        <f ca="1">IF($N$188&lt;&gt;"", INDIRECT("'Tracker'!"&amp;ADDRESS(MATCH($N$188, Tracker[Anime Name], 0) + 2, 8)), "")</f>
        <v/>
      </c>
      <c r="V188" s="53" t="str">
        <f>IF(Completed!$C$187&lt;&gt;"",Completed!$C$187,"")</f>
        <v/>
      </c>
      <c r="W188" s="53" t="str">
        <f>IF(Completed!$D$187&lt;&gt;"",Completed!$D$187,"")</f>
        <v/>
      </c>
      <c r="X188" s="53" t="str">
        <f>IF(Completed!$E$187&lt;&gt;"",Completed!$E$187,"")</f>
        <v/>
      </c>
      <c r="Y188" s="53" t="str">
        <f>IF(Completed!$F$187&lt;&gt;"",Completed!$F$187,"")</f>
        <v/>
      </c>
      <c r="Z188" s="65" t="str">
        <f>IF(Completed!$G$187&lt;&gt;"",Completed!$G$187,"")</f>
        <v/>
      </c>
      <c r="AA188" s="75" t="str">
        <f>IF(Completed!$H$187&lt;&gt;"",Completed!$H$187,"")</f>
        <v/>
      </c>
      <c r="AB188" s="54" t="str">
        <f>IF(Completed!$I$187&lt;&gt;"",Completed!$I$187,"")</f>
        <v/>
      </c>
      <c r="AC188" s="54" t="str">
        <f>IF(Completed!$J$187&lt;&gt;"",Completed!$J$187,"")</f>
        <v/>
      </c>
      <c r="AD188" s="66" t="str">
        <f>IF(Completed!$K$187&lt;&gt;"",Completed!$K$187,"")</f>
        <v/>
      </c>
      <c r="AE188" s="66" t="str">
        <f>IF(Completed!$L$187&lt;&gt;"",Completed!$L$187,"")</f>
        <v/>
      </c>
    </row>
    <row r="189" spans="10:31">
      <c r="J189" s="21" t="str">
        <f>IF(Backlog!$A$188&lt;&gt;"",Backlog!$A$188,"")</f>
        <v/>
      </c>
      <c r="K189" s="28" t="str">
        <f>IF(Backlog!$B$188&lt;&gt;"",Backlog!$B$188,"")</f>
        <v/>
      </c>
      <c r="L189" s="29" t="str">
        <f>IF(Backlog!$C$188&lt;&gt;"",Backlog!$C$188,"")</f>
        <v/>
      </c>
      <c r="N189" s="21" t="str">
        <f>IF(Completed!$A$188&lt;&gt;"",Completed!$A$188,"")</f>
        <v/>
      </c>
      <c r="O189" s="28" t="str">
        <f>IF(Completed!$B$188&lt;&gt;"",Completed!$B$188,"")</f>
        <v/>
      </c>
      <c r="P189" s="28" t="str">
        <f ca="1">IF($N$189&lt;&gt;"", INDIRECT("'Tracker'!"&amp;ADDRESS(MATCH($N$189, Tracker[Anime Name], 0) + 2, 3)), "")</f>
        <v/>
      </c>
      <c r="Q189" s="22" t="str">
        <f ca="1">IF($N$189&lt;&gt;"", INDIRECT("'Tracker'!"&amp;ADDRESS(MATCH($N$189, Tracker[Anime Name], 0) + 2, 4)), "")</f>
        <v/>
      </c>
      <c r="R189" s="22" t="str">
        <f ca="1">IF($N$189&lt;&gt;"", INDIRECT("'Tracker'!"&amp;ADDRESS(MATCH($N$189, Tracker[Anime Name], 0) + 2, 5)), "")</f>
        <v/>
      </c>
      <c r="S189" s="22" t="str">
        <f ca="1">IF($N$189&lt;&gt;"", INDIRECT("'Tracker'!"&amp;ADDRESS(MATCH($N$189, Tracker[Anime Name], 0) + 2, 6)), "")</f>
        <v/>
      </c>
      <c r="T189" s="22" t="str">
        <f ca="1">IF($N$189&lt;&gt;"", INDIRECT("'Tracker'!"&amp;ADDRESS(MATCH($N$189, Tracker[Anime Name], 0) + 2, 7)), "")</f>
        <v/>
      </c>
      <c r="U189" s="28" t="str">
        <f ca="1">IF($N$189&lt;&gt;"", INDIRECT("'Tracker'!"&amp;ADDRESS(MATCH($N$189, Tracker[Anime Name], 0) + 2, 8)), "")</f>
        <v/>
      </c>
      <c r="V189" s="53" t="str">
        <f>IF(Completed!$C$188&lt;&gt;"",Completed!$C$188,"")</f>
        <v/>
      </c>
      <c r="W189" s="53" t="str">
        <f>IF(Completed!$D$188&lt;&gt;"",Completed!$D$188,"")</f>
        <v/>
      </c>
      <c r="X189" s="53" t="str">
        <f>IF(Completed!$E$188&lt;&gt;"",Completed!$E$188,"")</f>
        <v/>
      </c>
      <c r="Y189" s="53" t="str">
        <f>IF(Completed!$F$188&lt;&gt;"",Completed!$F$188,"")</f>
        <v/>
      </c>
      <c r="Z189" s="65" t="str">
        <f>IF(Completed!$G$188&lt;&gt;"",Completed!$G$188,"")</f>
        <v/>
      </c>
      <c r="AA189" s="75" t="str">
        <f>IF(Completed!$H$188&lt;&gt;"",Completed!$H$188,"")</f>
        <v/>
      </c>
      <c r="AB189" s="54" t="str">
        <f>IF(Completed!$I$188&lt;&gt;"",Completed!$I$188,"")</f>
        <v/>
      </c>
      <c r="AC189" s="54" t="str">
        <f>IF(Completed!$J$188&lt;&gt;"",Completed!$J$188,"")</f>
        <v/>
      </c>
      <c r="AD189" s="66" t="str">
        <f>IF(Completed!$K$188&lt;&gt;"",Completed!$K$188,"")</f>
        <v/>
      </c>
      <c r="AE189" s="66" t="str">
        <f>IF(Completed!$L$188&lt;&gt;"",Completed!$L$188,"")</f>
        <v/>
      </c>
    </row>
    <row r="190" spans="10:31">
      <c r="J190" s="21" t="str">
        <f>IF(Backlog!$A$189&lt;&gt;"",Backlog!$A$189,"")</f>
        <v/>
      </c>
      <c r="K190" s="28" t="str">
        <f>IF(Backlog!$B$189&lt;&gt;"",Backlog!$B$189,"")</f>
        <v/>
      </c>
      <c r="L190" s="29" t="str">
        <f>IF(Backlog!$C$189&lt;&gt;"",Backlog!$C$189,"")</f>
        <v/>
      </c>
      <c r="N190" s="21" t="str">
        <f>IF(Completed!$A$189&lt;&gt;"",Completed!$A$189,"")</f>
        <v/>
      </c>
      <c r="O190" s="28" t="str">
        <f>IF(Completed!$B$189&lt;&gt;"",Completed!$B$189,"")</f>
        <v/>
      </c>
      <c r="P190" s="28" t="str">
        <f ca="1">IF($N$190&lt;&gt;"", INDIRECT("'Tracker'!"&amp;ADDRESS(MATCH($N$190, Tracker[Anime Name], 0) + 2, 3)), "")</f>
        <v/>
      </c>
      <c r="Q190" s="22" t="str">
        <f ca="1">IF($N$190&lt;&gt;"", INDIRECT("'Tracker'!"&amp;ADDRESS(MATCH($N$190, Tracker[Anime Name], 0) + 2, 4)), "")</f>
        <v/>
      </c>
      <c r="R190" s="22" t="str">
        <f ca="1">IF($N$190&lt;&gt;"", INDIRECT("'Tracker'!"&amp;ADDRESS(MATCH($N$190, Tracker[Anime Name], 0) + 2, 5)), "")</f>
        <v/>
      </c>
      <c r="S190" s="22" t="str">
        <f ca="1">IF($N$190&lt;&gt;"", INDIRECT("'Tracker'!"&amp;ADDRESS(MATCH($N$190, Tracker[Anime Name], 0) + 2, 6)), "")</f>
        <v/>
      </c>
      <c r="T190" s="22" t="str">
        <f ca="1">IF($N$190&lt;&gt;"", INDIRECT("'Tracker'!"&amp;ADDRESS(MATCH($N$190, Tracker[Anime Name], 0) + 2, 7)), "")</f>
        <v/>
      </c>
      <c r="U190" s="28" t="str">
        <f ca="1">IF($N$190&lt;&gt;"", INDIRECT("'Tracker'!"&amp;ADDRESS(MATCH($N$190, Tracker[Anime Name], 0) + 2, 8)), "")</f>
        <v/>
      </c>
      <c r="V190" s="53" t="str">
        <f>IF(Completed!$C$189&lt;&gt;"",Completed!$C$189,"")</f>
        <v/>
      </c>
      <c r="W190" s="53" t="str">
        <f>IF(Completed!$D$189&lt;&gt;"",Completed!$D$189,"")</f>
        <v/>
      </c>
      <c r="X190" s="53" t="str">
        <f>IF(Completed!$E$189&lt;&gt;"",Completed!$E$189,"")</f>
        <v/>
      </c>
      <c r="Y190" s="53" t="str">
        <f>IF(Completed!$F$189&lt;&gt;"",Completed!$F$189,"")</f>
        <v/>
      </c>
      <c r="Z190" s="65" t="str">
        <f>IF(Completed!$G$189&lt;&gt;"",Completed!$G$189,"")</f>
        <v/>
      </c>
      <c r="AA190" s="75" t="str">
        <f>IF(Completed!$H$189&lt;&gt;"",Completed!$H$189,"")</f>
        <v/>
      </c>
      <c r="AB190" s="54" t="str">
        <f>IF(Completed!$I$189&lt;&gt;"",Completed!$I$189,"")</f>
        <v/>
      </c>
      <c r="AC190" s="54" t="str">
        <f>IF(Completed!$J$189&lt;&gt;"",Completed!$J$189,"")</f>
        <v/>
      </c>
      <c r="AD190" s="66" t="str">
        <f>IF(Completed!$K$189&lt;&gt;"",Completed!$K$189,"")</f>
        <v/>
      </c>
      <c r="AE190" s="66" t="str">
        <f>IF(Completed!$L$189&lt;&gt;"",Completed!$L$189,"")</f>
        <v/>
      </c>
    </row>
    <row r="191" spans="10:31">
      <c r="J191" s="21" t="str">
        <f>IF(Backlog!$A$190&lt;&gt;"",Backlog!$A$190,"")</f>
        <v/>
      </c>
      <c r="K191" s="28" t="str">
        <f>IF(Backlog!$B$190&lt;&gt;"",Backlog!$B$190,"")</f>
        <v/>
      </c>
      <c r="L191" s="29" t="str">
        <f>IF(Backlog!$C$190&lt;&gt;"",Backlog!$C$190,"")</f>
        <v/>
      </c>
      <c r="N191" s="21" t="str">
        <f>IF(Completed!$A$190&lt;&gt;"",Completed!$A$190,"")</f>
        <v/>
      </c>
      <c r="O191" s="28" t="str">
        <f>IF(Completed!$B$190&lt;&gt;"",Completed!$B$190,"")</f>
        <v/>
      </c>
      <c r="P191" s="28" t="str">
        <f ca="1">IF($N$191&lt;&gt;"", INDIRECT("'Tracker'!"&amp;ADDRESS(MATCH($N$191, Tracker[Anime Name], 0) + 2, 3)), "")</f>
        <v/>
      </c>
      <c r="Q191" s="22" t="str">
        <f ca="1">IF($N$191&lt;&gt;"", INDIRECT("'Tracker'!"&amp;ADDRESS(MATCH($N$191, Tracker[Anime Name], 0) + 2, 4)), "")</f>
        <v/>
      </c>
      <c r="R191" s="22" t="str">
        <f ca="1">IF($N$191&lt;&gt;"", INDIRECT("'Tracker'!"&amp;ADDRESS(MATCH($N$191, Tracker[Anime Name], 0) + 2, 5)), "")</f>
        <v/>
      </c>
      <c r="S191" s="22" t="str">
        <f ca="1">IF($N$191&lt;&gt;"", INDIRECT("'Tracker'!"&amp;ADDRESS(MATCH($N$191, Tracker[Anime Name], 0) + 2, 6)), "")</f>
        <v/>
      </c>
      <c r="T191" s="22" t="str">
        <f ca="1">IF($N$191&lt;&gt;"", INDIRECT("'Tracker'!"&amp;ADDRESS(MATCH($N$191, Tracker[Anime Name], 0) + 2, 7)), "")</f>
        <v/>
      </c>
      <c r="U191" s="28" t="str">
        <f ca="1">IF($N$191&lt;&gt;"", INDIRECT("'Tracker'!"&amp;ADDRESS(MATCH($N$191, Tracker[Anime Name], 0) + 2, 8)), "")</f>
        <v/>
      </c>
      <c r="V191" s="53" t="str">
        <f>IF(Completed!$C$190&lt;&gt;"",Completed!$C$190,"")</f>
        <v/>
      </c>
      <c r="W191" s="53" t="str">
        <f>IF(Completed!$D$190&lt;&gt;"",Completed!$D$190,"")</f>
        <v/>
      </c>
      <c r="X191" s="53" t="str">
        <f>IF(Completed!$E$190&lt;&gt;"",Completed!$E$190,"")</f>
        <v/>
      </c>
      <c r="Y191" s="53" t="str">
        <f>IF(Completed!$F$190&lt;&gt;"",Completed!$F$190,"")</f>
        <v/>
      </c>
      <c r="Z191" s="65" t="str">
        <f>IF(Completed!$G$190&lt;&gt;"",Completed!$G$190,"")</f>
        <v/>
      </c>
      <c r="AA191" s="75" t="str">
        <f>IF(Completed!$H$190&lt;&gt;"",Completed!$H$190,"")</f>
        <v/>
      </c>
      <c r="AB191" s="54" t="str">
        <f>IF(Completed!$I$190&lt;&gt;"",Completed!$I$190,"")</f>
        <v/>
      </c>
      <c r="AC191" s="54" t="str">
        <f>IF(Completed!$J$190&lt;&gt;"",Completed!$J$190,"")</f>
        <v/>
      </c>
      <c r="AD191" s="66" t="str">
        <f>IF(Completed!$K$190&lt;&gt;"",Completed!$K$190,"")</f>
        <v/>
      </c>
      <c r="AE191" s="66" t="str">
        <f>IF(Completed!$L$190&lt;&gt;"",Completed!$L$190,"")</f>
        <v/>
      </c>
    </row>
    <row r="192" spans="10:31">
      <c r="J192" s="21" t="str">
        <f>IF(Backlog!$A$191&lt;&gt;"",Backlog!$A$191,"")</f>
        <v/>
      </c>
      <c r="K192" s="28" t="str">
        <f>IF(Backlog!$B$191&lt;&gt;"",Backlog!$B$191,"")</f>
        <v/>
      </c>
      <c r="L192" s="29" t="str">
        <f>IF(Backlog!$C$191&lt;&gt;"",Backlog!$C$191,"")</f>
        <v/>
      </c>
      <c r="N192" s="21" t="str">
        <f>IF(Completed!$A$191&lt;&gt;"",Completed!$A$191,"")</f>
        <v/>
      </c>
      <c r="O192" s="28" t="str">
        <f>IF(Completed!$B$191&lt;&gt;"",Completed!$B$191,"")</f>
        <v/>
      </c>
      <c r="P192" s="28" t="str">
        <f ca="1">IF($N$192&lt;&gt;"", INDIRECT("'Tracker'!"&amp;ADDRESS(MATCH($N$192, Tracker[Anime Name], 0) + 2, 3)), "")</f>
        <v/>
      </c>
      <c r="Q192" s="22" t="str">
        <f ca="1">IF($N$192&lt;&gt;"", INDIRECT("'Tracker'!"&amp;ADDRESS(MATCH($N$192, Tracker[Anime Name], 0) + 2, 4)), "")</f>
        <v/>
      </c>
      <c r="R192" s="22" t="str">
        <f ca="1">IF($N$192&lt;&gt;"", INDIRECT("'Tracker'!"&amp;ADDRESS(MATCH($N$192, Tracker[Anime Name], 0) + 2, 5)), "")</f>
        <v/>
      </c>
      <c r="S192" s="22" t="str">
        <f ca="1">IF($N$192&lt;&gt;"", INDIRECT("'Tracker'!"&amp;ADDRESS(MATCH($N$192, Tracker[Anime Name], 0) + 2, 6)), "")</f>
        <v/>
      </c>
      <c r="T192" s="22" t="str">
        <f ca="1">IF($N$192&lt;&gt;"", INDIRECT("'Tracker'!"&amp;ADDRESS(MATCH($N$192, Tracker[Anime Name], 0) + 2, 7)), "")</f>
        <v/>
      </c>
      <c r="U192" s="28" t="str">
        <f ca="1">IF($N$192&lt;&gt;"", INDIRECT("'Tracker'!"&amp;ADDRESS(MATCH($N$192, Tracker[Anime Name], 0) + 2, 8)), "")</f>
        <v/>
      </c>
      <c r="V192" s="53" t="str">
        <f>IF(Completed!$C$191&lt;&gt;"",Completed!$C$191,"")</f>
        <v/>
      </c>
      <c r="W192" s="53" t="str">
        <f>IF(Completed!$D$191&lt;&gt;"",Completed!$D$191,"")</f>
        <v/>
      </c>
      <c r="X192" s="53" t="str">
        <f>IF(Completed!$E$191&lt;&gt;"",Completed!$E$191,"")</f>
        <v/>
      </c>
      <c r="Y192" s="53" t="str">
        <f>IF(Completed!$F$191&lt;&gt;"",Completed!$F$191,"")</f>
        <v/>
      </c>
      <c r="Z192" s="65" t="str">
        <f>IF(Completed!$G$191&lt;&gt;"",Completed!$G$191,"")</f>
        <v/>
      </c>
      <c r="AA192" s="75" t="str">
        <f>IF(Completed!$H$191&lt;&gt;"",Completed!$H$191,"")</f>
        <v/>
      </c>
      <c r="AB192" s="54" t="str">
        <f>IF(Completed!$I$191&lt;&gt;"",Completed!$I$191,"")</f>
        <v/>
      </c>
      <c r="AC192" s="54" t="str">
        <f>IF(Completed!$J$191&lt;&gt;"",Completed!$J$191,"")</f>
        <v/>
      </c>
      <c r="AD192" s="66" t="str">
        <f>IF(Completed!$K$191&lt;&gt;"",Completed!$K$191,"")</f>
        <v/>
      </c>
      <c r="AE192" s="66" t="str">
        <f>IF(Completed!$L$191&lt;&gt;"",Completed!$L$191,"")</f>
        <v/>
      </c>
    </row>
    <row r="193" spans="10:31">
      <c r="J193" s="21" t="str">
        <f>IF(Backlog!$A$192&lt;&gt;"",Backlog!$A$192,"")</f>
        <v/>
      </c>
      <c r="K193" s="28" t="str">
        <f>IF(Backlog!$B$192&lt;&gt;"",Backlog!$B$192,"")</f>
        <v/>
      </c>
      <c r="L193" s="29" t="str">
        <f>IF(Backlog!$C$192&lt;&gt;"",Backlog!$C$192,"")</f>
        <v/>
      </c>
      <c r="N193" s="21" t="str">
        <f>IF(Completed!$A$194&lt;&gt;"",Completed!$A$194,"")</f>
        <v/>
      </c>
      <c r="O193" s="28" t="str">
        <f>IF(Completed!$B$194&lt;&gt;"",Completed!$B$194,"")</f>
        <v/>
      </c>
      <c r="P193" s="28" t="str">
        <f ca="1">IF($N$193&lt;&gt;"", INDIRECT("'Tracker'!"&amp;ADDRESS(MATCH($N$193, Tracker[Anime Name], 0) + 2, 3)), "")</f>
        <v/>
      </c>
      <c r="Q193" s="22" t="str">
        <f ca="1">IF($N$193&lt;&gt;"", INDIRECT("'Tracker'!"&amp;ADDRESS(MATCH($N$193, Tracker[Anime Name], 0) + 2, 4)), "")</f>
        <v/>
      </c>
      <c r="R193" s="22" t="str">
        <f ca="1">IF($N$193&lt;&gt;"", INDIRECT("'Tracker'!"&amp;ADDRESS(MATCH($N$193, Tracker[Anime Name], 0) + 2, 5)), "")</f>
        <v/>
      </c>
      <c r="S193" s="22" t="str">
        <f ca="1">IF($N$193&lt;&gt;"", INDIRECT("'Tracker'!"&amp;ADDRESS(MATCH($N$193, Tracker[Anime Name], 0) + 2, 6)), "")</f>
        <v/>
      </c>
      <c r="T193" s="22" t="str">
        <f ca="1">IF($N$193&lt;&gt;"", INDIRECT("'Tracker'!"&amp;ADDRESS(MATCH($N$193, Tracker[Anime Name], 0) + 2, 7)), "")</f>
        <v/>
      </c>
      <c r="U193" s="28" t="str">
        <f ca="1">IF($N$193&lt;&gt;"", INDIRECT("'Tracker'!"&amp;ADDRESS(MATCH($N$193, Tracker[Anime Name], 0) + 2, 8)), "")</f>
        <v/>
      </c>
      <c r="V193" s="53" t="str">
        <f>IF(Completed!$C$194&lt;&gt;"",Completed!$C$194,"")</f>
        <v/>
      </c>
      <c r="W193" s="53" t="str">
        <f>IF(Completed!$D$194&lt;&gt;"",Completed!$D$194,"")</f>
        <v/>
      </c>
      <c r="X193" s="53" t="str">
        <f>IF(Completed!$E$194&lt;&gt;"",Completed!$E$194,"")</f>
        <v/>
      </c>
      <c r="Y193" s="53" t="str">
        <f>IF(Completed!$F$194&lt;&gt;"",Completed!$F$194,"")</f>
        <v/>
      </c>
      <c r="Z193" s="65" t="str">
        <f>IF(Completed!$G$194&lt;&gt;"",Completed!$G$194,"")</f>
        <v/>
      </c>
      <c r="AA193" s="75" t="str">
        <f>IF(Completed!$H$194&lt;&gt;"",Completed!$H$194,"")</f>
        <v/>
      </c>
      <c r="AB193" s="54" t="str">
        <f>IF(Completed!$I$194&lt;&gt;"",Completed!$I$194,"")</f>
        <v/>
      </c>
      <c r="AC193" s="54" t="str">
        <f>IF(Completed!$J$194&lt;&gt;"",Completed!$J$194,"")</f>
        <v/>
      </c>
      <c r="AD193" s="66" t="str">
        <f>IF(Completed!$K$194&lt;&gt;"",Completed!$K$194,"")</f>
        <v/>
      </c>
      <c r="AE193" s="66" t="str">
        <f>IF(Completed!$L$194&lt;&gt;"",Completed!$L$194,"")</f>
        <v/>
      </c>
    </row>
    <row r="194" spans="10:31">
      <c r="J194" s="21" t="str">
        <f>IF(Backlog!$A$193&lt;&gt;"",Backlog!$A$193,"")</f>
        <v/>
      </c>
      <c r="K194" s="28" t="str">
        <f>IF(Backlog!$B$193&lt;&gt;"",Backlog!$B$193,"")</f>
        <v/>
      </c>
      <c r="L194" s="29" t="str">
        <f>IF(Backlog!$C$193&lt;&gt;"",Backlog!$C$193,"")</f>
        <v/>
      </c>
      <c r="N194" s="21" t="str">
        <f>IF(Completed!$A$195&lt;&gt;"",Completed!$A$195,"")</f>
        <v/>
      </c>
      <c r="O194" s="28" t="str">
        <f>IF(Completed!$B$195&lt;&gt;"",Completed!$B$195,"")</f>
        <v/>
      </c>
      <c r="P194" s="28" t="str">
        <f ca="1">IF($N$194&lt;&gt;"", INDIRECT("'Tracker'!"&amp;ADDRESS(MATCH($N$194, Tracker[Anime Name], 0) + 2, 3)), "")</f>
        <v/>
      </c>
      <c r="Q194" s="22" t="str">
        <f ca="1">IF($N$194&lt;&gt;"", INDIRECT("'Tracker'!"&amp;ADDRESS(MATCH($N$194, Tracker[Anime Name], 0) + 2, 4)), "")</f>
        <v/>
      </c>
      <c r="R194" s="22" t="str">
        <f ca="1">IF($N$194&lt;&gt;"", INDIRECT("'Tracker'!"&amp;ADDRESS(MATCH($N$194, Tracker[Anime Name], 0) + 2, 5)), "")</f>
        <v/>
      </c>
      <c r="S194" s="22" t="str">
        <f ca="1">IF($N$194&lt;&gt;"", INDIRECT("'Tracker'!"&amp;ADDRESS(MATCH($N$194, Tracker[Anime Name], 0) + 2, 6)), "")</f>
        <v/>
      </c>
      <c r="T194" s="22" t="str">
        <f ca="1">IF($N$194&lt;&gt;"", INDIRECT("'Tracker'!"&amp;ADDRESS(MATCH($N$194, Tracker[Anime Name], 0) + 2, 7)), "")</f>
        <v/>
      </c>
      <c r="U194" s="28" t="str">
        <f ca="1">IF($N$194&lt;&gt;"", INDIRECT("'Tracker'!"&amp;ADDRESS(MATCH($N$194, Tracker[Anime Name], 0) + 2, 8)), "")</f>
        <v/>
      </c>
      <c r="V194" s="53" t="str">
        <f>IF(Completed!$C$195&lt;&gt;"",Completed!$C$195,"")</f>
        <v/>
      </c>
      <c r="W194" s="53" t="str">
        <f>IF(Completed!$D$195&lt;&gt;"",Completed!$D$195,"")</f>
        <v/>
      </c>
      <c r="X194" s="53" t="str">
        <f>IF(Completed!$E$195&lt;&gt;"",Completed!$E$195,"")</f>
        <v/>
      </c>
      <c r="Y194" s="53" t="str">
        <f>IF(Completed!$F$195&lt;&gt;"",Completed!$F$195,"")</f>
        <v/>
      </c>
      <c r="Z194" s="65" t="str">
        <f>IF(Completed!$G$195&lt;&gt;"",Completed!$G$195,"")</f>
        <v/>
      </c>
      <c r="AA194" s="75" t="str">
        <f>IF(Completed!$H$195&lt;&gt;"",Completed!$H$195,"")</f>
        <v/>
      </c>
      <c r="AB194" s="54" t="str">
        <f>IF(Completed!$I$195&lt;&gt;"",Completed!$I$195,"")</f>
        <v/>
      </c>
      <c r="AC194" s="54" t="str">
        <f>IF(Completed!$J$195&lt;&gt;"",Completed!$J$195,"")</f>
        <v/>
      </c>
      <c r="AD194" s="66" t="str">
        <f>IF(Completed!$K$195&lt;&gt;"",Completed!$K$195,"")</f>
        <v/>
      </c>
      <c r="AE194" s="66" t="str">
        <f>IF(Completed!$L$195&lt;&gt;"",Completed!$L$195,"")</f>
        <v/>
      </c>
    </row>
    <row r="195" spans="10:31">
      <c r="J195" s="21" t="str">
        <f>IF(Backlog!$A$194&lt;&gt;"",Backlog!$A$194,"")</f>
        <v/>
      </c>
      <c r="K195" s="28" t="str">
        <f>IF(Backlog!$B$194&lt;&gt;"",Backlog!$B$194,"")</f>
        <v/>
      </c>
      <c r="L195" s="29" t="str">
        <f>IF(Backlog!$C$194&lt;&gt;"",Backlog!$C$194,"")</f>
        <v/>
      </c>
      <c r="N195" s="21" t="str">
        <f>IF(Completed!$A$196&lt;&gt;"",Completed!$A$196,"")</f>
        <v/>
      </c>
      <c r="O195" s="28" t="str">
        <f>IF(Completed!$B$196&lt;&gt;"",Completed!$B$196,"")</f>
        <v/>
      </c>
      <c r="P195" s="28" t="str">
        <f ca="1">IF($N$195&lt;&gt;"", INDIRECT("'Tracker'!"&amp;ADDRESS(MATCH($N$195, Tracker[Anime Name], 0) + 2, 3)), "")</f>
        <v/>
      </c>
      <c r="Q195" s="22" t="str">
        <f ca="1">IF($N$195&lt;&gt;"", INDIRECT("'Tracker'!"&amp;ADDRESS(MATCH($N$195, Tracker[Anime Name], 0) + 2, 4)), "")</f>
        <v/>
      </c>
      <c r="R195" s="22" t="str">
        <f ca="1">IF($N$195&lt;&gt;"", INDIRECT("'Tracker'!"&amp;ADDRESS(MATCH($N$195, Tracker[Anime Name], 0) + 2, 5)), "")</f>
        <v/>
      </c>
      <c r="S195" s="22" t="str">
        <f ca="1">IF($N$195&lt;&gt;"", INDIRECT("'Tracker'!"&amp;ADDRESS(MATCH($N$195, Tracker[Anime Name], 0) + 2, 6)), "")</f>
        <v/>
      </c>
      <c r="T195" s="22" t="str">
        <f ca="1">IF($N$195&lt;&gt;"", INDIRECT("'Tracker'!"&amp;ADDRESS(MATCH($N$195, Tracker[Anime Name], 0) + 2, 7)), "")</f>
        <v/>
      </c>
      <c r="U195" s="28" t="str">
        <f ca="1">IF($N$195&lt;&gt;"", INDIRECT("'Tracker'!"&amp;ADDRESS(MATCH($N$195, Tracker[Anime Name], 0) + 2, 8)), "")</f>
        <v/>
      </c>
      <c r="V195" s="53" t="str">
        <f>IF(Completed!$C$196&lt;&gt;"",Completed!$C$196,"")</f>
        <v/>
      </c>
      <c r="W195" s="53" t="str">
        <f>IF(Completed!$D$196&lt;&gt;"",Completed!$D$196,"")</f>
        <v/>
      </c>
      <c r="X195" s="53" t="str">
        <f>IF(Completed!$E$196&lt;&gt;"",Completed!$E$196,"")</f>
        <v/>
      </c>
      <c r="Y195" s="53" t="str">
        <f>IF(Completed!$F$196&lt;&gt;"",Completed!$F$196,"")</f>
        <v/>
      </c>
      <c r="Z195" s="65" t="str">
        <f>IF(Completed!$G$196&lt;&gt;"",Completed!$G$196,"")</f>
        <v/>
      </c>
      <c r="AA195" s="75" t="str">
        <f>IF(Completed!$H$196&lt;&gt;"",Completed!$H$196,"")</f>
        <v/>
      </c>
      <c r="AB195" s="54" t="str">
        <f>IF(Completed!$I$196&lt;&gt;"",Completed!$I$196,"")</f>
        <v/>
      </c>
      <c r="AC195" s="54" t="str">
        <f>IF(Completed!$J$196&lt;&gt;"",Completed!$J$196,"")</f>
        <v/>
      </c>
      <c r="AD195" s="66" t="str">
        <f>IF(Completed!$K$196&lt;&gt;"",Completed!$K$196,"")</f>
        <v/>
      </c>
      <c r="AE195" s="66" t="str">
        <f>IF(Completed!$L$196&lt;&gt;"",Completed!$L$196,"")</f>
        <v/>
      </c>
    </row>
  </sheetData>
  <sheetProtection algorithmName="SHA-512" hashValue="Zs7HLPrzNTsqemZ2J4ITkK76X4P1s9op+MqEFQyne3Ax/tq76eq7w2pf1tp38+aPc1M5qlG46OD0Ebz9xhhN7A==" saltValue="0t0+OYNmdNo3sxFdgy0v5A==" spinCount="100000" sheet="1" objects="1" scenarios="1" formatCells="0" formatColumns="0" formatRows="0"/>
  <sortState ref="A4:F23">
    <sortCondition sortBy="cellColor" ref="A4:A23" dxfId="78"/>
    <sortCondition ref="B4:B23" customList="Mon,Tue,Wed,Thu,Fri,Sat,Sun,'"/>
  </sortState>
  <mergeCells count="24">
    <mergeCell ref="A26:H26"/>
    <mergeCell ref="B27:H27"/>
    <mergeCell ref="A36:A37"/>
    <mergeCell ref="A1:AE1"/>
    <mergeCell ref="N2:AE2"/>
    <mergeCell ref="A2:H2"/>
    <mergeCell ref="J2:L2"/>
    <mergeCell ref="C24:G24"/>
    <mergeCell ref="A40:A41"/>
    <mergeCell ref="B40:H41"/>
    <mergeCell ref="A42:A43"/>
    <mergeCell ref="B42:H43"/>
    <mergeCell ref="C25:G25"/>
    <mergeCell ref="B36:H37"/>
    <mergeCell ref="A32:A33"/>
    <mergeCell ref="A28:A29"/>
    <mergeCell ref="B28:H29"/>
    <mergeCell ref="A34:A35"/>
    <mergeCell ref="B30:H31"/>
    <mergeCell ref="B32:H33"/>
    <mergeCell ref="B34:H35"/>
    <mergeCell ref="A38:A39"/>
    <mergeCell ref="B38:H39"/>
    <mergeCell ref="A30:A31"/>
  </mergeCells>
  <conditionalFormatting sqref="A4">
    <cfRule type="expression" dxfId="77" priority="3">
      <formula>(($E4-$D4)=0)</formula>
    </cfRule>
    <cfRule type="expression" dxfId="76" priority="4">
      <formula>(($E4-$D4)&gt;0)</formula>
    </cfRule>
  </conditionalFormatting>
  <conditionalFormatting sqref="A5:A23">
    <cfRule type="expression" dxfId="75" priority="1">
      <formula>(($E5-$D5)=0)</formula>
    </cfRule>
    <cfRule type="expression" dxfId="74" priority="2">
      <formula>(($E5-$D5)&gt;0)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New_Download">
                <anchor moveWithCells="1" sizeWithCells="1">
                  <from>
                    <xdr:col>1</xdr:col>
                    <xdr:colOff>47625</xdr:colOff>
                    <xdr:row>29</xdr:row>
                    <xdr:rowOff>38100</xdr:rowOff>
                  </from>
                  <to>
                    <xdr:col>7</xdr:col>
                    <xdr:colOff>581025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tart_New">
                <anchor moveWithCells="1" sizeWithCells="1">
                  <from>
                    <xdr:col>1</xdr:col>
                    <xdr:colOff>47625</xdr:colOff>
                    <xdr:row>31</xdr:row>
                    <xdr:rowOff>38100</xdr:rowOff>
                  </from>
                  <to>
                    <xdr:col>7</xdr:col>
                    <xdr:colOff>581025</xdr:colOff>
                    <xdr:row>32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List_Sort">
                <anchor moveWithCells="1" sizeWithCells="1">
                  <from>
                    <xdr:col>1</xdr:col>
                    <xdr:colOff>47625</xdr:colOff>
                    <xdr:row>27</xdr:row>
                    <xdr:rowOff>57150</xdr:rowOff>
                  </from>
                  <to>
                    <xdr:col>7</xdr:col>
                    <xdr:colOff>581025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New_Complete">
                <anchor moveWithCells="1" sizeWithCells="1">
                  <from>
                    <xdr:col>1</xdr:col>
                    <xdr:colOff>47625</xdr:colOff>
                    <xdr:row>35</xdr:row>
                    <xdr:rowOff>57150</xdr:rowOff>
                  </from>
                  <to>
                    <xdr:col>7</xdr:col>
                    <xdr:colOff>581025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Backlog_Relief">
                <anchor moveWithCells="1" sizeWithCells="1">
                  <from>
                    <xdr:col>1</xdr:col>
                    <xdr:colOff>47625</xdr:colOff>
                    <xdr:row>33</xdr:row>
                    <xdr:rowOff>57150</xdr:rowOff>
                  </from>
                  <to>
                    <xdr:col>7</xdr:col>
                    <xdr:colOff>581025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Queue_New">
                <anchor moveWithCells="1" sizeWithCells="1">
                  <from>
                    <xdr:col>1</xdr:col>
                    <xdr:colOff>38100</xdr:colOff>
                    <xdr:row>37</xdr:row>
                    <xdr:rowOff>47625</xdr:rowOff>
                  </from>
                  <to>
                    <xdr:col>7</xdr:col>
                    <xdr:colOff>581025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Start_Rewatch">
                <anchor moveWithCells="1" sizeWithCells="1">
                  <from>
                    <xdr:col>1</xdr:col>
                    <xdr:colOff>38100</xdr:colOff>
                    <xdr:row>39</xdr:row>
                    <xdr:rowOff>47625</xdr:rowOff>
                  </from>
                  <to>
                    <xdr:col>7</xdr:col>
                    <xdr:colOff>581025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End_Rewatch">
                <anchor moveWithCells="1" sizeWithCells="1">
                  <from>
                    <xdr:col>1</xdr:col>
                    <xdr:colOff>38100</xdr:colOff>
                    <xdr:row>41</xdr:row>
                    <xdr:rowOff>47625</xdr:rowOff>
                  </from>
                  <to>
                    <xdr:col>7</xdr:col>
                    <xdr:colOff>581025</xdr:colOff>
                    <xdr:row>42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11"/>
  <sheetViews>
    <sheetView showGridLines="0" workbookViewId="0">
      <selection activeCell="A3" sqref="A3"/>
    </sheetView>
  </sheetViews>
  <sheetFormatPr defaultRowHeight="15"/>
  <cols>
    <col min="1" max="1" width="37" style="4" customWidth="1"/>
    <col min="2" max="2" width="5.85546875" customWidth="1"/>
    <col min="3" max="4" width="7.140625" customWidth="1"/>
    <col min="5" max="5" width="10" customWidth="1"/>
    <col min="7" max="7" width="9.85546875" customWidth="1"/>
    <col min="8" max="8" width="27.85546875" style="5" bestFit="1" customWidth="1"/>
  </cols>
  <sheetData>
    <row r="1" spans="1:8" ht="16.5">
      <c r="A1" s="206" t="s">
        <v>466</v>
      </c>
      <c r="B1" s="207"/>
      <c r="C1" s="207"/>
      <c r="D1" s="207"/>
      <c r="E1" s="207"/>
      <c r="F1" s="207"/>
      <c r="G1" s="207"/>
      <c r="H1" s="208"/>
    </row>
    <row r="2" spans="1:8" ht="16.5">
      <c r="A2" s="9" t="s">
        <v>3</v>
      </c>
      <c r="B2" s="9" t="s">
        <v>156</v>
      </c>
      <c r="C2" s="9" t="s">
        <v>464</v>
      </c>
      <c r="D2" s="9" t="s">
        <v>264</v>
      </c>
      <c r="E2" s="9" t="s">
        <v>465</v>
      </c>
      <c r="F2" s="9" t="s">
        <v>109</v>
      </c>
      <c r="G2" s="9" t="s">
        <v>435</v>
      </c>
      <c r="H2" s="9" t="s">
        <v>519</v>
      </c>
    </row>
    <row r="3" spans="1:8" ht="16.5">
      <c r="A3" s="21" t="s">
        <v>334</v>
      </c>
      <c r="B3" s="28">
        <v>1</v>
      </c>
      <c r="C3" s="28">
        <v>26</v>
      </c>
      <c r="D3" s="22" t="s">
        <v>262</v>
      </c>
      <c r="E3" s="22" t="s">
        <v>487</v>
      </c>
      <c r="F3" s="74" t="s">
        <v>450</v>
      </c>
      <c r="G3" s="33" t="s">
        <v>559</v>
      </c>
      <c r="H3" s="122" t="s">
        <v>335</v>
      </c>
    </row>
    <row r="4" spans="1:8" ht="16.5">
      <c r="A4" s="21" t="s">
        <v>386</v>
      </c>
      <c r="B4" s="28">
        <v>1</v>
      </c>
      <c r="C4" s="28">
        <v>70</v>
      </c>
      <c r="D4" s="32" t="s">
        <v>124</v>
      </c>
      <c r="E4" s="32" t="s">
        <v>124</v>
      </c>
      <c r="F4" s="32" t="s">
        <v>124</v>
      </c>
      <c r="G4" s="35" t="s">
        <v>520</v>
      </c>
      <c r="H4" s="123" t="s">
        <v>124</v>
      </c>
    </row>
    <row r="5" spans="1:8" ht="16.5">
      <c r="A5" s="21" t="s">
        <v>232</v>
      </c>
      <c r="B5" s="28">
        <v>1</v>
      </c>
      <c r="C5" s="28">
        <v>13</v>
      </c>
      <c r="D5" s="22" t="s">
        <v>262</v>
      </c>
      <c r="E5" s="22" t="s">
        <v>483</v>
      </c>
      <c r="F5" s="22" t="s">
        <v>447</v>
      </c>
      <c r="G5" s="33" t="s">
        <v>563</v>
      </c>
      <c r="H5" s="122" t="s">
        <v>508</v>
      </c>
    </row>
    <row r="6" spans="1:8" ht="16.5">
      <c r="A6" s="21" t="s">
        <v>259</v>
      </c>
      <c r="B6" s="28">
        <v>1</v>
      </c>
      <c r="C6" s="28">
        <v>7</v>
      </c>
      <c r="D6" s="22" t="s">
        <v>265</v>
      </c>
      <c r="E6" s="22" t="s">
        <v>483</v>
      </c>
      <c r="F6" s="22" t="s">
        <v>447</v>
      </c>
      <c r="G6" s="33" t="s">
        <v>552</v>
      </c>
      <c r="H6" s="122" t="s">
        <v>309</v>
      </c>
    </row>
    <row r="7" spans="1:8" ht="16.5">
      <c r="A7" s="21" t="s">
        <v>260</v>
      </c>
      <c r="B7" s="28">
        <v>1</v>
      </c>
      <c r="C7" s="28">
        <v>26</v>
      </c>
      <c r="D7" s="22" t="s">
        <v>265</v>
      </c>
      <c r="E7" s="22" t="s">
        <v>488</v>
      </c>
      <c r="F7" s="22" t="s">
        <v>450</v>
      </c>
      <c r="G7" s="33" t="s">
        <v>535</v>
      </c>
      <c r="H7" s="122" t="s">
        <v>336</v>
      </c>
    </row>
    <row r="8" spans="1:8" ht="16.5">
      <c r="A8" s="17" t="s">
        <v>95</v>
      </c>
      <c r="B8" s="6">
        <v>5</v>
      </c>
      <c r="C8" s="6">
        <v>220</v>
      </c>
      <c r="D8" s="19" t="s">
        <v>124</v>
      </c>
      <c r="E8" s="32" t="s">
        <v>124</v>
      </c>
      <c r="F8" s="32" t="s">
        <v>124</v>
      </c>
      <c r="G8" s="35" t="s">
        <v>530</v>
      </c>
      <c r="H8" s="124" t="s">
        <v>449</v>
      </c>
    </row>
    <row r="9" spans="1:8" ht="16.5">
      <c r="A9" s="17" t="s">
        <v>121</v>
      </c>
      <c r="B9" s="6">
        <v>1</v>
      </c>
      <c r="C9" s="6">
        <v>26</v>
      </c>
      <c r="D9" s="18" t="s">
        <v>262</v>
      </c>
      <c r="E9" s="22" t="s">
        <v>489</v>
      </c>
      <c r="F9" s="22" t="s">
        <v>450</v>
      </c>
      <c r="G9" s="33" t="s">
        <v>562</v>
      </c>
      <c r="H9" s="125" t="s">
        <v>319</v>
      </c>
    </row>
    <row r="10" spans="1:8" ht="16.5">
      <c r="A10" s="21" t="s">
        <v>38</v>
      </c>
      <c r="B10" s="28">
        <v>1</v>
      </c>
      <c r="C10" s="28">
        <v>13</v>
      </c>
      <c r="D10" s="22" t="s">
        <v>262</v>
      </c>
      <c r="E10" s="22" t="s">
        <v>483</v>
      </c>
      <c r="F10" s="22" t="s">
        <v>447</v>
      </c>
      <c r="G10" s="33" t="s">
        <v>533</v>
      </c>
      <c r="H10" s="122" t="s">
        <v>301</v>
      </c>
    </row>
    <row r="11" spans="1:8" ht="16.5">
      <c r="A11" s="21" t="s">
        <v>18</v>
      </c>
      <c r="B11" s="28">
        <v>1</v>
      </c>
      <c r="C11" s="28">
        <v>24</v>
      </c>
      <c r="D11" s="32" t="s">
        <v>265</v>
      </c>
      <c r="E11" s="22" t="s">
        <v>491</v>
      </c>
      <c r="F11" s="22" t="s">
        <v>450</v>
      </c>
      <c r="G11" s="33" t="s">
        <v>557</v>
      </c>
      <c r="H11" s="123" t="s">
        <v>325</v>
      </c>
    </row>
    <row r="12" spans="1:8" ht="16.5">
      <c r="A12" s="21" t="s">
        <v>58</v>
      </c>
      <c r="B12" s="6">
        <v>1</v>
      </c>
      <c r="C12" s="28">
        <v>26</v>
      </c>
      <c r="D12" s="19" t="s">
        <v>262</v>
      </c>
      <c r="E12" s="22" t="s">
        <v>484</v>
      </c>
      <c r="F12" s="49" t="s">
        <v>447</v>
      </c>
      <c r="G12" s="33" t="s">
        <v>558</v>
      </c>
      <c r="H12" s="5" t="s">
        <v>324</v>
      </c>
    </row>
    <row r="13" spans="1:8" ht="16.5">
      <c r="A13" s="17" t="s">
        <v>104</v>
      </c>
      <c r="B13" s="6">
        <v>1</v>
      </c>
      <c r="C13" s="6">
        <v>13</v>
      </c>
      <c r="D13" s="18" t="s">
        <v>262</v>
      </c>
      <c r="E13" s="22" t="s">
        <v>488</v>
      </c>
      <c r="F13" s="22" t="s">
        <v>446</v>
      </c>
      <c r="G13" s="33" t="s">
        <v>558</v>
      </c>
      <c r="H13" s="125" t="s">
        <v>316</v>
      </c>
    </row>
    <row r="14" spans="1:8" ht="16.5">
      <c r="A14" s="17" t="s">
        <v>111</v>
      </c>
      <c r="B14" s="6">
        <v>1</v>
      </c>
      <c r="C14" s="6">
        <v>24</v>
      </c>
      <c r="D14" s="18" t="s">
        <v>262</v>
      </c>
      <c r="E14" s="22" t="s">
        <v>483</v>
      </c>
      <c r="F14" s="22" t="s">
        <v>447</v>
      </c>
      <c r="G14" s="33" t="s">
        <v>558</v>
      </c>
      <c r="H14" s="125" t="s">
        <v>309</v>
      </c>
    </row>
    <row r="15" spans="1:8" ht="16.5">
      <c r="A15" s="17" t="s">
        <v>251</v>
      </c>
      <c r="B15" s="6">
        <v>1</v>
      </c>
      <c r="C15" s="6">
        <v>24</v>
      </c>
      <c r="D15" s="18" t="s">
        <v>262</v>
      </c>
      <c r="E15" s="22" t="s">
        <v>483</v>
      </c>
      <c r="F15" s="22" t="s">
        <v>447</v>
      </c>
      <c r="G15" s="33" t="s">
        <v>551</v>
      </c>
      <c r="H15" s="125" t="s">
        <v>503</v>
      </c>
    </row>
    <row r="16" spans="1:8" ht="16.5">
      <c r="A16" s="21" t="s">
        <v>125</v>
      </c>
      <c r="B16" s="28">
        <v>1</v>
      </c>
      <c r="C16" s="28">
        <v>26</v>
      </c>
      <c r="D16" s="22" t="s">
        <v>262</v>
      </c>
      <c r="E16" s="22" t="s">
        <v>488</v>
      </c>
      <c r="F16" s="22" t="s">
        <v>450</v>
      </c>
      <c r="G16" s="33" t="s">
        <v>565</v>
      </c>
      <c r="H16" s="122" t="s">
        <v>328</v>
      </c>
    </row>
    <row r="17" spans="1:8" ht="16.5">
      <c r="A17" s="17" t="s">
        <v>310</v>
      </c>
      <c r="B17" s="6">
        <v>1</v>
      </c>
      <c r="C17" s="6">
        <v>28</v>
      </c>
      <c r="D17" s="18" t="s">
        <v>262</v>
      </c>
      <c r="E17" s="22" t="s">
        <v>483</v>
      </c>
      <c r="F17" s="22" t="s">
        <v>447</v>
      </c>
      <c r="G17" s="33" t="s">
        <v>565</v>
      </c>
      <c r="H17" s="125" t="s">
        <v>309</v>
      </c>
    </row>
    <row r="18" spans="1:8" ht="16.5">
      <c r="A18" s="21" t="s">
        <v>238</v>
      </c>
      <c r="B18" s="28">
        <v>2</v>
      </c>
      <c r="C18" s="28">
        <v>12</v>
      </c>
      <c r="D18" s="32" t="s">
        <v>265</v>
      </c>
      <c r="E18" s="22" t="s">
        <v>483</v>
      </c>
      <c r="F18" s="22" t="s">
        <v>450</v>
      </c>
      <c r="G18" s="33" t="s">
        <v>556</v>
      </c>
      <c r="H18" s="123" t="s">
        <v>456</v>
      </c>
    </row>
    <row r="19" spans="1:8" ht="16.5">
      <c r="A19" s="21" t="s">
        <v>261</v>
      </c>
      <c r="B19" s="28">
        <v>1</v>
      </c>
      <c r="C19" s="28">
        <v>24</v>
      </c>
      <c r="D19" s="22" t="s">
        <v>262</v>
      </c>
      <c r="E19" s="22" t="s">
        <v>488</v>
      </c>
      <c r="F19" s="22" t="s">
        <v>450</v>
      </c>
      <c r="G19" s="33" t="s">
        <v>556</v>
      </c>
      <c r="H19" s="122" t="s">
        <v>332</v>
      </c>
    </row>
    <row r="20" spans="1:8" ht="16.5">
      <c r="A20" s="21" t="s">
        <v>400</v>
      </c>
      <c r="B20" s="28">
        <v>1</v>
      </c>
      <c r="C20" s="28">
        <v>13</v>
      </c>
      <c r="D20" s="22" t="s">
        <v>265</v>
      </c>
      <c r="E20" s="22" t="s">
        <v>483</v>
      </c>
      <c r="F20" s="22" t="s">
        <v>447</v>
      </c>
      <c r="G20" s="33" t="s">
        <v>556</v>
      </c>
      <c r="H20" s="122" t="s">
        <v>301</v>
      </c>
    </row>
    <row r="21" spans="1:8" ht="16.5">
      <c r="A21" s="21" t="s">
        <v>235</v>
      </c>
      <c r="B21" s="28">
        <v>1</v>
      </c>
      <c r="C21" s="28">
        <v>25</v>
      </c>
      <c r="D21" s="22" t="s">
        <v>262</v>
      </c>
      <c r="E21" s="22"/>
      <c r="F21" s="22" t="s">
        <v>447</v>
      </c>
      <c r="G21" s="33" t="s">
        <v>547</v>
      </c>
      <c r="H21" s="122" t="s">
        <v>500</v>
      </c>
    </row>
    <row r="22" spans="1:8" ht="16.5">
      <c r="A22" s="21" t="s">
        <v>52</v>
      </c>
      <c r="B22" s="28">
        <v>1</v>
      </c>
      <c r="C22" s="28">
        <v>24</v>
      </c>
      <c r="D22" s="22" t="s">
        <v>262</v>
      </c>
      <c r="E22" s="22" t="s">
        <v>483</v>
      </c>
      <c r="F22" s="22" t="s">
        <v>447</v>
      </c>
      <c r="G22" s="33" t="s">
        <v>547</v>
      </c>
      <c r="H22" s="122" t="s">
        <v>503</v>
      </c>
    </row>
    <row r="23" spans="1:8" ht="16.5">
      <c r="A23" s="21" t="s">
        <v>47</v>
      </c>
      <c r="B23" s="28">
        <v>1</v>
      </c>
      <c r="C23" s="28">
        <v>12</v>
      </c>
      <c r="D23" s="22" t="s">
        <v>262</v>
      </c>
      <c r="E23" s="22" t="s">
        <v>483</v>
      </c>
      <c r="F23" s="22" t="s">
        <v>447</v>
      </c>
      <c r="G23" s="33" t="s">
        <v>555</v>
      </c>
      <c r="H23" s="122" t="s">
        <v>323</v>
      </c>
    </row>
    <row r="24" spans="1:8" ht="16.5">
      <c r="A24" s="21" t="s">
        <v>23</v>
      </c>
      <c r="B24" s="28">
        <v>1</v>
      </c>
      <c r="C24" s="28">
        <v>23</v>
      </c>
      <c r="D24" s="22" t="s">
        <v>262</v>
      </c>
      <c r="E24" s="22" t="s">
        <v>483</v>
      </c>
      <c r="F24" s="22" t="s">
        <v>446</v>
      </c>
      <c r="G24" s="33" t="s">
        <v>555</v>
      </c>
      <c r="H24" s="122" t="s">
        <v>455</v>
      </c>
    </row>
    <row r="25" spans="1:8" ht="16.5">
      <c r="A25" s="21" t="s">
        <v>237</v>
      </c>
      <c r="B25" s="28">
        <v>1</v>
      </c>
      <c r="C25" s="28">
        <v>26</v>
      </c>
      <c r="D25" s="22" t="s">
        <v>262</v>
      </c>
      <c r="E25" s="22" t="s">
        <v>483</v>
      </c>
      <c r="F25" s="22" t="s">
        <v>447</v>
      </c>
      <c r="G25" s="33" t="s">
        <v>537</v>
      </c>
      <c r="H25" s="122" t="s">
        <v>501</v>
      </c>
    </row>
    <row r="26" spans="1:8" ht="16.5">
      <c r="A26" s="21" t="s">
        <v>253</v>
      </c>
      <c r="B26" s="28">
        <v>1</v>
      </c>
      <c r="C26" s="28">
        <v>24</v>
      </c>
      <c r="D26" s="22" t="s">
        <v>262</v>
      </c>
      <c r="E26" s="22" t="s">
        <v>483</v>
      </c>
      <c r="F26" s="22" t="s">
        <v>447</v>
      </c>
      <c r="G26" s="33" t="s">
        <v>537</v>
      </c>
      <c r="H26" s="122" t="s">
        <v>502</v>
      </c>
    </row>
    <row r="27" spans="1:8" ht="16.5">
      <c r="A27" s="17" t="s">
        <v>149</v>
      </c>
      <c r="B27" s="6">
        <v>1</v>
      </c>
      <c r="C27" s="6">
        <v>24</v>
      </c>
      <c r="D27" s="18" t="s">
        <v>262</v>
      </c>
      <c r="E27" s="22" t="s">
        <v>483</v>
      </c>
      <c r="F27" s="22" t="s">
        <v>447</v>
      </c>
      <c r="G27" s="33" t="s">
        <v>537</v>
      </c>
      <c r="H27" s="125" t="s">
        <v>301</v>
      </c>
    </row>
    <row r="28" spans="1:8" ht="16.5">
      <c r="A28" s="17" t="s">
        <v>126</v>
      </c>
      <c r="B28" s="6">
        <v>1</v>
      </c>
      <c r="C28" s="6">
        <v>16</v>
      </c>
      <c r="D28" s="18" t="s">
        <v>265</v>
      </c>
      <c r="E28" s="22" t="s">
        <v>483</v>
      </c>
      <c r="F28" s="22" t="s">
        <v>447</v>
      </c>
      <c r="G28" s="33" t="s">
        <v>536</v>
      </c>
      <c r="H28" s="125" t="s">
        <v>515</v>
      </c>
    </row>
    <row r="29" spans="1:8" ht="16.5">
      <c r="A29" s="21" t="s">
        <v>454</v>
      </c>
      <c r="B29" s="28">
        <v>2</v>
      </c>
      <c r="C29" s="28">
        <v>12</v>
      </c>
      <c r="D29" s="22" t="s">
        <v>265</v>
      </c>
      <c r="E29" s="22" t="s">
        <v>483</v>
      </c>
      <c r="F29" s="22" t="s">
        <v>447</v>
      </c>
      <c r="G29" s="33" t="s">
        <v>536</v>
      </c>
      <c r="H29" s="122" t="s">
        <v>301</v>
      </c>
    </row>
    <row r="30" spans="1:8" ht="16.5">
      <c r="A30" s="17" t="s">
        <v>107</v>
      </c>
      <c r="B30" s="6">
        <v>1</v>
      </c>
      <c r="C30" s="6">
        <v>22</v>
      </c>
      <c r="D30" s="18" t="s">
        <v>262</v>
      </c>
      <c r="E30" s="22" t="s">
        <v>483</v>
      </c>
      <c r="F30" s="22" t="s">
        <v>447</v>
      </c>
      <c r="G30" s="33" t="s">
        <v>546</v>
      </c>
      <c r="H30" s="125" t="s">
        <v>517</v>
      </c>
    </row>
    <row r="31" spans="1:8" ht="16.5">
      <c r="A31" s="21" t="s">
        <v>676</v>
      </c>
      <c r="B31" s="28">
        <v>1</v>
      </c>
      <c r="C31" s="28">
        <v>12</v>
      </c>
      <c r="D31" s="22" t="s">
        <v>265</v>
      </c>
      <c r="E31" s="22" t="s">
        <v>488</v>
      </c>
      <c r="F31" s="22" t="s">
        <v>450</v>
      </c>
      <c r="G31" s="33" t="s">
        <v>546</v>
      </c>
      <c r="H31" s="122" t="s">
        <v>677</v>
      </c>
    </row>
    <row r="32" spans="1:8" ht="16.5">
      <c r="A32" s="17" t="s">
        <v>153</v>
      </c>
      <c r="B32" s="6">
        <v>2</v>
      </c>
      <c r="C32" s="6">
        <v>24</v>
      </c>
      <c r="D32" s="18" t="s">
        <v>262</v>
      </c>
      <c r="E32" s="22" t="s">
        <v>483</v>
      </c>
      <c r="F32" s="22" t="s">
        <v>446</v>
      </c>
      <c r="G32" s="33" t="s">
        <v>546</v>
      </c>
      <c r="H32" s="125" t="s">
        <v>518</v>
      </c>
    </row>
    <row r="33" spans="1:8" ht="16.5">
      <c r="A33" s="17" t="s">
        <v>26</v>
      </c>
      <c r="B33" s="6">
        <v>1</v>
      </c>
      <c r="C33" s="6">
        <v>13</v>
      </c>
      <c r="D33" s="18" t="s">
        <v>265</v>
      </c>
      <c r="E33" s="22" t="s">
        <v>483</v>
      </c>
      <c r="F33" s="22" t="s">
        <v>447</v>
      </c>
      <c r="G33" s="33" t="s">
        <v>564</v>
      </c>
      <c r="H33" s="125" t="s">
        <v>501</v>
      </c>
    </row>
    <row r="34" spans="1:8" ht="16.5">
      <c r="A34" s="21" t="s">
        <v>236</v>
      </c>
      <c r="B34" s="28">
        <v>2</v>
      </c>
      <c r="C34" s="28">
        <v>25</v>
      </c>
      <c r="D34" s="22" t="s">
        <v>262</v>
      </c>
      <c r="E34" s="22"/>
      <c r="F34" s="22" t="s">
        <v>447</v>
      </c>
      <c r="G34" s="33" t="s">
        <v>548</v>
      </c>
      <c r="H34" s="123" t="s">
        <v>500</v>
      </c>
    </row>
    <row r="35" spans="1:8" ht="16.5">
      <c r="A35" s="21" t="s">
        <v>20</v>
      </c>
      <c r="B35" s="28">
        <v>1</v>
      </c>
      <c r="C35" s="28">
        <v>12</v>
      </c>
      <c r="D35" s="22" t="s">
        <v>262</v>
      </c>
      <c r="E35" s="22" t="s">
        <v>483</v>
      </c>
      <c r="F35" s="22" t="s">
        <v>446</v>
      </c>
      <c r="G35" s="33" t="s">
        <v>548</v>
      </c>
      <c r="H35" s="122" t="s">
        <v>326</v>
      </c>
    </row>
    <row r="36" spans="1:8" ht="16.5">
      <c r="A36" s="21" t="s">
        <v>34</v>
      </c>
      <c r="B36" s="28">
        <v>1</v>
      </c>
      <c r="C36" s="28">
        <v>12</v>
      </c>
      <c r="D36" s="22" t="s">
        <v>262</v>
      </c>
      <c r="E36" s="22" t="s">
        <v>483</v>
      </c>
      <c r="F36" s="22" t="s">
        <v>447</v>
      </c>
      <c r="G36" s="33" t="s">
        <v>548</v>
      </c>
      <c r="H36" s="122" t="s">
        <v>309</v>
      </c>
    </row>
    <row r="37" spans="1:8" ht="16.5">
      <c r="A37" s="21" t="s">
        <v>433</v>
      </c>
      <c r="B37" s="28">
        <v>3</v>
      </c>
      <c r="C37" s="28">
        <v>13</v>
      </c>
      <c r="D37" s="32" t="s">
        <v>124</v>
      </c>
      <c r="E37" s="22" t="s">
        <v>124</v>
      </c>
      <c r="F37" s="22" t="s">
        <v>124</v>
      </c>
      <c r="G37" s="33" t="s">
        <v>521</v>
      </c>
      <c r="H37" s="122" t="s">
        <v>124</v>
      </c>
    </row>
    <row r="38" spans="1:8" ht="16.5">
      <c r="A38" s="21" t="s">
        <v>453</v>
      </c>
      <c r="B38" s="28">
        <v>3</v>
      </c>
      <c r="C38" s="28">
        <v>12</v>
      </c>
      <c r="D38" s="22" t="s">
        <v>265</v>
      </c>
      <c r="E38" s="22" t="s">
        <v>483</v>
      </c>
      <c r="F38" s="22" t="s">
        <v>447</v>
      </c>
      <c r="G38" s="33" t="s">
        <v>521</v>
      </c>
      <c r="H38" s="122" t="s">
        <v>301</v>
      </c>
    </row>
    <row r="39" spans="1:8" ht="16.5">
      <c r="A39" s="17" t="s">
        <v>569</v>
      </c>
      <c r="B39" s="6">
        <v>2</v>
      </c>
      <c r="C39" s="6">
        <v>22</v>
      </c>
      <c r="D39" s="18" t="s">
        <v>262</v>
      </c>
      <c r="E39" s="22" t="s">
        <v>483</v>
      </c>
      <c r="F39" s="22" t="s">
        <v>447</v>
      </c>
      <c r="G39" s="33" t="s">
        <v>545</v>
      </c>
      <c r="H39" s="125" t="s">
        <v>301</v>
      </c>
    </row>
    <row r="40" spans="1:8" ht="16.5">
      <c r="A40" s="21" t="s">
        <v>239</v>
      </c>
      <c r="B40" s="28">
        <v>2</v>
      </c>
      <c r="C40" s="28">
        <v>11</v>
      </c>
      <c r="D40" s="22" t="s">
        <v>262</v>
      </c>
      <c r="E40" s="22" t="s">
        <v>483</v>
      </c>
      <c r="F40" s="22" t="s">
        <v>446</v>
      </c>
      <c r="G40" s="33" t="s">
        <v>545</v>
      </c>
      <c r="H40" s="122" t="s">
        <v>497</v>
      </c>
    </row>
    <row r="41" spans="1:8" ht="16.5">
      <c r="A41" s="17" t="s">
        <v>490</v>
      </c>
      <c r="B41" s="6">
        <v>1</v>
      </c>
      <c r="C41" s="6">
        <v>24</v>
      </c>
      <c r="D41" s="18" t="s">
        <v>262</v>
      </c>
      <c r="E41" s="22" t="s">
        <v>483</v>
      </c>
      <c r="F41" s="22" t="s">
        <v>447</v>
      </c>
      <c r="G41" s="33" t="s">
        <v>545</v>
      </c>
      <c r="H41" s="125" t="s">
        <v>503</v>
      </c>
    </row>
    <row r="42" spans="1:8" ht="16.5">
      <c r="A42" s="17" t="s">
        <v>147</v>
      </c>
      <c r="B42" s="6">
        <v>1</v>
      </c>
      <c r="C42" s="6">
        <v>25</v>
      </c>
      <c r="D42" s="18" t="s">
        <v>262</v>
      </c>
      <c r="E42" s="22" t="s">
        <v>483</v>
      </c>
      <c r="F42" s="22" t="s">
        <v>447</v>
      </c>
      <c r="G42" s="33" t="s">
        <v>545</v>
      </c>
      <c r="H42" s="125" t="s">
        <v>500</v>
      </c>
    </row>
    <row r="43" spans="1:8" ht="16.5">
      <c r="A43" s="21" t="s">
        <v>230</v>
      </c>
      <c r="B43" s="28">
        <v>1</v>
      </c>
      <c r="C43" s="28">
        <v>52</v>
      </c>
      <c r="D43" s="22" t="s">
        <v>262</v>
      </c>
      <c r="E43" s="22" t="s">
        <v>485</v>
      </c>
      <c r="F43" s="22" t="s">
        <v>450</v>
      </c>
      <c r="G43" s="33" t="s">
        <v>554</v>
      </c>
      <c r="H43" s="122" t="s">
        <v>320</v>
      </c>
    </row>
    <row r="44" spans="1:8" ht="16.5">
      <c r="A44" s="21" t="s">
        <v>295</v>
      </c>
      <c r="B44" s="28">
        <v>1</v>
      </c>
      <c r="C44" s="28">
        <v>26</v>
      </c>
      <c r="D44" s="32" t="s">
        <v>265</v>
      </c>
      <c r="E44" s="22" t="s">
        <v>483</v>
      </c>
      <c r="F44" s="32" t="s">
        <v>447</v>
      </c>
      <c r="G44" s="35" t="s">
        <v>554</v>
      </c>
      <c r="H44" s="122" t="s">
        <v>503</v>
      </c>
    </row>
    <row r="45" spans="1:8" ht="16.5">
      <c r="A45" s="21" t="s">
        <v>451</v>
      </c>
      <c r="B45" s="28">
        <v>2</v>
      </c>
      <c r="C45" s="28">
        <v>64</v>
      </c>
      <c r="D45" s="22" t="s">
        <v>265</v>
      </c>
      <c r="E45" s="22" t="s">
        <v>483</v>
      </c>
      <c r="F45" s="22" t="s">
        <v>446</v>
      </c>
      <c r="G45" s="33" t="s">
        <v>553</v>
      </c>
      <c r="H45" s="122" t="s">
        <v>322</v>
      </c>
    </row>
    <row r="46" spans="1:8" ht="16.5">
      <c r="A46" s="17" t="s">
        <v>112</v>
      </c>
      <c r="B46" s="6">
        <v>1</v>
      </c>
      <c r="C46" s="6">
        <v>13</v>
      </c>
      <c r="D46" s="18" t="s">
        <v>262</v>
      </c>
      <c r="E46" s="22" t="s">
        <v>483</v>
      </c>
      <c r="F46" s="22" t="s">
        <v>447</v>
      </c>
      <c r="G46" s="33" t="s">
        <v>553</v>
      </c>
      <c r="H46" s="125" t="s">
        <v>313</v>
      </c>
    </row>
    <row r="47" spans="1:8" ht="16.5">
      <c r="A47" s="17" t="s">
        <v>48</v>
      </c>
      <c r="B47" s="6">
        <v>1</v>
      </c>
      <c r="C47" s="6">
        <v>15</v>
      </c>
      <c r="D47" s="18" t="s">
        <v>262</v>
      </c>
      <c r="E47" s="22" t="s">
        <v>483</v>
      </c>
      <c r="F47" s="22" t="s">
        <v>447</v>
      </c>
      <c r="G47" s="33" t="s">
        <v>539</v>
      </c>
      <c r="H47" s="125" t="s">
        <v>498</v>
      </c>
    </row>
    <row r="48" spans="1:8" ht="16.5">
      <c r="A48" s="17" t="s">
        <v>32</v>
      </c>
      <c r="B48" s="6">
        <v>2</v>
      </c>
      <c r="C48" s="6">
        <v>12</v>
      </c>
      <c r="D48" s="18" t="s">
        <v>265</v>
      </c>
      <c r="E48" s="22" t="s">
        <v>483</v>
      </c>
      <c r="F48" s="22" t="s">
        <v>447</v>
      </c>
      <c r="G48" s="33" t="s">
        <v>539</v>
      </c>
      <c r="H48" s="125" t="s">
        <v>499</v>
      </c>
    </row>
    <row r="49" spans="1:8" ht="16.5">
      <c r="A49" s="21" t="s">
        <v>258</v>
      </c>
      <c r="B49" s="28">
        <v>1</v>
      </c>
      <c r="C49" s="28">
        <v>12</v>
      </c>
      <c r="D49" s="22" t="s">
        <v>265</v>
      </c>
      <c r="E49" s="22" t="s">
        <v>483</v>
      </c>
      <c r="F49" s="22" t="s">
        <v>447</v>
      </c>
      <c r="G49" s="33" t="s">
        <v>560</v>
      </c>
      <c r="H49" s="122" t="s">
        <v>516</v>
      </c>
    </row>
    <row r="50" spans="1:8" ht="16.5">
      <c r="A50" s="17" t="s">
        <v>245</v>
      </c>
      <c r="B50" s="6">
        <v>1</v>
      </c>
      <c r="C50" s="6">
        <v>13</v>
      </c>
      <c r="D50" s="18" t="s">
        <v>262</v>
      </c>
      <c r="E50" s="22" t="s">
        <v>483</v>
      </c>
      <c r="F50" s="22" t="s">
        <v>450</v>
      </c>
      <c r="G50" s="33" t="s">
        <v>560</v>
      </c>
      <c r="H50" s="125" t="s">
        <v>321</v>
      </c>
    </row>
    <row r="51" spans="1:8" ht="16.5">
      <c r="A51" s="17" t="s">
        <v>457</v>
      </c>
      <c r="B51" s="6">
        <v>1</v>
      </c>
      <c r="C51" s="6">
        <v>24</v>
      </c>
      <c r="D51" s="18" t="s">
        <v>262</v>
      </c>
      <c r="E51" s="22" t="s">
        <v>483</v>
      </c>
      <c r="F51" s="22" t="s">
        <v>447</v>
      </c>
      <c r="G51" s="33" t="s">
        <v>560</v>
      </c>
      <c r="H51" s="125" t="s">
        <v>309</v>
      </c>
    </row>
    <row r="52" spans="1:8" ht="16.5">
      <c r="A52" s="17" t="s">
        <v>84</v>
      </c>
      <c r="B52" s="6">
        <v>1</v>
      </c>
      <c r="C52" s="6">
        <v>13</v>
      </c>
      <c r="D52" s="18" t="s">
        <v>262</v>
      </c>
      <c r="E52" s="22" t="s">
        <v>484</v>
      </c>
      <c r="F52" s="22" t="s">
        <v>447</v>
      </c>
      <c r="G52" s="33" t="s">
        <v>526</v>
      </c>
      <c r="H52" s="125" t="s">
        <v>309</v>
      </c>
    </row>
    <row r="53" spans="1:8" ht="16.5">
      <c r="A53" s="17" t="s">
        <v>127</v>
      </c>
      <c r="B53" s="6">
        <v>1</v>
      </c>
      <c r="C53" s="6">
        <v>25</v>
      </c>
      <c r="D53" s="18" t="s">
        <v>265</v>
      </c>
      <c r="E53" s="22" t="s">
        <v>483</v>
      </c>
      <c r="F53" s="22" t="s">
        <v>447</v>
      </c>
      <c r="G53" s="33" t="s">
        <v>526</v>
      </c>
      <c r="H53" s="125" t="s">
        <v>500</v>
      </c>
    </row>
    <row r="54" spans="1:8" ht="16.5">
      <c r="A54" s="21" t="s">
        <v>481</v>
      </c>
      <c r="B54" s="28">
        <v>2</v>
      </c>
      <c r="C54" s="28">
        <v>12</v>
      </c>
      <c r="D54" s="32" t="s">
        <v>124</v>
      </c>
      <c r="E54" s="22" t="s">
        <v>124</v>
      </c>
      <c r="F54" s="22" t="s">
        <v>124</v>
      </c>
      <c r="G54" s="33" t="s">
        <v>526</v>
      </c>
      <c r="H54" s="122" t="s">
        <v>124</v>
      </c>
    </row>
    <row r="55" spans="1:8" ht="16.5">
      <c r="A55" s="21" t="s">
        <v>255</v>
      </c>
      <c r="B55" s="28">
        <v>1</v>
      </c>
      <c r="C55" s="28">
        <v>12</v>
      </c>
      <c r="D55" s="22" t="s">
        <v>265</v>
      </c>
      <c r="E55" s="22" t="s">
        <v>483</v>
      </c>
      <c r="F55" s="22" t="s">
        <v>447</v>
      </c>
      <c r="G55" s="33" t="s">
        <v>526</v>
      </c>
      <c r="H55" s="122" t="s">
        <v>499</v>
      </c>
    </row>
    <row r="56" spans="1:8" ht="16.5">
      <c r="A56" s="21" t="s">
        <v>240</v>
      </c>
      <c r="B56" s="28">
        <v>3</v>
      </c>
      <c r="C56" s="28">
        <v>12</v>
      </c>
      <c r="D56" s="22" t="s">
        <v>262</v>
      </c>
      <c r="E56" s="22" t="s">
        <v>483</v>
      </c>
      <c r="F56" s="22" t="s">
        <v>446</v>
      </c>
      <c r="G56" s="33" t="s">
        <v>526</v>
      </c>
      <c r="H56" s="122" t="s">
        <v>313</v>
      </c>
    </row>
    <row r="57" spans="1:8" ht="16.5">
      <c r="A57" s="21" t="s">
        <v>71</v>
      </c>
      <c r="B57" s="28">
        <v>1</v>
      </c>
      <c r="C57" s="28">
        <v>24</v>
      </c>
      <c r="D57" s="32" t="s">
        <v>124</v>
      </c>
      <c r="E57" s="22" t="s">
        <v>124</v>
      </c>
      <c r="F57" s="22" t="s">
        <v>124</v>
      </c>
      <c r="G57" s="33" t="s">
        <v>526</v>
      </c>
      <c r="H57" s="122" t="s">
        <v>124</v>
      </c>
    </row>
    <row r="58" spans="1:8" ht="16.5">
      <c r="A58" s="17" t="s">
        <v>180</v>
      </c>
      <c r="B58" s="6">
        <v>1</v>
      </c>
      <c r="C58" s="6">
        <v>13</v>
      </c>
      <c r="D58" s="18" t="s">
        <v>262</v>
      </c>
      <c r="E58" s="22" t="s">
        <v>483</v>
      </c>
      <c r="F58" s="22" t="s">
        <v>447</v>
      </c>
      <c r="G58" s="33" t="s">
        <v>526</v>
      </c>
      <c r="H58" s="125" t="s">
        <v>509</v>
      </c>
    </row>
    <row r="59" spans="1:8" ht="16.5">
      <c r="A59" s="17" t="s">
        <v>28</v>
      </c>
      <c r="B59" s="6">
        <v>1</v>
      </c>
      <c r="C59" s="6">
        <v>14</v>
      </c>
      <c r="D59" s="18" t="s">
        <v>262</v>
      </c>
      <c r="E59" s="22" t="s">
        <v>483</v>
      </c>
      <c r="F59" s="22" t="s">
        <v>447</v>
      </c>
      <c r="G59" s="33" t="s">
        <v>522</v>
      </c>
      <c r="H59" s="125" t="s">
        <v>301</v>
      </c>
    </row>
    <row r="60" spans="1:8" ht="16.5">
      <c r="A60" s="21" t="s">
        <v>128</v>
      </c>
      <c r="B60" s="28">
        <v>1</v>
      </c>
      <c r="C60" s="28">
        <v>27</v>
      </c>
      <c r="D60" s="22" t="s">
        <v>262</v>
      </c>
      <c r="E60" s="22" t="s">
        <v>483</v>
      </c>
      <c r="F60" s="22" t="s">
        <v>446</v>
      </c>
      <c r="G60" s="33" t="s">
        <v>522</v>
      </c>
      <c r="H60" s="122" t="s">
        <v>286</v>
      </c>
    </row>
    <row r="61" spans="1:8" ht="16.5">
      <c r="A61" s="17" t="s">
        <v>150</v>
      </c>
      <c r="B61" s="6">
        <v>2</v>
      </c>
      <c r="C61" s="6">
        <v>24</v>
      </c>
      <c r="D61" s="18" t="s">
        <v>262</v>
      </c>
      <c r="E61" s="22" t="s">
        <v>483</v>
      </c>
      <c r="F61" s="22" t="s">
        <v>447</v>
      </c>
      <c r="G61" s="33" t="s">
        <v>522</v>
      </c>
      <c r="H61" s="125" t="s">
        <v>309</v>
      </c>
    </row>
    <row r="62" spans="1:8" ht="16.5">
      <c r="A62" s="17" t="s">
        <v>27</v>
      </c>
      <c r="B62" s="6">
        <v>1</v>
      </c>
      <c r="C62" s="6">
        <v>11</v>
      </c>
      <c r="D62" s="18" t="s">
        <v>262</v>
      </c>
      <c r="E62" s="22" t="s">
        <v>483</v>
      </c>
      <c r="F62" s="22" t="s">
        <v>447</v>
      </c>
      <c r="G62" s="33" t="s">
        <v>522</v>
      </c>
      <c r="H62" s="125" t="s">
        <v>309</v>
      </c>
    </row>
    <row r="63" spans="1:8" ht="16.5">
      <c r="A63" s="21" t="s">
        <v>684</v>
      </c>
      <c r="B63" s="28">
        <v>1</v>
      </c>
      <c r="C63" s="28">
        <v>13</v>
      </c>
      <c r="D63" s="22" t="s">
        <v>124</v>
      </c>
      <c r="E63" s="22" t="s">
        <v>124</v>
      </c>
      <c r="F63" s="22" t="s">
        <v>124</v>
      </c>
      <c r="G63" s="33" t="s">
        <v>522</v>
      </c>
      <c r="H63" s="122" t="s">
        <v>124</v>
      </c>
    </row>
    <row r="64" spans="1:8" ht="16.5">
      <c r="A64" s="21" t="s">
        <v>540</v>
      </c>
      <c r="B64" s="28">
        <v>1</v>
      </c>
      <c r="C64" s="28">
        <v>25</v>
      </c>
      <c r="D64" s="22" t="s">
        <v>265</v>
      </c>
      <c r="E64" s="22" t="s">
        <v>483</v>
      </c>
      <c r="F64" s="22" t="s">
        <v>446</v>
      </c>
      <c r="G64" s="33" t="s">
        <v>543</v>
      </c>
      <c r="H64" s="122" t="s">
        <v>366</v>
      </c>
    </row>
    <row r="65" spans="1:8" ht="16.5">
      <c r="A65" s="17" t="s">
        <v>135</v>
      </c>
      <c r="B65" s="6">
        <v>1</v>
      </c>
      <c r="C65" s="6">
        <v>16</v>
      </c>
      <c r="D65" s="18" t="s">
        <v>262</v>
      </c>
      <c r="E65" s="22" t="s">
        <v>483</v>
      </c>
      <c r="F65" s="22" t="s">
        <v>447</v>
      </c>
      <c r="G65" s="33" t="s">
        <v>543</v>
      </c>
      <c r="H65" s="125" t="s">
        <v>499</v>
      </c>
    </row>
    <row r="66" spans="1:8" ht="16.5">
      <c r="A66" s="17" t="s">
        <v>184</v>
      </c>
      <c r="B66" s="6">
        <v>1</v>
      </c>
      <c r="C66" s="6">
        <v>13</v>
      </c>
      <c r="D66" s="18" t="s">
        <v>262</v>
      </c>
      <c r="E66" s="22" t="s">
        <v>483</v>
      </c>
      <c r="F66" s="22" t="s">
        <v>447</v>
      </c>
      <c r="G66" s="33" t="s">
        <v>543</v>
      </c>
      <c r="H66" s="125" t="s">
        <v>426</v>
      </c>
    </row>
    <row r="67" spans="1:8" ht="16.5">
      <c r="A67" s="17" t="s">
        <v>97</v>
      </c>
      <c r="B67" s="6">
        <v>1</v>
      </c>
      <c r="C67" s="6">
        <v>12</v>
      </c>
      <c r="D67" s="18" t="s">
        <v>262</v>
      </c>
      <c r="E67" s="22" t="s">
        <v>483</v>
      </c>
      <c r="F67" s="22" t="s">
        <v>447</v>
      </c>
      <c r="G67" s="33" t="s">
        <v>543</v>
      </c>
      <c r="H67" s="125" t="s">
        <v>286</v>
      </c>
    </row>
    <row r="68" spans="1:8" ht="16.5">
      <c r="A68" s="21" t="s">
        <v>241</v>
      </c>
      <c r="B68" s="28">
        <v>2</v>
      </c>
      <c r="C68" s="28">
        <v>12</v>
      </c>
      <c r="D68" s="22" t="s">
        <v>262</v>
      </c>
      <c r="E68" s="22" t="s">
        <v>483</v>
      </c>
      <c r="F68" s="22" t="s">
        <v>447</v>
      </c>
      <c r="G68" s="33" t="s">
        <v>543</v>
      </c>
      <c r="H68" s="122" t="s">
        <v>327</v>
      </c>
    </row>
    <row r="69" spans="1:8" ht="16.5">
      <c r="A69" s="21" t="s">
        <v>31</v>
      </c>
      <c r="B69" s="28">
        <v>1</v>
      </c>
      <c r="C69" s="28">
        <v>12</v>
      </c>
      <c r="D69" s="22" t="s">
        <v>262</v>
      </c>
      <c r="E69" s="22" t="s">
        <v>483</v>
      </c>
      <c r="F69" s="22" t="s">
        <v>447</v>
      </c>
      <c r="G69" s="33" t="s">
        <v>543</v>
      </c>
      <c r="H69" s="122" t="s">
        <v>329</v>
      </c>
    </row>
    <row r="70" spans="1:8" ht="16.5">
      <c r="A70" s="17" t="s">
        <v>133</v>
      </c>
      <c r="B70" s="6">
        <v>2</v>
      </c>
      <c r="C70" s="6">
        <v>24</v>
      </c>
      <c r="D70" s="18" t="s">
        <v>262</v>
      </c>
      <c r="E70" s="22" t="s">
        <v>483</v>
      </c>
      <c r="F70" s="22" t="s">
        <v>447</v>
      </c>
      <c r="G70" s="33" t="s">
        <v>543</v>
      </c>
      <c r="H70" s="125" t="s">
        <v>512</v>
      </c>
    </row>
    <row r="71" spans="1:8" ht="16.5">
      <c r="A71" s="17" t="s">
        <v>36</v>
      </c>
      <c r="B71" s="6">
        <v>1</v>
      </c>
      <c r="C71" s="6">
        <v>12</v>
      </c>
      <c r="D71" s="18" t="s">
        <v>262</v>
      </c>
      <c r="E71" s="22" t="s">
        <v>483</v>
      </c>
      <c r="F71" s="22" t="s">
        <v>447</v>
      </c>
      <c r="G71" s="33" t="s">
        <v>543</v>
      </c>
      <c r="H71" s="125" t="s">
        <v>514</v>
      </c>
    </row>
    <row r="72" spans="1:8" ht="16.5">
      <c r="A72" s="17" t="s">
        <v>59</v>
      </c>
      <c r="B72" s="6">
        <v>1</v>
      </c>
      <c r="C72" s="6">
        <v>12</v>
      </c>
      <c r="D72" s="18" t="s">
        <v>265</v>
      </c>
      <c r="E72" s="22" t="s">
        <v>483</v>
      </c>
      <c r="F72" s="22" t="s">
        <v>447</v>
      </c>
      <c r="G72" s="33" t="s">
        <v>561</v>
      </c>
      <c r="H72" s="125" t="s">
        <v>301</v>
      </c>
    </row>
    <row r="73" spans="1:8" ht="16.5">
      <c r="A73" s="17" t="s">
        <v>177</v>
      </c>
      <c r="B73" s="6">
        <v>1</v>
      </c>
      <c r="C73" s="6">
        <v>11</v>
      </c>
      <c r="D73" s="18" t="s">
        <v>262</v>
      </c>
      <c r="E73" s="22" t="s">
        <v>484</v>
      </c>
      <c r="F73" s="22" t="s">
        <v>447</v>
      </c>
      <c r="G73" s="33" t="s">
        <v>529</v>
      </c>
      <c r="H73" s="125" t="s">
        <v>301</v>
      </c>
    </row>
    <row r="74" spans="1:8" ht="16.5">
      <c r="A74" s="21" t="s">
        <v>41</v>
      </c>
      <c r="B74" s="28">
        <v>1</v>
      </c>
      <c r="C74" s="28">
        <v>12</v>
      </c>
      <c r="D74" s="22" t="s">
        <v>265</v>
      </c>
      <c r="E74" s="22" t="s">
        <v>483</v>
      </c>
      <c r="F74" s="22" t="s">
        <v>447</v>
      </c>
      <c r="G74" s="33" t="s">
        <v>529</v>
      </c>
      <c r="H74" s="122" t="s">
        <v>499</v>
      </c>
    </row>
    <row r="75" spans="1:8" ht="16.5">
      <c r="A75" s="21" t="s">
        <v>231</v>
      </c>
      <c r="B75" s="28">
        <v>1</v>
      </c>
      <c r="C75" s="28">
        <v>12</v>
      </c>
      <c r="D75" s="22" t="s">
        <v>262</v>
      </c>
      <c r="E75" s="22" t="s">
        <v>483</v>
      </c>
      <c r="F75" s="22" t="s">
        <v>446</v>
      </c>
      <c r="G75" s="33" t="s">
        <v>529</v>
      </c>
      <c r="H75" s="122" t="s">
        <v>285</v>
      </c>
    </row>
    <row r="76" spans="1:8" ht="16.5">
      <c r="A76" s="17" t="s">
        <v>148</v>
      </c>
      <c r="B76" s="6">
        <v>1</v>
      </c>
      <c r="C76" s="6">
        <v>26</v>
      </c>
      <c r="D76" s="18" t="s">
        <v>262</v>
      </c>
      <c r="E76" s="22" t="s">
        <v>484</v>
      </c>
      <c r="F76" s="22" t="s">
        <v>447</v>
      </c>
      <c r="G76" s="33" t="s">
        <v>529</v>
      </c>
      <c r="H76" s="125" t="s">
        <v>301</v>
      </c>
    </row>
    <row r="77" spans="1:8" ht="16.5">
      <c r="A77" s="21" t="s">
        <v>243</v>
      </c>
      <c r="B77" s="28">
        <v>2</v>
      </c>
      <c r="C77" s="28">
        <v>12</v>
      </c>
      <c r="D77" s="32" t="s">
        <v>124</v>
      </c>
      <c r="E77" s="22" t="s">
        <v>124</v>
      </c>
      <c r="F77" s="22" t="s">
        <v>124</v>
      </c>
      <c r="G77" s="33" t="s">
        <v>529</v>
      </c>
      <c r="H77" s="122" t="s">
        <v>124</v>
      </c>
    </row>
    <row r="78" spans="1:8" ht="16.5">
      <c r="A78" s="17" t="s">
        <v>108</v>
      </c>
      <c r="B78" s="6">
        <v>1</v>
      </c>
      <c r="C78" s="6">
        <v>25</v>
      </c>
      <c r="D78" s="18" t="s">
        <v>262</v>
      </c>
      <c r="E78" s="22" t="s">
        <v>483</v>
      </c>
      <c r="F78" s="22" t="s">
        <v>447</v>
      </c>
      <c r="G78" s="33" t="s">
        <v>529</v>
      </c>
      <c r="H78" s="125" t="s">
        <v>426</v>
      </c>
    </row>
    <row r="79" spans="1:8" ht="16.5">
      <c r="A79" s="21" t="s">
        <v>242</v>
      </c>
      <c r="B79" s="28">
        <v>2</v>
      </c>
      <c r="C79" s="28">
        <v>12</v>
      </c>
      <c r="D79" s="22" t="s">
        <v>262</v>
      </c>
      <c r="E79" s="22" t="s">
        <v>483</v>
      </c>
      <c r="F79" s="22" t="s">
        <v>447</v>
      </c>
      <c r="G79" s="33" t="s">
        <v>529</v>
      </c>
      <c r="H79" s="122" t="s">
        <v>329</v>
      </c>
    </row>
    <row r="80" spans="1:8" ht="16.5">
      <c r="A80" s="17" t="s">
        <v>79</v>
      </c>
      <c r="B80" s="6">
        <v>2</v>
      </c>
      <c r="C80" s="6">
        <v>13</v>
      </c>
      <c r="D80" s="18" t="s">
        <v>262</v>
      </c>
      <c r="E80" s="22" t="s">
        <v>483</v>
      </c>
      <c r="F80" s="22" t="s">
        <v>447</v>
      </c>
      <c r="G80" s="33" t="s">
        <v>538</v>
      </c>
      <c r="H80" s="125" t="s">
        <v>463</v>
      </c>
    </row>
    <row r="81" spans="1:8" ht="16.5">
      <c r="A81" s="17" t="s">
        <v>123</v>
      </c>
      <c r="B81" s="6">
        <v>1</v>
      </c>
      <c r="C81" s="6">
        <v>12</v>
      </c>
      <c r="D81" s="18" t="s">
        <v>262</v>
      </c>
      <c r="E81" s="22" t="s">
        <v>483</v>
      </c>
      <c r="F81" s="22" t="s">
        <v>447</v>
      </c>
      <c r="G81" s="33" t="s">
        <v>538</v>
      </c>
      <c r="H81" s="125" t="s">
        <v>507</v>
      </c>
    </row>
    <row r="82" spans="1:8" ht="16.5">
      <c r="A82" s="17" t="s">
        <v>152</v>
      </c>
      <c r="B82" s="6">
        <v>1</v>
      </c>
      <c r="C82" s="6">
        <v>26</v>
      </c>
      <c r="D82" s="18" t="s">
        <v>262</v>
      </c>
      <c r="E82" s="22" t="s">
        <v>483</v>
      </c>
      <c r="F82" s="22" t="s">
        <v>447</v>
      </c>
      <c r="G82" s="33" t="s">
        <v>538</v>
      </c>
      <c r="H82" s="125" t="s">
        <v>511</v>
      </c>
    </row>
    <row r="83" spans="1:8" ht="16.5">
      <c r="A83" s="21" t="s">
        <v>330</v>
      </c>
      <c r="B83" s="28">
        <v>1</v>
      </c>
      <c r="C83" s="28">
        <v>11</v>
      </c>
      <c r="D83" s="22" t="s">
        <v>262</v>
      </c>
      <c r="E83" s="22" t="s">
        <v>483</v>
      </c>
      <c r="F83" s="22" t="s">
        <v>447</v>
      </c>
      <c r="G83" s="33" t="s">
        <v>538</v>
      </c>
      <c r="H83" s="122" t="s">
        <v>331</v>
      </c>
    </row>
    <row r="84" spans="1:8" ht="16.5">
      <c r="A84" s="17" t="s">
        <v>101</v>
      </c>
      <c r="B84" s="6">
        <v>1</v>
      </c>
      <c r="C84" s="6">
        <v>12</v>
      </c>
      <c r="D84" s="18" t="s">
        <v>262</v>
      </c>
      <c r="E84" s="22" t="s">
        <v>484</v>
      </c>
      <c r="F84" s="22" t="s">
        <v>447</v>
      </c>
      <c r="G84" s="33" t="s">
        <v>538</v>
      </c>
      <c r="H84" s="125" t="s">
        <v>301</v>
      </c>
    </row>
    <row r="85" spans="1:8" ht="16.5">
      <c r="A85" s="21" t="s">
        <v>541</v>
      </c>
      <c r="B85" s="28">
        <v>2</v>
      </c>
      <c r="C85" s="28">
        <v>24</v>
      </c>
      <c r="D85" s="32" t="s">
        <v>265</v>
      </c>
      <c r="E85" s="22" t="s">
        <v>483</v>
      </c>
      <c r="F85" s="32" t="s">
        <v>446</v>
      </c>
      <c r="G85" s="35" t="s">
        <v>525</v>
      </c>
      <c r="H85" s="123" t="s">
        <v>367</v>
      </c>
    </row>
    <row r="86" spans="1:8" ht="16.5">
      <c r="A86" s="17" t="s">
        <v>72</v>
      </c>
      <c r="B86" s="6">
        <v>1</v>
      </c>
      <c r="C86" s="6">
        <v>13</v>
      </c>
      <c r="D86" s="18" t="s">
        <v>262</v>
      </c>
      <c r="E86" s="22" t="s">
        <v>483</v>
      </c>
      <c r="F86" s="22" t="s">
        <v>447</v>
      </c>
      <c r="G86" s="33" t="s">
        <v>525</v>
      </c>
      <c r="H86" s="125" t="s">
        <v>499</v>
      </c>
    </row>
    <row r="87" spans="1:8" ht="16.5">
      <c r="A87" s="17" t="s">
        <v>117</v>
      </c>
      <c r="B87" s="6">
        <v>1</v>
      </c>
      <c r="C87" s="6">
        <v>25</v>
      </c>
      <c r="D87" s="18" t="s">
        <v>262</v>
      </c>
      <c r="E87" s="22" t="s">
        <v>483</v>
      </c>
      <c r="F87" s="22" t="s">
        <v>446</v>
      </c>
      <c r="G87" s="33" t="s">
        <v>525</v>
      </c>
      <c r="H87" s="125" t="s">
        <v>304</v>
      </c>
    </row>
    <row r="88" spans="1:8" ht="16.5">
      <c r="A88" s="21" t="s">
        <v>252</v>
      </c>
      <c r="B88" s="28">
        <v>2</v>
      </c>
      <c r="C88" s="28">
        <v>25</v>
      </c>
      <c r="D88" s="22" t="s">
        <v>262</v>
      </c>
      <c r="E88" s="22" t="s">
        <v>483</v>
      </c>
      <c r="F88" s="22" t="s">
        <v>447</v>
      </c>
      <c r="G88" s="33" t="s">
        <v>525</v>
      </c>
      <c r="H88" s="122" t="s">
        <v>285</v>
      </c>
    </row>
    <row r="89" spans="1:8" ht="16.5">
      <c r="A89" s="17" t="s">
        <v>233</v>
      </c>
      <c r="B89" s="6">
        <v>1</v>
      </c>
      <c r="C89" s="6">
        <v>26</v>
      </c>
      <c r="D89" s="18" t="s">
        <v>262</v>
      </c>
      <c r="E89" s="22" t="s">
        <v>483</v>
      </c>
      <c r="F89" s="22" t="s">
        <v>447</v>
      </c>
      <c r="G89" s="33" t="s">
        <v>525</v>
      </c>
      <c r="H89" s="125" t="s">
        <v>303</v>
      </c>
    </row>
    <row r="90" spans="1:8" ht="16.5">
      <c r="A90" s="17" t="s">
        <v>154</v>
      </c>
      <c r="B90" s="6">
        <v>3</v>
      </c>
      <c r="C90" s="6">
        <v>24</v>
      </c>
      <c r="D90" s="18" t="s">
        <v>262</v>
      </c>
      <c r="E90" s="22" t="s">
        <v>483</v>
      </c>
      <c r="F90" s="22" t="s">
        <v>447</v>
      </c>
      <c r="G90" s="33" t="s">
        <v>525</v>
      </c>
      <c r="H90" s="125" t="s">
        <v>301</v>
      </c>
    </row>
    <row r="91" spans="1:8" ht="16.5">
      <c r="A91" s="17" t="s">
        <v>94</v>
      </c>
      <c r="B91" s="6">
        <v>2</v>
      </c>
      <c r="C91" s="6">
        <v>12</v>
      </c>
      <c r="D91" s="18" t="s">
        <v>262</v>
      </c>
      <c r="E91" s="22" t="s">
        <v>483</v>
      </c>
      <c r="F91" s="22" t="s">
        <v>447</v>
      </c>
      <c r="G91" s="33" t="s">
        <v>525</v>
      </c>
      <c r="H91" s="125" t="s">
        <v>286</v>
      </c>
    </row>
    <row r="92" spans="1:8" ht="16.5">
      <c r="A92" s="21" t="s">
        <v>333</v>
      </c>
      <c r="B92" s="28">
        <v>1</v>
      </c>
      <c r="C92" s="28">
        <v>12</v>
      </c>
      <c r="D92" s="22" t="s">
        <v>262</v>
      </c>
      <c r="E92" s="22" t="s">
        <v>483</v>
      </c>
      <c r="F92" s="22" t="s">
        <v>446</v>
      </c>
      <c r="G92" s="33" t="s">
        <v>534</v>
      </c>
      <c r="H92" s="122" t="s">
        <v>312</v>
      </c>
    </row>
    <row r="93" spans="1:8" ht="16.5">
      <c r="A93" s="17" t="s">
        <v>314</v>
      </c>
      <c r="B93" s="6">
        <v>1</v>
      </c>
      <c r="C93" s="6">
        <v>8</v>
      </c>
      <c r="D93" s="18" t="s">
        <v>262</v>
      </c>
      <c r="E93" s="22" t="s">
        <v>483</v>
      </c>
      <c r="F93" s="22" t="s">
        <v>447</v>
      </c>
      <c r="G93" s="33" t="s">
        <v>534</v>
      </c>
      <c r="H93" s="125" t="s">
        <v>303</v>
      </c>
    </row>
    <row r="94" spans="1:8" ht="16.5">
      <c r="A94" s="17" t="s">
        <v>167</v>
      </c>
      <c r="B94" s="6">
        <v>1</v>
      </c>
      <c r="C94" s="6">
        <v>12</v>
      </c>
      <c r="D94" s="18" t="s">
        <v>262</v>
      </c>
      <c r="E94" s="22" t="s">
        <v>483</v>
      </c>
      <c r="F94" s="22" t="s">
        <v>447</v>
      </c>
      <c r="G94" s="33" t="s">
        <v>534</v>
      </c>
      <c r="H94" s="125" t="s">
        <v>307</v>
      </c>
    </row>
    <row r="95" spans="1:8" ht="16.5">
      <c r="A95" s="17" t="s">
        <v>86</v>
      </c>
      <c r="B95" s="6">
        <v>2</v>
      </c>
      <c r="C95" s="6">
        <v>11</v>
      </c>
      <c r="D95" s="18" t="s">
        <v>262</v>
      </c>
      <c r="E95" s="22" t="s">
        <v>483</v>
      </c>
      <c r="F95" s="22" t="s">
        <v>447</v>
      </c>
      <c r="G95" s="33" t="s">
        <v>534</v>
      </c>
      <c r="H95" s="125" t="s">
        <v>505</v>
      </c>
    </row>
    <row r="96" spans="1:8" ht="16.5">
      <c r="A96" s="21" t="s">
        <v>401</v>
      </c>
      <c r="B96" s="28">
        <v>4</v>
      </c>
      <c r="C96" s="28">
        <v>12</v>
      </c>
      <c r="D96" s="22" t="s">
        <v>265</v>
      </c>
      <c r="E96" s="22" t="s">
        <v>483</v>
      </c>
      <c r="F96" s="22" t="s">
        <v>447</v>
      </c>
      <c r="G96" s="33" t="s">
        <v>534</v>
      </c>
      <c r="H96" s="122" t="s">
        <v>301</v>
      </c>
    </row>
    <row r="97" spans="1:8" ht="16.5">
      <c r="A97" s="21" t="s">
        <v>613</v>
      </c>
      <c r="B97" s="28">
        <v>1</v>
      </c>
      <c r="C97" s="28">
        <v>24</v>
      </c>
      <c r="D97" s="22" t="s">
        <v>265</v>
      </c>
      <c r="E97" s="22" t="s">
        <v>483</v>
      </c>
      <c r="F97" s="22" t="s">
        <v>447</v>
      </c>
      <c r="G97" s="33" t="s">
        <v>531</v>
      </c>
      <c r="H97" s="122" t="s">
        <v>286</v>
      </c>
    </row>
    <row r="98" spans="1:8" ht="16.5">
      <c r="A98" s="17" t="s">
        <v>88</v>
      </c>
      <c r="B98" s="6">
        <v>1</v>
      </c>
      <c r="C98" s="6">
        <v>13</v>
      </c>
      <c r="D98" s="18" t="s">
        <v>262</v>
      </c>
      <c r="E98" s="22" t="s">
        <v>483</v>
      </c>
      <c r="F98" s="22" t="s">
        <v>447</v>
      </c>
      <c r="G98" s="33" t="s">
        <v>531</v>
      </c>
      <c r="H98" s="125" t="s">
        <v>300</v>
      </c>
    </row>
    <row r="99" spans="1:8" ht="16.5">
      <c r="A99" s="17" t="s">
        <v>77</v>
      </c>
      <c r="B99" s="6">
        <v>1</v>
      </c>
      <c r="C99" s="6">
        <v>13</v>
      </c>
      <c r="D99" s="18" t="s">
        <v>262</v>
      </c>
      <c r="E99" s="22" t="s">
        <v>483</v>
      </c>
      <c r="F99" s="22" t="s">
        <v>446</v>
      </c>
      <c r="G99" s="33" t="s">
        <v>531</v>
      </c>
      <c r="H99" s="125" t="s">
        <v>308</v>
      </c>
    </row>
    <row r="100" spans="1:8" ht="16.5">
      <c r="A100" s="17" t="s">
        <v>155</v>
      </c>
      <c r="B100" s="6">
        <v>1</v>
      </c>
      <c r="C100" s="6">
        <v>22</v>
      </c>
      <c r="D100" s="18" t="s">
        <v>262</v>
      </c>
      <c r="E100" s="22" t="s">
        <v>483</v>
      </c>
      <c r="F100" s="22" t="s">
        <v>447</v>
      </c>
      <c r="G100" s="33" t="s">
        <v>531</v>
      </c>
      <c r="H100" s="125" t="s">
        <v>499</v>
      </c>
    </row>
    <row r="101" spans="1:8" ht="16.5">
      <c r="A101" s="17" t="s">
        <v>340</v>
      </c>
      <c r="B101" s="6">
        <v>1</v>
      </c>
      <c r="C101" s="6">
        <v>12</v>
      </c>
      <c r="D101" s="18" t="s">
        <v>265</v>
      </c>
      <c r="E101" s="22" t="s">
        <v>483</v>
      </c>
      <c r="F101" s="22" t="s">
        <v>448</v>
      </c>
      <c r="G101" s="33" t="s">
        <v>531</v>
      </c>
      <c r="H101" s="125" t="s">
        <v>304</v>
      </c>
    </row>
    <row r="102" spans="1:8" ht="16.5">
      <c r="A102" s="17" t="s">
        <v>387</v>
      </c>
      <c r="B102" s="6">
        <v>1</v>
      </c>
      <c r="C102" s="6">
        <v>26</v>
      </c>
      <c r="D102" s="18" t="s">
        <v>265</v>
      </c>
      <c r="E102" s="22" t="s">
        <v>483</v>
      </c>
      <c r="F102" s="22" t="s">
        <v>446</v>
      </c>
      <c r="G102" s="33" t="s">
        <v>531</v>
      </c>
      <c r="H102" s="125" t="s">
        <v>305</v>
      </c>
    </row>
    <row r="103" spans="1:8" ht="16.5">
      <c r="A103" s="21" t="s">
        <v>257</v>
      </c>
      <c r="B103" s="28">
        <v>1</v>
      </c>
      <c r="C103" s="28">
        <v>16</v>
      </c>
      <c r="D103" s="32" t="s">
        <v>265</v>
      </c>
      <c r="E103" s="22" t="s">
        <v>483</v>
      </c>
      <c r="F103" s="32" t="s">
        <v>447</v>
      </c>
      <c r="G103" s="35" t="s">
        <v>532</v>
      </c>
      <c r="H103" s="122" t="s">
        <v>301</v>
      </c>
    </row>
    <row r="104" spans="1:8" ht="16.5">
      <c r="A104" s="21" t="s">
        <v>682</v>
      </c>
      <c r="B104" s="28">
        <v>1</v>
      </c>
      <c r="C104" s="28">
        <v>13</v>
      </c>
      <c r="D104" s="22" t="s">
        <v>124</v>
      </c>
      <c r="E104" s="22" t="s">
        <v>124</v>
      </c>
      <c r="F104" s="22" t="s">
        <v>124</v>
      </c>
      <c r="G104" s="33" t="s">
        <v>532</v>
      </c>
      <c r="H104" s="122" t="s">
        <v>124</v>
      </c>
    </row>
    <row r="105" spans="1:8" ht="16.5">
      <c r="A105" s="17" t="s">
        <v>40</v>
      </c>
      <c r="B105" s="6">
        <v>1</v>
      </c>
      <c r="C105" s="6">
        <v>17</v>
      </c>
      <c r="D105" s="18" t="s">
        <v>262</v>
      </c>
      <c r="E105" s="22" t="s">
        <v>483</v>
      </c>
      <c r="F105" s="22" t="s">
        <v>447</v>
      </c>
      <c r="G105" s="33" t="s">
        <v>532</v>
      </c>
      <c r="H105" s="125" t="s">
        <v>493</v>
      </c>
    </row>
    <row r="106" spans="1:8" ht="16.5">
      <c r="A106" s="17" t="s">
        <v>510</v>
      </c>
      <c r="B106" s="6">
        <v>1</v>
      </c>
      <c r="C106" s="6">
        <v>25</v>
      </c>
      <c r="D106" s="18" t="s">
        <v>262</v>
      </c>
      <c r="E106" s="22" t="s">
        <v>483</v>
      </c>
      <c r="F106" s="22" t="s">
        <v>447</v>
      </c>
      <c r="G106" s="33" t="s">
        <v>532</v>
      </c>
      <c r="H106" s="125" t="s">
        <v>506</v>
      </c>
    </row>
    <row r="107" spans="1:8" ht="16.5">
      <c r="A107" s="17" t="s">
        <v>102</v>
      </c>
      <c r="B107" s="6">
        <v>2</v>
      </c>
      <c r="C107" s="6">
        <v>12</v>
      </c>
      <c r="D107" s="18" t="s">
        <v>262</v>
      </c>
      <c r="E107" s="22" t="s">
        <v>484</v>
      </c>
      <c r="F107" s="22" t="s">
        <v>447</v>
      </c>
      <c r="G107" s="33" t="s">
        <v>532</v>
      </c>
      <c r="H107" s="125" t="s">
        <v>301</v>
      </c>
    </row>
    <row r="108" spans="1:8" ht="16.5">
      <c r="A108" s="21" t="s">
        <v>542</v>
      </c>
      <c r="B108" s="28">
        <v>3</v>
      </c>
      <c r="C108" s="28">
        <v>25</v>
      </c>
      <c r="D108" s="22" t="s">
        <v>265</v>
      </c>
      <c r="E108" s="22" t="s">
        <v>483</v>
      </c>
      <c r="F108" s="22" t="s">
        <v>446</v>
      </c>
      <c r="G108" s="33" t="s">
        <v>523</v>
      </c>
      <c r="H108" s="122" t="s">
        <v>367</v>
      </c>
    </row>
    <row r="109" spans="1:8" ht="16.5">
      <c r="A109" s="17" t="s">
        <v>68</v>
      </c>
      <c r="B109" s="6">
        <v>1</v>
      </c>
      <c r="C109" s="6">
        <v>12</v>
      </c>
      <c r="D109" s="18" t="s">
        <v>262</v>
      </c>
      <c r="E109" s="22" t="s">
        <v>483</v>
      </c>
      <c r="F109" s="22" t="s">
        <v>446</v>
      </c>
      <c r="G109" s="33" t="s">
        <v>523</v>
      </c>
      <c r="H109" s="125" t="s">
        <v>496</v>
      </c>
    </row>
    <row r="110" spans="1:8" ht="16.5">
      <c r="A110" s="21" t="s">
        <v>44</v>
      </c>
      <c r="B110" s="28">
        <v>1</v>
      </c>
      <c r="C110" s="28">
        <v>12</v>
      </c>
      <c r="D110" s="22" t="s">
        <v>262</v>
      </c>
      <c r="E110" s="22" t="s">
        <v>484</v>
      </c>
      <c r="F110" s="22" t="s">
        <v>447</v>
      </c>
      <c r="G110" s="33" t="s">
        <v>523</v>
      </c>
      <c r="H110" s="122" t="s">
        <v>461</v>
      </c>
    </row>
    <row r="111" spans="1:8" ht="16.5">
      <c r="A111" s="21" t="s">
        <v>434</v>
      </c>
      <c r="B111" s="28">
        <v>4</v>
      </c>
      <c r="C111" s="28">
        <v>12</v>
      </c>
      <c r="D111" s="32" t="s">
        <v>124</v>
      </c>
      <c r="E111" s="22" t="s">
        <v>124</v>
      </c>
      <c r="F111" s="22" t="s">
        <v>124</v>
      </c>
      <c r="G111" s="33" t="s">
        <v>523</v>
      </c>
      <c r="H111" s="122" t="s">
        <v>124</v>
      </c>
    </row>
    <row r="112" spans="1:8" ht="16.5">
      <c r="A112" s="17" t="s">
        <v>50</v>
      </c>
      <c r="B112" s="6">
        <v>1</v>
      </c>
      <c r="C112" s="6">
        <v>13</v>
      </c>
      <c r="D112" s="18" t="s">
        <v>262</v>
      </c>
      <c r="E112" s="22" t="s">
        <v>484</v>
      </c>
      <c r="F112" s="22" t="s">
        <v>447</v>
      </c>
      <c r="G112" s="33" t="s">
        <v>523</v>
      </c>
      <c r="H112" s="125" t="s">
        <v>301</v>
      </c>
    </row>
    <row r="113" spans="1:8" ht="16.5">
      <c r="A113" s="21" t="s">
        <v>683</v>
      </c>
      <c r="B113" s="28">
        <v>1</v>
      </c>
      <c r="C113" s="28">
        <v>25</v>
      </c>
      <c r="D113" s="22" t="s">
        <v>124</v>
      </c>
      <c r="E113" s="13" t="s">
        <v>124</v>
      </c>
      <c r="F113" s="13" t="s">
        <v>124</v>
      </c>
      <c r="G113" s="50" t="s">
        <v>523</v>
      </c>
      <c r="H113" s="122" t="s">
        <v>124</v>
      </c>
    </row>
    <row r="114" spans="1:8" ht="16.5">
      <c r="A114" s="17" t="s">
        <v>116</v>
      </c>
      <c r="B114" s="6">
        <v>1</v>
      </c>
      <c r="C114" s="6">
        <v>12</v>
      </c>
      <c r="D114" s="18" t="s">
        <v>262</v>
      </c>
      <c r="E114" s="22" t="s">
        <v>484</v>
      </c>
      <c r="F114" s="22" t="s">
        <v>447</v>
      </c>
      <c r="G114" s="33" t="s">
        <v>523</v>
      </c>
      <c r="H114" s="125" t="s">
        <v>301</v>
      </c>
    </row>
    <row r="115" spans="1:8" ht="16.5">
      <c r="A115" s="17" t="s">
        <v>105</v>
      </c>
      <c r="B115" s="6">
        <v>1</v>
      </c>
      <c r="C115" s="6">
        <v>12</v>
      </c>
      <c r="D115" s="19" t="s">
        <v>124</v>
      </c>
      <c r="E115" s="32" t="s">
        <v>124</v>
      </c>
      <c r="F115" s="32" t="s">
        <v>124</v>
      </c>
      <c r="G115" s="35" t="s">
        <v>523</v>
      </c>
      <c r="H115" s="124" t="s">
        <v>449</v>
      </c>
    </row>
    <row r="116" spans="1:8" ht="16.5">
      <c r="A116" s="21" t="s">
        <v>399</v>
      </c>
      <c r="B116" s="28">
        <v>1</v>
      </c>
      <c r="C116" s="28">
        <v>22</v>
      </c>
      <c r="D116" s="22" t="s">
        <v>265</v>
      </c>
      <c r="E116" s="22" t="s">
        <v>483</v>
      </c>
      <c r="F116" s="22" t="s">
        <v>447</v>
      </c>
      <c r="G116" s="33" t="s">
        <v>523</v>
      </c>
      <c r="H116" s="122" t="s">
        <v>312</v>
      </c>
    </row>
    <row r="117" spans="1:8" ht="16.5">
      <c r="A117" s="17" t="s">
        <v>151</v>
      </c>
      <c r="B117" s="6">
        <v>1</v>
      </c>
      <c r="C117" s="6">
        <v>24</v>
      </c>
      <c r="D117" s="18" t="s">
        <v>262</v>
      </c>
      <c r="E117" s="22" t="s">
        <v>483</v>
      </c>
      <c r="F117" s="22" t="s">
        <v>447</v>
      </c>
      <c r="G117" s="33" t="s">
        <v>523</v>
      </c>
      <c r="H117" s="125" t="s">
        <v>506</v>
      </c>
    </row>
    <row r="118" spans="1:8" ht="16.5">
      <c r="A118" s="21" t="s">
        <v>76</v>
      </c>
      <c r="B118" s="28">
        <v>1</v>
      </c>
      <c r="C118" s="28">
        <v>25</v>
      </c>
      <c r="D118" s="32" t="s">
        <v>265</v>
      </c>
      <c r="E118" s="22" t="s">
        <v>483</v>
      </c>
      <c r="F118" s="32" t="s">
        <v>446</v>
      </c>
      <c r="G118" s="35" t="s">
        <v>523</v>
      </c>
      <c r="H118" s="122" t="s">
        <v>285</v>
      </c>
    </row>
    <row r="119" spans="1:8" ht="16.5">
      <c r="A119" s="17" t="s">
        <v>227</v>
      </c>
      <c r="B119" s="6">
        <v>2</v>
      </c>
      <c r="C119" s="6">
        <v>12</v>
      </c>
      <c r="D119" s="18" t="s">
        <v>262</v>
      </c>
      <c r="E119" s="22" t="s">
        <v>483</v>
      </c>
      <c r="F119" s="22" t="s">
        <v>446</v>
      </c>
      <c r="G119" s="33" t="s">
        <v>528</v>
      </c>
      <c r="H119" s="125" t="s">
        <v>311</v>
      </c>
    </row>
    <row r="120" spans="1:8" ht="16.5">
      <c r="A120" s="17" t="s">
        <v>182</v>
      </c>
      <c r="B120" s="6">
        <v>2</v>
      </c>
      <c r="C120" s="6">
        <v>25</v>
      </c>
      <c r="D120" s="18" t="s">
        <v>262</v>
      </c>
      <c r="E120" s="22" t="s">
        <v>483</v>
      </c>
      <c r="F120" s="22" t="s">
        <v>446</v>
      </c>
      <c r="G120" s="33" t="s">
        <v>528</v>
      </c>
      <c r="H120" s="125" t="s">
        <v>304</v>
      </c>
    </row>
    <row r="121" spans="1:8" ht="16.5">
      <c r="A121" s="21" t="s">
        <v>80</v>
      </c>
      <c r="B121" s="28">
        <v>1</v>
      </c>
      <c r="C121" s="28">
        <v>12</v>
      </c>
      <c r="D121" s="32" t="s">
        <v>265</v>
      </c>
      <c r="E121" s="22" t="s">
        <v>483</v>
      </c>
      <c r="F121" s="32" t="s">
        <v>447</v>
      </c>
      <c r="G121" s="35" t="s">
        <v>528</v>
      </c>
      <c r="H121" s="122" t="s">
        <v>301</v>
      </c>
    </row>
    <row r="122" spans="1:8" ht="16.5">
      <c r="A122" s="17" t="s">
        <v>42</v>
      </c>
      <c r="B122" s="6">
        <v>1</v>
      </c>
      <c r="C122" s="6">
        <v>13</v>
      </c>
      <c r="D122" s="18" t="s">
        <v>265</v>
      </c>
      <c r="E122" s="22" t="s">
        <v>483</v>
      </c>
      <c r="F122" s="22" t="s">
        <v>448</v>
      </c>
      <c r="G122" s="33" t="s">
        <v>528</v>
      </c>
      <c r="H122" s="125" t="s">
        <v>312</v>
      </c>
    </row>
    <row r="123" spans="1:8" ht="16.5">
      <c r="A123" s="17" t="s">
        <v>114</v>
      </c>
      <c r="B123" s="6">
        <v>1</v>
      </c>
      <c r="C123" s="6">
        <v>12</v>
      </c>
      <c r="D123" s="18" t="s">
        <v>262</v>
      </c>
      <c r="E123" s="22" t="s">
        <v>483</v>
      </c>
      <c r="F123" s="22" t="s">
        <v>446</v>
      </c>
      <c r="G123" s="33" t="s">
        <v>528</v>
      </c>
      <c r="H123" s="125" t="s">
        <v>304</v>
      </c>
    </row>
    <row r="124" spans="1:8" ht="16.5">
      <c r="A124" s="21" t="s">
        <v>452</v>
      </c>
      <c r="B124" s="28">
        <v>1</v>
      </c>
      <c r="C124" s="28">
        <v>13</v>
      </c>
      <c r="D124" s="32" t="s">
        <v>265</v>
      </c>
      <c r="E124" s="22" t="s">
        <v>483</v>
      </c>
      <c r="F124" s="32" t="s">
        <v>447</v>
      </c>
      <c r="G124" s="35" t="s">
        <v>528</v>
      </c>
      <c r="H124" s="122" t="s">
        <v>286</v>
      </c>
    </row>
    <row r="125" spans="1:8" ht="16.5">
      <c r="A125" s="17" t="s">
        <v>358</v>
      </c>
      <c r="B125" s="6">
        <v>1</v>
      </c>
      <c r="C125" s="6">
        <v>12</v>
      </c>
      <c r="D125" s="18" t="s">
        <v>262</v>
      </c>
      <c r="E125" s="22" t="s">
        <v>483</v>
      </c>
      <c r="F125" s="22" t="s">
        <v>446</v>
      </c>
      <c r="G125" s="33" t="s">
        <v>528</v>
      </c>
      <c r="H125" s="125" t="s">
        <v>286</v>
      </c>
    </row>
    <row r="126" spans="1:8" ht="16.5">
      <c r="A126" s="17" t="s">
        <v>45</v>
      </c>
      <c r="B126" s="6">
        <v>1</v>
      </c>
      <c r="C126" s="6">
        <v>12</v>
      </c>
      <c r="D126" s="18" t="s">
        <v>262</v>
      </c>
      <c r="E126" s="22" t="s">
        <v>483</v>
      </c>
      <c r="F126" s="22" t="s">
        <v>447</v>
      </c>
      <c r="G126" s="33" t="s">
        <v>528</v>
      </c>
      <c r="H126" s="125" t="s">
        <v>307</v>
      </c>
    </row>
    <row r="127" spans="1:8" ht="16.5">
      <c r="A127" s="17" t="s">
        <v>504</v>
      </c>
      <c r="B127" s="6">
        <v>1</v>
      </c>
      <c r="C127" s="6">
        <v>4</v>
      </c>
      <c r="D127" s="18" t="s">
        <v>262</v>
      </c>
      <c r="E127" s="22" t="s">
        <v>484</v>
      </c>
      <c r="F127" s="22" t="s">
        <v>447</v>
      </c>
      <c r="G127" s="33" t="s">
        <v>528</v>
      </c>
      <c r="H127" s="125" t="s">
        <v>499</v>
      </c>
    </row>
    <row r="128" spans="1:8" ht="16.5">
      <c r="A128" s="21" t="s">
        <v>25</v>
      </c>
      <c r="B128" s="28">
        <v>1</v>
      </c>
      <c r="C128" s="28">
        <v>13</v>
      </c>
      <c r="D128" s="22" t="s">
        <v>262</v>
      </c>
      <c r="E128" s="22" t="s">
        <v>483</v>
      </c>
      <c r="F128" s="22" t="s">
        <v>446</v>
      </c>
      <c r="G128" s="33" t="s">
        <v>528</v>
      </c>
      <c r="H128" s="122" t="s">
        <v>304</v>
      </c>
    </row>
    <row r="129" spans="1:8" ht="16.5">
      <c r="A129" s="21" t="s">
        <v>64</v>
      </c>
      <c r="B129" s="28">
        <v>1</v>
      </c>
      <c r="C129" s="28">
        <v>64</v>
      </c>
      <c r="D129" s="32" t="s">
        <v>124</v>
      </c>
      <c r="E129" s="22" t="s">
        <v>124</v>
      </c>
      <c r="F129" s="22" t="s">
        <v>124</v>
      </c>
      <c r="G129" s="33" t="s">
        <v>528</v>
      </c>
      <c r="H129" s="122" t="s">
        <v>124</v>
      </c>
    </row>
    <row r="130" spans="1:8" ht="16.5">
      <c r="A130" s="17" t="s">
        <v>99</v>
      </c>
      <c r="B130" s="6">
        <v>1</v>
      </c>
      <c r="C130" s="6">
        <v>12</v>
      </c>
      <c r="D130" s="18" t="s">
        <v>262</v>
      </c>
      <c r="E130" s="22" t="s">
        <v>483</v>
      </c>
      <c r="F130" s="22" t="s">
        <v>446</v>
      </c>
      <c r="G130" s="33" t="s">
        <v>528</v>
      </c>
      <c r="H130" s="125" t="s">
        <v>286</v>
      </c>
    </row>
    <row r="131" spans="1:8" ht="16.5">
      <c r="A131" s="17" t="s">
        <v>103</v>
      </c>
      <c r="B131" s="6">
        <v>1</v>
      </c>
      <c r="C131" s="6">
        <v>12</v>
      </c>
      <c r="D131" s="18" t="s">
        <v>262</v>
      </c>
      <c r="E131" s="22" t="s">
        <v>483</v>
      </c>
      <c r="F131" s="22" t="s">
        <v>446</v>
      </c>
      <c r="G131" s="33" t="s">
        <v>528</v>
      </c>
      <c r="H131" s="125" t="s">
        <v>311</v>
      </c>
    </row>
    <row r="132" spans="1:8" ht="16.5">
      <c r="A132" s="21" t="s">
        <v>681</v>
      </c>
      <c r="B132" s="28">
        <v>1</v>
      </c>
      <c r="C132" s="28">
        <v>12</v>
      </c>
      <c r="D132" s="22" t="s">
        <v>124</v>
      </c>
      <c r="E132" s="22" t="s">
        <v>124</v>
      </c>
      <c r="F132" s="22" t="s">
        <v>124</v>
      </c>
      <c r="G132" s="33" t="s">
        <v>550</v>
      </c>
      <c r="H132" s="122" t="s">
        <v>124</v>
      </c>
    </row>
    <row r="133" spans="1:8" ht="16.5">
      <c r="A133" s="17" t="s">
        <v>19</v>
      </c>
      <c r="B133" s="6">
        <v>1</v>
      </c>
      <c r="C133" s="6">
        <v>12</v>
      </c>
      <c r="D133" s="18" t="s">
        <v>262</v>
      </c>
      <c r="E133" s="22" t="s">
        <v>483</v>
      </c>
      <c r="F133" s="22" t="s">
        <v>446</v>
      </c>
      <c r="G133" s="33" t="s">
        <v>550</v>
      </c>
      <c r="H133" s="125" t="s">
        <v>305</v>
      </c>
    </row>
    <row r="134" spans="1:8" ht="16.5">
      <c r="A134" s="17" t="s">
        <v>119</v>
      </c>
      <c r="B134" s="6">
        <v>1</v>
      </c>
      <c r="C134" s="6">
        <v>13</v>
      </c>
      <c r="D134" s="18" t="s">
        <v>262</v>
      </c>
      <c r="E134" s="22" t="s">
        <v>483</v>
      </c>
      <c r="F134" s="22" t="s">
        <v>446</v>
      </c>
      <c r="G134" s="33" t="s">
        <v>550</v>
      </c>
      <c r="H134" s="125" t="s">
        <v>306</v>
      </c>
    </row>
    <row r="135" spans="1:8" ht="16.5">
      <c r="A135" s="21" t="s">
        <v>178</v>
      </c>
      <c r="B135" s="28">
        <v>1</v>
      </c>
      <c r="C135" s="28">
        <v>12</v>
      </c>
      <c r="D135" s="22" t="s">
        <v>265</v>
      </c>
      <c r="E135" s="22" t="s">
        <v>483</v>
      </c>
      <c r="F135" s="22" t="s">
        <v>446</v>
      </c>
      <c r="G135" s="33" t="s">
        <v>550</v>
      </c>
      <c r="H135" s="122" t="s">
        <v>286</v>
      </c>
    </row>
    <row r="136" spans="1:8" ht="16.5">
      <c r="A136" s="17" t="s">
        <v>12</v>
      </c>
      <c r="B136" s="6">
        <v>2</v>
      </c>
      <c r="C136" s="6">
        <v>12</v>
      </c>
      <c r="D136" s="18" t="s">
        <v>262</v>
      </c>
      <c r="E136" s="22" t="s">
        <v>483</v>
      </c>
      <c r="F136" s="22" t="s">
        <v>447</v>
      </c>
      <c r="G136" s="33" t="s">
        <v>550</v>
      </c>
      <c r="H136" s="125" t="s">
        <v>303</v>
      </c>
    </row>
    <row r="137" spans="1:8" ht="16.5">
      <c r="A137" s="17" t="s">
        <v>22</v>
      </c>
      <c r="B137" s="6">
        <v>1</v>
      </c>
      <c r="C137" s="6">
        <v>13</v>
      </c>
      <c r="D137" s="18" t="s">
        <v>262</v>
      </c>
      <c r="E137" s="22" t="s">
        <v>483</v>
      </c>
      <c r="F137" s="22" t="s">
        <v>447</v>
      </c>
      <c r="G137" s="33" t="s">
        <v>550</v>
      </c>
      <c r="H137" s="125" t="s">
        <v>286</v>
      </c>
    </row>
    <row r="138" spans="1:8" ht="16.5">
      <c r="A138" s="17" t="s">
        <v>132</v>
      </c>
      <c r="B138" s="6">
        <v>1</v>
      </c>
      <c r="C138" s="6">
        <v>13</v>
      </c>
      <c r="D138" s="18" t="s">
        <v>262</v>
      </c>
      <c r="E138" s="22" t="s">
        <v>484</v>
      </c>
      <c r="F138" s="22" t="s">
        <v>447</v>
      </c>
      <c r="G138" s="33" t="s">
        <v>550</v>
      </c>
      <c r="H138" s="125" t="s">
        <v>301</v>
      </c>
    </row>
    <row r="139" spans="1:8" ht="16.5">
      <c r="A139" s="17" t="s">
        <v>176</v>
      </c>
      <c r="B139" s="6">
        <v>1</v>
      </c>
      <c r="C139" s="6">
        <v>10</v>
      </c>
      <c r="D139" s="22" t="s">
        <v>265</v>
      </c>
      <c r="E139" s="22" t="s">
        <v>486</v>
      </c>
      <c r="F139" s="22" t="s">
        <v>446</v>
      </c>
      <c r="G139" s="33" t="s">
        <v>550</v>
      </c>
      <c r="H139" s="125" t="s">
        <v>315</v>
      </c>
    </row>
    <row r="140" spans="1:8" ht="16.5">
      <c r="A140" s="17" t="s">
        <v>131</v>
      </c>
      <c r="B140" s="6">
        <v>1</v>
      </c>
      <c r="C140" s="6">
        <v>13</v>
      </c>
      <c r="D140" s="18" t="s">
        <v>262</v>
      </c>
      <c r="E140" s="22" t="s">
        <v>483</v>
      </c>
      <c r="F140" s="22" t="s">
        <v>448</v>
      </c>
      <c r="G140" s="33" t="s">
        <v>550</v>
      </c>
      <c r="H140" s="125" t="s">
        <v>304</v>
      </c>
    </row>
    <row r="141" spans="1:8" ht="16.5">
      <c r="A141" s="17" t="s">
        <v>274</v>
      </c>
      <c r="B141" s="6">
        <v>2</v>
      </c>
      <c r="C141" s="6">
        <v>16</v>
      </c>
      <c r="D141" s="18" t="s">
        <v>262</v>
      </c>
      <c r="E141" s="22" t="s">
        <v>484</v>
      </c>
      <c r="F141" s="22" t="s">
        <v>447</v>
      </c>
      <c r="G141" s="33" t="s">
        <v>550</v>
      </c>
      <c r="H141" s="125" t="s">
        <v>506</v>
      </c>
    </row>
    <row r="142" spans="1:8" ht="16.5">
      <c r="A142" s="17" t="s">
        <v>120</v>
      </c>
      <c r="B142" s="6">
        <v>1</v>
      </c>
      <c r="C142" s="6">
        <v>13</v>
      </c>
      <c r="D142" s="18" t="s">
        <v>262</v>
      </c>
      <c r="E142" s="22" t="s">
        <v>483</v>
      </c>
      <c r="F142" s="22" t="s">
        <v>446</v>
      </c>
      <c r="G142" s="33" t="s">
        <v>550</v>
      </c>
      <c r="H142" s="125" t="s">
        <v>304</v>
      </c>
    </row>
    <row r="143" spans="1:8" ht="16.5">
      <c r="A143" s="17" t="s">
        <v>17</v>
      </c>
      <c r="B143" s="6">
        <v>1</v>
      </c>
      <c r="C143" s="6">
        <v>12</v>
      </c>
      <c r="D143" s="18" t="s">
        <v>262</v>
      </c>
      <c r="E143" s="22" t="s">
        <v>483</v>
      </c>
      <c r="F143" s="22" t="s">
        <v>446</v>
      </c>
      <c r="G143" s="33" t="s">
        <v>550</v>
      </c>
      <c r="H143" s="125" t="s">
        <v>304</v>
      </c>
    </row>
    <row r="144" spans="1:8" ht="16.5">
      <c r="A144" s="17" t="s">
        <v>482</v>
      </c>
      <c r="B144" s="6">
        <v>1</v>
      </c>
      <c r="C144" s="6">
        <v>25</v>
      </c>
      <c r="D144" s="18" t="s">
        <v>265</v>
      </c>
      <c r="E144" s="22" t="s">
        <v>483</v>
      </c>
      <c r="F144" s="22" t="s">
        <v>447</v>
      </c>
      <c r="G144" s="33" t="s">
        <v>550</v>
      </c>
      <c r="H144" s="125" t="s">
        <v>506</v>
      </c>
    </row>
    <row r="145" spans="1:8" ht="16.5">
      <c r="A145" s="17" t="s">
        <v>458</v>
      </c>
      <c r="B145" s="6">
        <v>2</v>
      </c>
      <c r="C145" s="6">
        <v>24</v>
      </c>
      <c r="D145" s="18" t="s">
        <v>262</v>
      </c>
      <c r="E145" s="22" t="s">
        <v>483</v>
      </c>
      <c r="F145" s="22" t="s">
        <v>447</v>
      </c>
      <c r="G145" s="33" t="s">
        <v>550</v>
      </c>
      <c r="H145" s="125" t="s">
        <v>512</v>
      </c>
    </row>
    <row r="146" spans="1:8" ht="16.5">
      <c r="A146" s="17" t="s">
        <v>24</v>
      </c>
      <c r="B146" s="6">
        <v>1</v>
      </c>
      <c r="C146" s="6">
        <v>13</v>
      </c>
      <c r="D146" s="18" t="s">
        <v>262</v>
      </c>
      <c r="E146" s="22" t="s">
        <v>483</v>
      </c>
      <c r="F146" s="22" t="s">
        <v>447</v>
      </c>
      <c r="G146" s="33" t="s">
        <v>550</v>
      </c>
      <c r="H146" s="125" t="s">
        <v>513</v>
      </c>
    </row>
    <row r="147" spans="1:8" ht="16.5">
      <c r="A147" s="17" t="s">
        <v>130</v>
      </c>
      <c r="B147" s="6">
        <v>1</v>
      </c>
      <c r="C147" s="6">
        <v>12</v>
      </c>
      <c r="D147" s="18" t="s">
        <v>262</v>
      </c>
      <c r="E147" s="22" t="s">
        <v>483</v>
      </c>
      <c r="F147" s="22" t="s">
        <v>447</v>
      </c>
      <c r="G147" s="33" t="s">
        <v>550</v>
      </c>
      <c r="H147" s="125" t="s">
        <v>312</v>
      </c>
    </row>
    <row r="148" spans="1:8" ht="16.5">
      <c r="A148" s="21" t="s">
        <v>273</v>
      </c>
      <c r="B148" s="28">
        <v>1</v>
      </c>
      <c r="C148" s="28">
        <v>12</v>
      </c>
      <c r="D148" s="32" t="s">
        <v>265</v>
      </c>
      <c r="E148" s="22" t="s">
        <v>483</v>
      </c>
      <c r="F148" s="32" t="s">
        <v>446</v>
      </c>
      <c r="G148" s="35" t="s">
        <v>549</v>
      </c>
      <c r="H148" s="122" t="s">
        <v>285</v>
      </c>
    </row>
    <row r="149" spans="1:8" ht="16.5">
      <c r="A149" s="17" t="s">
        <v>171</v>
      </c>
      <c r="B149" s="6">
        <v>1</v>
      </c>
      <c r="C149" s="6">
        <v>12</v>
      </c>
      <c r="D149" s="18" t="s">
        <v>262</v>
      </c>
      <c r="E149" s="22" t="s">
        <v>484</v>
      </c>
      <c r="F149" s="22" t="s">
        <v>447</v>
      </c>
      <c r="G149" s="33" t="s">
        <v>549</v>
      </c>
      <c r="H149" s="125" t="s">
        <v>312</v>
      </c>
    </row>
    <row r="150" spans="1:8" ht="16.5">
      <c r="A150" s="17" t="s">
        <v>250</v>
      </c>
      <c r="B150" s="6">
        <v>1</v>
      </c>
      <c r="C150" s="6">
        <v>12</v>
      </c>
      <c r="D150" s="18" t="s">
        <v>262</v>
      </c>
      <c r="E150" s="22" t="s">
        <v>483</v>
      </c>
      <c r="F150" s="22" t="s">
        <v>446</v>
      </c>
      <c r="G150" s="33" t="s">
        <v>549</v>
      </c>
      <c r="H150" s="125" t="s">
        <v>304</v>
      </c>
    </row>
    <row r="151" spans="1:8" ht="16.5">
      <c r="A151" s="17" t="s">
        <v>139</v>
      </c>
      <c r="B151" s="6">
        <v>1</v>
      </c>
      <c r="C151" s="6">
        <v>12</v>
      </c>
      <c r="D151" s="18" t="s">
        <v>262</v>
      </c>
      <c r="E151" s="22" t="s">
        <v>483</v>
      </c>
      <c r="F151" s="22" t="s">
        <v>446</v>
      </c>
      <c r="G151" s="33" t="s">
        <v>549</v>
      </c>
      <c r="H151" s="125" t="s">
        <v>304</v>
      </c>
    </row>
    <row r="152" spans="1:8" ht="16.5">
      <c r="A152" s="17" t="s">
        <v>170</v>
      </c>
      <c r="B152" s="6">
        <v>1</v>
      </c>
      <c r="C152" s="6">
        <v>12</v>
      </c>
      <c r="D152" s="18" t="s">
        <v>262</v>
      </c>
      <c r="E152" s="22" t="s">
        <v>483</v>
      </c>
      <c r="F152" s="22" t="s">
        <v>448</v>
      </c>
      <c r="G152" s="33" t="s">
        <v>549</v>
      </c>
      <c r="H152" s="125" t="s">
        <v>304</v>
      </c>
    </row>
    <row r="153" spans="1:8" ht="16.5">
      <c r="A153" s="17" t="s">
        <v>168</v>
      </c>
      <c r="B153" s="6">
        <v>1</v>
      </c>
      <c r="C153" s="6">
        <v>12</v>
      </c>
      <c r="D153" s="18" t="s">
        <v>262</v>
      </c>
      <c r="E153" s="22" t="s">
        <v>484</v>
      </c>
      <c r="F153" s="22" t="s">
        <v>447</v>
      </c>
      <c r="G153" s="33" t="s">
        <v>549</v>
      </c>
      <c r="H153" s="125" t="s">
        <v>301</v>
      </c>
    </row>
    <row r="154" spans="1:8" ht="16.5">
      <c r="A154" s="17" t="s">
        <v>172</v>
      </c>
      <c r="B154" s="6">
        <v>1</v>
      </c>
      <c r="C154" s="6">
        <v>13</v>
      </c>
      <c r="D154" s="18" t="s">
        <v>262</v>
      </c>
      <c r="E154" s="22" t="s">
        <v>483</v>
      </c>
      <c r="F154" s="22" t="s">
        <v>446</v>
      </c>
      <c r="G154" s="33" t="s">
        <v>549</v>
      </c>
      <c r="H154" s="125" t="s">
        <v>286</v>
      </c>
    </row>
    <row r="155" spans="1:8" ht="16.5">
      <c r="A155" s="17" t="s">
        <v>370</v>
      </c>
      <c r="B155" s="6">
        <v>2</v>
      </c>
      <c r="C155" s="6">
        <v>26</v>
      </c>
      <c r="D155" s="18" t="s">
        <v>262</v>
      </c>
      <c r="E155" s="22" t="s">
        <v>483</v>
      </c>
      <c r="F155" s="22" t="s">
        <v>446</v>
      </c>
      <c r="G155" s="33" t="s">
        <v>549</v>
      </c>
      <c r="H155" s="125" t="s">
        <v>304</v>
      </c>
    </row>
    <row r="156" spans="1:8" ht="16.5">
      <c r="A156" s="17" t="s">
        <v>169</v>
      </c>
      <c r="B156" s="6">
        <v>2</v>
      </c>
      <c r="C156" s="6">
        <v>12</v>
      </c>
      <c r="D156" s="18" t="s">
        <v>262</v>
      </c>
      <c r="E156" s="22" t="s">
        <v>484</v>
      </c>
      <c r="F156" s="22" t="s">
        <v>447</v>
      </c>
      <c r="G156" s="33" t="s">
        <v>549</v>
      </c>
      <c r="H156" s="125" t="s">
        <v>462</v>
      </c>
    </row>
    <row r="157" spans="1:8" ht="16.5">
      <c r="A157" s="17" t="s">
        <v>174</v>
      </c>
      <c r="B157" s="6">
        <v>1</v>
      </c>
      <c r="C157" s="6">
        <v>13</v>
      </c>
      <c r="D157" s="18" t="s">
        <v>262</v>
      </c>
      <c r="E157" s="22" t="s">
        <v>483</v>
      </c>
      <c r="F157" s="22" t="s">
        <v>448</v>
      </c>
      <c r="G157" s="33" t="s">
        <v>549</v>
      </c>
      <c r="H157" s="125" t="s">
        <v>304</v>
      </c>
    </row>
    <row r="158" spans="1:8" ht="16.5">
      <c r="A158" s="21" t="s">
        <v>402</v>
      </c>
      <c r="B158" s="28">
        <v>1</v>
      </c>
      <c r="C158" s="28">
        <v>13</v>
      </c>
      <c r="D158" s="22" t="s">
        <v>265</v>
      </c>
      <c r="E158" s="22" t="s">
        <v>483</v>
      </c>
      <c r="F158" s="22" t="s">
        <v>446</v>
      </c>
      <c r="G158" s="33" t="s">
        <v>549</v>
      </c>
      <c r="H158" s="122" t="s">
        <v>382</v>
      </c>
    </row>
    <row r="159" spans="1:8" ht="16.5">
      <c r="A159" s="171" t="s">
        <v>175</v>
      </c>
      <c r="B159" s="6">
        <v>1</v>
      </c>
      <c r="C159" s="6">
        <v>12</v>
      </c>
      <c r="D159" s="18" t="s">
        <v>262</v>
      </c>
      <c r="E159" s="22" t="s">
        <v>483</v>
      </c>
      <c r="F159" s="22" t="s">
        <v>446</v>
      </c>
      <c r="G159" s="33" t="s">
        <v>549</v>
      </c>
      <c r="H159" s="125" t="s">
        <v>495</v>
      </c>
    </row>
    <row r="160" spans="1:8" ht="16.5">
      <c r="A160" s="17" t="s">
        <v>289</v>
      </c>
      <c r="B160" s="6">
        <v>1</v>
      </c>
      <c r="C160" s="6">
        <v>12</v>
      </c>
      <c r="D160" s="18" t="s">
        <v>265</v>
      </c>
      <c r="E160" s="22" t="s">
        <v>483</v>
      </c>
      <c r="F160" s="22" t="s">
        <v>446</v>
      </c>
      <c r="G160" s="33" t="s">
        <v>524</v>
      </c>
      <c r="H160" s="125" t="s">
        <v>304</v>
      </c>
    </row>
    <row r="161" spans="1:8" ht="16.5">
      <c r="A161" s="17" t="s">
        <v>278</v>
      </c>
      <c r="B161" s="6">
        <v>1</v>
      </c>
      <c r="C161" s="6">
        <v>13</v>
      </c>
      <c r="D161" s="18" t="s">
        <v>262</v>
      </c>
      <c r="E161" s="22" t="s">
        <v>483</v>
      </c>
      <c r="F161" s="22" t="s">
        <v>448</v>
      </c>
      <c r="G161" s="33" t="s">
        <v>524</v>
      </c>
      <c r="H161" s="125" t="s">
        <v>304</v>
      </c>
    </row>
    <row r="162" spans="1:8" ht="16.5">
      <c r="A162" s="17" t="s">
        <v>277</v>
      </c>
      <c r="B162" s="6">
        <v>1</v>
      </c>
      <c r="C162" s="6">
        <v>24</v>
      </c>
      <c r="D162" s="18" t="s">
        <v>262</v>
      </c>
      <c r="E162" s="22" t="s">
        <v>483</v>
      </c>
      <c r="F162" s="22" t="s">
        <v>446</v>
      </c>
      <c r="G162" s="33" t="s">
        <v>524</v>
      </c>
      <c r="H162" s="125" t="s">
        <v>286</v>
      </c>
    </row>
    <row r="163" spans="1:8" ht="16.5">
      <c r="A163" s="17" t="s">
        <v>279</v>
      </c>
      <c r="B163" s="6">
        <v>1</v>
      </c>
      <c r="C163" s="6">
        <v>24</v>
      </c>
      <c r="D163" s="18" t="s">
        <v>265</v>
      </c>
      <c r="E163" s="22" t="s">
        <v>483</v>
      </c>
      <c r="F163" s="22" t="s">
        <v>446</v>
      </c>
      <c r="G163" s="33" t="s">
        <v>524</v>
      </c>
      <c r="H163" s="125" t="s">
        <v>304</v>
      </c>
    </row>
    <row r="164" spans="1:8" ht="16.5">
      <c r="A164" s="17" t="s">
        <v>276</v>
      </c>
      <c r="B164" s="6">
        <v>1</v>
      </c>
      <c r="C164" s="6">
        <v>12</v>
      </c>
      <c r="D164" s="18" t="s">
        <v>265</v>
      </c>
      <c r="E164" s="22" t="s">
        <v>483</v>
      </c>
      <c r="F164" s="22" t="s">
        <v>446</v>
      </c>
      <c r="G164" s="33" t="s">
        <v>524</v>
      </c>
      <c r="H164" s="125" t="s">
        <v>285</v>
      </c>
    </row>
    <row r="165" spans="1:8" ht="16.5">
      <c r="A165" s="15" t="s">
        <v>345</v>
      </c>
      <c r="B165" s="34">
        <v>1</v>
      </c>
      <c r="C165" s="34">
        <v>13</v>
      </c>
      <c r="D165" s="170" t="s">
        <v>124</v>
      </c>
      <c r="E165" s="13" t="s">
        <v>124</v>
      </c>
      <c r="F165" s="13" t="s">
        <v>124</v>
      </c>
      <c r="G165" s="50" t="s">
        <v>524</v>
      </c>
      <c r="H165" s="122" t="s">
        <v>124</v>
      </c>
    </row>
    <row r="166" spans="1:8" ht="16.5">
      <c r="A166" s="17" t="s">
        <v>280</v>
      </c>
      <c r="B166" s="6">
        <v>1</v>
      </c>
      <c r="C166" s="6">
        <v>25</v>
      </c>
      <c r="D166" s="18" t="s">
        <v>265</v>
      </c>
      <c r="E166" s="22" t="s">
        <v>483</v>
      </c>
      <c r="F166" s="22" t="s">
        <v>446</v>
      </c>
      <c r="G166" s="33" t="s">
        <v>524</v>
      </c>
      <c r="H166" s="125" t="s">
        <v>304</v>
      </c>
    </row>
    <row r="167" spans="1:8" ht="16.5">
      <c r="A167" s="17" t="s">
        <v>284</v>
      </c>
      <c r="B167" s="6">
        <v>1</v>
      </c>
      <c r="C167" s="6">
        <v>13</v>
      </c>
      <c r="D167" s="18" t="s">
        <v>265</v>
      </c>
      <c r="E167" s="22" t="s">
        <v>483</v>
      </c>
      <c r="F167" s="22" t="s">
        <v>448</v>
      </c>
      <c r="G167" s="33" t="s">
        <v>524</v>
      </c>
      <c r="H167" s="125" t="s">
        <v>304</v>
      </c>
    </row>
    <row r="168" spans="1:8" ht="16.5">
      <c r="A168" s="17" t="s">
        <v>372</v>
      </c>
      <c r="B168" s="6">
        <v>1</v>
      </c>
      <c r="C168" s="6">
        <v>12</v>
      </c>
      <c r="D168" s="18" t="s">
        <v>265</v>
      </c>
      <c r="E168" s="22" t="s">
        <v>483</v>
      </c>
      <c r="F168" s="22" t="s">
        <v>446</v>
      </c>
      <c r="G168" s="33" t="s">
        <v>524</v>
      </c>
      <c r="H168" s="125" t="s">
        <v>304</v>
      </c>
    </row>
    <row r="169" spans="1:8" ht="16.5">
      <c r="A169" s="17" t="s">
        <v>290</v>
      </c>
      <c r="B169" s="6">
        <v>1</v>
      </c>
      <c r="C169" s="6">
        <v>10</v>
      </c>
      <c r="D169" s="18" t="s">
        <v>262</v>
      </c>
      <c r="E169" s="22" t="s">
        <v>483</v>
      </c>
      <c r="F169" s="22" t="s">
        <v>446</v>
      </c>
      <c r="G169" s="33" t="s">
        <v>524</v>
      </c>
      <c r="H169" s="125" t="s">
        <v>304</v>
      </c>
    </row>
    <row r="170" spans="1:8" ht="16.5">
      <c r="A170" s="17" t="s">
        <v>281</v>
      </c>
      <c r="B170" s="6">
        <v>1</v>
      </c>
      <c r="C170" s="6">
        <v>22</v>
      </c>
      <c r="D170" s="18" t="s">
        <v>265</v>
      </c>
      <c r="E170" s="22" t="s">
        <v>483</v>
      </c>
      <c r="F170" s="22" t="s">
        <v>446</v>
      </c>
      <c r="G170" s="33" t="s">
        <v>524</v>
      </c>
      <c r="H170" s="125" t="s">
        <v>304</v>
      </c>
    </row>
    <row r="171" spans="1:8" ht="16.5">
      <c r="A171" s="17" t="s">
        <v>282</v>
      </c>
      <c r="B171" s="6">
        <v>2</v>
      </c>
      <c r="C171" s="6">
        <v>12</v>
      </c>
      <c r="D171" s="18" t="s">
        <v>265</v>
      </c>
      <c r="E171" s="22" t="s">
        <v>483</v>
      </c>
      <c r="F171" s="22" t="s">
        <v>446</v>
      </c>
      <c r="G171" s="33" t="s">
        <v>524</v>
      </c>
      <c r="H171" s="125" t="s">
        <v>285</v>
      </c>
    </row>
    <row r="172" spans="1:8" ht="16.5">
      <c r="A172" s="21" t="s">
        <v>402</v>
      </c>
      <c r="B172" s="28">
        <v>1</v>
      </c>
      <c r="C172" s="28">
        <v>13</v>
      </c>
      <c r="D172" s="22" t="s">
        <v>124</v>
      </c>
      <c r="E172" s="22" t="s">
        <v>124</v>
      </c>
      <c r="F172" s="22" t="s">
        <v>124</v>
      </c>
      <c r="G172" s="33" t="s">
        <v>524</v>
      </c>
      <c r="H172" s="122" t="s">
        <v>124</v>
      </c>
    </row>
    <row r="173" spans="1:8" ht="16.5">
      <c r="A173" s="17" t="s">
        <v>356</v>
      </c>
      <c r="B173" s="6">
        <v>2</v>
      </c>
      <c r="C173" s="6">
        <v>12</v>
      </c>
      <c r="D173" s="18" t="s">
        <v>262</v>
      </c>
      <c r="E173" s="22" t="s">
        <v>483</v>
      </c>
      <c r="F173" s="22" t="s">
        <v>446</v>
      </c>
      <c r="G173" s="33" t="s">
        <v>544</v>
      </c>
      <c r="H173" s="125" t="s">
        <v>495</v>
      </c>
    </row>
    <row r="174" spans="1:8" ht="16.5">
      <c r="A174" s="17" t="s">
        <v>359</v>
      </c>
      <c r="B174" s="6">
        <v>1</v>
      </c>
      <c r="C174" s="6">
        <v>12</v>
      </c>
      <c r="D174" s="18" t="s">
        <v>265</v>
      </c>
      <c r="E174" s="22" t="s">
        <v>483</v>
      </c>
      <c r="F174" s="22" t="s">
        <v>446</v>
      </c>
      <c r="G174" s="33" t="s">
        <v>544</v>
      </c>
      <c r="H174" s="125" t="s">
        <v>382</v>
      </c>
    </row>
    <row r="175" spans="1:8" ht="16.5">
      <c r="A175" s="37" t="s">
        <v>361</v>
      </c>
      <c r="B175" s="38">
        <v>1</v>
      </c>
      <c r="C175" s="38">
        <v>10</v>
      </c>
      <c r="D175" s="39" t="s">
        <v>262</v>
      </c>
      <c r="E175" s="13" t="s">
        <v>483</v>
      </c>
      <c r="F175" s="13" t="s">
        <v>446</v>
      </c>
      <c r="G175" s="50" t="s">
        <v>544</v>
      </c>
      <c r="H175" s="125" t="s">
        <v>382</v>
      </c>
    </row>
    <row r="176" spans="1:8" ht="16.5">
      <c r="A176" s="21" t="s">
        <v>430</v>
      </c>
      <c r="B176" s="28">
        <v>1</v>
      </c>
      <c r="C176" s="28">
        <v>12</v>
      </c>
      <c r="D176" s="22" t="s">
        <v>265</v>
      </c>
      <c r="E176" s="22" t="s">
        <v>483</v>
      </c>
      <c r="F176" s="22" t="s">
        <v>446</v>
      </c>
      <c r="G176" s="33" t="s">
        <v>544</v>
      </c>
      <c r="H176" s="122" t="s">
        <v>317</v>
      </c>
    </row>
    <row r="177" spans="1:8" ht="16.5">
      <c r="A177" s="21" t="s">
        <v>355</v>
      </c>
      <c r="B177" s="6">
        <v>1</v>
      </c>
      <c r="C177" s="28">
        <v>20</v>
      </c>
      <c r="D177" s="18" t="s">
        <v>265</v>
      </c>
      <c r="E177" s="22" t="s">
        <v>483</v>
      </c>
      <c r="F177" s="48" t="s">
        <v>446</v>
      </c>
      <c r="G177" s="33" t="s">
        <v>544</v>
      </c>
      <c r="H177" s="119" t="s">
        <v>286</v>
      </c>
    </row>
    <row r="178" spans="1:8" ht="16.5">
      <c r="A178" s="17" t="s">
        <v>374</v>
      </c>
      <c r="B178" s="6">
        <v>1</v>
      </c>
      <c r="C178" s="6">
        <v>12</v>
      </c>
      <c r="D178" s="18" t="s">
        <v>265</v>
      </c>
      <c r="E178" s="22" t="s">
        <v>483</v>
      </c>
      <c r="F178" s="22" t="s">
        <v>446</v>
      </c>
      <c r="G178" s="33" t="s">
        <v>544</v>
      </c>
      <c r="H178" s="125" t="s">
        <v>286</v>
      </c>
    </row>
    <row r="179" spans="1:8" ht="16.5">
      <c r="A179" s="21" t="s">
        <v>406</v>
      </c>
      <c r="B179" s="28">
        <v>1</v>
      </c>
      <c r="C179" s="28">
        <v>12</v>
      </c>
      <c r="D179" s="32" t="s">
        <v>124</v>
      </c>
      <c r="E179" s="32" t="s">
        <v>124</v>
      </c>
      <c r="F179" s="32" t="s">
        <v>124</v>
      </c>
      <c r="G179" s="33" t="s">
        <v>544</v>
      </c>
      <c r="H179" s="123" t="s">
        <v>124</v>
      </c>
    </row>
    <row r="180" spans="1:8" ht="16.5">
      <c r="A180" s="17" t="s">
        <v>357</v>
      </c>
      <c r="B180" s="6">
        <v>1</v>
      </c>
      <c r="C180" s="6">
        <v>12</v>
      </c>
      <c r="D180" s="18" t="s">
        <v>265</v>
      </c>
      <c r="E180" s="22" t="s">
        <v>483</v>
      </c>
      <c r="F180" s="22" t="s">
        <v>446</v>
      </c>
      <c r="G180" s="33" t="s">
        <v>544</v>
      </c>
      <c r="H180" s="125" t="s">
        <v>301</v>
      </c>
    </row>
    <row r="181" spans="1:8" ht="16.5">
      <c r="A181" s="17" t="s">
        <v>360</v>
      </c>
      <c r="B181" s="6">
        <v>1</v>
      </c>
      <c r="C181" s="6">
        <v>13</v>
      </c>
      <c r="D181" s="18" t="s">
        <v>265</v>
      </c>
      <c r="E181" s="22" t="s">
        <v>483</v>
      </c>
      <c r="F181" s="22" t="s">
        <v>448</v>
      </c>
      <c r="G181" s="33" t="s">
        <v>544</v>
      </c>
      <c r="H181" s="125" t="s">
        <v>304</v>
      </c>
    </row>
    <row r="182" spans="1:8" ht="16.5">
      <c r="A182" s="17" t="s">
        <v>383</v>
      </c>
      <c r="B182" s="6">
        <v>1</v>
      </c>
      <c r="C182" s="6">
        <v>12</v>
      </c>
      <c r="D182" s="18" t="s">
        <v>262</v>
      </c>
      <c r="E182" s="22" t="s">
        <v>483</v>
      </c>
      <c r="F182" s="22" t="s">
        <v>448</v>
      </c>
      <c r="G182" s="33" t="s">
        <v>544</v>
      </c>
      <c r="H182" s="125" t="s">
        <v>304</v>
      </c>
    </row>
    <row r="183" spans="1:8" ht="16.5">
      <c r="A183" s="17" t="s">
        <v>376</v>
      </c>
      <c r="B183" s="6">
        <v>1</v>
      </c>
      <c r="C183" s="6">
        <v>21</v>
      </c>
      <c r="D183" s="18" t="s">
        <v>265</v>
      </c>
      <c r="E183" s="22" t="s">
        <v>483</v>
      </c>
      <c r="F183" s="22" t="s">
        <v>446</v>
      </c>
      <c r="G183" s="33" t="s">
        <v>544</v>
      </c>
      <c r="H183" s="125" t="s">
        <v>382</v>
      </c>
    </row>
    <row r="184" spans="1:8" ht="16.5">
      <c r="A184" s="17" t="s">
        <v>379</v>
      </c>
      <c r="B184" s="6">
        <v>1</v>
      </c>
      <c r="C184" s="6">
        <v>12</v>
      </c>
      <c r="D184" s="18" t="s">
        <v>262</v>
      </c>
      <c r="E184" s="22" t="s">
        <v>483</v>
      </c>
      <c r="F184" s="22" t="s">
        <v>446</v>
      </c>
      <c r="G184" s="33" t="s">
        <v>544</v>
      </c>
      <c r="H184" s="125" t="s">
        <v>286</v>
      </c>
    </row>
    <row r="185" spans="1:8" ht="16.5">
      <c r="A185" s="21" t="s">
        <v>410</v>
      </c>
      <c r="B185" s="6">
        <v>1</v>
      </c>
      <c r="C185" s="28">
        <v>12</v>
      </c>
      <c r="D185" s="18" t="s">
        <v>265</v>
      </c>
      <c r="E185" s="22" t="s">
        <v>483</v>
      </c>
      <c r="F185" s="48" t="s">
        <v>448</v>
      </c>
      <c r="G185" s="33" t="s">
        <v>527</v>
      </c>
      <c r="H185" s="125" t="s">
        <v>304</v>
      </c>
    </row>
    <row r="186" spans="1:8" ht="16.5">
      <c r="A186" s="21" t="s">
        <v>411</v>
      </c>
      <c r="B186" s="6">
        <v>1</v>
      </c>
      <c r="C186" s="28">
        <v>13</v>
      </c>
      <c r="D186" s="18" t="s">
        <v>265</v>
      </c>
      <c r="E186" s="22" t="s">
        <v>483</v>
      </c>
      <c r="F186" s="48" t="s">
        <v>446</v>
      </c>
      <c r="G186" s="33" t="s">
        <v>527</v>
      </c>
      <c r="H186" s="119" t="s">
        <v>317</v>
      </c>
    </row>
    <row r="187" spans="1:8" ht="16.5">
      <c r="A187" s="21" t="s">
        <v>412</v>
      </c>
      <c r="B187" s="6">
        <v>1</v>
      </c>
      <c r="C187" s="28"/>
      <c r="D187" s="18" t="s">
        <v>265</v>
      </c>
      <c r="E187" s="22" t="s">
        <v>483</v>
      </c>
      <c r="F187" s="48" t="s">
        <v>446</v>
      </c>
      <c r="G187" s="33" t="s">
        <v>527</v>
      </c>
      <c r="H187" s="119" t="s">
        <v>426</v>
      </c>
    </row>
    <row r="188" spans="1:8" ht="16.5">
      <c r="A188" s="21" t="s">
        <v>413</v>
      </c>
      <c r="B188" s="6">
        <v>1</v>
      </c>
      <c r="C188" s="28">
        <v>12</v>
      </c>
      <c r="D188" s="18" t="s">
        <v>265</v>
      </c>
      <c r="E188" s="22" t="s">
        <v>483</v>
      </c>
      <c r="F188" s="48" t="s">
        <v>446</v>
      </c>
      <c r="G188" s="33" t="s">
        <v>527</v>
      </c>
      <c r="H188" s="119" t="s">
        <v>494</v>
      </c>
    </row>
    <row r="189" spans="1:8" ht="16.5">
      <c r="A189" s="21" t="s">
        <v>414</v>
      </c>
      <c r="B189" s="6">
        <v>1</v>
      </c>
      <c r="C189" s="28">
        <v>12</v>
      </c>
      <c r="D189" s="18" t="s">
        <v>265</v>
      </c>
      <c r="E189" s="22" t="s">
        <v>483</v>
      </c>
      <c r="F189" s="48" t="s">
        <v>446</v>
      </c>
      <c r="G189" s="33" t="s">
        <v>527</v>
      </c>
      <c r="H189" s="119" t="s">
        <v>306</v>
      </c>
    </row>
    <row r="190" spans="1:8" ht="16.5">
      <c r="A190" s="21" t="s">
        <v>415</v>
      </c>
      <c r="B190" s="6">
        <v>1</v>
      </c>
      <c r="C190" s="28">
        <v>12</v>
      </c>
      <c r="D190" s="18" t="s">
        <v>265</v>
      </c>
      <c r="E190" s="22" t="s">
        <v>483</v>
      </c>
      <c r="F190" s="48" t="s">
        <v>446</v>
      </c>
      <c r="G190" s="33" t="s">
        <v>527</v>
      </c>
      <c r="H190" s="119" t="s">
        <v>382</v>
      </c>
    </row>
    <row r="191" spans="1:8" ht="16.5">
      <c r="A191" s="21" t="s">
        <v>416</v>
      </c>
      <c r="B191" s="6">
        <v>1</v>
      </c>
      <c r="C191" s="28">
        <v>13</v>
      </c>
      <c r="D191" s="18" t="s">
        <v>265</v>
      </c>
      <c r="E191" s="22" t="s">
        <v>483</v>
      </c>
      <c r="F191" s="19" t="s">
        <v>446</v>
      </c>
      <c r="G191" s="33" t="s">
        <v>527</v>
      </c>
      <c r="H191" s="119" t="s">
        <v>317</v>
      </c>
    </row>
    <row r="192" spans="1:8" ht="16.5">
      <c r="A192" s="15" t="s">
        <v>417</v>
      </c>
      <c r="B192" s="38">
        <v>1</v>
      </c>
      <c r="C192" s="34"/>
      <c r="D192" s="173" t="s">
        <v>124</v>
      </c>
      <c r="E192" s="170" t="s">
        <v>124</v>
      </c>
      <c r="F192" s="173" t="s">
        <v>446</v>
      </c>
      <c r="G192" s="50" t="s">
        <v>527</v>
      </c>
      <c r="H192" s="177" t="s">
        <v>124</v>
      </c>
    </row>
    <row r="193" spans="1:8" ht="16.5">
      <c r="A193" s="15" t="s">
        <v>425</v>
      </c>
      <c r="B193" s="38">
        <v>1</v>
      </c>
      <c r="C193" s="34">
        <v>12</v>
      </c>
      <c r="D193" s="39" t="s">
        <v>265</v>
      </c>
      <c r="E193" s="13" t="s">
        <v>483</v>
      </c>
      <c r="F193" s="172" t="s">
        <v>446</v>
      </c>
      <c r="G193" s="50" t="s">
        <v>527</v>
      </c>
      <c r="H193" s="174" t="s">
        <v>301</v>
      </c>
    </row>
    <row r="194" spans="1:8" ht="16.5">
      <c r="A194" s="15" t="s">
        <v>427</v>
      </c>
      <c r="B194" s="38">
        <v>1</v>
      </c>
      <c r="C194" s="34">
        <v>12</v>
      </c>
      <c r="D194" s="39" t="s">
        <v>265</v>
      </c>
      <c r="E194" s="13" t="s">
        <v>483</v>
      </c>
      <c r="F194" s="172" t="s">
        <v>446</v>
      </c>
      <c r="G194" s="50" t="s">
        <v>527</v>
      </c>
      <c r="H194" s="176" t="s">
        <v>304</v>
      </c>
    </row>
    <row r="195" spans="1:8" ht="16.5">
      <c r="A195" s="15" t="s">
        <v>409</v>
      </c>
      <c r="B195" s="34">
        <v>2</v>
      </c>
      <c r="C195" s="175">
        <v>10</v>
      </c>
      <c r="D195" s="170" t="s">
        <v>124</v>
      </c>
      <c r="E195" s="13" t="s">
        <v>124</v>
      </c>
      <c r="F195" s="13" t="s">
        <v>124</v>
      </c>
      <c r="G195" s="50" t="s">
        <v>527</v>
      </c>
      <c r="H195" s="131" t="s">
        <v>124</v>
      </c>
    </row>
    <row r="196" spans="1:8" ht="16.5">
      <c r="A196" s="15" t="s">
        <v>418</v>
      </c>
      <c r="B196" s="38">
        <v>1</v>
      </c>
      <c r="C196" s="34">
        <v>12</v>
      </c>
      <c r="D196" s="39" t="s">
        <v>265</v>
      </c>
      <c r="E196" s="13" t="s">
        <v>483</v>
      </c>
      <c r="F196" s="172" t="s">
        <v>446</v>
      </c>
      <c r="G196" s="50" t="s">
        <v>527</v>
      </c>
      <c r="H196" s="174" t="s">
        <v>492</v>
      </c>
    </row>
    <row r="197" spans="1:8" ht="16.5">
      <c r="A197" s="15" t="s">
        <v>419</v>
      </c>
      <c r="B197" s="38">
        <v>1</v>
      </c>
      <c r="C197" s="34">
        <v>11</v>
      </c>
      <c r="D197" s="39" t="s">
        <v>265</v>
      </c>
      <c r="E197" s="13" t="s">
        <v>483</v>
      </c>
      <c r="F197" s="172" t="s">
        <v>446</v>
      </c>
      <c r="G197" s="50" t="s">
        <v>527</v>
      </c>
      <c r="H197" s="174" t="s">
        <v>426</v>
      </c>
    </row>
    <row r="198" spans="1:8" ht="16.5">
      <c r="A198" s="15" t="s">
        <v>429</v>
      </c>
      <c r="B198" s="38">
        <v>1</v>
      </c>
      <c r="C198" s="34">
        <v>11</v>
      </c>
      <c r="D198" s="39" t="s">
        <v>265</v>
      </c>
      <c r="E198" s="13" t="s">
        <v>483</v>
      </c>
      <c r="F198" s="172" t="s">
        <v>446</v>
      </c>
      <c r="G198" s="50" t="s">
        <v>527</v>
      </c>
      <c r="H198" s="174" t="s">
        <v>286</v>
      </c>
    </row>
    <row r="199" spans="1:8" ht="16.5">
      <c r="A199" s="15" t="s">
        <v>420</v>
      </c>
      <c r="B199" s="38">
        <v>1</v>
      </c>
      <c r="C199" s="34">
        <v>12</v>
      </c>
      <c r="D199" s="39" t="s">
        <v>265</v>
      </c>
      <c r="E199" s="13" t="s">
        <v>483</v>
      </c>
      <c r="F199" s="173" t="s">
        <v>446</v>
      </c>
      <c r="G199" s="50" t="s">
        <v>527</v>
      </c>
      <c r="H199" s="174" t="s">
        <v>317</v>
      </c>
    </row>
    <row r="200" spans="1:8" ht="16.5">
      <c r="A200" s="15" t="s">
        <v>619</v>
      </c>
      <c r="B200" s="34">
        <v>1</v>
      </c>
      <c r="C200" s="34"/>
      <c r="D200" s="13" t="s">
        <v>265</v>
      </c>
      <c r="E200" s="13" t="s">
        <v>483</v>
      </c>
      <c r="F200" s="13" t="s">
        <v>446</v>
      </c>
      <c r="G200" s="50" t="s">
        <v>631</v>
      </c>
      <c r="H200" s="131" t="s">
        <v>671</v>
      </c>
    </row>
    <row r="201" spans="1:8" ht="16.5">
      <c r="A201" s="15" t="s">
        <v>620</v>
      </c>
      <c r="B201" s="34">
        <v>1</v>
      </c>
      <c r="C201" s="34"/>
      <c r="D201" s="13" t="s">
        <v>265</v>
      </c>
      <c r="E201" s="13" t="s">
        <v>483</v>
      </c>
      <c r="F201" s="13" t="s">
        <v>448</v>
      </c>
      <c r="G201" s="50" t="s">
        <v>631</v>
      </c>
      <c r="H201" s="131" t="s">
        <v>304</v>
      </c>
    </row>
    <row r="202" spans="1:8" ht="16.5">
      <c r="A202" s="15" t="s">
        <v>621</v>
      </c>
      <c r="B202" s="34">
        <v>1</v>
      </c>
      <c r="C202" s="34"/>
      <c r="D202" s="13" t="s">
        <v>265</v>
      </c>
      <c r="E202" s="13" t="s">
        <v>483</v>
      </c>
      <c r="F202" s="13" t="s">
        <v>446</v>
      </c>
      <c r="G202" s="50" t="s">
        <v>631</v>
      </c>
      <c r="H202" s="131" t="s">
        <v>304</v>
      </c>
    </row>
    <row r="203" spans="1:8" ht="16.5">
      <c r="A203" s="15" t="s">
        <v>618</v>
      </c>
      <c r="B203" s="34">
        <v>2</v>
      </c>
      <c r="C203" s="34"/>
      <c r="D203" s="13" t="s">
        <v>262</v>
      </c>
      <c r="E203" s="13" t="s">
        <v>483</v>
      </c>
      <c r="F203" s="13" t="s">
        <v>446</v>
      </c>
      <c r="G203" s="50" t="s">
        <v>631</v>
      </c>
      <c r="H203" s="131" t="s">
        <v>426</v>
      </c>
    </row>
    <row r="204" spans="1:8" ht="16.5">
      <c r="A204" s="15" t="s">
        <v>638</v>
      </c>
      <c r="B204" s="34">
        <v>1</v>
      </c>
      <c r="C204" s="34"/>
      <c r="D204" s="13" t="s">
        <v>265</v>
      </c>
      <c r="E204" s="13" t="s">
        <v>483</v>
      </c>
      <c r="F204" s="13" t="s">
        <v>446</v>
      </c>
      <c r="G204" s="50" t="s">
        <v>631</v>
      </c>
      <c r="H204" s="131" t="s">
        <v>301</v>
      </c>
    </row>
    <row r="205" spans="1:8" ht="16.5">
      <c r="A205" s="15" t="s">
        <v>668</v>
      </c>
      <c r="B205" s="34">
        <v>1</v>
      </c>
      <c r="C205" s="34"/>
      <c r="D205" s="13" t="s">
        <v>265</v>
      </c>
      <c r="E205" s="13" t="s">
        <v>483</v>
      </c>
      <c r="F205" s="13" t="s">
        <v>446</v>
      </c>
      <c r="G205" s="50" t="s">
        <v>631</v>
      </c>
      <c r="H205" s="131" t="s">
        <v>286</v>
      </c>
    </row>
    <row r="206" spans="1:8" ht="16.5">
      <c r="A206" s="15" t="s">
        <v>679</v>
      </c>
      <c r="B206" s="34">
        <v>1</v>
      </c>
      <c r="C206" s="34"/>
      <c r="D206" s="13" t="s">
        <v>265</v>
      </c>
      <c r="E206" s="13" t="s">
        <v>483</v>
      </c>
      <c r="F206" s="13" t="s">
        <v>446</v>
      </c>
      <c r="G206" s="50" t="s">
        <v>631</v>
      </c>
      <c r="H206" s="131" t="s">
        <v>304</v>
      </c>
    </row>
    <row r="207" spans="1:8" ht="16.5">
      <c r="A207" s="15" t="s">
        <v>624</v>
      </c>
      <c r="B207" s="34">
        <v>2</v>
      </c>
      <c r="C207" s="34"/>
      <c r="D207" s="13" t="s">
        <v>265</v>
      </c>
      <c r="E207" s="13" t="s">
        <v>483</v>
      </c>
      <c r="F207" s="13" t="s">
        <v>446</v>
      </c>
      <c r="G207" s="50" t="s">
        <v>631</v>
      </c>
      <c r="H207" s="131" t="s">
        <v>304</v>
      </c>
    </row>
    <row r="208" spans="1:8" ht="16.5">
      <c r="A208" s="15" t="s">
        <v>623</v>
      </c>
      <c r="B208" s="34">
        <v>2</v>
      </c>
      <c r="C208" s="34"/>
      <c r="D208" s="13" t="s">
        <v>262</v>
      </c>
      <c r="E208" s="13" t="s">
        <v>483</v>
      </c>
      <c r="F208" s="13" t="s">
        <v>446</v>
      </c>
      <c r="G208" s="50" t="s">
        <v>631</v>
      </c>
      <c r="H208" s="131" t="s">
        <v>286</v>
      </c>
    </row>
    <row r="209" spans="1:8" ht="16.5">
      <c r="A209" s="15" t="s">
        <v>636</v>
      </c>
      <c r="B209" s="34">
        <v>1</v>
      </c>
      <c r="C209" s="34"/>
      <c r="D209" s="13" t="s">
        <v>265</v>
      </c>
      <c r="E209" s="13" t="s">
        <v>483</v>
      </c>
      <c r="F209" s="13" t="s">
        <v>446</v>
      </c>
      <c r="G209" s="50" t="s">
        <v>631</v>
      </c>
      <c r="H209" s="131" t="s">
        <v>286</v>
      </c>
    </row>
    <row r="210" spans="1:8" ht="16.5">
      <c r="A210" s="15" t="s">
        <v>626</v>
      </c>
      <c r="B210" s="34">
        <v>1</v>
      </c>
      <c r="C210" s="34"/>
      <c r="D210" s="13" t="s">
        <v>265</v>
      </c>
      <c r="E210" s="13" t="s">
        <v>483</v>
      </c>
      <c r="F210" s="13" t="s">
        <v>446</v>
      </c>
      <c r="G210" s="50" t="s">
        <v>631</v>
      </c>
      <c r="H210" s="131" t="s">
        <v>286</v>
      </c>
    </row>
    <row r="211" spans="1:8" ht="16.5">
      <c r="A211" s="15" t="s">
        <v>685</v>
      </c>
      <c r="B211" s="34">
        <v>1</v>
      </c>
      <c r="C211" s="34"/>
      <c r="D211" s="13" t="s">
        <v>265</v>
      </c>
      <c r="E211" s="13" t="s">
        <v>483</v>
      </c>
      <c r="F211" s="13" t="s">
        <v>446</v>
      </c>
      <c r="G211" s="50" t="s">
        <v>631</v>
      </c>
      <c r="H211" s="131" t="s">
        <v>304</v>
      </c>
    </row>
  </sheetData>
  <mergeCells count="1">
    <mergeCell ref="A1:H1"/>
  </mergeCells>
  <conditionalFormatting sqref="A99 A102:A103 A105:A108 A110:A111">
    <cfRule type="expression" dxfId="73" priority="20">
      <formula>NOT(($F99-$D99)=0)</formula>
    </cfRule>
  </conditionalFormatting>
  <conditionalFormatting sqref="A113">
    <cfRule type="expression" dxfId="72" priority="29">
      <formula>(($F113-$D113)=0)</formula>
    </cfRule>
    <cfRule type="expression" dxfId="71" priority="30">
      <formula>(($F113-$D113)&gt;0)</formula>
    </cfRule>
  </conditionalFormatting>
  <conditionalFormatting sqref="A176:A191">
    <cfRule type="expression" dxfId="70" priority="1">
      <formula>(($E176-$D176)=0)</formula>
    </cfRule>
    <cfRule type="expression" dxfId="69" priority="2">
      <formula>(($E176-$D176)&gt;0)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72"/>
  <sheetViews>
    <sheetView showGridLines="0" workbookViewId="0">
      <selection activeCell="A3" sqref="A3"/>
    </sheetView>
  </sheetViews>
  <sheetFormatPr defaultRowHeight="16.5"/>
  <cols>
    <col min="1" max="1" width="48.140625" style="23" bestFit="1" customWidth="1"/>
    <col min="2" max="2" width="6.42578125" style="120" bestFit="1" customWidth="1"/>
    <col min="3" max="3" width="9.140625" style="121"/>
    <col min="4" max="16384" width="9.140625" style="23"/>
  </cols>
  <sheetData>
    <row r="1" spans="1:3">
      <c r="A1" s="209" t="s">
        <v>1</v>
      </c>
      <c r="B1" s="210"/>
      <c r="C1" s="210"/>
    </row>
    <row r="2" spans="1:3">
      <c r="A2" s="23" t="s">
        <v>3</v>
      </c>
      <c r="B2" s="120" t="s">
        <v>156</v>
      </c>
      <c r="C2" s="121" t="s">
        <v>4</v>
      </c>
    </row>
    <row r="3" spans="1:3">
      <c r="A3" s="40" t="s">
        <v>613</v>
      </c>
      <c r="B3" s="36">
        <v>1</v>
      </c>
      <c r="C3" s="127" t="s">
        <v>13</v>
      </c>
    </row>
    <row r="4" spans="1:3">
      <c r="A4" s="40" t="s">
        <v>38</v>
      </c>
      <c r="B4" s="36">
        <v>1</v>
      </c>
      <c r="C4" s="126" t="s">
        <v>13</v>
      </c>
    </row>
    <row r="5" spans="1:3">
      <c r="A5" s="23" t="s">
        <v>333</v>
      </c>
      <c r="B5" s="120">
        <v>1</v>
      </c>
      <c r="C5" s="126" t="s">
        <v>13</v>
      </c>
    </row>
    <row r="6" spans="1:3">
      <c r="A6" s="23" t="s">
        <v>260</v>
      </c>
      <c r="B6" s="120">
        <v>1</v>
      </c>
      <c r="C6" s="126" t="s">
        <v>13</v>
      </c>
    </row>
    <row r="7" spans="1:3">
      <c r="A7" s="23" t="s">
        <v>344</v>
      </c>
      <c r="B7" s="120">
        <v>1</v>
      </c>
      <c r="C7" s="126" t="s">
        <v>13</v>
      </c>
    </row>
    <row r="8" spans="1:3">
      <c r="A8" s="23" t="s">
        <v>364</v>
      </c>
      <c r="B8" s="120">
        <v>2</v>
      </c>
      <c r="C8" s="126" t="s">
        <v>13</v>
      </c>
    </row>
    <row r="9" spans="1:3">
      <c r="A9" s="23" t="s">
        <v>365</v>
      </c>
      <c r="B9" s="120">
        <v>3</v>
      </c>
      <c r="C9" s="126" t="s">
        <v>13</v>
      </c>
    </row>
    <row r="10" spans="1:3">
      <c r="A10" s="23" t="s">
        <v>600</v>
      </c>
      <c r="B10" s="120">
        <v>1</v>
      </c>
      <c r="C10" s="126" t="s">
        <v>13</v>
      </c>
    </row>
    <row r="11" spans="1:3">
      <c r="A11" s="23" t="s">
        <v>601</v>
      </c>
      <c r="B11" s="120">
        <v>2</v>
      </c>
      <c r="C11" s="126" t="s">
        <v>13</v>
      </c>
    </row>
    <row r="12" spans="1:3">
      <c r="A12" s="23" t="s">
        <v>273</v>
      </c>
      <c r="B12" s="120">
        <v>1</v>
      </c>
      <c r="C12" s="126" t="s">
        <v>13</v>
      </c>
    </row>
    <row r="13" spans="1:3">
      <c r="A13" s="23" t="s">
        <v>602</v>
      </c>
      <c r="B13" s="120">
        <v>1</v>
      </c>
      <c r="C13" s="126" t="s">
        <v>13</v>
      </c>
    </row>
    <row r="14" spans="1:3">
      <c r="A14" s="23" t="s">
        <v>178</v>
      </c>
      <c r="B14" s="120">
        <v>1</v>
      </c>
      <c r="C14" s="126" t="s">
        <v>13</v>
      </c>
    </row>
    <row r="15" spans="1:3">
      <c r="A15" s="23" t="s">
        <v>253</v>
      </c>
      <c r="B15" s="120">
        <v>1</v>
      </c>
      <c r="C15" s="126" t="s">
        <v>13</v>
      </c>
    </row>
    <row r="16" spans="1:3">
      <c r="A16" s="23" t="s">
        <v>41</v>
      </c>
      <c r="B16" s="120">
        <v>1</v>
      </c>
      <c r="C16" s="126" t="s">
        <v>13</v>
      </c>
    </row>
    <row r="17" spans="1:3">
      <c r="A17" s="23" t="s">
        <v>252</v>
      </c>
      <c r="B17" s="120">
        <v>1</v>
      </c>
      <c r="C17" s="126" t="s">
        <v>13</v>
      </c>
    </row>
    <row r="18" spans="1:3">
      <c r="A18" s="23" t="s">
        <v>259</v>
      </c>
      <c r="B18" s="120">
        <v>1</v>
      </c>
      <c r="C18" s="126" t="s">
        <v>13</v>
      </c>
    </row>
    <row r="19" spans="1:3">
      <c r="A19" s="23" t="s">
        <v>451</v>
      </c>
      <c r="B19" s="120">
        <v>2</v>
      </c>
      <c r="C19" s="126" t="s">
        <v>13</v>
      </c>
    </row>
    <row r="20" spans="1:3">
      <c r="A20" s="23" t="s">
        <v>44</v>
      </c>
      <c r="B20" s="120">
        <v>1</v>
      </c>
      <c r="C20" s="126" t="s">
        <v>13</v>
      </c>
    </row>
    <row r="21" spans="1:3">
      <c r="A21" s="23" t="s">
        <v>80</v>
      </c>
      <c r="B21" s="120">
        <v>1</v>
      </c>
      <c r="C21" s="126" t="s">
        <v>13</v>
      </c>
    </row>
    <row r="22" spans="1:3">
      <c r="A22" s="23" t="s">
        <v>603</v>
      </c>
      <c r="B22" s="120">
        <v>1</v>
      </c>
      <c r="C22" s="126" t="s">
        <v>13</v>
      </c>
    </row>
    <row r="23" spans="1:3">
      <c r="A23" s="23" t="s">
        <v>47</v>
      </c>
      <c r="B23" s="120">
        <v>1</v>
      </c>
      <c r="C23" s="126" t="s">
        <v>13</v>
      </c>
    </row>
    <row r="24" spans="1:3">
      <c r="A24" s="23" t="s">
        <v>604</v>
      </c>
      <c r="B24" s="120">
        <v>1</v>
      </c>
      <c r="C24" s="126" t="s">
        <v>13</v>
      </c>
    </row>
    <row r="25" spans="1:3">
      <c r="A25" s="23" t="s">
        <v>18</v>
      </c>
      <c r="B25" s="120">
        <v>1</v>
      </c>
      <c r="C25" s="126" t="s">
        <v>13</v>
      </c>
    </row>
    <row r="26" spans="1:3">
      <c r="A26" s="23" t="s">
        <v>605</v>
      </c>
      <c r="B26" s="120">
        <v>2</v>
      </c>
      <c r="C26" s="126" t="s">
        <v>13</v>
      </c>
    </row>
    <row r="27" spans="1:3">
      <c r="A27" s="23" t="s">
        <v>257</v>
      </c>
      <c r="B27" s="120">
        <v>1</v>
      </c>
      <c r="C27" s="126" t="s">
        <v>13</v>
      </c>
    </row>
    <row r="28" spans="1:3">
      <c r="A28" s="23" t="s">
        <v>20</v>
      </c>
      <c r="B28" s="120">
        <v>1</v>
      </c>
      <c r="C28" s="126" t="s">
        <v>13</v>
      </c>
    </row>
    <row r="29" spans="1:3">
      <c r="A29" s="23" t="s">
        <v>128</v>
      </c>
      <c r="B29" s="120">
        <v>1</v>
      </c>
      <c r="C29" s="126" t="s">
        <v>13</v>
      </c>
    </row>
    <row r="30" spans="1:3">
      <c r="A30" s="23" t="s">
        <v>52</v>
      </c>
      <c r="B30" s="120">
        <v>1</v>
      </c>
      <c r="C30" s="126" t="s">
        <v>13</v>
      </c>
    </row>
    <row r="31" spans="1:3">
      <c r="A31" s="23" t="s">
        <v>255</v>
      </c>
      <c r="B31" s="120">
        <v>1</v>
      </c>
      <c r="C31" s="126" t="s">
        <v>13</v>
      </c>
    </row>
    <row r="32" spans="1:3">
      <c r="A32" s="40" t="s">
        <v>676</v>
      </c>
      <c r="B32" s="36">
        <v>1</v>
      </c>
      <c r="C32" s="126" t="s">
        <v>13</v>
      </c>
    </row>
    <row r="33" spans="1:3">
      <c r="A33" s="23" t="s">
        <v>452</v>
      </c>
      <c r="B33" s="120">
        <v>1</v>
      </c>
      <c r="C33" s="126" t="s">
        <v>13</v>
      </c>
    </row>
    <row r="34" spans="1:3">
      <c r="A34" s="23" t="s">
        <v>334</v>
      </c>
      <c r="B34" s="120">
        <v>1</v>
      </c>
      <c r="C34" s="126" t="s">
        <v>13</v>
      </c>
    </row>
    <row r="35" spans="1:3">
      <c r="A35" s="23" t="s">
        <v>23</v>
      </c>
      <c r="B35" s="120">
        <v>1</v>
      </c>
      <c r="C35" s="126" t="s">
        <v>13</v>
      </c>
    </row>
    <row r="36" spans="1:3">
      <c r="A36" s="23" t="s">
        <v>606</v>
      </c>
      <c r="B36" s="120">
        <v>2</v>
      </c>
      <c r="C36" s="126" t="s">
        <v>13</v>
      </c>
    </row>
    <row r="37" spans="1:3">
      <c r="A37" s="23" t="s">
        <v>607</v>
      </c>
      <c r="B37" s="120">
        <v>3</v>
      </c>
      <c r="C37" s="126" t="s">
        <v>13</v>
      </c>
    </row>
    <row r="38" spans="1:3">
      <c r="A38" s="23" t="s">
        <v>258</v>
      </c>
      <c r="B38" s="120">
        <v>1</v>
      </c>
      <c r="C38" s="126" t="s">
        <v>13</v>
      </c>
    </row>
    <row r="39" spans="1:3">
      <c r="A39" s="23" t="s">
        <v>25</v>
      </c>
      <c r="B39" s="120">
        <v>1</v>
      </c>
      <c r="C39" s="126" t="s">
        <v>13</v>
      </c>
    </row>
    <row r="40" spans="1:3">
      <c r="A40" s="23" t="s">
        <v>399</v>
      </c>
      <c r="B40" s="120">
        <v>1</v>
      </c>
      <c r="C40" s="126" t="s">
        <v>13</v>
      </c>
    </row>
    <row r="41" spans="1:3">
      <c r="A41" s="23" t="s">
        <v>608</v>
      </c>
      <c r="B41" s="120">
        <v>1</v>
      </c>
      <c r="C41" s="126" t="s">
        <v>13</v>
      </c>
    </row>
    <row r="42" spans="1:3">
      <c r="A42" s="23" t="s">
        <v>76</v>
      </c>
      <c r="B42" s="120">
        <v>1</v>
      </c>
      <c r="C42" s="126" t="s">
        <v>13</v>
      </c>
    </row>
    <row r="43" spans="1:3">
      <c r="A43" s="23" t="s">
        <v>609</v>
      </c>
      <c r="B43" s="120">
        <v>2</v>
      </c>
      <c r="C43" s="126" t="s">
        <v>13</v>
      </c>
    </row>
    <row r="44" spans="1:3">
      <c r="A44" s="23" t="s">
        <v>125</v>
      </c>
      <c r="B44" s="120">
        <v>1</v>
      </c>
      <c r="C44" s="126" t="s">
        <v>13</v>
      </c>
    </row>
    <row r="45" spans="1:3">
      <c r="A45" s="23" t="s">
        <v>31</v>
      </c>
      <c r="B45" s="120">
        <v>1</v>
      </c>
      <c r="C45" s="126" t="s">
        <v>13</v>
      </c>
    </row>
    <row r="46" spans="1:3">
      <c r="A46" s="23" t="s">
        <v>610</v>
      </c>
      <c r="B46" s="120">
        <v>2</v>
      </c>
      <c r="C46" s="126" t="s">
        <v>13</v>
      </c>
    </row>
    <row r="47" spans="1:3">
      <c r="A47" s="23" t="s">
        <v>34</v>
      </c>
      <c r="B47" s="120">
        <v>1</v>
      </c>
      <c r="C47" s="126" t="s">
        <v>13</v>
      </c>
    </row>
    <row r="48" spans="1:3">
      <c r="A48" s="23" t="s">
        <v>402</v>
      </c>
      <c r="B48" s="120">
        <v>1</v>
      </c>
      <c r="C48" s="126" t="s">
        <v>13</v>
      </c>
    </row>
    <row r="49" spans="1:3">
      <c r="A49" s="23" t="s">
        <v>261</v>
      </c>
      <c r="B49" s="120">
        <v>1</v>
      </c>
      <c r="C49" s="126" t="s">
        <v>13</v>
      </c>
    </row>
    <row r="50" spans="1:3">
      <c r="A50" s="23" t="s">
        <v>295</v>
      </c>
      <c r="B50" s="120">
        <v>1</v>
      </c>
      <c r="C50" s="126" t="s">
        <v>13</v>
      </c>
    </row>
    <row r="51" spans="1:3">
      <c r="A51" s="23" t="s">
        <v>400</v>
      </c>
      <c r="B51" s="120">
        <v>1</v>
      </c>
      <c r="C51" s="126" t="s">
        <v>13</v>
      </c>
    </row>
    <row r="52" spans="1:3">
      <c r="A52" s="23" t="s">
        <v>401</v>
      </c>
      <c r="B52" s="120">
        <v>2</v>
      </c>
      <c r="C52" s="126" t="s">
        <v>13</v>
      </c>
    </row>
    <row r="53" spans="1:3">
      <c r="A53" s="23" t="s">
        <v>454</v>
      </c>
      <c r="B53" s="120">
        <v>3</v>
      </c>
      <c r="C53" s="126" t="s">
        <v>13</v>
      </c>
    </row>
    <row r="54" spans="1:3">
      <c r="A54" s="23" t="s">
        <v>453</v>
      </c>
      <c r="B54" s="120">
        <v>4</v>
      </c>
      <c r="C54" s="126" t="s">
        <v>13</v>
      </c>
    </row>
    <row r="55" spans="1:3">
      <c r="A55" s="40" t="s">
        <v>681</v>
      </c>
      <c r="B55" s="36">
        <v>1</v>
      </c>
      <c r="C55" s="126" t="s">
        <v>39</v>
      </c>
    </row>
    <row r="56" spans="1:3">
      <c r="A56" s="40" t="s">
        <v>684</v>
      </c>
      <c r="B56" s="36">
        <v>1</v>
      </c>
      <c r="C56" s="126" t="s">
        <v>39</v>
      </c>
    </row>
    <row r="57" spans="1:3">
      <c r="A57" s="40" t="s">
        <v>620</v>
      </c>
      <c r="B57" s="36">
        <v>1</v>
      </c>
      <c r="C57" s="126" t="s">
        <v>39</v>
      </c>
    </row>
    <row r="58" spans="1:3">
      <c r="A58" s="23" t="s">
        <v>386</v>
      </c>
      <c r="B58" s="120">
        <v>1</v>
      </c>
      <c r="C58" s="126" t="s">
        <v>39</v>
      </c>
    </row>
    <row r="59" spans="1:3">
      <c r="A59" s="40" t="s">
        <v>621</v>
      </c>
      <c r="B59" s="36">
        <v>1</v>
      </c>
      <c r="C59" s="126" t="s">
        <v>39</v>
      </c>
    </row>
    <row r="60" spans="1:3">
      <c r="A60" s="23" t="s">
        <v>599</v>
      </c>
      <c r="B60" s="120">
        <v>2</v>
      </c>
      <c r="C60" s="126" t="s">
        <v>39</v>
      </c>
    </row>
    <row r="61" spans="1:3">
      <c r="A61" s="23" t="s">
        <v>433</v>
      </c>
      <c r="B61" s="120">
        <v>3</v>
      </c>
      <c r="C61" s="126" t="s">
        <v>39</v>
      </c>
    </row>
    <row r="62" spans="1:3">
      <c r="A62" s="23" t="s">
        <v>434</v>
      </c>
      <c r="B62" s="120">
        <v>4</v>
      </c>
      <c r="C62" s="126" t="s">
        <v>39</v>
      </c>
    </row>
    <row r="63" spans="1:3">
      <c r="A63" s="40" t="s">
        <v>682</v>
      </c>
      <c r="B63" s="36">
        <v>1</v>
      </c>
      <c r="C63" s="128" t="s">
        <v>39</v>
      </c>
    </row>
    <row r="64" spans="1:3">
      <c r="A64" s="23" t="s">
        <v>345</v>
      </c>
      <c r="B64" s="120">
        <v>1</v>
      </c>
      <c r="C64" s="128" t="s">
        <v>39</v>
      </c>
    </row>
    <row r="65" spans="1:3">
      <c r="A65" s="40" t="s">
        <v>683</v>
      </c>
      <c r="B65" s="36">
        <v>1</v>
      </c>
      <c r="C65" s="128" t="s">
        <v>39</v>
      </c>
    </row>
    <row r="66" spans="1:3">
      <c r="A66" s="23" t="s">
        <v>417</v>
      </c>
      <c r="B66" s="120">
        <v>1</v>
      </c>
      <c r="C66" s="128" t="s">
        <v>39</v>
      </c>
    </row>
    <row r="67" spans="1:3">
      <c r="A67" s="23" t="s">
        <v>409</v>
      </c>
      <c r="B67" s="120">
        <v>2</v>
      </c>
      <c r="C67" s="128" t="s">
        <v>39</v>
      </c>
    </row>
    <row r="68" spans="1:3">
      <c r="A68" s="23" t="s">
        <v>406</v>
      </c>
      <c r="B68" s="120">
        <v>1</v>
      </c>
      <c r="C68" s="128" t="s">
        <v>39</v>
      </c>
    </row>
    <row r="69" spans="1:3">
      <c r="A69" s="23" t="s">
        <v>64</v>
      </c>
      <c r="B69" s="120">
        <v>1</v>
      </c>
      <c r="C69" s="128" t="s">
        <v>39</v>
      </c>
    </row>
    <row r="70" spans="1:3">
      <c r="A70" s="23" t="s">
        <v>71</v>
      </c>
      <c r="B70" s="120">
        <v>1</v>
      </c>
      <c r="C70" s="128" t="s">
        <v>39</v>
      </c>
    </row>
    <row r="71" spans="1:3">
      <c r="A71" s="23" t="s">
        <v>611</v>
      </c>
      <c r="B71" s="120">
        <v>2</v>
      </c>
      <c r="C71" s="128" t="s">
        <v>39</v>
      </c>
    </row>
    <row r="72" spans="1:3">
      <c r="A72" s="40" t="s">
        <v>402</v>
      </c>
      <c r="B72" s="36">
        <v>1</v>
      </c>
      <c r="C72" s="128" t="s">
        <v>39</v>
      </c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128"/>
  <sheetViews>
    <sheetView showGridLines="0" workbookViewId="0">
      <selection activeCell="A3" sqref="A3"/>
    </sheetView>
  </sheetViews>
  <sheetFormatPr defaultRowHeight="15"/>
  <cols>
    <col min="1" max="1" width="42.85546875" style="4" customWidth="1"/>
    <col min="2" max="2" width="6.28515625" customWidth="1"/>
    <col min="3" max="7" width="7.7109375" customWidth="1"/>
    <col min="9" max="10" width="13.7109375" style="52" customWidth="1"/>
    <col min="11" max="11" width="23.140625" bestFit="1" customWidth="1"/>
    <col min="12" max="12" width="99.140625" style="5" bestFit="1" customWidth="1"/>
  </cols>
  <sheetData>
    <row r="1" spans="1:12" ht="16.5">
      <c r="A1" s="211" t="s">
        <v>2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</row>
    <row r="2" spans="1:12" ht="16.5">
      <c r="A2" s="9" t="s">
        <v>3</v>
      </c>
      <c r="B2" s="9" t="s">
        <v>156</v>
      </c>
      <c r="C2" s="9" t="s">
        <v>5</v>
      </c>
      <c r="D2" s="9" t="s">
        <v>6</v>
      </c>
      <c r="E2" s="9" t="s">
        <v>7</v>
      </c>
      <c r="F2" s="9" t="s">
        <v>8</v>
      </c>
      <c r="G2" s="9" t="s">
        <v>9</v>
      </c>
      <c r="H2" s="9" t="s">
        <v>10</v>
      </c>
      <c r="I2" s="51" t="s">
        <v>436</v>
      </c>
      <c r="J2" s="51" t="s">
        <v>566</v>
      </c>
      <c r="K2" s="9" t="s">
        <v>186</v>
      </c>
      <c r="L2" s="9" t="s">
        <v>11</v>
      </c>
    </row>
    <row r="3" spans="1:12" ht="16.5">
      <c r="A3" s="21" t="s">
        <v>42</v>
      </c>
      <c r="B3" s="28">
        <v>1</v>
      </c>
      <c r="C3" s="53">
        <v>11</v>
      </c>
      <c r="D3" s="53">
        <v>11</v>
      </c>
      <c r="E3" s="53">
        <v>0</v>
      </c>
      <c r="F3" s="53">
        <v>10</v>
      </c>
      <c r="G3" s="59">
        <f>(Completed[[#This Row],[Plot]]*'Vars and Stats'!$B$3+Completed[[#This Row],[Char.]]*'Vars and Stats'!$B$4+Completed[[#This Row],[Moe]]*'Vars and Stats'!$B$5+Completed[[#This Row],[Pref]]*'Vars and Stats'!$B$6)/'Vars and Stats'!$B$11</f>
        <v>9.9748743718592969</v>
      </c>
      <c r="H3" s="60">
        <f>IF('Vars and Stats'!$B$13="Y",10*(Completed[[#This Row],[Raw]]-'Vars and Stats'!$B$9)/'Vars and Stats'!$B$10, 10*Completed[[#This Row],[Raw]]/'Vars and Stats'!$B$8)</f>
        <v>10</v>
      </c>
      <c r="I3" s="54">
        <v>41290</v>
      </c>
      <c r="J3" s="54">
        <v>41352</v>
      </c>
      <c r="K3" s="55" t="s">
        <v>42</v>
      </c>
      <c r="L3" s="29"/>
    </row>
    <row r="4" spans="1:12" ht="16.5">
      <c r="A4" s="21" t="s">
        <v>108</v>
      </c>
      <c r="B4" s="28">
        <v>1</v>
      </c>
      <c r="C4" s="53">
        <v>10</v>
      </c>
      <c r="D4" s="53">
        <v>9.5</v>
      </c>
      <c r="E4" s="53">
        <v>4</v>
      </c>
      <c r="F4" s="53">
        <v>10</v>
      </c>
      <c r="G4" s="59">
        <f>(Completed[[#This Row],[Plot]]*'Vars and Stats'!$B$3+Completed[[#This Row],[Char.]]*'Vars and Stats'!$B$4+Completed[[#This Row],[Moe]]*'Vars and Stats'!$B$5+Completed[[#This Row],[Pref]]*'Vars and Stats'!$B$6)/'Vars and Stats'!$B$11</f>
        <v>9.5791457286432156</v>
      </c>
      <c r="H4" s="60">
        <f>IF('Vars and Stats'!$B$13="Y",10*(Completed[[#This Row],[Raw]]-'Vars and Stats'!$B$9)/'Vars and Stats'!$B$10, 10*Completed[[#This Row],[Raw]]/'Vars and Stats'!$B$8)</f>
        <v>9.6032745591939523</v>
      </c>
      <c r="I4" s="54">
        <v>41270</v>
      </c>
      <c r="J4" s="54">
        <v>41279</v>
      </c>
      <c r="K4" s="56" t="s">
        <v>187</v>
      </c>
      <c r="L4" s="29" t="s">
        <v>390</v>
      </c>
    </row>
    <row r="5" spans="1:12" ht="16.5">
      <c r="A5" s="21" t="s">
        <v>340</v>
      </c>
      <c r="B5" s="28">
        <v>1</v>
      </c>
      <c r="C5" s="53">
        <v>9.5</v>
      </c>
      <c r="D5" s="53">
        <v>9.5</v>
      </c>
      <c r="E5" s="53">
        <v>3.5</v>
      </c>
      <c r="F5" s="53">
        <v>10</v>
      </c>
      <c r="G5" s="59">
        <f>(Completed[[#This Row],[Plot]]*'Vars and Stats'!$B$3+Completed[[#This Row],[Char.]]*'Vars and Stats'!$B$4+Completed[[#This Row],[Moe]]*'Vars and Stats'!$B$5+Completed[[#This Row],[Pref]]*'Vars and Stats'!$B$6)/'Vars and Stats'!$B$11</f>
        <v>9.4635678391959797</v>
      </c>
      <c r="H5" s="60">
        <f>IF('Vars and Stats'!$B$13="Y",10*(Completed[[#This Row],[Raw]]-'Vars and Stats'!$B$9)/'Vars and Stats'!$B$10, 10*Completed[[#This Row],[Raw]]/'Vars and Stats'!$B$8)</f>
        <v>9.4874055415617118</v>
      </c>
      <c r="I5" s="54">
        <v>41646</v>
      </c>
      <c r="J5" s="54">
        <v>41647</v>
      </c>
      <c r="K5" s="56" t="s">
        <v>380</v>
      </c>
      <c r="L5" s="29" t="s">
        <v>381</v>
      </c>
    </row>
    <row r="6" spans="1:12" ht="16.5">
      <c r="A6" s="21" t="s">
        <v>126</v>
      </c>
      <c r="B6" s="28">
        <v>1</v>
      </c>
      <c r="C6" s="53">
        <v>10</v>
      </c>
      <c r="D6" s="53">
        <v>10</v>
      </c>
      <c r="E6" s="53">
        <v>3</v>
      </c>
      <c r="F6" s="53">
        <v>9.5</v>
      </c>
      <c r="G6" s="59">
        <f>(Completed[[#This Row],[Plot]]*'Vars and Stats'!$B$3+Completed[[#This Row],[Char.]]*'Vars and Stats'!$B$4+Completed[[#This Row],[Moe]]*'Vars and Stats'!$B$5+Completed[[#This Row],[Pref]]*'Vars and Stats'!$B$6)/'Vars and Stats'!$B$11</f>
        <v>9.4158291457286438</v>
      </c>
      <c r="H6" s="60">
        <f>IF('Vars and Stats'!$B$13="Y",10*(Completed[[#This Row],[Raw]]-'Vars and Stats'!$B$9)/'Vars and Stats'!$B$10, 10*Completed[[#This Row],[Raw]]/'Vars and Stats'!$B$8)</f>
        <v>9.4395465994962215</v>
      </c>
      <c r="I6" s="54">
        <v>41607</v>
      </c>
      <c r="J6" s="54">
        <v>41634</v>
      </c>
      <c r="K6" s="56" t="s">
        <v>346</v>
      </c>
      <c r="L6" s="29" t="s">
        <v>347</v>
      </c>
    </row>
    <row r="7" spans="1:12" ht="16.5">
      <c r="A7" s="21" t="s">
        <v>415</v>
      </c>
      <c r="B7" s="28">
        <v>1</v>
      </c>
      <c r="C7" s="53">
        <v>9</v>
      </c>
      <c r="D7" s="53">
        <v>9.5</v>
      </c>
      <c r="E7" s="53">
        <v>7</v>
      </c>
      <c r="F7" s="53">
        <v>9.5</v>
      </c>
      <c r="G7" s="70">
        <f>(Completed[[#This Row],[Plot]]*'Vars and Stats'!$B$3+Completed[[#This Row],[Char.]]*'Vars and Stats'!$B$4+Completed[[#This Row],[Moe]]*'Vars and Stats'!$B$5+Completed[[#This Row],[Pref]]*'Vars and Stats'!$B$6)/'Vars and Stats'!$B$11</f>
        <v>9.2889447236180906</v>
      </c>
      <c r="H7" s="71">
        <f>IF('Vars and Stats'!$B$13="Y",10*(Completed[[#This Row],[Raw]]-'Vars and Stats'!$B$9)/'Vars and Stats'!$B$10, 10*Completed[[#This Row],[Raw]]/'Vars and Stats'!$B$8)</f>
        <v>9.3123425692695196</v>
      </c>
      <c r="I7" s="49">
        <v>41749</v>
      </c>
      <c r="J7" s="54">
        <v>41815</v>
      </c>
      <c r="K7" s="56" t="s">
        <v>578</v>
      </c>
      <c r="L7" s="29" t="s">
        <v>579</v>
      </c>
    </row>
    <row r="8" spans="1:12" ht="16.5">
      <c r="A8" s="21" t="s">
        <v>27</v>
      </c>
      <c r="B8" s="28">
        <v>1</v>
      </c>
      <c r="C8" s="53">
        <v>10</v>
      </c>
      <c r="D8" s="53">
        <v>9</v>
      </c>
      <c r="E8" s="53">
        <v>5</v>
      </c>
      <c r="F8" s="53">
        <v>9.5</v>
      </c>
      <c r="G8" s="59">
        <f>(Completed[[#This Row],[Plot]]*'Vars and Stats'!$B$3+Completed[[#This Row],[Char.]]*'Vars and Stats'!$B$4+Completed[[#This Row],[Moe]]*'Vars and Stats'!$B$5+Completed[[#This Row],[Pref]]*'Vars and Stats'!$B$6)/'Vars and Stats'!$B$11</f>
        <v>9.2424623115577873</v>
      </c>
      <c r="H8" s="60">
        <f>IF('Vars and Stats'!$B$13="Y",10*(Completed[[#This Row],[Raw]]-'Vars and Stats'!$B$9)/'Vars and Stats'!$B$10, 10*Completed[[#This Row],[Raw]]/'Vars and Stats'!$B$8)</f>
        <v>9.2657430730478563</v>
      </c>
      <c r="I8" s="54">
        <v>41742</v>
      </c>
      <c r="J8" s="54">
        <v>41746</v>
      </c>
      <c r="K8" s="56" t="s">
        <v>422</v>
      </c>
      <c r="L8" s="29" t="s">
        <v>423</v>
      </c>
    </row>
    <row r="9" spans="1:12" ht="16.5">
      <c r="A9" s="21" t="s">
        <v>569</v>
      </c>
      <c r="B9" s="28">
        <v>2</v>
      </c>
      <c r="C9" s="53">
        <v>9.5</v>
      </c>
      <c r="D9" s="53">
        <v>10</v>
      </c>
      <c r="E9" s="53">
        <v>6</v>
      </c>
      <c r="F9" s="53">
        <v>9</v>
      </c>
      <c r="G9" s="59">
        <f>(Completed[[#This Row],[Plot]]*'Vars and Stats'!$B$3+Completed[[#This Row],[Char.]]*'Vars and Stats'!$B$4+Completed[[#This Row],[Moe]]*'Vars and Stats'!$B$5+Completed[[#This Row],[Pref]]*'Vars and Stats'!$B$6)/'Vars and Stats'!$B$11</f>
        <v>9.217336683417086</v>
      </c>
      <c r="H9" s="60">
        <f>IF('Vars and Stats'!$B$13="Y",10*(Completed[[#This Row],[Raw]]-'Vars and Stats'!$B$9)/'Vars and Stats'!$B$10, 10*Completed[[#This Row],[Raw]]/'Vars and Stats'!$B$8)</f>
        <v>9.2405541561712852</v>
      </c>
      <c r="I9" s="54">
        <v>41293</v>
      </c>
      <c r="J9" s="54">
        <v>41294</v>
      </c>
      <c r="K9" s="56" t="s">
        <v>163</v>
      </c>
      <c r="L9" s="29" t="s">
        <v>21</v>
      </c>
    </row>
    <row r="10" spans="1:12" ht="16.5">
      <c r="A10" s="21" t="s">
        <v>127</v>
      </c>
      <c r="B10" s="28">
        <v>1</v>
      </c>
      <c r="C10" s="53">
        <v>10</v>
      </c>
      <c r="D10" s="53">
        <v>9</v>
      </c>
      <c r="E10" s="53">
        <v>4</v>
      </c>
      <c r="F10" s="53">
        <v>9.5</v>
      </c>
      <c r="G10" s="59">
        <f>(Completed[[#This Row],[Plot]]*'Vars and Stats'!$B$3+Completed[[#This Row],[Char.]]*'Vars and Stats'!$B$4+Completed[[#This Row],[Moe]]*'Vars and Stats'!$B$5+Completed[[#This Row],[Pref]]*'Vars and Stats'!$B$6)/'Vars and Stats'!$B$11</f>
        <v>9.1947236180904515</v>
      </c>
      <c r="H10" s="60">
        <f>IF('Vars and Stats'!$B$13="Y",10*(Completed[[#This Row],[Raw]]-'Vars and Stats'!$B$9)/'Vars and Stats'!$B$10, 10*Completed[[#This Row],[Raw]]/'Vars and Stats'!$B$8)</f>
        <v>9.217884130982366</v>
      </c>
      <c r="I10" s="54">
        <v>41750</v>
      </c>
      <c r="J10" s="54">
        <v>41756</v>
      </c>
      <c r="K10" s="56" t="s">
        <v>431</v>
      </c>
      <c r="L10" s="29"/>
    </row>
    <row r="11" spans="1:12" ht="16.5">
      <c r="A11" s="21" t="s">
        <v>430</v>
      </c>
      <c r="B11" s="28">
        <v>1</v>
      </c>
      <c r="C11" s="53">
        <v>9</v>
      </c>
      <c r="D11" s="53">
        <v>9</v>
      </c>
      <c r="E11" s="53">
        <v>7.5</v>
      </c>
      <c r="F11" s="53">
        <v>9.5</v>
      </c>
      <c r="G11" s="70">
        <f>(Completed[[#This Row],[Plot]]*'Vars and Stats'!$B$3+Completed[[#This Row],[Char.]]*'Vars and Stats'!$B$4+Completed[[#This Row],[Moe]]*'Vars and Stats'!$B$5+Completed[[#This Row],[Pref]]*'Vars and Stats'!$B$6)/'Vars and Stats'!$B$11</f>
        <v>9.1783919597989954</v>
      </c>
      <c r="H11" s="71">
        <f>IF('Vars and Stats'!$B$13="Y",10*(Completed[[#This Row],[Raw]]-'Vars and Stats'!$B$9)/'Vars and Stats'!$B$10, 10*Completed[[#This Row],[Raw]]/'Vars and Stats'!$B$8)</f>
        <v>9.2015113350125937</v>
      </c>
      <c r="I11" s="49">
        <v>41814</v>
      </c>
      <c r="J11" s="54">
        <v>41815</v>
      </c>
      <c r="K11" s="56" t="s">
        <v>575</v>
      </c>
      <c r="L11" s="29" t="s">
        <v>576</v>
      </c>
    </row>
    <row r="12" spans="1:12" ht="16.5">
      <c r="A12" s="21" t="s">
        <v>26</v>
      </c>
      <c r="B12" s="28">
        <v>1</v>
      </c>
      <c r="C12" s="53">
        <v>9</v>
      </c>
      <c r="D12" s="53">
        <v>9.5</v>
      </c>
      <c r="E12" s="53">
        <v>4.5</v>
      </c>
      <c r="F12" s="53">
        <v>9.5</v>
      </c>
      <c r="G12" s="59">
        <f>(Completed[[#This Row],[Plot]]*'Vars and Stats'!$B$3+Completed[[#This Row],[Char.]]*'Vars and Stats'!$B$4+Completed[[#This Row],[Moe]]*'Vars and Stats'!$B$5+Completed[[#This Row],[Pref]]*'Vars and Stats'!$B$6)/'Vars and Stats'!$B$11</f>
        <v>9.1695979899497502</v>
      </c>
      <c r="H12" s="60">
        <f>IF('Vars and Stats'!$B$13="Y",10*(Completed[[#This Row],[Raw]]-'Vars and Stats'!$B$9)/'Vars and Stats'!$B$10, 10*Completed[[#This Row],[Raw]]/'Vars and Stats'!$B$8)</f>
        <v>9.1926952141057949</v>
      </c>
      <c r="I12" s="54">
        <v>41357</v>
      </c>
      <c r="J12" s="54">
        <v>41357</v>
      </c>
      <c r="K12" s="56" t="s">
        <v>188</v>
      </c>
      <c r="L12" s="29"/>
    </row>
    <row r="13" spans="1:12" ht="16.5">
      <c r="A13" s="21" t="s">
        <v>154</v>
      </c>
      <c r="B13" s="28">
        <v>3</v>
      </c>
      <c r="C13" s="53">
        <v>10</v>
      </c>
      <c r="D13" s="53">
        <v>8.5</v>
      </c>
      <c r="E13" s="53">
        <v>6</v>
      </c>
      <c r="F13" s="53">
        <v>9.5</v>
      </c>
      <c r="G13" s="59">
        <f>(Completed[[#This Row],[Plot]]*'Vars and Stats'!$B$3+Completed[[#This Row],[Char.]]*'Vars and Stats'!$B$4+Completed[[#This Row],[Moe]]*'Vars and Stats'!$B$5+Completed[[#This Row],[Pref]]*'Vars and Stats'!$B$6)/'Vars and Stats'!$B$11</f>
        <v>9.1557788944723608</v>
      </c>
      <c r="H13" s="60">
        <f>IF('Vars and Stats'!$B$13="Y",10*(Completed[[#This Row],[Raw]]-'Vars and Stats'!$B$9)/'Vars and Stats'!$B$10, 10*Completed[[#This Row],[Raw]]/'Vars and Stats'!$B$8)</f>
        <v>9.1788413098236763</v>
      </c>
      <c r="I13" s="54">
        <v>41400</v>
      </c>
      <c r="J13" s="54">
        <v>41402</v>
      </c>
      <c r="K13" s="56" t="s">
        <v>158</v>
      </c>
      <c r="L13" s="40"/>
    </row>
    <row r="14" spans="1:12" ht="16.5">
      <c r="A14" s="21" t="s">
        <v>280</v>
      </c>
      <c r="B14" s="28">
        <v>1</v>
      </c>
      <c r="C14" s="53">
        <v>8.5</v>
      </c>
      <c r="D14" s="53">
        <v>9</v>
      </c>
      <c r="E14" s="53">
        <v>6.5</v>
      </c>
      <c r="F14" s="53">
        <v>9.5</v>
      </c>
      <c r="G14" s="59">
        <f>(Completed[[#This Row],[Plot]]*'Vars and Stats'!$B$3+Completed[[#This Row],[Char.]]*'Vars and Stats'!$B$4+Completed[[#This Row],[Moe]]*'Vars and Stats'!$B$5+Completed[[#This Row],[Pref]]*'Vars and Stats'!$B$6)/'Vars and Stats'!$B$11</f>
        <v>9.0389447236180906</v>
      </c>
      <c r="H14" s="60">
        <f>IF('Vars and Stats'!$B$13="Y",10*(Completed[[#This Row],[Raw]]-'Vars and Stats'!$B$9)/'Vars and Stats'!$B$10, 10*Completed[[#This Row],[Raw]]/'Vars and Stats'!$B$8)</f>
        <v>9.0617128463476053</v>
      </c>
      <c r="I14" s="54">
        <v>41555</v>
      </c>
      <c r="J14" s="54">
        <v>41720</v>
      </c>
      <c r="K14" s="56" t="s">
        <v>291</v>
      </c>
      <c r="L14" s="29" t="s">
        <v>395</v>
      </c>
    </row>
    <row r="15" spans="1:12" ht="16.5">
      <c r="A15" s="21" t="s">
        <v>116</v>
      </c>
      <c r="B15" s="28">
        <v>1</v>
      </c>
      <c r="C15" s="53">
        <v>9</v>
      </c>
      <c r="D15" s="53">
        <v>9.5</v>
      </c>
      <c r="E15" s="53">
        <v>6.5</v>
      </c>
      <c r="F15" s="53">
        <v>9</v>
      </c>
      <c r="G15" s="59">
        <f>(Completed[[#This Row],[Plot]]*'Vars and Stats'!$B$3+Completed[[#This Row],[Char.]]*'Vars and Stats'!$B$4+Completed[[#This Row],[Moe]]*'Vars and Stats'!$B$5+Completed[[#This Row],[Pref]]*'Vars and Stats'!$B$6)/'Vars and Stats'!$B$11</f>
        <v>9.0150753768844218</v>
      </c>
      <c r="H15" s="60">
        <f>IF('Vars and Stats'!$B$13="Y",10*(Completed[[#This Row],[Raw]]-'Vars and Stats'!$B$9)/'Vars and Stats'!$B$10, 10*Completed[[#This Row],[Raw]]/'Vars and Stats'!$B$8)</f>
        <v>9.0377833753148611</v>
      </c>
      <c r="I15" s="54">
        <v>41636</v>
      </c>
      <c r="J15" s="54">
        <v>41636</v>
      </c>
      <c r="K15" s="56" t="s">
        <v>368</v>
      </c>
      <c r="L15" s="29" t="s">
        <v>369</v>
      </c>
    </row>
    <row r="16" spans="1:12" ht="16.5">
      <c r="A16" s="21" t="s">
        <v>28</v>
      </c>
      <c r="B16" s="28">
        <v>1</v>
      </c>
      <c r="C16" s="53">
        <v>9</v>
      </c>
      <c r="D16" s="53">
        <v>9</v>
      </c>
      <c r="E16" s="53">
        <v>4</v>
      </c>
      <c r="F16" s="53">
        <v>9.5</v>
      </c>
      <c r="G16" s="59">
        <f>(Completed[[#This Row],[Plot]]*'Vars and Stats'!$B$3+Completed[[#This Row],[Char.]]*'Vars and Stats'!$B$4+Completed[[#This Row],[Moe]]*'Vars and Stats'!$B$5+Completed[[#This Row],[Pref]]*'Vars and Stats'!$B$6)/'Vars and Stats'!$B$11</f>
        <v>9.011306532663319</v>
      </c>
      <c r="H16" s="60">
        <f>IF('Vars and Stats'!$B$13="Y",10*(Completed[[#This Row],[Raw]]-'Vars and Stats'!$B$9)/'Vars and Stats'!$B$10, 10*Completed[[#This Row],[Raw]]/'Vars and Stats'!$B$8)</f>
        <v>9.0340050377833769</v>
      </c>
      <c r="I16" s="54">
        <v>41295</v>
      </c>
      <c r="J16" s="54">
        <v>41300</v>
      </c>
      <c r="K16" s="56" t="s">
        <v>160</v>
      </c>
      <c r="L16" s="29" t="s">
        <v>29</v>
      </c>
    </row>
    <row r="17" spans="1:12" ht="16.5">
      <c r="A17" s="21" t="s">
        <v>420</v>
      </c>
      <c r="B17" s="28">
        <v>1</v>
      </c>
      <c r="C17" s="53">
        <v>10</v>
      </c>
      <c r="D17" s="53">
        <v>9</v>
      </c>
      <c r="E17" s="53">
        <v>5</v>
      </c>
      <c r="F17" s="53">
        <v>9</v>
      </c>
      <c r="G17" s="70">
        <f>(Completed[[#This Row],[Plot]]*'Vars and Stats'!$B$3+Completed[[#This Row],[Char.]]*'Vars and Stats'!$B$4+Completed[[#This Row],[Moe]]*'Vars and Stats'!$B$5+Completed[[#This Row],[Pref]]*'Vars and Stats'!$B$6)/'Vars and Stats'!$B$11</f>
        <v>8.9924623115577891</v>
      </c>
      <c r="H17" s="71">
        <f>IF('Vars and Stats'!$B$13="Y",10*(Completed[[#This Row],[Raw]]-'Vars and Stats'!$B$9)/'Vars and Stats'!$B$10, 10*Completed[[#This Row],[Raw]]/'Vars and Stats'!$B$8)</f>
        <v>9.0151133501259437</v>
      </c>
      <c r="I17" s="49">
        <v>41796</v>
      </c>
      <c r="J17" s="54">
        <v>41816</v>
      </c>
      <c r="K17" s="56" t="s">
        <v>584</v>
      </c>
      <c r="L17" s="29"/>
    </row>
    <row r="18" spans="1:12" ht="16.5">
      <c r="A18" s="21" t="s">
        <v>282</v>
      </c>
      <c r="B18" s="28">
        <v>2</v>
      </c>
      <c r="C18" s="53">
        <v>9</v>
      </c>
      <c r="D18" s="53">
        <v>9.5</v>
      </c>
      <c r="E18" s="53">
        <v>6</v>
      </c>
      <c r="F18" s="53">
        <v>9</v>
      </c>
      <c r="G18" s="59">
        <f>(Completed[[#This Row],[Plot]]*'Vars and Stats'!$B$3+Completed[[#This Row],[Char.]]*'Vars and Stats'!$B$4+Completed[[#This Row],[Moe]]*'Vars and Stats'!$B$5+Completed[[#This Row],[Pref]]*'Vars and Stats'!$B$6)/'Vars and Stats'!$B$11</f>
        <v>8.991206030150753</v>
      </c>
      <c r="H18" s="60">
        <f>IF('Vars and Stats'!$B$13="Y",10*(Completed[[#This Row],[Raw]]-'Vars and Stats'!$B$9)/'Vars and Stats'!$B$10, 10*Completed[[#This Row],[Raw]]/'Vars and Stats'!$B$8)</f>
        <v>9.0138539042821133</v>
      </c>
      <c r="I18" s="54">
        <v>41553</v>
      </c>
      <c r="J18" s="54">
        <v>41632</v>
      </c>
      <c r="K18" s="56" t="s">
        <v>296</v>
      </c>
      <c r="L18" s="29"/>
    </row>
    <row r="19" spans="1:12" ht="16.5">
      <c r="A19" s="21" t="s">
        <v>111</v>
      </c>
      <c r="B19" s="28">
        <v>1</v>
      </c>
      <c r="C19" s="53">
        <v>9.5</v>
      </c>
      <c r="D19" s="53">
        <v>9</v>
      </c>
      <c r="E19" s="53">
        <v>6.5</v>
      </c>
      <c r="F19" s="53">
        <v>9</v>
      </c>
      <c r="G19" s="59">
        <f>(Completed[[#This Row],[Plot]]*'Vars and Stats'!$B$3+Completed[[#This Row],[Char.]]*'Vars and Stats'!$B$4+Completed[[#This Row],[Moe]]*'Vars and Stats'!$B$5+Completed[[#This Row],[Pref]]*'Vars and Stats'!$B$6)/'Vars and Stats'!$B$11</f>
        <v>8.9723618090452266</v>
      </c>
      <c r="H19" s="60">
        <f>IF('Vars and Stats'!$B$13="Y",10*(Completed[[#This Row],[Raw]]-'Vars and Stats'!$B$9)/'Vars and Stats'!$B$10, 10*Completed[[#This Row],[Raw]]/'Vars and Stats'!$B$8)</f>
        <v>8.9949622166246854</v>
      </c>
      <c r="I19" s="54">
        <v>41369</v>
      </c>
      <c r="J19" s="54">
        <v>41389</v>
      </c>
      <c r="K19" s="56" t="s">
        <v>158</v>
      </c>
      <c r="L19" s="29" t="s">
        <v>14</v>
      </c>
    </row>
    <row r="20" spans="1:12" ht="16.5">
      <c r="A20" s="21" t="s">
        <v>279</v>
      </c>
      <c r="B20" s="28">
        <v>1</v>
      </c>
      <c r="C20" s="53">
        <v>9</v>
      </c>
      <c r="D20" s="53">
        <v>8.5</v>
      </c>
      <c r="E20" s="53">
        <v>5</v>
      </c>
      <c r="F20" s="53">
        <v>9.5</v>
      </c>
      <c r="G20" s="59">
        <f>(Completed[[#This Row],[Plot]]*'Vars and Stats'!$B$3+Completed[[#This Row],[Char.]]*'Vars and Stats'!$B$4+Completed[[#This Row],[Moe]]*'Vars and Stats'!$B$5+Completed[[#This Row],[Pref]]*'Vars and Stats'!$B$6)/'Vars and Stats'!$B$11</f>
        <v>8.9246231155778908</v>
      </c>
      <c r="H20" s="60">
        <f>IF('Vars and Stats'!$B$13="Y",10*(Completed[[#This Row],[Raw]]-'Vars and Stats'!$B$9)/'Vars and Stats'!$B$10, 10*Completed[[#This Row],[Raw]]/'Vars and Stats'!$B$8)</f>
        <v>8.9471032745591934</v>
      </c>
      <c r="I20" s="54">
        <v>41555</v>
      </c>
      <c r="J20" s="54">
        <v>41726</v>
      </c>
      <c r="K20" s="56" t="s">
        <v>391</v>
      </c>
      <c r="L20" s="29" t="s">
        <v>392</v>
      </c>
    </row>
    <row r="21" spans="1:12" ht="16.5">
      <c r="A21" s="21" t="s">
        <v>117</v>
      </c>
      <c r="B21" s="28">
        <v>1</v>
      </c>
      <c r="C21" s="53">
        <v>9.5</v>
      </c>
      <c r="D21" s="53">
        <v>8.5</v>
      </c>
      <c r="E21" s="53">
        <v>3</v>
      </c>
      <c r="F21" s="53">
        <v>9.5</v>
      </c>
      <c r="G21" s="59">
        <f>(Completed[[#This Row],[Plot]]*'Vars and Stats'!$B$3+Completed[[#This Row],[Char.]]*'Vars and Stats'!$B$4+Completed[[#This Row],[Moe]]*'Vars and Stats'!$B$5+Completed[[#This Row],[Pref]]*'Vars and Stats'!$B$6)/'Vars and Stats'!$B$11</f>
        <v>8.9208542713567844</v>
      </c>
      <c r="H21" s="60">
        <f>IF('Vars and Stats'!$B$13="Y",10*(Completed[[#This Row],[Raw]]-'Vars and Stats'!$B$9)/'Vars and Stats'!$B$10, 10*Completed[[#This Row],[Raw]]/'Vars and Stats'!$B$8)</f>
        <v>8.9433249370277093</v>
      </c>
      <c r="I21" s="54">
        <v>41477</v>
      </c>
      <c r="J21" s="54">
        <v>41479</v>
      </c>
      <c r="K21" s="56" t="s">
        <v>191</v>
      </c>
      <c r="L21" s="29"/>
    </row>
    <row r="22" spans="1:12" ht="16.5">
      <c r="A22" s="21" t="s">
        <v>419</v>
      </c>
      <c r="B22" s="28">
        <v>1</v>
      </c>
      <c r="C22" s="53">
        <v>9.5</v>
      </c>
      <c r="D22" s="53">
        <v>8.5</v>
      </c>
      <c r="E22" s="53">
        <v>3</v>
      </c>
      <c r="F22" s="53">
        <v>9.5</v>
      </c>
      <c r="G22" s="70">
        <f>(Completed[[#This Row],[Plot]]*'Vars and Stats'!$B$3+Completed[[#This Row],[Char.]]*'Vars and Stats'!$B$4+Completed[[#This Row],[Moe]]*'Vars and Stats'!$B$5+Completed[[#This Row],[Pref]]*'Vars and Stats'!$B$6)/'Vars and Stats'!$B$11</f>
        <v>8.9208542713567844</v>
      </c>
      <c r="H22" s="71">
        <f>IF('Vars and Stats'!$B$13="Y",10*(Completed[[#This Row],[Raw]]-'Vars and Stats'!$B$9)/'Vars and Stats'!$B$10, 10*Completed[[#This Row],[Raw]]/'Vars and Stats'!$B$8)</f>
        <v>8.9433249370277093</v>
      </c>
      <c r="I22" s="118">
        <v>41750</v>
      </c>
      <c r="J22" s="54">
        <v>41817</v>
      </c>
      <c r="K22" s="55" t="s">
        <v>124</v>
      </c>
      <c r="L22" s="29" t="s">
        <v>585</v>
      </c>
    </row>
    <row r="23" spans="1:12" ht="16.5">
      <c r="A23" s="81" t="s">
        <v>418</v>
      </c>
      <c r="B23" s="82">
        <v>1</v>
      </c>
      <c r="C23" s="83">
        <v>9.5</v>
      </c>
      <c r="D23" s="83">
        <v>8.5</v>
      </c>
      <c r="E23" s="83">
        <v>7.5</v>
      </c>
      <c r="F23" s="83">
        <v>9</v>
      </c>
      <c r="G23" s="87">
        <f>(Completed[[#This Row],[Plot]]*'Vars and Stats'!$B$3+Completed[[#This Row],[Char.]]*'Vars and Stats'!$B$4+Completed[[#This Row],[Moe]]*'Vars and Stats'!$B$5+Completed[[#This Row],[Pref]]*'Vars and Stats'!$B$6)/'Vars and Stats'!$B$11</f>
        <v>8.8856783919598001</v>
      </c>
      <c r="H23" s="88">
        <f>IF('Vars and Stats'!$B$13="Y",10*(Completed[[#This Row],[Raw]]-'Vars and Stats'!$B$9)/'Vars and Stats'!$B$10, 10*Completed[[#This Row],[Raw]]/'Vars and Stats'!$B$8)</f>
        <v>8.9080604534005037</v>
      </c>
      <c r="I23" s="49">
        <v>41750</v>
      </c>
      <c r="J23" s="84">
        <v>41815</v>
      </c>
      <c r="K23" s="85" t="s">
        <v>583</v>
      </c>
      <c r="L23" s="86"/>
    </row>
    <row r="24" spans="1:12" ht="16.5">
      <c r="A24" s="21" t="s">
        <v>147</v>
      </c>
      <c r="B24" s="28">
        <v>1</v>
      </c>
      <c r="C24" s="53">
        <v>9</v>
      </c>
      <c r="D24" s="53">
        <v>9</v>
      </c>
      <c r="E24" s="53">
        <v>5.5</v>
      </c>
      <c r="F24" s="53">
        <v>9</v>
      </c>
      <c r="G24" s="59">
        <f>(Completed[[#This Row],[Plot]]*'Vars and Stats'!$B$3+Completed[[#This Row],[Char.]]*'Vars and Stats'!$B$4+Completed[[#This Row],[Moe]]*'Vars and Stats'!$B$5+Completed[[#This Row],[Pref]]*'Vars and Stats'!$B$6)/'Vars and Stats'!$B$11</f>
        <v>8.8329145728643219</v>
      </c>
      <c r="H24" s="60">
        <f>IF('Vars and Stats'!$B$13="Y",10*(Completed[[#This Row],[Raw]]-'Vars and Stats'!$B$9)/'Vars and Stats'!$B$10, 10*Completed[[#This Row],[Raw]]/'Vars and Stats'!$B$8)</f>
        <v>8.8551637279596989</v>
      </c>
      <c r="I24" s="54">
        <v>41280</v>
      </c>
      <c r="J24" s="54">
        <v>41281</v>
      </c>
      <c r="K24" s="56" t="s">
        <v>341</v>
      </c>
      <c r="L24" s="29"/>
    </row>
    <row r="25" spans="1:12" ht="16.5">
      <c r="A25" s="21" t="s">
        <v>182</v>
      </c>
      <c r="B25" s="28">
        <v>2</v>
      </c>
      <c r="C25" s="53">
        <v>9</v>
      </c>
      <c r="D25" s="53">
        <v>8.5</v>
      </c>
      <c r="E25" s="53">
        <v>3</v>
      </c>
      <c r="F25" s="53">
        <v>9.5</v>
      </c>
      <c r="G25" s="59">
        <f>(Completed[[#This Row],[Plot]]*'Vars and Stats'!$B$3+Completed[[#This Row],[Char.]]*'Vars and Stats'!$B$4+Completed[[#This Row],[Moe]]*'Vars and Stats'!$B$5+Completed[[#This Row],[Pref]]*'Vars and Stats'!$B$6)/'Vars and Stats'!$B$11</f>
        <v>8.8291457286432156</v>
      </c>
      <c r="H25" s="60">
        <f>IF('Vars and Stats'!$B$13="Y",10*(Completed[[#This Row],[Raw]]-'Vars and Stats'!$B$9)/'Vars and Stats'!$B$10, 10*Completed[[#This Row],[Raw]]/'Vars and Stats'!$B$8)</f>
        <v>8.8513853904282094</v>
      </c>
      <c r="I25" s="54">
        <v>41479</v>
      </c>
      <c r="J25" s="54">
        <v>41481</v>
      </c>
      <c r="K25" s="56" t="s">
        <v>191</v>
      </c>
      <c r="L25" s="29" t="s">
        <v>183</v>
      </c>
    </row>
    <row r="26" spans="1:12" ht="16.5">
      <c r="A26" s="21" t="s">
        <v>48</v>
      </c>
      <c r="B26" s="28">
        <v>1</v>
      </c>
      <c r="C26" s="53">
        <v>8.5</v>
      </c>
      <c r="D26" s="53">
        <v>9.5</v>
      </c>
      <c r="E26" s="53">
        <v>4.5</v>
      </c>
      <c r="F26" s="53">
        <v>9</v>
      </c>
      <c r="G26" s="59">
        <f>(Completed[[#This Row],[Plot]]*'Vars and Stats'!$B$3+Completed[[#This Row],[Char.]]*'Vars and Stats'!$B$4+Completed[[#This Row],[Moe]]*'Vars and Stats'!$B$5+Completed[[#This Row],[Pref]]*'Vars and Stats'!$B$6)/'Vars and Stats'!$B$11</f>
        <v>8.8278894472361831</v>
      </c>
      <c r="H26" s="60">
        <f>IF('Vars and Stats'!$B$13="Y",10*(Completed[[#This Row],[Raw]]-'Vars and Stats'!$B$9)/'Vars and Stats'!$B$10, 10*Completed[[#This Row],[Raw]]/'Vars and Stats'!$B$8)</f>
        <v>8.8501259445843843</v>
      </c>
      <c r="I26" s="54">
        <v>41304</v>
      </c>
      <c r="J26" s="54">
        <v>41312</v>
      </c>
      <c r="K26" s="56" t="s">
        <v>196</v>
      </c>
      <c r="L26" s="29" t="s">
        <v>49</v>
      </c>
    </row>
    <row r="27" spans="1:12" ht="16.5">
      <c r="A27" s="21" t="s">
        <v>250</v>
      </c>
      <c r="B27" s="28">
        <v>1</v>
      </c>
      <c r="C27" s="53">
        <v>9.5</v>
      </c>
      <c r="D27" s="53">
        <v>8.5</v>
      </c>
      <c r="E27" s="53">
        <v>6</v>
      </c>
      <c r="F27" s="53">
        <v>9</v>
      </c>
      <c r="G27" s="59">
        <f>(Completed[[#This Row],[Plot]]*'Vars and Stats'!$B$3+Completed[[#This Row],[Char.]]*'Vars and Stats'!$B$4+Completed[[#This Row],[Moe]]*'Vars and Stats'!$B$5+Completed[[#This Row],[Pref]]*'Vars and Stats'!$B$6)/'Vars and Stats'!$B$11</f>
        <v>8.8140703517587937</v>
      </c>
      <c r="H27" s="60">
        <f>IF('Vars and Stats'!$B$13="Y",10*(Completed[[#This Row],[Raw]]-'Vars and Stats'!$B$9)/'Vars and Stats'!$B$10, 10*Completed[[#This Row],[Raw]]/'Vars and Stats'!$B$8)</f>
        <v>8.8362720403022657</v>
      </c>
      <c r="I27" s="54">
        <v>41562</v>
      </c>
      <c r="J27" s="54">
        <v>41574</v>
      </c>
      <c r="K27" s="56" t="s">
        <v>292</v>
      </c>
      <c r="L27" s="29" t="s">
        <v>293</v>
      </c>
    </row>
    <row r="28" spans="1:12" ht="16.5">
      <c r="A28" s="21" t="s">
        <v>251</v>
      </c>
      <c r="B28" s="28">
        <v>1</v>
      </c>
      <c r="C28" s="53">
        <v>9</v>
      </c>
      <c r="D28" s="53">
        <v>9</v>
      </c>
      <c r="E28" s="53">
        <v>5</v>
      </c>
      <c r="F28" s="53">
        <v>9</v>
      </c>
      <c r="G28" s="59">
        <f>(Completed[[#This Row],[Plot]]*'Vars and Stats'!$B$3+Completed[[#This Row],[Char.]]*'Vars and Stats'!$B$4+Completed[[#This Row],[Moe]]*'Vars and Stats'!$B$5+Completed[[#This Row],[Pref]]*'Vars and Stats'!$B$6)/'Vars and Stats'!$B$11</f>
        <v>8.8090452261306531</v>
      </c>
      <c r="H28" s="60">
        <f>IF('Vars and Stats'!$B$13="Y",10*(Completed[[#This Row],[Raw]]-'Vars and Stats'!$B$9)/'Vars and Stats'!$B$10, 10*Completed[[#This Row],[Raw]]/'Vars and Stats'!$B$8)</f>
        <v>8.8312342569269511</v>
      </c>
      <c r="I28" s="54">
        <v>41537</v>
      </c>
      <c r="J28" s="57">
        <v>41559</v>
      </c>
      <c r="K28" s="56" t="s">
        <v>287</v>
      </c>
      <c r="L28" s="29"/>
    </row>
    <row r="29" spans="1:12" ht="16.5">
      <c r="A29" s="21" t="s">
        <v>107</v>
      </c>
      <c r="B29" s="28">
        <v>1</v>
      </c>
      <c r="C29" s="53">
        <v>8</v>
      </c>
      <c r="D29" s="53">
        <v>9.5</v>
      </c>
      <c r="E29" s="53">
        <v>6</v>
      </c>
      <c r="F29" s="53">
        <v>9</v>
      </c>
      <c r="G29" s="59">
        <f>(Completed[[#This Row],[Plot]]*'Vars and Stats'!$B$3+Completed[[#This Row],[Char.]]*'Vars and Stats'!$B$4+Completed[[#This Row],[Moe]]*'Vars and Stats'!$B$5+Completed[[#This Row],[Pref]]*'Vars and Stats'!$B$6)/'Vars and Stats'!$B$11</f>
        <v>8.8077889447236206</v>
      </c>
      <c r="H29" s="60">
        <f>IF('Vars and Stats'!$B$13="Y",10*(Completed[[#This Row],[Raw]]-'Vars and Stats'!$B$9)/'Vars and Stats'!$B$10, 10*Completed[[#This Row],[Raw]]/'Vars and Stats'!$B$8)</f>
        <v>8.829974811083126</v>
      </c>
      <c r="I29" s="54">
        <v>41286</v>
      </c>
      <c r="J29" s="54">
        <v>41292</v>
      </c>
      <c r="K29" s="56" t="s">
        <v>163</v>
      </c>
      <c r="L29" s="29"/>
    </row>
    <row r="30" spans="1:12" ht="16.5">
      <c r="A30" s="21" t="s">
        <v>482</v>
      </c>
      <c r="B30" s="28">
        <v>1</v>
      </c>
      <c r="C30" s="53">
        <v>10</v>
      </c>
      <c r="D30" s="53">
        <v>8</v>
      </c>
      <c r="E30" s="53">
        <v>1.5</v>
      </c>
      <c r="F30" s="53">
        <v>9.5</v>
      </c>
      <c r="G30" s="59">
        <f>(Completed[[#This Row],[Plot]]*'Vars and Stats'!$B$3+Completed[[#This Row],[Char.]]*'Vars and Stats'!$B$4+Completed[[#This Row],[Moe]]*'Vars and Stats'!$B$5+Completed[[#This Row],[Pref]]*'Vars and Stats'!$B$6)/'Vars and Stats'!$B$11</f>
        <v>8.8065326633165828</v>
      </c>
      <c r="H30" s="60">
        <f>IF('Vars and Stats'!$B$13="Y",10*(Completed[[#This Row],[Raw]]-'Vars and Stats'!$B$9)/'Vars and Stats'!$B$10, 10*Completed[[#This Row],[Raw]]/'Vars and Stats'!$B$8)</f>
        <v>8.8287153652392938</v>
      </c>
      <c r="I30" s="54">
        <v>41397</v>
      </c>
      <c r="J30" s="54">
        <v>41546</v>
      </c>
      <c r="K30" s="56" t="s">
        <v>275</v>
      </c>
      <c r="L30" s="29"/>
    </row>
    <row r="31" spans="1:12" ht="16.5">
      <c r="A31" s="21" t="s">
        <v>50</v>
      </c>
      <c r="B31" s="28">
        <v>1</v>
      </c>
      <c r="C31" s="53">
        <v>9</v>
      </c>
      <c r="D31" s="53">
        <v>9</v>
      </c>
      <c r="E31" s="53">
        <v>4.5</v>
      </c>
      <c r="F31" s="53">
        <v>9</v>
      </c>
      <c r="G31" s="59">
        <f>(Completed[[#This Row],[Plot]]*'Vars and Stats'!$B$3+Completed[[#This Row],[Char.]]*'Vars and Stats'!$B$4+Completed[[#This Row],[Moe]]*'Vars and Stats'!$B$5+Completed[[#This Row],[Pref]]*'Vars and Stats'!$B$6)/'Vars and Stats'!$B$11</f>
        <v>8.7851758793969861</v>
      </c>
      <c r="H31" s="60">
        <f>IF('Vars and Stats'!$B$13="Y",10*(Completed[[#This Row],[Raw]]-'Vars and Stats'!$B$9)/'Vars and Stats'!$B$10, 10*Completed[[#This Row],[Raw]]/'Vars and Stats'!$B$8)</f>
        <v>8.8073047858942068</v>
      </c>
      <c r="I31" s="54">
        <v>41645</v>
      </c>
      <c r="J31" s="54">
        <v>41645</v>
      </c>
      <c r="K31" s="56" t="s">
        <v>378</v>
      </c>
      <c r="L31" s="29" t="s">
        <v>377</v>
      </c>
    </row>
    <row r="32" spans="1:12" ht="16.5">
      <c r="A32" s="21" t="s">
        <v>24</v>
      </c>
      <c r="B32" s="28">
        <v>1</v>
      </c>
      <c r="C32" s="53">
        <v>8</v>
      </c>
      <c r="D32" s="53">
        <v>9.5</v>
      </c>
      <c r="E32" s="53">
        <v>5</v>
      </c>
      <c r="F32" s="53">
        <v>9</v>
      </c>
      <c r="G32" s="59">
        <f>(Completed[[#This Row],[Plot]]*'Vars and Stats'!$B$3+Completed[[#This Row],[Char.]]*'Vars and Stats'!$B$4+Completed[[#This Row],[Moe]]*'Vars and Stats'!$B$5+Completed[[#This Row],[Pref]]*'Vars and Stats'!$B$6)/'Vars and Stats'!$B$11</f>
        <v>8.7600502512562812</v>
      </c>
      <c r="H32" s="60">
        <f>IF('Vars and Stats'!$B$13="Y",10*(Completed[[#This Row],[Raw]]-'Vars and Stats'!$B$9)/'Vars and Stats'!$B$10, 10*Completed[[#This Row],[Raw]]/'Vars and Stats'!$B$8)</f>
        <v>8.7821158690176322</v>
      </c>
      <c r="I32" s="54">
        <v>41370</v>
      </c>
      <c r="J32" s="54">
        <v>41454</v>
      </c>
      <c r="K32" s="56" t="s">
        <v>192</v>
      </c>
      <c r="L32" s="29" t="s">
        <v>442</v>
      </c>
    </row>
    <row r="33" spans="1:12" ht="16.5">
      <c r="A33" s="21" t="s">
        <v>177</v>
      </c>
      <c r="B33" s="28">
        <v>1</v>
      </c>
      <c r="C33" s="53">
        <v>9.5</v>
      </c>
      <c r="D33" s="53">
        <v>8</v>
      </c>
      <c r="E33" s="53">
        <v>6</v>
      </c>
      <c r="F33" s="53">
        <v>9</v>
      </c>
      <c r="G33" s="59">
        <f>(Completed[[#This Row],[Plot]]*'Vars and Stats'!$B$3+Completed[[#This Row],[Char.]]*'Vars and Stats'!$B$4+Completed[[#This Row],[Moe]]*'Vars and Stats'!$B$5+Completed[[#This Row],[Pref]]*'Vars and Stats'!$B$6)/'Vars and Stats'!$B$11</f>
        <v>8.6796482412060314</v>
      </c>
      <c r="H33" s="60">
        <f>IF('Vars and Stats'!$B$13="Y",10*(Completed[[#This Row],[Raw]]-'Vars and Stats'!$B$9)/'Vars and Stats'!$B$10, 10*Completed[[#This Row],[Raw]]/'Vars and Stats'!$B$8)</f>
        <v>8.7015113350125954</v>
      </c>
      <c r="I33" s="54">
        <v>41530</v>
      </c>
      <c r="J33" s="54">
        <v>41532</v>
      </c>
      <c r="K33" s="56" t="s">
        <v>248</v>
      </c>
      <c r="L33" s="29" t="s">
        <v>249</v>
      </c>
    </row>
    <row r="34" spans="1:12" ht="16.5">
      <c r="A34" s="21" t="s">
        <v>32</v>
      </c>
      <c r="B34" s="28">
        <v>2</v>
      </c>
      <c r="C34" s="53">
        <v>8.5</v>
      </c>
      <c r="D34" s="53">
        <v>9</v>
      </c>
      <c r="E34" s="53">
        <v>4</v>
      </c>
      <c r="F34" s="53">
        <v>9</v>
      </c>
      <c r="G34" s="59">
        <f>(Completed[[#This Row],[Plot]]*'Vars and Stats'!$B$3+Completed[[#This Row],[Char.]]*'Vars and Stats'!$B$4+Completed[[#This Row],[Moe]]*'Vars and Stats'!$B$5+Completed[[#This Row],[Pref]]*'Vars and Stats'!$B$6)/'Vars and Stats'!$B$11</f>
        <v>8.6695979899497502</v>
      </c>
      <c r="H34" s="60">
        <f>IF('Vars and Stats'!$B$13="Y",10*(Completed[[#This Row],[Raw]]-'Vars and Stats'!$B$9)/'Vars and Stats'!$B$10, 10*Completed[[#This Row],[Raw]]/'Vars and Stats'!$B$8)</f>
        <v>8.6914357682619663</v>
      </c>
      <c r="I34" s="54">
        <v>41358</v>
      </c>
      <c r="J34" s="54">
        <v>41359</v>
      </c>
      <c r="K34" s="56" t="s">
        <v>189</v>
      </c>
      <c r="L34" s="29"/>
    </row>
    <row r="35" spans="1:12" ht="16.5">
      <c r="A35" s="21" t="s">
        <v>40</v>
      </c>
      <c r="B35" s="28">
        <v>1</v>
      </c>
      <c r="C35" s="53">
        <v>8.5</v>
      </c>
      <c r="D35" s="53">
        <v>9</v>
      </c>
      <c r="E35" s="53">
        <v>4</v>
      </c>
      <c r="F35" s="53">
        <v>9</v>
      </c>
      <c r="G35" s="59">
        <f>(Completed[[#This Row],[Plot]]*'Vars and Stats'!$B$3+Completed[[#This Row],[Char.]]*'Vars and Stats'!$B$4+Completed[[#This Row],[Moe]]*'Vars and Stats'!$B$5+Completed[[#This Row],[Pref]]*'Vars and Stats'!$B$6)/'Vars and Stats'!$B$11</f>
        <v>8.6695979899497502</v>
      </c>
      <c r="H35" s="60">
        <f>IF('Vars and Stats'!$B$13="Y",10*(Completed[[#This Row],[Raw]]-'Vars and Stats'!$B$9)/'Vars and Stats'!$B$10, 10*Completed[[#This Row],[Raw]]/'Vars and Stats'!$B$8)</f>
        <v>8.6914357682619663</v>
      </c>
      <c r="I35" s="54">
        <v>41328</v>
      </c>
      <c r="J35" s="54">
        <v>41329</v>
      </c>
      <c r="K35" s="56" t="s">
        <v>190</v>
      </c>
      <c r="L35" s="29"/>
    </row>
    <row r="36" spans="1:12" ht="16.5">
      <c r="A36" s="21" t="s">
        <v>174</v>
      </c>
      <c r="B36" s="28">
        <v>1</v>
      </c>
      <c r="C36" s="53">
        <v>8</v>
      </c>
      <c r="D36" s="53">
        <v>9</v>
      </c>
      <c r="E36" s="53">
        <v>5.5</v>
      </c>
      <c r="F36" s="53">
        <v>9</v>
      </c>
      <c r="G36" s="59">
        <f>(Completed[[#This Row],[Plot]]*'Vars and Stats'!$B$3+Completed[[#This Row],[Char.]]*'Vars and Stats'!$B$4+Completed[[#This Row],[Moe]]*'Vars and Stats'!$B$5+Completed[[#This Row],[Pref]]*'Vars and Stats'!$B$6)/'Vars and Stats'!$B$11</f>
        <v>8.6494974874371859</v>
      </c>
      <c r="H36" s="60">
        <f>IF('Vars and Stats'!$B$13="Y",10*(Completed[[#This Row],[Raw]]-'Vars and Stats'!$B$9)/'Vars and Stats'!$B$10, 10*Completed[[#This Row],[Raw]]/'Vars and Stats'!$B$8)</f>
        <v>8.6712846347607044</v>
      </c>
      <c r="I36" s="54">
        <v>41461</v>
      </c>
      <c r="J36" s="54">
        <v>41543</v>
      </c>
      <c r="K36" s="56" t="s">
        <v>271</v>
      </c>
      <c r="L36" s="29" t="s">
        <v>272</v>
      </c>
    </row>
    <row r="37" spans="1:12" ht="16.5">
      <c r="A37" s="21" t="s">
        <v>153</v>
      </c>
      <c r="B37" s="28">
        <v>2</v>
      </c>
      <c r="C37" s="53">
        <v>9</v>
      </c>
      <c r="D37" s="53">
        <v>9</v>
      </c>
      <c r="E37" s="53">
        <v>6.5</v>
      </c>
      <c r="F37" s="53">
        <v>8.5</v>
      </c>
      <c r="G37" s="59">
        <f>(Completed[[#This Row],[Plot]]*'Vars and Stats'!$B$3+Completed[[#This Row],[Char.]]*'Vars and Stats'!$B$4+Completed[[#This Row],[Moe]]*'Vars and Stats'!$B$5+Completed[[#This Row],[Pref]]*'Vars and Stats'!$B$6)/'Vars and Stats'!$B$11</f>
        <v>8.6306532663316595</v>
      </c>
      <c r="H37" s="60">
        <f>IF('Vars and Stats'!$B$13="Y",10*(Completed[[#This Row],[Raw]]-'Vars and Stats'!$B$9)/'Vars and Stats'!$B$10, 10*Completed[[#This Row],[Raw]]/'Vars and Stats'!$B$8)</f>
        <v>8.6523929471032766</v>
      </c>
      <c r="I37" s="54">
        <v>41395</v>
      </c>
      <c r="J37" s="54">
        <v>41400</v>
      </c>
      <c r="K37" s="56" t="s">
        <v>158</v>
      </c>
      <c r="L37" s="29" t="s">
        <v>467</v>
      </c>
    </row>
    <row r="38" spans="1:12" ht="16.5">
      <c r="A38" s="21" t="s">
        <v>372</v>
      </c>
      <c r="B38" s="28">
        <v>1</v>
      </c>
      <c r="C38" s="53">
        <v>4</v>
      </c>
      <c r="D38" s="53">
        <v>9</v>
      </c>
      <c r="E38" s="53">
        <v>9.5</v>
      </c>
      <c r="F38" s="53">
        <v>10</v>
      </c>
      <c r="G38" s="59">
        <f>(Completed[[#This Row],[Plot]]*'Vars and Stats'!$B$3+Completed[[#This Row],[Char.]]*'Vars and Stats'!$B$4+Completed[[#This Row],[Moe]]*'Vars and Stats'!$B$5+Completed[[#This Row],[Pref]]*'Vars and Stats'!$B$6)/'Vars and Stats'!$B$11</f>
        <v>8.6067839195979889</v>
      </c>
      <c r="H38" s="60">
        <f>IF('Vars and Stats'!$B$13="Y",10*(Completed[[#This Row],[Raw]]-'Vars and Stats'!$B$9)/'Vars and Stats'!$B$10, 10*Completed[[#This Row],[Raw]]/'Vars and Stats'!$B$8)</f>
        <v>8.628463476070527</v>
      </c>
      <c r="I38" s="54">
        <v>41638</v>
      </c>
      <c r="J38" s="54">
        <v>41641</v>
      </c>
      <c r="K38" s="56" t="s">
        <v>373</v>
      </c>
      <c r="L38" s="29"/>
    </row>
    <row r="39" spans="1:12" ht="16.5">
      <c r="A39" s="21" t="s">
        <v>457</v>
      </c>
      <c r="B39" s="28">
        <v>1</v>
      </c>
      <c r="C39" s="53">
        <v>7.5</v>
      </c>
      <c r="D39" s="53">
        <v>9</v>
      </c>
      <c r="E39" s="53">
        <v>6</v>
      </c>
      <c r="F39" s="53">
        <v>9</v>
      </c>
      <c r="G39" s="59">
        <f>(Completed[[#This Row],[Plot]]*'Vars and Stats'!$B$3+Completed[[#This Row],[Char.]]*'Vars and Stats'!$B$4+Completed[[#This Row],[Moe]]*'Vars and Stats'!$B$5+Completed[[#This Row],[Pref]]*'Vars and Stats'!$B$6)/'Vars and Stats'!$B$11</f>
        <v>8.5816582914572859</v>
      </c>
      <c r="H39" s="60">
        <f>IF('Vars and Stats'!$B$13="Y",10*(Completed[[#This Row],[Raw]]-'Vars and Stats'!$B$9)/'Vars and Stats'!$B$10, 10*Completed[[#This Row],[Raw]]/'Vars and Stats'!$B$8)</f>
        <v>8.6032745591939541</v>
      </c>
      <c r="I39" s="54">
        <v>41436</v>
      </c>
      <c r="J39" s="54">
        <v>41438</v>
      </c>
      <c r="K39" s="56" t="s">
        <v>193</v>
      </c>
      <c r="L39" s="40"/>
    </row>
    <row r="40" spans="1:12" ht="16.5">
      <c r="A40" s="21" t="s">
        <v>88</v>
      </c>
      <c r="B40" s="28">
        <v>1</v>
      </c>
      <c r="C40" s="53">
        <v>5</v>
      </c>
      <c r="D40" s="53">
        <v>9</v>
      </c>
      <c r="E40" s="53">
        <v>10</v>
      </c>
      <c r="F40" s="53">
        <v>9.5</v>
      </c>
      <c r="G40" s="59">
        <f>(Completed[[#This Row],[Plot]]*'Vars and Stats'!$B$3+Completed[[#This Row],[Char.]]*'Vars and Stats'!$B$4+Completed[[#This Row],[Moe]]*'Vars and Stats'!$B$5+Completed[[#This Row],[Pref]]*'Vars and Stats'!$B$6)/'Vars and Stats'!$B$11</f>
        <v>8.5640703517587937</v>
      </c>
      <c r="H40" s="60">
        <f>IF('Vars and Stats'!$B$13="Y",10*(Completed[[#This Row],[Raw]]-'Vars and Stats'!$B$9)/'Vars and Stats'!$B$10, 10*Completed[[#This Row],[Raw]]/'Vars and Stats'!$B$8)</f>
        <v>8.5856423173803513</v>
      </c>
      <c r="I40" s="54">
        <v>41316</v>
      </c>
      <c r="J40" s="54">
        <v>41316</v>
      </c>
      <c r="K40" s="56" t="s">
        <v>216</v>
      </c>
      <c r="L40" s="29" t="s">
        <v>89</v>
      </c>
    </row>
    <row r="41" spans="1:12" ht="16.5">
      <c r="A41" s="21" t="s">
        <v>458</v>
      </c>
      <c r="B41" s="28">
        <v>2</v>
      </c>
      <c r="C41" s="53">
        <v>8.5</v>
      </c>
      <c r="D41" s="53">
        <v>8.5</v>
      </c>
      <c r="E41" s="53">
        <v>4.5</v>
      </c>
      <c r="F41" s="53">
        <v>9</v>
      </c>
      <c r="G41" s="59">
        <f>(Completed[[#This Row],[Plot]]*'Vars and Stats'!$B$3+Completed[[#This Row],[Char.]]*'Vars and Stats'!$B$4+Completed[[#This Row],[Moe]]*'Vars and Stats'!$B$5+Completed[[#This Row],[Pref]]*'Vars and Stats'!$B$6)/'Vars and Stats'!$B$11</f>
        <v>8.5590452261306531</v>
      </c>
      <c r="H41" s="60">
        <f>IF('Vars and Stats'!$B$13="Y",10*(Completed[[#This Row],[Raw]]-'Vars and Stats'!$B$9)/'Vars and Stats'!$B$10, 10*Completed[[#This Row],[Raw]]/'Vars and Stats'!$B$8)</f>
        <v>8.5806045340050368</v>
      </c>
      <c r="I41" s="54">
        <v>41473</v>
      </c>
      <c r="J41" s="54">
        <v>41546</v>
      </c>
      <c r="K41" s="56" t="s">
        <v>193</v>
      </c>
      <c r="L41" s="29"/>
    </row>
    <row r="42" spans="1:12" ht="16.5">
      <c r="A42" s="21" t="s">
        <v>233</v>
      </c>
      <c r="B42" s="28">
        <v>1</v>
      </c>
      <c r="C42" s="53">
        <v>9.5</v>
      </c>
      <c r="D42" s="53">
        <v>7.5</v>
      </c>
      <c r="E42" s="53">
        <v>5</v>
      </c>
      <c r="F42" s="53">
        <v>9</v>
      </c>
      <c r="G42" s="59">
        <f>(Completed[[#This Row],[Plot]]*'Vars and Stats'!$B$3+Completed[[#This Row],[Char.]]*'Vars and Stats'!$B$4+Completed[[#This Row],[Moe]]*'Vars and Stats'!$B$5+Completed[[#This Row],[Pref]]*'Vars and Stats'!$B$6)/'Vars and Stats'!$B$11</f>
        <v>8.4974874371859297</v>
      </c>
      <c r="H42" s="60">
        <f>IF('Vars and Stats'!$B$13="Y",10*(Completed[[#This Row],[Raw]]-'Vars and Stats'!$B$9)/'Vars and Stats'!$B$10, 10*Completed[[#This Row],[Raw]]/'Vars and Stats'!$B$8)</f>
        <v>8.5188916876574314</v>
      </c>
      <c r="I42" s="54">
        <v>41485</v>
      </c>
      <c r="J42" s="54">
        <v>41491</v>
      </c>
      <c r="K42" s="56" t="s">
        <v>234</v>
      </c>
      <c r="L42" s="29" t="s">
        <v>247</v>
      </c>
    </row>
    <row r="43" spans="1:12" ht="16.5">
      <c r="A43" s="21" t="s">
        <v>133</v>
      </c>
      <c r="B43" s="28">
        <v>2</v>
      </c>
      <c r="C43" s="53">
        <v>9</v>
      </c>
      <c r="D43" s="53">
        <v>8</v>
      </c>
      <c r="E43" s="53">
        <v>4</v>
      </c>
      <c r="F43" s="53">
        <v>9</v>
      </c>
      <c r="G43" s="59">
        <f>(Completed[[#This Row],[Plot]]*'Vars and Stats'!$B$3+Completed[[#This Row],[Char.]]*'Vars and Stats'!$B$4+Completed[[#This Row],[Moe]]*'Vars and Stats'!$B$5+Completed[[#This Row],[Pref]]*'Vars and Stats'!$B$6)/'Vars and Stats'!$B$11</f>
        <v>8.4924623115577891</v>
      </c>
      <c r="H43" s="60">
        <f>IF('Vars and Stats'!$B$13="Y",10*(Completed[[#This Row],[Raw]]-'Vars and Stats'!$B$9)/'Vars and Stats'!$B$10, 10*Completed[[#This Row],[Raw]]/'Vars and Stats'!$B$8)</f>
        <v>8.5138539042821151</v>
      </c>
      <c r="I43" s="54">
        <v>41468</v>
      </c>
      <c r="J43" s="54">
        <v>41470</v>
      </c>
      <c r="K43" s="56" t="s">
        <v>193</v>
      </c>
      <c r="L43" s="40" t="s">
        <v>181</v>
      </c>
    </row>
    <row r="44" spans="1:12" ht="16.5">
      <c r="A44" s="21" t="s">
        <v>22</v>
      </c>
      <c r="B44" s="28">
        <v>1</v>
      </c>
      <c r="C44" s="53">
        <v>8</v>
      </c>
      <c r="D44" s="53">
        <v>8.5</v>
      </c>
      <c r="E44" s="53">
        <v>5</v>
      </c>
      <c r="F44" s="53">
        <v>9</v>
      </c>
      <c r="G44" s="59">
        <f>(Completed[[#This Row],[Plot]]*'Vars and Stats'!$B$3+Completed[[#This Row],[Char.]]*'Vars and Stats'!$B$4+Completed[[#This Row],[Moe]]*'Vars and Stats'!$B$5+Completed[[#This Row],[Pref]]*'Vars and Stats'!$B$6)/'Vars and Stats'!$B$11</f>
        <v>8.4912060301507548</v>
      </c>
      <c r="H44" s="60">
        <f>IF('Vars and Stats'!$B$13="Y",10*(Completed[[#This Row],[Raw]]-'Vars and Stats'!$B$9)/'Vars and Stats'!$B$10, 10*Completed[[#This Row],[Raw]]/'Vars and Stats'!$B$8)</f>
        <v>8.5125944584382882</v>
      </c>
      <c r="I44" s="54">
        <v>41371</v>
      </c>
      <c r="J44" s="54">
        <v>41452</v>
      </c>
      <c r="K44" s="56" t="s">
        <v>198</v>
      </c>
      <c r="L44" s="29"/>
    </row>
    <row r="45" spans="1:12" ht="16.5">
      <c r="A45" s="21" t="s">
        <v>427</v>
      </c>
      <c r="B45" s="28">
        <v>1</v>
      </c>
      <c r="C45" s="53">
        <v>8.5</v>
      </c>
      <c r="D45" s="53">
        <v>9</v>
      </c>
      <c r="E45" s="53">
        <v>5.5</v>
      </c>
      <c r="F45" s="53">
        <v>8.5</v>
      </c>
      <c r="G45" s="70">
        <f>(Completed[[#This Row],[Plot]]*'Vars and Stats'!$B$3+Completed[[#This Row],[Char.]]*'Vars and Stats'!$B$4+Completed[[#This Row],[Moe]]*'Vars and Stats'!$B$5+Completed[[#This Row],[Pref]]*'Vars and Stats'!$B$6)/'Vars and Stats'!$B$11</f>
        <v>8.4912060301507548</v>
      </c>
      <c r="H45" s="71">
        <f>IF('Vars and Stats'!$B$13="Y",10*(Completed[[#This Row],[Raw]]-'Vars and Stats'!$B$9)/'Vars and Stats'!$B$10, 10*Completed[[#This Row],[Raw]]/'Vars and Stats'!$B$8)</f>
        <v>8.5125944584382882</v>
      </c>
      <c r="I45" s="54">
        <v>41785</v>
      </c>
      <c r="J45" s="54">
        <v>41818</v>
      </c>
      <c r="K45" s="56" t="s">
        <v>588</v>
      </c>
      <c r="L45" s="29" t="s">
        <v>587</v>
      </c>
    </row>
    <row r="46" spans="1:12" ht="16.5">
      <c r="A46" s="21" t="s">
        <v>413</v>
      </c>
      <c r="B46" s="28">
        <v>1</v>
      </c>
      <c r="C46" s="53">
        <v>4.5</v>
      </c>
      <c r="D46" s="53">
        <v>9</v>
      </c>
      <c r="E46" s="53">
        <v>10</v>
      </c>
      <c r="F46" s="53">
        <v>9.5</v>
      </c>
      <c r="G46" s="70">
        <f>(Completed[[#This Row],[Plot]]*'Vars and Stats'!$B$3+Completed[[#This Row],[Char.]]*'Vars and Stats'!$B$4+Completed[[#This Row],[Moe]]*'Vars and Stats'!$B$5+Completed[[#This Row],[Pref]]*'Vars and Stats'!$B$6)/'Vars and Stats'!$B$11</f>
        <v>8.4723618090452266</v>
      </c>
      <c r="H46" s="71">
        <f>IF('Vars and Stats'!$B$13="Y",10*(Completed[[#This Row],[Raw]]-'Vars and Stats'!$B$9)/'Vars and Stats'!$B$10, 10*Completed[[#This Row],[Raw]]/'Vars and Stats'!$B$8)</f>
        <v>8.4937027707808568</v>
      </c>
      <c r="I46" s="54">
        <v>41762</v>
      </c>
      <c r="J46" s="54">
        <v>41820</v>
      </c>
      <c r="K46" s="56" t="s">
        <v>590</v>
      </c>
      <c r="L46" s="29"/>
    </row>
    <row r="47" spans="1:12" ht="16.5">
      <c r="A47" s="21" t="s">
        <v>429</v>
      </c>
      <c r="B47" s="28">
        <v>1</v>
      </c>
      <c r="C47" s="53">
        <v>9</v>
      </c>
      <c r="D47" s="53">
        <v>8.5</v>
      </c>
      <c r="E47" s="53">
        <v>5.5</v>
      </c>
      <c r="F47" s="53">
        <v>8.5</v>
      </c>
      <c r="G47" s="70">
        <f>(Completed[[#This Row],[Plot]]*'Vars and Stats'!$B$3+Completed[[#This Row],[Char.]]*'Vars and Stats'!$B$4+Completed[[#This Row],[Moe]]*'Vars and Stats'!$B$5+Completed[[#This Row],[Pref]]*'Vars and Stats'!$B$6)/'Vars and Stats'!$B$11</f>
        <v>8.4484924623115578</v>
      </c>
      <c r="H47" s="71">
        <f>IF('Vars and Stats'!$B$13="Y",10*(Completed[[#This Row],[Raw]]-'Vars and Stats'!$B$9)/'Vars and Stats'!$B$10, 10*Completed[[#This Row],[Raw]]/'Vars and Stats'!$B$8)</f>
        <v>8.4697732997481108</v>
      </c>
      <c r="I47" s="57">
        <v>41786</v>
      </c>
      <c r="J47" s="54">
        <v>41812</v>
      </c>
      <c r="K47" s="56" t="s">
        <v>577</v>
      </c>
      <c r="L47" s="29"/>
    </row>
    <row r="48" spans="1:12" ht="16.5">
      <c r="A48" s="21" t="s">
        <v>151</v>
      </c>
      <c r="B48" s="28">
        <v>1</v>
      </c>
      <c r="C48" s="53">
        <v>8.5</v>
      </c>
      <c r="D48" s="53">
        <v>8</v>
      </c>
      <c r="E48" s="53">
        <v>5</v>
      </c>
      <c r="F48" s="53">
        <v>9</v>
      </c>
      <c r="G48" s="59">
        <f>(Completed[[#This Row],[Plot]]*'Vars and Stats'!$B$3+Completed[[#This Row],[Char.]]*'Vars and Stats'!$B$4+Completed[[#This Row],[Moe]]*'Vars and Stats'!$B$5+Completed[[#This Row],[Pref]]*'Vars and Stats'!$B$6)/'Vars and Stats'!$B$11</f>
        <v>8.4484924623115578</v>
      </c>
      <c r="H48" s="60">
        <f>IF('Vars and Stats'!$B$13="Y",10*(Completed[[#This Row],[Raw]]-'Vars and Stats'!$B$9)/'Vars and Stats'!$B$10, 10*Completed[[#This Row],[Raw]]/'Vars and Stats'!$B$8)</f>
        <v>8.4697732997481108</v>
      </c>
      <c r="I48" s="54">
        <v>41261</v>
      </c>
      <c r="J48" s="54">
        <v>41359</v>
      </c>
      <c r="K48" s="56" t="s">
        <v>161</v>
      </c>
      <c r="L48" s="40"/>
    </row>
    <row r="49" spans="1:12" ht="16.5">
      <c r="A49" s="21" t="s">
        <v>374</v>
      </c>
      <c r="B49" s="28">
        <v>1</v>
      </c>
      <c r="C49" s="53">
        <v>9</v>
      </c>
      <c r="D49" s="53">
        <v>8.5</v>
      </c>
      <c r="E49" s="53">
        <v>5</v>
      </c>
      <c r="F49" s="53">
        <v>8.5</v>
      </c>
      <c r="G49" s="59">
        <f>(Completed[[#This Row],[Plot]]*'Vars and Stats'!$B$3+Completed[[#This Row],[Char.]]*'Vars and Stats'!$B$4+Completed[[#This Row],[Moe]]*'Vars and Stats'!$B$5+Completed[[#This Row],[Pref]]*'Vars and Stats'!$B$6)/'Vars and Stats'!$B$11</f>
        <v>8.424623115577889</v>
      </c>
      <c r="H49" s="60">
        <f>IF('Vars and Stats'!$B$13="Y",10*(Completed[[#This Row],[Raw]]-'Vars and Stats'!$B$9)/'Vars and Stats'!$B$10, 10*Completed[[#This Row],[Raw]]/'Vars and Stats'!$B$8)</f>
        <v>8.4458438287153648</v>
      </c>
      <c r="I49" s="54">
        <v>41647</v>
      </c>
      <c r="J49" s="54">
        <v>41726</v>
      </c>
      <c r="K49" s="56" t="s">
        <v>394</v>
      </c>
      <c r="L49" s="29"/>
    </row>
    <row r="50" spans="1:12" ht="16.5">
      <c r="A50" s="21" t="s">
        <v>150</v>
      </c>
      <c r="B50" s="28">
        <v>2</v>
      </c>
      <c r="C50" s="53">
        <v>6.5</v>
      </c>
      <c r="D50" s="53">
        <v>7.5</v>
      </c>
      <c r="E50" s="53">
        <v>9</v>
      </c>
      <c r="F50" s="53">
        <v>9.5</v>
      </c>
      <c r="G50" s="59">
        <f>(Completed[[#This Row],[Plot]]*'Vars and Stats'!$B$3+Completed[[#This Row],[Char.]]*'Vars and Stats'!$B$4+Completed[[#This Row],[Moe]]*'Vars and Stats'!$B$5+Completed[[#This Row],[Pref]]*'Vars and Stats'!$B$6)/'Vars and Stats'!$B$11</f>
        <v>8.3881909547738704</v>
      </c>
      <c r="H50" s="60">
        <f>IF('Vars and Stats'!$B$13="Y",10*(Completed[[#This Row],[Raw]]-'Vars and Stats'!$B$9)/'Vars and Stats'!$B$10, 10*Completed[[#This Row],[Raw]]/'Vars and Stats'!$B$8)</f>
        <v>8.4093198992443323</v>
      </c>
      <c r="I50" s="54">
        <v>41338</v>
      </c>
      <c r="J50" s="54">
        <v>41340</v>
      </c>
      <c r="K50" s="56" t="s">
        <v>166</v>
      </c>
      <c r="L50" s="29" t="s">
        <v>53</v>
      </c>
    </row>
    <row r="51" spans="1:12" ht="16.5">
      <c r="A51" s="21" t="s">
        <v>276</v>
      </c>
      <c r="B51" s="28">
        <v>1</v>
      </c>
      <c r="C51" s="53">
        <v>8.5</v>
      </c>
      <c r="D51" s="53">
        <v>8.5</v>
      </c>
      <c r="E51" s="53">
        <v>6</v>
      </c>
      <c r="F51" s="53">
        <v>8.5</v>
      </c>
      <c r="G51" s="59">
        <f>(Completed[[#This Row],[Plot]]*'Vars and Stats'!$B$3+Completed[[#This Row],[Char.]]*'Vars and Stats'!$B$4+Completed[[#This Row],[Moe]]*'Vars and Stats'!$B$5+Completed[[#This Row],[Pref]]*'Vars and Stats'!$B$6)/'Vars and Stats'!$B$11</f>
        <v>8.3806532663316595</v>
      </c>
      <c r="H51" s="60">
        <f>IF('Vars and Stats'!$B$13="Y",10*(Completed[[#This Row],[Raw]]-'Vars and Stats'!$B$9)/'Vars and Stats'!$B$10, 10*Completed[[#This Row],[Raw]]/'Vars and Stats'!$B$8)</f>
        <v>8.4017632241813622</v>
      </c>
      <c r="I51" s="54">
        <v>41550</v>
      </c>
      <c r="J51" s="54">
        <v>41628</v>
      </c>
      <c r="K51" s="56" t="s">
        <v>343</v>
      </c>
      <c r="L51" s="29" t="s">
        <v>443</v>
      </c>
    </row>
    <row r="52" spans="1:12" ht="16.5">
      <c r="A52" s="21" t="s">
        <v>149</v>
      </c>
      <c r="B52" s="28">
        <v>1</v>
      </c>
      <c r="C52" s="53">
        <v>4</v>
      </c>
      <c r="D52" s="53">
        <v>9</v>
      </c>
      <c r="E52" s="53">
        <v>10</v>
      </c>
      <c r="F52" s="53">
        <v>9.5</v>
      </c>
      <c r="G52" s="59">
        <f>(Completed[[#This Row],[Plot]]*'Vars and Stats'!$B$3+Completed[[#This Row],[Char.]]*'Vars and Stats'!$B$4+Completed[[#This Row],[Moe]]*'Vars and Stats'!$B$5+Completed[[#This Row],[Pref]]*'Vars and Stats'!$B$6)/'Vars and Stats'!$B$11</f>
        <v>8.3806532663316595</v>
      </c>
      <c r="H52" s="60">
        <f>IF('Vars and Stats'!$B$13="Y",10*(Completed[[#This Row],[Raw]]-'Vars and Stats'!$B$9)/'Vars and Stats'!$B$10, 10*Completed[[#This Row],[Raw]]/'Vars and Stats'!$B$8)</f>
        <v>8.4017632241813622</v>
      </c>
      <c r="I52" s="54">
        <v>41300</v>
      </c>
      <c r="J52" s="54">
        <v>41302</v>
      </c>
      <c r="K52" s="56" t="s">
        <v>215</v>
      </c>
      <c r="L52" s="29" t="s">
        <v>91</v>
      </c>
    </row>
    <row r="53" spans="1:12" ht="16.5">
      <c r="A53" s="21" t="s">
        <v>45</v>
      </c>
      <c r="B53" s="28">
        <v>1</v>
      </c>
      <c r="C53" s="53">
        <v>9</v>
      </c>
      <c r="D53" s="53">
        <v>8.5</v>
      </c>
      <c r="E53" s="53">
        <v>3</v>
      </c>
      <c r="F53" s="53">
        <v>8.5</v>
      </c>
      <c r="G53" s="59">
        <f>(Completed[[#This Row],[Plot]]*'Vars and Stats'!$B$3+Completed[[#This Row],[Char.]]*'Vars and Stats'!$B$4+Completed[[#This Row],[Moe]]*'Vars and Stats'!$B$5+Completed[[#This Row],[Pref]]*'Vars and Stats'!$B$6)/'Vars and Stats'!$B$11</f>
        <v>8.3291457286432156</v>
      </c>
      <c r="H53" s="60">
        <f>IF('Vars and Stats'!$B$13="Y",10*(Completed[[#This Row],[Raw]]-'Vars and Stats'!$B$9)/'Vars and Stats'!$B$10, 10*Completed[[#This Row],[Raw]]/'Vars and Stats'!$B$8)</f>
        <v>8.3501259445843807</v>
      </c>
      <c r="I53" s="54">
        <v>41411</v>
      </c>
      <c r="J53" s="54">
        <v>41413</v>
      </c>
      <c r="K53" s="56" t="s">
        <v>195</v>
      </c>
      <c r="L53" s="29"/>
    </row>
    <row r="54" spans="1:12" ht="16.5">
      <c r="A54" s="21" t="s">
        <v>227</v>
      </c>
      <c r="B54" s="28">
        <v>2</v>
      </c>
      <c r="C54" s="53">
        <v>9</v>
      </c>
      <c r="D54" s="53">
        <v>8</v>
      </c>
      <c r="E54" s="53">
        <v>5.5</v>
      </c>
      <c r="F54" s="53">
        <v>8.5</v>
      </c>
      <c r="G54" s="59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4" s="60">
        <f>IF('Vars and Stats'!$B$13="Y",10*(Completed[[#This Row],[Raw]]-'Vars and Stats'!$B$9)/'Vars and Stats'!$B$10, 10*Completed[[#This Row],[Raw]]/'Vars and Stats'!$B$8)</f>
        <v>8.3350125944584388</v>
      </c>
      <c r="I54" s="54">
        <v>41633</v>
      </c>
      <c r="J54" s="54">
        <v>41635</v>
      </c>
      <c r="K54" s="56" t="s">
        <v>362</v>
      </c>
      <c r="L54" s="29" t="s">
        <v>363</v>
      </c>
    </row>
    <row r="55" spans="1:12" ht="16.5">
      <c r="A55" s="21" t="s">
        <v>370</v>
      </c>
      <c r="B55" s="28">
        <v>2</v>
      </c>
      <c r="C55" s="53">
        <v>9</v>
      </c>
      <c r="D55" s="53">
        <v>8</v>
      </c>
      <c r="E55" s="53">
        <v>5.5</v>
      </c>
      <c r="F55" s="53">
        <v>8.5</v>
      </c>
      <c r="G55" s="59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5" s="60">
        <f>IF('Vars and Stats'!$B$13="Y",10*(Completed[[#This Row],[Raw]]-'Vars and Stats'!$B$9)/'Vars and Stats'!$B$10, 10*Completed[[#This Row],[Raw]]/'Vars and Stats'!$B$8)</f>
        <v>8.3350125944584388</v>
      </c>
      <c r="I55" s="54">
        <v>41461</v>
      </c>
      <c r="J55" s="54">
        <v>41638</v>
      </c>
      <c r="K55" s="56" t="s">
        <v>196</v>
      </c>
      <c r="L55" s="29" t="s">
        <v>371</v>
      </c>
    </row>
    <row r="56" spans="1:12" ht="16.5">
      <c r="A56" s="21" t="s">
        <v>490</v>
      </c>
      <c r="B56" s="28">
        <v>1</v>
      </c>
      <c r="C56" s="53">
        <v>8.5</v>
      </c>
      <c r="D56" s="53">
        <v>7.5</v>
      </c>
      <c r="E56" s="53">
        <v>5</v>
      </c>
      <c r="F56" s="53">
        <v>9</v>
      </c>
      <c r="G56" s="59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6" s="60">
        <f>IF('Vars and Stats'!$B$13="Y",10*(Completed[[#This Row],[Raw]]-'Vars and Stats'!$B$9)/'Vars and Stats'!$B$10, 10*Completed[[#This Row],[Raw]]/'Vars and Stats'!$B$8)</f>
        <v>8.3350125944584388</v>
      </c>
      <c r="I56" s="54">
        <v>41431</v>
      </c>
      <c r="J56" s="54">
        <v>41436</v>
      </c>
      <c r="K56" s="56" t="s">
        <v>193</v>
      </c>
      <c r="L56" s="29"/>
    </row>
    <row r="57" spans="1:12" ht="16.5">
      <c r="A57" s="21" t="s">
        <v>355</v>
      </c>
      <c r="B57" s="28">
        <v>1</v>
      </c>
      <c r="C57" s="53">
        <v>8.5</v>
      </c>
      <c r="D57" s="53">
        <v>9</v>
      </c>
      <c r="E57" s="53">
        <v>7</v>
      </c>
      <c r="F57" s="53">
        <v>8</v>
      </c>
      <c r="G57" s="70">
        <f>(Completed[[#This Row],[Plot]]*'Vars and Stats'!$B$3+Completed[[#This Row],[Char.]]*'Vars and Stats'!$B$4+Completed[[#This Row],[Moe]]*'Vars and Stats'!$B$5+Completed[[#This Row],[Pref]]*'Vars and Stats'!$B$6)/'Vars and Stats'!$B$11</f>
        <v>8.3128140703517595</v>
      </c>
      <c r="H57" s="71">
        <f>IF('Vars and Stats'!$B$13="Y",10*(Completed[[#This Row],[Raw]]-'Vars and Stats'!$B$9)/'Vars and Stats'!$B$10, 10*Completed[[#This Row],[Raw]]/'Vars and Stats'!$B$8)</f>
        <v>8.3337531486146101</v>
      </c>
      <c r="I57" s="54">
        <v>41652</v>
      </c>
      <c r="J57" s="54">
        <v>41824</v>
      </c>
      <c r="K57" s="56" t="s">
        <v>617</v>
      </c>
      <c r="L57" s="29"/>
    </row>
    <row r="58" spans="1:12" ht="16.5">
      <c r="A58" s="21" t="s">
        <v>132</v>
      </c>
      <c r="B58" s="28">
        <v>1</v>
      </c>
      <c r="C58" s="53">
        <v>7</v>
      </c>
      <c r="D58" s="53">
        <v>8.5</v>
      </c>
      <c r="E58" s="53">
        <v>10</v>
      </c>
      <c r="F58" s="53">
        <v>8.5</v>
      </c>
      <c r="G58" s="59">
        <f>(Completed[[#This Row],[Plot]]*'Vars and Stats'!$B$3+Completed[[#This Row],[Char.]]*'Vars and Stats'!$B$4+Completed[[#This Row],[Moe]]*'Vars and Stats'!$B$5+Completed[[#This Row],[Pref]]*'Vars and Stats'!$B$6)/'Vars and Stats'!$B$11</f>
        <v>8.2964824120602998</v>
      </c>
      <c r="H58" s="60">
        <f>IF('Vars and Stats'!$B$13="Y",10*(Completed[[#This Row],[Raw]]-'Vars and Stats'!$B$9)/'Vars and Stats'!$B$10, 10*Completed[[#This Row],[Raw]]/'Vars and Stats'!$B$8)</f>
        <v>8.3173803526448342</v>
      </c>
      <c r="I58" s="54">
        <v>41378</v>
      </c>
      <c r="J58" s="54">
        <v>41454</v>
      </c>
      <c r="K58" s="56" t="s">
        <v>202</v>
      </c>
      <c r="L58" s="29"/>
    </row>
    <row r="59" spans="1:12" ht="16.5">
      <c r="A59" s="21" t="s">
        <v>155</v>
      </c>
      <c r="B59" s="28">
        <v>1</v>
      </c>
      <c r="C59" s="53">
        <v>9</v>
      </c>
      <c r="D59" s="53">
        <v>8</v>
      </c>
      <c r="E59" s="53">
        <v>5</v>
      </c>
      <c r="F59" s="53">
        <v>8.5</v>
      </c>
      <c r="G59" s="59">
        <f>(Completed[[#This Row],[Plot]]*'Vars and Stats'!$B$3+Completed[[#This Row],[Char.]]*'Vars and Stats'!$B$4+Completed[[#This Row],[Moe]]*'Vars and Stats'!$B$5+Completed[[#This Row],[Pref]]*'Vars and Stats'!$B$6)/'Vars and Stats'!$B$11</f>
        <v>8.2902010050251267</v>
      </c>
      <c r="H59" s="60">
        <f>IF('Vars and Stats'!$B$13="Y",10*(Completed[[#This Row],[Raw]]-'Vars and Stats'!$B$9)/'Vars and Stats'!$B$10, 10*Completed[[#This Row],[Raw]]/'Vars and Stats'!$B$8)</f>
        <v>8.3110831234256928</v>
      </c>
      <c r="I59" s="54">
        <v>41424</v>
      </c>
      <c r="J59" s="54">
        <v>41430</v>
      </c>
      <c r="K59" s="56" t="s">
        <v>194</v>
      </c>
      <c r="L59" s="29" t="s">
        <v>113</v>
      </c>
    </row>
    <row r="60" spans="1:12" ht="16.5">
      <c r="A60" s="21" t="s">
        <v>289</v>
      </c>
      <c r="B60" s="28">
        <v>1</v>
      </c>
      <c r="C60" s="53">
        <v>8.5</v>
      </c>
      <c r="D60" s="53">
        <v>9</v>
      </c>
      <c r="E60" s="53">
        <v>6.5</v>
      </c>
      <c r="F60" s="53">
        <v>8</v>
      </c>
      <c r="G60" s="59">
        <f>(Completed[[#This Row],[Plot]]*'Vars and Stats'!$B$3+Completed[[#This Row],[Char.]]*'Vars and Stats'!$B$4+Completed[[#This Row],[Moe]]*'Vars and Stats'!$B$5+Completed[[#This Row],[Pref]]*'Vars and Stats'!$B$6)/'Vars and Stats'!$B$11</f>
        <v>8.2889447236180906</v>
      </c>
      <c r="H60" s="60">
        <f>IF('Vars and Stats'!$B$13="Y",10*(Completed[[#This Row],[Raw]]-'Vars and Stats'!$B$9)/'Vars and Stats'!$B$10, 10*Completed[[#This Row],[Raw]]/'Vars and Stats'!$B$8)</f>
        <v>8.3098236775818624</v>
      </c>
      <c r="I60" s="54">
        <v>41555</v>
      </c>
      <c r="J60" s="54">
        <v>41631</v>
      </c>
      <c r="K60" s="56" t="s">
        <v>351</v>
      </c>
      <c r="L60" s="29" t="s">
        <v>352</v>
      </c>
    </row>
    <row r="61" spans="1:12" ht="16.5">
      <c r="A61" s="21" t="s">
        <v>274</v>
      </c>
      <c r="B61" s="28">
        <v>2</v>
      </c>
      <c r="C61" s="53">
        <v>8.5</v>
      </c>
      <c r="D61" s="53">
        <v>8</v>
      </c>
      <c r="E61" s="53">
        <v>5.5</v>
      </c>
      <c r="F61" s="53">
        <v>8.5</v>
      </c>
      <c r="G61" s="59">
        <f>(Completed[[#This Row],[Plot]]*'Vars and Stats'!$B$3+Completed[[#This Row],[Char.]]*'Vars and Stats'!$B$4+Completed[[#This Row],[Moe]]*'Vars and Stats'!$B$5+Completed[[#This Row],[Pref]]*'Vars and Stats'!$B$6)/'Vars and Stats'!$B$11</f>
        <v>8.2223618090452266</v>
      </c>
      <c r="H61" s="60">
        <f>IF('Vars and Stats'!$B$13="Y",10*(Completed[[#This Row],[Raw]]-'Vars and Stats'!$B$9)/'Vars and Stats'!$B$10, 10*Completed[[#This Row],[Raw]]/'Vars and Stats'!$B$8)</f>
        <v>8.2430730478589425</v>
      </c>
      <c r="I61" s="54">
        <v>41370</v>
      </c>
      <c r="J61" s="54">
        <v>41512</v>
      </c>
      <c r="K61" s="56" t="s">
        <v>226</v>
      </c>
      <c r="L61" s="29"/>
    </row>
    <row r="62" spans="1:12" ht="16.5">
      <c r="A62" s="21" t="s">
        <v>59</v>
      </c>
      <c r="B62" s="28">
        <v>1</v>
      </c>
      <c r="C62" s="53">
        <v>9</v>
      </c>
      <c r="D62" s="53">
        <v>7.5</v>
      </c>
      <c r="E62" s="53">
        <v>5</v>
      </c>
      <c r="F62" s="53">
        <v>8.5</v>
      </c>
      <c r="G62" s="59">
        <f>(Completed[[#This Row],[Plot]]*'Vars and Stats'!$B$3+Completed[[#This Row],[Char.]]*'Vars and Stats'!$B$4+Completed[[#This Row],[Moe]]*'Vars and Stats'!$B$5+Completed[[#This Row],[Pref]]*'Vars and Stats'!$B$6)/'Vars and Stats'!$B$11</f>
        <v>8.1557788944723626</v>
      </c>
      <c r="H62" s="60">
        <f>IF('Vars and Stats'!$B$13="Y",10*(Completed[[#This Row],[Raw]]-'Vars and Stats'!$B$9)/'Vars and Stats'!$B$10, 10*Completed[[#This Row],[Raw]]/'Vars and Stats'!$B$8)</f>
        <v>8.1763224181360208</v>
      </c>
      <c r="I62" s="54">
        <v>41255</v>
      </c>
      <c r="J62" s="54">
        <v>41256</v>
      </c>
      <c r="K62" s="56" t="s">
        <v>197</v>
      </c>
      <c r="L62" s="29"/>
    </row>
    <row r="63" spans="1:12" ht="16.5">
      <c r="A63" s="21" t="s">
        <v>281</v>
      </c>
      <c r="B63" s="28">
        <v>1</v>
      </c>
      <c r="C63" s="53">
        <v>8.5</v>
      </c>
      <c r="D63" s="53">
        <v>8</v>
      </c>
      <c r="E63" s="53">
        <v>4</v>
      </c>
      <c r="F63" s="53">
        <v>8.5</v>
      </c>
      <c r="G63" s="59">
        <f>(Completed[[#This Row],[Plot]]*'Vars and Stats'!$B$3+Completed[[#This Row],[Char.]]*'Vars and Stats'!$B$4+Completed[[#This Row],[Moe]]*'Vars and Stats'!$B$5+Completed[[#This Row],[Pref]]*'Vars and Stats'!$B$6)/'Vars and Stats'!$B$11</f>
        <v>8.1507537688442202</v>
      </c>
      <c r="H63" s="60">
        <f>IF('Vars and Stats'!$B$13="Y",10*(Completed[[#This Row],[Raw]]-'Vars and Stats'!$B$9)/'Vars and Stats'!$B$10, 10*Completed[[#This Row],[Raw]]/'Vars and Stats'!$B$8)</f>
        <v>8.1712846347607044</v>
      </c>
      <c r="I63" s="54">
        <v>41562</v>
      </c>
      <c r="J63" s="54">
        <v>41728</v>
      </c>
      <c r="K63" s="56" t="s">
        <v>396</v>
      </c>
      <c r="L63" s="29" t="s">
        <v>397</v>
      </c>
    </row>
    <row r="64" spans="1:12" ht="16.5">
      <c r="A64" s="21" t="s">
        <v>414</v>
      </c>
      <c r="B64" s="28">
        <v>1</v>
      </c>
      <c r="C64" s="53">
        <v>8.5</v>
      </c>
      <c r="D64" s="53">
        <v>8</v>
      </c>
      <c r="E64" s="53">
        <v>3.5</v>
      </c>
      <c r="F64" s="53">
        <v>8.5</v>
      </c>
      <c r="G64" s="70">
        <f>(Completed[[#This Row],[Plot]]*'Vars and Stats'!$B$3+Completed[[#This Row],[Char.]]*'Vars and Stats'!$B$4+Completed[[#This Row],[Moe]]*'Vars and Stats'!$B$5+Completed[[#This Row],[Pref]]*'Vars and Stats'!$B$6)/'Vars and Stats'!$B$11</f>
        <v>8.1268844221105532</v>
      </c>
      <c r="H64" s="71">
        <f>IF('Vars and Stats'!$B$13="Y",10*(Completed[[#This Row],[Raw]]-'Vars and Stats'!$B$9)/'Vars and Stats'!$B$10, 10*Completed[[#This Row],[Raw]]/'Vars and Stats'!$B$8)</f>
        <v>8.1473551637279584</v>
      </c>
      <c r="I64" s="49">
        <v>41789</v>
      </c>
      <c r="J64" s="54">
        <v>41816</v>
      </c>
      <c r="K64" s="56" t="s">
        <v>580</v>
      </c>
      <c r="L64" s="29"/>
    </row>
    <row r="65" spans="1:12" ht="16.5">
      <c r="A65" s="21" t="s">
        <v>79</v>
      </c>
      <c r="B65" s="28">
        <v>2</v>
      </c>
      <c r="C65" s="53">
        <v>7</v>
      </c>
      <c r="D65" s="53">
        <v>8</v>
      </c>
      <c r="E65" s="53">
        <v>3.5</v>
      </c>
      <c r="F65" s="53">
        <v>9</v>
      </c>
      <c r="G65" s="59">
        <f>(Completed[[#This Row],[Plot]]*'Vars and Stats'!$B$3+Completed[[#This Row],[Char.]]*'Vars and Stats'!$B$4+Completed[[#This Row],[Moe]]*'Vars and Stats'!$B$5+Completed[[#This Row],[Pref]]*'Vars and Stats'!$B$6)/'Vars and Stats'!$B$11</f>
        <v>8.1017587939698501</v>
      </c>
      <c r="H65" s="60">
        <f>IF('Vars and Stats'!$B$13="Y",10*(Completed[[#This Row],[Raw]]-'Vars and Stats'!$B$9)/'Vars and Stats'!$B$10, 10*Completed[[#This Row],[Raw]]/'Vars and Stats'!$B$8)</f>
        <v>8.1221662468513856</v>
      </c>
      <c r="I65" s="54">
        <v>41354</v>
      </c>
      <c r="J65" s="54">
        <v>41355</v>
      </c>
      <c r="K65" s="56" t="s">
        <v>338</v>
      </c>
      <c r="L65" s="29"/>
    </row>
    <row r="66" spans="1:12" ht="16.5">
      <c r="A66" s="21" t="s">
        <v>376</v>
      </c>
      <c r="B66" s="28">
        <v>1</v>
      </c>
      <c r="C66" s="53">
        <v>5</v>
      </c>
      <c r="D66" s="53">
        <v>9</v>
      </c>
      <c r="E66" s="53">
        <v>5</v>
      </c>
      <c r="F66" s="53">
        <v>9</v>
      </c>
      <c r="G66" s="59">
        <f>(Completed[[#This Row],[Plot]]*'Vars and Stats'!$B$3+Completed[[#This Row],[Char.]]*'Vars and Stats'!$B$4+Completed[[#This Row],[Moe]]*'Vars and Stats'!$B$5+Completed[[#This Row],[Pref]]*'Vars and Stats'!$B$6)/'Vars and Stats'!$B$11</f>
        <v>8.075376884422111</v>
      </c>
      <c r="H66" s="60">
        <f>IF('Vars and Stats'!$B$13="Y",10*(Completed[[#This Row],[Raw]]-'Vars and Stats'!$B$9)/'Vars and Stats'!$B$10, 10*Completed[[#This Row],[Raw]]/'Vars and Stats'!$B$8)</f>
        <v>8.0957178841309823</v>
      </c>
      <c r="I66" s="54">
        <v>41648</v>
      </c>
      <c r="J66" s="54">
        <v>41785</v>
      </c>
      <c r="K66" s="56" t="s">
        <v>438</v>
      </c>
      <c r="L66" s="29"/>
    </row>
    <row r="67" spans="1:12" ht="16.5">
      <c r="A67" s="21" t="s">
        <v>411</v>
      </c>
      <c r="B67" s="28">
        <v>1</v>
      </c>
      <c r="C67" s="53">
        <v>8</v>
      </c>
      <c r="D67" s="53">
        <v>8.5</v>
      </c>
      <c r="E67" s="53">
        <v>6</v>
      </c>
      <c r="F67" s="53">
        <v>8</v>
      </c>
      <c r="G67" s="70">
        <f>(Completed[[#This Row],[Plot]]*'Vars and Stats'!$B$3+Completed[[#This Row],[Char.]]*'Vars and Stats'!$B$4+Completed[[#This Row],[Moe]]*'Vars and Stats'!$B$5+Completed[[#This Row],[Pref]]*'Vars and Stats'!$B$6)/'Vars and Stats'!$B$11</f>
        <v>8.0389447236180906</v>
      </c>
      <c r="H67" s="71">
        <f>IF('Vars and Stats'!$B$13="Y",10*(Completed[[#This Row],[Raw]]-'Vars and Stats'!$B$9)/'Vars and Stats'!$B$10, 10*Completed[[#This Row],[Raw]]/'Vars and Stats'!$B$8)</f>
        <v>8.059193954659948</v>
      </c>
      <c r="I67" s="54">
        <v>41750</v>
      </c>
      <c r="J67" s="54">
        <v>41831</v>
      </c>
      <c r="K67" s="56" t="s">
        <v>673</v>
      </c>
      <c r="L67" s="40" t="s">
        <v>674</v>
      </c>
    </row>
    <row r="68" spans="1:12" ht="16.5">
      <c r="A68" s="21" t="s">
        <v>152</v>
      </c>
      <c r="B68" s="28">
        <v>1</v>
      </c>
      <c r="C68" s="53">
        <v>6.5</v>
      </c>
      <c r="D68" s="53">
        <v>8.5</v>
      </c>
      <c r="E68" s="53">
        <v>6.5</v>
      </c>
      <c r="F68" s="53">
        <v>8.5</v>
      </c>
      <c r="G68" s="59">
        <f>(Completed[[#This Row],[Plot]]*'Vars and Stats'!$B$3+Completed[[#This Row],[Char.]]*'Vars and Stats'!$B$4+Completed[[#This Row],[Moe]]*'Vars and Stats'!$B$5+Completed[[#This Row],[Pref]]*'Vars and Stats'!$B$6)/'Vars and Stats'!$B$11</f>
        <v>8.0376884422110546</v>
      </c>
      <c r="H68" s="60">
        <f>IF('Vars and Stats'!$B$13="Y",10*(Completed[[#This Row],[Raw]]-'Vars and Stats'!$B$9)/'Vars and Stats'!$B$10, 10*Completed[[#This Row],[Raw]]/'Vars and Stats'!$B$8)</f>
        <v>8.0579345088161194</v>
      </c>
      <c r="I68" s="54">
        <v>41394</v>
      </c>
      <c r="J68" s="54">
        <v>41397</v>
      </c>
      <c r="K68" s="56" t="s">
        <v>204</v>
      </c>
      <c r="L68" s="29" t="s">
        <v>65</v>
      </c>
    </row>
    <row r="69" spans="1:12" ht="16.5">
      <c r="A69" s="21" t="s">
        <v>357</v>
      </c>
      <c r="B69" s="28">
        <v>1</v>
      </c>
      <c r="C69" s="53">
        <v>6.5</v>
      </c>
      <c r="D69" s="53">
        <v>8</v>
      </c>
      <c r="E69" s="53">
        <v>9</v>
      </c>
      <c r="F69" s="53">
        <v>8.5</v>
      </c>
      <c r="G69" s="59">
        <f>(Completed[[#This Row],[Plot]]*'Vars and Stats'!$B$3+Completed[[#This Row],[Char.]]*'Vars and Stats'!$B$4+Completed[[#This Row],[Moe]]*'Vars and Stats'!$B$5+Completed[[#This Row],[Pref]]*'Vars and Stats'!$B$6)/'Vars and Stats'!$B$11</f>
        <v>8.0226130653266328</v>
      </c>
      <c r="H69" s="60">
        <f>IF('Vars and Stats'!$B$13="Y",10*(Completed[[#This Row],[Raw]]-'Vars and Stats'!$B$9)/'Vars and Stats'!$B$10, 10*Completed[[#This Row],[Raw]]/'Vars and Stats'!$B$8)</f>
        <v>8.0428211586901757</v>
      </c>
      <c r="I69" s="54">
        <v>41650</v>
      </c>
      <c r="J69" s="54">
        <v>41733</v>
      </c>
      <c r="K69" s="56" t="s">
        <v>403</v>
      </c>
      <c r="L69" s="29"/>
    </row>
    <row r="70" spans="1:12" ht="16.5">
      <c r="A70" s="21" t="s">
        <v>180</v>
      </c>
      <c r="B70" s="28">
        <v>1</v>
      </c>
      <c r="C70" s="53">
        <v>8</v>
      </c>
      <c r="D70" s="53">
        <v>6.5</v>
      </c>
      <c r="E70" s="53">
        <v>6</v>
      </c>
      <c r="F70" s="53">
        <v>9</v>
      </c>
      <c r="G70" s="59">
        <f>(Completed[[#This Row],[Plot]]*'Vars and Stats'!$B$3+Completed[[#This Row],[Char.]]*'Vars and Stats'!$B$4+Completed[[#This Row],[Moe]]*'Vars and Stats'!$B$5+Completed[[#This Row],[Pref]]*'Vars and Stats'!$B$6)/'Vars and Stats'!$B$11</f>
        <v>8.0012562814070343</v>
      </c>
      <c r="H70" s="60">
        <f>IF('Vars and Stats'!$B$13="Y",10*(Completed[[#This Row],[Raw]]-'Vars and Stats'!$B$9)/'Vars and Stats'!$B$10, 10*Completed[[#This Row],[Raw]]/'Vars and Stats'!$B$8)</f>
        <v>8.0214105793450869</v>
      </c>
      <c r="I70" s="54">
        <v>41316</v>
      </c>
      <c r="J70" s="54">
        <v>41323</v>
      </c>
      <c r="K70" s="56" t="s">
        <v>201</v>
      </c>
      <c r="L70" s="29"/>
    </row>
    <row r="71" spans="1:12" ht="16.5">
      <c r="A71" s="21" t="s">
        <v>135</v>
      </c>
      <c r="B71" s="28">
        <v>1</v>
      </c>
      <c r="C71" s="53">
        <v>8</v>
      </c>
      <c r="D71" s="53">
        <v>8.5</v>
      </c>
      <c r="E71" s="53">
        <v>5</v>
      </c>
      <c r="F71" s="53">
        <v>8</v>
      </c>
      <c r="G71" s="59">
        <f>(Completed[[#This Row],[Plot]]*'Vars and Stats'!$B$3+Completed[[#This Row],[Char.]]*'Vars and Stats'!$B$4+Completed[[#This Row],[Moe]]*'Vars and Stats'!$B$5+Completed[[#This Row],[Pref]]*'Vars and Stats'!$B$6)/'Vars and Stats'!$B$11</f>
        <v>7.9912060301507539</v>
      </c>
      <c r="H71" s="60">
        <f>IF('Vars and Stats'!$B$13="Y",10*(Completed[[#This Row],[Raw]]-'Vars and Stats'!$B$9)/'Vars and Stats'!$B$10, 10*Completed[[#This Row],[Raw]]/'Vars and Stats'!$B$8)</f>
        <v>8.0113350125944578</v>
      </c>
      <c r="I71" s="54">
        <v>41360</v>
      </c>
      <c r="J71" s="54">
        <v>41363</v>
      </c>
      <c r="K71" s="56" t="s">
        <v>203</v>
      </c>
      <c r="L71" s="29" t="s">
        <v>141</v>
      </c>
    </row>
    <row r="72" spans="1:12" ht="16.5">
      <c r="A72" s="21" t="s">
        <v>72</v>
      </c>
      <c r="B72" s="28">
        <v>1</v>
      </c>
      <c r="C72" s="53">
        <v>7</v>
      </c>
      <c r="D72" s="53">
        <v>8</v>
      </c>
      <c r="E72" s="53">
        <v>5.5</v>
      </c>
      <c r="F72" s="53">
        <v>8.5</v>
      </c>
      <c r="G72" s="59">
        <f>(Completed[[#This Row],[Plot]]*'Vars and Stats'!$B$3+Completed[[#This Row],[Char.]]*'Vars and Stats'!$B$4+Completed[[#This Row],[Moe]]*'Vars and Stats'!$B$5+Completed[[#This Row],[Pref]]*'Vars and Stats'!$B$6)/'Vars and Stats'!$B$11</f>
        <v>7.9472361809045227</v>
      </c>
      <c r="H72" s="60">
        <f>IF('Vars and Stats'!$B$13="Y",10*(Completed[[#This Row],[Raw]]-'Vars and Stats'!$B$9)/'Vars and Stats'!$B$10, 10*Completed[[#This Row],[Raw]]/'Vars and Stats'!$B$8)</f>
        <v>7.9672544080604526</v>
      </c>
      <c r="I72" s="54">
        <v>41363</v>
      </c>
      <c r="J72" s="54">
        <v>41364</v>
      </c>
      <c r="K72" s="56" t="s">
        <v>229</v>
      </c>
      <c r="L72" s="29"/>
    </row>
    <row r="73" spans="1:12" ht="16.5">
      <c r="A73" s="21" t="s">
        <v>171</v>
      </c>
      <c r="B73" s="28">
        <v>1</v>
      </c>
      <c r="C73" s="53">
        <v>8.5</v>
      </c>
      <c r="D73" s="53">
        <v>7.5</v>
      </c>
      <c r="E73" s="53">
        <v>2.5</v>
      </c>
      <c r="F73" s="53">
        <v>8.5</v>
      </c>
      <c r="G73" s="59">
        <f>(Completed[[#This Row],[Plot]]*'Vars and Stats'!$B$3+Completed[[#This Row],[Char.]]*'Vars and Stats'!$B$4+Completed[[#This Row],[Moe]]*'Vars and Stats'!$B$5+Completed[[#This Row],[Pref]]*'Vars and Stats'!$B$6)/'Vars and Stats'!$B$11</f>
        <v>7.9447236180904515</v>
      </c>
      <c r="H73" s="60">
        <f>IF('Vars and Stats'!$B$13="Y",10*(Completed[[#This Row],[Raw]]-'Vars and Stats'!$B$9)/'Vars and Stats'!$B$10, 10*Completed[[#This Row],[Raw]]/'Vars and Stats'!$B$8)</f>
        <v>7.9647355163727944</v>
      </c>
      <c r="I73" s="54">
        <v>41459</v>
      </c>
      <c r="J73" s="54">
        <v>41543</v>
      </c>
      <c r="K73" s="56" t="s">
        <v>267</v>
      </c>
      <c r="L73" s="29" t="s">
        <v>589</v>
      </c>
    </row>
    <row r="74" spans="1:12" ht="16.5">
      <c r="A74" s="21" t="s">
        <v>112</v>
      </c>
      <c r="B74" s="28">
        <v>1</v>
      </c>
      <c r="C74" s="53">
        <v>6</v>
      </c>
      <c r="D74" s="53">
        <v>7</v>
      </c>
      <c r="E74" s="53">
        <v>9</v>
      </c>
      <c r="F74" s="53">
        <v>9</v>
      </c>
      <c r="G74" s="59">
        <f>(Completed[[#This Row],[Plot]]*'Vars and Stats'!$B$3+Completed[[#This Row],[Char.]]*'Vars and Stats'!$B$4+Completed[[#This Row],[Moe]]*'Vars and Stats'!$B$5+Completed[[#This Row],[Pref]]*'Vars and Stats'!$B$6)/'Vars and Stats'!$B$11</f>
        <v>7.9120603015075384</v>
      </c>
      <c r="H74" s="60">
        <f>IF('Vars and Stats'!$B$13="Y",10*(Completed[[#This Row],[Raw]]-'Vars and Stats'!$B$9)/'Vars and Stats'!$B$10, 10*Completed[[#This Row],[Raw]]/'Vars and Stats'!$B$8)</f>
        <v>7.9319899244332506</v>
      </c>
      <c r="I74" s="54">
        <v>41337</v>
      </c>
      <c r="J74" s="54">
        <v>41338</v>
      </c>
      <c r="K74" s="77" t="s">
        <v>166</v>
      </c>
      <c r="L74" s="29" t="s">
        <v>140</v>
      </c>
    </row>
    <row r="75" spans="1:12" ht="16.5">
      <c r="A75" s="21" t="s">
        <v>84</v>
      </c>
      <c r="B75" s="28">
        <v>1</v>
      </c>
      <c r="C75" s="53">
        <v>6.5</v>
      </c>
      <c r="D75" s="53">
        <v>7.5</v>
      </c>
      <c r="E75" s="53">
        <v>4</v>
      </c>
      <c r="F75" s="53">
        <v>9</v>
      </c>
      <c r="G75" s="59">
        <f>(Completed[[#This Row],[Plot]]*'Vars and Stats'!$B$3+Completed[[#This Row],[Char.]]*'Vars and Stats'!$B$4+Completed[[#This Row],[Moe]]*'Vars and Stats'!$B$5+Completed[[#This Row],[Pref]]*'Vars and Stats'!$B$6)/'Vars and Stats'!$B$11</f>
        <v>7.8994974874371851</v>
      </c>
      <c r="H75" s="60">
        <f>IF('Vars and Stats'!$B$13="Y",10*(Completed[[#This Row],[Raw]]-'Vars and Stats'!$B$9)/'Vars and Stats'!$B$10, 10*Completed[[#This Row],[Raw]]/'Vars and Stats'!$B$8)</f>
        <v>7.9193954659949606</v>
      </c>
      <c r="I75" s="54">
        <v>41347</v>
      </c>
      <c r="J75" s="54">
        <v>41354</v>
      </c>
      <c r="K75" s="76" t="s">
        <v>633</v>
      </c>
      <c r="L75" s="29"/>
    </row>
    <row r="76" spans="1:12" ht="16.5">
      <c r="A76" s="21" t="s">
        <v>169</v>
      </c>
      <c r="B76" s="28">
        <v>2</v>
      </c>
      <c r="C76" s="53">
        <v>7</v>
      </c>
      <c r="D76" s="53">
        <v>8</v>
      </c>
      <c r="E76" s="53">
        <v>9.5</v>
      </c>
      <c r="F76" s="53">
        <v>8</v>
      </c>
      <c r="G76" s="59">
        <f>(Completed[[#This Row],[Plot]]*'Vars and Stats'!$B$3+Completed[[#This Row],[Char.]]*'Vars and Stats'!$B$4+Completed[[#This Row],[Moe]]*'Vars and Stats'!$B$5+Completed[[#This Row],[Pref]]*'Vars and Stats'!$B$6)/'Vars and Stats'!$B$11</f>
        <v>7.8881909547738696</v>
      </c>
      <c r="H76" s="60">
        <f>IF('Vars and Stats'!$B$13="Y",10*(Completed[[#This Row],[Raw]]-'Vars and Stats'!$B$9)/'Vars and Stats'!$B$10, 10*Completed[[#This Row],[Raw]]/'Vars and Stats'!$B$8)</f>
        <v>7.9080604534005046</v>
      </c>
      <c r="I76" s="54">
        <v>41468</v>
      </c>
      <c r="J76" s="54">
        <v>41589</v>
      </c>
      <c r="K76" s="56" t="s">
        <v>165</v>
      </c>
      <c r="L76" s="29"/>
    </row>
    <row r="77" spans="1:12" ht="16.5">
      <c r="A77" s="21" t="s">
        <v>510</v>
      </c>
      <c r="B77" s="28">
        <v>1</v>
      </c>
      <c r="C77" s="53">
        <v>8</v>
      </c>
      <c r="D77" s="53">
        <v>8</v>
      </c>
      <c r="E77" s="53">
        <v>5</v>
      </c>
      <c r="F77" s="53">
        <v>8</v>
      </c>
      <c r="G77" s="59">
        <f>(Completed[[#This Row],[Plot]]*'Vars and Stats'!$B$3+Completed[[#This Row],[Char.]]*'Vars and Stats'!$B$4+Completed[[#This Row],[Moe]]*'Vars and Stats'!$B$5+Completed[[#This Row],[Pref]]*'Vars and Stats'!$B$6)/'Vars and Stats'!$B$11</f>
        <v>7.8567839195979898</v>
      </c>
      <c r="H77" s="60">
        <f>IF('Vars and Stats'!$B$13="Y",10*(Completed[[#This Row],[Raw]]-'Vars and Stats'!$B$9)/'Vars and Stats'!$B$10, 10*Completed[[#This Row],[Raw]]/'Vars and Stats'!$B$8)</f>
        <v>7.8765743073047858</v>
      </c>
      <c r="I77" s="54">
        <v>41245</v>
      </c>
      <c r="J77" s="54">
        <v>41250</v>
      </c>
      <c r="K77" s="56" t="s">
        <v>228</v>
      </c>
      <c r="L77" s="29" t="s">
        <v>568</v>
      </c>
    </row>
    <row r="78" spans="1:12" ht="16.5">
      <c r="A78" s="21" t="s">
        <v>277</v>
      </c>
      <c r="B78" s="28">
        <v>1</v>
      </c>
      <c r="C78" s="53">
        <v>8</v>
      </c>
      <c r="D78" s="53">
        <v>8</v>
      </c>
      <c r="E78" s="53">
        <v>5</v>
      </c>
      <c r="F78" s="53">
        <v>8</v>
      </c>
      <c r="G78" s="59">
        <f>(Completed[[#This Row],[Plot]]*'Vars and Stats'!$B$3+Completed[[#This Row],[Char.]]*'Vars and Stats'!$B$4+Completed[[#This Row],[Moe]]*'Vars and Stats'!$B$5+Completed[[#This Row],[Pref]]*'Vars and Stats'!$B$6)/'Vars and Stats'!$B$11</f>
        <v>7.8567839195979898</v>
      </c>
      <c r="H78" s="60">
        <f>IF('Vars and Stats'!$B$13="Y",10*(Completed[[#This Row],[Raw]]-'Vars and Stats'!$B$9)/'Vars and Stats'!$B$10, 10*Completed[[#This Row],[Raw]]/'Vars and Stats'!$B$8)</f>
        <v>7.8765743073047858</v>
      </c>
      <c r="I78" s="54">
        <v>41555</v>
      </c>
      <c r="J78" s="54">
        <v>41748</v>
      </c>
      <c r="K78" s="56" t="s">
        <v>424</v>
      </c>
      <c r="L78" s="29"/>
    </row>
    <row r="79" spans="1:12" ht="16.5">
      <c r="A79" s="21" t="s">
        <v>123</v>
      </c>
      <c r="B79" s="28">
        <v>1</v>
      </c>
      <c r="C79" s="53">
        <v>7.5</v>
      </c>
      <c r="D79" s="53">
        <v>7.5</v>
      </c>
      <c r="E79" s="53">
        <v>9.5</v>
      </c>
      <c r="F79" s="53">
        <v>8</v>
      </c>
      <c r="G79" s="59">
        <f>(Completed[[#This Row],[Plot]]*'Vars and Stats'!$B$3+Completed[[#This Row],[Char.]]*'Vars and Stats'!$B$4+Completed[[#This Row],[Moe]]*'Vars and Stats'!$B$5+Completed[[#This Row],[Pref]]*'Vars and Stats'!$B$6)/'Vars and Stats'!$B$11</f>
        <v>7.8454773869346734</v>
      </c>
      <c r="H79" s="60">
        <f>IF('Vars and Stats'!$B$13="Y",10*(Completed[[#This Row],[Raw]]-'Vars and Stats'!$B$9)/'Vars and Stats'!$B$10, 10*Completed[[#This Row],[Raw]]/'Vars and Stats'!$B$8)</f>
        <v>7.8652392947103271</v>
      </c>
      <c r="I79" s="54">
        <v>41453</v>
      </c>
      <c r="J79" s="54">
        <v>41456</v>
      </c>
      <c r="K79" s="56" t="s">
        <v>165</v>
      </c>
      <c r="L79" s="29"/>
    </row>
    <row r="80" spans="1:12" ht="16.5">
      <c r="A80" s="21" t="s">
        <v>361</v>
      </c>
      <c r="B80" s="28">
        <v>1</v>
      </c>
      <c r="C80" s="53">
        <v>7.5</v>
      </c>
      <c r="D80" s="53">
        <v>8</v>
      </c>
      <c r="E80" s="53">
        <v>6</v>
      </c>
      <c r="F80" s="53">
        <v>8</v>
      </c>
      <c r="G80" s="59">
        <f>(Completed[[#This Row],[Plot]]*'Vars and Stats'!$B$3+Completed[[#This Row],[Char.]]*'Vars and Stats'!$B$4+Completed[[#This Row],[Moe]]*'Vars and Stats'!$B$5+Completed[[#This Row],[Pref]]*'Vars and Stats'!$B$6)/'Vars and Stats'!$B$11</f>
        <v>7.8128140703517586</v>
      </c>
      <c r="H80" s="60">
        <f>IF('Vars and Stats'!$B$13="Y",10*(Completed[[#This Row],[Raw]]-'Vars and Stats'!$B$9)/'Vars and Stats'!$B$10, 10*Completed[[#This Row],[Raw]]/'Vars and Stats'!$B$8)</f>
        <v>7.8324937027707806</v>
      </c>
      <c r="I80" s="54">
        <v>41661</v>
      </c>
      <c r="J80" s="54">
        <v>41722</v>
      </c>
      <c r="K80" s="56" t="s">
        <v>393</v>
      </c>
      <c r="L80" s="29"/>
    </row>
    <row r="81" spans="1:12" ht="16.5">
      <c r="A81" s="21" t="s">
        <v>167</v>
      </c>
      <c r="B81" s="28">
        <v>1</v>
      </c>
      <c r="C81" s="53">
        <v>4</v>
      </c>
      <c r="D81" s="53">
        <v>8</v>
      </c>
      <c r="E81" s="53">
        <v>3</v>
      </c>
      <c r="F81" s="53">
        <v>9.5</v>
      </c>
      <c r="G81" s="59">
        <f>(Completed[[#This Row],[Plot]]*'Vars and Stats'!$B$3+Completed[[#This Row],[Char.]]*'Vars and Stats'!$B$4+Completed[[#This Row],[Moe]]*'Vars and Stats'!$B$5+Completed[[#This Row],[Pref]]*'Vars and Stats'!$B$6)/'Vars and Stats'!$B$11</f>
        <v>7.7776381909547743</v>
      </c>
      <c r="H81" s="60">
        <f>IF('Vars and Stats'!$B$13="Y",10*(Completed[[#This Row],[Raw]]-'Vars and Stats'!$B$9)/'Vars and Stats'!$B$10, 10*Completed[[#This Row],[Raw]]/'Vars and Stats'!$B$8)</f>
        <v>7.7972292191435759</v>
      </c>
      <c r="I81" s="54">
        <v>41443</v>
      </c>
      <c r="J81" s="54">
        <v>41444</v>
      </c>
      <c r="K81" s="56" t="s">
        <v>208</v>
      </c>
      <c r="L81" s="29"/>
    </row>
    <row r="82" spans="1:12" ht="16.5">
      <c r="A82" s="21" t="s">
        <v>36</v>
      </c>
      <c r="B82" s="28">
        <v>1</v>
      </c>
      <c r="C82" s="53">
        <v>7</v>
      </c>
      <c r="D82" s="53">
        <v>8</v>
      </c>
      <c r="E82" s="53">
        <v>7</v>
      </c>
      <c r="F82" s="53">
        <v>8</v>
      </c>
      <c r="G82" s="59">
        <f>(Completed[[#This Row],[Plot]]*'Vars and Stats'!$B$3+Completed[[#This Row],[Char.]]*'Vars and Stats'!$B$4+Completed[[#This Row],[Moe]]*'Vars and Stats'!$B$5+Completed[[#This Row],[Pref]]*'Vars and Stats'!$B$6)/'Vars and Stats'!$B$11</f>
        <v>7.7688442211055282</v>
      </c>
      <c r="H82" s="60">
        <f>IF('Vars and Stats'!$B$13="Y",10*(Completed[[#This Row],[Raw]]-'Vars and Stats'!$B$9)/'Vars and Stats'!$B$10, 10*Completed[[#This Row],[Raw]]/'Vars and Stats'!$B$8)</f>
        <v>7.7884130982367754</v>
      </c>
      <c r="I82" s="54">
        <v>41457</v>
      </c>
      <c r="J82" s="54">
        <v>41463</v>
      </c>
      <c r="K82" s="56" t="s">
        <v>164</v>
      </c>
      <c r="L82" s="29"/>
    </row>
    <row r="83" spans="1:12" ht="16.5">
      <c r="A83" s="21" t="s">
        <v>359</v>
      </c>
      <c r="B83" s="28">
        <v>1</v>
      </c>
      <c r="C83" s="53">
        <v>7.5</v>
      </c>
      <c r="D83" s="53">
        <v>8</v>
      </c>
      <c r="E83" s="53">
        <v>5</v>
      </c>
      <c r="F83" s="53">
        <v>8</v>
      </c>
      <c r="G83" s="59">
        <f>(Completed[[#This Row],[Plot]]*'Vars and Stats'!$B$3+Completed[[#This Row],[Char.]]*'Vars and Stats'!$B$4+Completed[[#This Row],[Moe]]*'Vars and Stats'!$B$5+Completed[[#This Row],[Pref]]*'Vars and Stats'!$B$6)/'Vars and Stats'!$B$11</f>
        <v>7.7650753768844227</v>
      </c>
      <c r="H83" s="60">
        <f>IF('Vars and Stats'!$B$13="Y",10*(Completed[[#This Row],[Raw]]-'Vars and Stats'!$B$9)/'Vars and Stats'!$B$10, 10*Completed[[#This Row],[Raw]]/'Vars and Stats'!$B$8)</f>
        <v>7.7846347607052895</v>
      </c>
      <c r="I83" s="54">
        <v>41648</v>
      </c>
      <c r="J83" s="54">
        <v>41746</v>
      </c>
      <c r="K83" s="56" t="s">
        <v>421</v>
      </c>
      <c r="L83" s="29"/>
    </row>
    <row r="84" spans="1:12" ht="16.5">
      <c r="A84" s="21" t="s">
        <v>168</v>
      </c>
      <c r="B84" s="28">
        <v>1</v>
      </c>
      <c r="C84" s="53">
        <v>3.5</v>
      </c>
      <c r="D84" s="53">
        <v>8</v>
      </c>
      <c r="E84" s="53">
        <v>9.5</v>
      </c>
      <c r="F84" s="53">
        <v>9</v>
      </c>
      <c r="G84" s="59">
        <f>(Completed[[#This Row],[Plot]]*'Vars and Stats'!$B$3+Completed[[#This Row],[Char.]]*'Vars and Stats'!$B$4+Completed[[#This Row],[Moe]]*'Vars and Stats'!$B$5+Completed[[#This Row],[Pref]]*'Vars and Stats'!$B$6)/'Vars and Stats'!$B$11</f>
        <v>7.7462311557788937</v>
      </c>
      <c r="H84" s="60">
        <f>IF('Vars and Stats'!$B$13="Y",10*(Completed[[#This Row],[Raw]]-'Vars and Stats'!$B$9)/'Vars and Stats'!$B$10, 10*Completed[[#This Row],[Raw]]/'Vars and Stats'!$B$8)</f>
        <v>7.765743073047858</v>
      </c>
      <c r="I84" s="54">
        <v>41462</v>
      </c>
      <c r="J84" s="54">
        <v>41538</v>
      </c>
      <c r="K84" s="56" t="s">
        <v>256</v>
      </c>
      <c r="L84" s="29"/>
    </row>
    <row r="85" spans="1:12" ht="16.5">
      <c r="A85" s="21" t="s">
        <v>148</v>
      </c>
      <c r="B85" s="28">
        <v>1</v>
      </c>
      <c r="C85" s="53">
        <v>2</v>
      </c>
      <c r="D85" s="53">
        <v>8.5</v>
      </c>
      <c r="E85" s="53">
        <v>7</v>
      </c>
      <c r="F85" s="53">
        <v>9.5</v>
      </c>
      <c r="G85" s="59">
        <f>(Completed[[#This Row],[Plot]]*'Vars and Stats'!$B$3+Completed[[#This Row],[Char.]]*'Vars and Stats'!$B$4+Completed[[#This Row],[Moe]]*'Vars and Stats'!$B$5+Completed[[#This Row],[Pref]]*'Vars and Stats'!$B$6)/'Vars and Stats'!$B$11</f>
        <v>7.7361809045226133</v>
      </c>
      <c r="H85" s="60">
        <f>IF('Vars and Stats'!$B$13="Y",10*(Completed[[#This Row],[Raw]]-'Vars and Stats'!$B$9)/'Vars and Stats'!$B$10, 10*Completed[[#This Row],[Raw]]/'Vars and Stats'!$B$8)</f>
        <v>7.7556675062972298</v>
      </c>
      <c r="I85" s="54">
        <v>41291</v>
      </c>
      <c r="J85" s="54">
        <v>41298</v>
      </c>
      <c r="K85" s="56" t="s">
        <v>212</v>
      </c>
      <c r="L85" s="29" t="s">
        <v>100</v>
      </c>
    </row>
    <row r="86" spans="1:12" ht="16.5">
      <c r="A86" s="21" t="s">
        <v>278</v>
      </c>
      <c r="B86" s="28">
        <v>1</v>
      </c>
      <c r="C86" s="53">
        <v>8.5</v>
      </c>
      <c r="D86" s="53">
        <v>7.5</v>
      </c>
      <c r="E86" s="53">
        <v>2</v>
      </c>
      <c r="F86" s="53">
        <v>8</v>
      </c>
      <c r="G86" s="59">
        <f>(Completed[[#This Row],[Plot]]*'Vars and Stats'!$B$3+Completed[[#This Row],[Char.]]*'Vars and Stats'!$B$4+Completed[[#This Row],[Moe]]*'Vars and Stats'!$B$5+Completed[[#This Row],[Pref]]*'Vars and Stats'!$B$6)/'Vars and Stats'!$B$11</f>
        <v>7.6708542713567844</v>
      </c>
      <c r="H86" s="60">
        <f>IF('Vars and Stats'!$B$13="Y",10*(Completed[[#This Row],[Raw]]-'Vars and Stats'!$B$9)/'Vars and Stats'!$B$10, 10*Completed[[#This Row],[Raw]]/'Vars and Stats'!$B$8)</f>
        <v>7.6901763224181368</v>
      </c>
      <c r="I86" s="54">
        <v>41555</v>
      </c>
      <c r="J86" s="54">
        <v>41634</v>
      </c>
      <c r="K86" s="77" t="s">
        <v>349</v>
      </c>
      <c r="L86" s="29" t="s">
        <v>350</v>
      </c>
    </row>
    <row r="87" spans="1:12" ht="16.5">
      <c r="A87" s="21" t="s">
        <v>356</v>
      </c>
      <c r="B87" s="28">
        <v>2</v>
      </c>
      <c r="C87" s="53">
        <v>8</v>
      </c>
      <c r="D87" s="53">
        <v>8</v>
      </c>
      <c r="E87" s="53">
        <v>6</v>
      </c>
      <c r="F87" s="53">
        <v>7.5</v>
      </c>
      <c r="G87" s="59">
        <f>(Completed[[#This Row],[Plot]]*'Vars and Stats'!$B$3+Completed[[#This Row],[Char.]]*'Vars and Stats'!$B$4+Completed[[#This Row],[Moe]]*'Vars and Stats'!$B$5+Completed[[#This Row],[Pref]]*'Vars and Stats'!$B$6)/'Vars and Stats'!$B$11</f>
        <v>7.6545226130653274</v>
      </c>
      <c r="H87" s="60">
        <f>IF('Vars and Stats'!$B$13="Y",10*(Completed[[#This Row],[Raw]]-'Vars and Stats'!$B$9)/'Vars and Stats'!$B$10, 10*Completed[[#This Row],[Raw]]/'Vars and Stats'!$B$8)</f>
        <v>7.6738035264483635</v>
      </c>
      <c r="I87" s="54">
        <v>41648</v>
      </c>
      <c r="J87" s="54">
        <v>41730</v>
      </c>
      <c r="K87" s="56" t="s">
        <v>398</v>
      </c>
      <c r="L87" s="29"/>
    </row>
    <row r="88" spans="1:12" ht="16.5">
      <c r="A88" s="21" t="s">
        <v>68</v>
      </c>
      <c r="B88" s="28">
        <v>1</v>
      </c>
      <c r="C88" s="53">
        <v>8</v>
      </c>
      <c r="D88" s="53">
        <v>7</v>
      </c>
      <c r="E88" s="53">
        <v>6</v>
      </c>
      <c r="F88" s="53">
        <v>8</v>
      </c>
      <c r="G88" s="59">
        <f>(Completed[[#This Row],[Plot]]*'Vars and Stats'!$B$3+Completed[[#This Row],[Char.]]*'Vars and Stats'!$B$4+Completed[[#This Row],[Moe]]*'Vars and Stats'!$B$5+Completed[[#This Row],[Pref]]*'Vars and Stats'!$B$6)/'Vars and Stats'!$B$11</f>
        <v>7.6356783919597992</v>
      </c>
      <c r="H88" s="60">
        <f>IF('Vars and Stats'!$B$13="Y",10*(Completed[[#This Row],[Raw]]-'Vars and Stats'!$B$9)/'Vars and Stats'!$B$10, 10*Completed[[#This Row],[Raw]]/'Vars and Stats'!$B$8)</f>
        <v>7.6549118387909312</v>
      </c>
      <c r="I88" s="54">
        <v>41251</v>
      </c>
      <c r="J88" s="54">
        <v>41263</v>
      </c>
      <c r="K88" s="56" t="s">
        <v>219</v>
      </c>
      <c r="L88" s="29"/>
    </row>
    <row r="89" spans="1:12" ht="16.5">
      <c r="A89" s="21" t="s">
        <v>172</v>
      </c>
      <c r="B89" s="28">
        <v>1</v>
      </c>
      <c r="C89" s="53">
        <v>8</v>
      </c>
      <c r="D89" s="53">
        <v>8</v>
      </c>
      <c r="E89" s="53">
        <v>5.5</v>
      </c>
      <c r="F89" s="53">
        <v>7.5</v>
      </c>
      <c r="G89" s="59">
        <f>(Completed[[#This Row],[Plot]]*'Vars and Stats'!$B$3+Completed[[#This Row],[Char.]]*'Vars and Stats'!$B$4+Completed[[#This Row],[Moe]]*'Vars and Stats'!$B$5+Completed[[#This Row],[Pref]]*'Vars and Stats'!$B$6)/'Vars and Stats'!$B$11</f>
        <v>7.6306532663316586</v>
      </c>
      <c r="H89" s="60">
        <f>IF('Vars and Stats'!$B$13="Y",10*(Completed[[#This Row],[Raw]]-'Vars and Stats'!$B$9)/'Vars and Stats'!$B$10, 10*Completed[[#This Row],[Raw]]/'Vars and Stats'!$B$8)</f>
        <v>7.6498740554156175</v>
      </c>
      <c r="I89" s="54">
        <v>41461</v>
      </c>
      <c r="J89" s="54">
        <v>41546</v>
      </c>
      <c r="K89" s="56" t="s">
        <v>337</v>
      </c>
      <c r="L89" s="29"/>
    </row>
    <row r="90" spans="1:12" ht="16.5">
      <c r="A90" s="21" t="s">
        <v>114</v>
      </c>
      <c r="B90" s="28">
        <v>1</v>
      </c>
      <c r="C90" s="53">
        <v>7</v>
      </c>
      <c r="D90" s="53">
        <v>7.5</v>
      </c>
      <c r="E90" s="53">
        <v>6.5</v>
      </c>
      <c r="F90" s="53">
        <v>8</v>
      </c>
      <c r="G90" s="59">
        <f>(Completed[[#This Row],[Plot]]*'Vars and Stats'!$B$3+Completed[[#This Row],[Char.]]*'Vars and Stats'!$B$4+Completed[[#This Row],[Moe]]*'Vars and Stats'!$B$5+Completed[[#This Row],[Pref]]*'Vars and Stats'!$B$6)/'Vars and Stats'!$B$11</f>
        <v>7.6105527638190953</v>
      </c>
      <c r="H90" s="60">
        <f>IF('Vars and Stats'!$B$13="Y",10*(Completed[[#This Row],[Raw]]-'Vars and Stats'!$B$9)/'Vars and Stats'!$B$10, 10*Completed[[#This Row],[Raw]]/'Vars and Stats'!$B$8)</f>
        <v>7.6297229219143565</v>
      </c>
      <c r="I90" s="54">
        <v>41430</v>
      </c>
      <c r="J90" s="54">
        <v>41431</v>
      </c>
      <c r="K90" s="55" t="s">
        <v>339</v>
      </c>
      <c r="L90" s="29" t="s">
        <v>115</v>
      </c>
    </row>
    <row r="91" spans="1:12" ht="16.5">
      <c r="A91" s="21" t="s">
        <v>314</v>
      </c>
      <c r="B91" s="28">
        <v>1</v>
      </c>
      <c r="C91" s="53">
        <v>7.5</v>
      </c>
      <c r="D91" s="53">
        <v>7.5</v>
      </c>
      <c r="E91" s="53">
        <v>3.5</v>
      </c>
      <c r="F91" s="53">
        <v>8</v>
      </c>
      <c r="G91" s="59">
        <f>(Completed[[#This Row],[Plot]]*'Vars and Stats'!$B$3+Completed[[#This Row],[Char.]]*'Vars and Stats'!$B$4+Completed[[#This Row],[Moe]]*'Vars and Stats'!$B$5+Completed[[#This Row],[Pref]]*'Vars and Stats'!$B$6)/'Vars and Stats'!$B$11</f>
        <v>7.5590452261306531</v>
      </c>
      <c r="H91" s="60">
        <f>IF('Vars and Stats'!$B$13="Y",10*(Completed[[#This Row],[Raw]]-'Vars and Stats'!$B$9)/'Vars and Stats'!$B$10, 10*Completed[[#This Row],[Raw]]/'Vars and Stats'!$B$8)</f>
        <v>7.5780856423173795</v>
      </c>
      <c r="I91" s="54">
        <v>41541</v>
      </c>
      <c r="J91" s="54">
        <v>41541</v>
      </c>
      <c r="K91" s="56" t="s">
        <v>266</v>
      </c>
      <c r="L91" s="29"/>
    </row>
    <row r="92" spans="1:12" ht="16.5">
      <c r="A92" s="21" t="s">
        <v>410</v>
      </c>
      <c r="B92" s="28">
        <v>1</v>
      </c>
      <c r="C92" s="53">
        <v>7.5</v>
      </c>
      <c r="D92" s="53">
        <v>8</v>
      </c>
      <c r="E92" s="53">
        <v>5.5</v>
      </c>
      <c r="F92" s="53">
        <v>7.5</v>
      </c>
      <c r="G92" s="70">
        <f>(Completed[[#This Row],[Plot]]*'Vars and Stats'!$B$3+Completed[[#This Row],[Char.]]*'Vars and Stats'!$B$4+Completed[[#This Row],[Moe]]*'Vars and Stats'!$B$5+Completed[[#This Row],[Pref]]*'Vars and Stats'!$B$6)/'Vars and Stats'!$B$11</f>
        <v>7.5389447236180915</v>
      </c>
      <c r="H92" s="71">
        <f>IF('Vars and Stats'!$B$13="Y",10*(Completed[[#This Row],[Raw]]-'Vars and Stats'!$B$9)/'Vars and Stats'!$B$10, 10*Completed[[#This Row],[Raw]]/'Vars and Stats'!$B$8)</f>
        <v>7.5579345088161212</v>
      </c>
      <c r="I92" s="48">
        <v>41759</v>
      </c>
      <c r="J92" s="54">
        <v>41812</v>
      </c>
      <c r="K92" s="56" t="s">
        <v>573</v>
      </c>
      <c r="L92" s="29" t="s">
        <v>574</v>
      </c>
    </row>
    <row r="93" spans="1:12" ht="16.5">
      <c r="A93" s="21" t="s">
        <v>360</v>
      </c>
      <c r="B93" s="28">
        <v>1</v>
      </c>
      <c r="C93" s="53">
        <v>5</v>
      </c>
      <c r="D93" s="53">
        <v>7</v>
      </c>
      <c r="E93" s="53">
        <v>4</v>
      </c>
      <c r="F93" s="53">
        <v>9</v>
      </c>
      <c r="G93" s="59">
        <f>(Completed[[#This Row],[Plot]]*'Vars and Stats'!$B$3+Completed[[#This Row],[Char.]]*'Vars and Stats'!$B$4+Completed[[#This Row],[Moe]]*'Vars and Stats'!$B$5+Completed[[#This Row],[Pref]]*'Vars and Stats'!$B$6)/'Vars and Stats'!$B$11</f>
        <v>7.4899497487437188</v>
      </c>
      <c r="H93" s="60">
        <f>IF('Vars and Stats'!$B$13="Y",10*(Completed[[#This Row],[Raw]]-'Vars and Stats'!$B$9)/'Vars and Stats'!$B$10, 10*Completed[[#This Row],[Raw]]/'Vars and Stats'!$B$8)</f>
        <v>7.5088161209068005</v>
      </c>
      <c r="I93" s="54">
        <v>41650</v>
      </c>
      <c r="J93" s="54">
        <v>41744</v>
      </c>
      <c r="K93" s="56" t="s">
        <v>405</v>
      </c>
      <c r="L93" s="29"/>
    </row>
    <row r="94" spans="1:12" ht="16.5">
      <c r="A94" s="21" t="s">
        <v>119</v>
      </c>
      <c r="B94" s="28">
        <v>1</v>
      </c>
      <c r="C94" s="53">
        <v>8</v>
      </c>
      <c r="D94" s="53">
        <v>7.5</v>
      </c>
      <c r="E94" s="53">
        <v>5</v>
      </c>
      <c r="F94" s="53">
        <v>7.5</v>
      </c>
      <c r="G94" s="59">
        <f>(Completed[[#This Row],[Plot]]*'Vars and Stats'!$B$3+Completed[[#This Row],[Char.]]*'Vars and Stats'!$B$4+Completed[[#This Row],[Moe]]*'Vars and Stats'!$B$5+Completed[[#This Row],[Pref]]*'Vars and Stats'!$B$6)/'Vars and Stats'!$B$11</f>
        <v>7.4723618090452266</v>
      </c>
      <c r="H94" s="60">
        <f>IF('Vars and Stats'!$B$13="Y",10*(Completed[[#This Row],[Raw]]-'Vars and Stats'!$B$9)/'Vars and Stats'!$B$10, 10*Completed[[#This Row],[Raw]]/'Vars and Stats'!$B$8)</f>
        <v>7.4911838790931986</v>
      </c>
      <c r="I94" s="54">
        <v>41453</v>
      </c>
      <c r="J94" s="54">
        <v>41457</v>
      </c>
      <c r="K94" s="56" t="s">
        <v>218</v>
      </c>
      <c r="L94" s="29" t="s">
        <v>146</v>
      </c>
    </row>
    <row r="95" spans="1:12" ht="16.5">
      <c r="A95" s="21" t="s">
        <v>170</v>
      </c>
      <c r="B95" s="28">
        <v>1</v>
      </c>
      <c r="C95" s="53">
        <v>7</v>
      </c>
      <c r="D95" s="53">
        <v>7.5</v>
      </c>
      <c r="E95" s="53">
        <v>3.5</v>
      </c>
      <c r="F95" s="53">
        <v>8</v>
      </c>
      <c r="G95" s="59">
        <f>(Completed[[#This Row],[Plot]]*'Vars and Stats'!$B$3+Completed[[#This Row],[Char.]]*'Vars and Stats'!$B$4+Completed[[#This Row],[Moe]]*'Vars and Stats'!$B$5+Completed[[#This Row],[Pref]]*'Vars and Stats'!$B$6)/'Vars and Stats'!$B$11</f>
        <v>7.4673366834170851</v>
      </c>
      <c r="H95" s="60">
        <f>IF('Vars and Stats'!$B$13="Y",10*(Completed[[#This Row],[Raw]]-'Vars and Stats'!$B$9)/'Vars and Stats'!$B$10, 10*Completed[[#This Row],[Raw]]/'Vars and Stats'!$B$8)</f>
        <v>7.4861460957178831</v>
      </c>
      <c r="I95" s="54">
        <v>41465</v>
      </c>
      <c r="J95" s="54">
        <v>41543</v>
      </c>
      <c r="K95" s="56" t="s">
        <v>269</v>
      </c>
      <c r="L95" s="29" t="s">
        <v>268</v>
      </c>
    </row>
    <row r="96" spans="1:12" ht="16.5">
      <c r="A96" s="21" t="s">
        <v>139</v>
      </c>
      <c r="B96" s="28">
        <v>1</v>
      </c>
      <c r="C96" s="53">
        <v>6.5</v>
      </c>
      <c r="D96" s="53">
        <v>7.5</v>
      </c>
      <c r="E96" s="53">
        <v>5</v>
      </c>
      <c r="F96" s="53">
        <v>8</v>
      </c>
      <c r="G96" s="59">
        <f>(Completed[[#This Row],[Plot]]*'Vars and Stats'!$B$3+Completed[[#This Row],[Char.]]*'Vars and Stats'!$B$4+Completed[[#This Row],[Moe]]*'Vars and Stats'!$B$5+Completed[[#This Row],[Pref]]*'Vars and Stats'!$B$6)/'Vars and Stats'!$B$11</f>
        <v>7.4472361809045227</v>
      </c>
      <c r="H96" s="60">
        <f>IF('Vars and Stats'!$B$13="Y",10*(Completed[[#This Row],[Raw]]-'Vars and Stats'!$B$9)/'Vars and Stats'!$B$10, 10*Completed[[#This Row],[Raw]]/'Vars and Stats'!$B$8)</f>
        <v>7.465994962216624</v>
      </c>
      <c r="I96" s="54">
        <v>41456</v>
      </c>
      <c r="J96" s="54">
        <v>41535</v>
      </c>
      <c r="K96" s="56" t="s">
        <v>254</v>
      </c>
      <c r="L96" s="29"/>
    </row>
    <row r="97" spans="1:12" ht="16.5">
      <c r="A97" s="21" t="s">
        <v>121</v>
      </c>
      <c r="B97" s="28">
        <v>1</v>
      </c>
      <c r="C97" s="53">
        <v>4</v>
      </c>
      <c r="D97" s="53">
        <v>8</v>
      </c>
      <c r="E97" s="53">
        <v>0</v>
      </c>
      <c r="F97" s="53">
        <v>9</v>
      </c>
      <c r="G97" s="59">
        <f>(Completed[[#This Row],[Plot]]*'Vars and Stats'!$B$3+Completed[[#This Row],[Char.]]*'Vars and Stats'!$B$4+Completed[[#This Row],[Moe]]*'Vars and Stats'!$B$5+Completed[[#This Row],[Pref]]*'Vars and Stats'!$B$6)/'Vars and Stats'!$B$11</f>
        <v>7.3844221105527641</v>
      </c>
      <c r="H97" s="60">
        <f>IF('Vars and Stats'!$B$13="Y",10*(Completed[[#This Row],[Raw]]-'Vars and Stats'!$B$9)/'Vars and Stats'!$B$10, 10*Completed[[#This Row],[Raw]]/'Vars and Stats'!$B$8)</f>
        <v>7.4030226700251882</v>
      </c>
      <c r="I97" s="54">
        <v>41450</v>
      </c>
      <c r="J97" s="54">
        <v>41452</v>
      </c>
      <c r="K97" s="56" t="s">
        <v>207</v>
      </c>
      <c r="L97" s="29" t="s">
        <v>122</v>
      </c>
    </row>
    <row r="98" spans="1:12" ht="16.5">
      <c r="A98" s="21" t="s">
        <v>358</v>
      </c>
      <c r="B98" s="28">
        <v>1</v>
      </c>
      <c r="C98" s="53">
        <v>6.5</v>
      </c>
      <c r="D98" s="53">
        <v>9</v>
      </c>
      <c r="E98" s="53">
        <v>5</v>
      </c>
      <c r="F98" s="53">
        <v>7</v>
      </c>
      <c r="G98" s="59">
        <f>(Completed[[#This Row],[Plot]]*'Vars and Stats'!$B$3+Completed[[#This Row],[Char.]]*'Vars and Stats'!$B$4+Completed[[#This Row],[Moe]]*'Vars and Stats'!$B$5+Completed[[#This Row],[Pref]]*'Vars and Stats'!$B$6)/'Vars and Stats'!$B$11</f>
        <v>7.3505025125628141</v>
      </c>
      <c r="H98" s="60">
        <f>IF('Vars and Stats'!$B$13="Y",10*(Completed[[#This Row],[Raw]]-'Vars and Stats'!$B$9)/'Vars and Stats'!$B$10, 10*Completed[[#This Row],[Raw]]/'Vars and Stats'!$B$8)</f>
        <v>7.3690176322418131</v>
      </c>
      <c r="I98" s="54">
        <v>41650</v>
      </c>
      <c r="J98" s="54">
        <v>41745</v>
      </c>
      <c r="K98" s="56" t="s">
        <v>407</v>
      </c>
      <c r="L98" s="29" t="s">
        <v>408</v>
      </c>
    </row>
    <row r="99" spans="1:12" ht="16.5">
      <c r="A99" s="21" t="s">
        <v>310</v>
      </c>
      <c r="B99" s="28">
        <v>1</v>
      </c>
      <c r="C99" s="53">
        <v>7.5</v>
      </c>
      <c r="D99" s="53">
        <v>7.5</v>
      </c>
      <c r="E99" s="53">
        <v>4</v>
      </c>
      <c r="F99" s="53">
        <v>7.5</v>
      </c>
      <c r="G99" s="59">
        <f>(Completed[[#This Row],[Plot]]*'Vars and Stats'!$B$3+Completed[[#This Row],[Char.]]*'Vars and Stats'!$B$4+Completed[[#This Row],[Moe]]*'Vars and Stats'!$B$5+Completed[[#This Row],[Pref]]*'Vars and Stats'!$B$6)/'Vars and Stats'!$B$11</f>
        <v>7.3329145728643219</v>
      </c>
      <c r="H99" s="60">
        <f>IF('Vars and Stats'!$B$13="Y",10*(Completed[[#This Row],[Raw]]-'Vars and Stats'!$B$9)/'Vars and Stats'!$B$10, 10*Completed[[#This Row],[Raw]]/'Vars and Stats'!$B$8)</f>
        <v>7.351385390428212</v>
      </c>
      <c r="I99" s="54">
        <v>41330</v>
      </c>
      <c r="J99" s="54">
        <v>41346</v>
      </c>
      <c r="K99" s="56" t="s">
        <v>205</v>
      </c>
      <c r="L99" s="29" t="s">
        <v>82</v>
      </c>
    </row>
    <row r="100" spans="1:12" ht="16.5">
      <c r="A100" s="21" t="s">
        <v>379</v>
      </c>
      <c r="B100" s="28">
        <v>1</v>
      </c>
      <c r="C100" s="53">
        <v>7.5</v>
      </c>
      <c r="D100" s="53">
        <v>7.5</v>
      </c>
      <c r="E100" s="53">
        <v>3.5</v>
      </c>
      <c r="F100" s="53">
        <v>7.5</v>
      </c>
      <c r="G100" s="59">
        <f>(Completed[[#This Row],[Plot]]*'Vars and Stats'!$B$3+Completed[[#This Row],[Char.]]*'Vars and Stats'!$B$4+Completed[[#This Row],[Moe]]*'Vars and Stats'!$B$5+Completed[[#This Row],[Pref]]*'Vars and Stats'!$B$6)/'Vars and Stats'!$B$11</f>
        <v>7.3090452261306531</v>
      </c>
      <c r="H100" s="60">
        <f>IF('Vars and Stats'!$B$13="Y",10*(Completed[[#This Row],[Raw]]-'Vars and Stats'!$B$9)/'Vars and Stats'!$B$10, 10*Completed[[#This Row],[Raw]]/'Vars and Stats'!$B$8)</f>
        <v>7.3274559193954651</v>
      </c>
      <c r="I100" s="54">
        <v>41650</v>
      </c>
      <c r="J100" s="54">
        <v>41749</v>
      </c>
      <c r="K100" s="56" t="s">
        <v>428</v>
      </c>
      <c r="L100" s="29"/>
    </row>
    <row r="101" spans="1:12" ht="16.5">
      <c r="A101" s="21" t="s">
        <v>245</v>
      </c>
      <c r="B101" s="28">
        <v>1</v>
      </c>
      <c r="C101" s="53">
        <v>7</v>
      </c>
      <c r="D101" s="53">
        <v>7</v>
      </c>
      <c r="E101" s="53">
        <v>7.5</v>
      </c>
      <c r="F101" s="53">
        <v>7.5</v>
      </c>
      <c r="G101" s="59">
        <f>(Completed[[#This Row],[Plot]]*'Vars and Stats'!$B$3+Completed[[#This Row],[Char.]]*'Vars and Stats'!$B$4+Completed[[#This Row],[Moe]]*'Vars and Stats'!$B$5+Completed[[#This Row],[Pref]]*'Vars and Stats'!$B$6)/'Vars and Stats'!$B$11</f>
        <v>7.2738693467336688</v>
      </c>
      <c r="H101" s="60">
        <f>IF('Vars and Stats'!$B$13="Y",10*(Completed[[#This Row],[Raw]]-'Vars and Stats'!$B$9)/'Vars and Stats'!$B$10, 10*Completed[[#This Row],[Raw]]/'Vars and Stats'!$B$8)</f>
        <v>7.2921914357682622</v>
      </c>
      <c r="I101" s="54">
        <v>41496</v>
      </c>
      <c r="J101" s="54">
        <v>41512</v>
      </c>
      <c r="K101" s="56" t="s">
        <v>246</v>
      </c>
      <c r="L101" s="29" t="s">
        <v>440</v>
      </c>
    </row>
    <row r="102" spans="1:12" ht="16.5">
      <c r="A102" s="21" t="s">
        <v>77</v>
      </c>
      <c r="B102" s="28">
        <v>1</v>
      </c>
      <c r="C102" s="53">
        <v>6</v>
      </c>
      <c r="D102" s="53">
        <v>7</v>
      </c>
      <c r="E102" s="53">
        <v>6</v>
      </c>
      <c r="F102" s="53">
        <v>8</v>
      </c>
      <c r="G102" s="59">
        <f>(Completed[[#This Row],[Plot]]*'Vars and Stats'!$B$3+Completed[[#This Row],[Char.]]*'Vars and Stats'!$B$4+Completed[[#This Row],[Moe]]*'Vars and Stats'!$B$5+Completed[[#This Row],[Pref]]*'Vars and Stats'!$B$6)/'Vars and Stats'!$B$11</f>
        <v>7.2688442211055273</v>
      </c>
      <c r="H102" s="60">
        <f>IF('Vars and Stats'!$B$13="Y",10*(Completed[[#This Row],[Raw]]-'Vars and Stats'!$B$9)/'Vars and Stats'!$B$10, 10*Completed[[#This Row],[Raw]]/'Vars and Stats'!$B$8)</f>
        <v>7.2871536523929468</v>
      </c>
      <c r="I102" s="54">
        <v>41365</v>
      </c>
      <c r="J102" s="54">
        <v>41369</v>
      </c>
      <c r="K102" s="76" t="s">
        <v>200</v>
      </c>
      <c r="L102" s="29"/>
    </row>
    <row r="103" spans="1:12" ht="16.5">
      <c r="A103" s="21" t="s">
        <v>86</v>
      </c>
      <c r="B103" s="28">
        <v>2</v>
      </c>
      <c r="C103" s="53">
        <v>7</v>
      </c>
      <c r="D103" s="53">
        <v>7.5</v>
      </c>
      <c r="E103" s="53">
        <v>4.5</v>
      </c>
      <c r="F103" s="53">
        <v>7.5</v>
      </c>
      <c r="G103" s="59">
        <f>(Completed[[#This Row],[Plot]]*'Vars and Stats'!$B$3+Completed[[#This Row],[Char.]]*'Vars and Stats'!$B$4+Completed[[#This Row],[Moe]]*'Vars and Stats'!$B$5+Completed[[#This Row],[Pref]]*'Vars and Stats'!$B$6)/'Vars and Stats'!$B$11</f>
        <v>7.2650753768844218</v>
      </c>
      <c r="H103" s="60">
        <f>IF('Vars and Stats'!$B$13="Y",10*(Completed[[#This Row],[Raw]]-'Vars and Stats'!$B$9)/'Vars and Stats'!$B$10, 10*Completed[[#This Row],[Raw]]/'Vars and Stats'!$B$8)</f>
        <v>7.2833753148614608</v>
      </c>
      <c r="I103" s="54">
        <v>41345</v>
      </c>
      <c r="J103" s="54">
        <v>41350</v>
      </c>
      <c r="K103" s="56" t="s">
        <v>196</v>
      </c>
      <c r="L103" s="29"/>
    </row>
    <row r="104" spans="1:12" ht="16.5">
      <c r="A104" s="21" t="s">
        <v>130</v>
      </c>
      <c r="B104" s="28">
        <v>1</v>
      </c>
      <c r="C104" s="53">
        <v>4</v>
      </c>
      <c r="D104" s="53">
        <v>7</v>
      </c>
      <c r="E104" s="53">
        <v>8</v>
      </c>
      <c r="F104" s="53">
        <v>8.5</v>
      </c>
      <c r="G104" s="59">
        <f>(Completed[[#This Row],[Plot]]*'Vars and Stats'!$B$3+Completed[[#This Row],[Char.]]*'Vars and Stats'!$B$4+Completed[[#This Row],[Moe]]*'Vars and Stats'!$B$5+Completed[[#This Row],[Pref]]*'Vars and Stats'!$B$6)/'Vars and Stats'!$B$11</f>
        <v>7.2474874371859297</v>
      </c>
      <c r="H104" s="60">
        <f>IF('Vars and Stats'!$B$13="Y",10*(Completed[[#This Row],[Raw]]-'Vars and Stats'!$B$9)/'Vars and Stats'!$B$10, 10*Completed[[#This Row],[Raw]]/'Vars and Stats'!$B$8)</f>
        <v>7.2657430730478589</v>
      </c>
      <c r="I104" s="54">
        <v>41449</v>
      </c>
      <c r="J104" s="54">
        <v>41451</v>
      </c>
      <c r="K104" s="56" t="s">
        <v>210</v>
      </c>
      <c r="L104" s="29"/>
    </row>
    <row r="105" spans="1:12" ht="16.5">
      <c r="A105" s="21" t="s">
        <v>97</v>
      </c>
      <c r="B105" s="28">
        <v>1</v>
      </c>
      <c r="C105" s="53">
        <v>3</v>
      </c>
      <c r="D105" s="53">
        <v>8</v>
      </c>
      <c r="E105" s="53">
        <v>9</v>
      </c>
      <c r="F105" s="53">
        <v>8</v>
      </c>
      <c r="G105" s="59">
        <f>(Completed[[#This Row],[Plot]]*'Vars and Stats'!$B$3+Completed[[#This Row],[Char.]]*'Vars and Stats'!$B$4+Completed[[#This Row],[Moe]]*'Vars and Stats'!$B$5+Completed[[#This Row],[Pref]]*'Vars and Stats'!$B$6)/'Vars and Stats'!$B$11</f>
        <v>7.1306532663316586</v>
      </c>
      <c r="H105" s="60">
        <f>IF('Vars and Stats'!$B$13="Y",10*(Completed[[#This Row],[Raw]]-'Vars and Stats'!$B$9)/'Vars and Stats'!$B$10, 10*Completed[[#This Row],[Raw]]/'Vars and Stats'!$B$8)</f>
        <v>7.1486146095717888</v>
      </c>
      <c r="I105" s="54">
        <v>41288</v>
      </c>
      <c r="J105" s="54">
        <v>41288</v>
      </c>
      <c r="K105" s="56" t="s">
        <v>213</v>
      </c>
      <c r="L105" s="29"/>
    </row>
    <row r="106" spans="1:12" ht="16.5">
      <c r="A106" s="21" t="s">
        <v>95</v>
      </c>
      <c r="B106" s="28">
        <v>5</v>
      </c>
      <c r="C106" s="53">
        <v>7.5</v>
      </c>
      <c r="D106" s="53">
        <v>8</v>
      </c>
      <c r="E106" s="53">
        <v>0.5</v>
      </c>
      <c r="F106" s="53">
        <v>7</v>
      </c>
      <c r="G106" s="59">
        <f>(Completed[[#This Row],[Plot]]*'Vars and Stats'!$B$3+Completed[[#This Row],[Char.]]*'Vars and Stats'!$B$4+Completed[[#This Row],[Moe]]*'Vars and Stats'!$B$5+Completed[[#This Row],[Pref]]*'Vars and Stats'!$B$6)/'Vars and Stats'!$B$11</f>
        <v>7.0502512562814079</v>
      </c>
      <c r="H106" s="60">
        <f>IF('Vars and Stats'!$B$13="Y",10*(Completed[[#This Row],[Raw]]-'Vars and Stats'!$B$9)/'Vars and Stats'!$B$10, 10*Completed[[#This Row],[Raw]]/'Vars and Stats'!$B$8)</f>
        <v>7.0680100755667512</v>
      </c>
      <c r="I106" s="54">
        <v>41088</v>
      </c>
      <c r="J106" s="54">
        <v>41108</v>
      </c>
      <c r="K106" s="56" t="s">
        <v>217</v>
      </c>
      <c r="L106" s="29" t="s">
        <v>318</v>
      </c>
    </row>
    <row r="107" spans="1:12" ht="16.5">
      <c r="A107" s="58" t="s">
        <v>175</v>
      </c>
      <c r="B107" s="28">
        <v>1</v>
      </c>
      <c r="C107" s="53">
        <v>6.5</v>
      </c>
      <c r="D107" s="53">
        <v>7</v>
      </c>
      <c r="E107" s="53">
        <v>4.5</v>
      </c>
      <c r="F107" s="53">
        <v>7.5</v>
      </c>
      <c r="G107" s="59">
        <f>(Completed[[#This Row],[Plot]]*'Vars and Stats'!$B$3+Completed[[#This Row],[Char.]]*'Vars and Stats'!$B$4+Completed[[#This Row],[Moe]]*'Vars and Stats'!$B$5+Completed[[#This Row],[Pref]]*'Vars and Stats'!$B$6)/'Vars and Stats'!$B$11</f>
        <v>7.0389447236180906</v>
      </c>
      <c r="H107" s="60">
        <f>IF('Vars and Stats'!$B$13="Y",10*(Completed[[#This Row],[Raw]]-'Vars and Stats'!$B$9)/'Vars and Stats'!$B$10, 10*Completed[[#This Row],[Raw]]/'Vars and Stats'!$B$8)</f>
        <v>7.0566750629722916</v>
      </c>
      <c r="I107" s="54">
        <v>41464</v>
      </c>
      <c r="J107" s="54">
        <v>41543</v>
      </c>
      <c r="K107" s="56" t="s">
        <v>270</v>
      </c>
      <c r="L107" s="29"/>
    </row>
    <row r="108" spans="1:12" ht="16.5">
      <c r="A108" s="21" t="s">
        <v>184</v>
      </c>
      <c r="B108" s="28">
        <v>1</v>
      </c>
      <c r="C108" s="53">
        <v>5</v>
      </c>
      <c r="D108" s="53">
        <v>7</v>
      </c>
      <c r="E108" s="53">
        <v>4.5</v>
      </c>
      <c r="F108" s="53">
        <v>8</v>
      </c>
      <c r="G108" s="59">
        <f>(Completed[[#This Row],[Plot]]*'Vars and Stats'!$B$3+Completed[[#This Row],[Char.]]*'Vars and Stats'!$B$4+Completed[[#This Row],[Moe]]*'Vars and Stats'!$B$5+Completed[[#This Row],[Pref]]*'Vars and Stats'!$B$6)/'Vars and Stats'!$B$11</f>
        <v>7.0138190954773867</v>
      </c>
      <c r="H108" s="60">
        <f>IF('Vars and Stats'!$B$13="Y",10*(Completed[[#This Row],[Raw]]-'Vars and Stats'!$B$9)/'Vars and Stats'!$B$10, 10*Completed[[#This Row],[Raw]]/'Vars and Stats'!$B$8)</f>
        <v>7.031486146095717</v>
      </c>
      <c r="I108" s="54">
        <v>41470</v>
      </c>
      <c r="J108" s="54">
        <v>41482</v>
      </c>
      <c r="K108" s="56" t="s">
        <v>214</v>
      </c>
      <c r="L108" s="29" t="s">
        <v>185</v>
      </c>
    </row>
    <row r="109" spans="1:12" ht="16.5">
      <c r="A109" s="21" t="s">
        <v>94</v>
      </c>
      <c r="B109" s="28">
        <v>2</v>
      </c>
      <c r="C109" s="53">
        <v>3.5</v>
      </c>
      <c r="D109" s="53">
        <v>8</v>
      </c>
      <c r="E109" s="53">
        <v>9</v>
      </c>
      <c r="F109" s="53">
        <v>7.5</v>
      </c>
      <c r="G109" s="59">
        <f>(Completed[[#This Row],[Plot]]*'Vars and Stats'!$B$3+Completed[[#This Row],[Char.]]*'Vars and Stats'!$B$4+Completed[[#This Row],[Moe]]*'Vars and Stats'!$B$5+Completed[[#This Row],[Pref]]*'Vars and Stats'!$B$6)/'Vars and Stats'!$B$11</f>
        <v>6.9723618090452257</v>
      </c>
      <c r="H109" s="60">
        <f>IF('Vars and Stats'!$B$13="Y",10*(Completed[[#This Row],[Raw]]-'Vars and Stats'!$B$9)/'Vars and Stats'!$B$10, 10*Completed[[#This Row],[Raw]]/'Vars and Stats'!$B$8)</f>
        <v>6.98992443324937</v>
      </c>
      <c r="I109" s="54">
        <v>41289</v>
      </c>
      <c r="J109" s="54">
        <v>41289</v>
      </c>
      <c r="K109" s="56" t="s">
        <v>213</v>
      </c>
      <c r="L109" s="29"/>
    </row>
    <row r="110" spans="1:12" ht="16.5">
      <c r="A110" s="21" t="s">
        <v>12</v>
      </c>
      <c r="B110" s="28">
        <v>2</v>
      </c>
      <c r="C110" s="53">
        <v>5.5</v>
      </c>
      <c r="D110" s="53">
        <v>7</v>
      </c>
      <c r="E110" s="53">
        <v>6.5</v>
      </c>
      <c r="F110" s="53">
        <v>7.5</v>
      </c>
      <c r="G110" s="59">
        <f>(Completed[[#This Row],[Plot]]*'Vars and Stats'!$B$3+Completed[[#This Row],[Char.]]*'Vars and Stats'!$B$4+Completed[[#This Row],[Moe]]*'Vars and Stats'!$B$5+Completed[[#This Row],[Pref]]*'Vars and Stats'!$B$6)/'Vars and Stats'!$B$11</f>
        <v>6.9510050251256281</v>
      </c>
      <c r="H110" s="60">
        <f>IF('Vars and Stats'!$B$13="Y",10*(Completed[[#This Row],[Raw]]-'Vars and Stats'!$B$9)/'Vars and Stats'!$B$10, 10*Completed[[#This Row],[Raw]]/'Vars and Stats'!$B$8)</f>
        <v>6.9685138539042812</v>
      </c>
      <c r="I110" s="54">
        <v>41371</v>
      </c>
      <c r="J110" s="54">
        <v>41455</v>
      </c>
      <c r="K110" s="56" t="s">
        <v>200</v>
      </c>
      <c r="L110" s="29"/>
    </row>
    <row r="111" spans="1:12" ht="16.5">
      <c r="A111" s="21" t="s">
        <v>504</v>
      </c>
      <c r="B111" s="28">
        <v>1</v>
      </c>
      <c r="C111" s="53">
        <v>7</v>
      </c>
      <c r="D111" s="53">
        <v>6.5</v>
      </c>
      <c r="E111" s="53">
        <v>2.5</v>
      </c>
      <c r="F111" s="53">
        <v>7.5</v>
      </c>
      <c r="G111" s="59">
        <f>(Completed[[#This Row],[Plot]]*'Vars and Stats'!$B$3+Completed[[#This Row],[Char.]]*'Vars and Stats'!$B$4+Completed[[#This Row],[Moe]]*'Vars and Stats'!$B$5+Completed[[#This Row],[Pref]]*'Vars and Stats'!$B$6)/'Vars and Stats'!$B$11</f>
        <v>6.9007537688442211</v>
      </c>
      <c r="H111" s="60">
        <f>IF('Vars and Stats'!$B$13="Y",10*(Completed[[#This Row],[Raw]]-'Vars and Stats'!$B$9)/'Vars and Stats'!$B$10, 10*Completed[[#This Row],[Raw]]/'Vars and Stats'!$B$8)</f>
        <v>6.9181360201511337</v>
      </c>
      <c r="I111" s="54">
        <v>41465</v>
      </c>
      <c r="J111" s="54">
        <v>41465</v>
      </c>
      <c r="K111" s="56" t="s">
        <v>196</v>
      </c>
      <c r="L111" s="29" t="s">
        <v>432</v>
      </c>
    </row>
    <row r="112" spans="1:12" ht="16.5">
      <c r="A112" s="21" t="s">
        <v>120</v>
      </c>
      <c r="B112" s="28">
        <v>1</v>
      </c>
      <c r="C112" s="53">
        <v>6.5</v>
      </c>
      <c r="D112" s="53">
        <v>7</v>
      </c>
      <c r="E112" s="53">
        <v>6.5</v>
      </c>
      <c r="F112" s="53">
        <v>7</v>
      </c>
      <c r="G112" s="59">
        <f>(Completed[[#This Row],[Plot]]*'Vars and Stats'!$B$3+Completed[[#This Row],[Char.]]*'Vars and Stats'!$B$4+Completed[[#This Row],[Moe]]*'Vars and Stats'!$B$5+Completed[[#This Row],[Pref]]*'Vars and Stats'!$B$6)/'Vars and Stats'!$B$11</f>
        <v>6.8844221105527632</v>
      </c>
      <c r="H112" s="60">
        <f>IF('Vars and Stats'!$B$13="Y",10*(Completed[[#This Row],[Raw]]-'Vars and Stats'!$B$9)/'Vars and Stats'!$B$10, 10*Completed[[#This Row],[Raw]]/'Vars and Stats'!$B$8)</f>
        <v>6.9017632241813596</v>
      </c>
      <c r="I112" s="54">
        <v>41371</v>
      </c>
      <c r="J112" s="54">
        <v>41453</v>
      </c>
      <c r="K112" s="56" t="s">
        <v>206</v>
      </c>
      <c r="L112" s="29"/>
    </row>
    <row r="113" spans="1:12" ht="16.5">
      <c r="A113" s="21" t="s">
        <v>99</v>
      </c>
      <c r="B113" s="28">
        <v>1</v>
      </c>
      <c r="C113" s="53">
        <v>7</v>
      </c>
      <c r="D113" s="53">
        <v>7</v>
      </c>
      <c r="E113" s="53">
        <v>4.5</v>
      </c>
      <c r="F113" s="53">
        <v>7</v>
      </c>
      <c r="G113" s="59">
        <f>(Completed[[#This Row],[Plot]]*'Vars and Stats'!$B$3+Completed[[#This Row],[Char.]]*'Vars and Stats'!$B$4+Completed[[#This Row],[Moe]]*'Vars and Stats'!$B$5+Completed[[#This Row],[Pref]]*'Vars and Stats'!$B$6)/'Vars and Stats'!$B$11</f>
        <v>6.8806532663316577</v>
      </c>
      <c r="H113" s="60">
        <f>IF('Vars and Stats'!$B$13="Y",10*(Completed[[#This Row],[Raw]]-'Vars and Stats'!$B$9)/'Vars and Stats'!$B$10, 10*Completed[[#This Row],[Raw]]/'Vars and Stats'!$B$8)</f>
        <v>6.8979848866498727</v>
      </c>
      <c r="I113" s="54">
        <v>41292</v>
      </c>
      <c r="J113" s="54">
        <v>41369</v>
      </c>
      <c r="K113" s="56" t="s">
        <v>221</v>
      </c>
      <c r="L113" s="29"/>
    </row>
    <row r="114" spans="1:12" ht="16.5">
      <c r="A114" s="21" t="s">
        <v>17</v>
      </c>
      <c r="B114" s="28">
        <v>1</v>
      </c>
      <c r="C114" s="53">
        <v>7</v>
      </c>
      <c r="D114" s="53">
        <v>6</v>
      </c>
      <c r="E114" s="53">
        <v>4.5</v>
      </c>
      <c r="F114" s="53">
        <v>7.5</v>
      </c>
      <c r="G114" s="59">
        <f>(Completed[[#This Row],[Plot]]*'Vars and Stats'!$B$3+Completed[[#This Row],[Char.]]*'Vars and Stats'!$B$4+Completed[[#This Row],[Moe]]*'Vars and Stats'!$B$5+Completed[[#This Row],[Pref]]*'Vars and Stats'!$B$6)/'Vars and Stats'!$B$11</f>
        <v>6.8618090452261313</v>
      </c>
      <c r="H114" s="60">
        <f>IF('Vars and Stats'!$B$13="Y",10*(Completed[[#This Row],[Raw]]-'Vars and Stats'!$B$9)/'Vars and Stats'!$B$10, 10*Completed[[#This Row],[Raw]]/'Vars and Stats'!$B$8)</f>
        <v>6.879093198992444</v>
      </c>
      <c r="I114" s="54">
        <v>41379</v>
      </c>
      <c r="J114" s="54">
        <v>41464</v>
      </c>
      <c r="K114" s="56" t="s">
        <v>220</v>
      </c>
      <c r="L114" s="29" t="s">
        <v>179</v>
      </c>
    </row>
    <row r="115" spans="1:12" ht="16.5">
      <c r="A115" s="21" t="s">
        <v>102</v>
      </c>
      <c r="B115" s="34">
        <v>2</v>
      </c>
      <c r="C115" s="69">
        <v>2</v>
      </c>
      <c r="D115" s="69">
        <v>7.5</v>
      </c>
      <c r="E115" s="69">
        <v>10</v>
      </c>
      <c r="F115" s="69">
        <v>8</v>
      </c>
      <c r="G115" s="59">
        <f>(Completed[[#This Row],[Plot]]*'Vars and Stats'!$B$3+Completed[[#This Row],[Char.]]*'Vars and Stats'!$B$4+Completed[[#This Row],[Moe]]*'Vars and Stats'!$B$5+Completed[[#This Row],[Pref]]*'Vars and Stats'!$B$6)/'Vars and Stats'!$B$11</f>
        <v>6.8605527638190953</v>
      </c>
      <c r="H115" s="60">
        <f>IF('Vars and Stats'!$B$13="Y",10*(Completed[[#This Row],[Raw]]-'Vars and Stats'!$B$9)/'Vars and Stats'!$B$10, 10*Completed[[#This Row],[Raw]]/'Vars and Stats'!$B$8)</f>
        <v>6.8778337531486136</v>
      </c>
      <c r="I115" s="16">
        <v>41229</v>
      </c>
      <c r="J115" s="16">
        <v>41230</v>
      </c>
      <c r="K115" s="72" t="s">
        <v>199</v>
      </c>
      <c r="L115" s="73"/>
    </row>
    <row r="116" spans="1:12" ht="16.5">
      <c r="A116" s="15" t="s">
        <v>383</v>
      </c>
      <c r="B116" s="34">
        <v>1</v>
      </c>
      <c r="C116" s="69">
        <v>5.5</v>
      </c>
      <c r="D116" s="69">
        <v>7</v>
      </c>
      <c r="E116" s="69">
        <v>4.5</v>
      </c>
      <c r="F116" s="69">
        <v>7.5</v>
      </c>
      <c r="G116" s="59">
        <f>(Completed[[#This Row],[Plot]]*'Vars and Stats'!$B$3+Completed[[#This Row],[Char.]]*'Vars and Stats'!$B$4+Completed[[#This Row],[Moe]]*'Vars and Stats'!$B$5+Completed[[#This Row],[Pref]]*'Vars and Stats'!$B$6)/'Vars and Stats'!$B$11</f>
        <v>6.8555276381909547</v>
      </c>
      <c r="H116" s="60">
        <f>IF('Vars and Stats'!$B$13="Y",10*(Completed[[#This Row],[Raw]]-'Vars and Stats'!$B$9)/'Vars and Stats'!$B$10, 10*Completed[[#This Row],[Raw]]/'Vars and Stats'!$B$8)</f>
        <v>6.8727959697732999</v>
      </c>
      <c r="I116" s="54">
        <v>41647</v>
      </c>
      <c r="J116" s="16">
        <v>41733</v>
      </c>
      <c r="K116" s="72" t="s">
        <v>404</v>
      </c>
      <c r="L116" s="73"/>
    </row>
    <row r="117" spans="1:12" ht="16.5">
      <c r="A117" s="15" t="s">
        <v>101</v>
      </c>
      <c r="B117" s="34">
        <v>1</v>
      </c>
      <c r="C117" s="69">
        <v>2</v>
      </c>
      <c r="D117" s="69">
        <v>7.5</v>
      </c>
      <c r="E117" s="69">
        <v>9.5</v>
      </c>
      <c r="F117" s="69">
        <v>8</v>
      </c>
      <c r="G117" s="59">
        <f>(Completed[[#This Row],[Plot]]*'Vars and Stats'!$B$3+Completed[[#This Row],[Char.]]*'Vars and Stats'!$B$4+Completed[[#This Row],[Moe]]*'Vars and Stats'!$B$5+Completed[[#This Row],[Pref]]*'Vars and Stats'!$B$6)/'Vars and Stats'!$B$11</f>
        <v>6.8366834170854274</v>
      </c>
      <c r="H117" s="60">
        <f>IF('Vars and Stats'!$B$13="Y",10*(Completed[[#This Row],[Raw]]-'Vars and Stats'!$B$9)/'Vars and Stats'!$B$10, 10*Completed[[#This Row],[Raw]]/'Vars and Stats'!$B$8)</f>
        <v>6.8539042821158693</v>
      </c>
      <c r="I117" s="54">
        <v>41228</v>
      </c>
      <c r="J117" s="16">
        <v>41229</v>
      </c>
      <c r="K117" s="72" t="s">
        <v>199</v>
      </c>
      <c r="L117" s="73"/>
    </row>
    <row r="118" spans="1:12" ht="16.5">
      <c r="A118" s="15" t="s">
        <v>284</v>
      </c>
      <c r="B118" s="34">
        <v>1</v>
      </c>
      <c r="C118" s="69">
        <v>5</v>
      </c>
      <c r="D118" s="69">
        <v>7.5</v>
      </c>
      <c r="E118" s="69">
        <v>7.5</v>
      </c>
      <c r="F118" s="69">
        <v>6.5</v>
      </c>
      <c r="G118" s="59">
        <f>(Completed[[#This Row],[Plot]]*'Vars and Stats'!$B$3+Completed[[#This Row],[Char.]]*'Vars and Stats'!$B$4+Completed[[#This Row],[Moe]]*'Vars and Stats'!$B$5+Completed[[#This Row],[Pref]]*'Vars and Stats'!$B$6)/'Vars and Stats'!$B$11</f>
        <v>6.5414572864321618</v>
      </c>
      <c r="H118" s="60">
        <f>IF('Vars and Stats'!$B$13="Y",10*(Completed[[#This Row],[Raw]]-'Vars and Stats'!$B$9)/'Vars and Stats'!$B$10, 10*Completed[[#This Row],[Raw]]/'Vars and Stats'!$B$8)</f>
        <v>6.5579345088161212</v>
      </c>
      <c r="I118" s="16">
        <v>41550</v>
      </c>
      <c r="J118" s="16">
        <v>41634</v>
      </c>
      <c r="K118" s="72" t="s">
        <v>284</v>
      </c>
      <c r="L118" s="73" t="s">
        <v>348</v>
      </c>
    </row>
    <row r="119" spans="1:12" ht="16.5">
      <c r="A119" s="15" t="s">
        <v>416</v>
      </c>
      <c r="B119" s="34">
        <v>1</v>
      </c>
      <c r="C119" s="69">
        <v>6</v>
      </c>
      <c r="D119" s="69">
        <v>7.5</v>
      </c>
      <c r="E119" s="69">
        <v>6</v>
      </c>
      <c r="F119" s="69">
        <v>6</v>
      </c>
      <c r="G119" s="70">
        <f>(Completed[[#This Row],[Plot]]*'Vars and Stats'!$B$3+Completed[[#This Row],[Char.]]*'Vars and Stats'!$B$4+Completed[[#This Row],[Moe]]*'Vars and Stats'!$B$5+Completed[[#This Row],[Pref]]*'Vars and Stats'!$B$6)/'Vars and Stats'!$B$11</f>
        <v>6.4032663316582914</v>
      </c>
      <c r="H119" s="71">
        <f>IF('Vars and Stats'!$B$13="Y",10*(Completed[[#This Row],[Raw]]-'Vars and Stats'!$B$9)/'Vars and Stats'!$B$10, 10*Completed[[#This Row],[Raw]]/'Vars and Stats'!$B$8)</f>
        <v>6.4193954659949615</v>
      </c>
      <c r="I119" s="54">
        <v>41796</v>
      </c>
      <c r="J119" s="16">
        <v>41820</v>
      </c>
      <c r="K119" s="72" t="s">
        <v>591</v>
      </c>
      <c r="L119" s="73" t="s">
        <v>592</v>
      </c>
    </row>
    <row r="120" spans="1:12" ht="16.5">
      <c r="A120" s="15" t="s">
        <v>131</v>
      </c>
      <c r="B120" s="34">
        <v>1</v>
      </c>
      <c r="C120" s="69">
        <v>3</v>
      </c>
      <c r="D120" s="69">
        <v>6.5</v>
      </c>
      <c r="E120" s="69">
        <v>6.5</v>
      </c>
      <c r="F120" s="69">
        <v>7.5</v>
      </c>
      <c r="G120" s="59">
        <f>(Completed[[#This Row],[Plot]]*'Vars and Stats'!$B$3+Completed[[#This Row],[Char.]]*'Vars and Stats'!$B$4+Completed[[#This Row],[Moe]]*'Vars and Stats'!$B$5+Completed[[#This Row],[Pref]]*'Vars and Stats'!$B$6)/'Vars and Stats'!$B$11</f>
        <v>6.358040201005025</v>
      </c>
      <c r="H120" s="60">
        <f>IF('Vars and Stats'!$B$13="Y",10*(Completed[[#This Row],[Raw]]-'Vars and Stats'!$B$9)/'Vars and Stats'!$B$10, 10*Completed[[#This Row],[Raw]]/'Vars and Stats'!$B$8)</f>
        <v>6.3740554156171276</v>
      </c>
      <c r="I120" s="54">
        <v>41448</v>
      </c>
      <c r="J120" s="16">
        <v>41455</v>
      </c>
      <c r="K120" s="72" t="s">
        <v>209</v>
      </c>
      <c r="L120" s="73" t="s">
        <v>134</v>
      </c>
    </row>
    <row r="121" spans="1:12" ht="16.5">
      <c r="A121" s="15" t="s">
        <v>425</v>
      </c>
      <c r="B121" s="34">
        <v>1</v>
      </c>
      <c r="C121" s="69">
        <v>5</v>
      </c>
      <c r="D121" s="69">
        <v>6.5</v>
      </c>
      <c r="E121" s="69">
        <v>8</v>
      </c>
      <c r="F121" s="69">
        <v>6.5</v>
      </c>
      <c r="G121" s="70">
        <f>(Completed[[#This Row],[Plot]]*'Vars and Stats'!$B$3+Completed[[#This Row],[Char.]]*'Vars and Stats'!$B$4+Completed[[#This Row],[Moe]]*'Vars and Stats'!$B$5+Completed[[#This Row],[Pref]]*'Vars and Stats'!$B$6)/'Vars and Stats'!$B$11</f>
        <v>6.2964824120603025</v>
      </c>
      <c r="H121" s="71">
        <f>IF('Vars and Stats'!$B$13="Y",10*(Completed[[#This Row],[Raw]]-'Vars and Stats'!$B$9)/'Vars and Stats'!$B$10, 10*Completed[[#This Row],[Raw]]/'Vars and Stats'!$B$8)</f>
        <v>6.3123425692695223</v>
      </c>
      <c r="I121" s="54">
        <v>41785</v>
      </c>
      <c r="J121" s="16">
        <v>41814</v>
      </c>
      <c r="K121" s="72" t="s">
        <v>570</v>
      </c>
      <c r="L121" s="73"/>
    </row>
    <row r="122" spans="1:12" ht="16.5">
      <c r="A122" s="15" t="s">
        <v>290</v>
      </c>
      <c r="B122" s="34">
        <v>1</v>
      </c>
      <c r="C122" s="69">
        <v>6.5</v>
      </c>
      <c r="D122" s="69">
        <v>5.5</v>
      </c>
      <c r="E122" s="69">
        <v>7.5</v>
      </c>
      <c r="F122" s="69">
        <v>6.5</v>
      </c>
      <c r="G122" s="59">
        <f>(Completed[[#This Row],[Plot]]*'Vars and Stats'!$B$3+Completed[[#This Row],[Char.]]*'Vars and Stats'!$B$4+Completed[[#This Row],[Moe]]*'Vars and Stats'!$B$5+Completed[[#This Row],[Pref]]*'Vars and Stats'!$B$6)/'Vars and Stats'!$B$11</f>
        <v>6.2788944723618094</v>
      </c>
      <c r="H122" s="60">
        <f>IF('Vars and Stats'!$B$13="Y",10*(Completed[[#This Row],[Raw]]-'Vars and Stats'!$B$9)/'Vars and Stats'!$B$10, 10*Completed[[#This Row],[Raw]]/'Vars and Stats'!$B$8)</f>
        <v>6.2947103274559195</v>
      </c>
      <c r="I122" s="54">
        <v>41560</v>
      </c>
      <c r="J122" s="16">
        <v>41618</v>
      </c>
      <c r="K122" s="72" t="s">
        <v>342</v>
      </c>
      <c r="L122" s="73"/>
    </row>
    <row r="123" spans="1:12" ht="16.5">
      <c r="A123" s="15" t="s">
        <v>176</v>
      </c>
      <c r="B123" s="34">
        <v>1</v>
      </c>
      <c r="C123" s="69">
        <v>2.5</v>
      </c>
      <c r="D123" s="69">
        <v>7.5</v>
      </c>
      <c r="E123" s="69">
        <v>5.5</v>
      </c>
      <c r="F123" s="69">
        <v>6</v>
      </c>
      <c r="G123" s="59">
        <f>(Completed[[#This Row],[Plot]]*'Vars and Stats'!$B$3+Completed[[#This Row],[Char.]]*'Vars and Stats'!$B$4+Completed[[#This Row],[Moe]]*'Vars and Stats'!$B$5+Completed[[#This Row],[Pref]]*'Vars and Stats'!$B$6)/'Vars and Stats'!$B$11</f>
        <v>5.7374371859296485</v>
      </c>
      <c r="H123" s="60">
        <f>IF('Vars and Stats'!$B$13="Y",10*(Completed[[#This Row],[Raw]]-'Vars and Stats'!$B$9)/'Vars and Stats'!$B$10, 10*Completed[[#This Row],[Raw]]/'Vars and Stats'!$B$8)</f>
        <v>5.751889168765743</v>
      </c>
      <c r="I123" s="54">
        <v>41488</v>
      </c>
      <c r="J123" s="16">
        <v>41492</v>
      </c>
      <c r="K123" s="72" t="s">
        <v>244</v>
      </c>
      <c r="L123" s="73" t="s">
        <v>441</v>
      </c>
    </row>
    <row r="124" spans="1:12" ht="16.5">
      <c r="A124" s="15" t="s">
        <v>103</v>
      </c>
      <c r="B124" s="34">
        <v>1</v>
      </c>
      <c r="C124" s="69">
        <v>5.5</v>
      </c>
      <c r="D124" s="69">
        <v>5.5</v>
      </c>
      <c r="E124" s="69">
        <v>5</v>
      </c>
      <c r="F124" s="69">
        <v>6</v>
      </c>
      <c r="G124" s="59">
        <f>(Completed[[#This Row],[Plot]]*'Vars and Stats'!$B$3+Completed[[#This Row],[Char.]]*'Vars and Stats'!$B$4+Completed[[#This Row],[Moe]]*'Vars and Stats'!$B$5+Completed[[#This Row],[Pref]]*'Vars and Stats'!$B$6)/'Vars and Stats'!$B$11</f>
        <v>5.7261306532663312</v>
      </c>
      <c r="H124" s="60">
        <f>IF('Vars and Stats'!$B$13="Y",10*(Completed[[#This Row],[Raw]]-'Vars and Stats'!$B$9)/'Vars and Stats'!$B$10, 10*Completed[[#This Row],[Raw]]/'Vars and Stats'!$B$8)</f>
        <v>5.7405541561712843</v>
      </c>
      <c r="I124" s="16">
        <v>41302</v>
      </c>
      <c r="J124" s="16">
        <v>41360</v>
      </c>
      <c r="K124" s="72" t="s">
        <v>211</v>
      </c>
      <c r="L124" s="73"/>
    </row>
    <row r="125" spans="1:12" ht="16.5">
      <c r="A125" s="15" t="s">
        <v>387</v>
      </c>
      <c r="B125" s="34">
        <v>1</v>
      </c>
      <c r="C125" s="69">
        <v>1.5</v>
      </c>
      <c r="D125" s="69">
        <v>5</v>
      </c>
      <c r="E125" s="69">
        <v>4</v>
      </c>
      <c r="F125" s="69">
        <v>6.5</v>
      </c>
      <c r="G125" s="59">
        <f>(Completed[[#This Row],[Plot]]*'Vars and Stats'!$B$3+Completed[[#This Row],[Char.]]*'Vars and Stats'!$B$4+Completed[[#This Row],[Moe]]*'Vars and Stats'!$B$5+Completed[[#This Row],[Pref]]*'Vars and Stats'!$B$6)/'Vars and Stats'!$B$11</f>
        <v>5.0603015075376883</v>
      </c>
      <c r="H125" s="60">
        <f>IF('Vars and Stats'!$B$13="Y",10*(Completed[[#This Row],[Raw]]-'Vars and Stats'!$B$9)/'Vars and Stats'!$B$10, 10*Completed[[#This Row],[Raw]]/'Vars and Stats'!$B$8)</f>
        <v>5.0730478589420649</v>
      </c>
      <c r="I125" s="16">
        <v>41705</v>
      </c>
      <c r="J125" s="16">
        <v>41705</v>
      </c>
      <c r="K125" s="72" t="s">
        <v>388</v>
      </c>
      <c r="L125" s="73" t="s">
        <v>389</v>
      </c>
    </row>
    <row r="126" spans="1:12" ht="16.5">
      <c r="A126" s="15" t="s">
        <v>104</v>
      </c>
      <c r="B126" s="34">
        <v>1</v>
      </c>
      <c r="C126" s="69">
        <v>3.5</v>
      </c>
      <c r="D126" s="69">
        <v>5.5</v>
      </c>
      <c r="E126" s="69">
        <v>6</v>
      </c>
      <c r="F126" s="69">
        <v>5</v>
      </c>
      <c r="G126" s="59">
        <f>(Completed[[#This Row],[Plot]]*'Vars and Stats'!$B$3+Completed[[#This Row],[Char.]]*'Vars and Stats'!$B$4+Completed[[#This Row],[Moe]]*'Vars and Stats'!$B$5+Completed[[#This Row],[Pref]]*'Vars and Stats'!$B$6)/'Vars and Stats'!$B$11</f>
        <v>4.9070351758793969</v>
      </c>
      <c r="H126" s="60">
        <f>IF('Vars and Stats'!$B$13="Y",10*(Completed[[#This Row],[Raw]]-'Vars and Stats'!$B$9)/'Vars and Stats'!$B$10, 10*Completed[[#This Row],[Raw]]/'Vars and Stats'!$B$8)</f>
        <v>4.9193954659949615</v>
      </c>
      <c r="I126" s="16">
        <v>40674</v>
      </c>
      <c r="J126" s="16">
        <v>40675</v>
      </c>
      <c r="K126" s="78" t="s">
        <v>124</v>
      </c>
      <c r="L126" s="73"/>
    </row>
    <row r="127" spans="1:12" ht="16.5">
      <c r="A127" s="15" t="s">
        <v>105</v>
      </c>
      <c r="B127" s="34">
        <v>1</v>
      </c>
      <c r="C127" s="69">
        <v>3</v>
      </c>
      <c r="D127" s="69">
        <v>2</v>
      </c>
      <c r="E127" s="69">
        <v>7</v>
      </c>
      <c r="F127" s="69">
        <v>3</v>
      </c>
      <c r="G127" s="59">
        <f>(Completed[[#This Row],[Plot]]*'Vars and Stats'!$B$3+Completed[[#This Row],[Char.]]*'Vars and Stats'!$B$4+Completed[[#This Row],[Moe]]*'Vars and Stats'!$B$5+Completed[[#This Row],[Pref]]*'Vars and Stats'!$B$6)/'Vars and Stats'!$B$11</f>
        <v>2.9221105527638187</v>
      </c>
      <c r="H127" s="60">
        <f>IF('Vars and Stats'!$B$13="Y",10*(Completed[[#This Row],[Raw]]-'Vars and Stats'!$B$9)/'Vars and Stats'!$B$10, 10*Completed[[#This Row],[Raw]]/'Vars and Stats'!$B$8)</f>
        <v>2.9294710327455915</v>
      </c>
      <c r="I127" s="16">
        <v>41254</v>
      </c>
      <c r="J127" s="16">
        <v>41264</v>
      </c>
      <c r="K127" s="72" t="s">
        <v>222</v>
      </c>
      <c r="L127" s="73"/>
    </row>
    <row r="128" spans="1:12" ht="16.5">
      <c r="A128" s="15" t="s">
        <v>19</v>
      </c>
      <c r="B128" s="34">
        <v>1</v>
      </c>
      <c r="C128" s="69">
        <v>1.5</v>
      </c>
      <c r="D128" s="69">
        <v>2</v>
      </c>
      <c r="E128" s="69">
        <v>4</v>
      </c>
      <c r="F128" s="69">
        <v>3</v>
      </c>
      <c r="G128" s="59">
        <f>(Completed[[#This Row],[Plot]]*'Vars and Stats'!$B$3+Completed[[#This Row],[Char.]]*'Vars and Stats'!$B$4+Completed[[#This Row],[Moe]]*'Vars and Stats'!$B$5+Completed[[#This Row],[Pref]]*'Vars and Stats'!$B$6)/'Vars and Stats'!$B$11</f>
        <v>2.5037688442211055</v>
      </c>
      <c r="H128" s="60">
        <f>IF('Vars and Stats'!$B$13="Y",10*(Completed[[#This Row],[Raw]]-'Vars and Stats'!$B$9)/'Vars and Stats'!$B$10, 10*Completed[[#This Row],[Raw]]/'Vars and Stats'!$B$8)</f>
        <v>2.5100755667506296</v>
      </c>
      <c r="I128" s="16">
        <v>41355</v>
      </c>
      <c r="J128" s="16">
        <v>41451</v>
      </c>
      <c r="K128" s="72" t="s">
        <v>124</v>
      </c>
      <c r="L128" s="73" t="s">
        <v>129</v>
      </c>
    </row>
  </sheetData>
  <mergeCells count="1">
    <mergeCell ref="A1:L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16"/>
  <sheetViews>
    <sheetView showGridLines="0" workbookViewId="0">
      <selection activeCell="A3" sqref="A3"/>
    </sheetView>
  </sheetViews>
  <sheetFormatPr defaultRowHeight="15"/>
  <cols>
    <col min="1" max="1" width="35.140625" style="4" customWidth="1"/>
    <col min="2" max="2" width="6.42578125" style="8" bestFit="1" customWidth="1"/>
    <col min="3" max="3" width="14.7109375" style="3" customWidth="1"/>
    <col min="4" max="4" width="15.7109375" style="5" customWidth="1"/>
  </cols>
  <sheetData>
    <row r="1" spans="1:4" ht="16.5">
      <c r="A1" s="211" t="s">
        <v>444</v>
      </c>
      <c r="B1" s="212"/>
      <c r="C1" s="212"/>
      <c r="D1" s="213"/>
    </row>
    <row r="2" spans="1:4" ht="16.5">
      <c r="A2" s="10" t="s">
        <v>3</v>
      </c>
      <c r="B2" s="20" t="s">
        <v>156</v>
      </c>
      <c r="C2" s="9" t="s">
        <v>437</v>
      </c>
      <c r="D2" s="11" t="s">
        <v>439</v>
      </c>
    </row>
    <row r="3" spans="1:4" ht="16.5">
      <c r="A3" s="21" t="s">
        <v>148</v>
      </c>
      <c r="B3" s="22">
        <v>1</v>
      </c>
      <c r="C3" s="14">
        <v>41483</v>
      </c>
      <c r="D3" s="14">
        <v>41484</v>
      </c>
    </row>
    <row r="4" spans="1:4" ht="16.5">
      <c r="A4" s="15" t="s">
        <v>42</v>
      </c>
      <c r="B4" s="13">
        <v>1</v>
      </c>
      <c r="C4" s="14">
        <v>41515</v>
      </c>
      <c r="D4" s="14">
        <v>41515</v>
      </c>
    </row>
    <row r="5" spans="1:4" ht="16.5">
      <c r="A5" s="15" t="s">
        <v>42</v>
      </c>
      <c r="B5" s="13">
        <v>1</v>
      </c>
      <c r="C5" s="14">
        <v>41608</v>
      </c>
      <c r="D5" s="14">
        <v>41973</v>
      </c>
    </row>
    <row r="6" spans="1:4" ht="16.5">
      <c r="A6" s="21" t="s">
        <v>126</v>
      </c>
      <c r="B6" s="22">
        <v>1</v>
      </c>
      <c r="C6" s="89">
        <v>41696</v>
      </c>
      <c r="D6" s="89">
        <v>41700</v>
      </c>
    </row>
    <row r="7" spans="1:4" ht="16.5">
      <c r="A7" s="15" t="s">
        <v>108</v>
      </c>
      <c r="B7" s="13">
        <v>1</v>
      </c>
      <c r="C7" s="14">
        <v>41706</v>
      </c>
      <c r="D7" s="14">
        <v>41714</v>
      </c>
    </row>
    <row r="8" spans="1:4" ht="16.5">
      <c r="A8" s="15" t="s">
        <v>167</v>
      </c>
      <c r="B8" s="13">
        <v>1</v>
      </c>
      <c r="C8" s="14">
        <v>41725</v>
      </c>
      <c r="D8" s="14">
        <v>41728</v>
      </c>
    </row>
    <row r="9" spans="1:4" ht="16.5">
      <c r="A9" s="37" t="s">
        <v>482</v>
      </c>
      <c r="B9" s="39">
        <v>1</v>
      </c>
      <c r="C9" s="12">
        <v>41731</v>
      </c>
      <c r="D9" s="12">
        <v>41737</v>
      </c>
    </row>
    <row r="10" spans="1:4" ht="16.5">
      <c r="A10" s="15" t="s">
        <v>121</v>
      </c>
      <c r="B10" s="13">
        <v>1</v>
      </c>
      <c r="C10" s="14">
        <v>41769</v>
      </c>
      <c r="D10" s="14">
        <v>41777</v>
      </c>
    </row>
    <row r="11" spans="1:4" ht="16.5">
      <c r="A11" s="15" t="s">
        <v>88</v>
      </c>
      <c r="B11" s="13">
        <v>1</v>
      </c>
      <c r="C11" s="14">
        <v>41789</v>
      </c>
      <c r="D11" s="14">
        <v>41792</v>
      </c>
    </row>
    <row r="12" spans="1:4" ht="16.5">
      <c r="A12" s="15" t="s">
        <v>24</v>
      </c>
      <c r="B12" s="13">
        <v>1</v>
      </c>
      <c r="C12" s="14">
        <v>41793</v>
      </c>
      <c r="D12" s="14">
        <v>41793</v>
      </c>
    </row>
    <row r="13" spans="1:4" ht="16.5">
      <c r="A13" s="15" t="s">
        <v>180</v>
      </c>
      <c r="B13" s="13">
        <v>1</v>
      </c>
      <c r="C13" s="14">
        <v>41794</v>
      </c>
      <c r="D13" s="14">
        <v>41795</v>
      </c>
    </row>
    <row r="14" spans="1:4" ht="16.5">
      <c r="A14" s="37" t="s">
        <v>84</v>
      </c>
      <c r="B14" s="39">
        <v>1</v>
      </c>
      <c r="C14" s="14">
        <v>41798</v>
      </c>
      <c r="D14" s="12">
        <v>41826</v>
      </c>
    </row>
    <row r="15" spans="1:4" ht="16.5">
      <c r="A15" s="15" t="s">
        <v>155</v>
      </c>
      <c r="B15" s="13">
        <v>1</v>
      </c>
      <c r="C15" s="14">
        <v>41823</v>
      </c>
      <c r="D15" s="14">
        <v>41827</v>
      </c>
    </row>
    <row r="16" spans="1:4" ht="16.5">
      <c r="A16" s="15" t="s">
        <v>174</v>
      </c>
      <c r="B16" s="13">
        <v>1</v>
      </c>
      <c r="C16" s="14">
        <v>41833</v>
      </c>
      <c r="D16" s="14">
        <v>41845</v>
      </c>
    </row>
  </sheetData>
  <mergeCells count="1">
    <mergeCell ref="A1:D1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9"/>
  <sheetViews>
    <sheetView showGridLines="0" zoomScaleNormal="100" workbookViewId="0">
      <selection activeCell="D19" sqref="D19"/>
    </sheetView>
  </sheetViews>
  <sheetFormatPr defaultRowHeight="15"/>
  <cols>
    <col min="1" max="1" width="34.42578125" bestFit="1" customWidth="1"/>
    <col min="2" max="2" width="6.42578125" bestFit="1" customWidth="1"/>
    <col min="3" max="3" width="6.28515625" customWidth="1"/>
    <col min="4" max="4" width="70.85546875" style="5" bestFit="1" customWidth="1"/>
    <col min="11" max="11" width="3.140625" customWidth="1"/>
  </cols>
  <sheetData>
    <row r="1" spans="1:8" ht="16.5">
      <c r="A1" s="206" t="s">
        <v>55</v>
      </c>
      <c r="B1" s="207"/>
      <c r="C1" s="207"/>
      <c r="D1" s="208"/>
      <c r="E1" s="2"/>
      <c r="F1" s="1"/>
      <c r="G1" s="1"/>
      <c r="H1" s="1"/>
    </row>
    <row r="2" spans="1:8" ht="16.5">
      <c r="A2" s="10" t="s">
        <v>3</v>
      </c>
      <c r="B2" s="9" t="s">
        <v>156</v>
      </c>
      <c r="C2" s="9" t="s">
        <v>353</v>
      </c>
      <c r="D2" s="79" t="s">
        <v>57</v>
      </c>
      <c r="E2" s="2"/>
      <c r="F2" s="1"/>
      <c r="G2" s="1"/>
      <c r="H2" s="1"/>
    </row>
    <row r="3" spans="1:8" ht="16.5">
      <c r="A3" s="6" t="s">
        <v>61</v>
      </c>
      <c r="B3" s="7">
        <v>15</v>
      </c>
      <c r="C3" s="6">
        <v>580</v>
      </c>
      <c r="D3" s="7" t="s">
        <v>581</v>
      </c>
      <c r="E3" s="2"/>
      <c r="F3" s="1"/>
      <c r="G3" s="1"/>
      <c r="H3" s="1"/>
    </row>
    <row r="4" spans="1:8" ht="16.5">
      <c r="A4" s="6" t="s">
        <v>63</v>
      </c>
      <c r="B4" s="7">
        <v>9</v>
      </c>
      <c r="C4" s="6">
        <v>178</v>
      </c>
      <c r="D4" s="7" t="s">
        <v>581</v>
      </c>
      <c r="E4" s="2"/>
      <c r="F4" s="1"/>
      <c r="G4" s="1"/>
      <c r="H4" s="1"/>
    </row>
    <row r="5" spans="1:8" ht="16.5">
      <c r="A5" s="6" t="s">
        <v>67</v>
      </c>
      <c r="B5" s="7">
        <v>1</v>
      </c>
      <c r="C5" s="6">
        <v>12</v>
      </c>
      <c r="D5" s="7" t="s">
        <v>581</v>
      </c>
      <c r="E5" s="2"/>
      <c r="F5" s="1"/>
      <c r="G5" s="1"/>
      <c r="H5" s="1"/>
    </row>
    <row r="6" spans="1:8" ht="16.5">
      <c r="A6" s="6" t="s">
        <v>70</v>
      </c>
      <c r="B6" s="7">
        <v>4</v>
      </c>
      <c r="C6" s="6">
        <v>175</v>
      </c>
      <c r="D6" s="7" t="s">
        <v>582</v>
      </c>
      <c r="E6" s="2"/>
      <c r="F6" s="1"/>
      <c r="G6" s="1"/>
      <c r="H6" s="1"/>
    </row>
    <row r="7" spans="1:8" ht="16.5">
      <c r="A7" s="6" t="s">
        <v>74</v>
      </c>
      <c r="B7" s="7">
        <v>1</v>
      </c>
      <c r="C7" s="6">
        <v>13</v>
      </c>
      <c r="D7" s="7" t="s">
        <v>75</v>
      </c>
      <c r="E7" s="2"/>
      <c r="F7" s="1"/>
      <c r="G7" s="1"/>
      <c r="H7" s="1"/>
    </row>
    <row r="8" spans="1:8" ht="16.5">
      <c r="A8" s="6" t="s">
        <v>223</v>
      </c>
      <c r="B8" s="7">
        <v>1</v>
      </c>
      <c r="C8" s="6">
        <v>3</v>
      </c>
      <c r="D8" s="7" t="s">
        <v>225</v>
      </c>
      <c r="E8" s="2"/>
      <c r="F8" s="1"/>
      <c r="G8" s="1"/>
      <c r="H8" s="1"/>
    </row>
    <row r="9" spans="1:8" ht="16.5">
      <c r="A9" s="38" t="s">
        <v>288</v>
      </c>
      <c r="B9" s="80">
        <v>1</v>
      </c>
      <c r="C9" s="38">
        <v>3</v>
      </c>
      <c r="D9" s="80" t="s">
        <v>294</v>
      </c>
      <c r="E9" s="2"/>
      <c r="F9" s="1"/>
      <c r="G9" s="1"/>
      <c r="H9" s="1"/>
    </row>
  </sheetData>
  <mergeCells count="1">
    <mergeCell ref="A1:D1"/>
  </mergeCells>
  <phoneticPr fontId="4"/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24"/>
  <sheetViews>
    <sheetView showGridLines="0" workbookViewId="0">
      <selection activeCell="G13" sqref="G13:I13"/>
    </sheetView>
  </sheetViews>
  <sheetFormatPr defaultRowHeight="16.5"/>
  <cols>
    <col min="1" max="1" width="48.7109375" style="30" customWidth="1"/>
    <col min="2" max="2" width="14.7109375" style="31" bestFit="1" customWidth="1"/>
    <col min="3" max="3" width="3.85546875" style="23" bestFit="1" customWidth="1"/>
    <col min="4" max="4" width="20.7109375" style="23" customWidth="1"/>
    <col min="5" max="5" width="30.5703125" style="23" customWidth="1"/>
    <col min="6" max="6" width="3.85546875" style="23" bestFit="1" customWidth="1"/>
    <col min="7" max="7" width="35.42578125" style="30" bestFit="1" customWidth="1"/>
    <col min="8" max="8" width="6.5703125" style="40" bestFit="1" customWidth="1"/>
    <col min="9" max="9" width="32.5703125" style="121" customWidth="1"/>
    <col min="10" max="10" width="17.85546875" style="23" customWidth="1"/>
    <col min="11" max="16384" width="9.140625" style="23"/>
  </cols>
  <sheetData>
    <row r="1" spans="1:9">
      <c r="A1" s="209" t="s">
        <v>298</v>
      </c>
      <c r="B1" s="210"/>
      <c r="C1" s="41" t="s">
        <v>630</v>
      </c>
      <c r="D1" s="197" t="s">
        <v>159</v>
      </c>
      <c r="E1" s="199"/>
      <c r="F1" s="23" t="s">
        <v>630</v>
      </c>
      <c r="G1" s="197" t="s">
        <v>627</v>
      </c>
      <c r="H1" s="198"/>
      <c r="I1" s="199"/>
    </row>
    <row r="2" spans="1:9">
      <c r="A2" s="42" t="s">
        <v>474</v>
      </c>
      <c r="B2" s="43" t="s">
        <v>4</v>
      </c>
      <c r="D2" s="25" t="s">
        <v>106</v>
      </c>
      <c r="E2" s="25" t="s">
        <v>3</v>
      </c>
      <c r="G2" s="43" t="s">
        <v>3</v>
      </c>
      <c r="H2" s="43" t="s">
        <v>629</v>
      </c>
      <c r="I2" s="43" t="s">
        <v>634</v>
      </c>
    </row>
    <row r="3" spans="1:9">
      <c r="A3" s="21" t="s">
        <v>297</v>
      </c>
      <c r="B3" s="29" t="s">
        <v>475</v>
      </c>
      <c r="D3" s="21" t="s">
        <v>158</v>
      </c>
      <c r="E3" s="29" t="s">
        <v>111</v>
      </c>
      <c r="G3" s="21" t="s">
        <v>618</v>
      </c>
      <c r="H3" s="28" t="s">
        <v>110</v>
      </c>
      <c r="I3" s="29" t="s">
        <v>637</v>
      </c>
    </row>
    <row r="4" spans="1:9">
      <c r="A4" s="21" t="s">
        <v>299</v>
      </c>
      <c r="B4" s="29" t="s">
        <v>475</v>
      </c>
      <c r="D4" s="21" t="s">
        <v>164</v>
      </c>
      <c r="E4" s="29" t="s">
        <v>36</v>
      </c>
      <c r="G4" s="21" t="s">
        <v>619</v>
      </c>
      <c r="H4" s="28" t="s">
        <v>110</v>
      </c>
      <c r="I4" s="29" t="s">
        <v>670</v>
      </c>
    </row>
    <row r="5" spans="1:9">
      <c r="A5" s="21" t="s">
        <v>477</v>
      </c>
      <c r="B5" s="29" t="s">
        <v>476</v>
      </c>
      <c r="D5" s="21" t="s">
        <v>163</v>
      </c>
      <c r="E5" s="29" t="s">
        <v>107</v>
      </c>
      <c r="F5" s="23" t="s">
        <v>157</v>
      </c>
      <c r="G5" s="21" t="s">
        <v>620</v>
      </c>
      <c r="H5" s="28" t="s">
        <v>628</v>
      </c>
      <c r="I5" s="29" t="s">
        <v>635</v>
      </c>
    </row>
    <row r="6" spans="1:9">
      <c r="A6" s="21" t="s">
        <v>445</v>
      </c>
      <c r="B6" s="29" t="s">
        <v>475</v>
      </c>
      <c r="D6" s="21" t="s">
        <v>296</v>
      </c>
      <c r="E6" s="29" t="s">
        <v>282</v>
      </c>
      <c r="G6" s="21" t="s">
        <v>621</v>
      </c>
      <c r="H6" s="28" t="s">
        <v>628</v>
      </c>
      <c r="I6" s="29" t="s">
        <v>635</v>
      </c>
    </row>
    <row r="7" spans="1:9">
      <c r="A7" s="21" t="s">
        <v>614</v>
      </c>
      <c r="B7" s="29" t="s">
        <v>476</v>
      </c>
      <c r="D7" s="21" t="s">
        <v>291</v>
      </c>
      <c r="E7" s="29" t="s">
        <v>280</v>
      </c>
      <c r="G7" s="21" t="s">
        <v>622</v>
      </c>
      <c r="H7" s="28" t="s">
        <v>110</v>
      </c>
      <c r="I7" s="29"/>
    </row>
    <row r="8" spans="1:9">
      <c r="A8" s="21"/>
      <c r="B8" s="29"/>
      <c r="D8" s="21" t="s">
        <v>165</v>
      </c>
      <c r="E8" s="29" t="s">
        <v>123</v>
      </c>
      <c r="G8" s="21" t="s">
        <v>623</v>
      </c>
      <c r="H8" s="28" t="s">
        <v>110</v>
      </c>
      <c r="I8" s="29" t="s">
        <v>669</v>
      </c>
    </row>
    <row r="9" spans="1:9">
      <c r="A9" s="21"/>
      <c r="B9" s="29"/>
      <c r="D9" s="21" t="s">
        <v>162</v>
      </c>
      <c r="E9" s="29" t="s">
        <v>118</v>
      </c>
      <c r="G9" s="21" t="s">
        <v>624</v>
      </c>
      <c r="H9" s="28" t="s">
        <v>110</v>
      </c>
      <c r="I9" s="29" t="s">
        <v>635</v>
      </c>
    </row>
    <row r="10" spans="1:9">
      <c r="A10" s="21"/>
      <c r="B10" s="29"/>
      <c r="D10" s="21" t="s">
        <v>160</v>
      </c>
      <c r="E10" s="29" t="s">
        <v>28</v>
      </c>
      <c r="G10" s="21" t="s">
        <v>625</v>
      </c>
      <c r="H10" s="28" t="s">
        <v>110</v>
      </c>
      <c r="I10" s="29" t="s">
        <v>635</v>
      </c>
    </row>
    <row r="11" spans="1:9">
      <c r="A11" s="21"/>
      <c r="B11" s="29"/>
      <c r="D11" s="46" t="s">
        <v>575</v>
      </c>
      <c r="E11" s="47" t="s">
        <v>430</v>
      </c>
      <c r="G11" s="21" t="s">
        <v>626</v>
      </c>
      <c r="H11" s="28" t="s">
        <v>110</v>
      </c>
      <c r="I11" s="29" t="s">
        <v>669</v>
      </c>
    </row>
    <row r="12" spans="1:9">
      <c r="A12" s="21"/>
      <c r="B12" s="29"/>
      <c r="G12" s="21" t="s">
        <v>636</v>
      </c>
      <c r="H12" s="28" t="s">
        <v>628</v>
      </c>
      <c r="I12" s="29" t="s">
        <v>669</v>
      </c>
    </row>
    <row r="13" spans="1:9">
      <c r="A13" s="21"/>
      <c r="B13" s="29"/>
      <c r="G13" s="21" t="s">
        <v>668</v>
      </c>
      <c r="H13" s="28" t="s">
        <v>110</v>
      </c>
      <c r="I13" s="29" t="s">
        <v>669</v>
      </c>
    </row>
    <row r="14" spans="1:9">
      <c r="A14" s="21"/>
      <c r="B14" s="29"/>
      <c r="D14" s="44" t="s">
        <v>641</v>
      </c>
      <c r="E14" s="45">
        <v>1.4</v>
      </c>
      <c r="G14" s="21" t="s">
        <v>638</v>
      </c>
      <c r="H14" s="28" t="s">
        <v>110</v>
      </c>
      <c r="I14" s="29" t="s">
        <v>286</v>
      </c>
    </row>
    <row r="15" spans="1:9">
      <c r="A15" s="21"/>
      <c r="B15" s="29"/>
      <c r="G15" s="21"/>
      <c r="H15" s="28"/>
      <c r="I15" s="29"/>
    </row>
    <row r="16" spans="1:9">
      <c r="A16" s="21"/>
      <c r="B16" s="29"/>
      <c r="G16" s="21"/>
      <c r="H16" s="28"/>
      <c r="I16" s="29"/>
    </row>
    <row r="17" spans="1:9">
      <c r="A17" s="21"/>
      <c r="B17" s="29"/>
      <c r="G17" s="21"/>
      <c r="H17" s="28"/>
      <c r="I17" s="29"/>
    </row>
    <row r="18" spans="1:9">
      <c r="A18" s="21"/>
      <c r="B18" s="29"/>
      <c r="G18" s="21"/>
      <c r="H18" s="28"/>
      <c r="I18" s="29"/>
    </row>
    <row r="19" spans="1:9">
      <c r="A19" s="21"/>
      <c r="B19" s="29"/>
      <c r="G19" s="21"/>
      <c r="H19" s="28"/>
      <c r="I19" s="29"/>
    </row>
    <row r="20" spans="1:9">
      <c r="A20" s="21"/>
      <c r="B20" s="29"/>
      <c r="G20" s="21"/>
      <c r="H20" s="28"/>
      <c r="I20" s="29"/>
    </row>
    <row r="21" spans="1:9">
      <c r="A21" s="21"/>
      <c r="B21" s="29"/>
      <c r="G21" s="21"/>
      <c r="H21" s="28"/>
      <c r="I21" s="29"/>
    </row>
    <row r="22" spans="1:9">
      <c r="A22" s="21"/>
      <c r="B22" s="29"/>
      <c r="G22" s="21"/>
      <c r="H22" s="28"/>
      <c r="I22" s="29"/>
    </row>
    <row r="23" spans="1:9">
      <c r="G23" s="134" t="s">
        <v>639</v>
      </c>
      <c r="H23" s="129">
        <f>COUNTA($G1:$G22)-2</f>
        <v>12</v>
      </c>
      <c r="I23" s="132">
        <f>H23*22/60</f>
        <v>4.4000000000000004</v>
      </c>
    </row>
    <row r="24" spans="1:9">
      <c r="G24" s="135" t="s">
        <v>640</v>
      </c>
      <c r="H24" s="130">
        <f>COUNTIF($H1:$H22, "Y")</f>
        <v>9</v>
      </c>
      <c r="I24" s="133">
        <f>H24*22/60</f>
        <v>3.3</v>
      </c>
    </row>
  </sheetData>
  <mergeCells count="3">
    <mergeCell ref="D1:E1"/>
    <mergeCell ref="A1:B1"/>
    <mergeCell ref="G1:I1"/>
  </mergeCells>
  <phoneticPr fontId="4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7"/>
  <sheetViews>
    <sheetView showGridLines="0" zoomScaleNormal="100" workbookViewId="0">
      <selection activeCell="B19" sqref="B19"/>
    </sheetView>
  </sheetViews>
  <sheetFormatPr defaultRowHeight="16.5"/>
  <cols>
    <col min="1" max="1" width="24.42578125" style="23" customWidth="1"/>
    <col min="2" max="2" width="10" style="23" customWidth="1"/>
    <col min="3" max="3" width="3.7109375" style="23" hidden="1" customWidth="1"/>
    <col min="4" max="4" width="23.85546875" style="23" hidden="1" customWidth="1"/>
    <col min="5" max="5" width="9.140625" style="23" hidden="1" customWidth="1"/>
    <col min="6" max="6" width="3.7109375" style="23" customWidth="1"/>
    <col min="7" max="13" width="9.140625" style="23"/>
    <col min="14" max="14" width="3.7109375" style="23" customWidth="1"/>
    <col min="15" max="21" width="9.140625" style="23"/>
    <col min="22" max="22" width="3.7109375" style="23" customWidth="1"/>
    <col min="23" max="16384" width="9.140625" style="23"/>
  </cols>
  <sheetData>
    <row r="1" spans="1:14">
      <c r="A1" s="197" t="s">
        <v>567</v>
      </c>
      <c r="B1" s="198"/>
      <c r="C1" s="198"/>
      <c r="D1" s="198"/>
      <c r="E1" s="199"/>
    </row>
    <row r="2" spans="1:14">
      <c r="A2" s="137" t="s">
        <v>15</v>
      </c>
      <c r="B2" s="137" t="s">
        <v>16</v>
      </c>
      <c r="C2" s="23" t="s">
        <v>630</v>
      </c>
      <c r="D2" s="161" t="s">
        <v>644</v>
      </c>
      <c r="E2" s="162" t="s">
        <v>642</v>
      </c>
      <c r="F2" s="23" t="s">
        <v>630</v>
      </c>
      <c r="N2" s="23" t="s">
        <v>630</v>
      </c>
    </row>
    <row r="3" spans="1:14">
      <c r="A3" s="139" t="s">
        <v>137</v>
      </c>
      <c r="B3" s="140">
        <v>0.36499999999999999</v>
      </c>
      <c r="C3" s="166" t="s">
        <v>659</v>
      </c>
      <c r="D3" s="167" t="s">
        <v>302</v>
      </c>
      <c r="E3" s="168">
        <f>COUNTIF(Tracker[Subber(s)], "*Coalgirls*")</f>
        <v>35</v>
      </c>
      <c r="F3" s="166" t="str">
        <f>"*"&amp;Table3[[#This Row],[Subber Name]]&amp;"*"</f>
        <v>*Coalgirls*</v>
      </c>
    </row>
    <row r="4" spans="1:14">
      <c r="A4" s="143" t="s">
        <v>136</v>
      </c>
      <c r="B4" s="144">
        <v>0.53500000000000003</v>
      </c>
      <c r="C4" s="166" t="s">
        <v>646</v>
      </c>
      <c r="D4" s="169" t="s">
        <v>304</v>
      </c>
      <c r="E4" s="30">
        <f>COUNTIF(Tracker[Subber(s)], "*HorribleSubs*")</f>
        <v>30</v>
      </c>
      <c r="F4" s="166" t="str">
        <f>"*"&amp;Table3[[#This Row],[Subber Name]]&amp;"*"</f>
        <v>*HorribleSubs*</v>
      </c>
    </row>
    <row r="5" spans="1:14">
      <c r="A5" s="143" t="s">
        <v>7</v>
      </c>
      <c r="B5" s="144">
        <v>9.5000000000000001E-2</v>
      </c>
      <c r="C5" s="166" t="s">
        <v>647</v>
      </c>
      <c r="D5" s="169" t="s">
        <v>301</v>
      </c>
      <c r="E5" s="30">
        <f>COUNTIF(Tracker[Subber(s)], "*Doki*")</f>
        <v>25</v>
      </c>
      <c r="F5" s="166" t="str">
        <f>"*"&amp;Table3[[#This Row],[Subber Name]]&amp;"*"</f>
        <v>*Doki*</v>
      </c>
    </row>
    <row r="6" spans="1:14">
      <c r="A6" s="147" t="s">
        <v>138</v>
      </c>
      <c r="B6" s="148">
        <f>SUM(B3:B5)</f>
        <v>0.995</v>
      </c>
      <c r="C6" s="166" t="s">
        <v>648</v>
      </c>
      <c r="D6" s="169" t="s">
        <v>286</v>
      </c>
      <c r="E6" s="30">
        <f>COUNTIF(Tracker[Subber(s)], "*FFF*")</f>
        <v>23</v>
      </c>
      <c r="F6" s="166" t="str">
        <f>"*"&amp;Table3[[#This Row],[Subber Name]]&amp;"*"</f>
        <v>*FFF*</v>
      </c>
    </row>
    <row r="7" spans="1:14">
      <c r="A7" s="40"/>
      <c r="B7" s="40"/>
      <c r="C7" s="166" t="s">
        <v>649</v>
      </c>
      <c r="D7" s="169" t="s">
        <v>285</v>
      </c>
      <c r="E7" s="30">
        <f>COUNTIF(Tracker[Subber(s)], "*UTW*")</f>
        <v>12</v>
      </c>
      <c r="F7" s="166" t="str">
        <f>"*"&amp;Table3[[#This Row],[Subber Name]]&amp;"*"</f>
        <v>*UTW*</v>
      </c>
    </row>
    <row r="8" spans="1:14">
      <c r="A8" s="149" t="s">
        <v>30</v>
      </c>
      <c r="B8" s="150">
        <f>MAX(Completed!G:G)</f>
        <v>9.9748743718592969</v>
      </c>
      <c r="C8" s="166" t="s">
        <v>650</v>
      </c>
      <c r="D8" s="169" t="s">
        <v>311</v>
      </c>
      <c r="E8" s="30">
        <f>COUNTIF(Tracker[Subber(s)], "*Mazui*")</f>
        <v>11</v>
      </c>
      <c r="F8" s="166" t="str">
        <f>"*"&amp;Table3[[#This Row],[Subber Name]]&amp;"*"</f>
        <v>*Mazui*</v>
      </c>
    </row>
    <row r="9" spans="1:14">
      <c r="A9" s="153" t="s">
        <v>33</v>
      </c>
      <c r="B9" s="154">
        <f>MIN(Completed!G:G)</f>
        <v>2.5037688442211055</v>
      </c>
      <c r="C9" s="166" t="s">
        <v>651</v>
      </c>
      <c r="D9" s="169" t="s">
        <v>309</v>
      </c>
      <c r="E9" s="30">
        <f>COUNTIF(Tracker[Subber(s)], "*Elysium*")</f>
        <v>8</v>
      </c>
      <c r="F9" s="166" t="str">
        <f>"*"&amp;Table3[[#This Row],[Subber Name]]&amp;"*"</f>
        <v>*Elysium*</v>
      </c>
    </row>
    <row r="10" spans="1:14">
      <c r="A10" s="153" t="s">
        <v>35</v>
      </c>
      <c r="B10" s="154">
        <f>B8-B9</f>
        <v>7.4711055276381915</v>
      </c>
      <c r="C10" s="166" t="s">
        <v>652</v>
      </c>
      <c r="D10" s="169" t="s">
        <v>322</v>
      </c>
      <c r="E10" s="30">
        <f>COUNTIF(Tracker[Subber(s)], "*Eclipse*")</f>
        <v>7</v>
      </c>
      <c r="F10" s="166" t="str">
        <f>"*"&amp;Table3[[#This Row],[Subber Name]]&amp;"*"</f>
        <v>*Eclipse*</v>
      </c>
    </row>
    <row r="11" spans="1:14">
      <c r="A11" s="155" t="s">
        <v>37</v>
      </c>
      <c r="B11" s="156">
        <f>SUM(B3:B6)</f>
        <v>1.99</v>
      </c>
      <c r="C11" s="166" t="s">
        <v>653</v>
      </c>
      <c r="D11" s="167" t="s">
        <v>382</v>
      </c>
      <c r="E11" s="168">
        <f>COUNTIF(Tracker[Subber(s)], "*Vivid*")</f>
        <v>7</v>
      </c>
      <c r="F11" s="166" t="str">
        <f>"*"&amp;Table3[[#This Row],[Subber Name]]&amp;"*"</f>
        <v>*Vivid*</v>
      </c>
    </row>
    <row r="12" spans="1:14">
      <c r="A12" s="40"/>
      <c r="B12" s="40"/>
      <c r="C12" s="166" t="s">
        <v>654</v>
      </c>
      <c r="D12" s="169" t="s">
        <v>317</v>
      </c>
      <c r="E12" s="30">
        <f>COUNTIF(Tracker[Subber(s)], "*Underwater*")</f>
        <v>5</v>
      </c>
      <c r="F12" s="166" t="str">
        <f>"*"&amp;Table3[[#This Row],[Subber Name]]&amp;"*"</f>
        <v>*Underwater*</v>
      </c>
    </row>
    <row r="13" spans="1:14">
      <c r="A13" s="44" t="s">
        <v>43</v>
      </c>
      <c r="B13" s="158" t="s">
        <v>675</v>
      </c>
      <c r="D13" s="169" t="s">
        <v>320</v>
      </c>
      <c r="E13" s="30">
        <f>COUNTIF(Tracker[Subber(s)], "*gg*")</f>
        <v>5</v>
      </c>
      <c r="F13" s="166" t="str">
        <f>"*"&amp;Table3[[#This Row],[Subber Name]]&amp;"*"</f>
        <v>*gg*</v>
      </c>
    </row>
    <row r="14" spans="1:14">
      <c r="A14" s="44" t="s">
        <v>46</v>
      </c>
      <c r="B14" s="159">
        <f>AVERAGE(Completed[Total])</f>
        <v>7.9411958738155191</v>
      </c>
      <c r="D14" s="169" t="s">
        <v>426</v>
      </c>
      <c r="E14" s="30">
        <f>COUNTIF(Tracker[Subber(s)], "*WhyNot*")</f>
        <v>5</v>
      </c>
      <c r="F14" s="166" t="str">
        <f>"*"&amp;Table3[[#This Row],[Subber Name]]&amp;"*"</f>
        <v>*WhyNot*</v>
      </c>
    </row>
    <row r="16" spans="1:14">
      <c r="A16" s="214" t="s">
        <v>81</v>
      </c>
      <c r="B16" s="215"/>
      <c r="D16" s="149" t="s">
        <v>385</v>
      </c>
      <c r="E16" s="141">
        <f>COUNTIFS(Tracker[Subber(s)], "&lt;&gt;"&amp;F3, Tracker[Subber(s)], "&lt;&gt;"&amp;F4, Tracker[Subber(s)], "&lt;&gt;"&amp;F5, Tracker[Subber(s)], "&lt;&gt;"&amp;F6, Tracker[Subber(s)], "&lt;&gt;"&amp;F7, Tracker[Subber(s)], "&lt;&gt;"&amp;F8, Tracker[Subber(s)], "&lt;&gt;"&amp;F9, Tracker[Subber(s)], "&lt;&gt;"&amp;F10, Tracker[Subber(s)], "&lt;&gt;--")</f>
        <v>63</v>
      </c>
    </row>
    <row r="17" spans="1:5">
      <c r="A17" s="141" t="s">
        <v>83</v>
      </c>
      <c r="B17" s="142">
        <f>AVERAGE(Completed[Total])</f>
        <v>7.9411958738155191</v>
      </c>
      <c r="C17" s="166" t="s">
        <v>659</v>
      </c>
      <c r="D17" s="149" t="s">
        <v>661</v>
      </c>
      <c r="E17" s="141">
        <f>SUM($E$3:$E$10)+$E$16-$B$30</f>
        <v>21</v>
      </c>
    </row>
    <row r="18" spans="1:5">
      <c r="A18" s="141" t="s">
        <v>85</v>
      </c>
      <c r="B18" s="142">
        <f>QUARTILE(Completed[Total], 0)</f>
        <v>2.5100755667506296</v>
      </c>
      <c r="C18" s="166" t="s">
        <v>646</v>
      </c>
      <c r="D18" s="155" t="s">
        <v>662</v>
      </c>
      <c r="E18" s="151">
        <f>COUNTIF(Tracker[Subber(s)], "*,*")</f>
        <v>45</v>
      </c>
    </row>
    <row r="19" spans="1:5">
      <c r="A19" s="145" t="s">
        <v>87</v>
      </c>
      <c r="B19" s="146">
        <f>QUARTILE(Completed[Total], 1)</f>
        <v>7.4187657430730471</v>
      </c>
      <c r="C19" s="166" t="s">
        <v>647</v>
      </c>
    </row>
    <row r="20" spans="1:5">
      <c r="A20" s="145" t="s">
        <v>90</v>
      </c>
      <c r="B20" s="146">
        <f>QUARTILE(Completed[Total], 2)</f>
        <v>8.1089420654911848</v>
      </c>
      <c r="C20" s="166" t="s">
        <v>648</v>
      </c>
      <c r="D20" s="214" t="s">
        <v>663</v>
      </c>
      <c r="E20" s="215"/>
    </row>
    <row r="21" spans="1:5">
      <c r="A21" s="145" t="s">
        <v>92</v>
      </c>
      <c r="B21" s="146">
        <f>QUARTILE(Completed[Total], 3)</f>
        <v>8.6914357682619663</v>
      </c>
      <c r="C21" s="166" t="s">
        <v>649</v>
      </c>
      <c r="D21" s="141" t="s">
        <v>664</v>
      </c>
      <c r="E21" s="24">
        <f>COUNTIF(Tracker[Dr. '#], "A")</f>
        <v>117</v>
      </c>
    </row>
    <row r="22" spans="1:5">
      <c r="A22" s="151" t="s">
        <v>93</v>
      </c>
      <c r="B22" s="152">
        <f>QUARTILE(Completed[Total], 4)</f>
        <v>10</v>
      </c>
      <c r="C22" s="166" t="s">
        <v>650</v>
      </c>
      <c r="D22" s="145" t="s">
        <v>665</v>
      </c>
      <c r="E22" s="24">
        <f>COUNTIF(Tracker[Dr. '#], "B")</f>
        <v>74</v>
      </c>
    </row>
    <row r="23" spans="1:5">
      <c r="A23" s="145" t="s">
        <v>35</v>
      </c>
      <c r="B23" s="146">
        <f>B22-B18</f>
        <v>7.4899244332493708</v>
      </c>
      <c r="C23" s="166" t="s">
        <v>651</v>
      </c>
      <c r="D23" s="163" t="s">
        <v>666</v>
      </c>
      <c r="E23" s="164">
        <f>B30-SUM(E21:E22)</f>
        <v>2</v>
      </c>
    </row>
    <row r="24" spans="1:5">
      <c r="A24" s="145" t="s">
        <v>96</v>
      </c>
      <c r="B24" s="146">
        <f>B21-B19</f>
        <v>1.2726700251889191</v>
      </c>
      <c r="C24" s="166" t="s">
        <v>652</v>
      </c>
    </row>
    <row r="25" spans="1:5">
      <c r="A25" s="151" t="s">
        <v>98</v>
      </c>
      <c r="B25" s="152">
        <f>STDEV(Completed[Total])</f>
        <v>1.1368979553219987</v>
      </c>
      <c r="C25" s="166" t="s">
        <v>653</v>
      </c>
      <c r="D25" s="161" t="s">
        <v>645</v>
      </c>
      <c r="E25" s="162" t="s">
        <v>642</v>
      </c>
    </row>
    <row r="26" spans="1:5">
      <c r="A26" s="145" t="s">
        <v>667</v>
      </c>
      <c r="B26" s="157">
        <f ca="1">SUM('Main Page'!P4:P195)+SUM('Main Page'!D4:D23)+SUM(Dropped[Ep.])</f>
        <v>3202</v>
      </c>
      <c r="C26" s="166" t="s">
        <v>654</v>
      </c>
      <c r="D26" s="136" t="s">
        <v>643</v>
      </c>
      <c r="E26" s="165">
        <f>COUNTIF(Completed[Total], "&gt;=9")</f>
        <v>16</v>
      </c>
    </row>
    <row r="27" spans="1:5">
      <c r="A27" s="145" t="s">
        <v>144</v>
      </c>
      <c r="B27" s="157">
        <f ca="1">B26*24</f>
        <v>76848</v>
      </c>
      <c r="D27" s="136" t="s">
        <v>51</v>
      </c>
      <c r="E27" s="165">
        <f>COUNTIF(Completed[Total],  "&gt;=8 ")-COUNTIF(Completed[Total],"&gt;=9")</f>
        <v>53</v>
      </c>
    </row>
    <row r="28" spans="1:5">
      <c r="A28" s="145" t="s">
        <v>145</v>
      </c>
      <c r="B28" s="160">
        <f ca="1">B27/60</f>
        <v>1280.8</v>
      </c>
      <c r="D28" s="136" t="s">
        <v>54</v>
      </c>
      <c r="E28" s="165">
        <f>COUNTIF(Completed[Total],  "&gt;=7")-COUNTIF(Completed[Total],"&gt;=8")</f>
        <v>37</v>
      </c>
    </row>
    <row r="29" spans="1:5">
      <c r="A29" s="151" t="s">
        <v>143</v>
      </c>
      <c r="B29" s="152">
        <f ca="1">B28/24</f>
        <v>53.366666666666667</v>
      </c>
      <c r="D29" s="136" t="s">
        <v>56</v>
      </c>
      <c r="E29" s="165">
        <f>COUNTIF(Completed[Total],  "&gt;=6 ")-COUNTIF(Completed[Total],"&gt;=7")</f>
        <v>14</v>
      </c>
    </row>
    <row r="30" spans="1:5">
      <c r="A30" s="163" t="s">
        <v>384</v>
      </c>
      <c r="B30" s="164">
        <f>COUNTIF(Tracker[Subber(s)], "&lt;&gt;--")</f>
        <v>193</v>
      </c>
      <c r="D30" s="136" t="s">
        <v>60</v>
      </c>
      <c r="E30" s="165">
        <f>COUNTIF(Completed[Total],  "&gt;=5 ")-COUNTIF(Completed[Total],"&gt;=6")</f>
        <v>3</v>
      </c>
    </row>
    <row r="31" spans="1:5">
      <c r="D31" s="136" t="s">
        <v>62</v>
      </c>
      <c r="E31" s="165">
        <f>COUNTIF(Completed[Total],  "&gt;=4 ")-COUNTIF(Completed[Total],"&gt;=5")</f>
        <v>1</v>
      </c>
    </row>
    <row r="32" spans="1:5">
      <c r="D32" s="136" t="s">
        <v>66</v>
      </c>
      <c r="E32" s="165">
        <f>COUNTIF(Completed[Total],  "&gt;=3 ")-COUNTIF(Completed[Total],"&gt;=4")</f>
        <v>0</v>
      </c>
    </row>
    <row r="33" spans="4:5">
      <c r="D33" s="136" t="s">
        <v>69</v>
      </c>
      <c r="E33" s="165">
        <f>COUNTIF(Completed[Total],  "&gt;=2")-COUNTIF(Completed[Total],"&gt;=3")</f>
        <v>2</v>
      </c>
    </row>
    <row r="34" spans="4:5">
      <c r="D34" s="136" t="s">
        <v>73</v>
      </c>
      <c r="E34" s="165">
        <f>COUNTIF(Completed[Total],  "&gt;=1 ")-COUNTIF(Completed[Total],"&gt;=2")</f>
        <v>0</v>
      </c>
    </row>
    <row r="35" spans="4:5">
      <c r="D35" s="136" t="s">
        <v>78</v>
      </c>
      <c r="E35" s="165">
        <f>COUNTIF(Completed[Total],  "&gt;=0 ")-COUNTIF(Completed[Total],"&gt;=1")</f>
        <v>0</v>
      </c>
    </row>
    <row r="37" spans="4:5">
      <c r="D37" s="214" t="s">
        <v>459</v>
      </c>
      <c r="E37" s="215"/>
    </row>
    <row r="38" spans="4:5">
      <c r="D38" s="141" t="s">
        <v>447</v>
      </c>
      <c r="E38" s="24">
        <f>COUNTIF(Tracker[Type],D38)</f>
        <v>91</v>
      </c>
    </row>
    <row r="39" spans="4:5">
      <c r="D39" s="145" t="s">
        <v>446</v>
      </c>
      <c r="E39" s="24">
        <f>COUNTIF(Tracker[Type],D39)</f>
        <v>80</v>
      </c>
    </row>
    <row r="40" spans="4:5">
      <c r="D40" s="145" t="s">
        <v>450</v>
      </c>
      <c r="E40" s="24">
        <f>COUNTIF(Tracker[Type],D40)</f>
        <v>10</v>
      </c>
    </row>
    <row r="41" spans="4:5">
      <c r="D41" s="145" t="s">
        <v>448</v>
      </c>
      <c r="E41" s="24">
        <f>COUNTIF(Tracker[Type],D41)</f>
        <v>11</v>
      </c>
    </row>
    <row r="42" spans="4:5">
      <c r="D42" s="163" t="s">
        <v>460</v>
      </c>
      <c r="E42" s="164">
        <f>COUNTIF(Tracker[Type],"--")</f>
        <v>17</v>
      </c>
    </row>
    <row r="44" spans="4:5">
      <c r="D44" s="214" t="s">
        <v>660</v>
      </c>
      <c r="E44" s="215"/>
    </row>
    <row r="45" spans="4:5">
      <c r="D45" s="141" t="s">
        <v>483</v>
      </c>
      <c r="E45" s="24">
        <f>COUNTIF(Tracker[Quality], "720p")</f>
        <v>164</v>
      </c>
    </row>
    <row r="46" spans="4:5">
      <c r="D46" s="145" t="s">
        <v>484</v>
      </c>
      <c r="E46" s="24">
        <f>COUNTIF(Tracker[Quality], "1080p")</f>
        <v>15</v>
      </c>
    </row>
    <row r="47" spans="4:5">
      <c r="D47" s="163" t="s">
        <v>385</v>
      </c>
      <c r="E47" s="164">
        <f>COUNTIFS(Tracker[Quality], "&lt;&gt;720p", Tracker[Quality], "&lt;&gt;1080p", Tracker[Quality], "&lt;&gt;--")</f>
        <v>12</v>
      </c>
    </row>
  </sheetData>
  <sortState ref="D3:E14">
    <sortCondition descending="1" ref="E30"/>
  </sortState>
  <mergeCells count="5">
    <mergeCell ref="D20:E20"/>
    <mergeCell ref="D37:E37"/>
    <mergeCell ref="A1:E1"/>
    <mergeCell ref="A16:B16"/>
    <mergeCell ref="D44:E44"/>
  </mergeCells>
  <pageMargins left="0.7" right="0.7" top="0.75" bottom="0.75" header="0.3" footer="0.3"/>
  <drawing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"/>
  <sheetViews>
    <sheetView showGridLines="0" workbookViewId="0">
      <selection activeCell="B3" sqref="B3"/>
    </sheetView>
  </sheetViews>
  <sheetFormatPr defaultRowHeight="15"/>
  <cols>
    <col min="1" max="1" width="30.7109375" customWidth="1"/>
    <col min="2" max="2" width="16.7109375" customWidth="1"/>
    <col min="3" max="3" width="10.7109375" customWidth="1"/>
    <col min="4" max="4" width="16.7109375" customWidth="1"/>
    <col min="5" max="6" width="9.7109375" customWidth="1"/>
  </cols>
  <sheetData>
    <row r="1" spans="1:6" ht="16.5">
      <c r="A1" s="23" t="s">
        <v>106</v>
      </c>
      <c r="B1" s="23" t="s">
        <v>436</v>
      </c>
      <c r="C1" s="23" t="s">
        <v>655</v>
      </c>
      <c r="D1" s="23" t="s">
        <v>566</v>
      </c>
      <c r="E1" s="23" t="s">
        <v>656</v>
      </c>
      <c r="F1" s="23" t="s">
        <v>657</v>
      </c>
    </row>
    <row r="2" spans="1:6" ht="16.5">
      <c r="A2" s="23"/>
      <c r="B2" s="138"/>
      <c r="C2" s="23"/>
      <c r="D2" s="68"/>
      <c r="E2" s="68"/>
      <c r="F2" s="68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Main Page</vt:lpstr>
      <vt:lpstr>Tracker</vt:lpstr>
      <vt:lpstr>Backlog</vt:lpstr>
      <vt:lpstr>Completed</vt:lpstr>
      <vt:lpstr>Rewatches</vt:lpstr>
      <vt:lpstr>Dropped</vt:lpstr>
      <vt:lpstr>Misc Sheet</vt:lpstr>
      <vt:lpstr>Vars and Stats</vt:lpstr>
      <vt:lpstr>ChartData (not user facing)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Du</dc:creator>
  <cp:lastModifiedBy>Matt Du</cp:lastModifiedBy>
  <cp:revision>0</cp:revision>
  <cp:lastPrinted>2013-09-16T00:24:13Z</cp:lastPrinted>
  <dcterms:created xsi:type="dcterms:W3CDTF">2013-01-27T01:46:40Z</dcterms:created>
  <dcterms:modified xsi:type="dcterms:W3CDTF">2014-08-12T04:18:18Z</dcterms:modified>
</cp:coreProperties>
</file>