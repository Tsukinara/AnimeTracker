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20" i="17" l="1"/>
  <c r="G21" i="17" l="1"/>
  <c r="G44" i="17"/>
  <c r="G38" i="17" l="1"/>
  <c r="G116" i="17" l="1"/>
  <c r="G71" i="17" l="1"/>
  <c r="G70" i="17"/>
  <c r="G58" i="17" l="1"/>
  <c r="G105" i="17" l="1"/>
  <c r="G120" i="17" l="1"/>
  <c r="G47" i="17" l="1"/>
  <c r="G19" i="17"/>
  <c r="G7" i="17"/>
  <c r="G83" i="17" l="1"/>
  <c r="E23" i="20" l="1"/>
  <c r="G139" i="17" l="1"/>
  <c r="G26" i="17" l="1"/>
  <c r="G7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G10" i="19"/>
  <c r="H10" i="19"/>
  <c r="H9" i="19"/>
  <c r="G7" i="19"/>
  <c r="G9" i="19"/>
  <c r="H7" i="19"/>
  <c r="H5" i="19"/>
  <c r="G4" i="19"/>
  <c r="H6" i="19"/>
  <c r="H8" i="19"/>
  <c r="H4" i="19"/>
  <c r="G8" i="19"/>
  <c r="G6" i="19"/>
  <c r="G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U138" i="19"/>
  <c r="P138" i="19"/>
  <c r="Q133" i="19"/>
  <c r="P127" i="19"/>
  <c r="T129" i="19"/>
  <c r="R136" i="19"/>
  <c r="U142" i="19"/>
  <c r="T134" i="19"/>
  <c r="T141" i="19"/>
  <c r="P141" i="19"/>
  <c r="R133" i="19"/>
  <c r="Q122" i="19"/>
  <c r="T127" i="19"/>
  <c r="U135" i="19"/>
  <c r="U144" i="19"/>
  <c r="T140" i="19"/>
  <c r="T130" i="19"/>
  <c r="Q144" i="19"/>
  <c r="U129" i="19"/>
  <c r="S136" i="19"/>
  <c r="P145" i="19"/>
  <c r="T143" i="19"/>
  <c r="P130" i="19"/>
  <c r="U126" i="19"/>
  <c r="Q137" i="19"/>
  <c r="S126" i="19"/>
  <c r="Q135" i="19"/>
  <c r="R143" i="19"/>
  <c r="R139" i="19"/>
  <c r="T124" i="19"/>
  <c r="T122" i="19"/>
  <c r="Q126" i="19"/>
  <c r="P143" i="19"/>
  <c r="Q132" i="19"/>
  <c r="U125" i="19"/>
  <c r="T133" i="19"/>
  <c r="U132" i="19"/>
  <c r="U143" i="19"/>
  <c r="Q141" i="19"/>
  <c r="R140" i="19"/>
  <c r="P144" i="19"/>
  <c r="R141" i="19"/>
  <c r="P131" i="19"/>
  <c r="P136" i="19"/>
  <c r="S137" i="19"/>
  <c r="U140" i="19"/>
  <c r="S145" i="19"/>
  <c r="U124" i="19"/>
  <c r="S134" i="19"/>
  <c r="S130" i="19"/>
  <c r="R132" i="19"/>
  <c r="R137" i="19"/>
  <c r="R125" i="19"/>
  <c r="P134" i="19"/>
  <c r="P124" i="19"/>
  <c r="Q143" i="19"/>
  <c r="S133" i="19"/>
  <c r="T135" i="19"/>
  <c r="U145" i="19"/>
  <c r="S132" i="19"/>
  <c r="S122" i="19"/>
  <c r="U127" i="19"/>
  <c r="U134" i="19"/>
  <c r="S144" i="19"/>
  <c r="P135" i="19"/>
  <c r="R123" i="19"/>
  <c r="P122" i="19"/>
  <c r="S129" i="19"/>
  <c r="T126" i="19"/>
  <c r="R122" i="19"/>
  <c r="S127" i="19"/>
  <c r="U139" i="19"/>
  <c r="R131" i="19"/>
  <c r="T131" i="19"/>
  <c r="S128" i="19"/>
  <c r="U137" i="19"/>
  <c r="T128" i="19"/>
  <c r="Q138" i="19"/>
  <c r="Q123" i="19"/>
  <c r="P129" i="19"/>
  <c r="Q131" i="19"/>
  <c r="Q130" i="19"/>
  <c r="Q145" i="19"/>
  <c r="R144" i="19"/>
  <c r="Q142" i="19"/>
  <c r="U123" i="19"/>
  <c r="Q129" i="19"/>
  <c r="U133" i="19"/>
  <c r="P139" i="19"/>
  <c r="R135" i="19"/>
  <c r="U128" i="19"/>
  <c r="P126" i="19"/>
  <c r="T139" i="19"/>
  <c r="S124" i="19"/>
  <c r="S138" i="19"/>
  <c r="P140" i="19"/>
  <c r="S139" i="19"/>
  <c r="T137" i="19"/>
  <c r="Q140" i="19"/>
  <c r="Q128" i="19"/>
  <c r="R129" i="19"/>
  <c r="Q134" i="19"/>
  <c r="S131" i="19"/>
  <c r="R127" i="19"/>
  <c r="P137" i="19"/>
  <c r="U141" i="19"/>
  <c r="U122" i="19"/>
  <c r="Q127" i="19"/>
  <c r="T138" i="19"/>
  <c r="R134" i="19"/>
  <c r="P142" i="19"/>
  <c r="Q124" i="19"/>
  <c r="T142" i="19"/>
  <c r="S143" i="19"/>
  <c r="S135" i="19"/>
  <c r="S123" i="19"/>
  <c r="Q139" i="19"/>
  <c r="S140" i="19"/>
  <c r="Q136" i="19"/>
  <c r="S125" i="19"/>
  <c r="T145" i="19"/>
  <c r="R142" i="19"/>
  <c r="U131" i="19"/>
  <c r="S142" i="19"/>
  <c r="S141" i="19"/>
  <c r="R145" i="19"/>
  <c r="U130" i="19"/>
  <c r="R128" i="19"/>
  <c r="R138" i="19"/>
  <c r="P123" i="19"/>
  <c r="Q125" i="19"/>
  <c r="P125" i="19"/>
  <c r="T132" i="19"/>
  <c r="P133" i="19"/>
  <c r="T125" i="19"/>
  <c r="R124" i="19"/>
  <c r="R130" i="19"/>
  <c r="T136" i="19"/>
  <c r="U136" i="19"/>
  <c r="T144" i="19"/>
  <c r="T123" i="19"/>
  <c r="P128" i="19"/>
  <c r="P132" i="19"/>
  <c r="R126" i="19"/>
  <c r="E17" i="20" l="1"/>
  <c r="G66" i="17"/>
  <c r="G135" i="17"/>
  <c r="G75" i="17"/>
  <c r="G54" i="17"/>
  <c r="G25" i="17"/>
  <c r="G52" i="17"/>
  <c r="G23" i="17"/>
  <c r="G17" i="17"/>
  <c r="G3" i="17"/>
  <c r="G8" i="17"/>
  <c r="G55" i="17"/>
  <c r="G12" i="17"/>
  <c r="G106" i="17"/>
  <c r="G137" i="17"/>
  <c r="G143" i="17"/>
  <c r="G126" i="17"/>
  <c r="G94" i="17"/>
  <c r="G101" i="17"/>
  <c r="G84" i="17"/>
  <c r="G45" i="17"/>
  <c r="G60" i="17"/>
  <c r="G42" i="17"/>
  <c r="G32" i="17"/>
  <c r="G27" i="17"/>
  <c r="G141" i="17"/>
  <c r="G136" i="17"/>
  <c r="G134" i="17"/>
  <c r="G132" i="17"/>
  <c r="G125" i="17"/>
  <c r="G130" i="17"/>
  <c r="G121" i="17"/>
  <c r="G117" i="17"/>
  <c r="G112" i="17"/>
  <c r="G77" i="17"/>
  <c r="G99" i="17"/>
  <c r="G100" i="17"/>
  <c r="G79" i="17"/>
  <c r="G61" i="17"/>
  <c r="G80" i="17"/>
  <c r="G74" i="17"/>
  <c r="G90" i="17"/>
  <c r="G53" i="17"/>
  <c r="G64" i="17"/>
  <c r="G57" i="17"/>
  <c r="G51" i="17"/>
  <c r="G50" i="17"/>
  <c r="G35" i="17"/>
  <c r="G28" i="17"/>
  <c r="G16" i="17"/>
  <c r="G13" i="17"/>
  <c r="G11" i="17"/>
  <c r="G5" i="17"/>
  <c r="G140" i="17"/>
  <c r="G127" i="17"/>
  <c r="G115" i="17"/>
  <c r="G87" i="17"/>
  <c r="G89" i="17"/>
  <c r="G72" i="17"/>
  <c r="G73" i="17"/>
  <c r="G29" i="17"/>
  <c r="G10" i="17"/>
  <c r="G142" i="17"/>
  <c r="G138" i="17"/>
  <c r="G129" i="17"/>
  <c r="G119" i="17"/>
  <c r="G98" i="17"/>
  <c r="G123" i="17"/>
  <c r="G93" i="17"/>
  <c r="G114" i="17"/>
  <c r="G108" i="17"/>
  <c r="G107" i="17"/>
  <c r="G103" i="17"/>
  <c r="G102" i="17"/>
  <c r="G76" i="17"/>
  <c r="G85" i="17"/>
  <c r="G91" i="17"/>
  <c r="G48" i="17"/>
  <c r="G67" i="17"/>
  <c r="G68" i="17"/>
  <c r="G63" i="17"/>
  <c r="G49" i="17"/>
  <c r="G41" i="17"/>
  <c r="G33" i="17"/>
  <c r="G40" i="17"/>
  <c r="G39" i="17"/>
  <c r="G22" i="17"/>
  <c r="G37" i="17"/>
  <c r="G6" i="17"/>
  <c r="G4" i="17"/>
  <c r="G131" i="17"/>
  <c r="G128" i="17"/>
  <c r="G109" i="17"/>
  <c r="G95" i="17"/>
  <c r="G88" i="17"/>
  <c r="G65" i="17"/>
  <c r="G30" i="17"/>
  <c r="G31" i="17"/>
  <c r="G15" i="17"/>
  <c r="G144" i="17"/>
  <c r="G113" i="17"/>
  <c r="G133" i="17"/>
  <c r="G110" i="17"/>
  <c r="G122" i="17"/>
  <c r="G118" i="17"/>
  <c r="G111" i="17"/>
  <c r="G97" i="17"/>
  <c r="G124" i="17"/>
  <c r="G104" i="17"/>
  <c r="G96" i="17"/>
  <c r="G92" i="17"/>
  <c r="G86" i="17"/>
  <c r="G82" i="17"/>
  <c r="G81" i="17"/>
  <c r="G62" i="17"/>
  <c r="G59" i="17"/>
  <c r="G46" i="17"/>
  <c r="G56" i="17"/>
  <c r="G69" i="17"/>
  <c r="G36" i="17"/>
  <c r="G43" i="17"/>
  <c r="G34" i="17"/>
  <c r="G24" i="17"/>
  <c r="G18" i="17"/>
  <c r="G14" i="17"/>
  <c r="G9" i="17"/>
  <c r="Z144" i="19" l="1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7" i="17" s="1"/>
  <c r="H20" i="17" l="1"/>
  <c r="H21" i="17"/>
  <c r="H38" i="17"/>
  <c r="H44" i="17"/>
  <c r="H116" i="17"/>
  <c r="H71" i="17"/>
  <c r="H70" i="17"/>
  <c r="H58" i="17"/>
  <c r="H105" i="17"/>
  <c r="H120" i="17"/>
  <c r="H19" i="17"/>
  <c r="H47" i="17"/>
  <c r="H26" i="17"/>
  <c r="H83" i="17"/>
  <c r="H7" i="17"/>
  <c r="H78" i="17"/>
  <c r="H139" i="17"/>
  <c r="H66" i="17"/>
  <c r="H135" i="17"/>
  <c r="H25" i="17"/>
  <c r="H52" i="17"/>
  <c r="H75" i="17"/>
  <c r="H23" i="17"/>
  <c r="H17" i="17"/>
  <c r="H54" i="17"/>
  <c r="H8" i="17"/>
  <c r="H12" i="17"/>
  <c r="H55" i="17"/>
  <c r="H137" i="17"/>
  <c r="H106" i="17"/>
  <c r="H110" i="17"/>
  <c r="H115" i="17"/>
  <c r="H34" i="17"/>
  <c r="H13" i="17"/>
  <c r="H77" i="17"/>
  <c r="H53" i="17"/>
  <c r="H132" i="17"/>
  <c r="H88" i="17"/>
  <c r="H69" i="17"/>
  <c r="H48" i="17"/>
  <c r="H89" i="17"/>
  <c r="H51" i="17"/>
  <c r="H59" i="17"/>
  <c r="H81" i="17"/>
  <c r="H57" i="17"/>
  <c r="H131" i="17"/>
  <c r="H72" i="17"/>
  <c r="H16" i="17"/>
  <c r="H100" i="17"/>
  <c r="H64" i="17"/>
  <c r="H22" i="17"/>
  <c r="H141" i="17"/>
  <c r="H82" i="17"/>
  <c r="H62" i="17"/>
  <c r="H113" i="17"/>
  <c r="H80" i="17"/>
  <c r="H130" i="17"/>
  <c r="H45" i="17"/>
  <c r="H6" i="17"/>
  <c r="H61" i="17"/>
  <c r="H85" i="17"/>
  <c r="H11" i="17"/>
  <c r="H111" i="17"/>
  <c r="H15" i="17"/>
  <c r="H128" i="17"/>
  <c r="H140" i="17"/>
  <c r="H50" i="17"/>
  <c r="H5" i="17"/>
  <c r="H56" i="17"/>
  <c r="H96" i="17"/>
  <c r="H42" i="17"/>
  <c r="H126" i="17"/>
  <c r="H101" i="17"/>
  <c r="H32" i="17"/>
  <c r="H87" i="17"/>
  <c r="H67" i="17"/>
  <c r="H103" i="17"/>
  <c r="H84" i="17"/>
  <c r="H125" i="17"/>
  <c r="H136" i="17"/>
  <c r="H79" i="17"/>
  <c r="H95" i="17"/>
  <c r="H76" i="17"/>
  <c r="H10" i="17"/>
  <c r="H4" i="17"/>
  <c r="H102" i="17"/>
  <c r="H94" i="17"/>
  <c r="H24" i="17"/>
  <c r="H142" i="17"/>
  <c r="H14" i="17"/>
  <c r="H104" i="17"/>
  <c r="H40" i="17"/>
  <c r="H93" i="17"/>
  <c r="H117" i="17"/>
  <c r="H122" i="17"/>
  <c r="H112" i="17"/>
  <c r="H109" i="17"/>
  <c r="H86" i="17"/>
  <c r="H37" i="17"/>
  <c r="H107" i="17"/>
  <c r="H90" i="17"/>
  <c r="H98" i="17"/>
  <c r="H29" i="17"/>
  <c r="H39" i="17"/>
  <c r="H114" i="17"/>
  <c r="H74" i="17"/>
  <c r="H92" i="17"/>
  <c r="H28" i="17"/>
  <c r="H43" i="17"/>
  <c r="H63" i="17"/>
  <c r="H129" i="17"/>
  <c r="H73" i="17"/>
  <c r="H41" i="17"/>
  <c r="H30" i="17"/>
  <c r="H18" i="17"/>
  <c r="H124" i="17"/>
  <c r="H33" i="17"/>
  <c r="H123" i="17"/>
  <c r="H143" i="17"/>
  <c r="H9" i="17"/>
  <c r="H127" i="17"/>
  <c r="H97" i="17"/>
  <c r="H134" i="17"/>
  <c r="H60" i="17"/>
  <c r="H49" i="17"/>
  <c r="H119" i="17"/>
  <c r="H35" i="17"/>
  <c r="H144" i="17"/>
  <c r="H65" i="17"/>
  <c r="H46" i="17"/>
  <c r="H133" i="17"/>
  <c r="H91" i="17"/>
  <c r="H121" i="17"/>
  <c r="H3" i="17"/>
  <c r="H108" i="17"/>
  <c r="H31" i="17"/>
  <c r="H36" i="17"/>
  <c r="H118" i="17"/>
  <c r="H68" i="17"/>
  <c r="H138" i="17"/>
  <c r="H99" i="17"/>
  <c r="AA144" i="19" l="1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S68" i="19"/>
  <c r="T5" i="19"/>
  <c r="P107" i="19"/>
  <c r="U92" i="19"/>
  <c r="S23" i="19"/>
  <c r="T38" i="19"/>
  <c r="T29" i="19"/>
  <c r="P112" i="19"/>
  <c r="S30" i="19"/>
  <c r="R61" i="19"/>
  <c r="Q111" i="19"/>
  <c r="S24" i="19"/>
  <c r="U115" i="19"/>
  <c r="P102" i="19"/>
  <c r="U11" i="19"/>
  <c r="T62" i="19"/>
  <c r="P52" i="19"/>
  <c r="S40" i="19"/>
  <c r="U34" i="19"/>
  <c r="T4" i="19"/>
  <c r="T64" i="19"/>
  <c r="P36" i="19"/>
  <c r="S63" i="19"/>
  <c r="T32" i="19"/>
  <c r="U79" i="19"/>
  <c r="Q109" i="19"/>
  <c r="S11" i="19"/>
  <c r="Q88" i="19"/>
  <c r="Q54" i="19"/>
  <c r="S77" i="19"/>
  <c r="T55" i="19"/>
  <c r="S46" i="19"/>
  <c r="R104" i="19"/>
  <c r="U95" i="19"/>
  <c r="R18" i="19"/>
  <c r="T6" i="19"/>
  <c r="P82" i="19"/>
  <c r="T120" i="19"/>
  <c r="Q65" i="19"/>
  <c r="P73" i="19"/>
  <c r="P85" i="19"/>
  <c r="T53" i="19"/>
  <c r="R51" i="19"/>
  <c r="R80" i="19"/>
  <c r="T110" i="19"/>
  <c r="S88" i="19"/>
  <c r="P86" i="19"/>
  <c r="U61" i="19"/>
  <c r="Q24" i="19"/>
  <c r="S55" i="19"/>
  <c r="P42" i="19"/>
  <c r="P65" i="19"/>
  <c r="S44" i="19"/>
  <c r="R5" i="19"/>
  <c r="R85" i="19"/>
  <c r="Q15" i="19"/>
  <c r="U4" i="19"/>
  <c r="T112" i="19"/>
  <c r="R66" i="19"/>
  <c r="P108" i="19"/>
  <c r="U97" i="19"/>
  <c r="S14" i="19"/>
  <c r="Q102" i="19"/>
  <c r="P113" i="19"/>
  <c r="T66" i="19"/>
  <c r="T108" i="19"/>
  <c r="R11" i="19"/>
  <c r="U15" i="19"/>
  <c r="U109" i="19"/>
  <c r="T71" i="19"/>
  <c r="T76" i="19"/>
  <c r="P40" i="19"/>
  <c r="T69" i="19"/>
  <c r="U80" i="19"/>
  <c r="R43" i="19"/>
  <c r="R25" i="19"/>
  <c r="S106" i="19"/>
  <c r="Q56" i="19"/>
  <c r="Q17" i="19"/>
  <c r="U67" i="19"/>
  <c r="R86" i="19"/>
  <c r="T85" i="19"/>
  <c r="R118" i="19"/>
  <c r="Q80" i="19"/>
  <c r="U6" i="19"/>
  <c r="T98" i="19"/>
  <c r="R53" i="19"/>
  <c r="Q104" i="19"/>
  <c r="P115" i="19"/>
  <c r="R82" i="19"/>
  <c r="P5" i="19"/>
  <c r="S4" i="19"/>
  <c r="T27" i="19"/>
  <c r="Q27" i="19"/>
  <c r="T111" i="19"/>
  <c r="T19" i="19"/>
  <c r="R69" i="19"/>
  <c r="P66" i="19"/>
  <c r="T41" i="19"/>
  <c r="P94" i="19"/>
  <c r="T87" i="19"/>
  <c r="Q107" i="19"/>
  <c r="U73" i="19"/>
  <c r="T97" i="19"/>
  <c r="P44" i="19"/>
  <c r="U20" i="19"/>
  <c r="Q36" i="19"/>
  <c r="S33" i="19"/>
  <c r="Q120" i="19"/>
  <c r="Q41" i="19"/>
  <c r="P35" i="19"/>
  <c r="R38" i="19"/>
  <c r="U35" i="19"/>
  <c r="P119" i="19"/>
  <c r="P103" i="19"/>
  <c r="U36" i="19"/>
  <c r="S35" i="19"/>
  <c r="P17" i="19"/>
  <c r="T20" i="19"/>
  <c r="R97" i="19"/>
  <c r="U117" i="19"/>
  <c r="P68" i="19"/>
  <c r="P55" i="19"/>
  <c r="T95" i="19"/>
  <c r="U116" i="19"/>
  <c r="R89" i="19"/>
  <c r="R34" i="19"/>
  <c r="U118" i="19"/>
  <c r="Q34" i="19"/>
  <c r="S74" i="19"/>
  <c r="Q52" i="19"/>
  <c r="S110" i="19"/>
  <c r="T52" i="19"/>
  <c r="P21" i="19"/>
  <c r="U44" i="19"/>
  <c r="P24" i="19"/>
  <c r="T103" i="19"/>
  <c r="R83" i="19"/>
  <c r="P47" i="19"/>
  <c r="P49" i="19"/>
  <c r="R87" i="19"/>
  <c r="P11" i="19"/>
  <c r="U98" i="19"/>
  <c r="Q21" i="19"/>
  <c r="R117" i="19"/>
  <c r="T114" i="19"/>
  <c r="U40" i="19"/>
  <c r="S78" i="19"/>
  <c r="Q48" i="19"/>
  <c r="U120" i="19"/>
  <c r="U94" i="19"/>
  <c r="Q13" i="19"/>
  <c r="U83" i="19"/>
  <c r="Q38" i="19"/>
  <c r="T36" i="19"/>
  <c r="S108" i="19"/>
  <c r="U53" i="19"/>
  <c r="R95" i="19"/>
  <c r="Q5" i="19"/>
  <c r="S85" i="19"/>
  <c r="S21" i="19"/>
  <c r="P51" i="19"/>
  <c r="T80" i="19"/>
  <c r="U8" i="19"/>
  <c r="S13" i="19"/>
  <c r="S62" i="19"/>
  <c r="P90" i="19"/>
  <c r="S10" i="19"/>
  <c r="Q105" i="19"/>
  <c r="S38" i="19"/>
  <c r="R21" i="19"/>
  <c r="Q39" i="19"/>
  <c r="P38" i="19"/>
  <c r="T84" i="19"/>
  <c r="U29" i="19"/>
  <c r="P93" i="19"/>
  <c r="R70" i="19"/>
  <c r="Q100" i="19"/>
  <c r="S99" i="19"/>
  <c r="S6" i="19"/>
  <c r="T106" i="19"/>
  <c r="Q7" i="19"/>
  <c r="Q93" i="19"/>
  <c r="R121" i="19"/>
  <c r="Q86" i="19"/>
  <c r="R84" i="19"/>
  <c r="P69" i="19"/>
  <c r="T88" i="19"/>
  <c r="S70" i="19"/>
  <c r="R98" i="19"/>
  <c r="T117" i="19"/>
  <c r="P4" i="19"/>
  <c r="T100" i="19"/>
  <c r="T59" i="19"/>
  <c r="T68" i="19"/>
  <c r="P104" i="19"/>
  <c r="R39" i="19"/>
  <c r="R4" i="19"/>
  <c r="Q37" i="19"/>
  <c r="T83" i="19"/>
  <c r="T26" i="19"/>
  <c r="S47" i="19"/>
  <c r="U72" i="19"/>
  <c r="Q32" i="19"/>
  <c r="Q98" i="19"/>
  <c r="R49" i="19"/>
  <c r="T96" i="19"/>
  <c r="S95" i="19"/>
  <c r="S53" i="19"/>
  <c r="Q57" i="19"/>
  <c r="R100" i="19"/>
  <c r="P61" i="19"/>
  <c r="T86" i="19"/>
  <c r="S43" i="19"/>
  <c r="U91" i="19"/>
  <c r="S16" i="19"/>
  <c r="Q118" i="19"/>
  <c r="P77" i="19"/>
  <c r="U102" i="19"/>
  <c r="S52" i="19"/>
  <c r="Q74" i="19"/>
  <c r="Q96" i="19"/>
  <c r="U77" i="19"/>
  <c r="T34" i="19"/>
  <c r="T10" i="19"/>
  <c r="Q66" i="19"/>
  <c r="S22" i="19"/>
  <c r="S87" i="19"/>
  <c r="Q85" i="19"/>
  <c r="T48" i="19"/>
  <c r="Q35" i="19"/>
  <c r="P16" i="19"/>
  <c r="S29" i="19"/>
  <c r="R112" i="19"/>
  <c r="U119" i="19"/>
  <c r="Q114" i="19"/>
  <c r="P81" i="19"/>
  <c r="R74" i="19"/>
  <c r="S36" i="19"/>
  <c r="U24" i="19"/>
  <c r="U32" i="19"/>
  <c r="U22" i="19"/>
  <c r="S67" i="19"/>
  <c r="T46" i="19"/>
  <c r="Q20" i="19"/>
  <c r="T63" i="19"/>
  <c r="R119" i="19"/>
  <c r="Q94" i="19"/>
  <c r="Q4" i="19"/>
  <c r="P75" i="19"/>
  <c r="R8" i="19"/>
  <c r="R58" i="19"/>
  <c r="U13" i="19"/>
  <c r="U27" i="19"/>
  <c r="U38" i="19"/>
  <c r="U28" i="19"/>
  <c r="S39" i="19"/>
  <c r="S37" i="19"/>
  <c r="S45" i="19"/>
  <c r="U7" i="19"/>
  <c r="P48" i="19"/>
  <c r="S50" i="19"/>
  <c r="S59" i="19"/>
  <c r="R56" i="19"/>
  <c r="T94" i="19"/>
  <c r="P117" i="19"/>
  <c r="U113" i="19"/>
  <c r="T44" i="19"/>
  <c r="Q19" i="19"/>
  <c r="P111" i="19"/>
  <c r="S75" i="19"/>
  <c r="T119" i="19"/>
  <c r="T12" i="19"/>
  <c r="P28" i="19"/>
  <c r="U47" i="19"/>
  <c r="Q76" i="19"/>
  <c r="R78" i="19"/>
  <c r="Q101" i="19"/>
  <c r="U58" i="19"/>
  <c r="P46" i="19"/>
  <c r="Q33" i="19"/>
  <c r="P79" i="19"/>
  <c r="S83" i="19"/>
  <c r="S118" i="19"/>
  <c r="R13" i="19"/>
  <c r="U70" i="19"/>
  <c r="U48" i="19"/>
  <c r="U60" i="19"/>
  <c r="P60" i="19"/>
  <c r="R32" i="19"/>
  <c r="U62" i="19"/>
  <c r="R22" i="19"/>
  <c r="S97" i="19"/>
  <c r="T81" i="19"/>
  <c r="R96" i="19"/>
  <c r="R73" i="19"/>
  <c r="U54" i="19"/>
  <c r="P14" i="19"/>
  <c r="Q72" i="19"/>
  <c r="S64" i="19"/>
  <c r="U111" i="19"/>
  <c r="S76" i="19"/>
  <c r="P31" i="19"/>
  <c r="T40" i="19"/>
  <c r="T45" i="19"/>
  <c r="P32" i="19"/>
  <c r="R19" i="19"/>
  <c r="T109" i="19"/>
  <c r="P34" i="19"/>
  <c r="S42" i="19"/>
  <c r="P89" i="19"/>
  <c r="R102" i="19"/>
  <c r="P29" i="19"/>
  <c r="P27" i="19"/>
  <c r="U18" i="19"/>
  <c r="R115" i="19"/>
  <c r="U57" i="19"/>
  <c r="Q31" i="19"/>
  <c r="T104" i="19"/>
  <c r="P56" i="19"/>
  <c r="T24" i="19"/>
  <c r="T47" i="19"/>
  <c r="U30" i="19"/>
  <c r="T30" i="19"/>
  <c r="Q22" i="19"/>
  <c r="U19" i="19"/>
  <c r="S105" i="19"/>
  <c r="T115" i="19"/>
  <c r="Q29" i="19"/>
  <c r="U51" i="19"/>
  <c r="Q73" i="19"/>
  <c r="P15" i="19"/>
  <c r="T54" i="19"/>
  <c r="U14" i="19"/>
  <c r="T92" i="19"/>
  <c r="U21" i="19"/>
  <c r="R71" i="19"/>
  <c r="S27" i="19"/>
  <c r="P100" i="19"/>
  <c r="R40" i="19"/>
  <c r="T16" i="19"/>
  <c r="U93" i="19"/>
  <c r="Q50" i="19"/>
  <c r="S103" i="19"/>
  <c r="T93" i="19"/>
  <c r="Q92" i="19"/>
  <c r="P8" i="19"/>
  <c r="P12" i="19"/>
  <c r="P95" i="19"/>
  <c r="Q9" i="19"/>
  <c r="Q64" i="19"/>
  <c r="S84" i="19"/>
  <c r="Q44" i="19"/>
  <c r="P41" i="19"/>
  <c r="U39" i="19"/>
  <c r="P98" i="19"/>
  <c r="R65" i="19"/>
  <c r="P59" i="19"/>
  <c r="Q18" i="19"/>
  <c r="Q40" i="19"/>
  <c r="R108" i="19"/>
  <c r="U84" i="19"/>
  <c r="S18" i="19"/>
  <c r="S79" i="19"/>
  <c r="Q55" i="19"/>
  <c r="Q63" i="19"/>
  <c r="T39" i="19"/>
  <c r="Q53" i="19"/>
  <c r="U59" i="19"/>
  <c r="Q121" i="19"/>
  <c r="T89" i="19"/>
  <c r="U43" i="19"/>
  <c r="P91" i="19"/>
  <c r="Q81" i="19"/>
  <c r="U75" i="19"/>
  <c r="R106" i="19"/>
  <c r="T99" i="19"/>
  <c r="Q106" i="19"/>
  <c r="R57" i="19"/>
  <c r="R15" i="19"/>
  <c r="S111" i="19"/>
  <c r="T13" i="19"/>
  <c r="S109" i="19"/>
  <c r="U16" i="19"/>
  <c r="S58" i="19"/>
  <c r="R26" i="19"/>
  <c r="P26" i="19"/>
  <c r="U52" i="19"/>
  <c r="S66" i="19"/>
  <c r="S92" i="19"/>
  <c r="U107" i="19"/>
  <c r="S112" i="19"/>
  <c r="R64" i="19"/>
  <c r="P106" i="19"/>
  <c r="Q87" i="19"/>
  <c r="T15" i="19"/>
  <c r="T37" i="19"/>
  <c r="T25" i="19"/>
  <c r="P74" i="19"/>
  <c r="T77" i="19"/>
  <c r="R81" i="19"/>
  <c r="R90" i="19"/>
  <c r="P37" i="19"/>
  <c r="S31" i="19"/>
  <c r="Q89" i="19"/>
  <c r="Q108" i="19"/>
  <c r="Q99" i="19"/>
  <c r="S61" i="19"/>
  <c r="Q42" i="19"/>
  <c r="U41" i="19"/>
  <c r="S72" i="19"/>
  <c r="Q119" i="19"/>
  <c r="Q69" i="19"/>
  <c r="S116" i="19"/>
  <c r="U71" i="19"/>
  <c r="T65" i="19"/>
  <c r="R68" i="19"/>
  <c r="S57" i="19"/>
  <c r="S89" i="19"/>
  <c r="Q28" i="19"/>
  <c r="P39" i="19"/>
  <c r="Q95" i="19"/>
  <c r="T8" i="19"/>
  <c r="T43" i="19"/>
  <c r="S73" i="19"/>
  <c r="U78" i="19"/>
  <c r="S81" i="19"/>
  <c r="U87" i="19"/>
  <c r="P87" i="19"/>
  <c r="Q51" i="19"/>
  <c r="R116" i="19"/>
  <c r="S86" i="19"/>
  <c r="R9" i="19"/>
  <c r="R16" i="19"/>
  <c r="R72" i="19"/>
  <c r="U12" i="19"/>
  <c r="U64" i="19"/>
  <c r="U99" i="19"/>
  <c r="P7" i="19"/>
  <c r="U104" i="19"/>
  <c r="P45" i="19"/>
  <c r="Q12" i="19"/>
  <c r="S121" i="19"/>
  <c r="P18" i="19"/>
  <c r="Q70" i="19"/>
  <c r="T67" i="19"/>
  <c r="Q115" i="19"/>
  <c r="Q113" i="19"/>
  <c r="U108" i="19"/>
  <c r="S114" i="19"/>
  <c r="R20" i="19"/>
  <c r="T17" i="19"/>
  <c r="R113" i="19"/>
  <c r="Q91" i="19"/>
  <c r="T60" i="19"/>
  <c r="U121" i="19"/>
  <c r="S19" i="19"/>
  <c r="S115" i="19"/>
  <c r="S80" i="19"/>
  <c r="U96" i="19"/>
  <c r="T50" i="19"/>
  <c r="P88" i="19"/>
  <c r="S34" i="19"/>
  <c r="S93" i="19"/>
  <c r="Q62" i="19"/>
  <c r="Q110" i="19"/>
  <c r="T28" i="19"/>
  <c r="R105" i="19"/>
  <c r="S32" i="19"/>
  <c r="S8" i="19"/>
  <c r="P109" i="19"/>
  <c r="U55" i="19"/>
  <c r="R114" i="19"/>
  <c r="U89" i="19"/>
  <c r="R111" i="19"/>
  <c r="U86" i="19"/>
  <c r="Q60" i="19"/>
  <c r="T31" i="19"/>
  <c r="S100" i="19"/>
  <c r="R110" i="19"/>
  <c r="P116" i="19"/>
  <c r="Q84" i="19"/>
  <c r="S20" i="19"/>
  <c r="R35" i="19"/>
  <c r="R31" i="19"/>
  <c r="U112" i="19"/>
  <c r="R27" i="19"/>
  <c r="U33" i="19"/>
  <c r="U37" i="19"/>
  <c r="R59" i="19"/>
  <c r="Q47" i="19"/>
  <c r="Q71" i="19"/>
  <c r="R55" i="19"/>
  <c r="T7" i="19"/>
  <c r="P50" i="19"/>
  <c r="R76" i="19"/>
  <c r="T56" i="19"/>
  <c r="R7" i="19"/>
  <c r="S98" i="19"/>
  <c r="P57" i="19"/>
  <c r="Q23" i="19"/>
  <c r="U114" i="19"/>
  <c r="P62" i="19"/>
  <c r="R67" i="19"/>
  <c r="Q16" i="19"/>
  <c r="R33" i="19"/>
  <c r="P118" i="19"/>
  <c r="Q61" i="19"/>
  <c r="R30" i="19"/>
  <c r="P110" i="19"/>
  <c r="T105" i="19"/>
  <c r="S25" i="19"/>
  <c r="Q59" i="19"/>
  <c r="R42" i="19"/>
  <c r="P63" i="19"/>
  <c r="T118" i="19"/>
  <c r="S49" i="19"/>
  <c r="Q90" i="19"/>
  <c r="R54" i="19"/>
  <c r="R88" i="19"/>
  <c r="U9" i="19"/>
  <c r="P78" i="19"/>
  <c r="U42" i="19"/>
  <c r="T35" i="19"/>
  <c r="P23" i="19"/>
  <c r="R37" i="19"/>
  <c r="R92" i="19"/>
  <c r="R12" i="19"/>
  <c r="R60" i="19"/>
  <c r="T21" i="19"/>
  <c r="S12" i="19"/>
  <c r="Q26" i="19"/>
  <c r="U65" i="19"/>
  <c r="P30" i="19"/>
  <c r="S7" i="19"/>
  <c r="R93" i="19"/>
  <c r="T11" i="19"/>
  <c r="T101" i="19"/>
  <c r="R48" i="19"/>
  <c r="R6" i="19"/>
  <c r="T75" i="19"/>
  <c r="T113" i="19"/>
  <c r="U90" i="19"/>
  <c r="R47" i="19"/>
  <c r="S48" i="19"/>
  <c r="S91" i="19"/>
  <c r="R46" i="19"/>
  <c r="Q14" i="19"/>
  <c r="U31" i="19"/>
  <c r="P70" i="19"/>
  <c r="Q117" i="19"/>
  <c r="T82" i="19"/>
  <c r="R75" i="19"/>
  <c r="U25" i="19"/>
  <c r="P19" i="19"/>
  <c r="T42" i="19"/>
  <c r="T107" i="19"/>
  <c r="R62" i="19"/>
  <c r="R120" i="19"/>
  <c r="U23" i="19"/>
  <c r="R77" i="19"/>
  <c r="U63" i="19"/>
  <c r="P96" i="19"/>
  <c r="Q67" i="19"/>
  <c r="T57" i="19"/>
  <c r="P97" i="19"/>
  <c r="Q10" i="19"/>
  <c r="P6" i="19"/>
  <c r="R109" i="19"/>
  <c r="P120" i="19"/>
  <c r="P33" i="19"/>
  <c r="U46" i="19"/>
  <c r="T51" i="19"/>
  <c r="R99" i="19"/>
  <c r="T91" i="19"/>
  <c r="T23" i="19"/>
  <c r="Q116" i="19"/>
  <c r="R103" i="19"/>
  <c r="S9" i="19"/>
  <c r="S107" i="19"/>
  <c r="P54" i="19"/>
  <c r="R14" i="19"/>
  <c r="Q103" i="19"/>
  <c r="U45" i="19"/>
  <c r="U81" i="19"/>
  <c r="U82" i="19"/>
  <c r="Q83" i="19"/>
  <c r="U10" i="19"/>
  <c r="R36" i="19"/>
  <c r="T116" i="19"/>
  <c r="R28" i="19"/>
  <c r="S41" i="19"/>
  <c r="T18" i="19"/>
  <c r="P20" i="19"/>
  <c r="S17" i="19"/>
  <c r="S82" i="19"/>
  <c r="T61" i="19"/>
  <c r="T79" i="19"/>
  <c r="T49" i="19"/>
  <c r="R29" i="19"/>
  <c r="Q45" i="19"/>
  <c r="U100" i="19"/>
  <c r="U26" i="19"/>
  <c r="S28" i="19"/>
  <c r="R41" i="19"/>
  <c r="U76" i="19"/>
  <c r="S69" i="19"/>
  <c r="P92" i="19"/>
  <c r="T74" i="19"/>
  <c r="Q46" i="19"/>
  <c r="T9" i="19"/>
  <c r="Q25" i="19"/>
  <c r="T102" i="19"/>
  <c r="P71" i="19"/>
  <c r="S15" i="19"/>
  <c r="Q11" i="19"/>
  <c r="R63" i="19"/>
  <c r="U105" i="19"/>
  <c r="R17" i="19"/>
  <c r="S102" i="19"/>
  <c r="P10" i="19"/>
  <c r="R45" i="19"/>
  <c r="P67" i="19"/>
  <c r="P58" i="19"/>
  <c r="R107" i="19"/>
  <c r="U56" i="19"/>
  <c r="S60" i="19"/>
  <c r="S56" i="19"/>
  <c r="Q97" i="19"/>
  <c r="T72" i="19"/>
  <c r="U85" i="19"/>
  <c r="Q112" i="19"/>
  <c r="S90" i="19"/>
  <c r="R23" i="19"/>
  <c r="S94" i="19"/>
  <c r="T14" i="19"/>
  <c r="U69" i="19"/>
  <c r="Q68" i="19"/>
  <c r="R101" i="19"/>
  <c r="P43" i="19"/>
  <c r="P84" i="19"/>
  <c r="P22" i="19"/>
  <c r="Q49" i="19"/>
  <c r="P64" i="19"/>
  <c r="S54" i="19"/>
  <c r="P114" i="19"/>
  <c r="U88" i="19"/>
  <c r="R79" i="19"/>
  <c r="U68" i="19"/>
  <c r="S26" i="19"/>
  <c r="Q8" i="19"/>
  <c r="U106" i="19"/>
  <c r="P101" i="19"/>
  <c r="P80" i="19"/>
  <c r="R50" i="19"/>
  <c r="U66" i="19"/>
  <c r="U50" i="19"/>
  <c r="Q82" i="19"/>
  <c r="R10" i="19"/>
  <c r="Q77" i="19"/>
  <c r="S104" i="19"/>
  <c r="S51" i="19"/>
  <c r="Q6" i="19"/>
  <c r="S113" i="19"/>
  <c r="U103" i="19"/>
  <c r="U110" i="19"/>
  <c r="Q58" i="19"/>
  <c r="R52" i="19"/>
  <c r="P83" i="19"/>
  <c r="U5" i="19"/>
  <c r="P99" i="19"/>
  <c r="S119" i="19"/>
  <c r="S120" i="19"/>
  <c r="S71" i="19"/>
  <c r="R44" i="19"/>
  <c r="P76" i="19"/>
  <c r="T70" i="19"/>
  <c r="P105" i="19"/>
  <c r="S65" i="19"/>
  <c r="T90" i="19"/>
  <c r="S101" i="19"/>
  <c r="P121" i="19"/>
  <c r="R94" i="19"/>
  <c r="U101" i="19"/>
  <c r="T58" i="19"/>
  <c r="T73" i="19"/>
  <c r="R91" i="19"/>
  <c r="S96" i="19"/>
  <c r="Q30" i="19"/>
  <c r="S117" i="19"/>
  <c r="Q43" i="19"/>
  <c r="P53" i="19"/>
  <c r="U49" i="19"/>
  <c r="Q79" i="19"/>
  <c r="S5" i="19"/>
  <c r="P9" i="19"/>
  <c r="Q75" i="19"/>
  <c r="T33" i="19"/>
  <c r="T121" i="19"/>
  <c r="U17" i="19"/>
  <c r="Q78" i="19"/>
  <c r="R24" i="19"/>
  <c r="T78" i="19"/>
  <c r="P25" i="19"/>
  <c r="T22" i="19"/>
  <c r="U74" i="19"/>
  <c r="P13" i="19"/>
  <c r="P72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<sst xmlns="http://schemas.openxmlformats.org/spreadsheetml/2006/main" count="2168" uniqueCount="741">
  <si>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</si>
  <si>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</si>
  <si>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</si>
  <si>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</si>
  <si>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</si>
  <si>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</si>
  <si>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</si>
  <si>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</si>
  <si>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</si>
  <si>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</si>
  <si>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</si>
  <si>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</si>
  <si>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</si>
  <si>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</si>
  <si>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</si>
  <si>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</si>
  <si>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</si>
  <si>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</si>
  <si>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</si>
  <si>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</si>
  <si>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</si>
  <si>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</si>
  <si>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</si>
  <si>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</si>
  <si>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</si>
  <si>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</si>
  <si>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</si>
  <si>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</si>
  <si>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</si>
  <si>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</si>
  <si>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</si>
  <si>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</si>
  <si>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</si>
  <si>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</si>
  <si>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</si>
  <si>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</si>
  <si>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</si>
  <si>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</si>
  <si>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</si>
  <si>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</si>
  <si>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</si>
  <si>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</si>
  <si>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</si>
  <si>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</si>
  <si>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</si>
  <si>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</si>
  <si>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</si>
  <si>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</si>
  <si>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</si>
  <si>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</si>
  <si>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</si>
  <si>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</si>
  <si>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</si>
  <si>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</si>
  <si>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</si>
  <si>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</si>
  <si>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</si>
  <si>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</si>
  <si>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</si>
  <si>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</si>
  <si>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</si>
  <si>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</si>
  <si>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</si>
  <si>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</si>
  <si>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</si>
  <si>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</si>
  <si>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</si>
  <si>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</si>
  <si>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</si>
  <si>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</si>
  <si>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</si>
  <si>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</si>
  <si>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</si>
  <si>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</si>
  <si>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</si>
  <si>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</si>
  <si>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</si>
  <si>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</si>
  <si>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</si>
  <si>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</si>
  <si>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</si>
  <si>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</si>
  <si>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</si>
  <si>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</si>
  <si>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</si>
  <si>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</si>
  <si>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</si>
  <si>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</si>
  <si>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</si>
  <si>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</si>
  <si>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</si>
  <si>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</si>
  <si>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</si>
  <si>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</si>
  <si>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</si>
  <si>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</si>
  <si>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</si>
  <si>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</si>
  <si>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</si>
  <si>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</si>
  <si>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</si>
  <si>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</si>
  <si>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</si>
  <si>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</si>
  <si>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</si>
  <si>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</si>
  <si>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</si>
  <si>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</si>
  <si>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</si>
  <si>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</si>
  <si>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</si>
  <si>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</si>
  <si>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</si>
  <si>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</si>
  <si>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</si>
  <si>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</si>
  <si>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</si>
  <si>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</si>
  <si>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</si>
  <si>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</si>
  <si>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</si>
  <si>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</si>
  <si>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</si>
  <si>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</si>
  <si>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</si>
  <si>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</si>
  <si>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</si>
  <si>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</si>
  <si>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</si>
  <si>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</si>
  <si>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</si>
  <si>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</si>
  <si>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</si>
  <si>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</si>
  <si>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</si>
  <si>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</si>
  <si>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</si>
  <si>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</si>
  <si>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</si>
  <si>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</si>
  <si>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</si>
  <si>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</si>
  <si>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</si>
  <si>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</si>
  <si>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</si>
  <si>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</si>
  <si>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</si>
  <si>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</si>
  <si>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</si>
  <si>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</si>
  <si>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</si>
  <si>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</si>
  <si>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</si>
  <si>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</si>
  <si>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</si>
  <si>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</si>
  <si>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</si>
  <si>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</si>
  <si>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</si>
  <si>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</si>
  <si>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</si>
  <si>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</si>
  <si>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</si>
  <si>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</si>
  <si>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</si>
  <si>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</si>
  <si>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</si>
  <si>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</si>
  <si>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</si>
  <si>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</si>
  <si>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</si>
  <si>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</si>
  <si>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</si>
  <si>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</si>
  <si>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</si>
  <si>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</si>
  <si>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</si>
  <si>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</si>
  <si>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</si>
  <si>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</si>
  <si>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</si>
  <si>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</si>
  <si>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</si>
  <si>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</si>
  <si>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</si>
  <si>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</si>
  <si>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</si>
  <si>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</si>
  <si>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</si>
  <si>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</si>
  <si>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</si>
  <si>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</si>
  <si>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</si>
  <si>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</si>
  <si>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</si>
  <si>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</si>
  <si>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</si>
  <si>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</si>
  <si>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</si>
  <si>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</si>
  <si>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</si>
  <si>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</si>
  <si>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</si>
  <si>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</si>
  <si>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</si>
  <si>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</si>
  <si>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</si>
  <si>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</si>
  <si>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</si>
  <si>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</si>
  <si>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</si>
  <si>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</si>
  <si>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</si>
  <si>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</si>
  <si>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</si>
  <si>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</si>
  <si>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</si>
  <si>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</si>
  <si>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</si>
  <si>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</si>
  <si>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</si>
  <si>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</si>
  <si>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</si>
  <si>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</si>
  <si>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</si>
  <si>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</si>
  <si>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</si>
  <si>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</si>
  <si>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</si>
  <si>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</si>
  <si>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</si>
  <si>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</si>
  <si>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</si>
  <si>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</si>
  <si>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</si>
  <si>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</si>
  <si>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</si>
  <si>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</si>
  <si>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</si>
  <si>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</si>
  <si>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</si>
  <si>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</si>
  <si>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</si>
  <si>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</si>
  <si>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</si>
  <si>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</si>
  <si>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</si>
  <si>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</si>
  <si>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</si>
  <si>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</si>
  <si>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</si>
  <si>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</si>
  <si>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</si>
  <si>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</si>
  <si>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</si>
  <si>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</si>
  <si>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</si>
  <si>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</si>
  <si>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</si>
  <si>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</si>
  <si>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</si>
  <si>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</si>
  <si>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</si>
  <si>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</si>
  <si>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</si>
  <si>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</si>
  <si>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</si>
  <si>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</si>
  <si>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</si>
  <si>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</si>
  <si>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</si>
  <si>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</si>
  <si>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</si>
  <si>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</si>
  <si>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</si>
  <si>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</si>
  <si>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</si>
  <si>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</si>
  <si>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</si>
  <si>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</si>
  <si>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</si>
  <si>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</si>
  <si>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</si>
  <si>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</si>
  <si>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</si>
  <si>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</si>
  <si>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</si>
  <si>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</si>
  <si>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</si>
  <si>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</si>
  <si>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</si>
  <si>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</si>
  <si>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</si>
  <si>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</si>
  <si>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</si>
  <si>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</si>
  <si>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</si>
  <si>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</si>
  <si>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</si>
  <si>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</si>
  <si>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</si>
  <si>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</si>
  <si>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</si>
  <si>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</si>
  <si>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</si>
  <si>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</si>
  <si>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</si>
  <si>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</si>
  <si>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</si>
  <si>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</si>
  <si>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</si>
  <si>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</si>
  <si>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</si>
  <si>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</si>
  <si>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</si>
  <si>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</si>
  <si>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</si>
  <si>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</si>
  <si>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</si>
  <si>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</si>
  <si>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</si>
  <si>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</si>
  <si>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</si>
  <si>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</si>
  <si>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</si>
  <si>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</si>
  <si>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</si>
  <si>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</si>
  <si>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</si>
  <si>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</si>
  <si>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</si>
  <si>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</si>
  <si>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</si>
  <si>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</si>
  <si>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</si>
  <si>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</si>
  <si>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</si>
  <si>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</si>
  <si>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</si>
  <si>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</si>
  <si>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</si>
  <si>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</si>
  <si>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</si>
  <si>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</si>
  <si>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</si>
  <si>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</si>
  <si>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</si>
  <si>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</si>
  <si>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</si>
  <si>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</si>
  <si>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</si>
  <si>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</si>
  <si>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</si>
  <si>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</si>
  <si>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</si>
  <si>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</si>
  <si>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</si>
  <si>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</si>
  <si>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</si>
  <si>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</si>
  <si>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</si>
  <si>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</si>
  <si>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</si>
  <si>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</si>
  <si>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</si>
  <si>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</si>
  <si>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</si>
  <si>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</si>
  <si>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</si>
  <si>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</si>
  <si>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</si>
  <si>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</si>
  <si>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</si>
  <si>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</si>
  <si>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</si>
  <si>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</si>
  <si>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</si>
  <si>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</si>
  <si>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</si>
  <si>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</si>
  <si>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</si>
  <si>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</si>
  <si>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</si>
  <si>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</si>
  <si>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</si>
  <si>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</si>
  <si>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</si>
  <si>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</si>
  <si>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</si>
  <si>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</si>
  <si>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</si>
  <si>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</si>
  <si>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</si>
  <si>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</si>
  <si>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</si>
  <si>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</si>
  <si>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</si>
  <si>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</si>
  <si>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</si>
  <si>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</si>
  <si>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</si>
  <si>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</si>
  <si>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</si>
  <si>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</si>
  <si>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</si>
  <si>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</si>
  <si>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</si>
  <si>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</si>
  <si>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</si>
  <si>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</si>
  <si>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</si>
  <si>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</si>
  <si>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</si>
  <si>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</si>
  <si>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</si>
  <si>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</si>
  <si>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</si>
  <si>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</si>
  <si>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</si>
  <si>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</si>
  <si>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</si>
  <si>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</si>
  <si>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</si>
  <si>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</si>
  <si>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</si>
  <si>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</si>
  <si>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</si>
  <si>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</si>
  <si>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</si>
  <si>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</si>
  <si>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</si>
  <si>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</si>
  <si>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</si>
  <si>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</si>
  <si>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</si>
  <si>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</si>
  <si>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</si>
  <si>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</si>
  <si>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</si>
  <si>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</si>
  <si>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</si>
  <si>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</si>
  <si>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</si>
  <si>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</si>
  <si>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</si>
  <si>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</si>
  <si>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</si>
  <si>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</si>
  <si>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</si>
  <si>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</si>
  <si>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</si>
  <si>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</si>
  <si>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</si>
  <si>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</si>
  <si>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</si>
  <si>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</si>
  <si>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</si>
  <si>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</si>
  <si>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</si>
  <si>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</si>
  <si>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</si>
  <si>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</si>
  <si>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</si>
  <si>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</si>
  <si>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</si>
  <si>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</si>
  <si>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</si>
  <si>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</si>
  <si>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</si>
  <si>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</si>
  <si>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</si>
  <si>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</si>
  <si>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</si>
  <si>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</si>
  <si>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</si>
  <si>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</si>
  <si>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</si>
  <si>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</si>
  <si>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</si>
  <si>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</si>
  <si>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</si>
  <si>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</si>
  <si>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</si>
  <si>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</si>
  <si>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</si>
  <si>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</si>
  <si>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</si>
  <si>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</si>
  <si>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</si>
  <si>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</si>
  <si>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</si>
  <si>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</si>
  <si>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</si>
  <si>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</si>
  <si>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</si>
  <si>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</si>
  <si>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</si>
  <si>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</si>
  <si>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</si>
  <si>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</si>
  <si>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</si>
  <si>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</si>
  <si>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</si>
  <si>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</si>
  <si>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</si>
  <si>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</si>
  <si>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</si>
  <si>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</si>
  <si>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</si>
  <si>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</si>
  <si>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</si>
  <si>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</si>
  <si>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</si>
  <si>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</si>
  <si>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</si>
  <si>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</si>
  <si>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</si>
  <si>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</si>
  <si>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</si>
  <si>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</si>
  <si>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</si>
  <si>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</si>
  <si>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</si>
  <si>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</si>
  <si>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</si>
  <si>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</si>
  <si>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</si>
  <si>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</si>
  <si>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</si>
  <si>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</si>
  <si>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</si>
  <si>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</si>
  <si>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</si>
  <si>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</si>
  <si>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</si>
  <si>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</si>
  <si>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</si>
  <si>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</si>
  <si>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</si>
  <si>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</si>
  <si>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</si>
  <si>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</si>
  <si>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</si>
  <si>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</si>
  <si>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</si>
  <si>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</si>
  <si>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</si>
  <si>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</si>
  <si>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</si>
  <si>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</si>
  <si>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</si>
  <si>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</si>
  <si>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</si>
  <si>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</si>
  <si>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</si>
  <si>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</si>
  <si>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</si>
  <si>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</si>
  <si>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</si>
  <si>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</si>
  <si>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</si>
  <si>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</si>
  <si>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</si>
  <si>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</si>
  <si>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</si>
  <si>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</si>
  <si>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</si>
  <si>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</si>
  <si>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</si>
  <si>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</si>
  <si>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</si>
  <si>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</si>
  <si>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</si>
  <si>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</si>
  <si>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</si>
  <si>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</si>
  <si>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</si>
  <si>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</si>
  <si>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</si>
  <si>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</si>
  <si>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</si>
  <si>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</si>
  <si>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</si>
  <si>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</si>
  <si>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</si>
  <si>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</si>
  <si>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</si>
  <si>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</si>
  <si>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</si>
  <si>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</si>
  <si>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</si>
  <si>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</si>
  <si>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</si>
  <si>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</si>
  <si>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</si>
  <si>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</si>
  <si>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</si>
  <si>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</si>
  <si>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</si>
  <si>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</si>
  <si>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</si>
  <si>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</si>
  <si>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</si>
  <si>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</si>
  <si>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</si>
  <si>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</si>
  <si>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</si>
  <si>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</si>
  <si>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</si>
  <si>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</si>
  <si>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</si>
  <si>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</si>
  <si>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</si>
  <si>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</si>
  <si>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</si>
  <si>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</si>
  <si>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</si>
  <si>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</si>
  <si>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</si>
  <si>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</si>
  <si>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</si>
  <si>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</si>
  <si>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</si>
  <si>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</si>
  <si>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</si>
  <si>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</si>
  <si>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</si>
  <si>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</si>
  <si>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</si>
  <si>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</si>
  <si>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</si>
  <si>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</si>
  <si>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</si>
  <si>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</si>
  <si>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</si>
  <si>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</si>
  <si>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</si>
  <si>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</si>
  <si>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</si>
  <si>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</si>
  <si>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</si>
  <si>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</si>
  <si>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</si>
  <si>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</si>
  <si>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</si>
  <si>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</si>
  <si>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</si>
  <si>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</si>
  <si>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</si>
  <si>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</si>
  <si>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</si>
  <si>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</si>
  <si>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</si>
  <si>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</si>
  <si>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</si>
  <si>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</si>
  <si>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</si>
  <si>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</si>
  <si>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</si>
  <si>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</si>
  <si>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</si>
  <si>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</si>
  <si>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</si>
  <si>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</si>
  <si>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</si>
  <si>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</si>
  <si>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</si>
  <si>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</si>
  <si>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</si>
  <si>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</si>
  <si>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</si>
  <si>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</si>
  <si>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</si>
  <si>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</si>
  <si>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</si>
  <si>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</si>
  <si>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</si>
  <si>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</si>
  <si>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</si>
  <si>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</si>
  <si>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</si>
  <si>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Cthuko, HS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</si>
  <si>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</si>
  <si>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</si>
  <si>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</si>
  <si>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</si>
  <si>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</si>
  <si>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</si>
  <si>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</si>
  <si>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</si>
  <si>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</si>
  <si>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</si>
  <si>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</si>
  <si>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</si>
  <si>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</si>
  <si>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</si>
  <si>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</si>
  <si>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</si>
  <si>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</si>
  <si>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</si>
  <si>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</si>
  <si>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</si>
  <si>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</si>
  <si>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</si>
  <si>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</si>
  <si>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</si>
  <si>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</si>
  <si>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</si>
  <si>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</si>
  <si>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</si>
  <si>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</si>
  <si>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</si>
  <si>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</si>
  <si>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</si>
  <si>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</si>
  <si>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</si>
  <si>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</si>
  <si>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</si>
  <si>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</si>
  <si>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</si>
  <si>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</si>
  <si>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</si>
  <si>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</si>
  <si>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</si>
  <si>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</si>
  <si>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</si>
  <si>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</si>
  <si>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</si>
  <si>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</si>
  <si>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</si>
  <si>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</si>
  <si>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</si>
  <si>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</si>
  <si>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</si>
  <si>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</si>
  <si>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</si>
  <si>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</si>
  <si>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Mon</t>
  </si>
  <si>
    <t>Kantai Collection</t>
  </si>
  <si>
    <t>Death Parade</t>
  </si>
  <si>
    <t>Sat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</si>
</sst>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3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2" xfId="0" applyFont="1" applyBorder="1"/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96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33</c:v>
                </c:pt>
                <c:pt idx="2">
                  <c:v>29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01156832"/>
        <c:axId val="101161728"/>
      </c:barChart>
      <c:catAx>
        <c:axId val="10115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1161728"/>
        <c:crosses val="autoZero"/>
        <c:auto val="1"/>
        <c:lblAlgn val="ctr"/>
        <c:lblOffset val="100"/>
        <c:noMultiLvlLbl val="0"/>
      </c:catAx>
      <c:valAx>
        <c:axId val="10116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11568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7</c:v>
                </c:pt>
                <c:pt idx="1">
                  <c:v>44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101160640"/>
        <c:axId val="101162272"/>
      </c:barChart>
      <c:catAx>
        <c:axId val="10116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1162272"/>
        <c:crosses val="autoZero"/>
        <c:auto val="1"/>
        <c:lblAlgn val="ctr"/>
        <c:lblOffset val="100"/>
        <c:noMultiLvlLbl val="0"/>
      </c:catAx>
      <c:valAx>
        <c:axId val="1011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1011606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185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20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26" totalsRowShown="0">
  <autoFilter ref="A2:H226"/>
  <sortState ref="A3:H226">
    <sortCondition ref="G3:G226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52" dataDxfId="51">
  <autoFilter ref="A2:C77"/>
  <sortState ref="A3:C77">
    <sortCondition ref="C3:C77"/>
    <sortCondition ref="A3:A77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1" totalsRowShown="0" headerRowDxfId="47" dataDxfId="46" tableBorderDxfId="45">
  <autoFilter ref="A2:D21"/>
  <sortState ref="A3:D21">
    <sortCondition ref="C3:C21"/>
  </sortState>
  <tableColumns count="4">
    <tableColumn id="1" name="Anime Name" dataDxfId="44"/>
    <tableColumn id="2" name="Sn." dataDxfId="43"/>
    <tableColumn id="6" name="Start" dataDxfId="42"/>
    <tableColumn id="7" name="End" dataDxfId="41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4" totalsRowShown="0" headerRowDxfId="40" dataDxfId="39" tableBorderDxfId="38">
  <autoFilter ref="A2:L144"/>
  <sortState ref="A3:L144">
    <sortCondition descending="1" ref="H3:H144"/>
  </sortState>
  <tableColumns count="12">
    <tableColumn id="1" name="Anime Name" dataDxfId="37"/>
    <tableColumn id="2" name="Sn." dataDxfId="36"/>
    <tableColumn id="3" name="Plot" dataDxfId="35"/>
    <tableColumn id="4" name="Char." dataDxfId="34"/>
    <tableColumn id="5" name="Moe" dataDxfId="33"/>
    <tableColumn id="6" name="Pref" dataDxfId="32"/>
    <tableColumn id="7" name="Raw" dataDxfId="31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0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9"/>
    <tableColumn id="11" name="End Day" dataDxfId="28"/>
    <tableColumn id="12" name="Best Girl" dataDxfId="27"/>
    <tableColumn id="13" name="Notes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D7" sqref="D7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32" t="s">
        <v>466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</row>
    <row r="2" spans="1:31">
      <c r="A2" s="226" t="s">
        <v>0</v>
      </c>
      <c r="B2" s="227"/>
      <c r="C2" s="227"/>
      <c r="D2" s="227"/>
      <c r="E2" s="227"/>
      <c r="F2" s="227"/>
      <c r="G2" s="227"/>
      <c r="H2" s="228"/>
      <c r="I2" s="24" t="s">
        <v>156</v>
      </c>
      <c r="J2" s="237" t="s">
        <v>464</v>
      </c>
      <c r="K2" s="238"/>
      <c r="L2" s="239"/>
      <c r="N2" s="234" t="s">
        <v>465</v>
      </c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6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735</v>
      </c>
      <c r="B4" s="87" t="s">
        <v>737</v>
      </c>
      <c r="C4" s="88">
        <v>2</v>
      </c>
      <c r="D4" s="85">
        <v>7</v>
      </c>
      <c r="E4" s="85">
        <v>5</v>
      </c>
      <c r="F4" s="108">
        <v>42029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Vivid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IF(Completed!$A$3&lt;&gt;"",Completed!$A$3,"")</f>
        <v>Inferno Cop</v>
      </c>
      <c r="O4" s="28">
        <f>IF(Completed!$B$3&lt;&gt;"",Completed!$B$3,"")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IF(Completed!$C$3&lt;&gt;"",Completed!$C$3,"")</f>
        <v>11</v>
      </c>
      <c r="W4" s="53">
        <f>IF(Completed!$D$3&lt;&gt;"",Completed!$D$3,"")</f>
        <v>11</v>
      </c>
      <c r="X4" s="53">
        <f>IF(Completed!$E$3&lt;&gt;"",Completed!$E$3,"")</f>
        <v>0</v>
      </c>
      <c r="Y4" s="53">
        <f>IF(Completed!$F$3&lt;&gt;"",Completed!$F$3,"")</f>
        <v>10</v>
      </c>
      <c r="Z4" s="64">
        <f>IF(Completed!$G$3&lt;&gt;"",Completed!$G$3,"")</f>
        <v>9.9748743718592969</v>
      </c>
      <c r="AA4" s="74">
        <f>IF(Completed!$H$3&lt;&gt;"",Completed!$H$3,"")</f>
        <v>10</v>
      </c>
      <c r="AB4" s="54">
        <f>IF(Completed!$I$3&lt;&gt;"",Completed!$I$3,"")</f>
        <v>41290</v>
      </c>
      <c r="AC4" s="54">
        <f>IF(Completed!$J$3&lt;&gt;"",Completed!$J$3,"")</f>
        <v>41352</v>
      </c>
      <c r="AD4" s="65" t="str">
        <f>IF(Completed!$K$3&lt;&gt;"",Completed!$K$3,"")</f>
        <v>Inferno Cop</v>
      </c>
      <c r="AE4" s="65" t="str">
        <f>IF(Completed!$L$3&lt;&gt;"",Completed!$L$3,"")</f>
        <v/>
      </c>
    </row>
    <row r="5" spans="1:31">
      <c r="A5" s="83" t="s">
        <v>680</v>
      </c>
      <c r="B5" s="87" t="s">
        <v>731</v>
      </c>
      <c r="C5" s="88">
        <v>1</v>
      </c>
      <c r="D5" s="85">
        <v>0</v>
      </c>
      <c r="E5" s="85">
        <v>14</v>
      </c>
      <c r="F5" s="108">
        <v>42025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Cthuko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IF(Completed!$A$4&lt;&gt;"",Completed!$A$4,"")</f>
        <v>Steins;Gate</v>
      </c>
      <c r="O5" s="28">
        <f>IF(Completed!$B$4&lt;&gt;"",Completed!$B$4,"")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IF(Completed!$C$4&lt;&gt;"",Completed!$C$4,"")</f>
        <v>10</v>
      </c>
      <c r="W5" s="53">
        <f>IF(Completed!$D$4&lt;&gt;"",Completed!$D$4,"")</f>
        <v>9.5</v>
      </c>
      <c r="X5" s="53">
        <f>IF(Completed!$E$4&lt;&gt;"",Completed!$E$4,"")</f>
        <v>4</v>
      </c>
      <c r="Y5" s="53">
        <f>IF(Completed!$F$4&lt;&gt;"",Completed!$F$4,"")</f>
        <v>10</v>
      </c>
      <c r="Z5" s="64">
        <f>IF(Completed!$G$4&lt;&gt;"",Completed!$G$4,"")</f>
        <v>9.5791457286432156</v>
      </c>
      <c r="AA5" s="74">
        <f>IF(Completed!$H$4&lt;&gt;"",Completed!$H$4,"")</f>
        <v>9.4703211703379839</v>
      </c>
      <c r="AB5" s="54">
        <f>IF(Completed!$I$4&lt;&gt;"",Completed!$I$4,"")</f>
        <v>41270</v>
      </c>
      <c r="AC5" s="54">
        <f>IF(Completed!$J$4&lt;&gt;"",Completed!$J$4,"")</f>
        <v>41279</v>
      </c>
      <c r="AD5" s="65" t="str">
        <f>IF(Completed!$K$4&lt;&gt;"",Completed!$K$4,"")</f>
        <v>Makise Kurisu</v>
      </c>
      <c r="AE5" s="65" t="str">
        <f>IF(Completed!$L$4&lt;&gt;"",Completed!$L$4,"")</f>
        <v>Good show, mostly accurate science, overall a good watch</v>
      </c>
    </row>
    <row r="6" spans="1:31">
      <c r="A6" s="83" t="s">
        <v>738</v>
      </c>
      <c r="B6" s="86" t="s">
        <v>731</v>
      </c>
      <c r="C6" s="85">
        <v>1</v>
      </c>
      <c r="D6" s="85">
        <v>6</v>
      </c>
      <c r="E6" s="85">
        <v>6</v>
      </c>
      <c r="F6" s="108">
        <v>42043</v>
      </c>
      <c r="G6" s="104" t="str">
        <f ca="1">IF($A6&lt;&gt;"", INDIRECT("'Tracker'!"&amp;ADDRESS(MATCH($A6, Tracker[Anime Name], 0) + 2, 4)), "")</f>
        <v>B</v>
      </c>
      <c r="H6" s="97" t="str">
        <f ca="1">IF($A6&lt;&gt;"", INDIRECT("'Tracker'!"&amp;ADDRESS(MATCH($A6, Tracker[Anime Name], 0) + 2, 8)), "")</f>
        <v>HorribleSubs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IF(Completed!$A$5&lt;&gt;"",Completed!$A$5,"")</f>
        <v>Sakamichi no Apollon</v>
      </c>
      <c r="O6" s="28">
        <f>IF(Completed!$B$5&lt;&gt;"",Completed!$B$5,"")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IF(Completed!$C$5&lt;&gt;"",Completed!$C$5,"")</f>
        <v>9.5</v>
      </c>
      <c r="W6" s="53">
        <f>IF(Completed!$D$5&lt;&gt;"",Completed!$D$5,"")</f>
        <v>9.5</v>
      </c>
      <c r="X6" s="53">
        <f>IF(Completed!$E$5&lt;&gt;"",Completed!$E$5,"")</f>
        <v>3.5</v>
      </c>
      <c r="Y6" s="53">
        <f>IF(Completed!$F$5&lt;&gt;"",Completed!$F$5,"")</f>
        <v>10</v>
      </c>
      <c r="Z6" s="64">
        <f>IF(Completed!$G$5&lt;&gt;"",Completed!$G$5,"")</f>
        <v>9.4635678391959797</v>
      </c>
      <c r="AA6" s="74">
        <f>IF(Completed!$H$5&lt;&gt;"",Completed!$H$5,"")</f>
        <v>9.3156213216747918</v>
      </c>
      <c r="AB6" s="54">
        <f>IF(Completed!$I$5&lt;&gt;"",Completed!$I$5,"")</f>
        <v>41646</v>
      </c>
      <c r="AC6" s="54">
        <f>IF(Completed!$J$5&lt;&gt;"",Completed!$J$5,"")</f>
        <v>41647</v>
      </c>
      <c r="AD6" s="65" t="str">
        <f>IF(Completed!$K$5&lt;&gt;"",Completed!$K$5,"")</f>
        <v>Mukae Ritsuko</v>
      </c>
      <c r="AE6" s="65" t="str">
        <f>IF(Completed!$L$5&lt;&gt;"",Completed!$L$5,"")</f>
        <v>Even more accurate music than K-On!</v>
      </c>
    </row>
    <row r="7" spans="1:31">
      <c r="A7" s="83" t="s">
        <v>739</v>
      </c>
      <c r="B7" s="87" t="s">
        <v>740</v>
      </c>
      <c r="C7" s="88">
        <v>1</v>
      </c>
      <c r="D7" s="85">
        <v>3</v>
      </c>
      <c r="E7" s="85">
        <v>5</v>
      </c>
      <c r="F7" s="108">
        <v>42043</v>
      </c>
      <c r="G7" s="104" t="str">
        <f ca="1">IF($A7&lt;&gt;"", INDIRECT("'Tracker'!"&amp;ADDRESS(MATCH($A7, Tracker[Anime Name], 0) + 2, 4)), "")</f>
        <v>B</v>
      </c>
      <c r="H7" s="97" t="str">
        <f ca="1">IF($A7&lt;&gt;"", INDIRECT("'Tracker'!"&amp;ADDRESS(MATCH($A7, Tracker[Anime Name], 0) + 2, 8)), "")</f>
        <v>FFF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IF(Completed!$A$6&lt;&gt;"",Completed!$A$6,"")</f>
        <v>Baccano!</v>
      </c>
      <c r="O7" s="28">
        <f>IF(Completed!$B$6&lt;&gt;"",Completed!$B$6,"")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IF(Completed!$C$6&lt;&gt;"",Completed!$C$6,"")</f>
        <v>10</v>
      </c>
      <c r="W7" s="53">
        <f>IF(Completed!$D$6&lt;&gt;"",Completed!$D$6,"")</f>
        <v>10</v>
      </c>
      <c r="X7" s="53">
        <f>IF(Completed!$E$6&lt;&gt;"",Completed!$E$6,"")</f>
        <v>3</v>
      </c>
      <c r="Y7" s="53">
        <f>IF(Completed!$F$6&lt;&gt;"",Completed!$F$6,"")</f>
        <v>9.5</v>
      </c>
      <c r="Z7" s="64">
        <f>IF(Completed!$G$6&lt;&gt;"",Completed!$G$6,"")</f>
        <v>9.4158291457286438</v>
      </c>
      <c r="AA7" s="74">
        <f>IF(Completed!$H$6&lt;&gt;"",Completed!$H$6,"")</f>
        <v>9.2517235580965203</v>
      </c>
      <c r="AB7" s="54">
        <f>IF(Completed!$I$6&lt;&gt;"",Completed!$I$6,"")</f>
        <v>41607</v>
      </c>
      <c r="AC7" s="54">
        <f>IF(Completed!$J$6&lt;&gt;"",Completed!$J$6,"")</f>
        <v>41634</v>
      </c>
      <c r="AD7" s="65" t="str">
        <f>IF(Completed!$K$6&lt;&gt;"",Completed!$K$6,"")</f>
        <v>Rachel</v>
      </c>
      <c r="AE7" s="65" t="str">
        <f>IF(Completed!$L$6&lt;&gt;"",Completed!$L$6,"")</f>
        <v>One of the best written stories I've seen in a while</v>
      </c>
    </row>
    <row r="8" spans="1:31">
      <c r="A8" s="83" t="s">
        <v>58</v>
      </c>
      <c r="B8" s="84" t="s">
        <v>123</v>
      </c>
      <c r="C8" s="85">
        <v>1</v>
      </c>
      <c r="D8" s="85">
        <v>17</v>
      </c>
      <c r="E8" s="85">
        <v>26</v>
      </c>
      <c r="F8" s="108">
        <v>41653</v>
      </c>
      <c r="G8" s="104" t="str">
        <f ca="1">IF($A8&lt;&gt;"", INDIRECT("'Tracker'!"&amp;ADDRESS(MATCH($A8, Tracker[Anime Name], 0) + 2, 4)), "")</f>
        <v>A</v>
      </c>
      <c r="H8" s="97" t="str">
        <f ca="1">IF($A8&lt;&gt;"", INDIRECT("'Tracker'!"&amp;ADDRESS(MATCH($A8, Tracker[Anime Name], 0) + 2, 8)), "")</f>
        <v>niizk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IF(Completed!$A$7&lt;&gt;"",Completed!$A$7,"")</f>
        <v>Zankyou no Terror</v>
      </c>
      <c r="O8" s="28">
        <f>IF(Completed!$B$7&lt;&gt;"",Completed!$B$7,"")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IF(Completed!$C$7&lt;&gt;"",Completed!$C$7,"")</f>
        <v>10</v>
      </c>
      <c r="W8" s="53">
        <f>IF(Completed!$D$7&lt;&gt;"",Completed!$D$7,"")</f>
        <v>9.5</v>
      </c>
      <c r="X8" s="53">
        <f>IF(Completed!$E$7&lt;&gt;"",Completed!$E$7,"")</f>
        <v>4</v>
      </c>
      <c r="Y8" s="53">
        <f>IF(Completed!$F$7&lt;&gt;"",Completed!$F$7,"")</f>
        <v>9.5</v>
      </c>
      <c r="Z8" s="64">
        <f>IF(Completed!$G$7&lt;&gt;"",Completed!$G$7,"")</f>
        <v>9.3291457286432173</v>
      </c>
      <c r="AA8" s="74">
        <f>IF(Completed!$H$7&lt;&gt;"",Completed!$H$7,"")</f>
        <v>9.1356986715991262</v>
      </c>
      <c r="AB8" s="54">
        <f>IF(Completed!$I$7&lt;&gt;"",Completed!$I$7,"")</f>
        <v>41831</v>
      </c>
      <c r="AC8" s="54">
        <f>IF(Completed!$J$7&lt;&gt;"",Completed!$J$7,"")</f>
        <v>42017</v>
      </c>
      <c r="AD8" s="65" t="str">
        <f>IF(Completed!$K$7&lt;&gt;"",Completed!$K$7,"")</f>
        <v>Mishima Lisa</v>
      </c>
      <c r="AE8" s="65" t="str">
        <f>IF(Completed!$L$7&lt;&gt;"",Completed!$L$7,"")</f>
        <v/>
      </c>
    </row>
    <row r="9" spans="1:31">
      <c r="A9" s="83" t="s">
        <v>328</v>
      </c>
      <c r="B9" s="87" t="s">
        <v>123</v>
      </c>
      <c r="C9" s="88">
        <v>1</v>
      </c>
      <c r="D9" s="88">
        <v>2</v>
      </c>
      <c r="E9" s="88">
        <v>11</v>
      </c>
      <c r="F9" s="109">
        <v>41816</v>
      </c>
      <c r="G9" s="104" t="str">
        <f ca="1">IF($A9&lt;&gt;"", INDIRECT("'Tracker'!"&amp;ADDRESS(MATCH($A9, Tracker[Anime Name], 0) + 2, 4)), "")</f>
        <v>A</v>
      </c>
      <c r="H9" s="97" t="str">
        <f ca="1">IF($A9&lt;&gt;"", INDIRECT("'Tracker'!"&amp;ADDRESS(MATCH($A9, Tracker[Anime Name], 0) + 2, 8)), "")</f>
        <v>Zurako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IF(Completed!$A$8&lt;&gt;"",Completed!$A$8,"")</f>
        <v>Isshuukan Friends</v>
      </c>
      <c r="O9" s="28">
        <f>IF(Completed!$B$8&lt;&gt;"",Completed!$B$8,"")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IF(Completed!$C$8&lt;&gt;"",Completed!$C$8,"")</f>
        <v>9</v>
      </c>
      <c r="W9" s="53">
        <f>IF(Completed!$D$8&lt;&gt;"",Completed!$D$8,"")</f>
        <v>9.5</v>
      </c>
      <c r="X9" s="53">
        <f>IF(Completed!$E$8&lt;&gt;"",Completed!$E$8,"")</f>
        <v>7</v>
      </c>
      <c r="Y9" s="53">
        <f>IF(Completed!$F$8&lt;&gt;"",Completed!$F$8,"")</f>
        <v>9.5</v>
      </c>
      <c r="Z9" s="64">
        <f>IF(Completed!$G$8&lt;&gt;"",Completed!$G$8,"")</f>
        <v>9.2889447236180906</v>
      </c>
      <c r="AA9" s="74">
        <f>IF(Completed!$H$8&lt;&gt;"",Completed!$H$8,"")</f>
        <v>9.0818900285858408</v>
      </c>
      <c r="AB9" s="54">
        <f>IF(Completed!$I$8&lt;&gt;"",Completed!$I$8,"")</f>
        <v>41749</v>
      </c>
      <c r="AC9" s="54">
        <f>IF(Completed!$J$8&lt;&gt;"",Completed!$J$8,"")</f>
        <v>41815</v>
      </c>
      <c r="AD9" s="65" t="str">
        <f>IF(Completed!$K$8&lt;&gt;"",Completed!$K$8,"")</f>
        <v>Fujimiya Kaori</v>
      </c>
      <c r="AE9" s="65" t="str">
        <f>IF(Completed!$L$8&lt;&gt;"",Completed!$L$8,"")</f>
        <v>Saki and Fujimiya's mom are both great too</v>
      </c>
    </row>
    <row r="10" spans="1:31">
      <c r="A10" s="83"/>
      <c r="B10" s="86"/>
      <c r="C10" s="85"/>
      <c r="D10" s="85"/>
      <c r="E10" s="85"/>
      <c r="F10" s="108"/>
      <c r="G10" s="104" t="str">
        <f ca="1">IF($A10&lt;&gt;"", INDIRECT("'Tracker'!"&amp;ADDRESS(MATCH($A10, Tracker[Anime Name], 0) + 2, 4)), "")</f>
        <v/>
      </c>
      <c r="H10" s="97" t="str">
        <f ca="1">IF($A10&lt;&gt;"", INDIRECT("'Tracker'!"&amp;ADDRESS(MATCH($A10, Tracker[Anime Name], 0) + 2, 8)), "")</f>
        <v/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IF(Completed!$A$9&lt;&gt;"",Completed!$A$9,"")</f>
        <v>The Tatami Galaxy</v>
      </c>
      <c r="O10" s="28">
        <f>IF(Completed!$B$9&lt;&gt;"",Completed!$B$9,"")</f>
        <v>1</v>
      </c>
      <c r="P10" s="28">
        <f ca="1">IF($N$10&lt;&gt;"", INDIRECT("'Tracker'!"&amp;ADDRESS(MATCH($N$10, Tracker[Anime Name], 0) + 2, 3)), "")</f>
        <v>11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2010A</v>
      </c>
      <c r="U10" s="28" t="str">
        <f ca="1">IF($N$10&lt;&gt;"", INDIRECT("'Tracker'!"&amp;ADDRESS(MATCH($N$10, Tracker[Anime Name], 0) + 2, 8)), "")</f>
        <v>Elysium</v>
      </c>
      <c r="V10" s="53">
        <f>IF(Completed!$C$9&lt;&gt;"",Completed!$C$9,"")</f>
        <v>10</v>
      </c>
      <c r="W10" s="53">
        <f>IF(Completed!$D$9&lt;&gt;"",Completed!$D$9,"")</f>
        <v>9</v>
      </c>
      <c r="X10" s="53">
        <f>IF(Completed!$E$9&lt;&gt;"",Completed!$E$9,"")</f>
        <v>5</v>
      </c>
      <c r="Y10" s="53">
        <f>IF(Completed!$F$9&lt;&gt;"",Completed!$F$9,"")</f>
        <v>9.5</v>
      </c>
      <c r="Z10" s="64">
        <f>IF(Completed!$G$9&lt;&gt;"",Completed!$G$9,"")</f>
        <v>9.2424623115577873</v>
      </c>
      <c r="AA10" s="74">
        <f>IF(Completed!$H$9&lt;&gt;"",Completed!$H$9,"")</f>
        <v>9.0196737851017303</v>
      </c>
      <c r="AB10" s="54">
        <f>IF(Completed!$I$9&lt;&gt;"",Completed!$I$9,"")</f>
        <v>41742</v>
      </c>
      <c r="AC10" s="54">
        <f>IF(Completed!$J$9&lt;&gt;"",Completed!$J$9,"")</f>
        <v>41746</v>
      </c>
      <c r="AD10" s="65" t="str">
        <f>IF(Completed!$K$9&lt;&gt;"",Completed!$K$9,"")</f>
        <v>Akashi</v>
      </c>
      <c r="AE10" s="65" t="str">
        <f>IF(Completed!$L$9&lt;&gt;"",Completed!$L$9,"")</f>
        <v>Really well planned show</v>
      </c>
    </row>
    <row r="11" spans="1:31">
      <c r="A11" s="83"/>
      <c r="B11" s="87"/>
      <c r="C11" s="88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IF(Completed!$A$10&lt;&gt;"",Completed!$A$10,"")</f>
        <v>Clannad -After Story-</v>
      </c>
      <c r="O11" s="28">
        <f>IF(Completed!$B$10&lt;&gt;"",Completed!$B$10,"")</f>
        <v>2</v>
      </c>
      <c r="P11" s="28">
        <f ca="1">IF($N$11&lt;&gt;"", INDIRECT("'Tracker'!"&amp;ADDRESS(MATCH($N$11, Tracker[Anime Name], 0) + 2, 3)), "")</f>
        <v>22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2008C</v>
      </c>
      <c r="U11" s="28" t="str">
        <f ca="1">IF($N$11&lt;&gt;"", INDIRECT("'Tracker'!"&amp;ADDRESS(MATCH($N$11, Tracker[Anime Name], 0) + 2, 8)), "")</f>
        <v>Doki</v>
      </c>
      <c r="V11" s="53">
        <f>IF(Completed!$C$10&lt;&gt;"",Completed!$C$10,"")</f>
        <v>9.5</v>
      </c>
      <c r="W11" s="53">
        <f>IF(Completed!$D$10&lt;&gt;"",Completed!$D$10,"")</f>
        <v>10</v>
      </c>
      <c r="X11" s="53">
        <f>IF(Completed!$E$10&lt;&gt;"",Completed!$E$10,"")</f>
        <v>6</v>
      </c>
      <c r="Y11" s="53">
        <f>IF(Completed!$F$10&lt;&gt;"",Completed!$F$10,"")</f>
        <v>9</v>
      </c>
      <c r="Z11" s="64">
        <f>IF(Completed!$G$10&lt;&gt;"",Completed!$G$10,"")</f>
        <v>9.217336683417086</v>
      </c>
      <c r="AA11" s="74">
        <f>IF(Completed!$H$10&lt;&gt;"",Completed!$H$10,"")</f>
        <v>8.9860433832184299</v>
      </c>
      <c r="AB11" s="54">
        <f>IF(Completed!$I$10&lt;&gt;"",Completed!$I$10,"")</f>
        <v>41293</v>
      </c>
      <c r="AC11" s="54">
        <f>IF(Completed!$J$10&lt;&gt;"",Completed!$J$10,"")</f>
        <v>41294</v>
      </c>
      <c r="AD11" s="65" t="str">
        <f>IF(Completed!$K$10&lt;&gt;"",Completed!$K$10,"")</f>
        <v>Fujibayashi Kyou</v>
      </c>
      <c r="AE11" s="65" t="str">
        <f>IF(Completed!$L$10&lt;&gt;"",Completed!$L$10,"")</f>
        <v>So many feels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IF(Completed!$A$11&lt;&gt;"",Completed!$A$11,"")</f>
        <v>Durarara!!</v>
      </c>
      <c r="O12" s="28">
        <f>IF(Completed!$B$11&lt;&gt;"",Completed!$B$11,"")</f>
        <v>1</v>
      </c>
      <c r="P12" s="28">
        <f ca="1">IF($N$12&lt;&gt;"", INDIRECT("'Tracker'!"&amp;ADDRESS(MATCH($N$12, Tracker[Anime Name], 0) + 2, 3)), "")</f>
        <v>25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2009D</v>
      </c>
      <c r="U12" s="28" t="str">
        <f ca="1">IF($N$12&lt;&gt;"", INDIRECT("'Tracker'!"&amp;ADDRESS(MATCH($N$12, Tracker[Anime Name], 0) + 2, 8)), "")</f>
        <v>Coalgirls, gg</v>
      </c>
      <c r="V12" s="53">
        <f>IF(Completed!$C$11&lt;&gt;"",Completed!$C$11,"")</f>
        <v>10</v>
      </c>
      <c r="W12" s="53">
        <f>IF(Completed!$D$11&lt;&gt;"",Completed!$D$11,"")</f>
        <v>9</v>
      </c>
      <c r="X12" s="53">
        <f>IF(Completed!$E$11&lt;&gt;"",Completed!$E$11,"")</f>
        <v>4</v>
      </c>
      <c r="Y12" s="53">
        <f>IF(Completed!$F$11&lt;&gt;"",Completed!$F$11,"")</f>
        <v>9.5</v>
      </c>
      <c r="Z12" s="64">
        <f>IF(Completed!$G$11&lt;&gt;"",Completed!$G$11,"")</f>
        <v>9.1947236180904515</v>
      </c>
      <c r="AA12" s="74">
        <f>IF(Completed!$H$11&lt;&gt;"",Completed!$H$11,"")</f>
        <v>8.9557760215234552</v>
      </c>
      <c r="AB12" s="54">
        <f>IF(Completed!$I$11&lt;&gt;"",Completed!$I$11,"")</f>
        <v>41750</v>
      </c>
      <c r="AC12" s="54">
        <f>IF(Completed!$J$11&lt;&gt;"",Completed!$J$11,"")</f>
        <v>41756</v>
      </c>
      <c r="AD12" s="65" t="str">
        <f>IF(Completed!$K$11&lt;&gt;"",Completed!$K$11,"")</f>
        <v>Celty Sturluson</v>
      </c>
      <c r="AE12" s="65" t="str">
        <f>IF(Completed!$L$11&lt;&gt;"",Completed!$L$11,"")</f>
        <v/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IF(Completed!$A$12&lt;&gt;"",Completed!$A$12,"")</f>
        <v>Mikakunin no Shinkoukei</v>
      </c>
      <c r="O13" s="28">
        <f>IF(Completed!$B$12&lt;&gt;"",Completed!$B$12,"")</f>
        <v>1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2013D</v>
      </c>
      <c r="U13" s="28" t="str">
        <f ca="1">IF($N$13&lt;&gt;"", INDIRECT("'Tracker'!"&amp;ADDRESS(MATCH($N$13, Tracker[Anime Name], 0) + 2, 8)), "")</f>
        <v>Underwater</v>
      </c>
      <c r="V13" s="53">
        <f>IF(Completed!$C$12&lt;&gt;"",Completed!$C$12,"")</f>
        <v>9</v>
      </c>
      <c r="W13" s="53">
        <f>IF(Completed!$D$12&lt;&gt;"",Completed!$D$12,"")</f>
        <v>9</v>
      </c>
      <c r="X13" s="53">
        <f>IF(Completed!$E$12&lt;&gt;"",Completed!$E$12,"")</f>
        <v>7.5</v>
      </c>
      <c r="Y13" s="53">
        <f>IF(Completed!$F$12&lt;&gt;"",Completed!$F$12,"")</f>
        <v>9.5</v>
      </c>
      <c r="Z13" s="64">
        <f>IF(Completed!$G$12&lt;&gt;"",Completed!$G$12,"")</f>
        <v>9.1783919597989954</v>
      </c>
      <c r="AA13" s="74">
        <f>IF(Completed!$H$12&lt;&gt;"",Completed!$H$12,"")</f>
        <v>8.933916260299311</v>
      </c>
      <c r="AB13" s="54">
        <f>IF(Completed!$I$12&lt;&gt;"",Completed!$I$12,"")</f>
        <v>41814</v>
      </c>
      <c r="AC13" s="54">
        <f>IF(Completed!$J$12&lt;&gt;"",Completed!$J$12,"")</f>
        <v>41815</v>
      </c>
      <c r="AD13" s="65" t="str">
        <f>IF(Completed!$K$12&lt;&gt;"",Completed!$K$12,"")</f>
        <v>Yonomori Kobeni</v>
      </c>
      <c r="AE13" s="65" t="str">
        <f>IF(Completed!$L$12&lt;&gt;"",Completed!$L$12,"")</f>
        <v>This show is good.</v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IF(Completed!$A$13&lt;&gt;"",Completed!$A$13,"")</f>
        <v>Spice and Wolf</v>
      </c>
      <c r="O14" s="28">
        <f>IF(Completed!$B$13&lt;&gt;"",Completed!$B$13,"")</f>
        <v>1</v>
      </c>
      <c r="P14" s="28">
        <f ca="1">IF($N$14&lt;&gt;"", INDIRECT("'Tracker'!"&amp;ADDRESS(MATCH($N$14, Tracker[Anime Name], 0) + 2, 3)), "")</f>
        <v>13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2007D</v>
      </c>
      <c r="U14" s="28" t="str">
        <f ca="1">IF($N$14&lt;&gt;"", INDIRECT("'Tracker'!"&amp;ADDRESS(MATCH($N$14, Tracker[Anime Name], 0) + 2, 8)), "")</f>
        <v>Coalgirls, sudo</v>
      </c>
      <c r="V14" s="53">
        <f>IF(Completed!$C$13&lt;&gt;"",Completed!$C$13,"")</f>
        <v>9</v>
      </c>
      <c r="W14" s="53">
        <f>IF(Completed!$D$13&lt;&gt;"",Completed!$D$13,"")</f>
        <v>9.5</v>
      </c>
      <c r="X14" s="53">
        <f>IF(Completed!$E$13&lt;&gt;"",Completed!$E$13,"")</f>
        <v>4.5</v>
      </c>
      <c r="Y14" s="53">
        <f>IF(Completed!$F$13&lt;&gt;"",Completed!$F$13,"")</f>
        <v>9.5</v>
      </c>
      <c r="Z14" s="64">
        <f>IF(Completed!$G$13&lt;&gt;"",Completed!$G$13,"")</f>
        <v>9.1695979899497502</v>
      </c>
      <c r="AA14" s="74">
        <f>IF(Completed!$H$13&lt;&gt;"",Completed!$H$13,"")</f>
        <v>8.9221456196401565</v>
      </c>
      <c r="AB14" s="54">
        <f>IF(Completed!$I$13&lt;&gt;"",Completed!$I$13,"")</f>
        <v>41357</v>
      </c>
      <c r="AC14" s="54">
        <f>IF(Completed!$J$13&lt;&gt;"",Completed!$J$13,"")</f>
        <v>41357</v>
      </c>
      <c r="AD14" s="65" t="str">
        <f>IF(Completed!$K$13&lt;&gt;"",Completed!$K$13,"")</f>
        <v>Nora Adrendt</v>
      </c>
      <c r="AE14" s="65" t="str">
        <f>IF(Completed!$L$13&lt;&gt;"",Completed!$L$13,"")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IF(Completed!$A$14&lt;&gt;"",Completed!$A$14,"")</f>
        <v>Log Horizon</v>
      </c>
      <c r="O15" s="28">
        <f>IF(Completed!$B$14&lt;&gt;"",Completed!$B$14,"")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IF(Completed!$C$14&lt;&gt;"",Completed!$C$14,"")</f>
        <v>8.5</v>
      </c>
      <c r="W15" s="53">
        <f>IF(Completed!$D$14&lt;&gt;"",Completed!$D$14,"")</f>
        <v>9</v>
      </c>
      <c r="X15" s="53">
        <f>IF(Completed!$E$14&lt;&gt;"",Completed!$E$14,"")</f>
        <v>6.5</v>
      </c>
      <c r="Y15" s="53">
        <f>IF(Completed!$F$14&lt;&gt;"",Completed!$F$14,"")</f>
        <v>9.5</v>
      </c>
      <c r="Z15" s="64">
        <f>IF(Completed!$G$14&lt;&gt;"",Completed!$G$14,"")</f>
        <v>9.0389447236180906</v>
      </c>
      <c r="AA15" s="74">
        <f>IF(Completed!$H$14&lt;&gt;"",Completed!$H$14,"")</f>
        <v>8.7472675298469813</v>
      </c>
      <c r="AB15" s="54">
        <f>IF(Completed!$I$14&lt;&gt;"",Completed!$I$14,"")</f>
        <v>41555</v>
      </c>
      <c r="AC15" s="54">
        <f>IF(Completed!$J$14&lt;&gt;"",Completed!$J$14,"")</f>
        <v>41720</v>
      </c>
      <c r="AD15" s="65" t="str">
        <f>IF(Completed!$K$14&lt;&gt;"",Completed!$K$14,"")</f>
        <v>Akatsuki</v>
      </c>
      <c r="AE15" s="65" t="str">
        <f>IF(Completed!$L$14&lt;&gt;"",Completed!$L$14,"")</f>
        <v>Very well thought out world, good design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IF(Completed!$A$15&lt;&gt;"",Completed!$A$15,"")</f>
        <v>Oda Nobuna no Yabou</v>
      </c>
      <c r="O16" s="28">
        <f>IF(Completed!$B$15&lt;&gt;"",Completed!$B$15,"")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IF(Completed!$C$15&lt;&gt;"",Completed!$C$15,"")</f>
        <v>9</v>
      </c>
      <c r="W16" s="53">
        <f>IF(Completed!$D$15&lt;&gt;"",Completed!$D$15,"")</f>
        <v>9.5</v>
      </c>
      <c r="X16" s="53">
        <f>IF(Completed!$E$15&lt;&gt;"",Completed!$E$15,"")</f>
        <v>6.5</v>
      </c>
      <c r="Y16" s="53">
        <f>IF(Completed!$F$15&lt;&gt;"",Completed!$F$15,"")</f>
        <v>9</v>
      </c>
      <c r="Z16" s="64">
        <f>IF(Completed!$G$15&lt;&gt;"",Completed!$G$15,"")</f>
        <v>9.0150753768844218</v>
      </c>
      <c r="AA16" s="74">
        <f>IF(Completed!$H$15&lt;&gt;"",Completed!$H$15,"")</f>
        <v>8.7153186480578437</v>
      </c>
      <c r="AB16" s="54">
        <f>IF(Completed!$I$15&lt;&gt;"",Completed!$I$15,"")</f>
        <v>41636</v>
      </c>
      <c r="AC16" s="54">
        <f>IF(Completed!$J$15&lt;&gt;"",Completed!$J$15,"")</f>
        <v>41636</v>
      </c>
      <c r="AD16" s="65" t="str">
        <f>IF(Completed!$K$15&lt;&gt;"",Completed!$K$15,"")</f>
        <v>Takenaka Hanbei</v>
      </c>
      <c r="AE16" s="65" t="str">
        <f>IF(Completed!$L$15&lt;&gt;"",Completed!$L$15,"")</f>
        <v>Really enjoyable to watch, especially with knowledge of Japanese history</v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IF(Completed!$A$16&lt;&gt;"",Completed!$A$16,"")</f>
        <v>Angel Beats!</v>
      </c>
      <c r="O17" s="28">
        <f>IF(Completed!$B$16&lt;&gt;"",Completed!$B$16,"")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IF(Completed!$C$16&lt;&gt;"",Completed!$C$16,"")</f>
        <v>9</v>
      </c>
      <c r="W17" s="53">
        <f>IF(Completed!$D$16&lt;&gt;"",Completed!$D$16,"")</f>
        <v>9</v>
      </c>
      <c r="X17" s="53">
        <f>IF(Completed!$E$16&lt;&gt;"",Completed!$E$16,"")</f>
        <v>4</v>
      </c>
      <c r="Y17" s="53">
        <f>IF(Completed!$F$16&lt;&gt;"",Completed!$F$16,"")</f>
        <v>9.5</v>
      </c>
      <c r="Z17" s="64">
        <f>IF(Completed!$G$16&lt;&gt;"",Completed!$G$16,"")</f>
        <v>9.011306532663319</v>
      </c>
      <c r="AA17" s="74">
        <f>IF(Completed!$H$16&lt;&gt;"",Completed!$H$16,"")</f>
        <v>8.7102740877753533</v>
      </c>
      <c r="AB17" s="54">
        <f>IF(Completed!$I$16&lt;&gt;"",Completed!$I$16,"")</f>
        <v>41295</v>
      </c>
      <c r="AC17" s="54">
        <f>IF(Completed!$J$16&lt;&gt;"",Completed!$J$16,"")</f>
        <v>41300</v>
      </c>
      <c r="AD17" s="65" t="str">
        <f>IF(Completed!$K$16&lt;&gt;"",Completed!$K$16,"")</f>
        <v>Tachibana Kanade</v>
      </c>
      <c r="AE17" s="65" t="str">
        <f>IF(Completed!$L$16&lt;&gt;"",Completed!$L$16,"")</f>
        <v>Not enough angel, not enough beats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IF(Completed!$A$17&lt;&gt;"",Completed!$A$17,"")</f>
        <v>Sidonia no Kishi</v>
      </c>
      <c r="O18" s="28">
        <f>IF(Completed!$B$17&lt;&gt;"",Completed!$B$17,"")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IF(Completed!$C$17&lt;&gt;"",Completed!$C$17,"")</f>
        <v>10</v>
      </c>
      <c r="W18" s="53">
        <f>IF(Completed!$D$17&lt;&gt;"",Completed!$D$17,"")</f>
        <v>9</v>
      </c>
      <c r="X18" s="53">
        <f>IF(Completed!$E$17&lt;&gt;"",Completed!$E$17,"")</f>
        <v>5</v>
      </c>
      <c r="Y18" s="53">
        <f>IF(Completed!$F$17&lt;&gt;"",Completed!$F$17,"")</f>
        <v>9</v>
      </c>
      <c r="Z18" s="64">
        <f>IF(Completed!$G$17&lt;&gt;"",Completed!$G$17,"")</f>
        <v>8.9924623115577891</v>
      </c>
      <c r="AA18" s="74">
        <f>IF(Completed!$H$17&lt;&gt;"",Completed!$H$17,"")</f>
        <v>8.6850512863628726</v>
      </c>
      <c r="AB18" s="54">
        <f>IF(Completed!$I$17&lt;&gt;"",Completed!$I$17,"")</f>
        <v>41796</v>
      </c>
      <c r="AC18" s="54">
        <f>IF(Completed!$J$17&lt;&gt;"",Completed!$J$17,"")</f>
        <v>41816</v>
      </c>
      <c r="AD18" s="65" t="s">
        <v>581</v>
      </c>
      <c r="AE18" s="65" t="str">
        <f>IF(Completed!$L$17&lt;&gt;"",Completed!$L$17,"")</f>
        <v/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IF(Completed!$A$18&lt;&gt;"",Completed!$A$18,"")</f>
        <v>White Album 2</v>
      </c>
      <c r="O19" s="28">
        <f>IF(Completed!$B$18&lt;&gt;"",Completed!$B$18,"")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IF(Completed!$C$18&lt;&gt;"",Completed!$C$18,"")</f>
        <v>9</v>
      </c>
      <c r="W19" s="53">
        <f>IF(Completed!$D$18&lt;&gt;"",Completed!$D$18,"")</f>
        <v>9.5</v>
      </c>
      <c r="X19" s="53">
        <f>IF(Completed!$E$18&lt;&gt;"",Completed!$E$18,"")</f>
        <v>6</v>
      </c>
      <c r="Y19" s="53">
        <f>IF(Completed!$F$18&lt;&gt;"",Completed!$F$18,"")</f>
        <v>9</v>
      </c>
      <c r="Z19" s="64">
        <f>IF(Completed!$G$18&lt;&gt;"",Completed!$G$18,"")</f>
        <v>8.991206030150753</v>
      </c>
      <c r="AA19" s="74">
        <f>IF(Completed!$H$18&lt;&gt;"",Completed!$H$18,"")</f>
        <v>8.6833697662687044</v>
      </c>
      <c r="AB19" s="54">
        <f>IF(Completed!$I$18&lt;&gt;"",Completed!$I$18,"")</f>
        <v>41553</v>
      </c>
      <c r="AC19" s="54">
        <f>IF(Completed!$J$18&lt;&gt;"",Completed!$J$18,"")</f>
        <v>41632</v>
      </c>
      <c r="AD19" s="65" t="str">
        <f>IF(Completed!$K$18&lt;&gt;"",Completed!$K$18,"")</f>
        <v>Touma Kazusa</v>
      </c>
      <c r="AE19" s="65" t="str">
        <f>IF(Completed!$L$18&lt;&gt;"",Completed!$L$18,"")</f>
        <v/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IF(Completed!$A$19&lt;&gt;"",Completed!$A$19,"")</f>
        <v>Aldnoah.Zero</v>
      </c>
      <c r="O20" s="28">
        <f>IF(Completed!$B$19&lt;&gt;"",Completed!$B$19,"")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B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2014B</v>
      </c>
      <c r="U20" s="28" t="str">
        <f ca="1">IF($N$20&lt;&gt;"", INDIRECT("'Tracker'!"&amp;ADDRESS(MATCH($N$20, Tracker[Anime Name], 0) + 2, 8)), "")</f>
        <v>Vivid, Watashi</v>
      </c>
      <c r="V20" s="53">
        <f>IF(Completed!$C$19&lt;&gt;"",Completed!$C$19,"")</f>
        <v>10</v>
      </c>
      <c r="W20" s="53">
        <f>IF(Completed!$D$19&lt;&gt;"",Completed!$D$19,"")</f>
        <v>9</v>
      </c>
      <c r="X20" s="53">
        <f>IF(Completed!$E$19&lt;&gt;"",Completed!$E$19,"")</f>
        <v>4.5</v>
      </c>
      <c r="Y20" s="53">
        <f>IF(Completed!$F$19&lt;&gt;"",Completed!$F$19,"")</f>
        <v>9</v>
      </c>
      <c r="Z20" s="64">
        <f>IF(Completed!$G$19&lt;&gt;"",Completed!$G$19,"")</f>
        <v>8.9685929648241203</v>
      </c>
      <c r="AA20" s="74">
        <f>IF(Completed!$H$19&lt;&gt;"",Completed!$H$19,"")</f>
        <v>8.6531024045737333</v>
      </c>
      <c r="AB20" s="54">
        <f>IF(Completed!$I$19&lt;&gt;"",Completed!$I$19,"")</f>
        <v>41831</v>
      </c>
      <c r="AC20" s="54">
        <f>IF(Completed!$J$19&lt;&gt;"",Completed!$J$19,"")</f>
        <v>42017</v>
      </c>
      <c r="AD20" s="65" t="str">
        <f>IF(Completed!$K$19&lt;&gt;"",Completed!$K$19,"")</f>
        <v>Asseylum Vers Allusia</v>
      </c>
      <c r="AE20" s="65" t="str">
        <f>IF(Completed!$L$19&lt;&gt;"",Completed!$L$19,"")</f>
        <v>Godammit Urobutcher</v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IF(Completed!$A$20&lt;&gt;"",Completed!$A$20,"")</f>
        <v>Yuuki Yuuna wa Yuusha de Aru</v>
      </c>
      <c r="O21" s="28">
        <f>IF(Completed!$B$20&lt;&gt;"",Completed!$B$20,"")</f>
        <v>1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B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2014C</v>
      </c>
      <c r="U21" s="28" t="str">
        <f ca="1">IF($N$21&lt;&gt;"", INDIRECT("'Tracker'!"&amp;ADDRESS(MATCH($N$21, Tracker[Anime Name], 0) + 2, 8)), "")</f>
        <v>HorribleSubs</v>
      </c>
      <c r="V21" s="53">
        <f>IF(Completed!$C$20&lt;&gt;"",Completed!$C$20,"")</f>
        <v>9.5</v>
      </c>
      <c r="W21" s="53">
        <f>IF(Completed!$D$20&lt;&gt;"",Completed!$D$20,"")</f>
        <v>9</v>
      </c>
      <c r="X21" s="53">
        <f>IF(Completed!$E$20&lt;&gt;"",Completed!$E$20,"")</f>
        <v>6</v>
      </c>
      <c r="Y21" s="53">
        <f>IF(Completed!$F$20&lt;&gt;"",Completed!$F$20,"")</f>
        <v>9</v>
      </c>
      <c r="Z21" s="64">
        <f>IF(Completed!$G$20&lt;&gt;"",Completed!$G$20,"")</f>
        <v>8.9484924623115578</v>
      </c>
      <c r="AA21" s="74">
        <f>IF(Completed!$H$20&lt;&gt;"",Completed!$H$20,"")</f>
        <v>8.6261980830670932</v>
      </c>
      <c r="AB21" s="54">
        <f>IF(Completed!$I$20&lt;&gt;"",Completed!$I$20,"")</f>
        <v>42026</v>
      </c>
      <c r="AC21" s="54">
        <f>IF(Completed!$J$20&lt;&gt;"",Completed!$J$20,"")</f>
        <v>42029</v>
      </c>
      <c r="AD21" s="65" t="str">
        <f>IF(Completed!$K$20&lt;&gt;"",Completed!$K$20,"")</f>
        <v>Miyoshi Karin</v>
      </c>
      <c r="AE21" s="65" t="str">
        <f>IF(Completed!$L$20&lt;&gt;"",Completed!$L$20,"")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IF(Completed!$A$21&lt;&gt;"",Completed!$A$21,"")</f>
        <v>Amagi Brilliant Park</v>
      </c>
      <c r="O22" s="28">
        <f>IF(Completed!$B$21&lt;&gt;"",Completed!$B$21,"")</f>
        <v>1</v>
      </c>
      <c r="P22" s="28">
        <f ca="1">IF($N$22&lt;&gt;"", INDIRECT("'Tracker'!"&amp;ADDRESS(MATCH($N$22, Tracker[Anime Name], 0) + 2, 3)), "")</f>
        <v>13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2014C</v>
      </c>
      <c r="U22" s="28" t="str">
        <f ca="1">IF($N$22&lt;&gt;"", INDIRECT("'Tracker'!"&amp;ADDRESS(MATCH($N$22, Tracker[Anime Name], 0) + 2, 8)), "")</f>
        <v>Vivid</v>
      </c>
      <c r="V22" s="53">
        <f>IF(Completed!$C$21&lt;&gt;"",Completed!$C$21,"")</f>
        <v>8</v>
      </c>
      <c r="W22" s="53">
        <f>IF(Completed!$D$21&lt;&gt;"",Completed!$D$21,"")</f>
        <v>9</v>
      </c>
      <c r="X22" s="53">
        <f>IF(Completed!$E$21&lt;&gt;"",Completed!$E$21,"")</f>
        <v>6.5</v>
      </c>
      <c r="Y22" s="53">
        <f>IF(Completed!$F$21&lt;&gt;"",Completed!$F$21,"")</f>
        <v>9.5</v>
      </c>
      <c r="Z22" s="64">
        <f>IF(Completed!$G$21&lt;&gt;"",Completed!$G$21,"")</f>
        <v>8.9472361809045218</v>
      </c>
      <c r="AA22" s="74">
        <f>IF(Completed!$H$21&lt;&gt;"",Completed!$H$21,"")</f>
        <v>8.624516562972925</v>
      </c>
      <c r="AB22" s="54">
        <f>IF(Completed!$I$21&lt;&gt;"",Completed!$I$21,"")</f>
        <v>42023</v>
      </c>
      <c r="AC22" s="54">
        <f>IF(Completed!$J$21&lt;&gt;"",Completed!$J$21,"")</f>
        <v>42026</v>
      </c>
      <c r="AD22" s="65" t="str">
        <f>IF(Completed!$K$21&lt;&gt;"",Completed!$K$21,"")</f>
        <v>Koboli</v>
      </c>
      <c r="AE22" s="65" t="str">
        <f>IF(Completed!$L$21&lt;&gt;"",Completed!$L$21,"")</f>
        <v>OWARANAI MAGIC HOUR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IF(Completed!$A$22&lt;&gt;"",Completed!$A$22,"")</f>
        <v>Kill la Kill</v>
      </c>
      <c r="O23" s="28">
        <f>IF(Completed!$B$22&lt;&gt;"",Completed!$B$22,"")</f>
        <v>1</v>
      </c>
      <c r="P23" s="28">
        <f ca="1">IF($N$23&lt;&gt;"", INDIRECT("'Tracker'!"&amp;ADDRESS(MATCH($N$23, Tracker[Anime Name], 0) + 2, 3)), "")</f>
        <v>24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2013C</v>
      </c>
      <c r="U23" s="28" t="str">
        <f ca="1">IF($N$23&lt;&gt;"", INDIRECT("'Tracker'!"&amp;ADDRESS(MATCH($N$23, Tracker[Anime Name], 0) + 2, 8)), "")</f>
        <v>HorribleSubs</v>
      </c>
      <c r="V23" s="53">
        <f>IF(Completed!$C$22&lt;&gt;"",Completed!$C$22,"")</f>
        <v>9</v>
      </c>
      <c r="W23" s="53">
        <f>IF(Completed!$D$22&lt;&gt;"",Completed!$D$22,"")</f>
        <v>8.5</v>
      </c>
      <c r="X23" s="53">
        <f>IF(Completed!$E$22&lt;&gt;"",Completed!$E$22,"")</f>
        <v>5</v>
      </c>
      <c r="Y23" s="53">
        <f>IF(Completed!$F$22&lt;&gt;"",Completed!$F$22,"")</f>
        <v>9.5</v>
      </c>
      <c r="Z23" s="64">
        <f>IF(Completed!$G$22&lt;&gt;"",Completed!$G$22,"")</f>
        <v>8.9246231155778908</v>
      </c>
      <c r="AA23" s="74">
        <f>IF(Completed!$H$22&lt;&gt;"",Completed!$H$22,"")</f>
        <v>8.5942492012779557</v>
      </c>
      <c r="AB23" s="54">
        <f>IF(Completed!$I$22&lt;&gt;"",Completed!$I$22,"")</f>
        <v>41555</v>
      </c>
      <c r="AC23" s="54">
        <f>IF(Completed!$J$22&lt;&gt;"",Completed!$J$22,"")</f>
        <v>41726</v>
      </c>
      <c r="AD23" s="65" t="str">
        <f>IF(Completed!$K$22&lt;&gt;"",Completed!$K$22,"")</f>
        <v>Jakuzure Nonon</v>
      </c>
      <c r="AE23" s="65" t="str">
        <f>IF(Completed!$L$22&lt;&gt;"",Completed!$L$22,"")</f>
        <v>DON'T LOSE YOUR WAAAAAAYYYY</v>
      </c>
    </row>
    <row r="24" spans="1:31">
      <c r="A24" s="98" t="s">
        <v>475</v>
      </c>
      <c r="B24" s="99">
        <f>SUMIF(B4:B23, "--", E4:E23) - SUMIF(B4:B23, "--", D4:D23)</f>
        <v>18</v>
      </c>
      <c r="C24" s="240" t="s">
        <v>474</v>
      </c>
      <c r="D24" s="241"/>
      <c r="E24" s="241"/>
      <c r="F24" s="241"/>
      <c r="G24" s="242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IF(Completed!$A$23&lt;&gt;"",Completed!$A$23,"")</f>
        <v>Ping Pong the Animation</v>
      </c>
      <c r="O24" s="28">
        <f>IF(Completed!$B$23&lt;&gt;"",Completed!$B$23,"")</f>
        <v>1</v>
      </c>
      <c r="P24" s="28">
        <f ca="1">IF($N$24&lt;&gt;"", INDIRECT("'Tracker'!"&amp;ADDRESS(MATCH($N$24, Tracker[Anime Name], 0) + 2, 3)), "")</f>
        <v>11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WhyNot</v>
      </c>
      <c r="V24" s="53">
        <f>IF(Completed!$C$23&lt;&gt;"",Completed!$C$23,"")</f>
        <v>9.5</v>
      </c>
      <c r="W24" s="53">
        <f>IF(Completed!$D$23&lt;&gt;"",Completed!$D$23,"")</f>
        <v>8.5</v>
      </c>
      <c r="X24" s="53">
        <f>IF(Completed!$E$23&lt;&gt;"",Completed!$E$23,"")</f>
        <v>3</v>
      </c>
      <c r="Y24" s="53">
        <f>IF(Completed!$F$23&lt;&gt;"",Completed!$F$23,"")</f>
        <v>9.5</v>
      </c>
      <c r="Z24" s="64">
        <f>IF(Completed!$G$23&lt;&gt;"",Completed!$G$23,"")</f>
        <v>8.9208542713567844</v>
      </c>
      <c r="AA24" s="74">
        <f>IF(Completed!$H$23&lt;&gt;"",Completed!$H$23,"")</f>
        <v>8.5892046409954599</v>
      </c>
      <c r="AB24" s="54">
        <f>IF(Completed!$I$23&lt;&gt;"",Completed!$I$23,"")</f>
        <v>41750</v>
      </c>
      <c r="AC24" s="54">
        <f>IF(Completed!$J$23&lt;&gt;"",Completed!$J$23,"")</f>
        <v>41817</v>
      </c>
      <c r="AD24" s="65" t="str">
        <f>IF(Completed!$K$23&lt;&gt;"",Completed!$K$23,"")</f>
        <v>--</v>
      </c>
      <c r="AE24" s="65" t="str">
        <f>IF(Completed!$L$23&lt;&gt;"",Completed!$L$23,"")</f>
        <v>Hypest ping pong I've ever watched</v>
      </c>
    </row>
    <row r="25" spans="1:31">
      <c r="A25" s="101" t="s">
        <v>476</v>
      </c>
      <c r="B25" s="102">
        <f>SUM(E4:E23)-SUM(D4:D23)-B24</f>
        <v>14</v>
      </c>
      <c r="C25" s="223" t="s">
        <v>474</v>
      </c>
      <c r="D25" s="224"/>
      <c r="E25" s="224"/>
      <c r="F25" s="224"/>
      <c r="G25" s="225"/>
      <c r="H25" s="103">
        <f>B25*22/60</f>
        <v>5.1333333333333337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IF(Completed!$A$24&lt;&gt;"",Completed!$A$24,"")</f>
        <v>Chihayafuru</v>
      </c>
      <c r="O25" s="28">
        <f>IF(Completed!$B$24&lt;&gt;"",Completed!$B$24,"")</f>
        <v>1</v>
      </c>
      <c r="P25" s="28">
        <f ca="1">IF($N$25&lt;&gt;"", INDIRECT("'Tracker'!"&amp;ADDRESS(MATCH($N$25, Tracker[Anime Name], 0) + 2, 3)), "")</f>
        <v>25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2011C</v>
      </c>
      <c r="U25" s="28" t="str">
        <f ca="1">IF($N$25&lt;&gt;"", INDIRECT("'Tracker'!"&amp;ADDRESS(MATCH($N$25, Tracker[Anime Name], 0) + 2, 8)), "")</f>
        <v>HorribleSubs</v>
      </c>
      <c r="V25" s="53">
        <f>IF(Completed!$C$24&lt;&gt;"",Completed!$C$24,"")</f>
        <v>9.5</v>
      </c>
      <c r="W25" s="53">
        <f>IF(Completed!$D$24&lt;&gt;"",Completed!$D$24,"")</f>
        <v>8.5</v>
      </c>
      <c r="X25" s="53">
        <f>IF(Completed!$E$24&lt;&gt;"",Completed!$E$24,"")</f>
        <v>3</v>
      </c>
      <c r="Y25" s="53">
        <f>IF(Completed!$F$24&lt;&gt;"",Completed!$F$24,"")</f>
        <v>9.5</v>
      </c>
      <c r="Z25" s="64">
        <f>IF(Completed!$G$24&lt;&gt;"",Completed!$G$24,"")</f>
        <v>8.9208542713567844</v>
      </c>
      <c r="AA25" s="74">
        <f>IF(Completed!$H$24&lt;&gt;"",Completed!$H$24,"")</f>
        <v>8.5892046409954599</v>
      </c>
      <c r="AB25" s="54">
        <f>IF(Completed!$I$24&lt;&gt;"",Completed!$I$24,"")</f>
        <v>41477</v>
      </c>
      <c r="AC25" s="54">
        <f>IF(Completed!$J$24&lt;&gt;"",Completed!$J$24,"")</f>
        <v>41479</v>
      </c>
      <c r="AD25" s="65" t="str">
        <f>IF(Completed!$K$24&lt;&gt;"",Completed!$K$24,"")</f>
        <v>Ayase Chihaya</v>
      </c>
      <c r="AE25" s="65" t="str">
        <f>IF(Completed!$L$24&lt;&gt;"",Completed!$L$24,"")</f>
        <v/>
      </c>
    </row>
    <row r="26" spans="1:31">
      <c r="A26" s="226" t="s">
        <v>467</v>
      </c>
      <c r="B26" s="227"/>
      <c r="C26" s="227"/>
      <c r="D26" s="227"/>
      <c r="E26" s="227"/>
      <c r="F26" s="227"/>
      <c r="G26" s="227"/>
      <c r="H26" s="22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IF(Completed!$A$25&lt;&gt;"",Completed!$A$25,"")</f>
        <v>No Game No Life</v>
      </c>
      <c r="O26" s="28">
        <f>IF(Completed!$B$25&lt;&gt;"",Completed!$B$25,"")</f>
        <v>1</v>
      </c>
      <c r="P26" s="28">
        <f ca="1">IF($N$26&lt;&gt;"", INDIRECT("'Tracker'!"&amp;ADDRESS(MATCH($N$26, Tracker[Anime Name], 0) + 2, 3)), "")</f>
        <v>12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2014A</v>
      </c>
      <c r="U26" s="28" t="str">
        <f ca="1">IF($N$26&lt;&gt;"", INDIRECT("'Tracker'!"&amp;ADDRESS(MATCH($N$26, Tracker[Anime Name], 0) + 2, 8)), "")</f>
        <v>Underwater, FFF</v>
      </c>
      <c r="V26" s="53">
        <f>IF(Completed!$C$25&lt;&gt;"",Completed!$C$25,"")</f>
        <v>9.5</v>
      </c>
      <c r="W26" s="53">
        <f>IF(Completed!$D$25&lt;&gt;"",Completed!$D$25,"")</f>
        <v>8.5</v>
      </c>
      <c r="X26" s="53">
        <f>IF(Completed!$E$25&lt;&gt;"",Completed!$E$25,"")</f>
        <v>7.5</v>
      </c>
      <c r="Y26" s="53">
        <f>IF(Completed!$F$25&lt;&gt;"",Completed!$F$25,"")</f>
        <v>9</v>
      </c>
      <c r="Z26" s="64">
        <f>IF(Completed!$G$25&lt;&gt;"",Completed!$G$25,"")</f>
        <v>8.8856783919598001</v>
      </c>
      <c r="AA26" s="74">
        <f>IF(Completed!$H$25&lt;&gt;"",Completed!$H$25,"")</f>
        <v>8.5421220783588367</v>
      </c>
      <c r="AB26" s="54">
        <f>IF(Completed!$I$25&lt;&gt;"",Completed!$I$25,"")</f>
        <v>41750</v>
      </c>
      <c r="AC26" s="54">
        <f>IF(Completed!$J$25&lt;&gt;"",Completed!$J$25,"")</f>
        <v>41815</v>
      </c>
      <c r="AD26" s="65" t="str">
        <f>IF(Completed!$K$25&lt;&gt;"",Completed!$K$25,"")</f>
        <v>Shiro</v>
      </c>
      <c r="AE26" s="65" t="str">
        <f>IF(Completed!$L$25&lt;&gt;"",Completed!$L$25,"")</f>
        <v/>
      </c>
    </row>
    <row r="27" spans="1:31" ht="16.5" customHeight="1">
      <c r="A27" s="90" t="s">
        <v>468</v>
      </c>
      <c r="B27" s="229" t="s">
        <v>469</v>
      </c>
      <c r="C27" s="230"/>
      <c r="D27" s="230"/>
      <c r="E27" s="230"/>
      <c r="F27" s="230"/>
      <c r="G27" s="230"/>
      <c r="H27" s="23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IF(Completed!$A$26&lt;&gt;"",Completed!$A$26,"")</f>
        <v>Gekkan Shoujo Nozaki-kun</v>
      </c>
      <c r="O27" s="28">
        <f>IF(Completed!$B$26&lt;&gt;"",Completed!$B$26,"")</f>
        <v>1</v>
      </c>
      <c r="P27" s="28">
        <f ca="1">IF($N$27&lt;&gt;"", INDIRECT("'Tracker'!"&amp;ADDRESS(MATCH($N$27, Tracker[Anime Name], 0) + 2, 3)), "")</f>
        <v>12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2014B</v>
      </c>
      <c r="U27" s="28" t="str">
        <f ca="1">IF($N$27&lt;&gt;"", INDIRECT("'Tracker'!"&amp;ADDRESS(MATCH($N$27, Tracker[Anime Name], 0) + 2, 8)), "")</f>
        <v>HorribleSubs</v>
      </c>
      <c r="V27" s="53">
        <f>IF(Completed!$C$26&lt;&gt;"",Completed!$C$26,"")</f>
        <v>8.5</v>
      </c>
      <c r="W27" s="53">
        <f>IF(Completed!$D$26&lt;&gt;"",Completed!$D$26,"")</f>
        <v>9</v>
      </c>
      <c r="X27" s="53">
        <f>IF(Completed!$E$26&lt;&gt;"",Completed!$E$26,"")</f>
        <v>8.5</v>
      </c>
      <c r="Y27" s="53">
        <f>IF(Completed!$F$26&lt;&gt;"",Completed!$F$26,"")</f>
        <v>9</v>
      </c>
      <c r="Z27" s="64">
        <f>IF(Completed!$G$26&lt;&gt;"",Completed!$G$26,"")</f>
        <v>8.8844221105527641</v>
      </c>
      <c r="AA27" s="74">
        <f>IF(Completed!$H$26&lt;&gt;"",Completed!$H$26,"")</f>
        <v>8.5404405582646721</v>
      </c>
      <c r="AB27" s="54">
        <f>IF(Completed!$I$26&lt;&gt;"",Completed!$I$26,"")</f>
        <v>41862</v>
      </c>
      <c r="AC27" s="54">
        <f>IF(Completed!$J$26&lt;&gt;"",Completed!$J$26,"")</f>
        <v>41907</v>
      </c>
      <c r="AD27" s="65" t="str">
        <f>IF(Completed!$K$26&lt;&gt;"",Completed!$K$26,"")</f>
        <v>Sakura Chiyo</v>
      </c>
      <c r="AE27" s="65" t="str">
        <f>IF(Completed!$L$26&lt;&gt;"",Completed!$L$26,"")</f>
        <v/>
      </c>
    </row>
    <row r="28" spans="1:31" ht="16.5" customHeight="1">
      <c r="A28" s="215" t="s">
        <v>591</v>
      </c>
      <c r="B28" s="217"/>
      <c r="C28" s="217"/>
      <c r="D28" s="217"/>
      <c r="E28" s="217"/>
      <c r="F28" s="217"/>
      <c r="G28" s="217"/>
      <c r="H28" s="218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IF(Completed!$A$27&lt;&gt;"",Completed!$A$27,"")</f>
        <v>Shakugan no Shana Final</v>
      </c>
      <c r="O28" s="28">
        <f>IF(Completed!$B$27&lt;&gt;"",Completed!$B$27,"")</f>
        <v>3</v>
      </c>
      <c r="P28" s="28">
        <f ca="1">IF($N$28&lt;&gt;"", INDIRECT("'Tracker'!"&amp;ADDRESS(MATCH($N$28, Tracker[Anime Name], 0) + 2, 3)), "")</f>
        <v>24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2011C</v>
      </c>
      <c r="U28" s="28" t="str">
        <f ca="1">IF($N$28&lt;&gt;"", INDIRECT("'Tracker'!"&amp;ADDRESS(MATCH($N$28, Tracker[Anime Name], 0) + 2, 8)), "")</f>
        <v>Doki</v>
      </c>
      <c r="V28" s="53">
        <f>IF(Completed!$C$27&lt;&gt;"",Completed!$C$27,"")</f>
        <v>8.5</v>
      </c>
      <c r="W28" s="53">
        <f>IF(Completed!$D$27&lt;&gt;"",Completed!$D$27,"")</f>
        <v>8.5</v>
      </c>
      <c r="X28" s="53">
        <f>IF(Completed!$E$27&lt;&gt;"",Completed!$E$27,"")</f>
        <v>6</v>
      </c>
      <c r="Y28" s="53">
        <f>IF(Completed!$F$27&lt;&gt;"",Completed!$F$27,"")</f>
        <v>9.5</v>
      </c>
      <c r="Z28" s="64">
        <f>IF(Completed!$G$27&lt;&gt;"",Completed!$G$27,"")</f>
        <v>8.8806532663316577</v>
      </c>
      <c r="AA28" s="74">
        <f>IF(Completed!$H$27&lt;&gt;"",Completed!$H$27,"")</f>
        <v>8.5353959979821745</v>
      </c>
      <c r="AB28" s="54">
        <f>IF(Completed!$I$27&lt;&gt;"",Completed!$I$27,"")</f>
        <v>41400</v>
      </c>
      <c r="AC28" s="54">
        <f>IF(Completed!$J$27&lt;&gt;"",Completed!$J$27,"")</f>
        <v>41402</v>
      </c>
      <c r="AD28" s="65" t="str">
        <f>IF(Completed!$K$27&lt;&gt;"",Completed!$K$27,"")</f>
        <v>Shana</v>
      </c>
      <c r="AE28" s="65" t="str">
        <f>IF(Completed!$L$27&lt;&gt;"",Completed!$L$27,"")</f>
        <v/>
      </c>
    </row>
    <row r="29" spans="1:31" ht="16.5" customHeight="1">
      <c r="A29" s="216"/>
      <c r="B29" s="219"/>
      <c r="C29" s="219"/>
      <c r="D29" s="219"/>
      <c r="E29" s="219"/>
      <c r="F29" s="219"/>
      <c r="G29" s="219"/>
      <c r="H29" s="220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IF(Completed!$A$28&lt;&gt;"",Completed!$A$28,"")</f>
        <v>Toradora!</v>
      </c>
      <c r="O29" s="28">
        <f>IF(Completed!$B$28&lt;&gt;"",Completed!$B$28,"")</f>
        <v>1</v>
      </c>
      <c r="P29" s="28">
        <f ca="1">IF($N$29&lt;&gt;"", INDIRECT("'Tracker'!"&amp;ADDRESS(MATCH($N$29, Tracker[Anime Name], 0) + 2, 3)), "")</f>
        <v>25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BD</v>
      </c>
      <c r="T29" s="22" t="str">
        <f ca="1">IF($N$29&lt;&gt;"", INDIRECT("'Tracker'!"&amp;ADDRESS(MATCH($N$29, Tracker[Anime Name], 0) + 2, 7)), "")</f>
        <v>2008C</v>
      </c>
      <c r="U29" s="28" t="str">
        <f ca="1">IF($N$29&lt;&gt;"", INDIRECT("'Tracker'!"&amp;ADDRESS(MATCH($N$29, Tracker[Anime Name], 0) + 2, 8)), "")</f>
        <v>Coalgirls, gg</v>
      </c>
      <c r="V29" s="53">
        <f>IF(Completed!$C$28&lt;&gt;"",Completed!$C$28,"")</f>
        <v>9</v>
      </c>
      <c r="W29" s="53">
        <f>IF(Completed!$D$28&lt;&gt;"",Completed!$D$28,"")</f>
        <v>9</v>
      </c>
      <c r="X29" s="53">
        <f>IF(Completed!$E$28&lt;&gt;"",Completed!$E$28,"")</f>
        <v>5.5</v>
      </c>
      <c r="Y29" s="53">
        <f>IF(Completed!$F$28&lt;&gt;"",Completed!$F$28,"")</f>
        <v>9</v>
      </c>
      <c r="Z29" s="64">
        <f>IF(Completed!$G$28&lt;&gt;"",Completed!$G$28,"")</f>
        <v>8.8329145728643219</v>
      </c>
      <c r="AA29" s="74">
        <f>IF(Completed!$H$28&lt;&gt;"",Completed!$H$28,"")</f>
        <v>8.4714982344039012</v>
      </c>
      <c r="AB29" s="54">
        <f>IF(Completed!$I$28&lt;&gt;"",Completed!$I$28,"")</f>
        <v>41280</v>
      </c>
      <c r="AC29" s="54">
        <f>IF(Completed!$J$28&lt;&gt;"",Completed!$J$28,"")</f>
        <v>41281</v>
      </c>
      <c r="AD29" s="65" t="str">
        <f>IF(Completed!$K$28&lt;&gt;"",Completed!$K$28,"")</f>
        <v>Aisaka Taiga</v>
      </c>
      <c r="AE29" s="65" t="str">
        <f>IF(Completed!$L$28&lt;&gt;"",Completed!$L$28,"")</f>
        <v/>
      </c>
    </row>
    <row r="30" spans="1:31" ht="16.5" customHeight="1">
      <c r="A30" s="215" t="s">
        <v>606</v>
      </c>
      <c r="B30" s="217"/>
      <c r="C30" s="217"/>
      <c r="D30" s="217"/>
      <c r="E30" s="217"/>
      <c r="F30" s="217"/>
      <c r="G30" s="217"/>
      <c r="H30" s="218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IF(Completed!$A$29&lt;&gt;"",Completed!$A$29,"")</f>
        <v>Chihayafuru S2</v>
      </c>
      <c r="O30" s="28">
        <f>IF(Completed!$B$29&lt;&gt;"",Completed!$B$29,"")</f>
        <v>2</v>
      </c>
      <c r="P30" s="28">
        <f ca="1">IF($N$30&lt;&gt;"", INDIRECT("'Tracker'!"&amp;ADDRESS(MATCH($N$30, Tracker[Anime Name], 0) + 2, 3)), "")</f>
        <v>25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TV</v>
      </c>
      <c r="T30" s="22" t="str">
        <f ca="1">IF($N$30&lt;&gt;"", INDIRECT("'Tracker'!"&amp;ADDRESS(MATCH($N$30, Tracker[Anime Name], 0) + 2, 7)), "")</f>
        <v>2012D</v>
      </c>
      <c r="U30" s="28" t="str">
        <f ca="1">IF($N$30&lt;&gt;"", INDIRECT("'Tracker'!"&amp;ADDRESS(MATCH($N$30, Tracker[Anime Name], 0) + 2, 8)), "")</f>
        <v>HorribleSubs</v>
      </c>
      <c r="V30" s="53">
        <f>IF(Completed!$C$29&lt;&gt;"",Completed!$C$29,"")</f>
        <v>9</v>
      </c>
      <c r="W30" s="53">
        <f>IF(Completed!$D$29&lt;&gt;"",Completed!$D$29,"")</f>
        <v>8.5</v>
      </c>
      <c r="X30" s="53">
        <f>IF(Completed!$E$29&lt;&gt;"",Completed!$E$29,"")</f>
        <v>3</v>
      </c>
      <c r="Y30" s="53">
        <f>IF(Completed!$F$29&lt;&gt;"",Completed!$F$29,"")</f>
        <v>9.5</v>
      </c>
      <c r="Z30" s="64">
        <f>IF(Completed!$G$29&lt;&gt;"",Completed!$G$29,"")</f>
        <v>8.8291457286432156</v>
      </c>
      <c r="AA30" s="74">
        <f>IF(Completed!$H$29&lt;&gt;"",Completed!$H$29,"")</f>
        <v>8.4664536741214036</v>
      </c>
      <c r="AB30" s="54">
        <f>IF(Completed!$I$29&lt;&gt;"",Completed!$I$29,"")</f>
        <v>41479</v>
      </c>
      <c r="AC30" s="54">
        <f>IF(Completed!$J$29&lt;&gt;"",Completed!$J$29,"")</f>
        <v>41481</v>
      </c>
      <c r="AD30" s="65" t="str">
        <f>IF(Completed!$K$29&lt;&gt;"",Completed!$K$29,"")</f>
        <v>Ayase Chihaya</v>
      </c>
      <c r="AE30" s="65" t="str">
        <f>IF(Completed!$L$29&lt;&gt;"",Completed!$L$29,"")</f>
        <v>A bit slower than the first season, but just as good. Needs a third season</v>
      </c>
    </row>
    <row r="31" spans="1:31" ht="15" customHeight="1">
      <c r="A31" s="216"/>
      <c r="B31" s="219"/>
      <c r="C31" s="219"/>
      <c r="D31" s="219"/>
      <c r="E31" s="219"/>
      <c r="F31" s="219"/>
      <c r="G31" s="219"/>
      <c r="H31" s="220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IF(Completed!$A$30&lt;&gt;"",Completed!$A$30,"")</f>
        <v>Bakemonogatari</v>
      </c>
      <c r="O31" s="28">
        <f>IF(Completed!$B$30&lt;&gt;"",Completed!$B$30,"")</f>
        <v>1</v>
      </c>
      <c r="P31" s="28">
        <f ca="1">IF($N$31&lt;&gt;"", INDIRECT("'Tracker'!"&amp;ADDRESS(MATCH($N$31, Tracker[Anime Name], 0) + 2, 3)), "")</f>
        <v>15</v>
      </c>
      <c r="Q31" s="22" t="str">
        <f ca="1">IF($N$31&lt;&gt;"", INDIRECT("'Tracker'!"&amp;ADDRESS(MATCH($N$31, Tracker[Anime Name], 0) + 2, 4)), "")</f>
        <v>A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2009B</v>
      </c>
      <c r="U31" s="28" t="str">
        <f ca="1">IF($N$31&lt;&gt;"", INDIRECT("'Tracker'!"&amp;ADDRESS(MATCH($N$31, Tracker[Anime Name], 0) + 2, 8)), "")</f>
        <v>Coalgirls, ANE</v>
      </c>
      <c r="V31" s="53">
        <f>IF(Completed!$C$30&lt;&gt;"",Completed!$C$30,"")</f>
        <v>8.5</v>
      </c>
      <c r="W31" s="53">
        <f>IF(Completed!$D$30&lt;&gt;"",Completed!$D$30,"")</f>
        <v>9.5</v>
      </c>
      <c r="X31" s="53">
        <f>IF(Completed!$E$30&lt;&gt;"",Completed!$E$30,"")</f>
        <v>4.5</v>
      </c>
      <c r="Y31" s="53">
        <f>IF(Completed!$F$30&lt;&gt;"",Completed!$F$30,"")</f>
        <v>9</v>
      </c>
      <c r="Z31" s="64">
        <f>IF(Completed!$G$30&lt;&gt;"",Completed!$G$30,"")</f>
        <v>8.8278894472361831</v>
      </c>
      <c r="AA31" s="74">
        <f>IF(Completed!$H$30&lt;&gt;"",Completed!$H$30,"")</f>
        <v>8.4647721540272425</v>
      </c>
      <c r="AB31" s="54">
        <f>IF(Completed!$I$30&lt;&gt;"",Completed!$I$30,"")</f>
        <v>41304</v>
      </c>
      <c r="AC31" s="54">
        <f>IF(Completed!$J$30&lt;&gt;"",Completed!$J$30,"")</f>
        <v>41312</v>
      </c>
      <c r="AD31" s="65" t="str">
        <f>IF(Completed!$K$30&lt;&gt;"",Completed!$K$30,"")</f>
        <v>Oshino Shinobu</v>
      </c>
      <c r="AE31" s="65" t="str">
        <f>IF(Completed!$L$30&lt;&gt;"",Completed!$L$30,"")</f>
        <v>Worth watching just for the OPs</v>
      </c>
    </row>
    <row r="32" spans="1:31" ht="15" customHeight="1">
      <c r="A32" s="215" t="s">
        <v>588</v>
      </c>
      <c r="B32" s="217"/>
      <c r="C32" s="217"/>
      <c r="D32" s="217"/>
      <c r="E32" s="217"/>
      <c r="F32" s="217"/>
      <c r="G32" s="217"/>
      <c r="H32" s="218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IF(Completed!$A$31&lt;&gt;"",Completed!$A$31,"")</f>
        <v>Gatchaman Crowds</v>
      </c>
      <c r="O32" s="28">
        <f>IF(Completed!$B$31&lt;&gt;"",Completed!$B$31,"")</f>
        <v>1</v>
      </c>
      <c r="P32" s="28">
        <f ca="1">IF($N$32&lt;&gt;"", INDIRECT("'Tracker'!"&amp;ADDRESS(MATCH($N$32, Tracker[Anime Name], 0) + 2, 3)), "")</f>
        <v>12</v>
      </c>
      <c r="Q32" s="22" t="str">
        <f ca="1">IF($N$32&lt;&gt;"", INDIRECT("'Tracker'!"&amp;ADDRESS(MATCH($N$32, Tracker[Anime Name], 0) + 2, 4)), "")</f>
        <v>A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2013B</v>
      </c>
      <c r="U32" s="28" t="str">
        <f ca="1">IF($N$32&lt;&gt;"", INDIRECT("'Tracker'!"&amp;ADDRESS(MATCH($N$32, Tracker[Anime Name], 0) + 2, 8)), "")</f>
        <v>HorribleSubs</v>
      </c>
      <c r="V32" s="53">
        <f>IF(Completed!$C$31&lt;&gt;"",Completed!$C$31,"")</f>
        <v>9.5</v>
      </c>
      <c r="W32" s="53">
        <f>IF(Completed!$D$31&lt;&gt;"",Completed!$D$31,"")</f>
        <v>8.5</v>
      </c>
      <c r="X32" s="53">
        <f>IF(Completed!$E$31&lt;&gt;"",Completed!$E$31,"")</f>
        <v>6</v>
      </c>
      <c r="Y32" s="53">
        <f>IF(Completed!$F$31&lt;&gt;"",Completed!$F$31,"")</f>
        <v>9</v>
      </c>
      <c r="Z32" s="64">
        <f>IF(Completed!$G$31&lt;&gt;"",Completed!$G$31,"")</f>
        <v>8.8140703517587937</v>
      </c>
      <c r="AA32" s="74">
        <f>IF(Completed!$H$31&lt;&gt;"",Completed!$H$31,"")</f>
        <v>8.446275432991424</v>
      </c>
      <c r="AB32" s="54">
        <f>IF(Completed!$I$31&lt;&gt;"",Completed!$I$31,"")</f>
        <v>41562</v>
      </c>
      <c r="AC32" s="54">
        <f>IF(Completed!$J$31&lt;&gt;"",Completed!$J$31,"")</f>
        <v>41574</v>
      </c>
      <c r="AD32" s="65" t="str">
        <f>IF(Completed!$K$31&lt;&gt;"",Completed!$K$31,"")</f>
        <v>Utsutsu</v>
      </c>
      <c r="AE32" s="65" t="str">
        <f>IF(Completed!$L$31&lt;&gt;"",Completed!$L$31,"")</f>
        <v>OST of the season, very nicely developed plot</v>
      </c>
    </row>
    <row r="33" spans="1:31" ht="15" customHeight="1">
      <c r="A33" s="216"/>
      <c r="B33" s="219"/>
      <c r="C33" s="219"/>
      <c r="D33" s="219"/>
      <c r="E33" s="219"/>
      <c r="F33" s="219"/>
      <c r="G33" s="219"/>
      <c r="H33" s="220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IF(Completed!$A$32&lt;&gt;"",Completed!$A$32,"")</f>
        <v>Fate / Stay Night</v>
      </c>
      <c r="O33" s="28">
        <f>IF(Completed!$B$32&lt;&gt;"",Completed!$B$32,"")</f>
        <v>1</v>
      </c>
      <c r="P33" s="28">
        <f ca="1">IF($N$33&lt;&gt;"", INDIRECT("'Tracker'!"&amp;ADDRESS(MATCH($N$33, Tracker[Anime Name], 0) + 2, 3)), "")</f>
        <v>24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2005D</v>
      </c>
      <c r="U33" s="28" t="str">
        <f ca="1">IF($N$33&lt;&gt;"", INDIRECT("'Tracker'!"&amp;ADDRESS(MATCH($N$33, Tracker[Anime Name], 0) + 2, 8)), "")</f>
        <v>Coalgirls, Eclipse</v>
      </c>
      <c r="V33" s="53">
        <f>IF(Completed!$C$32&lt;&gt;"",Completed!$C$32,"")</f>
        <v>9</v>
      </c>
      <c r="W33" s="53">
        <f>IF(Completed!$D$32&lt;&gt;"",Completed!$D$32,"")</f>
        <v>9</v>
      </c>
      <c r="X33" s="53">
        <f>IF(Completed!$E$32&lt;&gt;"",Completed!$E$32,"")</f>
        <v>5</v>
      </c>
      <c r="Y33" s="53">
        <f>IF(Completed!$F$32&lt;&gt;"",Completed!$F$32,"")</f>
        <v>9</v>
      </c>
      <c r="Z33" s="64">
        <f>IF(Completed!$G$32&lt;&gt;"",Completed!$G$32,"")</f>
        <v>8.8090452261306531</v>
      </c>
      <c r="AA33" s="74">
        <f>IF(Completed!$H$32&lt;&gt;"",Completed!$H$32,"")</f>
        <v>8.4395493526147636</v>
      </c>
      <c r="AB33" s="54">
        <f>IF(Completed!$I$32&lt;&gt;"",Completed!$I$32,"")</f>
        <v>41537</v>
      </c>
      <c r="AC33" s="54">
        <f>IF(Completed!$J$32&lt;&gt;"",Completed!$J$32,"")</f>
        <v>41559</v>
      </c>
      <c r="AD33" s="65" t="str">
        <f>IF(Completed!$K$32&lt;&gt;"",Completed!$K$32,"")</f>
        <v>Saber</v>
      </c>
      <c r="AE33" s="65" t="str">
        <f>IF(Completed!$L$32&lt;&gt;"",Completed!$L$32,"")</f>
        <v/>
      </c>
    </row>
    <row r="34" spans="1:31" ht="15" customHeight="1">
      <c r="A34" s="215" t="s">
        <v>589</v>
      </c>
      <c r="B34" s="217"/>
      <c r="C34" s="217"/>
      <c r="D34" s="217"/>
      <c r="E34" s="217"/>
      <c r="F34" s="217"/>
      <c r="G34" s="217"/>
      <c r="H34" s="218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IF(Completed!$A$33&lt;&gt;"",Completed!$A$33,"")</f>
        <v>Clannad</v>
      </c>
      <c r="O34" s="28">
        <f>IF(Completed!$B$33&lt;&gt;"",Completed!$B$33,"")</f>
        <v>1</v>
      </c>
      <c r="P34" s="28">
        <f ca="1">IF($N$34&lt;&gt;"", INDIRECT("'Tracker'!"&amp;ADDRESS(MATCH($N$34, Tracker[Anime Name], 0) + 2, 3)), "")</f>
        <v>22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2007C</v>
      </c>
      <c r="U34" s="28" t="str">
        <f ca="1">IF($N$34&lt;&gt;"", INDIRECT("'Tracker'!"&amp;ADDRESS(MATCH($N$34, Tracker[Anime Name], 0) + 2, 8)), "")</f>
        <v>Coalgirls, SS, Eclipse</v>
      </c>
      <c r="V34" s="53">
        <f>IF(Completed!$C$33&lt;&gt;"",Completed!$C$33,"")</f>
        <v>8</v>
      </c>
      <c r="W34" s="53">
        <f>IF(Completed!$D$33&lt;&gt;"",Completed!$D$33,"")</f>
        <v>9.5</v>
      </c>
      <c r="X34" s="53">
        <f>IF(Completed!$E$33&lt;&gt;"",Completed!$E$33,"")</f>
        <v>6</v>
      </c>
      <c r="Y34" s="53">
        <f>IF(Completed!$F$33&lt;&gt;"",Completed!$F$33,"")</f>
        <v>9</v>
      </c>
      <c r="Z34" s="64">
        <f>IF(Completed!$G$33&lt;&gt;"",Completed!$G$33,"")</f>
        <v>8.8077889447236206</v>
      </c>
      <c r="AA34" s="74">
        <f>IF(Completed!$H$33&lt;&gt;"",Completed!$H$33,"")</f>
        <v>8.4378678325206025</v>
      </c>
      <c r="AB34" s="54">
        <f>IF(Completed!$I$33&lt;&gt;"",Completed!$I$33,"")</f>
        <v>41286</v>
      </c>
      <c r="AC34" s="54">
        <f>IF(Completed!$J$33&lt;&gt;"",Completed!$J$33,"")</f>
        <v>41292</v>
      </c>
      <c r="AD34" s="65" t="str">
        <f>IF(Completed!$K$33&lt;&gt;"",Completed!$K$33,"")</f>
        <v>Fujibayashi Kyou</v>
      </c>
      <c r="AE34" s="65" t="str">
        <f>IF(Completed!$L$33&lt;&gt;"",Completed!$L$33,"")</f>
        <v/>
      </c>
    </row>
    <row r="35" spans="1:31" ht="16.5" customHeight="1">
      <c r="A35" s="216"/>
      <c r="B35" s="219"/>
      <c r="C35" s="219"/>
      <c r="D35" s="219"/>
      <c r="E35" s="219"/>
      <c r="F35" s="219"/>
      <c r="G35" s="219"/>
      <c r="H35" s="220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IF(Completed!$A$34&lt;&gt;"",Completed!$A$34,"")</f>
        <v>Shingeki no Kyojin</v>
      </c>
      <c r="O35" s="28">
        <f>IF(Completed!$B$34&lt;&gt;"",Completed!$B$34,"")</f>
        <v>1</v>
      </c>
      <c r="P35" s="28">
        <f ca="1">IF($N$35&lt;&gt;"", INDIRECT("'Tracker'!"&amp;ADDRESS(MATCH($N$35, Tracker[Anime Name], 0) + 2, 3)), "")</f>
        <v>25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2013A</v>
      </c>
      <c r="U35" s="28" t="str">
        <f ca="1">IF($N$35&lt;&gt;"", INDIRECT("'Tracker'!"&amp;ADDRESS(MATCH($N$35, Tracker[Anime Name], 0) + 2, 8)), "")</f>
        <v>Coalgirls, EveTaku</v>
      </c>
      <c r="V35" s="53">
        <f>IF(Completed!$C$34&lt;&gt;"",Completed!$C$34,"")</f>
        <v>10</v>
      </c>
      <c r="W35" s="53">
        <f>IF(Completed!$D$34&lt;&gt;"",Completed!$D$34,"")</f>
        <v>8</v>
      </c>
      <c r="X35" s="53">
        <f>IF(Completed!$E$34&lt;&gt;"",Completed!$E$34,"")</f>
        <v>1.5</v>
      </c>
      <c r="Y35" s="53">
        <f>IF(Completed!$F$34&lt;&gt;"",Completed!$F$34,"")</f>
        <v>9.5</v>
      </c>
      <c r="Z35" s="64">
        <f>IF(Completed!$G$34&lt;&gt;"",Completed!$G$34,"")</f>
        <v>8.8065326633165828</v>
      </c>
      <c r="AA35" s="74">
        <f>IF(Completed!$H$34&lt;&gt;"",Completed!$H$34,"")</f>
        <v>8.4361863124264325</v>
      </c>
      <c r="AB35" s="54">
        <f>IF(Completed!$I$34&lt;&gt;"",Completed!$I$34,"")</f>
        <v>41397</v>
      </c>
      <c r="AC35" s="54">
        <f>IF(Completed!$J$34&lt;&gt;"",Completed!$J$34,"")</f>
        <v>41546</v>
      </c>
      <c r="AD35" s="65" t="str">
        <f>IF(Completed!$K$34&lt;&gt;"",Completed!$K$34,"")</f>
        <v>Mikasa Ackerman</v>
      </c>
      <c r="AE35" s="65" t="str">
        <f>IF(Completed!$L$34&lt;&gt;"",Completed!$L$34,"")</f>
        <v/>
      </c>
    </row>
    <row r="36" spans="1:31">
      <c r="A36" s="215" t="s">
        <v>590</v>
      </c>
      <c r="B36" s="217"/>
      <c r="C36" s="217"/>
      <c r="D36" s="217"/>
      <c r="E36" s="217"/>
      <c r="F36" s="217"/>
      <c r="G36" s="217"/>
      <c r="H36" s="218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IF(Completed!$A$35&lt;&gt;"",Completed!$A$35,"")</f>
        <v>K</v>
      </c>
      <c r="O36" s="28">
        <f>IF(Completed!$B$35&lt;&gt;"",Completed!$B$35,"")</f>
        <v>1</v>
      </c>
      <c r="P36" s="28">
        <f ca="1">IF($N$36&lt;&gt;"", INDIRECT("'Tracker'!"&amp;ADDRESS(MATCH($N$36, Tracker[Anime Name], 0) + 2, 3)), "")</f>
        <v>13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1080p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2012C</v>
      </c>
      <c r="U36" s="28" t="str">
        <f ca="1">IF($N$36&lt;&gt;"", INDIRECT("'Tracker'!"&amp;ADDRESS(MATCH($N$36, Tracker[Anime Name], 0) + 2, 8)), "")</f>
        <v>Doki</v>
      </c>
      <c r="V36" s="53">
        <f>IF(Completed!$C$35&lt;&gt;"",Completed!$C$35,"")</f>
        <v>9</v>
      </c>
      <c r="W36" s="53">
        <f>IF(Completed!$D$35&lt;&gt;"",Completed!$D$35,"")</f>
        <v>9</v>
      </c>
      <c r="X36" s="53">
        <f>IF(Completed!$E$35&lt;&gt;"",Completed!$E$35,"")</f>
        <v>4.5</v>
      </c>
      <c r="Y36" s="53">
        <f>IF(Completed!$F$35&lt;&gt;"",Completed!$F$35,"")</f>
        <v>9</v>
      </c>
      <c r="Z36" s="64">
        <f>IF(Completed!$G$35&lt;&gt;"",Completed!$G$35,"")</f>
        <v>8.7851758793969861</v>
      </c>
      <c r="AA36" s="74">
        <f>IF(Completed!$H$35&lt;&gt;"",Completed!$H$35,"")</f>
        <v>8.4076004708256278</v>
      </c>
      <c r="AB36" s="54">
        <f>IF(Completed!$I$35&lt;&gt;"",Completed!$I$35,"")</f>
        <v>41645</v>
      </c>
      <c r="AC36" s="54">
        <f>IF(Completed!$J$35&lt;&gt;"",Completed!$J$35,"")</f>
        <v>41645</v>
      </c>
      <c r="AD36" s="65" t="str">
        <f>IF(Completed!$K$35&lt;&gt;"",Completed!$K$35,"")</f>
        <v>Kushina Anna</v>
      </c>
      <c r="AE36" s="65" t="str">
        <f>IF(Completed!$L$35&lt;&gt;"",Completed!$L$35,"")</f>
        <v>Good graphics, good audio, decent plot</v>
      </c>
    </row>
    <row r="37" spans="1:31">
      <c r="A37" s="216"/>
      <c r="B37" s="219"/>
      <c r="C37" s="219"/>
      <c r="D37" s="219"/>
      <c r="E37" s="219"/>
      <c r="F37" s="219"/>
      <c r="G37" s="219"/>
      <c r="H37" s="220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IF(Completed!$A$36&lt;&gt;"",Completed!$A$36,"")</f>
        <v>Yahari Ore no Seishun Rom Com wa Machigatteiru</v>
      </c>
      <c r="O37" s="28">
        <f>IF(Completed!$B$36&lt;&gt;"",Completed!$B$36,"")</f>
        <v>1</v>
      </c>
      <c r="P37" s="28">
        <f ca="1">IF($N$37&lt;&gt;"", INDIRECT("'Tracker'!"&amp;ADDRESS(MATCH($N$37, Tracker[Anime Name], 0) + 2, 3)), "")</f>
        <v>13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FFF</v>
      </c>
      <c r="V37" s="53">
        <f>IF(Completed!$C$36&lt;&gt;"",Completed!$C$36,"")</f>
        <v>8</v>
      </c>
      <c r="W37" s="53">
        <f>IF(Completed!$D$36&lt;&gt;"",Completed!$D$36,"")</f>
        <v>9.5</v>
      </c>
      <c r="X37" s="53">
        <f>IF(Completed!$E$36&lt;&gt;"",Completed!$E$36,"")</f>
        <v>5</v>
      </c>
      <c r="Y37" s="53">
        <f>IF(Completed!$F$36&lt;&gt;"",Completed!$F$36,"")</f>
        <v>9</v>
      </c>
      <c r="Z37" s="64">
        <f>IF(Completed!$G$36&lt;&gt;"",Completed!$G$36,"")</f>
        <v>8.7600502512562812</v>
      </c>
      <c r="AA37" s="74">
        <f>IF(Completed!$H$36&lt;&gt;"",Completed!$H$36,"")</f>
        <v>8.3739700689423238</v>
      </c>
      <c r="AB37" s="54">
        <f>IF(Completed!$I$36&lt;&gt;"",Completed!$I$36,"")</f>
        <v>41370</v>
      </c>
      <c r="AC37" s="54">
        <f>IF(Completed!$J$36&lt;&gt;"",Completed!$J$36,"")</f>
        <v>41454</v>
      </c>
      <c r="AD37" s="65" t="str">
        <f>IF(Completed!$K$36&lt;&gt;"",Completed!$K$36,"")</f>
        <v>Yukinoshita Yukino</v>
      </c>
      <c r="AE37" s="65" t="str">
        <f>IF(Completed!$L$36&lt;&gt;"",Completed!$L$36,"")</f>
        <v>Watch it for 8man</v>
      </c>
    </row>
    <row r="38" spans="1:31">
      <c r="A38" s="215" t="s">
        <v>592</v>
      </c>
      <c r="B38" s="217"/>
      <c r="C38" s="217"/>
      <c r="D38" s="217"/>
      <c r="E38" s="217"/>
      <c r="F38" s="217"/>
      <c r="G38" s="217"/>
      <c r="H38" s="218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IF(Completed!$A$37&lt;&gt;"",Completed!$A$37,"")</f>
        <v>Shakugan no Shana</v>
      </c>
      <c r="O38" s="28">
        <f>IF(Completed!$B$37&lt;&gt;"",Completed!$B$37,"")</f>
        <v>1</v>
      </c>
      <c r="P38" s="28">
        <f ca="1">IF($N$38&lt;&gt;"", INDIRECT("'Tracker'!"&amp;ADDRESS(MATCH($N$38, Tracker[Anime Name], 0) + 2, 3)), "")</f>
        <v>24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2005C</v>
      </c>
      <c r="U38" s="28" t="str">
        <f ca="1">IF($N$38&lt;&gt;"", INDIRECT("'Tracker'!"&amp;ADDRESS(MATCH($N$38, Tracker[Anime Name], 0) + 2, 8)), "")</f>
        <v>Elysium</v>
      </c>
      <c r="V38" s="53">
        <f>IF(Completed!$C$37&lt;&gt;"",Completed!$C$37,"")</f>
        <v>9.5</v>
      </c>
      <c r="W38" s="53">
        <f>IF(Completed!$D$37&lt;&gt;"",Completed!$D$37,"")</f>
        <v>9</v>
      </c>
      <c r="X38" s="53">
        <f>IF(Completed!$E$37&lt;&gt;"",Completed!$E$37,"")</f>
        <v>6.5</v>
      </c>
      <c r="Y38" s="53">
        <f>IF(Completed!$F$37&lt;&gt;"",Completed!$F$37,"")</f>
        <v>8.5</v>
      </c>
      <c r="Z38" s="64">
        <f>IF(Completed!$G$37&lt;&gt;"",Completed!$G$37,"")</f>
        <v>8.7223618090452266</v>
      </c>
      <c r="AA38" s="74">
        <f>IF(Completed!$H$37&lt;&gt;"",Completed!$H$37,"")</f>
        <v>8.3235244661173713</v>
      </c>
      <c r="AB38" s="54">
        <f>IF(Completed!$I$37&lt;&gt;"",Completed!$I$37,"")</f>
        <v>41369</v>
      </c>
      <c r="AC38" s="54">
        <f>IF(Completed!$J$37&lt;&gt;"",Completed!$J$37,"")</f>
        <v>41389</v>
      </c>
      <c r="AD38" s="65" t="str">
        <f>IF(Completed!$K$37&lt;&gt;"",Completed!$K$37,"")</f>
        <v>Shana</v>
      </c>
      <c r="AE38" s="65" t="str">
        <f>IF(Completed!$L$37&lt;&gt;"",Completed!$L$37,"")</f>
        <v>Shana &gt; Everyone else</v>
      </c>
    </row>
    <row r="39" spans="1:31">
      <c r="A39" s="216"/>
      <c r="B39" s="219"/>
      <c r="C39" s="219"/>
      <c r="D39" s="219"/>
      <c r="E39" s="219"/>
      <c r="F39" s="219"/>
      <c r="G39" s="219"/>
      <c r="H39" s="220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IF(Completed!$A$38&lt;&gt;"",Completed!$A$38,"")</f>
        <v>Sora no Method</v>
      </c>
      <c r="O39" s="28">
        <f>IF(Completed!$B$38&lt;&gt;"",Completed!$B$38,"")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B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2014C</v>
      </c>
      <c r="U39" s="28" t="str">
        <f ca="1">IF($N$39&lt;&gt;"", INDIRECT("'Tracker'!"&amp;ADDRESS(MATCH($N$39, Tracker[Anime Name], 0) + 2, 8)), "")</f>
        <v>HorribleSubs</v>
      </c>
      <c r="V39" s="53">
        <f>IF(Completed!$C$38&lt;&gt;"",Completed!$C$38,"")</f>
        <v>8</v>
      </c>
      <c r="W39" s="53">
        <f>IF(Completed!$D$38&lt;&gt;"",Completed!$D$38,"")</f>
        <v>8.5</v>
      </c>
      <c r="X39" s="53">
        <f>IF(Completed!$E$38&lt;&gt;"",Completed!$E$38,"")</f>
        <v>9.5</v>
      </c>
      <c r="Y39" s="53">
        <f>IF(Completed!$F$38&lt;&gt;"",Completed!$F$38,"")</f>
        <v>9</v>
      </c>
      <c r="Z39" s="64">
        <f>IF(Completed!$G$38&lt;&gt;"",Completed!$G$38,"")</f>
        <v>8.7060301507537705</v>
      </c>
      <c r="AA39" s="74">
        <f>IF(Completed!$H$38&lt;&gt;"",Completed!$H$38,"")</f>
        <v>8.3016647048932253</v>
      </c>
      <c r="AB39" s="54">
        <f>IF(Completed!$I$38&lt;&gt;"",Completed!$I$38,"")</f>
        <v>42024</v>
      </c>
      <c r="AC39" s="54">
        <f>IF(Completed!$J$38&lt;&gt;"",Completed!$J$38,"")</f>
        <v>42024</v>
      </c>
      <c r="AD39" s="65" t="str">
        <f>IF(Completed!$K$38&lt;&gt;"",Completed!$K$38,"")</f>
        <v>Noel</v>
      </c>
      <c r="AE39" s="65" t="str">
        <f>IF(Completed!$L$38&lt;&gt;"",Completed!$L$38,"")</f>
        <v/>
      </c>
    </row>
    <row r="40" spans="1:31">
      <c r="A40" s="215" t="s">
        <v>609</v>
      </c>
      <c r="B40" s="217"/>
      <c r="C40" s="217"/>
      <c r="D40" s="217"/>
      <c r="E40" s="217"/>
      <c r="F40" s="217"/>
      <c r="G40" s="217"/>
      <c r="H40" s="218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IF(Completed!$A$39&lt;&gt;"",Completed!$A$39,"")</f>
        <v>Ano Hi Mita Hana no Namae wo Bokutachi wa Mada Shiranai</v>
      </c>
      <c r="O40" s="28">
        <f>IF(Completed!$B$39&lt;&gt;"",Completed!$B$39,"")</f>
        <v>1</v>
      </c>
      <c r="P40" s="28">
        <f ca="1">IF($N$40&lt;&gt;"", INDIRECT("'Tracker'!"&amp;ADDRESS(MATCH($N$40, Tracker[Anime Name], 0) + 2, 3)), "")</f>
        <v>11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1080p</v>
      </c>
      <c r="S40" s="22" t="str">
        <f ca="1">IF($N$40&lt;&gt;"", INDIRECT("'Tracker'!"&amp;ADDRESS(MATCH($N$40, Tracker[Anime Name], 0) + 2, 6)), "")</f>
        <v>BD</v>
      </c>
      <c r="T40" s="22" t="str">
        <f ca="1">IF($N$40&lt;&gt;"", INDIRECT("'Tracker'!"&amp;ADDRESS(MATCH($N$40, Tracker[Anime Name], 0) + 2, 7)), "")</f>
        <v>2011A</v>
      </c>
      <c r="U40" s="28" t="str">
        <f ca="1">IF($N$40&lt;&gt;"", INDIRECT("'Tracker'!"&amp;ADDRESS(MATCH($N$40, Tracker[Anime Name], 0) + 2, 8)), "")</f>
        <v>Doki</v>
      </c>
      <c r="V40" s="53">
        <f>IF(Completed!$C$39&lt;&gt;"",Completed!$C$39,"")</f>
        <v>9.5</v>
      </c>
      <c r="W40" s="53">
        <f>IF(Completed!$D$39&lt;&gt;"",Completed!$D$39,"")</f>
        <v>8</v>
      </c>
      <c r="X40" s="53">
        <f>IF(Completed!$E$39&lt;&gt;"",Completed!$E$39,"")</f>
        <v>6</v>
      </c>
      <c r="Y40" s="53">
        <f>IF(Completed!$F$39&lt;&gt;"",Completed!$F$39,"")</f>
        <v>9</v>
      </c>
      <c r="Z40" s="64">
        <f>IF(Completed!$G$39&lt;&gt;"",Completed!$G$39,"")</f>
        <v>8.6796482412060314</v>
      </c>
      <c r="AA40" s="74">
        <f>IF(Completed!$H$39&lt;&gt;"",Completed!$H$39,"")</f>
        <v>8.2663527829157566</v>
      </c>
      <c r="AB40" s="54">
        <f>IF(Completed!$I$39&lt;&gt;"",Completed!$I$39,"")</f>
        <v>41530</v>
      </c>
      <c r="AC40" s="54">
        <f>IF(Completed!$J$39&lt;&gt;"",Completed!$J$39,"")</f>
        <v>41532</v>
      </c>
      <c r="AD40" s="65" t="str">
        <f>IF(Completed!$K$39&lt;&gt;"",Completed!$K$39,"")</f>
        <v>Tsurumi Chiriko</v>
      </c>
      <c r="AE40" s="65" t="str">
        <f>IF(Completed!$L$39&lt;&gt;"",Completed!$L$39,"")</f>
        <v>Drama was a bit forced at the end, but it was nicely done overall</v>
      </c>
    </row>
    <row r="41" spans="1:31">
      <c r="A41" s="216"/>
      <c r="B41" s="219"/>
      <c r="C41" s="219"/>
      <c r="D41" s="219"/>
      <c r="E41" s="219"/>
      <c r="F41" s="219"/>
      <c r="G41" s="219"/>
      <c r="H41" s="220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IF(Completed!$A$40&lt;&gt;"",Completed!$A$40,"")</f>
        <v>Spice and Wolf II</v>
      </c>
      <c r="O41" s="28">
        <f>IF(Completed!$B$40&lt;&gt;"",Completed!$B$40,"")</f>
        <v>2</v>
      </c>
      <c r="P41" s="28">
        <f ca="1">IF($N$41&lt;&gt;"", INDIRECT("'Tracker'!"&amp;ADDRESS(MATCH($N$41, Tracker[Anime Name], 0) + 2, 3)), "")</f>
        <v>12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2009B</v>
      </c>
      <c r="U41" s="28" t="str">
        <f ca="1">IF($N$41&lt;&gt;"", INDIRECT("'Tracker'!"&amp;ADDRESS(MATCH($N$41, Tracker[Anime Name], 0) + 2, 8)), "")</f>
        <v>Coalgirls, Mazui</v>
      </c>
      <c r="V41" s="53">
        <f>IF(Completed!$C$40&lt;&gt;"",Completed!$C$40,"")</f>
        <v>8.5</v>
      </c>
      <c r="W41" s="53">
        <f>IF(Completed!$D$40&lt;&gt;"",Completed!$D$40,"")</f>
        <v>9</v>
      </c>
      <c r="X41" s="53">
        <f>IF(Completed!$E$40&lt;&gt;"",Completed!$E$40,"")</f>
        <v>4</v>
      </c>
      <c r="Y41" s="53">
        <f>IF(Completed!$F$40&lt;&gt;"",Completed!$F$40,"")</f>
        <v>9</v>
      </c>
      <c r="Z41" s="64">
        <f>IF(Completed!$G$40&lt;&gt;"",Completed!$G$40,"")</f>
        <v>8.6695979899497502</v>
      </c>
      <c r="AA41" s="74">
        <f>IF(Completed!$H$40&lt;&gt;"",Completed!$H$40,"")</f>
        <v>8.2529006221624357</v>
      </c>
      <c r="AB41" s="54">
        <f>IF(Completed!$I$40&lt;&gt;"",Completed!$I$40,"")</f>
        <v>41358</v>
      </c>
      <c r="AC41" s="54">
        <f>IF(Completed!$J$40&lt;&gt;"",Completed!$J$40,"")</f>
        <v>41359</v>
      </c>
      <c r="AD41" s="65" t="str">
        <f>IF(Completed!$K$40&lt;&gt;"",Completed!$K$40,"")</f>
        <v>Holo</v>
      </c>
      <c r="AE41" s="65" t="str">
        <f>IF(Completed!$L$40&lt;&gt;"",Completed!$L$40,"")</f>
        <v/>
      </c>
    </row>
    <row r="42" spans="1:31">
      <c r="A42" s="221" t="s">
        <v>610</v>
      </c>
      <c r="B42" s="217"/>
      <c r="C42" s="217"/>
      <c r="D42" s="217"/>
      <c r="E42" s="217"/>
      <c r="F42" s="217"/>
      <c r="G42" s="217"/>
      <c r="H42" s="218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IF(Completed!$A$41&lt;&gt;"",Completed!$A$41,"")</f>
        <v>Kokoro Connect</v>
      </c>
      <c r="O42" s="28">
        <f>IF(Completed!$B$41&lt;&gt;"",Completed!$B$41,"")</f>
        <v>1</v>
      </c>
      <c r="P42" s="28">
        <f ca="1">IF($N$42&lt;&gt;"", INDIRECT("'Tracker'!"&amp;ADDRESS(MATCH($N$42, Tracker[Anime Name], 0) + 2, 3)), "")</f>
        <v>17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2012B</v>
      </c>
      <c r="U42" s="28" t="str">
        <f ca="1">IF($N$42&lt;&gt;"", INDIRECT("'Tracker'!"&amp;ADDRESS(MATCH($N$42, Tracker[Anime Name], 0) + 2, 8)), "")</f>
        <v>Doki, Chihiro</v>
      </c>
      <c r="V42" s="53">
        <f>IF(Completed!$C$41&lt;&gt;"",Completed!$C$41,"")</f>
        <v>8.5</v>
      </c>
      <c r="W42" s="53">
        <f>IF(Completed!$D$41&lt;&gt;"",Completed!$D$41,"")</f>
        <v>9</v>
      </c>
      <c r="X42" s="53">
        <f>IF(Completed!$E$41&lt;&gt;"",Completed!$E$41,"")</f>
        <v>4</v>
      </c>
      <c r="Y42" s="53">
        <f>IF(Completed!$F$41&lt;&gt;"",Completed!$F$41,"")</f>
        <v>9</v>
      </c>
      <c r="Z42" s="64">
        <f>IF(Completed!$G$41&lt;&gt;"",Completed!$G$41,"")</f>
        <v>8.6695979899497502</v>
      </c>
      <c r="AA42" s="74">
        <f>IF(Completed!$H$41&lt;&gt;"",Completed!$H$41,"")</f>
        <v>8.2529006221624357</v>
      </c>
      <c r="AB42" s="54">
        <f>IF(Completed!$I$41&lt;&gt;"",Completed!$I$41,"")</f>
        <v>41328</v>
      </c>
      <c r="AC42" s="54">
        <f>IF(Completed!$J$41&lt;&gt;"",Completed!$J$41,"")</f>
        <v>41329</v>
      </c>
      <c r="AD42" s="65" t="str">
        <f>IF(Completed!$K$41&lt;&gt;"",Completed!$K$41,"")</f>
        <v>Himeko Inaba</v>
      </c>
      <c r="AE42" s="65" t="str">
        <f>IF(Completed!$L$41&lt;&gt;"",Completed!$L$41,"")</f>
        <v/>
      </c>
    </row>
    <row r="43" spans="1:31">
      <c r="A43" s="222"/>
      <c r="B43" s="219"/>
      <c r="C43" s="219"/>
      <c r="D43" s="219"/>
      <c r="E43" s="219"/>
      <c r="F43" s="219"/>
      <c r="G43" s="219"/>
      <c r="H43" s="220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IF(Completed!$A$42&lt;&gt;"",Completed!$A$42,"")</f>
        <v>Servant x Service</v>
      </c>
      <c r="O43" s="28">
        <f>IF(Completed!$B$42&lt;&gt;"",Completed!$B$42,"")</f>
        <v>1</v>
      </c>
      <c r="P43" s="28">
        <f ca="1">IF($N$43&lt;&gt;"", INDIRECT("'Tracker'!"&amp;ADDRESS(MATCH($N$43, Tracker[Anime Name], 0) + 2, 3)), "")</f>
        <v>13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Web</v>
      </c>
      <c r="T43" s="22" t="str">
        <f ca="1">IF($N$43&lt;&gt;"", INDIRECT("'Tracker'!"&amp;ADDRESS(MATCH($N$43, Tracker[Anime Name], 0) + 2, 7)), "")</f>
        <v>2013B</v>
      </c>
      <c r="U43" s="28" t="str">
        <f ca="1">IF($N$43&lt;&gt;"", INDIRECT("'Tracker'!"&amp;ADDRESS(MATCH($N$43, Tracker[Anime Name], 0) + 2, 8)), "")</f>
        <v>HorribleSubs</v>
      </c>
      <c r="V43" s="53">
        <f>IF(Completed!$C$42&lt;&gt;"",Completed!$C$42,"")</f>
        <v>8</v>
      </c>
      <c r="W43" s="53">
        <f>IF(Completed!$D$42&lt;&gt;"",Completed!$D$42,"")</f>
        <v>9</v>
      </c>
      <c r="X43" s="53">
        <f>IF(Completed!$E$42&lt;&gt;"",Completed!$E$42,"")</f>
        <v>5.5</v>
      </c>
      <c r="Y43" s="53">
        <f>IF(Completed!$F$42&lt;&gt;"",Completed!$F$42,"")</f>
        <v>9</v>
      </c>
      <c r="Z43" s="64">
        <f>IF(Completed!$G$42&lt;&gt;"",Completed!$G$42,"")</f>
        <v>8.6494974874371859</v>
      </c>
      <c r="AA43" s="74">
        <f>IF(Completed!$H$42&lt;&gt;"",Completed!$H$42,"")</f>
        <v>8.2259963006557921</v>
      </c>
      <c r="AB43" s="54">
        <f>IF(Completed!$I$42&lt;&gt;"",Completed!$I$42,"")</f>
        <v>41461</v>
      </c>
      <c r="AC43" s="54">
        <f>IF(Completed!$J$42&lt;&gt;"",Completed!$J$42,"")</f>
        <v>41543</v>
      </c>
      <c r="AD43" s="65" t="str">
        <f>IF(Completed!$K$42&lt;&gt;"",Completed!$K$42,"")</f>
        <v>Chihaya Megumi</v>
      </c>
      <c r="AE43" s="65" t="str">
        <f>IF(Completed!$L$42&lt;&gt;"",Completed!$L$42,"")</f>
        <v>Funny, and not a HS drama - 9/10 would watch again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IF(Completed!$A$43&lt;&gt;"",Completed!$A$43,"")</f>
        <v>Shakugan no Shana Second</v>
      </c>
      <c r="O44" s="28">
        <f>IF(Completed!$B$43&lt;&gt;"",Completed!$B$43,"")</f>
        <v>2</v>
      </c>
      <c r="P44" s="28">
        <f ca="1">IF($N$44&lt;&gt;"", INDIRECT("'Tracker'!"&amp;ADDRESS(MATCH($N$44, Tracker[Anime Name], 0) + 2, 3)), "")</f>
        <v>24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TV</v>
      </c>
      <c r="T44" s="22" t="str">
        <f ca="1">IF($N$44&lt;&gt;"", INDIRECT("'Tracker'!"&amp;ADDRESS(MATCH($N$44, Tracker[Anime Name], 0) + 2, 7)), "")</f>
        <v>2007C</v>
      </c>
      <c r="U44" s="28" t="str">
        <f ca="1">IF($N$44&lt;&gt;"", INDIRECT("'Tracker'!"&amp;ADDRESS(MATCH($N$44, Tracker[Anime Name], 0) + 2, 8)), "")</f>
        <v>SS, Eclipse</v>
      </c>
      <c r="V44" s="53">
        <f>IF(Completed!$C$43&lt;&gt;"",Completed!$C$43,"")</f>
        <v>9</v>
      </c>
      <c r="W44" s="53">
        <f>IF(Completed!$D$43&lt;&gt;"",Completed!$D$43,"")</f>
        <v>9</v>
      </c>
      <c r="X44" s="53">
        <f>IF(Completed!$E$43&lt;&gt;"",Completed!$E$43,"")</f>
        <v>6.5</v>
      </c>
      <c r="Y44" s="53">
        <f>IF(Completed!$F$43&lt;&gt;"",Completed!$F$43,"")</f>
        <v>8.5</v>
      </c>
      <c r="Z44" s="64">
        <f>IF(Completed!$G$43&lt;&gt;"",Completed!$G$43,"")</f>
        <v>8.6306532663316595</v>
      </c>
      <c r="AA44" s="74">
        <f>IF(Completed!$H$43&lt;&gt;"",Completed!$H$43,"")</f>
        <v>8.2007734992433168</v>
      </c>
      <c r="AB44" s="54">
        <f>IF(Completed!$I$43&lt;&gt;"",Completed!$I$43,"")</f>
        <v>41395</v>
      </c>
      <c r="AC44" s="54">
        <f>IF(Completed!$J$43&lt;&gt;"",Completed!$J$43,"")</f>
        <v>41400</v>
      </c>
      <c r="AD44" s="65" t="str">
        <f>IF(Completed!$K$43&lt;&gt;"",Completed!$K$43,"")</f>
        <v>Shana</v>
      </c>
      <c r="AE44" s="65" t="str">
        <f>IF(Completed!$L$43&lt;&gt;"",Completed!$L$43,"")</f>
        <v>TV is better than BDs</v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IF(Completed!$A$44&lt;&gt;"",Completed!$A$44,"")</f>
        <v>Ore, Twintail ni Narimasu</v>
      </c>
      <c r="O45" s="28">
        <f>IF(Completed!$B$44&lt;&gt;"",Completed!$B$44,"")</f>
        <v>1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B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TV</v>
      </c>
      <c r="T45" s="22" t="str">
        <f ca="1">IF($N$45&lt;&gt;"", INDIRECT("'Tracker'!"&amp;ADDRESS(MATCH($N$45, Tracker[Anime Name], 0) + 2, 7)), "")</f>
        <v>2014C</v>
      </c>
      <c r="U45" s="28" t="str">
        <f ca="1">IF($N$45&lt;&gt;"", INDIRECT("'Tracker'!"&amp;ADDRESS(MATCH($N$45, Tracker[Anime Name], 0) + 2, 8)), "")</f>
        <v>Doki</v>
      </c>
      <c r="V45" s="53">
        <f>IF(Completed!$C$44&lt;&gt;"",Completed!$C$44,"")</f>
        <v>7</v>
      </c>
      <c r="W45" s="53">
        <f>IF(Completed!$D$44&lt;&gt;"",Completed!$D$44,"")</f>
        <v>9</v>
      </c>
      <c r="X45" s="53">
        <f>IF(Completed!$E$44&lt;&gt;"",Completed!$E$44,"")</f>
        <v>8.5</v>
      </c>
      <c r="Y45" s="53">
        <f>IF(Completed!$F$44&lt;&gt;"",Completed!$F$44,"")</f>
        <v>9</v>
      </c>
      <c r="Z45" s="64">
        <f>IF(Completed!$G$44&lt;&gt;"",Completed!$G$44,"")</f>
        <v>8.609296482412061</v>
      </c>
      <c r="AA45" s="74">
        <f>IF(Completed!$H$44&lt;&gt;"",Completed!$H$44,"")</f>
        <v>8.1721876576425103</v>
      </c>
      <c r="AB45" s="54">
        <f>IF(Completed!$I$44&lt;&gt;"",Completed!$I$44,"")</f>
        <v>42023</v>
      </c>
      <c r="AC45" s="54">
        <f>IF(Completed!$J$44&lt;&gt;"",Completed!$J$44,"")</f>
        <v>42025</v>
      </c>
      <c r="AD45" s="65" t="str">
        <f>IF(Completed!$K$44&lt;&gt;"",Completed!$K$44,"")</f>
        <v>Mitsuka Souji</v>
      </c>
      <c r="AE45" s="65" t="str">
        <f>IF(Completed!$L$44&lt;&gt;"",Completed!$L$44,"")</f>
        <v>Time for twintails</v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IF(Completed!$A$45&lt;&gt;"",Completed!$A$45,"")</f>
        <v>Non Non Biyori</v>
      </c>
      <c r="O46" s="28">
        <f>IF(Completed!$B$45&lt;&gt;"",Completed!$B$45,"")</f>
        <v>1</v>
      </c>
      <c r="P46" s="28">
        <f ca="1">IF($N$46&lt;&gt;"", INDIRECT("'Tracker'!"&amp;ADDRESS(MATCH($N$46, Tracker[Anime Name], 0) + 2, 3)), "")</f>
        <v>12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TV</v>
      </c>
      <c r="T46" s="22" t="str">
        <f ca="1">IF($N$46&lt;&gt;"", INDIRECT("'Tracker'!"&amp;ADDRESS(MATCH($N$46, Tracker[Anime Name], 0) + 2, 7)), "")</f>
        <v>2013C</v>
      </c>
      <c r="U46" s="28" t="str">
        <f ca="1">IF($N$46&lt;&gt;"", INDIRECT("'Tracker'!"&amp;ADDRESS(MATCH($N$46, Tracker[Anime Name], 0) + 2, 8)), "")</f>
        <v>HorribleSubs</v>
      </c>
      <c r="V46" s="53">
        <f>IF(Completed!$C$45&lt;&gt;"",Completed!$C$45,"")</f>
        <v>4</v>
      </c>
      <c r="W46" s="53">
        <f>IF(Completed!$D$45&lt;&gt;"",Completed!$D$45,"")</f>
        <v>9</v>
      </c>
      <c r="X46" s="53">
        <f>IF(Completed!$E$45&lt;&gt;"",Completed!$E$45,"")</f>
        <v>9.5</v>
      </c>
      <c r="Y46" s="53">
        <f>IF(Completed!$F$45&lt;&gt;"",Completed!$F$45,"")</f>
        <v>10</v>
      </c>
      <c r="Z46" s="64">
        <f>IF(Completed!$G$45&lt;&gt;"",Completed!$G$45,"")</f>
        <v>8.6067839195979889</v>
      </c>
      <c r="AA46" s="74">
        <f>IF(Completed!$H$45&lt;&gt;"",Completed!$H$45,"")</f>
        <v>8.1688246174541774</v>
      </c>
      <c r="AB46" s="54">
        <f>IF(Completed!$I$45&lt;&gt;"",Completed!$I$45,"")</f>
        <v>41638</v>
      </c>
      <c r="AC46" s="54">
        <f>IF(Completed!$J$45&lt;&gt;"",Completed!$J$45,"")</f>
        <v>41641</v>
      </c>
      <c r="AD46" s="65" t="str">
        <f>IF(Completed!$K$45&lt;&gt;"",Completed!$K$45,"")</f>
        <v>Miyauchi Renge</v>
      </c>
      <c r="AE46" s="65" t="str">
        <f>IF(Completed!$L$45&lt;&gt;"",Completed!$L$45,"")</f>
        <v/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IF(Completed!$A$46&lt;&gt;"",Completed!$A$46,"")</f>
        <v>Toaru Kagaku no Railgun</v>
      </c>
      <c r="O47" s="28">
        <f>IF(Completed!$B$46&lt;&gt;"",Completed!$B$46,"")</f>
        <v>1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BD</v>
      </c>
      <c r="T47" s="22" t="str">
        <f ca="1">IF($N$47&lt;&gt;"", INDIRECT("'Tracker'!"&amp;ADDRESS(MATCH($N$47, Tracker[Anime Name], 0) + 2, 7)), "")</f>
        <v>2009C</v>
      </c>
      <c r="U47" s="28" t="str">
        <f ca="1">IF($N$47&lt;&gt;"", INDIRECT("'Tracker'!"&amp;ADDRESS(MATCH($N$47, Tracker[Anime Name], 0) + 2, 8)), "")</f>
        <v>Elysium</v>
      </c>
      <c r="V47" s="53">
        <f>IF(Completed!$C$46&lt;&gt;"",Completed!$C$46,"")</f>
        <v>7.5</v>
      </c>
      <c r="W47" s="53">
        <f>IF(Completed!$D$46&lt;&gt;"",Completed!$D$46,"")</f>
        <v>9</v>
      </c>
      <c r="X47" s="53">
        <f>IF(Completed!$E$46&lt;&gt;"",Completed!$E$46,"")</f>
        <v>6</v>
      </c>
      <c r="Y47" s="53">
        <f>IF(Completed!$F$46&lt;&gt;"",Completed!$F$46,"")</f>
        <v>9</v>
      </c>
      <c r="Z47" s="64">
        <f>IF(Completed!$G$46&lt;&gt;"",Completed!$G$46,"")</f>
        <v>8.5816582914572859</v>
      </c>
      <c r="AA47" s="74">
        <f>IF(Completed!$H$46&lt;&gt;"",Completed!$H$46,"")</f>
        <v>8.1351942155708752</v>
      </c>
      <c r="AB47" s="54">
        <f>IF(Completed!$I$46&lt;&gt;"",Completed!$I$46,"")</f>
        <v>41436</v>
      </c>
      <c r="AC47" s="54">
        <f>IF(Completed!$J$46&lt;&gt;"",Completed!$J$46,"")</f>
        <v>41438</v>
      </c>
      <c r="AD47" s="65" t="str">
        <f>IF(Completed!$K$46&lt;&gt;"",Completed!$K$46,"")</f>
        <v>Misaka Mikoto</v>
      </c>
      <c r="AE47" s="65" t="str">
        <f>IF(Completed!$L$46&lt;&gt;"",Completed!$L$46,"")</f>
        <v/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IF(Completed!$A$47&lt;&gt;"",Completed!$A$47,"")</f>
        <v>Sword Art Online II</v>
      </c>
      <c r="O48" s="28">
        <f>IF(Completed!$B$47&lt;&gt;"",Completed!$B$47,"")</f>
        <v>2</v>
      </c>
      <c r="P48" s="28">
        <f ca="1">IF($N$48&lt;&gt;"", INDIRECT("'Tracker'!"&amp;ADDRESS(MATCH($N$48, Tracker[Anime Name], 0) + 2, 3)), "")</f>
        <v>24</v>
      </c>
      <c r="Q48" s="22" t="str">
        <f ca="1">IF($N$48&lt;&gt;"", INDIRECT("'Tracker'!"&amp;ADDRESS(MATCH($N$48, Tracker[Anime Name], 0) + 2, 4)), "")</f>
        <v>A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2014B</v>
      </c>
      <c r="U48" s="28" t="str">
        <f ca="1">IF($N$48&lt;&gt;"", INDIRECT("'Tracker'!"&amp;ADDRESS(MATCH($N$48, Tracker[Anime Name], 0) + 2, 8)), "")</f>
        <v>HorribleSubs</v>
      </c>
      <c r="V48" s="53">
        <f>IF(Completed!$C$47&lt;&gt;"",Completed!$C$47,"")</f>
        <v>9</v>
      </c>
      <c r="W48" s="53">
        <f>IF(Completed!$D$47&lt;&gt;"",Completed!$D$47,"")</f>
        <v>8.5</v>
      </c>
      <c r="X48" s="53">
        <f>IF(Completed!$E$47&lt;&gt;"",Completed!$E$47,"")</f>
        <v>8</v>
      </c>
      <c r="Y48" s="53">
        <f>IF(Completed!$F$47&lt;&gt;"",Completed!$F$47,"")</f>
        <v>8.5</v>
      </c>
      <c r="Z48" s="64">
        <f>IF(Completed!$G$47&lt;&gt;"",Completed!$G$47,"")</f>
        <v>8.5678391959799001</v>
      </c>
      <c r="AA48" s="74">
        <f>IF(Completed!$H$47&lt;&gt;"",Completed!$H$47,"")</f>
        <v>8.1166974945350603</v>
      </c>
      <c r="AB48" s="54">
        <f>IF(Completed!$I$47&lt;&gt;"",Completed!$I$47,"")</f>
        <v>41826</v>
      </c>
      <c r="AC48" s="54">
        <f>IF(Completed!$J$47&lt;&gt;"",Completed!$J$47,"")</f>
        <v>41993</v>
      </c>
      <c r="AD48" s="65" t="str">
        <f>IF(Completed!$K$47&lt;&gt;"",Completed!$K$47,"")</f>
        <v>Yuuki Asuna</v>
      </c>
      <c r="AE48" s="65" t="str">
        <f>IF(Completed!$L$47&lt;&gt;"",Completed!$L$47,"")</f>
        <v>Need to DL again once FFF finishes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IF(Completed!$A$48&lt;&gt;"",Completed!$A$48,"")</f>
        <v>Acchi Kocchi</v>
      </c>
      <c r="O49" s="28">
        <f>IF(Completed!$B$48&lt;&gt;"",Completed!$B$48,"")</f>
        <v>1</v>
      </c>
      <c r="P49" s="28">
        <f ca="1">IF($N$49&lt;&gt;"", INDIRECT("'Tracker'!"&amp;ADDRESS(MATCH($N$49, Tracker[Anime Name], 0) + 2, 3)), "")</f>
        <v>13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2012A</v>
      </c>
      <c r="U49" s="28" t="str">
        <f ca="1">IF($N$49&lt;&gt;"", INDIRECT("'Tracker'!"&amp;ADDRESS(MATCH($N$49, Tracker[Anime Name], 0) + 2, 8)), "")</f>
        <v>SakuraCircle</v>
      </c>
      <c r="V49" s="53">
        <f>IF(Completed!$C$48&lt;&gt;"",Completed!$C$48,"")</f>
        <v>5</v>
      </c>
      <c r="W49" s="53">
        <f>IF(Completed!$D$48&lt;&gt;"",Completed!$D$48,"")</f>
        <v>9</v>
      </c>
      <c r="X49" s="53">
        <f>IF(Completed!$E$48&lt;&gt;"",Completed!$E$48,"")</f>
        <v>10</v>
      </c>
      <c r="Y49" s="53">
        <f>IF(Completed!$F$48&lt;&gt;"",Completed!$F$48,"")</f>
        <v>9.5</v>
      </c>
      <c r="Z49" s="64">
        <f>IF(Completed!$G$48&lt;&gt;"",Completed!$G$48,"")</f>
        <v>8.5640703517587937</v>
      </c>
      <c r="AA49" s="74">
        <f>IF(Completed!$H$48&lt;&gt;"",Completed!$H$48,"")</f>
        <v>8.1116529342525627</v>
      </c>
      <c r="AB49" s="54">
        <f>IF(Completed!$I$48&lt;&gt;"",Completed!$I$48,"")</f>
        <v>41316</v>
      </c>
      <c r="AC49" s="54">
        <f>IF(Completed!$J$48&lt;&gt;"",Completed!$J$48,"")</f>
        <v>41316</v>
      </c>
      <c r="AD49" s="65" t="str">
        <f>IF(Completed!$K$48&lt;&gt;"",Completed!$K$48,"")</f>
        <v>Miniwa Tsumiki</v>
      </c>
      <c r="AE49" s="65" t="str">
        <f>IF(Completed!$L$48&lt;&gt;"",Completed!$L$48,"")</f>
        <v>Like Lucky Star, but with 150% more moe</v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IF(Completed!$A$49&lt;&gt;"",Completed!$A$49,"")</f>
        <v>Toaru Kagaku no Railgun S</v>
      </c>
      <c r="O50" s="28">
        <f>IF(Completed!$B$49&lt;&gt;"",Completed!$B$49,"")</f>
        <v>2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2013A</v>
      </c>
      <c r="U50" s="28" t="str">
        <f ca="1">IF($N$50&lt;&gt;"", INDIRECT("'Tracker'!"&amp;ADDRESS(MATCH($N$50, Tracker[Anime Name], 0) + 2, 8)), "")</f>
        <v>Coalgirls, UTW, Mazui</v>
      </c>
      <c r="V50" s="53">
        <f>IF(Completed!$C$49&lt;&gt;"",Completed!$C$49,"")</f>
        <v>8.5</v>
      </c>
      <c r="W50" s="53">
        <f>IF(Completed!$D$49&lt;&gt;"",Completed!$D$49,"")</f>
        <v>8.5</v>
      </c>
      <c r="X50" s="53">
        <f>IF(Completed!$E$49&lt;&gt;"",Completed!$E$49,"")</f>
        <v>4.5</v>
      </c>
      <c r="Y50" s="53">
        <f>IF(Completed!$F$49&lt;&gt;"",Completed!$F$49,"")</f>
        <v>9</v>
      </c>
      <c r="Z50" s="64">
        <f>IF(Completed!$G$49&lt;&gt;"",Completed!$G$49,"")</f>
        <v>8.5590452261306531</v>
      </c>
      <c r="AA50" s="74">
        <f>IF(Completed!$H$49&lt;&gt;"",Completed!$H$49,"")</f>
        <v>8.1049268538759023</v>
      </c>
      <c r="AB50" s="54">
        <f>IF(Completed!$I$49&lt;&gt;"",Completed!$I$49,"")</f>
        <v>41473</v>
      </c>
      <c r="AC50" s="54">
        <f>IF(Completed!$J$49&lt;&gt;"",Completed!$J$49,"")</f>
        <v>41546</v>
      </c>
      <c r="AD50" s="65" t="str">
        <f>IF(Completed!$K$49&lt;&gt;"",Completed!$K$49,"")</f>
        <v>Misaka Mikoto</v>
      </c>
      <c r="AE50" s="65" t="str">
        <f>IF(Completed!$L$49&lt;&gt;"",Completed!$L$49,"")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IF(Completed!$A$50&lt;&gt;"",Completed!$A$50,"")</f>
        <v>Mirai Nikki</v>
      </c>
      <c r="O51" s="28">
        <f>IF(Completed!$B$50&lt;&gt;"",Completed!$B$50,"")</f>
        <v>1</v>
      </c>
      <c r="P51" s="28">
        <f ca="1">IF($N$51&lt;&gt;"", INDIRECT("'Tracker'!"&amp;ADDRESS(MATCH($N$51, Tracker[Anime Name], 0) + 2, 3)), "")</f>
        <v>26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BD</v>
      </c>
      <c r="T51" s="22" t="str">
        <f ca="1">IF($N$51&lt;&gt;"", INDIRECT("'Tracker'!"&amp;ADDRESS(MATCH($N$51, Tracker[Anime Name], 0) + 2, 7)), "")</f>
        <v>2011C</v>
      </c>
      <c r="U51" s="28" t="str">
        <f ca="1">IF($N$51&lt;&gt;"", INDIRECT("'Tracker'!"&amp;ADDRESS(MATCH($N$51, Tracker[Anime Name], 0) + 2, 8)), "")</f>
        <v>Final8</v>
      </c>
      <c r="V51" s="53">
        <f>IF(Completed!$C$50&lt;&gt;"",Completed!$C$50,"")</f>
        <v>9.5</v>
      </c>
      <c r="W51" s="53">
        <f>IF(Completed!$D$50&lt;&gt;"",Completed!$D$50,"")</f>
        <v>7.5</v>
      </c>
      <c r="X51" s="53">
        <f>IF(Completed!$E$50&lt;&gt;"",Completed!$E$50,"")</f>
        <v>5</v>
      </c>
      <c r="Y51" s="53">
        <f>IF(Completed!$F$50&lt;&gt;"",Completed!$F$50,"")</f>
        <v>9</v>
      </c>
      <c r="Z51" s="64">
        <f>IF(Completed!$G$50&lt;&gt;"",Completed!$G$50,"")</f>
        <v>8.4974874371859297</v>
      </c>
      <c r="AA51" s="74">
        <f>IF(Completed!$H$50&lt;&gt;"",Completed!$H$50,"")</f>
        <v>8.0225323692618122</v>
      </c>
      <c r="AB51" s="54">
        <f>IF(Completed!$I$50&lt;&gt;"",Completed!$I$50,"")</f>
        <v>41485</v>
      </c>
      <c r="AC51" s="54">
        <f>IF(Completed!$J$50&lt;&gt;"",Completed!$J$50,"")</f>
        <v>41491</v>
      </c>
      <c r="AD51" s="65" t="str">
        <f>IF(Completed!$K$50&lt;&gt;"",Completed!$K$50,"")</f>
        <v>Uryuu Minene v2</v>
      </c>
      <c r="AE51" s="65" t="str">
        <f>IF(Completed!$L$50&lt;&gt;"",Completed!$L$50,"")</f>
        <v>Needs a more ballsy MC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IF(Completed!$A$51&lt;&gt;"",Completed!$A$51,"")</f>
        <v>Toaru Majutsu no Index II</v>
      </c>
      <c r="O52" s="28">
        <f>IF(Completed!$B$51&lt;&gt;"",Completed!$B$51,"")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2010C</v>
      </c>
      <c r="U52" s="28" t="str">
        <f ca="1">IF($N$52&lt;&gt;"", INDIRECT("'Tracker'!"&amp;ADDRESS(MATCH($N$52, Tracker[Anime Name], 0) + 2, 8)), "")</f>
        <v>Coalgirls, UTW, Mazui</v>
      </c>
      <c r="V52" s="53">
        <f>IF(Completed!$C$51&lt;&gt;"",Completed!$C$51,"")</f>
        <v>9</v>
      </c>
      <c r="W52" s="53">
        <f>IF(Completed!$D$51&lt;&gt;"",Completed!$D$51,"")</f>
        <v>8</v>
      </c>
      <c r="X52" s="53">
        <f>IF(Completed!$E$51&lt;&gt;"",Completed!$E$51,"")</f>
        <v>4</v>
      </c>
      <c r="Y52" s="53">
        <f>IF(Completed!$F$51&lt;&gt;"",Completed!$F$51,"")</f>
        <v>9</v>
      </c>
      <c r="Z52" s="64">
        <f>IF(Completed!$G$51&lt;&gt;"",Completed!$G$51,"")</f>
        <v>8.4924623115577891</v>
      </c>
      <c r="AA52" s="74">
        <f>IF(Completed!$H$51&lt;&gt;"",Completed!$H$51,"")</f>
        <v>8.0158062888851518</v>
      </c>
      <c r="AB52" s="54">
        <f>IF(Completed!$I$51&lt;&gt;"",Completed!$I$51,"")</f>
        <v>41468</v>
      </c>
      <c r="AC52" s="54">
        <f>IF(Completed!$J$51&lt;&gt;"",Completed!$J$51,"")</f>
        <v>41470</v>
      </c>
      <c r="AD52" s="65" t="str">
        <f>IF(Completed!$K$51&lt;&gt;"",Completed!$K$51,"")</f>
        <v>Misaka Mikoto</v>
      </c>
      <c r="AE52" s="65" t="str">
        <f>IF(Completed!$L$51&lt;&gt;"",Completed!$L$51,"")</f>
        <v>Finale was a bit anticlimactic. S3 is in order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IF(Completed!$A$52&lt;&gt;"",Completed!$A$52,"")</f>
        <v>Mekakucity Actors</v>
      </c>
      <c r="O53" s="28">
        <f>IF(Completed!$B$52&lt;&gt;"",Completed!$B$52,"")</f>
        <v>1</v>
      </c>
      <c r="P53" s="28">
        <f ca="1">IF($N$53&lt;&gt;"", INDIRECT("'Tracker'!"&amp;ADDRESS(MATCH($N$53, Tracker[Anime Name], 0) + 2, 3)), "")</f>
        <v>12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TV</v>
      </c>
      <c r="T53" s="22" t="str">
        <f ca="1">IF($N$53&lt;&gt;"", INDIRECT("'Tracker'!"&amp;ADDRESS(MATCH($N$53, Tracker[Anime Name], 0) + 2, 7)), "")</f>
        <v>2014A</v>
      </c>
      <c r="U53" s="28" t="str">
        <f ca="1">IF($N$53&lt;&gt;"", INDIRECT("'Tracker'!"&amp;ADDRESS(MATCH($N$53, Tracker[Anime Name], 0) + 2, 8)), "")</f>
        <v>HorribleSubs</v>
      </c>
      <c r="V53" s="53">
        <f>IF(Completed!$C$52&lt;&gt;"",Completed!$C$52,"")</f>
        <v>8.5</v>
      </c>
      <c r="W53" s="53">
        <f>IF(Completed!$D$52&lt;&gt;"",Completed!$D$52,"")</f>
        <v>9</v>
      </c>
      <c r="X53" s="53">
        <f>IF(Completed!$E$52&lt;&gt;"",Completed!$E$52,"")</f>
        <v>5.5</v>
      </c>
      <c r="Y53" s="53">
        <f>IF(Completed!$F$52&lt;&gt;"",Completed!$F$52,"")</f>
        <v>8.5</v>
      </c>
      <c r="Z53" s="64">
        <f>IF(Completed!$G$52&lt;&gt;"",Completed!$G$52,"")</f>
        <v>8.4912060301507548</v>
      </c>
      <c r="AA53" s="74">
        <f>IF(Completed!$H$52&lt;&gt;"",Completed!$H$52,"")</f>
        <v>8.0141247687909889</v>
      </c>
      <c r="AB53" s="54">
        <f>IF(Completed!$I$52&lt;&gt;"",Completed!$I$52,"")</f>
        <v>41785</v>
      </c>
      <c r="AC53" s="54">
        <f>IF(Completed!$J$52&lt;&gt;"",Completed!$J$52,"")</f>
        <v>41818</v>
      </c>
      <c r="AD53" s="65" t="str">
        <f>IF(Completed!$K$52&lt;&gt;"",Completed!$K$52,"")</f>
        <v>Ene (Enomoto Takane)</v>
      </c>
      <c r="AE53" s="65" t="str">
        <f>IF(Completed!$L$52&lt;&gt;"",Completed!$L$52,"")</f>
        <v>Plot is a bit confusing to follow, but was a good show overall. Ayano needs more screentime.</v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IF(Completed!$A$53&lt;&gt;"",Completed!$A$53,"")</f>
        <v>Hataraku Maou-sama</v>
      </c>
      <c r="O54" s="28">
        <f>IF(Completed!$B$53&lt;&gt;"",Completed!$B$53,"")</f>
        <v>1</v>
      </c>
      <c r="P54" s="28">
        <f ca="1">IF($N$54&lt;&gt;"", INDIRECT("'Tracker'!"&amp;ADDRESS(MATCH($N$54, Tracker[Anime Name], 0) + 2, 3)), "")</f>
        <v>13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2013A</v>
      </c>
      <c r="U54" s="28" t="str">
        <f ca="1">IF($N$54&lt;&gt;"", INDIRECT("'Tracker'!"&amp;ADDRESS(MATCH($N$54, Tracker[Anime Name], 0) + 2, 8)), "")</f>
        <v>FFF</v>
      </c>
      <c r="V54" s="53">
        <f>IF(Completed!$C$53&lt;&gt;"",Completed!$C$53,"")</f>
        <v>8</v>
      </c>
      <c r="W54" s="53">
        <f>IF(Completed!$D$53&lt;&gt;"",Completed!$D$53,"")</f>
        <v>8.5</v>
      </c>
      <c r="X54" s="53">
        <f>IF(Completed!$E$53&lt;&gt;"",Completed!$E$53,"")</f>
        <v>5</v>
      </c>
      <c r="Y54" s="53">
        <f>IF(Completed!$F$53&lt;&gt;"",Completed!$F$53,"")</f>
        <v>9</v>
      </c>
      <c r="Z54" s="64">
        <f>IF(Completed!$G$53&lt;&gt;"",Completed!$G$53,"")</f>
        <v>8.4912060301507548</v>
      </c>
      <c r="AA54" s="74">
        <f>IF(Completed!$H$53&lt;&gt;"",Completed!$H$53,"")</f>
        <v>8.0141247687909889</v>
      </c>
      <c r="AB54" s="54">
        <f>IF(Completed!$I$53&lt;&gt;"",Completed!$I$53,"")</f>
        <v>41371</v>
      </c>
      <c r="AC54" s="54">
        <f>IF(Completed!$J$53&lt;&gt;"",Completed!$J$53,"")</f>
        <v>41452</v>
      </c>
      <c r="AD54" s="65" t="str">
        <f>IF(Completed!$K$53&lt;&gt;"",Completed!$K$53,"")</f>
        <v>Kamazuki Suzuno</v>
      </c>
      <c r="AE54" s="65" t="str">
        <f>IF(Completed!$L$53&lt;&gt;"",Completed!$L$53,"")</f>
        <v/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IF(Completed!$A$54&lt;&gt;"",Completed!$A$54,"")</f>
        <v>Gochuumon wa Usagi Desu ka?</v>
      </c>
      <c r="O55" s="28">
        <f>IF(Completed!$B$54&lt;&gt;"",Completed!$B$54,"")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TV</v>
      </c>
      <c r="T55" s="22" t="str">
        <f ca="1">IF($N$55&lt;&gt;"", INDIRECT("'Tracker'!"&amp;ADDRESS(MATCH($N$55, Tracker[Anime Name], 0) + 2, 7)), "")</f>
        <v>2014A</v>
      </c>
      <c r="U55" s="28" t="str">
        <f ca="1">IF($N$55&lt;&gt;"", INDIRECT("'Tracker'!"&amp;ADDRESS(MATCH($N$55, Tracker[Anime Name], 0) + 2, 8)), "")</f>
        <v>Vivid, EveTaku</v>
      </c>
      <c r="V55" s="53">
        <f>IF(Completed!$C$54&lt;&gt;"",Completed!$C$54,"")</f>
        <v>4.5</v>
      </c>
      <c r="W55" s="53">
        <f>IF(Completed!$D$54&lt;&gt;"",Completed!$D$54,"")</f>
        <v>9</v>
      </c>
      <c r="X55" s="53">
        <f>IF(Completed!$E$54&lt;&gt;"",Completed!$E$54,"")</f>
        <v>10</v>
      </c>
      <c r="Y55" s="53">
        <f>IF(Completed!$F$54&lt;&gt;"",Completed!$F$54,"")</f>
        <v>9.5</v>
      </c>
      <c r="Z55" s="64">
        <f>IF(Completed!$G$54&lt;&gt;"",Completed!$G$54,"")</f>
        <v>8.4723618090452266</v>
      </c>
      <c r="AA55" s="74">
        <f>IF(Completed!$H$54&lt;&gt;"",Completed!$H$54,"")</f>
        <v>7.9889019673785109</v>
      </c>
      <c r="AB55" s="54">
        <f>IF(Completed!$I$54&lt;&gt;"",Completed!$I$54,"")</f>
        <v>41762</v>
      </c>
      <c r="AC55" s="54">
        <f>IF(Completed!$J$54&lt;&gt;"",Completed!$J$54,"")</f>
        <v>41820</v>
      </c>
      <c r="AD55" s="65" t="str">
        <f>IF(Completed!$K$54&lt;&gt;"",Completed!$K$54,"")</f>
        <v>Kafu Chino</v>
      </c>
      <c r="AE55" s="65" t="str">
        <f>IF(Completed!$L$54&lt;&gt;"",Completed!$L$54,"")</f>
        <v/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IF(Completed!$A$55&lt;&gt;"",Completed!$A$55,"")</f>
        <v>Ryuugajou Nanana no Maizoukin</v>
      </c>
      <c r="O56" s="28">
        <f>IF(Completed!$B$55&lt;&gt;"",Completed!$B$55,"")</f>
        <v>1</v>
      </c>
      <c r="P56" s="28">
        <f ca="1">IF($N$56&lt;&gt;"", INDIRECT("'Tracker'!"&amp;ADDRESS(MATCH($N$56, Tracker[Anime Name], 0) + 2, 3)), "")</f>
        <v>11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TV</v>
      </c>
      <c r="T56" s="22" t="str">
        <f ca="1">IF($N$56&lt;&gt;"", INDIRECT("'Tracker'!"&amp;ADDRESS(MATCH($N$56, Tracker[Anime Name], 0) + 2, 7)), "")</f>
        <v>2014A</v>
      </c>
      <c r="U56" s="28" t="str">
        <f ca="1">IF($N$56&lt;&gt;"", INDIRECT("'Tracker'!"&amp;ADDRESS(MATCH($N$56, Tracker[Anime Name], 0) + 2, 8)), "")</f>
        <v>FFF</v>
      </c>
      <c r="V56" s="53">
        <f>IF(Completed!$C$55&lt;&gt;"",Completed!$C$55,"")</f>
        <v>9</v>
      </c>
      <c r="W56" s="53">
        <f>IF(Completed!$D$55&lt;&gt;"",Completed!$D$55,"")</f>
        <v>8.5</v>
      </c>
      <c r="X56" s="53">
        <f>IF(Completed!$E$55&lt;&gt;"",Completed!$E$55,"")</f>
        <v>5.5</v>
      </c>
      <c r="Y56" s="53">
        <f>IF(Completed!$F$55&lt;&gt;"",Completed!$F$55,"")</f>
        <v>8.5</v>
      </c>
      <c r="Z56" s="64">
        <f>IF(Completed!$G$55&lt;&gt;"",Completed!$G$55,"")</f>
        <v>8.4484924623115578</v>
      </c>
      <c r="AA56" s="74">
        <f>IF(Completed!$H$55&lt;&gt;"",Completed!$H$55,"")</f>
        <v>7.9569530855893724</v>
      </c>
      <c r="AB56" s="54">
        <f>IF(Completed!$I$55&lt;&gt;"",Completed!$I$55,"")</f>
        <v>41786</v>
      </c>
      <c r="AC56" s="54">
        <f>IF(Completed!$J$55&lt;&gt;"",Completed!$J$55,"")</f>
        <v>41812</v>
      </c>
      <c r="AD56" s="65" t="str">
        <f>IF(Completed!$K$55&lt;&gt;"",Completed!$K$55,"")</f>
        <v>Ryuugajou Nanana</v>
      </c>
      <c r="AE56" s="65" t="str">
        <f>IF(Completed!$L$55&lt;&gt;"",Completed!$L$55,"")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IF(Completed!$A$56&lt;&gt;"",Completed!$A$56,"")</f>
        <v>Sakurasou no Pet Na Kanojo</v>
      </c>
      <c r="O57" s="28">
        <f>IF(Completed!$B$56&lt;&gt;"",Completed!$B$56,"")</f>
        <v>1</v>
      </c>
      <c r="P57" s="28">
        <f ca="1">IF($N$57&lt;&gt;"", INDIRECT("'Tracker'!"&amp;ADDRESS(MATCH($N$57, Tracker[Anime Name], 0) + 2, 3)), "")</f>
        <v>24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BD</v>
      </c>
      <c r="T57" s="22" t="str">
        <f ca="1">IF($N$57&lt;&gt;"", INDIRECT("'Tracker'!"&amp;ADDRESS(MATCH($N$57, Tracker[Anime Name], 0) + 2, 7)), "")</f>
        <v>2012C</v>
      </c>
      <c r="U57" s="28" t="str">
        <f ca="1">IF($N$57&lt;&gt;"", INDIRECT("'Tracker'!"&amp;ADDRESS(MATCH($N$57, Tracker[Anime Name], 0) + 2, 8)), "")</f>
        <v>Coalgirls, EveTaku</v>
      </c>
      <c r="V57" s="53">
        <f>IF(Completed!$C$56&lt;&gt;"",Completed!$C$56,"")</f>
        <v>8.5</v>
      </c>
      <c r="W57" s="53">
        <f>IF(Completed!$D$56&lt;&gt;"",Completed!$D$56,"")</f>
        <v>8</v>
      </c>
      <c r="X57" s="53">
        <f>IF(Completed!$E$56&lt;&gt;"",Completed!$E$56,"")</f>
        <v>5</v>
      </c>
      <c r="Y57" s="53">
        <f>IF(Completed!$F$56&lt;&gt;"",Completed!$F$56,"")</f>
        <v>9</v>
      </c>
      <c r="Z57" s="64">
        <f>IF(Completed!$G$56&lt;&gt;"",Completed!$G$56,"")</f>
        <v>8.4484924623115578</v>
      </c>
      <c r="AA57" s="74">
        <f>IF(Completed!$H$56&lt;&gt;"",Completed!$H$56,"")</f>
        <v>7.9569530855893724</v>
      </c>
      <c r="AB57" s="54">
        <f>IF(Completed!$I$56&lt;&gt;"",Completed!$I$56,"")</f>
        <v>41261</v>
      </c>
      <c r="AC57" s="54">
        <f>IF(Completed!$J$56&lt;&gt;"",Completed!$J$56,"")</f>
        <v>41359</v>
      </c>
      <c r="AD57" s="65" t="str">
        <f>IF(Completed!$K$56&lt;&gt;"",Completed!$K$56,"")</f>
        <v>Shiina Mashiro</v>
      </c>
      <c r="AE57" s="65" t="str">
        <f>IF(Completed!$L$56&lt;&gt;"",Completed!$L$56,"")</f>
        <v/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IF(Completed!$A$57&lt;&gt;"",Completed!$A$57,"")</f>
        <v>Noragami</v>
      </c>
      <c r="O58" s="28">
        <f>IF(Completed!$B$57&lt;&gt;"",Completed!$B$57,"")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2013D</v>
      </c>
      <c r="U58" s="28" t="str">
        <f ca="1">IF($N$58&lt;&gt;"", INDIRECT("'Tracker'!"&amp;ADDRESS(MATCH($N$58, Tracker[Anime Name], 0) + 2, 8)), "")</f>
        <v>FFF</v>
      </c>
      <c r="V58" s="53">
        <f>IF(Completed!$C$57&lt;&gt;"",Completed!$C$57,"")</f>
        <v>9</v>
      </c>
      <c r="W58" s="53">
        <f>IF(Completed!$D$57&lt;&gt;"",Completed!$D$57,"")</f>
        <v>8.5</v>
      </c>
      <c r="X58" s="53">
        <f>IF(Completed!$E$57&lt;&gt;"",Completed!$E$57,"")</f>
        <v>5</v>
      </c>
      <c r="Y58" s="53">
        <f>IF(Completed!$F$57&lt;&gt;"",Completed!$F$57,"")</f>
        <v>8.5</v>
      </c>
      <c r="Z58" s="64">
        <f>IF(Completed!$G$57&lt;&gt;"",Completed!$G$57,"")</f>
        <v>8.424623115577889</v>
      </c>
      <c r="AA58" s="74">
        <f>IF(Completed!$H$57&lt;&gt;"",Completed!$H$57,"")</f>
        <v>7.9250042038002348</v>
      </c>
      <c r="AB58" s="54">
        <f>IF(Completed!$I$57&lt;&gt;"",Completed!$I$57,"")</f>
        <v>41647</v>
      </c>
      <c r="AC58" s="54">
        <f>IF(Completed!$J$57&lt;&gt;"",Completed!$J$57,"")</f>
        <v>41726</v>
      </c>
      <c r="AD58" s="65" t="str">
        <f>IF(Completed!$K$57&lt;&gt;"",Completed!$K$57,"")</f>
        <v>Iki Hiyori</v>
      </c>
      <c r="AE58" s="65" t="str">
        <f>IF(Completed!$L$57&lt;&gt;"",Completed!$L$57,"")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IF(Completed!$A$58&lt;&gt;"",Completed!$A$58,"")</f>
        <v>Captain Earth</v>
      </c>
      <c r="O59" s="28">
        <f>IF(Completed!$B$58&lt;&gt;"",Completed!$B$58,"")</f>
        <v>1</v>
      </c>
      <c r="P59" s="28">
        <f ca="1">IF($N$59&lt;&gt;"", INDIRECT("'Tracker'!"&amp;ADDRESS(MATCH($N$59, Tracker[Anime Name], 0) + 2, 3)), "")</f>
        <v>25</v>
      </c>
      <c r="Q59" s="22" t="str">
        <f ca="1">IF($N$59&lt;&gt;"", INDIRECT("'Tracker'!"&amp;ADDRESS(MATCH($N$59, Tracker[Anime Name], 0) + 2, 4)), "")</f>
        <v>B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WhyNot</v>
      </c>
      <c r="V59" s="53">
        <f>IF(Completed!$C$58&lt;&gt;"",Completed!$C$58,"")</f>
        <v>7.5</v>
      </c>
      <c r="W59" s="53">
        <f>IF(Completed!$D$58&lt;&gt;"",Completed!$D$58,"")</f>
        <v>9.5</v>
      </c>
      <c r="X59" s="53">
        <f>IF(Completed!$E$58&lt;&gt;"",Completed!$E$58,"")</f>
        <v>5</v>
      </c>
      <c r="Y59" s="53">
        <f>IF(Completed!$F$58&lt;&gt;"",Completed!$F$58,"")</f>
        <v>8.5</v>
      </c>
      <c r="Z59" s="64">
        <f>IF(Completed!$G$58&lt;&gt;"",Completed!$G$58,"")</f>
        <v>8.4183417085427124</v>
      </c>
      <c r="AA59" s="74">
        <f>IF(Completed!$H$58&lt;&gt;"",Completed!$H$58,"")</f>
        <v>7.9165966033294071</v>
      </c>
      <c r="AB59" s="54">
        <f>IF(Completed!$I$58&lt;&gt;"",Completed!$I$58,"")</f>
        <v>41751</v>
      </c>
      <c r="AC59" s="54">
        <f>IF(Completed!$J$58&lt;&gt;"",Completed!$J$58,"")</f>
        <v>42020</v>
      </c>
      <c r="AD59" s="65" t="str">
        <f>IF(Completed!$K$58&lt;&gt;"",Completed!$K$58,"")</f>
        <v>Yomatsuri Akari</v>
      </c>
      <c r="AE59" s="65" t="str">
        <f>IF(Completed!$L$58&lt;&gt;"",Completed!$L$58,"")</f>
        <v>Would have been amazing had the story been a little better written</v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IF(Completed!$A$59&lt;&gt;"",Completed!$A$59,"")</f>
        <v>K-On!!</v>
      </c>
      <c r="O60" s="28">
        <f>IF(Completed!$B$59&lt;&gt;"",Completed!$B$59,"")</f>
        <v>2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2010A</v>
      </c>
      <c r="U60" s="28" t="str">
        <f ca="1">IF($N$60&lt;&gt;"", INDIRECT("'Tracker'!"&amp;ADDRESS(MATCH($N$60, Tracker[Anime Name], 0) + 2, 8)), "")</f>
        <v>Elysium</v>
      </c>
      <c r="V60" s="53">
        <f>IF(Completed!$C$59&lt;&gt;"",Completed!$C$59,"")</f>
        <v>6.5</v>
      </c>
      <c r="W60" s="53">
        <f>IF(Completed!$D$59&lt;&gt;"",Completed!$D$59,"")</f>
        <v>7.5</v>
      </c>
      <c r="X60" s="53">
        <f>IF(Completed!$E$59&lt;&gt;"",Completed!$E$59,"")</f>
        <v>9</v>
      </c>
      <c r="Y60" s="53">
        <f>IF(Completed!$F$59&lt;&gt;"",Completed!$F$59,"")</f>
        <v>9.5</v>
      </c>
      <c r="Z60" s="64">
        <f>IF(Completed!$G$59&lt;&gt;"",Completed!$G$59,"")</f>
        <v>8.3881909547738704</v>
      </c>
      <c r="AA60" s="74">
        <f>IF(Completed!$H$59&lt;&gt;"",Completed!$H$59,"")</f>
        <v>7.8762401210694479</v>
      </c>
      <c r="AB60" s="54">
        <f>IF(Completed!$I$59&lt;&gt;"",Completed!$I$59,"")</f>
        <v>41338</v>
      </c>
      <c r="AC60" s="54">
        <f>IF(Completed!$J$59&lt;&gt;"",Completed!$J$59,"")</f>
        <v>41340</v>
      </c>
      <c r="AD60" s="65" t="str">
        <f>IF(Completed!$K$59&lt;&gt;"",Completed!$K$59,"")</f>
        <v>Nakano Azusa</v>
      </c>
      <c r="AE60" s="65" t="str">
        <f>IF(Completed!$L$59&lt;&gt;"",Completed!$L$59,"")</f>
        <v>Deserves more than what it gets called online</v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IF(Completed!$A$60&lt;&gt;"",Completed!$A$60,"")</f>
        <v>Kyoukai no Kanata</v>
      </c>
      <c r="O61" s="28">
        <f>IF(Completed!$B$60&lt;&gt;"",Completed!$B$60,"")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2013C</v>
      </c>
      <c r="U61" s="28" t="str">
        <f ca="1">IF($N$61&lt;&gt;"", INDIRECT("'Tracker'!"&amp;ADDRESS(MATCH($N$61, Tracker[Anime Name], 0) + 2, 8)), "")</f>
        <v>UTW</v>
      </c>
      <c r="V61" s="53">
        <f>IF(Completed!$C$60&lt;&gt;"",Completed!$C$60,"")</f>
        <v>8.5</v>
      </c>
      <c r="W61" s="53">
        <f>IF(Completed!$D$60&lt;&gt;"",Completed!$D$60,"")</f>
        <v>8.5</v>
      </c>
      <c r="X61" s="53">
        <f>IF(Completed!$E$60&lt;&gt;"",Completed!$E$60,"")</f>
        <v>6</v>
      </c>
      <c r="Y61" s="53">
        <f>IF(Completed!$F$60&lt;&gt;"",Completed!$F$60,"")</f>
        <v>8.5</v>
      </c>
      <c r="Z61" s="64">
        <f>IF(Completed!$G$60&lt;&gt;"",Completed!$G$60,"")</f>
        <v>8.3806532663316595</v>
      </c>
      <c r="AA61" s="74">
        <f>IF(Completed!$H$60&lt;&gt;"",Completed!$H$60,"")</f>
        <v>7.8661510005044573</v>
      </c>
      <c r="AB61" s="54">
        <f>IF(Completed!$I$60&lt;&gt;"",Completed!$I$60,"")</f>
        <v>41550</v>
      </c>
      <c r="AC61" s="54">
        <f>IF(Completed!$J$60&lt;&gt;"",Completed!$J$60,"")</f>
        <v>41628</v>
      </c>
      <c r="AD61" s="65" t="str">
        <f>IF(Completed!$K$60&lt;&gt;"",Completed!$K$60,"")</f>
        <v>Ai</v>
      </c>
      <c r="AE61" s="65" t="str">
        <f>IF(Completed!$L$60&lt;&gt;"",Completed!$L$60,"")</f>
        <v>KyoAni action scenes are cool</v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IF(Completed!$A$61&lt;&gt;"",Completed!$A$61,"")</f>
        <v>Lucky ★ Star</v>
      </c>
      <c r="O62" s="28">
        <f>IF(Completed!$B$61&lt;&gt;"",Completed!$B$61,"")</f>
        <v>1</v>
      </c>
      <c r="P62" s="28">
        <f ca="1">IF($N$62&lt;&gt;"", INDIRECT("'Tracker'!"&amp;ADDRESS(MATCH($N$62, Tracker[Anime Name], 0) + 2, 3)), "")</f>
        <v>24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BD</v>
      </c>
      <c r="T62" s="22" t="str">
        <f ca="1">IF($N$62&lt;&gt;"", INDIRECT("'Tracker'!"&amp;ADDRESS(MATCH($N$62, Tracker[Anime Name], 0) + 2, 7)), "")</f>
        <v>2007A</v>
      </c>
      <c r="U62" s="28" t="str">
        <f ca="1">IF($N$62&lt;&gt;"", INDIRECT("'Tracker'!"&amp;ADDRESS(MATCH($N$62, Tracker[Anime Name], 0) + 2, 8)), "")</f>
        <v>Doki</v>
      </c>
      <c r="V62" s="53">
        <f>IF(Completed!$C$61&lt;&gt;"",Completed!$C$61,"")</f>
        <v>4</v>
      </c>
      <c r="W62" s="53">
        <f>IF(Completed!$D$61&lt;&gt;"",Completed!$D$61,"")</f>
        <v>9</v>
      </c>
      <c r="X62" s="53">
        <f>IF(Completed!$E$61&lt;&gt;"",Completed!$E$61,"")</f>
        <v>10</v>
      </c>
      <c r="Y62" s="53">
        <f>IF(Completed!$F$61&lt;&gt;"",Completed!$F$61,"")</f>
        <v>9.5</v>
      </c>
      <c r="Z62" s="64">
        <f>IF(Completed!$G$61&lt;&gt;"",Completed!$G$61,"")</f>
        <v>8.3806532663316595</v>
      </c>
      <c r="AA62" s="74">
        <f>IF(Completed!$H$61&lt;&gt;"",Completed!$H$61,"")</f>
        <v>7.8661510005044573</v>
      </c>
      <c r="AB62" s="54">
        <f>IF(Completed!$I$61&lt;&gt;"",Completed!$I$61,"")</f>
        <v>41300</v>
      </c>
      <c r="AC62" s="54">
        <f>IF(Completed!$J$61&lt;&gt;"",Completed!$J$61,"")</f>
        <v>41302</v>
      </c>
      <c r="AD62" s="65" t="str">
        <f>IF(Completed!$K$61&lt;&gt;"",Completed!$K$61,"")</f>
        <v>Hiiragi Kagami</v>
      </c>
      <c r="AE62" s="65" t="str">
        <f>IF(Completed!$L$61&lt;&gt;"",Completed!$L$61,"")</f>
        <v>Much better than I thought it would be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IF(Completed!$A$62&lt;&gt;"",Completed!$A$62,"")</f>
        <v>Maoyuu Maou Yuusha</v>
      </c>
      <c r="O63" s="28">
        <f>IF(Completed!$B$62&lt;&gt;"",Completed!$B$62,"")</f>
        <v>1</v>
      </c>
      <c r="P63" s="28">
        <f ca="1">IF($N$63&lt;&gt;"", INDIRECT("'Tracker'!"&amp;ADDRESS(MATCH($N$63, Tracker[Anime Name], 0) + 2, 3)), "")</f>
        <v>12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2012D</v>
      </c>
      <c r="U63" s="28" t="str">
        <f ca="1">IF($N$63&lt;&gt;"", INDIRECT("'Tracker'!"&amp;ADDRESS(MATCH($N$63, Tracker[Anime Name], 0) + 2, 8)), "")</f>
        <v>AnimeNOW</v>
      </c>
      <c r="V63" s="53">
        <f>IF(Completed!$C$62&lt;&gt;"",Completed!$C$62,"")</f>
        <v>9</v>
      </c>
      <c r="W63" s="53">
        <f>IF(Completed!$D$62&lt;&gt;"",Completed!$D$62,"")</f>
        <v>8.5</v>
      </c>
      <c r="X63" s="53">
        <f>IF(Completed!$E$62&lt;&gt;"",Completed!$E$62,"")</f>
        <v>3</v>
      </c>
      <c r="Y63" s="53">
        <f>IF(Completed!$F$62&lt;&gt;"",Completed!$F$62,"")</f>
        <v>8.5</v>
      </c>
      <c r="Z63" s="64">
        <f>IF(Completed!$G$62&lt;&gt;"",Completed!$G$62,"")</f>
        <v>8.3291457286432156</v>
      </c>
      <c r="AA63" s="74">
        <f>IF(Completed!$H$62&lt;&gt;"",Completed!$H$62,"")</f>
        <v>7.7972086766436846</v>
      </c>
      <c r="AB63" s="54">
        <f>IF(Completed!$I$62&lt;&gt;"",Completed!$I$62,"")</f>
        <v>41411</v>
      </c>
      <c r="AC63" s="54">
        <f>IF(Completed!$J$62&lt;&gt;"",Completed!$J$62,"")</f>
        <v>41413</v>
      </c>
      <c r="AD63" s="65" t="str">
        <f>IF(Completed!$K$62&lt;&gt;"",Completed!$K$62,"")</f>
        <v>Onna Mahoutsukai</v>
      </c>
      <c r="AE63" s="65" t="str">
        <f>IF(Completed!$L$62&lt;&gt;"",Completed!$L$62,"")</f>
        <v/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IF(Completed!$A$63&lt;&gt;"",Completed!$A$63,"")</f>
        <v>Boku wa Tomodachi ga Sukunai NEXT</v>
      </c>
      <c r="O64" s="28">
        <f>IF(Completed!$B$63&lt;&gt;"",Completed!$B$63,"")</f>
        <v>2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2012D</v>
      </c>
      <c r="U64" s="28" t="str">
        <f ca="1">IF($N$64&lt;&gt;"", INDIRECT("'Tracker'!"&amp;ADDRESS(MATCH($N$64, Tracker[Anime Name], 0) + 2, 8)), "")</f>
        <v>Mazui</v>
      </c>
      <c r="V64" s="53">
        <f>IF(Completed!$C$63&lt;&gt;"",Completed!$C$63,"")</f>
        <v>9</v>
      </c>
      <c r="W64" s="53">
        <f>IF(Completed!$D$63&lt;&gt;"",Completed!$D$63,"")</f>
        <v>8</v>
      </c>
      <c r="X64" s="53">
        <f>IF(Completed!$E$63&lt;&gt;"",Completed!$E$63,"")</f>
        <v>5.5</v>
      </c>
      <c r="Y64" s="53">
        <f>IF(Completed!$F$63&lt;&gt;"",Completed!$F$63,"")</f>
        <v>8.5</v>
      </c>
      <c r="Z64" s="64">
        <f>IF(Completed!$G$63&lt;&gt;"",Completed!$G$63,"")</f>
        <v>8.3140703517587955</v>
      </c>
      <c r="AA64" s="74">
        <f>IF(Completed!$H$63&lt;&gt;"",Completed!$H$63,"")</f>
        <v>7.7770304355137059</v>
      </c>
      <c r="AB64" s="54">
        <f>IF(Completed!$I$63&lt;&gt;"",Completed!$I$63,"")</f>
        <v>41633</v>
      </c>
      <c r="AC64" s="54">
        <f>IF(Completed!$J$63&lt;&gt;"",Completed!$J$63,"")</f>
        <v>41635</v>
      </c>
      <c r="AD64" s="65" t="str">
        <f>IF(Completed!$K$63&lt;&gt;"",Completed!$K$63,"")</f>
        <v>Shiguma Rika</v>
      </c>
      <c r="AE64" s="65" t="str">
        <f>IF(Completed!$L$63&lt;&gt;"",Completed!$L$63,"")</f>
        <v>Evolved from a harem anime to a pretty well-written romcom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IF(Completed!$A$64&lt;&gt;"",Completed!$A$64,"")</f>
        <v>Monogatari Series Season 2</v>
      </c>
      <c r="O65" s="28">
        <f>IF(Completed!$B$64&lt;&gt;"",Completed!$B$64,"")</f>
        <v>2</v>
      </c>
      <c r="P65" s="28">
        <f ca="1">IF($N$65&lt;&gt;"", INDIRECT("'Tracker'!"&amp;ADDRESS(MATCH($N$65, Tracker[Anime Name], 0) + 2, 3)), "")</f>
        <v>26</v>
      </c>
      <c r="Q65" s="22" t="str">
        <f ca="1">IF($N$65&lt;&gt;"", INDIRECT("'Tracker'!"&amp;ADDRESS(MATCH($N$65, Tracker[Anime Name], 0) + 2, 4)), "")</f>
        <v>A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2013B</v>
      </c>
      <c r="U65" s="28" t="str">
        <f ca="1">IF($N$65&lt;&gt;"", INDIRECT("'Tracker'!"&amp;ADDRESS(MATCH($N$65, Tracker[Anime Name], 0) + 2, 8)), "")</f>
        <v>HorribleSubs</v>
      </c>
      <c r="V65" s="53">
        <f>IF(Completed!$C$64&lt;&gt;"",Completed!$C$64,"")</f>
        <v>9</v>
      </c>
      <c r="W65" s="53">
        <f>IF(Completed!$D$64&lt;&gt;"",Completed!$D$64,"")</f>
        <v>8</v>
      </c>
      <c r="X65" s="53">
        <f>IF(Completed!$E$64&lt;&gt;"",Completed!$E$64,"")</f>
        <v>5.5</v>
      </c>
      <c r="Y65" s="53">
        <f>IF(Completed!$F$64&lt;&gt;"",Completed!$F$64,"")</f>
        <v>8.5</v>
      </c>
      <c r="Z65" s="64">
        <f>IF(Completed!$G$64&lt;&gt;"",Completed!$G$64,"")</f>
        <v>8.3140703517587955</v>
      </c>
      <c r="AA65" s="74">
        <f>IF(Completed!$H$64&lt;&gt;"",Completed!$H$64,"")</f>
        <v>7.7770304355137059</v>
      </c>
      <c r="AB65" s="54">
        <f>IF(Completed!$I$64&lt;&gt;"",Completed!$I$64,"")</f>
        <v>41461</v>
      </c>
      <c r="AC65" s="54">
        <f>IF(Completed!$J$64&lt;&gt;"",Completed!$J$64,"")</f>
        <v>41638</v>
      </c>
      <c r="AD65" s="65" t="str">
        <f>IF(Completed!$K$64&lt;&gt;"",Completed!$K$64,"")</f>
        <v>Oshino Shinobu</v>
      </c>
      <c r="AE65" s="65" t="str">
        <f>IF(Completed!$L$64&lt;&gt;"",Completed!$L$64,"")</f>
        <v>Kaiki is true best girl though.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IF(Completed!$A$65&lt;&gt;"",Completed!$A$65,"")</f>
        <v>Toaru Majutsu no Index</v>
      </c>
      <c r="O66" s="28">
        <f>IF(Completed!$B$65&lt;&gt;"",Completed!$B$65,"")</f>
        <v>1</v>
      </c>
      <c r="P66" s="28">
        <f ca="1">IF($N$66&lt;&gt;"", INDIRECT("'Tracker'!"&amp;ADDRESS(MATCH($N$66, Tracker[Anime Name], 0) + 2, 3)), "")</f>
        <v>24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2008C</v>
      </c>
      <c r="U66" s="28" t="str">
        <f ca="1">IF($N$66&lt;&gt;"", INDIRECT("'Tracker'!"&amp;ADDRESS(MATCH($N$66, Tracker[Anime Name], 0) + 2, 8)), "")</f>
        <v>Coalgirls, Eclipse</v>
      </c>
      <c r="V66" s="53">
        <f>IF(Completed!$C$65&lt;&gt;"",Completed!$C$65,"")</f>
        <v>8.5</v>
      </c>
      <c r="W66" s="53">
        <f>IF(Completed!$D$65&lt;&gt;"",Completed!$D$65,"")</f>
        <v>7.5</v>
      </c>
      <c r="X66" s="53">
        <f>IF(Completed!$E$65&lt;&gt;"",Completed!$E$65,"")</f>
        <v>5</v>
      </c>
      <c r="Y66" s="53">
        <f>IF(Completed!$F$65&lt;&gt;"",Completed!$F$65,"")</f>
        <v>9</v>
      </c>
      <c r="Z66" s="64">
        <f>IF(Completed!$G$65&lt;&gt;"",Completed!$G$65,"")</f>
        <v>8.3140703517587955</v>
      </c>
      <c r="AA66" s="74">
        <f>IF(Completed!$H$65&lt;&gt;"",Completed!$H$65,"")</f>
        <v>7.7770304355137059</v>
      </c>
      <c r="AB66" s="54">
        <f>IF(Completed!$I$65&lt;&gt;"",Completed!$I$65,"")</f>
        <v>41431</v>
      </c>
      <c r="AC66" s="54">
        <f>IF(Completed!$J$65&lt;&gt;"",Completed!$J$65,"")</f>
        <v>41436</v>
      </c>
      <c r="AD66" s="65" t="str">
        <f>IF(Completed!$K$65&lt;&gt;"",Completed!$K$65,"")</f>
        <v>Misaka Mikoto</v>
      </c>
      <c r="AE66" s="65" t="str">
        <f>IF(Completed!$L$65&lt;&gt;"",Completed!$L$65,"")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IF(Completed!$A$66&lt;&gt;"",Completed!$A$66,"")</f>
        <v>Nisekoi</v>
      </c>
      <c r="O67" s="28">
        <f>IF(Completed!$B$66&lt;&gt;"",Completed!$B$66,"")</f>
        <v>1</v>
      </c>
      <c r="P67" s="28">
        <f ca="1">IF($N$67&lt;&gt;"", INDIRECT("'Tracker'!"&amp;ADDRESS(MATCH($N$67, Tracker[Anime Name], 0) + 2, 3)), "")</f>
        <v>20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2013D</v>
      </c>
      <c r="U67" s="28" t="str">
        <f ca="1">IF($N$67&lt;&gt;"", INDIRECT("'Tracker'!"&amp;ADDRESS(MATCH($N$67, Tracker[Anime Name], 0) + 2, 8)), "")</f>
        <v>FFF</v>
      </c>
      <c r="V67" s="53">
        <f>IF(Completed!$C$66&lt;&gt;"",Completed!$C$66,"")</f>
        <v>8.5</v>
      </c>
      <c r="W67" s="53">
        <f>IF(Completed!$D$66&lt;&gt;"",Completed!$D$66,"")</f>
        <v>9</v>
      </c>
      <c r="X67" s="53">
        <f>IF(Completed!$E$66&lt;&gt;"",Completed!$E$66,"")</f>
        <v>7</v>
      </c>
      <c r="Y67" s="53">
        <f>IF(Completed!$F$66&lt;&gt;"",Completed!$F$66,"")</f>
        <v>8</v>
      </c>
      <c r="Z67" s="64">
        <f>IF(Completed!$G$66&lt;&gt;"",Completed!$G$66,"")</f>
        <v>8.3128140703517595</v>
      </c>
      <c r="AA67" s="74">
        <f>IF(Completed!$H$66&lt;&gt;"",Completed!$H$66,"")</f>
        <v>7.7753489154195394</v>
      </c>
      <c r="AB67" s="54">
        <f>IF(Completed!$I$66&lt;&gt;"",Completed!$I$66,"")</f>
        <v>41652</v>
      </c>
      <c r="AC67" s="54">
        <f>IF(Completed!$J$66&lt;&gt;"",Completed!$J$66,"")</f>
        <v>41824</v>
      </c>
      <c r="AD67" s="65" t="str">
        <f>IF(Completed!$K$66&lt;&gt;"",Completed!$K$66,"")</f>
        <v>Kirisaki Chitoge</v>
      </c>
      <c r="AE67" s="65" t="str">
        <f>IF(Completed!$L$66&lt;&gt;"",Completed!$L$66,"")</f>
        <v/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IF(Completed!$A$67&lt;&gt;"",Completed!$A$67,"")</f>
        <v>Hentai Ouji to Warawanai Neko</v>
      </c>
      <c r="O68" s="28">
        <f>IF(Completed!$B$67&lt;&gt;"",Completed!$B$67,"")</f>
        <v>1</v>
      </c>
      <c r="P68" s="28">
        <f ca="1">IF($N$68&lt;&gt;"", INDIRECT("'Tracker'!"&amp;ADDRESS(MATCH($N$68, Tracker[Anime Name], 0) + 2, 3)), "")</f>
        <v>13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1080p</v>
      </c>
      <c r="S68" s="22" t="str">
        <f ca="1">IF($N$68&lt;&gt;"", INDIRECT("'Tracker'!"&amp;ADDRESS(MATCH($N$68, Tracker[Anime Name], 0) + 2, 6)), "")</f>
        <v>BD</v>
      </c>
      <c r="T68" s="22" t="str">
        <f ca="1">IF($N$68&lt;&gt;"", INDIRECT("'Tracker'!"&amp;ADDRESS(MATCH($N$68, Tracker[Anime Name], 0) + 2, 7)), "")</f>
        <v>2013A</v>
      </c>
      <c r="U68" s="28" t="str">
        <f ca="1">IF($N$68&lt;&gt;"", INDIRECT("'Tracker'!"&amp;ADDRESS(MATCH($N$68, Tracker[Anime Name], 0) + 2, 8)), "")</f>
        <v>Doki</v>
      </c>
      <c r="V68" s="53">
        <f>IF(Completed!$C$67&lt;&gt;"",Completed!$C$67,"")</f>
        <v>7</v>
      </c>
      <c r="W68" s="53">
        <f>IF(Completed!$D$67&lt;&gt;"",Completed!$D$67,"")</f>
        <v>8.5</v>
      </c>
      <c r="X68" s="53">
        <f>IF(Completed!$E$67&lt;&gt;"",Completed!$E$67,"")</f>
        <v>10</v>
      </c>
      <c r="Y68" s="53">
        <f>IF(Completed!$F$67&lt;&gt;"",Completed!$F$67,"")</f>
        <v>8.5</v>
      </c>
      <c r="Z68" s="64">
        <f>IF(Completed!$G$67&lt;&gt;"",Completed!$G$67,"")</f>
        <v>8.2964824120602998</v>
      </c>
      <c r="AA68" s="74">
        <f>IF(Completed!$H$67&lt;&gt;"",Completed!$H$67,"")</f>
        <v>7.7534891541953899</v>
      </c>
      <c r="AB68" s="54">
        <f>IF(Completed!$I$67&lt;&gt;"",Completed!$I$67,"")</f>
        <v>41378</v>
      </c>
      <c r="AC68" s="54">
        <f>IF(Completed!$J$67&lt;&gt;"",Completed!$J$67,"")</f>
        <v>41454</v>
      </c>
      <c r="AD68" s="65" t="str">
        <f>IF(Completed!$K$67&lt;&gt;"",Completed!$K$67,"")</f>
        <v>Tsutsukakushi Tsukiko</v>
      </c>
      <c r="AE68" s="65" t="str">
        <f>IF(Completed!$L$67&lt;&gt;"",Completed!$L$67,"")</f>
        <v/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IF(Completed!$A$68&lt;&gt;"",Completed!$A$68,"")</f>
        <v>Hyouka</v>
      </c>
      <c r="O69" s="28">
        <f>IF(Completed!$B$68&lt;&gt;"",Completed!$B$68,"")</f>
        <v>1</v>
      </c>
      <c r="P69" s="28">
        <f ca="1">IF($N$69&lt;&gt;"", INDIRECT("'Tracker'!"&amp;ADDRESS(MATCH($N$69, Tracker[Anime Name], 0) + 2, 3)), "")</f>
        <v>22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2012A</v>
      </c>
      <c r="U69" s="28" t="str">
        <f ca="1">IF($N$69&lt;&gt;"", INDIRECT("'Tracker'!"&amp;ADDRESS(MATCH($N$69, Tracker[Anime Name], 0) + 2, 8)), "")</f>
        <v>Coalgirls, Mazui</v>
      </c>
      <c r="V69" s="53">
        <f>IF(Completed!$C$68&lt;&gt;"",Completed!$C$68,"")</f>
        <v>9</v>
      </c>
      <c r="W69" s="53">
        <f>IF(Completed!$D$68&lt;&gt;"",Completed!$D$68,"")</f>
        <v>8</v>
      </c>
      <c r="X69" s="53">
        <f>IF(Completed!$E$68&lt;&gt;"",Completed!$E$68,"")</f>
        <v>5</v>
      </c>
      <c r="Y69" s="53">
        <f>IF(Completed!$F$68&lt;&gt;"",Completed!$F$68,"")</f>
        <v>8.5</v>
      </c>
      <c r="Z69" s="64">
        <f>IF(Completed!$G$68&lt;&gt;"",Completed!$G$68,"")</f>
        <v>8.2902010050251267</v>
      </c>
      <c r="AA69" s="74">
        <f>IF(Completed!$H$68&lt;&gt;"",Completed!$H$68,"")</f>
        <v>7.7450815537245683</v>
      </c>
      <c r="AB69" s="54">
        <f>IF(Completed!$I$68&lt;&gt;"",Completed!$I$68,"")</f>
        <v>41424</v>
      </c>
      <c r="AC69" s="54">
        <f>IF(Completed!$J$68&lt;&gt;"",Completed!$J$68,"")</f>
        <v>41430</v>
      </c>
      <c r="AD69" s="65" t="str">
        <f>IF(Completed!$K$68&lt;&gt;"",Completed!$K$68,"")</f>
        <v>Eru Chitanda</v>
      </c>
      <c r="AE69" s="65" t="str">
        <f>IF(Completed!$L$68&lt;&gt;"",Completed!$L$68,"")</f>
        <v>Nicely written mysteries</v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IF(Completed!$A$69&lt;&gt;"",Completed!$A$69,"")</f>
        <v>Ore no Imouto ga Konna ni Kawaii Wake ga Nai.</v>
      </c>
      <c r="O70" s="28">
        <f>IF(Completed!$B$69&lt;&gt;"",Completed!$B$69,"")</f>
        <v>2</v>
      </c>
      <c r="P70" s="28">
        <f ca="1">IF($N$70&lt;&gt;"", INDIRECT("'Tracker'!"&amp;ADDRESS(MATCH($N$70, Tracker[Anime Name], 0) + 2, 3)), "")</f>
        <v>16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1080p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2013A</v>
      </c>
      <c r="U70" s="28" t="str">
        <f ca="1">IF($N$70&lt;&gt;"", INDIRECT("'Tracker'!"&amp;ADDRESS(MATCH($N$70, Tracker[Anime Name], 0) + 2, 8)), "")</f>
        <v>Coalgirls, EveTaku</v>
      </c>
      <c r="V70" s="53">
        <f>IF(Completed!$C$69&lt;&gt;"",Completed!$C$69,"")</f>
        <v>8.5</v>
      </c>
      <c r="W70" s="53">
        <f>IF(Completed!$D$69&lt;&gt;"",Completed!$D$69,"")</f>
        <v>8</v>
      </c>
      <c r="X70" s="53">
        <f>IF(Completed!$E$69&lt;&gt;"",Completed!$E$69,"")</f>
        <v>5.5</v>
      </c>
      <c r="Y70" s="53">
        <f>IF(Completed!$F$69&lt;&gt;"",Completed!$F$69,"")</f>
        <v>8.5</v>
      </c>
      <c r="Z70" s="64">
        <f>IF(Completed!$G$69&lt;&gt;"",Completed!$G$69,"")</f>
        <v>8.2223618090452266</v>
      </c>
      <c r="AA70" s="74">
        <f>IF(Completed!$H$69&lt;&gt;"",Completed!$H$69,"")</f>
        <v>7.6542794686396505</v>
      </c>
      <c r="AB70" s="54">
        <f>IF(Completed!$I$69&lt;&gt;"",Completed!$I$69,"")</f>
        <v>41370</v>
      </c>
      <c r="AC70" s="54">
        <f>IF(Completed!$J$69&lt;&gt;"",Completed!$J$69,"")</f>
        <v>41512</v>
      </c>
      <c r="AD70" s="65" t="str">
        <f>IF(Completed!$K$69&lt;&gt;"",Completed!$K$69,"")</f>
        <v>Aragaki Ayase-tan</v>
      </c>
      <c r="AE70" s="65" t="str">
        <f>IF(Completed!$L$69&lt;&gt;"",Completed!$L$69,"")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IF(Completed!$A$70&lt;&gt;"",Completed!$A$70,"")</f>
        <v>Space ☆ Dandy 2</v>
      </c>
      <c r="O71" s="28">
        <f>IF(Completed!$B$70&lt;&gt;"",Completed!$B$70,"")</f>
        <v>2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2014B</v>
      </c>
      <c r="U71" s="28" t="str">
        <f ca="1">IF($N$71&lt;&gt;"", INDIRECT("'Tracker'!"&amp;ADDRESS(MATCH($N$71, Tracker[Anime Name], 0) + 2, 8)), "")</f>
        <v>HorribleSubs</v>
      </c>
      <c r="V71" s="53">
        <f>IF(Completed!$C$70&lt;&gt;"",Completed!$C$70,"")</f>
        <v>7</v>
      </c>
      <c r="W71" s="53">
        <f>IF(Completed!$D$70&lt;&gt;"",Completed!$D$70,"")</f>
        <v>8</v>
      </c>
      <c r="X71" s="53">
        <f>IF(Completed!$E$70&lt;&gt;"",Completed!$E$70,"")</f>
        <v>6</v>
      </c>
      <c r="Y71" s="53">
        <f>IF(Completed!$F$70&lt;&gt;"",Completed!$F$70,"")</f>
        <v>9</v>
      </c>
      <c r="Z71" s="64">
        <f>IF(Completed!$G$70&lt;&gt;"",Completed!$G$70,"")</f>
        <v>8.2211055276381906</v>
      </c>
      <c r="AA71" s="74">
        <f>IF(Completed!$H$70&lt;&gt;"",Completed!$H$70,"")</f>
        <v>7.652597948545484</v>
      </c>
      <c r="AB71" s="54">
        <f>IF(Completed!$I$70&lt;&gt;"",Completed!$I$70,"")</f>
        <v>41837</v>
      </c>
      <c r="AC71" s="54">
        <f>IF(Completed!$J$70&lt;&gt;"",Completed!$J$70,"")</f>
        <v>42021</v>
      </c>
      <c r="AD71" s="65" t="str">
        <f>IF(Completed!$K$70&lt;&gt;"",Completed!$K$70,"")</f>
        <v>Scarlet</v>
      </c>
      <c r="AE71" s="65" t="str">
        <f>IF(Completed!$L$70&lt;&gt;"",Completed!$L$70,"")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IF(Completed!$A$71&lt;&gt;"",Completed!$A$71,"")</f>
        <v>Free! Eternal Summer</v>
      </c>
      <c r="O72" s="28">
        <f>IF(Completed!$B$71&lt;&gt;"",Completed!$B$71,"")</f>
        <v>2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A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TV</v>
      </c>
      <c r="T72" s="22" t="str">
        <f ca="1">IF($N$72&lt;&gt;"", INDIRECT("'Tracker'!"&amp;ADDRESS(MATCH($N$72, Tracker[Anime Name], 0) + 2, 7)), "")</f>
        <v>2014B</v>
      </c>
      <c r="U72" s="28" t="str">
        <f ca="1">IF($N$72&lt;&gt;"", INDIRECT("'Tracker'!"&amp;ADDRESS(MATCH($N$72, Tracker[Anime Name], 0) + 2, 8)), "")</f>
        <v>WhyNot</v>
      </c>
      <c r="V72" s="53">
        <f>IF(Completed!$C$71&lt;&gt;"",Completed!$C$71,"")</f>
        <v>8.5</v>
      </c>
      <c r="W72" s="53">
        <f>IF(Completed!$D$71&lt;&gt;"",Completed!$D$71,"")</f>
        <v>8</v>
      </c>
      <c r="X72" s="53">
        <f>IF(Completed!$E$71&lt;&gt;"",Completed!$E$71,"")</f>
        <v>5</v>
      </c>
      <c r="Y72" s="53">
        <f>IF(Completed!$F$71&lt;&gt;"",Completed!$F$71,"")</f>
        <v>8.5</v>
      </c>
      <c r="Z72" s="64">
        <f>IF(Completed!$G$71&lt;&gt;"",Completed!$G$71,"")</f>
        <v>8.198492462311556</v>
      </c>
      <c r="AA72" s="74">
        <f>IF(Completed!$H$71&lt;&gt;"",Completed!$H$71,"")</f>
        <v>7.6223305868505102</v>
      </c>
      <c r="AB72" s="54">
        <f>IF(Completed!$I$71&lt;&gt;"",Completed!$I$71,"")</f>
        <v>41827</v>
      </c>
      <c r="AC72" s="54">
        <f>IF(Completed!$J$71&lt;&gt;"",Completed!$J$71,"")</f>
        <v>42022</v>
      </c>
      <c r="AD72" s="65" t="str">
        <f>IF(Completed!$K$71&lt;&gt;"",Completed!$K$71,"")</f>
        <v>Matsuoka Rin</v>
      </c>
      <c r="AE72" s="65" t="str">
        <f>IF(Completed!$L$71&lt;&gt;"",Completed!$L$71,"")</f>
        <v/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IF(Completed!$A$72&lt;&gt;"",Completed!$A$72,"")</f>
        <v>Puella Magi Madoka Magica</v>
      </c>
      <c r="O73" s="28">
        <f>IF(Completed!$B$72&lt;&gt;"",Completed!$B$72,"")</f>
        <v>1</v>
      </c>
      <c r="P73" s="28">
        <f ca="1">IF($N$73&lt;&gt;"", INDIRECT("'Tracker'!"&amp;ADDRESS(MATCH($N$73, Tracker[Anime Name], 0) + 2, 3)), "")</f>
        <v>12</v>
      </c>
      <c r="Q73" s="22" t="str">
        <f ca="1">IF($N$73&lt;&gt;"", INDIRECT("'Tracker'!"&amp;ADDRESS(MATCH($N$73, Tracker[Anime Name], 0) + 2, 4)), "")</f>
        <v>B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2010D</v>
      </c>
      <c r="U73" s="28" t="str">
        <f ca="1">IF($N$73&lt;&gt;"", INDIRECT("'Tracker'!"&amp;ADDRESS(MATCH($N$73, Tracker[Anime Name], 0) + 2, 8)), "")</f>
        <v>Doki</v>
      </c>
      <c r="V73" s="53">
        <f>IF(Completed!$C$72&lt;&gt;"",Completed!$C$72,"")</f>
        <v>9</v>
      </c>
      <c r="W73" s="53">
        <f>IF(Completed!$D$72&lt;&gt;"",Completed!$D$72,"")</f>
        <v>7.5</v>
      </c>
      <c r="X73" s="53">
        <f>IF(Completed!$E$72&lt;&gt;"",Completed!$E$72,"")</f>
        <v>5</v>
      </c>
      <c r="Y73" s="53">
        <f>IF(Completed!$F$72&lt;&gt;"",Completed!$F$72,"")</f>
        <v>8.5</v>
      </c>
      <c r="Z73" s="64">
        <f>IF(Completed!$G$72&lt;&gt;"",Completed!$G$72,"")</f>
        <v>8.1557788944723626</v>
      </c>
      <c r="AA73" s="74">
        <f>IF(Completed!$H$72&lt;&gt;"",Completed!$H$72,"")</f>
        <v>7.5651589036488991</v>
      </c>
      <c r="AB73" s="54">
        <f>IF(Completed!$I$72&lt;&gt;"",Completed!$I$72,"")</f>
        <v>41255</v>
      </c>
      <c r="AC73" s="54">
        <f>IF(Completed!$J$72&lt;&gt;"",Completed!$J$72,"")</f>
        <v>41256</v>
      </c>
      <c r="AD73" s="65" t="str">
        <f>IF(Completed!$K$72&lt;&gt;"",Completed!$K$72,"")</f>
        <v>Akemi Homura</v>
      </c>
      <c r="AE73" s="65" t="str">
        <f>IF(Completed!$L$72&lt;&gt;"",Completed!$L$72,"")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IF(Completed!$A$73&lt;&gt;"",Completed!$A$73,"")</f>
        <v>Arpeggio of Blue Steel - Ars Nova</v>
      </c>
      <c r="O74" s="28">
        <f>IF(Completed!$B$73&lt;&gt;"",Completed!$B$73,"")</f>
        <v>1</v>
      </c>
      <c r="P74" s="28">
        <f ca="1">IF($N$74&lt;&gt;"", INDIRECT("'Tracker'!"&amp;ADDRESS(MATCH($N$74, Tracker[Anime Name], 0) + 2, 3)), "")</f>
        <v>12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HorribleSubs</v>
      </c>
      <c r="V74" s="53">
        <f>IF(Completed!$C$73&lt;&gt;"",Completed!$C$73,"")</f>
        <v>8.5</v>
      </c>
      <c r="W74" s="53">
        <f>IF(Completed!$D$73&lt;&gt;"",Completed!$D$73,"")</f>
        <v>8.5</v>
      </c>
      <c r="X74" s="53">
        <f>IF(Completed!$E$73&lt;&gt;"",Completed!$E$73,"")</f>
        <v>6.5</v>
      </c>
      <c r="Y74" s="53">
        <f>IF(Completed!$F$73&lt;&gt;"",Completed!$F$73,"")</f>
        <v>8</v>
      </c>
      <c r="Z74" s="64">
        <f>IF(Completed!$G$73&lt;&gt;"",Completed!$G$73,"")</f>
        <v>8.1545226130653266</v>
      </c>
      <c r="AA74" s="74">
        <f>IF(Completed!$H$73&lt;&gt;"",Completed!$H$73,"")</f>
        <v>7.5634773835547335</v>
      </c>
      <c r="AB74" s="54">
        <f>IF(Completed!$I$73&lt;&gt;"",Completed!$I$73,"")</f>
        <v>41555</v>
      </c>
      <c r="AC74" s="54">
        <f>IF(Completed!$J$73&lt;&gt;"",Completed!$J$73,"")</f>
        <v>41631</v>
      </c>
      <c r="AD74" s="65" t="str">
        <f>IF(Completed!$K$73&lt;&gt;"",Completed!$K$73,"")</f>
        <v>Iona</v>
      </c>
      <c r="AE74" s="65" t="str">
        <f>IF(Completed!$L$73&lt;&gt;"",Completed!$L$73,"")</f>
        <v>Super well animated action scenes, and lots of hexagons</v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IF(Completed!$A$74&lt;&gt;"",Completed!$A$74,"")</f>
        <v>Samurai Flamenco</v>
      </c>
      <c r="O75" s="28">
        <f>IF(Completed!$B$74&lt;&gt;"",Completed!$B$74,"")</f>
        <v>1</v>
      </c>
      <c r="P75" s="28">
        <f ca="1">IF($N$75&lt;&gt;"", INDIRECT("'Tracker'!"&amp;ADDRESS(MATCH($N$75, Tracker[Anime Name], 0) + 2, 3)), "")</f>
        <v>22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2013C</v>
      </c>
      <c r="U75" s="28" t="str">
        <f ca="1">IF($N$75&lt;&gt;"", INDIRECT("'Tracker'!"&amp;ADDRESS(MATCH($N$75, Tracker[Anime Name], 0) + 2, 8)), "")</f>
        <v>HorribleSubs</v>
      </c>
      <c r="V75" s="53">
        <f>IF(Completed!$C$74&lt;&gt;"",Completed!$C$74,"")</f>
        <v>8.5</v>
      </c>
      <c r="W75" s="53">
        <f>IF(Completed!$D$74&lt;&gt;"",Completed!$D$74,"")</f>
        <v>8</v>
      </c>
      <c r="X75" s="53">
        <f>IF(Completed!$E$74&lt;&gt;"",Completed!$E$74,"")</f>
        <v>4</v>
      </c>
      <c r="Y75" s="53">
        <f>IF(Completed!$F$74&lt;&gt;"",Completed!$F$74,"")</f>
        <v>8.5</v>
      </c>
      <c r="Z75" s="64">
        <f>IF(Completed!$G$74&lt;&gt;"",Completed!$G$74,"")</f>
        <v>8.1507537688442202</v>
      </c>
      <c r="AA75" s="74">
        <f>IF(Completed!$H$74&lt;&gt;"",Completed!$H$74,"")</f>
        <v>7.5584328232722369</v>
      </c>
      <c r="AB75" s="54">
        <f>IF(Completed!$I$74&lt;&gt;"",Completed!$I$74,"")</f>
        <v>41562</v>
      </c>
      <c r="AC75" s="54">
        <f>IF(Completed!$J$74&lt;&gt;"",Completed!$J$74,"")</f>
        <v>41728</v>
      </c>
      <c r="AD75" s="65" t="str">
        <f>IF(Completed!$K$74&lt;&gt;"",Completed!$K$74,"")</f>
        <v>Ishihara Sumi</v>
      </c>
      <c r="AE75" s="65" t="str">
        <f>IF(Completed!$L$74&lt;&gt;"",Completed!$L$74,"")</f>
        <v>ALL the plot twists</v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IF(Completed!$A$75&lt;&gt;"",Completed!$A$75,"")</f>
        <v>Hitsugi no Chaika</v>
      </c>
      <c r="O76" s="28">
        <f>IF(Completed!$B$75&lt;&gt;"",Completed!$B$75,"")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TV</v>
      </c>
      <c r="T76" s="22" t="str">
        <f ca="1">IF($N$76&lt;&gt;"", INDIRECT("'Tracker'!"&amp;ADDRESS(MATCH($N$76, Tracker[Anime Name], 0) + 2, 7)), "")</f>
        <v>2014A</v>
      </c>
      <c r="U76" s="28" t="str">
        <f ca="1">IF($N$76&lt;&gt;"", INDIRECT("'Tracker'!"&amp;ADDRESS(MATCH($N$76, Tracker[Anime Name], 0) + 2, 8)), "")</f>
        <v>Anime-Koi</v>
      </c>
      <c r="V76" s="53">
        <f>IF(Completed!$C$75&lt;&gt;"",Completed!$C$75,"")</f>
        <v>8.5</v>
      </c>
      <c r="W76" s="53">
        <f>IF(Completed!$D$75&lt;&gt;"",Completed!$D$75,"")</f>
        <v>8</v>
      </c>
      <c r="X76" s="53">
        <f>IF(Completed!$E$75&lt;&gt;"",Completed!$E$75,"")</f>
        <v>3.5</v>
      </c>
      <c r="Y76" s="53">
        <f>IF(Completed!$F$75&lt;&gt;"",Completed!$F$75,"")</f>
        <v>8.5</v>
      </c>
      <c r="Z76" s="64">
        <f>IF(Completed!$G$75&lt;&gt;"",Completed!$G$75,"")</f>
        <v>8.1268844221105532</v>
      </c>
      <c r="AA76" s="74">
        <f>IF(Completed!$H$75&lt;&gt;"",Completed!$H$75,"")</f>
        <v>7.5264839414831002</v>
      </c>
      <c r="AB76" s="54">
        <f>IF(Completed!$I$75&lt;&gt;"",Completed!$I$75,"")</f>
        <v>41789</v>
      </c>
      <c r="AC76" s="54">
        <f>IF(Completed!$J$75&lt;&gt;"",Completed!$J$75,"")</f>
        <v>41816</v>
      </c>
      <c r="AD76" s="65" t="str">
        <f>IF(Completed!$K$75&lt;&gt;"",Completed!$K$75,"")</f>
        <v>Chaika</v>
      </c>
      <c r="AE76" s="65" t="str">
        <f>IF(Completed!$L$75&lt;&gt;"",Completed!$L$75,"")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IF(Completed!$A$76&lt;&gt;"",Completed!$A$76,"")</f>
        <v>Baka to Test to Shoukanjuu Ni!</v>
      </c>
      <c r="O77" s="28">
        <f>IF(Completed!$B$76&lt;&gt;"",Completed!$B$76,"")</f>
        <v>2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2011B</v>
      </c>
      <c r="U77" s="28" t="str">
        <f ca="1">IF($N$77&lt;&gt;"", INDIRECT("'Tracker'!"&amp;ADDRESS(MATCH($N$77, Tracker[Anime Name], 0) + 2, 8)), "")</f>
        <v>Ayumi</v>
      </c>
      <c r="V77" s="53">
        <f>IF(Completed!$C$76&lt;&gt;"",Completed!$C$76,"")</f>
        <v>7</v>
      </c>
      <c r="W77" s="53">
        <f>IF(Completed!$D$76&lt;&gt;"",Completed!$D$76,"")</f>
        <v>8</v>
      </c>
      <c r="X77" s="53">
        <f>IF(Completed!$E$76&lt;&gt;"",Completed!$E$76,"")</f>
        <v>3.5</v>
      </c>
      <c r="Y77" s="53">
        <f>IF(Completed!$F$76&lt;&gt;"",Completed!$F$76,"")</f>
        <v>9</v>
      </c>
      <c r="Z77" s="64">
        <f>IF(Completed!$G$76&lt;&gt;"",Completed!$G$76,"")</f>
        <v>8.1017587939698501</v>
      </c>
      <c r="AA77" s="74">
        <f>IF(Completed!$H$76&lt;&gt;"",Completed!$H$76,"")</f>
        <v>7.4928535395997988</v>
      </c>
      <c r="AB77" s="54">
        <f>IF(Completed!$I$76&lt;&gt;"",Completed!$I$76,"")</f>
        <v>41354</v>
      </c>
      <c r="AC77" s="54">
        <f>IF(Completed!$J$76&lt;&gt;"",Completed!$J$76,"")</f>
        <v>41355</v>
      </c>
      <c r="AD77" s="65" t="str">
        <f>IF(Completed!$K$76&lt;&gt;"",Completed!$K$76,"")</f>
        <v>Shimada Minami</v>
      </c>
      <c r="AE77" s="65" t="str">
        <f>IF(Completed!$L$76&lt;&gt;"",Completed!$L$76,"")</f>
        <v/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IF(Completed!$A$77&lt;&gt;"",Completed!$A$77,"")</f>
        <v>Tonari no Seki-kun</v>
      </c>
      <c r="O78" s="28">
        <f>IF(Completed!$B$77&lt;&gt;"",Completed!$B$77,"")</f>
        <v>1</v>
      </c>
      <c r="P78" s="28">
        <f ca="1">IF($N$78&lt;&gt;"", INDIRECT("'Tracker'!"&amp;ADDRESS(MATCH($N$78, Tracker[Anime Name], 0) + 2, 3)), "")</f>
        <v>21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2013D</v>
      </c>
      <c r="U78" s="28" t="str">
        <f ca="1">IF($N$78&lt;&gt;"", INDIRECT("'Tracker'!"&amp;ADDRESS(MATCH($N$78, Tracker[Anime Name], 0) + 2, 8)), "")</f>
        <v>Vivid</v>
      </c>
      <c r="V78" s="53">
        <f>IF(Completed!$C$77&lt;&gt;"",Completed!$C$77,"")</f>
        <v>5</v>
      </c>
      <c r="W78" s="53">
        <f>IF(Completed!$D$77&lt;&gt;"",Completed!$D$77,"")</f>
        <v>9</v>
      </c>
      <c r="X78" s="53">
        <f>IF(Completed!$E$77&lt;&gt;"",Completed!$E$77,"")</f>
        <v>5</v>
      </c>
      <c r="Y78" s="53">
        <f>IF(Completed!$F$77&lt;&gt;"",Completed!$F$77,"")</f>
        <v>9</v>
      </c>
      <c r="Z78" s="64">
        <f>IF(Completed!$G$77&lt;&gt;"",Completed!$G$77,"")</f>
        <v>8.075376884422111</v>
      </c>
      <c r="AA78" s="74">
        <f>IF(Completed!$H$77&lt;&gt;"",Completed!$H$77,"")</f>
        <v>7.457541617622331</v>
      </c>
      <c r="AB78" s="54">
        <f>IF(Completed!$I$77&lt;&gt;"",Completed!$I$77,"")</f>
        <v>41648</v>
      </c>
      <c r="AC78" s="54">
        <f>IF(Completed!$J$77&lt;&gt;"",Completed!$J$77,"")</f>
        <v>41785</v>
      </c>
      <c r="AD78" s="65" t="str">
        <f>IF(Completed!$K$77&lt;&gt;"",Completed!$K$77,"")</f>
        <v>Yokoi Rumi</v>
      </c>
      <c r="AE78" s="65" t="str">
        <f>IF(Completed!$L$77&lt;&gt;"",Completed!$L$77,"")</f>
        <v/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IF(Completed!$A$78&lt;&gt;"",Completed!$A$78,"")</f>
        <v>Black Bullet</v>
      </c>
      <c r="O79" s="28">
        <f>IF(Completed!$B$78&lt;&gt;"",Completed!$B$78,"")</f>
        <v>1</v>
      </c>
      <c r="P79" s="28">
        <f ca="1">IF($N$79&lt;&gt;"", INDIRECT("'Tracker'!"&amp;ADDRESS(MATCH($N$79, Tracker[Anime Name], 0) + 2, 3)), "")</f>
        <v>13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Underwater</v>
      </c>
      <c r="V79" s="53">
        <f>IF(Completed!$C$78&lt;&gt;"",Completed!$C$78,"")</f>
        <v>8</v>
      </c>
      <c r="W79" s="53">
        <f>IF(Completed!$D$78&lt;&gt;"",Completed!$D$78,"")</f>
        <v>8.5</v>
      </c>
      <c r="X79" s="53">
        <f>IF(Completed!$E$78&lt;&gt;"",Completed!$E$78,"")</f>
        <v>6</v>
      </c>
      <c r="Y79" s="53">
        <f>IF(Completed!$F$78&lt;&gt;"",Completed!$F$78,"")</f>
        <v>8</v>
      </c>
      <c r="Z79" s="64">
        <f>IF(Completed!$G$78&lt;&gt;"",Completed!$G$78,"")</f>
        <v>8.0389447236180906</v>
      </c>
      <c r="AA79" s="74">
        <f>IF(Completed!$H$78&lt;&gt;"",Completed!$H$78,"")</f>
        <v>7.4087775348915414</v>
      </c>
      <c r="AB79" s="54">
        <f>IF(Completed!$I$78&lt;&gt;"",Completed!$I$78,"")</f>
        <v>41750</v>
      </c>
      <c r="AC79" s="54">
        <f>IF(Completed!$J$78&lt;&gt;"",Completed!$J$78,"")</f>
        <v>41831</v>
      </c>
      <c r="AD79" s="65" t="str">
        <f>IF(Completed!$K$78&lt;&gt;"",Completed!$K$78,"")</f>
        <v>Tina Sprout</v>
      </c>
      <c r="AE79" s="65" t="str">
        <f>IF(Completed!$L$78&lt;&gt;"",Completed!$L$78,"")</f>
        <v>Started promising, but decayed with time.</v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IF(Completed!$A$79&lt;&gt;"",Completed!$A$79,"")</f>
        <v>The Idolm@ster</v>
      </c>
      <c r="O80" s="28">
        <f>IF(Completed!$B$79&lt;&gt;"",Completed!$B$79,"")</f>
        <v>1</v>
      </c>
      <c r="P80" s="28">
        <f ca="1">IF($N$80&lt;&gt;"", INDIRECT("'Tracker'!"&amp;ADDRESS(MATCH($N$80, Tracker[Anime Name], 0) + 2, 3)), "")</f>
        <v>26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Coalgirls, Doki</v>
      </c>
      <c r="V80" s="53">
        <f>IF(Completed!$C$79&lt;&gt;"",Completed!$C$79,"")</f>
        <v>6.5</v>
      </c>
      <c r="W80" s="53">
        <f>IF(Completed!$D$79&lt;&gt;"",Completed!$D$79,"")</f>
        <v>8.5</v>
      </c>
      <c r="X80" s="53">
        <f>IF(Completed!$E$79&lt;&gt;"",Completed!$E$79,"")</f>
        <v>6.5</v>
      </c>
      <c r="Y80" s="53">
        <f>IF(Completed!$F$79&lt;&gt;"",Completed!$F$79,"")</f>
        <v>8.5</v>
      </c>
      <c r="Z80" s="64">
        <f>IF(Completed!$G$79&lt;&gt;"",Completed!$G$79,"")</f>
        <v>8.0376884422110546</v>
      </c>
      <c r="AA80" s="74">
        <f>IF(Completed!$H$79&lt;&gt;"",Completed!$H$79,"")</f>
        <v>7.4070960147973759</v>
      </c>
      <c r="AB80" s="54">
        <f>IF(Completed!$I$79&lt;&gt;"",Completed!$I$79,"")</f>
        <v>41394</v>
      </c>
      <c r="AC80" s="54">
        <f>IF(Completed!$J$79&lt;&gt;"",Completed!$J$79,"")</f>
        <v>41397</v>
      </c>
      <c r="AD80" s="65" t="str">
        <f>IF(Completed!$K$79&lt;&gt;"",Completed!$K$79,"")</f>
        <v>Hoshii Miki</v>
      </c>
      <c r="AE80" s="65" t="str">
        <f>IF(Completed!$L$79&lt;&gt;"",Completed!$L$79,"")</f>
        <v>A lot better than I thought it was going to be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IF(Completed!$A$80&lt;&gt;"",Completed!$A$80,"")</f>
        <v>Sakura Trick</v>
      </c>
      <c r="O81" s="28">
        <f>IF(Completed!$B$80&lt;&gt;"",Completed!$B$80,"")</f>
        <v>1</v>
      </c>
      <c r="P81" s="28">
        <f ca="1">IF($N$81&lt;&gt;"", INDIRECT("'Tracker'!"&amp;ADDRESS(MATCH($N$81, Tracker[Anime Name], 0) + 2, 3)), "")</f>
        <v>12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Doki</v>
      </c>
      <c r="V81" s="53">
        <f>IF(Completed!$C$80&lt;&gt;"",Completed!$C$80,"")</f>
        <v>6.5</v>
      </c>
      <c r="W81" s="53">
        <f>IF(Completed!$D$80&lt;&gt;"",Completed!$D$80,"")</f>
        <v>8</v>
      </c>
      <c r="X81" s="53">
        <f>IF(Completed!$E$80&lt;&gt;"",Completed!$E$80,"")</f>
        <v>9</v>
      </c>
      <c r="Y81" s="53">
        <f>IF(Completed!$F$80&lt;&gt;"",Completed!$F$80,"")</f>
        <v>8.5</v>
      </c>
      <c r="Z81" s="64">
        <f>IF(Completed!$G$80&lt;&gt;"",Completed!$G$80,"")</f>
        <v>8.0226130653266328</v>
      </c>
      <c r="AA81" s="74">
        <f>IF(Completed!$H$80&lt;&gt;"",Completed!$H$80,"")</f>
        <v>7.3869177736673945</v>
      </c>
      <c r="AB81" s="54">
        <f>IF(Completed!$I$80&lt;&gt;"",Completed!$I$80,"")</f>
        <v>41650</v>
      </c>
      <c r="AC81" s="54">
        <f>IF(Completed!$J$80&lt;&gt;"",Completed!$J$80,"")</f>
        <v>41733</v>
      </c>
      <c r="AD81" s="65" t="str">
        <f>IF(Completed!$K$80&lt;&gt;"",Completed!$K$80,"")</f>
        <v>Minami Shizuku</v>
      </c>
      <c r="AE81" s="65" t="str">
        <f>IF(Completed!$L$80&lt;&gt;"",Completed!$L$80,"")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IF(Completed!$A$81&lt;&gt;"",Completed!$A$81,"")</f>
        <v>Sora no Woto</v>
      </c>
      <c r="O82" s="28">
        <f>IF(Completed!$B$81&lt;&gt;"",Completed!$B$81,"")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2009D</v>
      </c>
      <c r="U82" s="28" t="str">
        <f ca="1">IF($N$82&lt;&gt;"", INDIRECT("'Tracker'!"&amp;ADDRESS(MATCH($N$82, Tracker[Anime Name], 0) + 2, 8)), "")</f>
        <v>Coalgirls, pwq</v>
      </c>
      <c r="V82" s="53">
        <f>IF(Completed!$C$81&lt;&gt;"",Completed!$C$81,"")</f>
        <v>8</v>
      </c>
      <c r="W82" s="53">
        <f>IF(Completed!$D$81&lt;&gt;"",Completed!$D$81,"")</f>
        <v>6.5</v>
      </c>
      <c r="X82" s="53">
        <f>IF(Completed!$E$81&lt;&gt;"",Completed!$E$81,"")</f>
        <v>6</v>
      </c>
      <c r="Y82" s="53">
        <f>IF(Completed!$F$81&lt;&gt;"",Completed!$F$81,"")</f>
        <v>9</v>
      </c>
      <c r="Z82" s="64">
        <f>IF(Completed!$G$81&lt;&gt;"",Completed!$G$81,"")</f>
        <v>8.0012562814070343</v>
      </c>
      <c r="AA82" s="74">
        <f>IF(Completed!$H$81&lt;&gt;"",Completed!$H$81,"")</f>
        <v>7.3583319320665863</v>
      </c>
      <c r="AB82" s="54">
        <f>IF(Completed!$I$81&lt;&gt;"",Completed!$I$81,"")</f>
        <v>41316</v>
      </c>
      <c r="AC82" s="54">
        <f>IF(Completed!$J$81&lt;&gt;"",Completed!$J$81,"")</f>
        <v>41323</v>
      </c>
      <c r="AD82" s="65" t="str">
        <f>IF(Completed!$K$81&lt;&gt;"",Completed!$K$81,"")</f>
        <v>Noel Kannagi</v>
      </c>
      <c r="AE82" s="65" t="str">
        <f>IF(Completed!$L$81&lt;&gt;"",Completed!$L$81,"")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IF(Completed!$A$82&lt;&gt;"",Completed!$A$82,"")</f>
        <v>Ore no Imouto ga Konna ni Kawaii Wake ga Nai</v>
      </c>
      <c r="O83" s="28">
        <f>IF(Completed!$B$82&lt;&gt;"",Completed!$B$82,"")</f>
        <v>1</v>
      </c>
      <c r="P83" s="28">
        <f ca="1">IF($N$83&lt;&gt;"", INDIRECT("'Tracker'!"&amp;ADDRESS(MATCH($N$83, Tracker[Anime Name], 0) + 2, 3)), "")</f>
        <v>16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2010C</v>
      </c>
      <c r="U83" s="28" t="str">
        <f ca="1">IF($N$83&lt;&gt;"", INDIRECT("'Tracker'!"&amp;ADDRESS(MATCH($N$83, Tracker[Anime Name], 0) + 2, 8)), "")</f>
        <v>Coalgirls, Mazui</v>
      </c>
      <c r="V83" s="53">
        <f>IF(Completed!$C$82&lt;&gt;"",Completed!$C$82,"")</f>
        <v>8</v>
      </c>
      <c r="W83" s="53">
        <f>IF(Completed!$D$82&lt;&gt;"",Completed!$D$82,"")</f>
        <v>8.5</v>
      </c>
      <c r="X83" s="53">
        <f>IF(Completed!$E$82&lt;&gt;"",Completed!$E$82,"")</f>
        <v>5</v>
      </c>
      <c r="Y83" s="53">
        <f>IF(Completed!$F$82&lt;&gt;"",Completed!$F$82,"")</f>
        <v>8</v>
      </c>
      <c r="Z83" s="64">
        <f>IF(Completed!$G$82&lt;&gt;"",Completed!$G$82,"")</f>
        <v>7.9912060301507539</v>
      </c>
      <c r="AA83" s="74">
        <f>IF(Completed!$H$82&lt;&gt;"",Completed!$H$82,"")</f>
        <v>7.3448797713132672</v>
      </c>
      <c r="AB83" s="54">
        <f>IF(Completed!$I$82&lt;&gt;"",Completed!$I$82,"")</f>
        <v>41360</v>
      </c>
      <c r="AC83" s="54">
        <f>IF(Completed!$J$82&lt;&gt;"",Completed!$J$82,"")</f>
        <v>41363</v>
      </c>
      <c r="AD83" s="65" t="str">
        <f>IF(Completed!$K$82&lt;&gt;"",Completed!$K$82,"")</f>
        <v>Kuroneko (Gokou Ruri)</v>
      </c>
      <c r="AE83" s="65" t="str">
        <f>IF(Completed!$L$82&lt;&gt;"",Completed!$L$82,"")</f>
        <v>Kuroneko best girl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IF(Completed!$A$83&lt;&gt;"",Completed!$A$83,"")</f>
        <v>Pokemon: The Origin</v>
      </c>
      <c r="O84" s="28">
        <f>IF(Completed!$B$83&lt;&gt;"",Completed!$B$83,"")</f>
        <v>1</v>
      </c>
      <c r="P84" s="28">
        <f ca="1">IF($N$84&lt;&gt;"", INDIRECT("'Tracker'!"&amp;ADDRESS(MATCH($N$84, Tracker[Anime Name], 0) + 2, 3)), "")</f>
        <v>4</v>
      </c>
      <c r="Q84" s="22" t="str">
        <f ca="1">IF($N$84&lt;&gt;"", INDIRECT("'Tracker'!"&amp;ADDRESS(MATCH($N$84, Tracker[Anime Name], 0) + 2, 4)), "")</f>
        <v>A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2013C</v>
      </c>
      <c r="U84" s="28" t="str">
        <f ca="1">IF($N$84&lt;&gt;"", INDIRECT("'Tracker'!"&amp;ADDRESS(MATCH($N$84, Tracker[Anime Name], 0) + 2, 8)), "")</f>
        <v>Doki</v>
      </c>
      <c r="V84" s="53">
        <f>IF(Completed!$C$83&lt;&gt;"",Completed!$C$83,"")</f>
        <v>8.5</v>
      </c>
      <c r="W84" s="53">
        <f>IF(Completed!$D$83&lt;&gt;"",Completed!$D$83,"")</f>
        <v>8</v>
      </c>
      <c r="X84" s="53">
        <f>IF(Completed!$E$83&lt;&gt;"",Completed!$E$83,"")</f>
        <v>5</v>
      </c>
      <c r="Y84" s="53">
        <f>IF(Completed!$F$83&lt;&gt;"",Completed!$F$83,"")</f>
        <v>8</v>
      </c>
      <c r="Z84" s="64">
        <f>IF(Completed!$G$83&lt;&gt;"",Completed!$G$83,"")</f>
        <v>7.9484924623115569</v>
      </c>
      <c r="AA84" s="74">
        <f>IF(Completed!$H$83&lt;&gt;"",Completed!$H$83,"")</f>
        <v>7.2877080881116507</v>
      </c>
      <c r="AB84" s="54">
        <f>IF(Completed!$I$83&lt;&gt;"",Completed!$I$83,"")</f>
        <v>41940</v>
      </c>
      <c r="AC84" s="54">
        <f>IF(Completed!$J$83&lt;&gt;"",Completed!$J$83,"")</f>
        <v>41940</v>
      </c>
      <c r="AD84" s="65" t="str">
        <f>IF(Completed!$K$83&lt;&gt;"",Completed!$K$83,"")</f>
        <v>Erika</v>
      </c>
      <c r="AE84" s="65" t="str">
        <f>IF(Completed!$L$83&lt;&gt;"",Completed!$L$83,"")</f>
        <v>Mega Punch OP</v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IF(Completed!$A$84&lt;&gt;"",Completed!$A$84,"")</f>
        <v>Boku wa Tomodachi ga Sukunai</v>
      </c>
      <c r="O85" s="28">
        <f>IF(Completed!$B$84&lt;&gt;"",Completed!$B$84,"")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2011C</v>
      </c>
      <c r="U85" s="28" t="str">
        <f ca="1">IF($N$85&lt;&gt;"", INDIRECT("'Tracker'!"&amp;ADDRESS(MATCH($N$85, Tracker[Anime Name], 0) + 2, 8)), "")</f>
        <v>Coalgirls, Mazui</v>
      </c>
      <c r="V85" s="53">
        <f>IF(Completed!$C$84&lt;&gt;"",Completed!$C$84,"")</f>
        <v>7</v>
      </c>
      <c r="W85" s="53">
        <f>IF(Completed!$D$84&lt;&gt;"",Completed!$D$84,"")</f>
        <v>8</v>
      </c>
      <c r="X85" s="53">
        <f>IF(Completed!$E$84&lt;&gt;"",Completed!$E$84,"")</f>
        <v>5.5</v>
      </c>
      <c r="Y85" s="53">
        <f>IF(Completed!$F$84&lt;&gt;"",Completed!$F$84,"")</f>
        <v>8.5</v>
      </c>
      <c r="Z85" s="64">
        <f>IF(Completed!$G$84&lt;&gt;"",Completed!$G$84,"")</f>
        <v>7.9472361809045227</v>
      </c>
      <c r="AA85" s="74">
        <f>IF(Completed!$H$84&lt;&gt;"",Completed!$H$84,"")</f>
        <v>7.2860265680174878</v>
      </c>
      <c r="AB85" s="54">
        <f>IF(Completed!$I$84&lt;&gt;"",Completed!$I$84,"")</f>
        <v>41363</v>
      </c>
      <c r="AC85" s="54">
        <f>IF(Completed!$J$84&lt;&gt;"",Completed!$J$84,"")</f>
        <v>41364</v>
      </c>
      <c r="AD85" s="65" t="str">
        <f>IF(Completed!$K$84&lt;&gt;"",Completed!$K$84,"")</f>
        <v>Hasegawa Kobato</v>
      </c>
      <c r="AE85" s="65" t="str">
        <f>IF(Completed!$L$84&lt;&gt;"",Completed!$L$84,"")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IF(Completed!$A$85&lt;&gt;"",Completed!$A$85,"")</f>
        <v>Free!</v>
      </c>
      <c r="O86" s="28">
        <f>IF(Completed!$B$85&lt;&gt;"",Completed!$B$85,"")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A</v>
      </c>
      <c r="R86" s="22" t="str">
        <f ca="1">IF($N$86&lt;&gt;"", INDIRECT("'Tracker'!"&amp;ADDRESS(MATCH($N$86, Tracker[Anime Name], 0) + 2, 5)), "")</f>
        <v>1080p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2013B</v>
      </c>
      <c r="U86" s="28" t="str">
        <f ca="1">IF($N$86&lt;&gt;"", INDIRECT("'Tracker'!"&amp;ADDRESS(MATCH($N$86, Tracker[Anime Name], 0) + 2, 8)), "")</f>
        <v>Commie</v>
      </c>
      <c r="V86" s="53">
        <f>IF(Completed!$C$85&lt;&gt;"",Completed!$C$85,"")</f>
        <v>8.5</v>
      </c>
      <c r="W86" s="53">
        <f>IF(Completed!$D$85&lt;&gt;"",Completed!$D$85,"")</f>
        <v>7.5</v>
      </c>
      <c r="X86" s="53">
        <f>IF(Completed!$E$85&lt;&gt;"",Completed!$E$85,"")</f>
        <v>2.5</v>
      </c>
      <c r="Y86" s="53">
        <f>IF(Completed!$F$85&lt;&gt;"",Completed!$F$85,"")</f>
        <v>8.5</v>
      </c>
      <c r="Z86" s="64">
        <f>IF(Completed!$G$85&lt;&gt;"",Completed!$G$85,"")</f>
        <v>7.9447236180904515</v>
      </c>
      <c r="AA86" s="74">
        <f>IF(Completed!$H$85&lt;&gt;"",Completed!$H$85,"")</f>
        <v>7.2826635278291567</v>
      </c>
      <c r="AB86" s="54">
        <f>IF(Completed!$I$85&lt;&gt;"",Completed!$I$85,"")</f>
        <v>41459</v>
      </c>
      <c r="AC86" s="54">
        <f>IF(Completed!$J$85&lt;&gt;"",Completed!$J$85,"")</f>
        <v>41543</v>
      </c>
      <c r="AD86" s="65" t="str">
        <f>IF(Completed!$K$85&lt;&gt;"",Completed!$K$85,"")</f>
        <v>Matsuoka Gou</v>
      </c>
      <c r="AE86" s="65" t="str">
        <f>IF(Completed!$L$85&lt;&gt;"",Completed!$L$85,"")</f>
        <v>Not as bad as everyone makes it seem - KyoAni animation and music plus an actual plot is pretty nice.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IF(Completed!$A$86&lt;&gt;"",Completed!$A$86,"")</f>
        <v>K-On!</v>
      </c>
      <c r="O87" s="28">
        <f>IF(Completed!$B$86&lt;&gt;"",Completed!$B$86,"")</f>
        <v>1</v>
      </c>
      <c r="P87" s="28">
        <f ca="1">IF($N$87&lt;&gt;"", INDIRECT("'Tracker'!"&amp;ADDRESS(MATCH($N$87, Tracker[Anime Name], 0) + 2, 3)), "")</f>
        <v>13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2009A</v>
      </c>
      <c r="U87" s="28" t="str">
        <f ca="1">IF($N$87&lt;&gt;"", INDIRECT("'Tracker'!"&amp;ADDRESS(MATCH($N$87, Tracker[Anime Name], 0) + 2, 8)), "")</f>
        <v>Frostii</v>
      </c>
      <c r="V87" s="53">
        <f>IF(Completed!$C$86&lt;&gt;"",Completed!$C$86,"")</f>
        <v>6</v>
      </c>
      <c r="W87" s="53">
        <f>IF(Completed!$D$86&lt;&gt;"",Completed!$D$86,"")</f>
        <v>7</v>
      </c>
      <c r="X87" s="53">
        <f>IF(Completed!$E$86&lt;&gt;"",Completed!$E$86,"")</f>
        <v>9</v>
      </c>
      <c r="Y87" s="53">
        <f>IF(Completed!$F$86&lt;&gt;"",Completed!$F$86,"")</f>
        <v>9</v>
      </c>
      <c r="Z87" s="64">
        <f>IF(Completed!$G$86&lt;&gt;"",Completed!$G$86,"")</f>
        <v>7.9120603015075384</v>
      </c>
      <c r="AA87" s="74">
        <f>IF(Completed!$H$86&lt;&gt;"",Completed!$H$86,"")</f>
        <v>7.2389440053808647</v>
      </c>
      <c r="AB87" s="54">
        <f>IF(Completed!$I$86&lt;&gt;"",Completed!$I$86,"")</f>
        <v>41337</v>
      </c>
      <c r="AC87" s="54">
        <f>IF(Completed!$J$86&lt;&gt;"",Completed!$J$86,"")</f>
        <v>41338</v>
      </c>
      <c r="AD87" s="65" t="str">
        <f>IF(Completed!$K$86&lt;&gt;"",Completed!$K$86,"")</f>
        <v>Nakano Azusa</v>
      </c>
      <c r="AE87" s="65" t="str">
        <f>IF(Completed!$L$86&lt;&gt;"",Completed!$L$86,"")</f>
        <v>The music is portrayed very accurately. 10/10 to the animators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IF(Completed!$A$87&lt;&gt;"",Completed!$A$87,"")</f>
        <v>Baka to Test to Shoukanjuu</v>
      </c>
      <c r="O88" s="28">
        <f>IF(Completed!$B$87&lt;&gt;"",Completed!$B$87,"")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2009D</v>
      </c>
      <c r="U88" s="28" t="str">
        <f ca="1">IF($N$88&lt;&gt;"", INDIRECT("'Tracker'!"&amp;ADDRESS(MATCH($N$88, Tracker[Anime Name], 0) + 2, 8)), "")</f>
        <v>Elysium</v>
      </c>
      <c r="V88" s="53">
        <f>IF(Completed!$C$87&lt;&gt;"",Completed!$C$87,"")</f>
        <v>6.5</v>
      </c>
      <c r="W88" s="53">
        <f>IF(Completed!$D$87&lt;&gt;"",Completed!$D$87,"")</f>
        <v>7.5</v>
      </c>
      <c r="X88" s="53">
        <f>IF(Completed!$E$87&lt;&gt;"",Completed!$E$87,"")</f>
        <v>4</v>
      </c>
      <c r="Y88" s="53">
        <f>IF(Completed!$F$87&lt;&gt;"",Completed!$F$87,"")</f>
        <v>9</v>
      </c>
      <c r="Z88" s="64">
        <f>IF(Completed!$G$87&lt;&gt;"",Completed!$G$87,"")</f>
        <v>7.8994974874371851</v>
      </c>
      <c r="AA88" s="74">
        <f>IF(Completed!$H$87&lt;&gt;"",Completed!$H$87,"")</f>
        <v>7.2221288044392118</v>
      </c>
      <c r="AB88" s="54">
        <f>IF(Completed!$I$87&lt;&gt;"",Completed!$I$87,"")</f>
        <v>41347</v>
      </c>
      <c r="AC88" s="54">
        <f>IF(Completed!$J$87&lt;&gt;"",Completed!$J$87,"")</f>
        <v>41354</v>
      </c>
      <c r="AD88" s="65" t="str">
        <f>IF(Completed!$K$87&lt;&gt;"",Completed!$K$87,"")</f>
        <v>Kirishima Shouko</v>
      </c>
      <c r="AE88" s="65" t="str">
        <f>IF(Completed!$L$87&lt;&gt;"",Completed!$L$87,"")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IF(Completed!$A$88&lt;&gt;"",Completed!$A$88,"")</f>
        <v>Ro-Kyu-Bu! SS</v>
      </c>
      <c r="O89" s="28">
        <f>IF(Completed!$B$88&lt;&gt;"",Completed!$B$88,"")</f>
        <v>2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Asenshi-Doremi, Loligeddon</v>
      </c>
      <c r="V89" s="53">
        <f>IF(Completed!$C$88&lt;&gt;"",Completed!$C$88,"")</f>
        <v>7</v>
      </c>
      <c r="W89" s="53">
        <f>IF(Completed!$D$88&lt;&gt;"",Completed!$D$88,"")</f>
        <v>8</v>
      </c>
      <c r="X89" s="53">
        <f>IF(Completed!$E$88&lt;&gt;"",Completed!$E$88,"")</f>
        <v>9.5</v>
      </c>
      <c r="Y89" s="53">
        <f>IF(Completed!$F$88&lt;&gt;"",Completed!$F$88,"")</f>
        <v>8</v>
      </c>
      <c r="Z89" s="64">
        <f>IF(Completed!$G$88&lt;&gt;"",Completed!$G$88,"")</f>
        <v>7.8881909547738696</v>
      </c>
      <c r="AA89" s="74">
        <f>IF(Completed!$H$88&lt;&gt;"",Completed!$H$88,"")</f>
        <v>7.2069951235917262</v>
      </c>
      <c r="AB89" s="54">
        <f>IF(Completed!$I$88&lt;&gt;"",Completed!$I$88,"")</f>
        <v>41468</v>
      </c>
      <c r="AC89" s="54">
        <f>IF(Completed!$J$88&lt;&gt;"",Completed!$J$88,"")</f>
        <v>41589</v>
      </c>
      <c r="AD89" s="65" t="str">
        <f>IF(Completed!$K$88&lt;&gt;"",Completed!$K$88,"")</f>
        <v>Hakamada Hinata</v>
      </c>
      <c r="AE89" s="65" t="str">
        <f>IF(Completed!$L$88&lt;&gt;"",Completed!$L$88,"")</f>
        <v/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IF(Completed!$A$89&lt;&gt;"",Completed!$A$89,"")</f>
        <v>Golden Time</v>
      </c>
      <c r="O90" s="28">
        <f>IF(Completed!$B$89&lt;&gt;"",Completed!$B$89,"")</f>
        <v>1</v>
      </c>
      <c r="P90" s="28">
        <f ca="1">IF($N$90&lt;&gt;"", INDIRECT("'Tracker'!"&amp;ADDRESS(MATCH($N$90, Tracker[Anime Name], 0) + 2, 3)), "")</f>
        <v>24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2013C</v>
      </c>
      <c r="U90" s="28" t="str">
        <f ca="1">IF($N$90&lt;&gt;"", INDIRECT("'Tracker'!"&amp;ADDRESS(MATCH($N$90, Tracker[Anime Name], 0) + 2, 8)), "")</f>
        <v>FFF</v>
      </c>
      <c r="V90" s="53">
        <f>IF(Completed!$C$89&lt;&gt;"",Completed!$C$89,"")</f>
        <v>8</v>
      </c>
      <c r="W90" s="53">
        <f>IF(Completed!$D$89&lt;&gt;"",Completed!$D$89,"")</f>
        <v>8</v>
      </c>
      <c r="X90" s="53">
        <f>IF(Completed!$E$89&lt;&gt;"",Completed!$E$89,"")</f>
        <v>5</v>
      </c>
      <c r="Y90" s="53">
        <f>IF(Completed!$F$89&lt;&gt;"",Completed!$F$89,"")</f>
        <v>8</v>
      </c>
      <c r="Z90" s="64">
        <f>IF(Completed!$G$89&lt;&gt;"",Completed!$G$89,"")</f>
        <v>7.8567839195979898</v>
      </c>
      <c r="AA90" s="74">
        <f>IF(Completed!$H$89&lt;&gt;"",Completed!$H$89,"")</f>
        <v>7.164957121237598</v>
      </c>
      <c r="AB90" s="54">
        <f>IF(Completed!$I$89&lt;&gt;"",Completed!$I$89,"")</f>
        <v>41555</v>
      </c>
      <c r="AC90" s="54">
        <f>IF(Completed!$J$89&lt;&gt;"",Completed!$J$89,"")</f>
        <v>41748</v>
      </c>
      <c r="AD90" s="65" t="str">
        <f>IF(Completed!$K$89&lt;&gt;"",Completed!$K$89,"")</f>
        <v>Hayashida Linda</v>
      </c>
      <c r="AE90" s="65" t="str">
        <f>IF(Completed!$L$89&lt;&gt;"",Completed!$L$89,"")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IF(Completed!$A$90&lt;&gt;"",Completed!$A$90,"")</f>
        <v>Sword Art Online</v>
      </c>
      <c r="O91" s="28">
        <f>IF(Completed!$B$90&lt;&gt;"",Completed!$B$90,"")</f>
        <v>1</v>
      </c>
      <c r="P91" s="28">
        <f ca="1">IF($N$91&lt;&gt;"", INDIRECT("'Tracker'!"&amp;ADDRESS(MATCH($N$91, Tracker[Anime Name], 0) + 2, 3)), "")</f>
        <v>25</v>
      </c>
      <c r="Q91" s="22" t="str">
        <f ca="1">IF($N$91&lt;&gt;"", INDIRECT("'Tracker'!"&amp;ADDRESS(MATCH($N$91, Tracker[Anime Name], 0) + 2, 4)), "")</f>
        <v>A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2012B</v>
      </c>
      <c r="U91" s="28" t="str">
        <f ca="1">IF($N$91&lt;&gt;"", INDIRECT("'Tracker'!"&amp;ADDRESS(MATCH($N$91, Tracker[Anime Name], 0) + 2, 8)), "")</f>
        <v>Coalgirls, EveTaku</v>
      </c>
      <c r="V91" s="53">
        <f>IF(Completed!$C$90&lt;&gt;"",Completed!$C$90,"")</f>
        <v>8</v>
      </c>
      <c r="W91" s="53">
        <f>IF(Completed!$D$90&lt;&gt;"",Completed!$D$90,"")</f>
        <v>8</v>
      </c>
      <c r="X91" s="53">
        <f>IF(Completed!$E$90&lt;&gt;"",Completed!$E$90,"")</f>
        <v>5</v>
      </c>
      <c r="Y91" s="53">
        <f>IF(Completed!$F$90&lt;&gt;"",Completed!$F$90,"")</f>
        <v>8</v>
      </c>
      <c r="Z91" s="64">
        <f>IF(Completed!$G$90&lt;&gt;"",Completed!$G$90,"")</f>
        <v>7.8567839195979898</v>
      </c>
      <c r="AA91" s="74">
        <f>IF(Completed!$H$90&lt;&gt;"",Completed!$H$90,"")</f>
        <v>7.164957121237598</v>
      </c>
      <c r="AB91" s="54">
        <f>IF(Completed!$I$90&lt;&gt;"",Completed!$I$90,"")</f>
        <v>41245</v>
      </c>
      <c r="AC91" s="54">
        <f>IF(Completed!$J$90&lt;&gt;"",Completed!$J$90,"")</f>
        <v>41250</v>
      </c>
      <c r="AD91" s="65" t="str">
        <f>IF(Completed!$K$90&lt;&gt;"",Completed!$K$90,"")</f>
        <v>Yuuki Asuna</v>
      </c>
      <c r="AE91" s="65" t="str">
        <f>IF(Completed!$L$90&lt;&gt;"",Completed!$L$90,"")</f>
        <v>First cour was a lot better than the second, ratings adjusted to average both</v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IF(Completed!$A$91&lt;&gt;"",Completed!$A$91,"")</f>
        <v>Ro-Kyu-Bu!</v>
      </c>
      <c r="O92" s="28">
        <f>IF(Completed!$B$91&lt;&gt;"",Completed!$B$91,"")</f>
        <v>1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2011B</v>
      </c>
      <c r="U92" s="28" t="str">
        <f ca="1">IF($N$92&lt;&gt;"", INDIRECT("'Tracker'!"&amp;ADDRESS(MATCH($N$92, Tracker[Anime Name], 0) + 2, 8)), "")</f>
        <v>Coalgirls, Shikkaku</v>
      </c>
      <c r="V92" s="53">
        <f>IF(Completed!$C$91&lt;&gt;"",Completed!$C$91,"")</f>
        <v>7.5</v>
      </c>
      <c r="W92" s="53">
        <f>IF(Completed!$D$91&lt;&gt;"",Completed!$D$91,"")</f>
        <v>7.5</v>
      </c>
      <c r="X92" s="53">
        <f>IF(Completed!$E$91&lt;&gt;"",Completed!$E$91,"")</f>
        <v>9.5</v>
      </c>
      <c r="Y92" s="53">
        <f>IF(Completed!$F$91&lt;&gt;"",Completed!$F$91,"")</f>
        <v>8</v>
      </c>
      <c r="Z92" s="64">
        <f>IF(Completed!$G$91&lt;&gt;"",Completed!$G$91,"")</f>
        <v>7.8454773869346734</v>
      </c>
      <c r="AA92" s="74">
        <f>IF(Completed!$H$91&lt;&gt;"",Completed!$H$91,"")</f>
        <v>7.1498234403901124</v>
      </c>
      <c r="AB92" s="54">
        <f>IF(Completed!$I$91&lt;&gt;"",Completed!$I$91,"")</f>
        <v>41453</v>
      </c>
      <c r="AC92" s="54">
        <f>IF(Completed!$J$91&lt;&gt;"",Completed!$J$91,"")</f>
        <v>41456</v>
      </c>
      <c r="AD92" s="65" t="str">
        <f>IF(Completed!$K$91&lt;&gt;"",Completed!$K$91,"")</f>
        <v>Hakamada Hinata</v>
      </c>
      <c r="AE92" s="65" t="str">
        <f>IF(Completed!$L$91&lt;&gt;"",Completed!$L$91,"")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IF(Completed!$A$92&lt;&gt;"",Completed!$A$92,"")</f>
        <v>Inari, Konkon, Koi Iroha.</v>
      </c>
      <c r="O93" s="28">
        <f>IF(Completed!$B$92&lt;&gt;"",Completed!$B$92,"")</f>
        <v>1</v>
      </c>
      <c r="P93" s="28">
        <f ca="1">IF($N$93&lt;&gt;"", INDIRECT("'Tracker'!"&amp;ADDRESS(MATCH($N$93, Tracker[Anime Name], 0) + 2, 3)), "")</f>
        <v>10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2013D</v>
      </c>
      <c r="U93" s="28" t="str">
        <f ca="1">IF($N$93&lt;&gt;"", INDIRECT("'Tracker'!"&amp;ADDRESS(MATCH($N$93, Tracker[Anime Name], 0) + 2, 8)), "")</f>
        <v>Vivid</v>
      </c>
      <c r="V93" s="53">
        <f>IF(Completed!$C$92&lt;&gt;"",Completed!$C$92,"")</f>
        <v>7.5</v>
      </c>
      <c r="W93" s="53">
        <f>IF(Completed!$D$92&lt;&gt;"",Completed!$D$92,"")</f>
        <v>8</v>
      </c>
      <c r="X93" s="53">
        <f>IF(Completed!$E$92&lt;&gt;"",Completed!$E$92,"")</f>
        <v>6</v>
      </c>
      <c r="Y93" s="53">
        <f>IF(Completed!$F$92&lt;&gt;"",Completed!$F$92,"")</f>
        <v>8</v>
      </c>
      <c r="Z93" s="64">
        <f>IF(Completed!$G$92&lt;&gt;"",Completed!$G$92,"")</f>
        <v>7.8128140703517586</v>
      </c>
      <c r="AA93" s="74">
        <f>IF(Completed!$H$92&lt;&gt;"",Completed!$H$92,"")</f>
        <v>7.1061039179418186</v>
      </c>
      <c r="AB93" s="54">
        <f>IF(Completed!$I$92&lt;&gt;"",Completed!$I$92,"")</f>
        <v>41661</v>
      </c>
      <c r="AC93" s="54">
        <f>IF(Completed!$J$92&lt;&gt;"",Completed!$J$92,"")</f>
        <v>41722</v>
      </c>
      <c r="AD93" s="65" t="str">
        <f>IF(Completed!$K$92&lt;&gt;"",Completed!$K$92,"")</f>
        <v>Sanjou Keiko</v>
      </c>
      <c r="AE93" s="65" t="str">
        <f>IF(Completed!$L$92&lt;&gt;"",Completed!$L$92,"")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IF(Completed!$A$93&lt;&gt;"",Completed!$A$93,"")</f>
        <v>Space ☆ Dandy</v>
      </c>
      <c r="O94" s="28">
        <f>IF(Completed!$B$93&lt;&gt;"",Completed!$B$93,"")</f>
        <v>1</v>
      </c>
      <c r="P94" s="28">
        <f ca="1">IF($N$94&lt;&gt;"", INDIRECT("'Tracker'!"&amp;ADDRESS(MATCH($N$94, Tracker[Anime Name], 0) + 2, 3)), "")</f>
        <v>13</v>
      </c>
      <c r="Q94" s="22" t="str">
        <f ca="1">IF($N$94&lt;&gt;"", INDIRECT("'Tracker'!"&amp;ADDRESS(MATCH($N$94, Tracker[Anime Name], 0) + 2, 4)), "")</f>
        <v>B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Web</v>
      </c>
      <c r="T94" s="22" t="str">
        <f ca="1">IF($N$94&lt;&gt;"", INDIRECT("'Tracker'!"&amp;ADDRESS(MATCH($N$94, Tracker[Anime Name], 0) + 2, 7)), "")</f>
        <v>2013D</v>
      </c>
      <c r="U94" s="28" t="str">
        <f ca="1">IF($N$94&lt;&gt;"", INDIRECT("'Tracker'!"&amp;ADDRESS(MATCH($N$94, Tracker[Anime Name], 0) + 2, 8)), "")</f>
        <v>HorribleSubs</v>
      </c>
      <c r="V94" s="53">
        <f>IF(Completed!$C$93&lt;&gt;"",Completed!$C$93,"")</f>
        <v>5</v>
      </c>
      <c r="W94" s="53">
        <f>IF(Completed!$D$93&lt;&gt;"",Completed!$D$93,"")</f>
        <v>8</v>
      </c>
      <c r="X94" s="53">
        <f>IF(Completed!$E$93&lt;&gt;"",Completed!$E$93,"")</f>
        <v>5</v>
      </c>
      <c r="Y94" s="53">
        <f>IF(Completed!$F$93&lt;&gt;"",Completed!$F$93,"")</f>
        <v>9</v>
      </c>
      <c r="Z94" s="64">
        <f>IF(Completed!$G$93&lt;&gt;"",Completed!$G$93,"")</f>
        <v>7.8065326633165828</v>
      </c>
      <c r="AA94" s="74">
        <f>IF(Completed!$H$93&lt;&gt;"",Completed!$H$93,"")</f>
        <v>7.0976963174709935</v>
      </c>
      <c r="AB94" s="54">
        <f>IF(Completed!$I$93&lt;&gt;"",Completed!$I$93,"")</f>
        <v>41650</v>
      </c>
      <c r="AC94" s="54">
        <f>IF(Completed!$J$93&lt;&gt;"",Completed!$J$93,"")</f>
        <v>41744</v>
      </c>
      <c r="AD94" s="65" t="str">
        <f>IF(Completed!$K$93&lt;&gt;"",Completed!$K$93,"")</f>
        <v>Adelie</v>
      </c>
      <c r="AE94" s="65" t="str">
        <f>IF(Completed!$L$93&lt;&gt;"",Completed!$L$93,"")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IF(Completed!$A$94&lt;&gt;"",Completed!$A$94,"")</f>
        <v>Danshi Koukousei no Nichijou</v>
      </c>
      <c r="O95" s="28">
        <f>IF(Completed!$B$94&lt;&gt;"",Completed!$B$94,"")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2011D</v>
      </c>
      <c r="U95" s="28" t="str">
        <f ca="1">IF($N$95&lt;&gt;"", INDIRECT("'Tracker'!"&amp;ADDRESS(MATCH($N$95, Tracker[Anime Name], 0) + 2, 8)), "")</f>
        <v>AnimeNOW</v>
      </c>
      <c r="V95" s="53">
        <f>IF(Completed!$C$94&lt;&gt;"",Completed!$C$94,"")</f>
        <v>4</v>
      </c>
      <c r="W95" s="53">
        <f>IF(Completed!$D$94&lt;&gt;"",Completed!$D$94,"")</f>
        <v>8</v>
      </c>
      <c r="X95" s="53">
        <f>IF(Completed!$E$94&lt;&gt;"",Completed!$E$94,"")</f>
        <v>3</v>
      </c>
      <c r="Y95" s="53">
        <f>IF(Completed!$F$94&lt;&gt;"",Completed!$F$94,"")</f>
        <v>9.5</v>
      </c>
      <c r="Z95" s="64">
        <f>IF(Completed!$G$94&lt;&gt;"",Completed!$G$94,"")</f>
        <v>7.7776381909547743</v>
      </c>
      <c r="AA95" s="74">
        <f>IF(Completed!$H$94&lt;&gt;"",Completed!$H$94,"")</f>
        <v>7.0590213553051964</v>
      </c>
      <c r="AB95" s="54">
        <f>IF(Completed!$I$94&lt;&gt;"",Completed!$I$94,"")</f>
        <v>41443</v>
      </c>
      <c r="AC95" s="54">
        <f>IF(Completed!$J$94&lt;&gt;"",Completed!$J$94,"")</f>
        <v>41444</v>
      </c>
      <c r="AD95" s="65" t="str">
        <f>IF(Completed!$K$94&lt;&gt;"",Completed!$K$94,"")</f>
        <v>Literary Girl</v>
      </c>
      <c r="AE95" s="65" t="str">
        <f>IF(Completed!$L$94&lt;&gt;"",Completed!$L$94,"")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IF(Completed!$A$95&lt;&gt;"",Completed!$A$95,"")</f>
        <v>Yosuga no Sora</v>
      </c>
      <c r="O96" s="28">
        <f>IF(Completed!$B$95&lt;&gt;"",Completed!$B$95,"")</f>
        <v>1</v>
      </c>
      <c r="P96" s="28">
        <f ca="1">IF($N$96&lt;&gt;"", INDIRECT("'Tracker'!"&amp;ADDRESS(MATCH($N$96, Tracker[Anime Name], 0) + 2, 3)), "")</f>
        <v>12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BD</v>
      </c>
      <c r="T96" s="22" t="str">
        <f ca="1">IF($N$96&lt;&gt;"", INDIRECT("'Tracker'!"&amp;ADDRESS(MATCH($N$96, Tracker[Anime Name], 0) + 2, 7)), "")</f>
        <v>2010C</v>
      </c>
      <c r="U96" s="28" t="str">
        <f ca="1">IF($N$96&lt;&gt;"", INDIRECT("'Tracker'!"&amp;ADDRESS(MATCH($N$96, Tracker[Anime Name], 0) + 2, 8)), "")</f>
        <v>Coalgirls, UTW, Ryuumaru</v>
      </c>
      <c r="V96" s="53">
        <f>IF(Completed!$C$95&lt;&gt;"",Completed!$C$95,"")</f>
        <v>7</v>
      </c>
      <c r="W96" s="53">
        <f>IF(Completed!$D$95&lt;&gt;"",Completed!$D$95,"")</f>
        <v>8</v>
      </c>
      <c r="X96" s="53">
        <f>IF(Completed!$E$95&lt;&gt;"",Completed!$E$95,"")</f>
        <v>7</v>
      </c>
      <c r="Y96" s="53">
        <f>IF(Completed!$F$95&lt;&gt;"",Completed!$F$95,"")</f>
        <v>8</v>
      </c>
      <c r="Z96" s="64">
        <f>IF(Completed!$G$95&lt;&gt;"",Completed!$G$95,"")</f>
        <v>7.7688442211055282</v>
      </c>
      <c r="AA96" s="74">
        <f>IF(Completed!$H$95&lt;&gt;"",Completed!$H$95,"")</f>
        <v>7.0472507146460401</v>
      </c>
      <c r="AB96" s="54">
        <f>IF(Completed!$I$95&lt;&gt;"",Completed!$I$95,"")</f>
        <v>41457</v>
      </c>
      <c r="AC96" s="54">
        <f>IF(Completed!$J$95&lt;&gt;"",Completed!$J$95,"")</f>
        <v>41463</v>
      </c>
      <c r="AD96" s="65" t="str">
        <f>IF(Completed!$K$95&lt;&gt;"",Completed!$K$95,"")</f>
        <v>Kasugano Sora</v>
      </c>
      <c r="AE96" s="65" t="str">
        <f>IF(Completed!$L$95&lt;&gt;"",Completed!$L$95,"")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IF(Completed!$A$96&lt;&gt;"",Completed!$A$96,"")</f>
        <v>D-Frag!</v>
      </c>
      <c r="O97" s="28">
        <f>IF(Completed!$B$96&lt;&gt;"",Completed!$B$96,"")</f>
        <v>1</v>
      </c>
      <c r="P97" s="28">
        <f ca="1">IF($N$97&lt;&gt;"", INDIRECT("'Tracker'!"&amp;ADDRESS(MATCH($N$97, Tracker[Anime Name], 0) + 2, 3)), "")</f>
        <v>12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Vivid</v>
      </c>
      <c r="V97" s="53">
        <f>IF(Completed!$C$96&lt;&gt;"",Completed!$C$96,"")</f>
        <v>7.5</v>
      </c>
      <c r="W97" s="53">
        <f>IF(Completed!$D$96&lt;&gt;"",Completed!$D$96,"")</f>
        <v>8</v>
      </c>
      <c r="X97" s="53">
        <f>IF(Completed!$E$96&lt;&gt;"",Completed!$E$96,"")</f>
        <v>5</v>
      </c>
      <c r="Y97" s="53">
        <f>IF(Completed!$F$96&lt;&gt;"",Completed!$F$96,"")</f>
        <v>8</v>
      </c>
      <c r="Z97" s="64">
        <f>IF(Completed!$G$96&lt;&gt;"",Completed!$G$96,"")</f>
        <v>7.7650753768844227</v>
      </c>
      <c r="AA97" s="74">
        <f>IF(Completed!$H$96&lt;&gt;"",Completed!$H$96,"")</f>
        <v>7.0422061543635452</v>
      </c>
      <c r="AB97" s="54">
        <f>IF(Completed!$I$96&lt;&gt;"",Completed!$I$96,"")</f>
        <v>41648</v>
      </c>
      <c r="AC97" s="54">
        <f>IF(Completed!$J$96&lt;&gt;"",Completed!$J$96,"")</f>
        <v>41746</v>
      </c>
      <c r="AD97" s="65" t="str">
        <f>IF(Completed!$K$96&lt;&gt;"",Completed!$K$96,"")</f>
        <v>Shibasaki Roka</v>
      </c>
      <c r="AE97" s="65" t="str">
        <f>IF(Completed!$L$96&lt;&gt;"",Completed!$L$96,"")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IF(Completed!$A$97&lt;&gt;"",Completed!$A$97,"")</f>
        <v>Kiniro Mosaic</v>
      </c>
      <c r="O98" s="28">
        <f>IF(Completed!$B$97&lt;&gt;"",Completed!$B$97,"")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1080p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Doki</v>
      </c>
      <c r="V98" s="53">
        <f>IF(Completed!$C$97&lt;&gt;"",Completed!$C$97,"")</f>
        <v>3.5</v>
      </c>
      <c r="W98" s="53">
        <f>IF(Completed!$D$97&lt;&gt;"",Completed!$D$97,"")</f>
        <v>8</v>
      </c>
      <c r="X98" s="53">
        <f>IF(Completed!$E$97&lt;&gt;"",Completed!$E$97,"")</f>
        <v>9.5</v>
      </c>
      <c r="Y98" s="53">
        <f>IF(Completed!$F$97&lt;&gt;"",Completed!$F$97,"")</f>
        <v>9</v>
      </c>
      <c r="Z98" s="64">
        <f>IF(Completed!$G$97&lt;&gt;"",Completed!$G$97,"")</f>
        <v>7.7462311557788937</v>
      </c>
      <c r="AA98" s="74">
        <f>IF(Completed!$H$97&lt;&gt;"",Completed!$H$97,"")</f>
        <v>7.0169833529510663</v>
      </c>
      <c r="AB98" s="54">
        <f>IF(Completed!$I$97&lt;&gt;"",Completed!$I$97,"")</f>
        <v>41462</v>
      </c>
      <c r="AC98" s="54">
        <f>IF(Completed!$J$97&lt;&gt;"",Completed!$J$97,"")</f>
        <v>41538</v>
      </c>
      <c r="AD98" s="65" t="str">
        <f>IF(Completed!$K$97&lt;&gt;"",Completed!$K$97,"")</f>
        <v>Komichi Aya</v>
      </c>
      <c r="AE98" s="65" t="str">
        <f>IF(Completed!$L$97&lt;&gt;"",Completed!$L$97,"")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IF(Completed!$A$98&lt;&gt;"",Completed!$A$98,"")</f>
        <v>Nichijou</v>
      </c>
      <c r="O99" s="28">
        <f>IF(Completed!$B$98&lt;&gt;"",Completed!$B$98,"")</f>
        <v>1</v>
      </c>
      <c r="P99" s="28">
        <f ca="1">IF($N$99&lt;&gt;"", INDIRECT("'Tracker'!"&amp;ADDRESS(MATCH($N$99, Tracker[Anime Name], 0) + 2, 3)), "")</f>
        <v>26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1080p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2011A</v>
      </c>
      <c r="U99" s="28" t="str">
        <f ca="1">IF($N$99&lt;&gt;"", INDIRECT("'Tracker'!"&amp;ADDRESS(MATCH($N$99, Tracker[Anime Name], 0) + 2, 8)), "")</f>
        <v>Doki</v>
      </c>
      <c r="V99" s="53">
        <f>IF(Completed!$C$98&lt;&gt;"",Completed!$C$98,"")</f>
        <v>2</v>
      </c>
      <c r="W99" s="53">
        <f>IF(Completed!$D$98&lt;&gt;"",Completed!$D$98,"")</f>
        <v>8.5</v>
      </c>
      <c r="X99" s="53">
        <f>IF(Completed!$E$98&lt;&gt;"",Completed!$E$98,"")</f>
        <v>7</v>
      </c>
      <c r="Y99" s="53">
        <f>IF(Completed!$F$98&lt;&gt;"",Completed!$F$98,"")</f>
        <v>9.5</v>
      </c>
      <c r="Z99" s="64">
        <f>IF(Completed!$G$98&lt;&gt;"",Completed!$G$98,"")</f>
        <v>7.7361809045226133</v>
      </c>
      <c r="AA99" s="74">
        <f>IF(Completed!$H$98&lt;&gt;"",Completed!$H$98,"")</f>
        <v>7.0035311921977463</v>
      </c>
      <c r="AB99" s="54">
        <f>IF(Completed!$I$98&lt;&gt;"",Completed!$I$98,"")</f>
        <v>41291</v>
      </c>
      <c r="AC99" s="54">
        <f>IF(Completed!$J$98&lt;&gt;"",Completed!$J$98,"")</f>
        <v>41298</v>
      </c>
      <c r="AD99" s="65" t="str">
        <f>IF(Completed!$K$98&lt;&gt;"",Completed!$K$98,"")</f>
        <v>Minakami Mai</v>
      </c>
      <c r="AE99" s="65" t="str">
        <f>IF(Completed!$L$98&lt;&gt;"",Completed!$L$98,"")</f>
        <v>The ultimate slice of life. Pretty funny, but art style bothers me</v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IF(Completed!$A$99&lt;&gt;"",Completed!$A$99,"")</f>
        <v>Coppelion</v>
      </c>
      <c r="O100" s="28">
        <f>IF(Completed!$B$99&lt;&gt;"",Completed!$B$99,"")</f>
        <v>1</v>
      </c>
      <c r="P100" s="28">
        <f ca="1">IF($N$100&lt;&gt;"", INDIRECT("'Tracker'!"&amp;ADDRESS(MATCH($N$100, Tracker[Anime Name], 0) + 2, 3)), "")</f>
        <v>13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Web</v>
      </c>
      <c r="T100" s="22" t="str">
        <f ca="1">IF($N$100&lt;&gt;"", INDIRECT("'Tracker'!"&amp;ADDRESS(MATCH($N$100, Tracker[Anime Name], 0) + 2, 7)), "")</f>
        <v>2013C</v>
      </c>
      <c r="U100" s="28" t="str">
        <f ca="1">IF($N$100&lt;&gt;"", INDIRECT("'Tracker'!"&amp;ADDRESS(MATCH($N$100, Tracker[Anime Name], 0) + 2, 8)), "")</f>
        <v>HorribleSubs</v>
      </c>
      <c r="V100" s="53">
        <f>IF(Completed!$C$99&lt;&gt;"",Completed!$C$99,"")</f>
        <v>8.5</v>
      </c>
      <c r="W100" s="53">
        <f>IF(Completed!$D$99&lt;&gt;"",Completed!$D$99,"")</f>
        <v>7.5</v>
      </c>
      <c r="X100" s="53">
        <f>IF(Completed!$E$99&lt;&gt;"",Completed!$E$99,"")</f>
        <v>2</v>
      </c>
      <c r="Y100" s="53">
        <f>IF(Completed!$F$99&lt;&gt;"",Completed!$F$99,"")</f>
        <v>8</v>
      </c>
      <c r="Z100" s="64">
        <f>IF(Completed!$G$99&lt;&gt;"",Completed!$G$99,"")</f>
        <v>7.6708542713567844</v>
      </c>
      <c r="AA100" s="74">
        <f>IF(Completed!$H$99&lt;&gt;"",Completed!$H$99,"")</f>
        <v>6.9160921473011605</v>
      </c>
      <c r="AB100" s="54">
        <f>IF(Completed!$I$99&lt;&gt;"",Completed!$I$99,"")</f>
        <v>41555</v>
      </c>
      <c r="AC100" s="54">
        <f>IF(Completed!$J$99&lt;&gt;"",Completed!$J$99,"")</f>
        <v>41634</v>
      </c>
      <c r="AD100" s="65" t="str">
        <f>IF(Completed!$K$99&lt;&gt;"",Completed!$K$99,"")</f>
        <v>Nomura Taeko</v>
      </c>
      <c r="AE100" s="65" t="str">
        <f>IF(Completed!$L$99&lt;&gt;"",Completed!$L$99,"")</f>
        <v>Despite a few plot holes, it was pretty good overall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IF(Completed!$A$100&lt;&gt;"",Completed!$A$100,"")</f>
        <v>Chuunibyou demo Koi ga Shitai! Ren</v>
      </c>
      <c r="O101" s="28">
        <f>IF(Completed!$B$100&lt;&gt;"",Completed!$B$100,"")</f>
        <v>2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2013D</v>
      </c>
      <c r="U101" s="28" t="str">
        <f ca="1">IF($N$101&lt;&gt;"", INDIRECT("'Tracker'!"&amp;ADDRESS(MATCH($N$101, Tracker[Anime Name], 0) + 2, 8)), "")</f>
        <v>FFF, UTW (FTW)</v>
      </c>
      <c r="V101" s="53">
        <f>IF(Completed!$C$100&lt;&gt;"",Completed!$C$100,"")</f>
        <v>8</v>
      </c>
      <c r="W101" s="53">
        <f>IF(Completed!$D$100&lt;&gt;"",Completed!$D$100,"")</f>
        <v>8</v>
      </c>
      <c r="X101" s="53">
        <f>IF(Completed!$E$100&lt;&gt;"",Completed!$E$100,"")</f>
        <v>6</v>
      </c>
      <c r="Y101" s="53">
        <f>IF(Completed!$F$100&lt;&gt;"",Completed!$F$100,"")</f>
        <v>7.5</v>
      </c>
      <c r="Z101" s="64">
        <f>IF(Completed!$G$100&lt;&gt;"",Completed!$G$100,"")</f>
        <v>7.6545226130653274</v>
      </c>
      <c r="AA101" s="74">
        <f>IF(Completed!$H$100&lt;&gt;"",Completed!$H$100,"")</f>
        <v>6.8942323860770145</v>
      </c>
      <c r="AB101" s="54">
        <f>IF(Completed!$I$100&lt;&gt;"",Completed!$I$100,"")</f>
        <v>41648</v>
      </c>
      <c r="AC101" s="54">
        <f>IF(Completed!$J$100&lt;&gt;"",Completed!$J$100,"")</f>
        <v>41730</v>
      </c>
      <c r="AD101" s="65" t="str">
        <f>IF(Completed!$K$100&lt;&gt;"",Completed!$K$100,"")</f>
        <v>Togashi Kuzuha</v>
      </c>
      <c r="AE101" s="65" t="str">
        <f>IF(Completed!$L$100&lt;&gt;"",Completed!$L$100,"")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IF(Completed!$A$101&lt;&gt;"",Completed!$A$101,"")</f>
        <v>Black ★ Rock Shooter</v>
      </c>
      <c r="O102" s="28">
        <f>IF(Completed!$B$101&lt;&gt;"",Completed!$B$101,"")</f>
        <v>1</v>
      </c>
      <c r="P102" s="28">
        <f ca="1">IF($N$102&lt;&gt;"", INDIRECT("'Tracker'!"&amp;ADDRESS(MATCH($N$102, Tracker[Anime Name], 0) + 2, 3)), "")</f>
        <v>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2011D</v>
      </c>
      <c r="U102" s="28" t="str">
        <f ca="1">IF($N$102&lt;&gt;"", INDIRECT("'Tracker'!"&amp;ADDRESS(MATCH($N$102, Tracker[Anime Name], 0) + 2, 8)), "")</f>
        <v>Final8</v>
      </c>
      <c r="V102" s="53">
        <f>IF(Completed!$C$101&lt;&gt;"",Completed!$C$101,"")</f>
        <v>8</v>
      </c>
      <c r="W102" s="53">
        <f>IF(Completed!$D$101&lt;&gt;"",Completed!$D$101,"")</f>
        <v>7.5</v>
      </c>
      <c r="X102" s="53">
        <f>IF(Completed!$E$101&lt;&gt;"",Completed!$E$101,"")</f>
        <v>3.5</v>
      </c>
      <c r="Y102" s="53">
        <f>IF(Completed!$F$101&lt;&gt;"",Completed!$F$101,"")</f>
        <v>8</v>
      </c>
      <c r="Z102" s="64">
        <f>IF(Completed!$G$101&lt;&gt;"",Completed!$G$101,"")</f>
        <v>7.650753768844222</v>
      </c>
      <c r="AA102" s="74">
        <f>IF(Completed!$H$101&lt;&gt;"",Completed!$H$101,"")</f>
        <v>6.8891878257945187</v>
      </c>
      <c r="AB102" s="54">
        <f>IF(Completed!$I$101&lt;&gt;"",Completed!$I$101,"")</f>
        <v>41541</v>
      </c>
      <c r="AC102" s="54">
        <f>IF(Completed!$J$101&lt;&gt;"",Completed!$J$101,"")</f>
        <v>41541</v>
      </c>
      <c r="AD102" s="65" t="str">
        <f>IF(Completed!$K$101&lt;&gt;"",Completed!$K$101,"")</f>
        <v>Black Rock Shooter</v>
      </c>
      <c r="AE102" s="65" t="str">
        <f>IF(Completed!$L$101&lt;&gt;"",Completed!$L$101,"")</f>
        <v/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IF(Completed!$A$102&lt;&gt;"",Completed!$A$102,"")</f>
        <v>Chuunibyou demo Koi ga Shitai!</v>
      </c>
      <c r="O103" s="28">
        <f>IF(Completed!$B$102&lt;&gt;"",Completed!$B$102,"")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2012C</v>
      </c>
      <c r="U103" s="28" t="str">
        <f ca="1">IF($N$103&lt;&gt;"", INDIRECT("'Tracker'!"&amp;ADDRESS(MATCH($N$103, Tracker[Anime Name], 0) + 2, 8)), "")</f>
        <v>UTW, rori (URW)</v>
      </c>
      <c r="V103" s="53">
        <f>IF(Completed!$C$102&lt;&gt;"",Completed!$C$102,"")</f>
        <v>8</v>
      </c>
      <c r="W103" s="53">
        <f>IF(Completed!$D$102&lt;&gt;"",Completed!$D$102,"")</f>
        <v>7</v>
      </c>
      <c r="X103" s="53">
        <f>IF(Completed!$E$102&lt;&gt;"",Completed!$E$102,"")</f>
        <v>6</v>
      </c>
      <c r="Y103" s="53">
        <f>IF(Completed!$F$102&lt;&gt;"",Completed!$F$102,"")</f>
        <v>8</v>
      </c>
      <c r="Z103" s="64">
        <f>IF(Completed!$G$102&lt;&gt;"",Completed!$G$102,"")</f>
        <v>7.6356783919597992</v>
      </c>
      <c r="AA103" s="74">
        <f>IF(Completed!$H$102&lt;&gt;"",Completed!$H$102,"")</f>
        <v>6.8690095846645365</v>
      </c>
      <c r="AB103" s="54">
        <f>IF(Completed!$I$102&lt;&gt;"",Completed!$I$102,"")</f>
        <v>41251</v>
      </c>
      <c r="AC103" s="54">
        <f>IF(Completed!$J$102&lt;&gt;"",Completed!$J$102,"")</f>
        <v>41263</v>
      </c>
      <c r="AD103" s="65" t="str">
        <f>IF(Completed!$K$102&lt;&gt;"",Completed!$K$102,"")</f>
        <v>Takanashi Touka</v>
      </c>
      <c r="AE103" s="65" t="str">
        <f>IF(Completed!$L$102&lt;&gt;"",Completed!$L$102,"")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IF(Completed!$A$103&lt;&gt;"",Completed!$A$103,"")</f>
        <v>Love Lab</v>
      </c>
      <c r="O104" s="28">
        <f>IF(Completed!$B$103&lt;&gt;"",Completed!$B$103,"")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2013B</v>
      </c>
      <c r="U104" s="28" t="str">
        <f ca="1">IF($N$104&lt;&gt;"", INDIRECT("'Tracker'!"&amp;ADDRESS(MATCH($N$104, Tracker[Anime Name], 0) + 2, 8)), "")</f>
        <v>FFF</v>
      </c>
      <c r="V104" s="53">
        <f>IF(Completed!$C$103&lt;&gt;"",Completed!$C$103,"")</f>
        <v>8</v>
      </c>
      <c r="W104" s="53">
        <f>IF(Completed!$D$103&lt;&gt;"",Completed!$D$103,"")</f>
        <v>8</v>
      </c>
      <c r="X104" s="53">
        <f>IF(Completed!$E$103&lt;&gt;"",Completed!$E$103,"")</f>
        <v>5.5</v>
      </c>
      <c r="Y104" s="53">
        <f>IF(Completed!$F$103&lt;&gt;"",Completed!$F$103,"")</f>
        <v>7.5</v>
      </c>
      <c r="Z104" s="64">
        <f>IF(Completed!$G$103&lt;&gt;"",Completed!$G$103,"")</f>
        <v>7.6306532663316586</v>
      </c>
      <c r="AA104" s="74">
        <f>IF(Completed!$H$103&lt;&gt;"",Completed!$H$103,"")</f>
        <v>6.862283504287876</v>
      </c>
      <c r="AB104" s="54">
        <f>IF(Completed!$I$103&lt;&gt;"",Completed!$I$103,"")</f>
        <v>41461</v>
      </c>
      <c r="AC104" s="54">
        <f>IF(Completed!$J$103&lt;&gt;"",Completed!$J$103,"")</f>
        <v>41546</v>
      </c>
      <c r="AD104" s="65" t="str">
        <f>IF(Completed!$K$103&lt;&gt;"",Completed!$K$103,"")</f>
        <v>Kurahashi Riko</v>
      </c>
      <c r="AE104" s="65" t="str">
        <f>IF(Completed!$L$103&lt;&gt;"",Completed!$L$103,"")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IF(Completed!$A$104&lt;&gt;"",Completed!$A$104,"")</f>
        <v>Kotoura-san</v>
      </c>
      <c r="O105" s="28">
        <f>IF(Completed!$B$104&lt;&gt;"",Completed!$B$104,"")</f>
        <v>1</v>
      </c>
      <c r="P105" s="28">
        <f ca="1">IF($N$105&lt;&gt;"", INDIRECT("'Tracker'!"&amp;ADDRESS(MATCH($N$105, Tracker[Anime Name], 0) + 2, 3)), "")</f>
        <v>12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2012D</v>
      </c>
      <c r="U105" s="28" t="str">
        <f ca="1">IF($N$105&lt;&gt;"", INDIRECT("'Tracker'!"&amp;ADDRESS(MATCH($N$105, Tracker[Anime Name], 0) + 2, 8)), "")</f>
        <v>HorribleSubs</v>
      </c>
      <c r="V105" s="53">
        <f>IF(Completed!$C$104&lt;&gt;"",Completed!$C$104,"")</f>
        <v>7</v>
      </c>
      <c r="W105" s="53">
        <f>IF(Completed!$D$104&lt;&gt;"",Completed!$D$104,"")</f>
        <v>7.5</v>
      </c>
      <c r="X105" s="53">
        <f>IF(Completed!$E$104&lt;&gt;"",Completed!$E$104,"")</f>
        <v>6.5</v>
      </c>
      <c r="Y105" s="53">
        <f>IF(Completed!$F$104&lt;&gt;"",Completed!$F$104,"")</f>
        <v>8</v>
      </c>
      <c r="Z105" s="64">
        <f>IF(Completed!$G$104&lt;&gt;"",Completed!$G$104,"")</f>
        <v>7.6105527638190953</v>
      </c>
      <c r="AA105" s="74">
        <f>IF(Completed!$H$104&lt;&gt;"",Completed!$H$104,"")</f>
        <v>6.8353791827812342</v>
      </c>
      <c r="AB105" s="54">
        <f>IF(Completed!$I$104&lt;&gt;"",Completed!$I$104,"")</f>
        <v>41430</v>
      </c>
      <c r="AC105" s="54">
        <f>IF(Completed!$J$104&lt;&gt;"",Completed!$J$104,"")</f>
        <v>41431</v>
      </c>
      <c r="AD105" s="65" t="str">
        <f>IF(Completed!$K$104&lt;&gt;"",Completed!$K$104,"")</f>
        <v>Haruka Kotoura</v>
      </c>
      <c r="AE105" s="65" t="str">
        <f>IF(Completed!$L$104&lt;&gt;"",Completed!$L$104,"")</f>
        <v>So much wasted potential - started out great</v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IF(Completed!$A$105&lt;&gt;"",Completed!$A$105,"")</f>
        <v>Jinsei</v>
      </c>
      <c r="O106" s="28">
        <f>IF(Completed!$B$105&lt;&gt;"",Completed!$B$105,"")</f>
        <v>1</v>
      </c>
      <c r="P106" s="28">
        <f ca="1">IF($N$106&lt;&gt;"", INDIRECT("'Tracker'!"&amp;ADDRESS(MATCH($N$106, Tracker[Anime Name], 0) + 2, 3)), "")</f>
        <v>13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2014B</v>
      </c>
      <c r="U106" s="28" t="str">
        <f ca="1">IF($N$106&lt;&gt;"", INDIRECT("'Tracker'!"&amp;ADDRESS(MATCH($N$106, Tracker[Anime Name], 0) + 2, 8)), "")</f>
        <v>FFF</v>
      </c>
      <c r="V106" s="53">
        <f>IF(Completed!$C$105&lt;&gt;"",Completed!$C$105,"")</f>
        <v>7</v>
      </c>
      <c r="W106" s="53">
        <f>IF(Completed!$D$105&lt;&gt;"",Completed!$D$105,"")</f>
        <v>7.5</v>
      </c>
      <c r="X106" s="53">
        <f>IF(Completed!$E$105&lt;&gt;"",Completed!$E$105,"")</f>
        <v>6</v>
      </c>
      <c r="Y106" s="53">
        <f>IF(Completed!$F$105&lt;&gt;"",Completed!$F$105,"")</f>
        <v>8</v>
      </c>
      <c r="Z106" s="64">
        <f>IF(Completed!$G$105&lt;&gt;"",Completed!$G$105,"")</f>
        <v>7.5866834170854274</v>
      </c>
      <c r="AA106" s="74">
        <f>IF(Completed!$H$105&lt;&gt;"",Completed!$H$105,"")</f>
        <v>6.8034303009920967</v>
      </c>
      <c r="AB106" s="54">
        <f>IF(Completed!$I$105&lt;&gt;"",Completed!$I$105,"")</f>
        <v>41837</v>
      </c>
      <c r="AC106" s="54">
        <f>IF(Completed!$J$105&lt;&gt;"",Completed!$J$105,"")</f>
        <v>42020</v>
      </c>
      <c r="AD106" s="65" t="str">
        <f>IF(Completed!$K$105&lt;&gt;"",Completed!$K$105,"")</f>
        <v>Murakami Emi</v>
      </c>
      <c r="AE106" s="65" t="str">
        <f>IF(Completed!$L$105&lt;&gt;"",Completed!$L$105,"")</f>
        <v>Science was cool too, but arts wins</v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IF(Completed!$A$106&lt;&gt;"",Completed!$A$106,"")</f>
        <v>Akuma no Riddle</v>
      </c>
      <c r="O107" s="28">
        <f>IF(Completed!$B$106&lt;&gt;"",Completed!$B$106,"")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Web</v>
      </c>
      <c r="T107" s="22" t="str">
        <f ca="1">IF($N$107&lt;&gt;"", INDIRECT("'Tracker'!"&amp;ADDRESS(MATCH($N$107, Tracker[Anime Name], 0) + 2, 7)), "")</f>
        <v>2014A</v>
      </c>
      <c r="U107" s="28" t="str">
        <f ca="1">IF($N$107&lt;&gt;"", INDIRECT("'Tracker'!"&amp;ADDRESS(MATCH($N$107, Tracker[Anime Name], 0) + 2, 8)), "")</f>
        <v>HorribleSubs</v>
      </c>
      <c r="V107" s="53">
        <f>IF(Completed!$C$106&lt;&gt;"",Completed!$C$106,"")</f>
        <v>7.5</v>
      </c>
      <c r="W107" s="53">
        <f>IF(Completed!$D$106&lt;&gt;"",Completed!$D$106,"")</f>
        <v>8</v>
      </c>
      <c r="X107" s="53">
        <f>IF(Completed!$E$106&lt;&gt;"",Completed!$E$106,"")</f>
        <v>5.5</v>
      </c>
      <c r="Y107" s="53">
        <f>IF(Completed!$F$106&lt;&gt;"",Completed!$F$106,"")</f>
        <v>7.5</v>
      </c>
      <c r="Z107" s="64">
        <f>IF(Completed!$G$106&lt;&gt;"",Completed!$G$106,"")</f>
        <v>7.5389447236180915</v>
      </c>
      <c r="AA107" s="74">
        <f>IF(Completed!$H$106&lt;&gt;"",Completed!$H$106,"")</f>
        <v>6.7395325374138233</v>
      </c>
      <c r="AB107" s="54">
        <f>IF(Completed!$I$106&lt;&gt;"",Completed!$I$106,"")</f>
        <v>41759</v>
      </c>
      <c r="AC107" s="54">
        <f>IF(Completed!$J$106&lt;&gt;"",Completed!$J$106,"")</f>
        <v>41812</v>
      </c>
      <c r="AD107" s="65" t="str">
        <f>IF(Completed!$K$106&lt;&gt;"",Completed!$K$106,"")</f>
        <v>Shutou Suzu</v>
      </c>
      <c r="AE107" s="65" t="str">
        <f>IF(Completed!$L$106&lt;&gt;"",Completed!$L$106,"")</f>
        <v>Tokaku and Haruki come close for best girl though</v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IF(Completed!$A$107&lt;&gt;"",Completed!$A$107,"")</f>
        <v>Dansai Bunri no Crime Edge</v>
      </c>
      <c r="O108" s="28">
        <f>IF(Completed!$B$107&lt;&gt;"",Completed!$B$107,"")</f>
        <v>1</v>
      </c>
      <c r="P108" s="28">
        <f ca="1">IF($N$108&lt;&gt;"", INDIRECT("'Tracker'!"&amp;ADDRESS(MATCH($N$108, Tracker[Anime Name], 0) + 2, 3)), "")</f>
        <v>13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2013A</v>
      </c>
      <c r="U108" s="28" t="str">
        <f ca="1">IF($N$108&lt;&gt;"", INDIRECT("'Tracker'!"&amp;ADDRESS(MATCH($N$108, Tracker[Anime Name], 0) + 2, 8)), "")</f>
        <v>Anime-Koi</v>
      </c>
      <c r="V108" s="53">
        <f>IF(Completed!$C$107&lt;&gt;"",Completed!$C$107,"")</f>
        <v>8</v>
      </c>
      <c r="W108" s="53">
        <f>IF(Completed!$D$107&lt;&gt;"",Completed!$D$107,"")</f>
        <v>7.5</v>
      </c>
      <c r="X108" s="53">
        <f>IF(Completed!$E$107&lt;&gt;"",Completed!$E$107,"")</f>
        <v>5</v>
      </c>
      <c r="Y108" s="53">
        <f>IF(Completed!$F$107&lt;&gt;"",Completed!$F$107,"")</f>
        <v>7.5</v>
      </c>
      <c r="Z108" s="64">
        <f>IF(Completed!$G$107&lt;&gt;"",Completed!$G$107,"")</f>
        <v>7.4723618090452266</v>
      </c>
      <c r="AA108" s="74">
        <f>IF(Completed!$H$107&lt;&gt;"",Completed!$H$107,"")</f>
        <v>6.650411972423071</v>
      </c>
      <c r="AB108" s="54">
        <f>IF(Completed!$I$107&lt;&gt;"",Completed!$I$107,"")</f>
        <v>41453</v>
      </c>
      <c r="AC108" s="54">
        <f>IF(Completed!$J$107&lt;&gt;"",Completed!$J$107,"")</f>
        <v>41457</v>
      </c>
      <c r="AD108" s="65" t="str">
        <f>IF(Completed!$K$107&lt;&gt;"",Completed!$K$107,"")</f>
        <v>Mushanokouji Iwai</v>
      </c>
      <c r="AE108" s="65" t="str">
        <f>IF(Completed!$L$107&lt;&gt;"",Completed!$L$107,"")</f>
        <v>Besides the obvious fetish scenes, not bad. OP is pretty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IF(Completed!$A$108&lt;&gt;"",Completed!$A$108,"")</f>
        <v>Kami-sama no Inai Nichiyoubi</v>
      </c>
      <c r="O109" s="28">
        <f>IF(Completed!$B$108&lt;&gt;"",Completed!$B$108,"")</f>
        <v>1</v>
      </c>
      <c r="P109" s="28">
        <f ca="1">IF($N$109&lt;&gt;"", INDIRECT("'Tracker'!"&amp;ADDRESS(MATCH($N$109, Tracker[Anime Name], 0) + 2, 3)), "")</f>
        <v>12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Web</v>
      </c>
      <c r="T109" s="22" t="str">
        <f ca="1">IF($N$109&lt;&gt;"", INDIRECT("'Tracker'!"&amp;ADDRESS(MATCH($N$109, Tracker[Anime Name], 0) + 2, 7)), "")</f>
        <v>2013B</v>
      </c>
      <c r="U109" s="28" t="str">
        <f ca="1">IF($N$109&lt;&gt;"", INDIRECT("'Tracker'!"&amp;ADDRESS(MATCH($N$109, Tracker[Anime Name], 0) + 2, 8)), "")</f>
        <v>HorribleSubs</v>
      </c>
      <c r="V109" s="53">
        <f>IF(Completed!$C$108&lt;&gt;"",Completed!$C$108,"")</f>
        <v>7</v>
      </c>
      <c r="W109" s="53">
        <f>IF(Completed!$D$108&lt;&gt;"",Completed!$D$108,"")</f>
        <v>7.5</v>
      </c>
      <c r="X109" s="53">
        <f>IF(Completed!$E$108&lt;&gt;"",Completed!$E$108,"")</f>
        <v>3.5</v>
      </c>
      <c r="Y109" s="53">
        <f>IF(Completed!$F$108&lt;&gt;"",Completed!$F$108,"")</f>
        <v>8</v>
      </c>
      <c r="Z109" s="64">
        <f>IF(Completed!$G$108&lt;&gt;"",Completed!$G$108,"")</f>
        <v>7.4673366834170851</v>
      </c>
      <c r="AA109" s="74">
        <f>IF(Completed!$H$108&lt;&gt;"",Completed!$H$108,"")</f>
        <v>6.6436858920464097</v>
      </c>
      <c r="AB109" s="54">
        <f>IF(Completed!$I$108&lt;&gt;"",Completed!$I$108,"")</f>
        <v>41465</v>
      </c>
      <c r="AC109" s="54">
        <f>IF(Completed!$J$108&lt;&gt;"",Completed!$J$108,"")</f>
        <v>41543</v>
      </c>
      <c r="AD109" s="65" t="str">
        <f>IF(Completed!$K$108&lt;&gt;"",Completed!$K$108,"")</f>
        <v>Ulla Euleus Hecmatika</v>
      </c>
      <c r="AE109" s="65" t="str">
        <f>IF(Completed!$L$108&lt;&gt;"",Completed!$L$108,"")</f>
        <v>Plot was questionable, but the art and music gives it points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IF(Completed!$A$109&lt;&gt;"",Completed!$A$109,"")</f>
        <v>Inu to Hasami wa Tsukaiyou</v>
      </c>
      <c r="O110" s="28">
        <f>IF(Completed!$B$109&lt;&gt;"",Completed!$B$109,"")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HorribleSubs</v>
      </c>
      <c r="V110" s="53">
        <f>IF(Completed!$C$109&lt;&gt;"",Completed!$C$109,"")</f>
        <v>6.5</v>
      </c>
      <c r="W110" s="53">
        <f>IF(Completed!$D$109&lt;&gt;"",Completed!$D$109,"")</f>
        <v>7.5</v>
      </c>
      <c r="X110" s="53">
        <f>IF(Completed!$E$109&lt;&gt;"",Completed!$E$109,"")</f>
        <v>5</v>
      </c>
      <c r="Y110" s="53">
        <f>IF(Completed!$F$109&lt;&gt;"",Completed!$F$109,"")</f>
        <v>8</v>
      </c>
      <c r="Z110" s="64">
        <f>IF(Completed!$G$109&lt;&gt;"",Completed!$G$109,"")</f>
        <v>7.4472361809045227</v>
      </c>
      <c r="AA110" s="74">
        <f>IF(Completed!$H$109&lt;&gt;"",Completed!$H$109,"")</f>
        <v>6.6167815705397679</v>
      </c>
      <c r="AB110" s="54">
        <f>IF(Completed!$I$109&lt;&gt;"",Completed!$I$109,"")</f>
        <v>41456</v>
      </c>
      <c r="AC110" s="54">
        <f>IF(Completed!$J$109&lt;&gt;"",Completed!$J$109,"")</f>
        <v>41535</v>
      </c>
      <c r="AD110" s="65" t="str">
        <f>IF(Completed!$K$109&lt;&gt;"",Completed!$K$109,"")</f>
        <v>Himehagi Momiji</v>
      </c>
      <c r="AE110" s="65" t="str">
        <f>IF(Completed!$L$109&lt;&gt;"",Completed!$L$109,"")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IF(Completed!$A$110&lt;&gt;"",Completed!$A$110,"")</f>
        <v>Sakigake! Cromartie High School</v>
      </c>
      <c r="O111" s="28">
        <f>IF(Completed!$B$110&lt;&gt;"",Completed!$B$110,"")</f>
        <v>1</v>
      </c>
      <c r="P111" s="28">
        <f ca="1">IF($N$111&lt;&gt;"", INDIRECT("'Tracker'!"&amp;ADDRESS(MATCH($N$111, Tracker[Anime Name], 0) + 2, 3)), "")</f>
        <v>26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486p</v>
      </c>
      <c r="S111" s="22" t="str">
        <f ca="1">IF($N$111&lt;&gt;"", INDIRECT("'Tracker'!"&amp;ADDRESS(MATCH($N$111, Tracker[Anime Name], 0) + 2, 6)), "")</f>
        <v>DVD</v>
      </c>
      <c r="T111" s="22" t="str">
        <f ca="1">IF($N$111&lt;&gt;"", INDIRECT("'Tracker'!"&amp;ADDRESS(MATCH($N$111, Tracker[Anime Name], 0) + 2, 7)), "")</f>
        <v>2003C</v>
      </c>
      <c r="U111" s="28" t="str">
        <f ca="1">IF($N$111&lt;&gt;"", INDIRECT("'Tracker'!"&amp;ADDRESS(MATCH($N$111, Tracker[Anime Name], 0) + 2, 8)), "")</f>
        <v>Jarzk</v>
      </c>
      <c r="V111" s="53">
        <f>IF(Completed!$C$110&lt;&gt;"",Completed!$C$110,"")</f>
        <v>4</v>
      </c>
      <c r="W111" s="53">
        <f>IF(Completed!$D$110&lt;&gt;"",Completed!$D$110,"")</f>
        <v>8</v>
      </c>
      <c r="X111" s="53">
        <f>IF(Completed!$E$110&lt;&gt;"",Completed!$E$110,"")</f>
        <v>0</v>
      </c>
      <c r="Y111" s="53">
        <f>IF(Completed!$F$110&lt;&gt;"",Completed!$F$110,"")</f>
        <v>9</v>
      </c>
      <c r="Z111" s="64">
        <f>IF(Completed!$G$110&lt;&gt;"",Completed!$G$110,"")</f>
        <v>7.3844221105527641</v>
      </c>
      <c r="AA111" s="74">
        <f>IF(Completed!$H$110&lt;&gt;"",Completed!$H$110,"")</f>
        <v>6.5327055658315123</v>
      </c>
      <c r="AB111" s="54">
        <f>IF(Completed!$I$110&lt;&gt;"",Completed!$I$110,"")</f>
        <v>41450</v>
      </c>
      <c r="AC111" s="54">
        <f>IF(Completed!$J$110&lt;&gt;"",Completed!$J$110,"")</f>
        <v>41452</v>
      </c>
      <c r="AD111" s="65" t="str">
        <f>IF(Completed!$K$110&lt;&gt;"",Completed!$K$110,"")</f>
        <v>Gorilla</v>
      </c>
      <c r="AE111" s="65" t="str">
        <f>IF(Completed!$L$110&lt;&gt;"",Completed!$L$110,"")</f>
        <v>Like Nichibros, much better than ratings suggest. Also very funny to watch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IF(Completed!$A$111&lt;&gt;"",Completed!$A$111,"")</f>
        <v>Mahou Sensou</v>
      </c>
      <c r="O112" s="28">
        <f>IF(Completed!$B$111&lt;&gt;"",Completed!$B$111,"")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TV</v>
      </c>
      <c r="T112" s="22" t="str">
        <f ca="1">IF($N$112&lt;&gt;"", INDIRECT("'Tracker'!"&amp;ADDRESS(MATCH($N$112, Tracker[Anime Name], 0) + 2, 7)), "")</f>
        <v>2012D</v>
      </c>
      <c r="U112" s="28" t="str">
        <f ca="1">IF($N$112&lt;&gt;"", INDIRECT("'Tracker'!"&amp;ADDRESS(MATCH($N$112, Tracker[Anime Name], 0) + 2, 8)), "")</f>
        <v>FFF</v>
      </c>
      <c r="V112" s="53">
        <f>IF(Completed!$C$111&lt;&gt;"",Completed!$C$111,"")</f>
        <v>6.5</v>
      </c>
      <c r="W112" s="53">
        <f>IF(Completed!$D$111&lt;&gt;"",Completed!$D$111,"")</f>
        <v>9</v>
      </c>
      <c r="X112" s="53">
        <f>IF(Completed!$E$111&lt;&gt;"",Completed!$E$111,"")</f>
        <v>5</v>
      </c>
      <c r="Y112" s="53">
        <f>IF(Completed!$F$111&lt;&gt;"",Completed!$F$111,"")</f>
        <v>7</v>
      </c>
      <c r="Z112" s="64">
        <f>IF(Completed!$G$111&lt;&gt;"",Completed!$G$111,"")</f>
        <v>7.3505025125628141</v>
      </c>
      <c r="AA112" s="74">
        <f>IF(Completed!$H$111&lt;&gt;"",Completed!$H$111,"")</f>
        <v>6.4873045232890529</v>
      </c>
      <c r="AB112" s="54">
        <f>IF(Completed!$I$111&lt;&gt;"",Completed!$I$111,"")</f>
        <v>41650</v>
      </c>
      <c r="AC112" s="54">
        <f>IF(Completed!$J$111&lt;&gt;"",Completed!$J$111,"")</f>
        <v>41745</v>
      </c>
      <c r="AD112" s="65" t="str">
        <f>IF(Completed!$K$111&lt;&gt;"",Completed!$K$111,"")</f>
        <v>Aiba Mui</v>
      </c>
      <c r="AE112" s="65" t="str">
        <f>IF(Completed!$L$111&lt;&gt;"",Completed!$L$111,"")</f>
        <v>Finales that make more questions than answers suck.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IF(Completed!$A$112&lt;&gt;"",Completed!$A$112,"")</f>
        <v>Suzumiya Haruhi no Yuuutsu</v>
      </c>
      <c r="O113" s="28">
        <f>IF(Completed!$B$112&lt;&gt;"",Completed!$B$112,"")</f>
        <v>1</v>
      </c>
      <c r="P113" s="28">
        <f ca="1">IF($N$113&lt;&gt;"", INDIRECT("'Tracker'!"&amp;ADDRESS(MATCH($N$113, Tracker[Anime Name], 0) + 2, 3)), "")</f>
        <v>28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2006A</v>
      </c>
      <c r="U113" s="28" t="str">
        <f ca="1">IF($N$113&lt;&gt;"", INDIRECT("'Tracker'!"&amp;ADDRESS(MATCH($N$113, Tracker[Anime Name], 0) + 2, 8)), "")</f>
        <v>Elysium</v>
      </c>
      <c r="V113" s="53">
        <f>IF(Completed!$C$112&lt;&gt;"",Completed!$C$112,"")</f>
        <v>7.5</v>
      </c>
      <c r="W113" s="53">
        <f>IF(Completed!$D$112&lt;&gt;"",Completed!$D$112,"")</f>
        <v>7.5</v>
      </c>
      <c r="X113" s="53">
        <f>IF(Completed!$E$112&lt;&gt;"",Completed!$E$112,"")</f>
        <v>4</v>
      </c>
      <c r="Y113" s="53">
        <f>IF(Completed!$F$112&lt;&gt;"",Completed!$F$112,"")</f>
        <v>7.5</v>
      </c>
      <c r="Z113" s="64">
        <f>IF(Completed!$G$112&lt;&gt;"",Completed!$G$112,"")</f>
        <v>7.3329145728643219</v>
      </c>
      <c r="AA113" s="74">
        <f>IF(Completed!$H$112&lt;&gt;"",Completed!$H$112,"")</f>
        <v>6.4637632419707414</v>
      </c>
      <c r="AB113" s="54">
        <f>IF(Completed!$I$112&lt;&gt;"",Completed!$I$112,"")</f>
        <v>41330</v>
      </c>
      <c r="AC113" s="54">
        <f>IF(Completed!$J$112&lt;&gt;"",Completed!$J$112,"")</f>
        <v>41346</v>
      </c>
      <c r="AD113" s="65" t="str">
        <f>IF(Completed!$K$112&lt;&gt;"",Completed!$K$112,"")</f>
        <v>Nagato Yuki</v>
      </c>
      <c r="AE113" s="65" t="str">
        <f>IF(Completed!$L$112&lt;&gt;"",Completed!$L$112,"")</f>
        <v>Not what I expected it to be, given the hype</v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IF(Completed!$A$113&lt;&gt;"",Completed!$A$113,"")</f>
        <v>Miyakawa-ke no Kuufuku</v>
      </c>
      <c r="O114" s="28">
        <f>IF(Completed!$B$113&lt;&gt;"",Completed!$B$113,"")</f>
        <v>1</v>
      </c>
      <c r="P114" s="28">
        <f ca="1">IF($N$114&lt;&gt;"", INDIRECT("'Tracker'!"&amp;ADDRESS(MATCH($N$114, Tracker[Anime Name], 0) + 2, 3)), "")</f>
        <v>10</v>
      </c>
      <c r="Q114" s="22" t="str">
        <f ca="1">IF($N$114&lt;&gt;"", INDIRECT("'Tracker'!"&amp;ADDRESS(MATCH($N$114, Tracker[Anime Name], 0) + 2, 4)), "")</f>
        <v>B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TV</v>
      </c>
      <c r="T114" s="22" t="str">
        <f ca="1">IF($N$114&lt;&gt;"", INDIRECT("'Tracker'!"&amp;ADDRESS(MATCH($N$114, Tracker[Anime Name], 0) + 2, 7)), "")</f>
        <v>2013A</v>
      </c>
      <c r="U114" s="28" t="str">
        <f ca="1">IF($N$114&lt;&gt;"", INDIRECT("'Tracker'!"&amp;ADDRESS(MATCH($N$114, Tracker[Anime Name], 0) + 2, 8)), "")</f>
        <v>Scriptum</v>
      </c>
      <c r="V114" s="53">
        <f>IF(Completed!$C$113&lt;&gt;"",Completed!$C$113,"")</f>
        <v>4</v>
      </c>
      <c r="W114" s="53">
        <f>IF(Completed!$D$113&lt;&gt;"",Completed!$D$113,"")</f>
        <v>8</v>
      </c>
      <c r="X114" s="53">
        <f>IF(Completed!$E$113&lt;&gt;"",Completed!$E$113,"")</f>
        <v>9</v>
      </c>
      <c r="Y114" s="53">
        <f>IF(Completed!$F$113&lt;&gt;"",Completed!$F$113,"")</f>
        <v>8</v>
      </c>
      <c r="Z114" s="64">
        <f>IF(Completed!$G$113&lt;&gt;"",Completed!$G$113,"")</f>
        <v>7.3140703517587937</v>
      </c>
      <c r="AA114" s="74">
        <f>IF(Completed!$H$113&lt;&gt;"",Completed!$H$113,"")</f>
        <v>6.4385404405582634</v>
      </c>
      <c r="AB114" s="54">
        <f>IF(Completed!$I$113&lt;&gt;"",Completed!$I$113,"")</f>
        <v>41488</v>
      </c>
      <c r="AC114" s="54">
        <f>IF(Completed!$J$113&lt;&gt;"",Completed!$J$113,"")</f>
        <v>41492</v>
      </c>
      <c r="AD114" s="65" t="str">
        <f>IF(Completed!$K$113&lt;&gt;"",Completed!$K$113,"")</f>
        <v>Miyakawa Hikage</v>
      </c>
      <c r="AE114" s="65" t="str">
        <f>IF(Completed!$L$113&lt;&gt;"",Completed!$L$113,"")</f>
        <v>Need a higher resolution copy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IF(Completed!$A$114&lt;&gt;"",Completed!$A$114,"")</f>
        <v>Witch Craft Works</v>
      </c>
      <c r="O115" s="28">
        <f>IF(Completed!$B$114&lt;&gt;"",Completed!$B$114,"")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2013D</v>
      </c>
      <c r="U115" s="28" t="str">
        <f ca="1">IF($N$115&lt;&gt;"", INDIRECT("'Tracker'!"&amp;ADDRESS(MATCH($N$115, Tracker[Anime Name], 0) + 2, 8)), "")</f>
        <v>FFF</v>
      </c>
      <c r="V115" s="53">
        <f>IF(Completed!$C$114&lt;&gt;"",Completed!$C$114,"")</f>
        <v>7.5</v>
      </c>
      <c r="W115" s="53">
        <f>IF(Completed!$D$114&lt;&gt;"",Completed!$D$114,"")</f>
        <v>7.5</v>
      </c>
      <c r="X115" s="53">
        <f>IF(Completed!$E$114&lt;&gt;"",Completed!$E$114,"")</f>
        <v>3.5</v>
      </c>
      <c r="Y115" s="53">
        <f>IF(Completed!$F$114&lt;&gt;"",Completed!$F$114,"")</f>
        <v>7.5</v>
      </c>
      <c r="Z115" s="64">
        <f>IF(Completed!$G$114&lt;&gt;"",Completed!$G$114,"")</f>
        <v>7.3090452261306531</v>
      </c>
      <c r="AA115" s="74">
        <f>IF(Completed!$H$114&lt;&gt;"",Completed!$H$114,"")</f>
        <v>6.4318143601816038</v>
      </c>
      <c r="AB115" s="54">
        <f>IF(Completed!$I$114&lt;&gt;"",Completed!$I$114,"")</f>
        <v>41650</v>
      </c>
      <c r="AC115" s="54">
        <f>IF(Completed!$J$114&lt;&gt;"",Completed!$J$114,"")</f>
        <v>41749</v>
      </c>
      <c r="AD115" s="65" t="str">
        <f>IF(Completed!$K$114&lt;&gt;"",Completed!$K$114,"")</f>
        <v>Kazari Rin</v>
      </c>
      <c r="AE115" s="65" t="str">
        <f>IF(Completed!$L$114&lt;&gt;"",Completed!$L$114,"")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IF(Completed!$A$115&lt;&gt;"",Completed!$A$115,"")</f>
        <v>Haiyore! Nyaruko-san</v>
      </c>
      <c r="O116" s="28">
        <f>IF(Completed!$B$115&lt;&gt;"",Completed!$B$115,"")</f>
        <v>1</v>
      </c>
      <c r="P116" s="28">
        <f ca="1">IF($N$116&lt;&gt;"", INDIRECT("'Tracker'!"&amp;ADDRESS(MATCH($N$116, Tracker[Anime Name], 0) + 2, 3)), "")</f>
        <v>13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2012A</v>
      </c>
      <c r="U116" s="28" t="str">
        <f ca="1">IF($N$116&lt;&gt;"", INDIRECT("'Tracker'!"&amp;ADDRESS(MATCH($N$116, Tracker[Anime Name], 0) + 2, 8)), "")</f>
        <v>Hatsuyuki</v>
      </c>
      <c r="V116" s="53">
        <f>IF(Completed!$C$115&lt;&gt;"",Completed!$C$115,"")</f>
        <v>6</v>
      </c>
      <c r="W116" s="53">
        <f>IF(Completed!$D$115&lt;&gt;"",Completed!$D$115,"")</f>
        <v>7</v>
      </c>
      <c r="X116" s="53">
        <f>IF(Completed!$E$115&lt;&gt;"",Completed!$E$115,"")</f>
        <v>6</v>
      </c>
      <c r="Y116" s="53">
        <f>IF(Completed!$F$115&lt;&gt;"",Completed!$F$115,"")</f>
        <v>8</v>
      </c>
      <c r="Z116" s="64">
        <f>IF(Completed!$G$115&lt;&gt;"",Completed!$G$115,"")</f>
        <v>7.2688442211055273</v>
      </c>
      <c r="AA116" s="74">
        <f>IF(Completed!$H$115&lt;&gt;"",Completed!$H$115,"")</f>
        <v>6.3780057171683193</v>
      </c>
      <c r="AB116" s="54">
        <f>IF(Completed!$I$115&lt;&gt;"",Completed!$I$115,"")</f>
        <v>41365</v>
      </c>
      <c r="AC116" s="54">
        <f>IF(Completed!$J$115&lt;&gt;"",Completed!$J$115,"")</f>
        <v>41369</v>
      </c>
      <c r="AD116" s="65" t="str">
        <f>IF(Completed!$K$115&lt;&gt;"",Completed!$K$115,"")</f>
        <v>Kuuko</v>
      </c>
      <c r="AE116" s="65" t="str">
        <f>IF(Completed!$L$115&lt;&gt;"",Completed!$L$115,"")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IF(Completed!$A$116&lt;&gt;"",Completed!$A$116,"")</f>
        <v>Tokyo ESP</v>
      </c>
      <c r="O117" s="28">
        <f>IF(Completed!$B$116&lt;&gt;"",Completed!$B$116,"")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2014B</v>
      </c>
      <c r="U117" s="28" t="str">
        <f ca="1">IF($N$117&lt;&gt;"", INDIRECT("'Tracker'!"&amp;ADDRESS(MATCH($N$117, Tracker[Anime Name], 0) + 2, 8)), "")</f>
        <v>FFF</v>
      </c>
      <c r="V117" s="53">
        <f>IF(Completed!$C$116&lt;&gt;"",Completed!$C$116,"")</f>
        <v>7.5</v>
      </c>
      <c r="W117" s="53">
        <f>IF(Completed!$D$116&lt;&gt;"",Completed!$D$116,"")</f>
        <v>8</v>
      </c>
      <c r="X117" s="53">
        <f>IF(Completed!$E$116&lt;&gt;"",Completed!$E$116,"")</f>
        <v>5</v>
      </c>
      <c r="Y117" s="53">
        <f>IF(Completed!$F$116&lt;&gt;"",Completed!$F$116,"")</f>
        <v>7</v>
      </c>
      <c r="Z117" s="64">
        <f>IF(Completed!$G$116&lt;&gt;"",Completed!$G$116,"")</f>
        <v>7.2650753768844218</v>
      </c>
      <c r="AA117" s="74">
        <f>IF(Completed!$H$116&lt;&gt;"",Completed!$H$116,"")</f>
        <v>6.3729611568858235</v>
      </c>
      <c r="AB117" s="54">
        <f>IF(Completed!$I$116&lt;&gt;"",Completed!$I$116,"")</f>
        <v>41832</v>
      </c>
      <c r="AC117" s="54">
        <f>IF(Completed!$J$116&lt;&gt;"",Completed!$J$116,"")</f>
        <v>42023</v>
      </c>
      <c r="AD117" s="65" t="str">
        <f>IF(Completed!$K$116&lt;&gt;"",Completed!$K$116,"")</f>
        <v>Urushiba Rinka</v>
      </c>
      <c r="AE117" s="65" t="str">
        <f>IF(Completed!$L$116&lt;&gt;"",Completed!$L$116,"")</f>
        <v>Probably didn't live up to the manga. Had potential, but didn't carry through.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IF(Completed!$A$117&lt;&gt;"",Completed!$A$117,"")</f>
        <v>Nisemonogatari</v>
      </c>
      <c r="O118" s="28">
        <f>IF(Completed!$B$117&lt;&gt;"",Completed!$B$117,"")</f>
        <v>2</v>
      </c>
      <c r="P118" s="28">
        <f ca="1">IF($N$118&lt;&gt;"", INDIRECT("'Tracker'!"&amp;ADDRESS(MATCH($N$118, Tracker[Anime Name], 0) + 2, 3)), "")</f>
        <v>11</v>
      </c>
      <c r="Q118" s="22" t="str">
        <f ca="1">IF($N$118&lt;&gt;"", INDIRECT("'Tracker'!"&amp;ADDRESS(MATCH($N$118, Tracker[Anime Name], 0) + 2, 4)), "")</f>
        <v>A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2011D</v>
      </c>
      <c r="U118" s="28" t="str">
        <f ca="1">IF($N$118&lt;&gt;"", INDIRECT("'Tracker'!"&amp;ADDRESS(MATCH($N$118, Tracker[Anime Name], 0) + 2, 8)), "")</f>
        <v>Coalgirls, CMS</v>
      </c>
      <c r="V118" s="53">
        <f>IF(Completed!$C$117&lt;&gt;"",Completed!$C$117,"")</f>
        <v>7</v>
      </c>
      <c r="W118" s="53">
        <f>IF(Completed!$D$117&lt;&gt;"",Completed!$D$117,"")</f>
        <v>7.5</v>
      </c>
      <c r="X118" s="53">
        <f>IF(Completed!$E$117&lt;&gt;"",Completed!$E$117,"")</f>
        <v>4.5</v>
      </c>
      <c r="Y118" s="53">
        <f>IF(Completed!$F$117&lt;&gt;"",Completed!$F$117,"")</f>
        <v>7.5</v>
      </c>
      <c r="Z118" s="64">
        <f>IF(Completed!$G$117&lt;&gt;"",Completed!$G$117,"")</f>
        <v>7.2650753768844218</v>
      </c>
      <c r="AA118" s="74">
        <f>IF(Completed!$H$117&lt;&gt;"",Completed!$H$117,"")</f>
        <v>6.3729611568858235</v>
      </c>
      <c r="AB118" s="54">
        <f>IF(Completed!$I$117&lt;&gt;"",Completed!$I$117,"")</f>
        <v>41345</v>
      </c>
      <c r="AC118" s="54">
        <f>IF(Completed!$J$117&lt;&gt;"",Completed!$J$117,"")</f>
        <v>41350</v>
      </c>
      <c r="AD118" s="65" t="str">
        <f>IF(Completed!$K$117&lt;&gt;"",Completed!$K$117,"")</f>
        <v>Oshino Shinobu</v>
      </c>
      <c r="AE118" s="65" t="str">
        <f>IF(Completed!$L$117&lt;&gt;"",Completed!$L$117,"")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IF(Completed!$A$118&lt;&gt;"",Completed!$A$118,"")</f>
        <v>Yuyushiki</v>
      </c>
      <c r="O119" s="28">
        <f>IF(Completed!$B$118&lt;&gt;"",Completed!$B$118,"")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BD</v>
      </c>
      <c r="T119" s="22" t="str">
        <f ca="1">IF($N$119&lt;&gt;"", INDIRECT("'Tracker'!"&amp;ADDRESS(MATCH($N$119, Tracker[Anime Name], 0) + 2, 7)), "")</f>
        <v>2013A</v>
      </c>
      <c r="U119" s="28" t="str">
        <f ca="1">IF($N$119&lt;&gt;"", INDIRECT("'Tracker'!"&amp;ADDRESS(MATCH($N$119, Tracker[Anime Name], 0) + 2, 8)), "")</f>
        <v>Commie</v>
      </c>
      <c r="V119" s="53">
        <f>IF(Completed!$C$118&lt;&gt;"",Completed!$C$118,"")</f>
        <v>4</v>
      </c>
      <c r="W119" s="53">
        <f>IF(Completed!$D$118&lt;&gt;"",Completed!$D$118,"")</f>
        <v>7</v>
      </c>
      <c r="X119" s="53">
        <f>IF(Completed!$E$118&lt;&gt;"",Completed!$E$118,"")</f>
        <v>8</v>
      </c>
      <c r="Y119" s="53">
        <f>IF(Completed!$F$118&lt;&gt;"",Completed!$F$118,"")</f>
        <v>8.5</v>
      </c>
      <c r="Z119" s="64">
        <f>IF(Completed!$G$118&lt;&gt;"",Completed!$G$118,"")</f>
        <v>7.2474874371859297</v>
      </c>
      <c r="AA119" s="74">
        <f>IF(Completed!$H$118&lt;&gt;"",Completed!$H$118,"")</f>
        <v>6.3494198755675129</v>
      </c>
      <c r="AB119" s="54">
        <f>IF(Completed!$I$118&lt;&gt;"",Completed!$I$118,"")</f>
        <v>41449</v>
      </c>
      <c r="AC119" s="54">
        <f>IF(Completed!$J$118&lt;&gt;"",Completed!$J$118,"")</f>
        <v>41451</v>
      </c>
      <c r="AD119" s="65" t="str">
        <f>IF(Completed!$K$118&lt;&gt;"",Completed!$K$118,"")</f>
        <v>Hinata Yukari</v>
      </c>
      <c r="AE119" s="65" t="str">
        <f>IF(Completed!$L$118&lt;&gt;"",Completed!$L$118,"")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IF(Completed!$A$119&lt;&gt;"",Completed!$A$119,"")</f>
        <v>Shinryaku! Ika Musume</v>
      </c>
      <c r="O120" s="28">
        <f>IF(Completed!$B$119&lt;&gt;"",Completed!$B$119,"")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2010C</v>
      </c>
      <c r="U120" s="28" t="str">
        <f ca="1">IF($N$120&lt;&gt;"", INDIRECT("'Tracker'!"&amp;ADDRESS(MATCH($N$120, Tracker[Anime Name], 0) + 2, 8)), "")</f>
        <v>FFF</v>
      </c>
      <c r="V120" s="53">
        <f>IF(Completed!$C$119&lt;&gt;"",Completed!$C$119,"")</f>
        <v>3</v>
      </c>
      <c r="W120" s="53">
        <f>IF(Completed!$D$119&lt;&gt;"",Completed!$D$119,"")</f>
        <v>8</v>
      </c>
      <c r="X120" s="53">
        <f>IF(Completed!$E$119&lt;&gt;"",Completed!$E$119,"")</f>
        <v>9</v>
      </c>
      <c r="Y120" s="53">
        <f>IF(Completed!$F$119&lt;&gt;"",Completed!$F$119,"")</f>
        <v>8</v>
      </c>
      <c r="Z120" s="64">
        <f>IF(Completed!$G$119&lt;&gt;"",Completed!$G$119,"")</f>
        <v>7.1306532663316586</v>
      </c>
      <c r="AA120" s="74">
        <f>IF(Completed!$H$119&lt;&gt;"",Completed!$H$119,"")</f>
        <v>6.1930385068101561</v>
      </c>
      <c r="AB120" s="54">
        <f>IF(Completed!$I$119&lt;&gt;"",Completed!$I$119,"")</f>
        <v>41288</v>
      </c>
      <c r="AC120" s="54">
        <f>IF(Completed!$J$119&lt;&gt;"",Completed!$J$119,"")</f>
        <v>41288</v>
      </c>
      <c r="AD120" s="65" t="str">
        <f>IF(Completed!$K$119&lt;&gt;"",Completed!$K$119,"")</f>
        <v>Aizawa Chizuru</v>
      </c>
      <c r="AE120" s="65" t="str">
        <f>IF(Completed!$L$119&lt;&gt;"",Completed!$L$119,"")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IF(Completed!$A$120&lt;&gt;"",Completed!$A$120,"")</f>
        <v>Koe de Oshigoto!</v>
      </c>
      <c r="O121" s="28">
        <f>IF(Completed!$B$120&lt;&gt;"",Completed!$B$120,"")</f>
        <v>1</v>
      </c>
      <c r="P121" s="28">
        <f ca="1">IF($N$121&lt;&gt;"", INDIRECT("'Tracker'!"&amp;ADDRESS(MATCH($N$121, Tracker[Anime Name], 0) + 2, 3)), "")</f>
        <v>2</v>
      </c>
      <c r="Q121" s="22" t="str">
        <f ca="1">IF($N$121&lt;&gt;"", INDIRECT("'Tracker'!"&amp;ADDRESS(MATCH($N$121, Tracker[Anime Name], 0) + 2, 4)), "")</f>
        <v>B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2010D</v>
      </c>
      <c r="U121" s="28" t="str">
        <f ca="1">IF($N$121&lt;&gt;"", INDIRECT("'Tracker'!"&amp;ADDRESS(MATCH($N$121, Tracker[Anime Name], 0) + 2, 8)), "")</f>
        <v>Doki, Chihiro</v>
      </c>
      <c r="V121" s="53">
        <f>IF(Completed!$C$120&lt;&gt;"",Completed!$C$120,"")</f>
        <v>6.5</v>
      </c>
      <c r="W121" s="53">
        <f>IF(Completed!$D$120&lt;&gt;"",Completed!$D$120,"")</f>
        <v>7.5</v>
      </c>
      <c r="X121" s="53">
        <f>IF(Completed!$E$120&lt;&gt;"",Completed!$E$120,"")</f>
        <v>8</v>
      </c>
      <c r="Y121" s="53">
        <f>IF(Completed!$F$120&lt;&gt;"",Completed!$F$120,"")</f>
        <v>7</v>
      </c>
      <c r="Z121" s="64">
        <f>IF(Completed!$G$120&lt;&gt;"",Completed!$G$120,"")</f>
        <v>7.0904522613065328</v>
      </c>
      <c r="AA121" s="74">
        <f>IF(Completed!$H$120&lt;&gt;"",Completed!$H$120,"")</f>
        <v>6.1392298637968725</v>
      </c>
      <c r="AB121" s="54">
        <f>IF(Completed!$I$120&lt;&gt;"",Completed!$I$120,"")</f>
        <v>42018</v>
      </c>
      <c r="AC121" s="54">
        <f>IF(Completed!$J$120&lt;&gt;"",Completed!$J$120,"")</f>
        <v>42018</v>
      </c>
      <c r="AD121" s="65" t="str">
        <f>IF(Completed!$K$120&lt;&gt;"",Completed!$K$120,"")</f>
        <v>Aoyagi Kanna</v>
      </c>
      <c r="AE121" s="65" t="str">
        <f>IF(Completed!$L$120&lt;&gt;"",Completed!$L$120,"")</f>
        <v>Do not watch with other people. Ever.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IF(Completed!$A$121&lt;&gt;"",Completed!$A$121,"")</f>
        <v>Naruto</v>
      </c>
      <c r="O122" s="28">
        <f>IF(Completed!$B$121&lt;&gt;"",Completed!$B$121,"")</f>
        <v>5</v>
      </c>
      <c r="P122" s="28">
        <f ca="1">IF($N$122&lt;&gt;"", INDIRECT("'Tracker'!"&amp;ADDRESS(MATCH($N$122, Tracker[Anime Name], 0) + 2, 3)), "")</f>
        <v>220</v>
      </c>
      <c r="Q122" s="22" t="str">
        <f ca="1">IF($N$122&lt;&gt;"", INDIRECT("'Tracker'!"&amp;ADDRESS(MATCH($N$122, Tracker[Anime Name], 0) + 2, 4)), "")</f>
        <v>--</v>
      </c>
      <c r="R122" s="22" t="str">
        <f ca="1">IF($N$122&lt;&gt;"", INDIRECT("'Tracker'!"&amp;ADDRESS(MATCH($N$122, Tracker[Anime Name], 0) + 2, 5)), "")</f>
        <v>--</v>
      </c>
      <c r="S122" s="22" t="str">
        <f ca="1">IF($N$122&lt;&gt;"", INDIRECT("'Tracker'!"&amp;ADDRESS(MATCH($N$122, Tracker[Anime Name], 0) + 2, 6)), "")</f>
        <v>--</v>
      </c>
      <c r="T122" s="22" t="str">
        <f ca="1">IF($N$122&lt;&gt;"", INDIRECT("'Tracker'!"&amp;ADDRESS(MATCH($N$122, Tracker[Anime Name], 0) + 2, 7)), "")</f>
        <v>2002C</v>
      </c>
      <c r="U122" s="28" t="str">
        <f ca="1">IF($N$122&lt;&gt;"", INDIRECT("'Tracker'!"&amp;ADDRESS(MATCH($N$122, Tracker[Anime Name], 0) + 2, 8)), "")</f>
        <v>-- NO DL --</v>
      </c>
      <c r="V122" s="53">
        <f>IF(Completed!$C$121&lt;&gt;"",Completed!$C$121,"")</f>
        <v>7.5</v>
      </c>
      <c r="W122" s="53">
        <f>IF(Completed!$D$121&lt;&gt;"",Completed!$D$121,"")</f>
        <v>8</v>
      </c>
      <c r="X122" s="53">
        <f>IF(Completed!$E$121&lt;&gt;"",Completed!$E$121,"")</f>
        <v>0.5</v>
      </c>
      <c r="Y122" s="53">
        <f>IF(Completed!$F$121&lt;&gt;"",Completed!$F$121,"")</f>
        <v>7</v>
      </c>
      <c r="Z122" s="64">
        <f>IF(Completed!$G$121&lt;&gt;"",Completed!$G$121,"")</f>
        <v>7.0502512562814079</v>
      </c>
      <c r="AA122" s="74">
        <f>IF(Completed!$H$121&lt;&gt;"",Completed!$H$121,"")</f>
        <v>6.0854212207835898</v>
      </c>
      <c r="AB122" s="54">
        <f>IF(Completed!$I$121&lt;&gt;"",Completed!$I$121,"")</f>
        <v>41088</v>
      </c>
      <c r="AC122" s="54">
        <f>IF(Completed!$J$121&lt;&gt;"",Completed!$J$121,"")</f>
        <v>41108</v>
      </c>
      <c r="AD122" s="65" t="str">
        <f>IF(Completed!$K$121&lt;&gt;"",Completed!$K$121,"")</f>
        <v>Hyuuga Hinata</v>
      </c>
      <c r="AE122" s="65" t="str">
        <f>IF(Completed!$L$121&lt;&gt;"",Completed!$L$121,"")</f>
        <v>Too many filler arcs killed everything else. Should have waited for the manga to continue instead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IF(Completed!$A$122&lt;&gt;"",Completed!$A$122,"")</f>
        <v>Haiyore! Nyaruko-san W</v>
      </c>
      <c r="O123" s="28">
        <f>IF(Completed!$B$122&lt;&gt;"",Completed!$B$122,"")</f>
        <v>2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Final8</v>
      </c>
      <c r="V123" s="53">
        <f>IF(Completed!$C$122&lt;&gt;"",Completed!$C$122,"")</f>
        <v>6</v>
      </c>
      <c r="W123" s="53">
        <f>IF(Completed!$D$122&lt;&gt;"",Completed!$D$122,"")</f>
        <v>7</v>
      </c>
      <c r="X123" s="53">
        <f>IF(Completed!$E$122&lt;&gt;"",Completed!$E$122,"")</f>
        <v>6.5</v>
      </c>
      <c r="Y123" s="53">
        <f>IF(Completed!$F$122&lt;&gt;"",Completed!$F$122,"")</f>
        <v>7.5</v>
      </c>
      <c r="Z123" s="64">
        <f>IF(Completed!$G$122&lt;&gt;"",Completed!$G$122,"")</f>
        <v>7.0427135678391961</v>
      </c>
      <c r="AA123" s="74">
        <f>IF(Completed!$H$122&lt;&gt;"",Completed!$H$122,"")</f>
        <v>6.0753321002185974</v>
      </c>
      <c r="AB123" s="54">
        <f>IF(Completed!$I$122&lt;&gt;"",Completed!$I$122,"")</f>
        <v>41371</v>
      </c>
      <c r="AC123" s="54">
        <f>IF(Completed!$J$122&lt;&gt;"",Completed!$J$122,"")</f>
        <v>41455</v>
      </c>
      <c r="AD123" s="65" t="str">
        <f>IF(Completed!$K$122&lt;&gt;"",Completed!$K$122,"")</f>
        <v>Kuuko</v>
      </c>
      <c r="AE123" s="65" t="str">
        <f>IF(Completed!$L$122&lt;&gt;"",Completed!$L$122,"")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IF(Completed!$A$123&lt;&gt;"",Completed!$A$123,"")</f>
        <v>Watashi ga Motenai no wa Dou Kangaetemo Omaera no Warui!</v>
      </c>
      <c r="O124" s="28">
        <f>IF(Completed!$B$123&lt;&gt;"",Completed!$B$123,"")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2013B</v>
      </c>
      <c r="U124" s="28" t="str">
        <f ca="1">IF($N$124&lt;&gt;"", INDIRECT("'Tracker'!"&amp;ADDRESS(MATCH($N$124, Tracker[Anime Name], 0) + 2, 8)), "")</f>
        <v>FFF, UTW (FTW)</v>
      </c>
      <c r="V124" s="53">
        <f>IF(Completed!$C$123&lt;&gt;"",Completed!$C$123,"")</f>
        <v>6.5</v>
      </c>
      <c r="W124" s="53">
        <f>IF(Completed!$D$123&lt;&gt;"",Completed!$D$123,"")</f>
        <v>7</v>
      </c>
      <c r="X124" s="53">
        <f>IF(Completed!$E$123&lt;&gt;"",Completed!$E$123,"")</f>
        <v>4.5</v>
      </c>
      <c r="Y124" s="53">
        <f>IF(Completed!$F$123&lt;&gt;"",Completed!$F$123,"")</f>
        <v>7.5</v>
      </c>
      <c r="Z124" s="64">
        <f>IF(Completed!$G$123&lt;&gt;"",Completed!$G$123,"")</f>
        <v>7.0389447236180906</v>
      </c>
      <c r="AA124" s="74">
        <f>IF(Completed!$H$123&lt;&gt;"",Completed!$H$123,"")</f>
        <v>6.0702875399361016</v>
      </c>
      <c r="AB124" s="54">
        <f>IF(Completed!$I$123&lt;&gt;"",Completed!$I$123,"")</f>
        <v>41464</v>
      </c>
      <c r="AC124" s="54">
        <f>IF(Completed!$J$123&lt;&gt;"",Completed!$J$123,"")</f>
        <v>41543</v>
      </c>
      <c r="AD124" s="65" t="str">
        <f>IF(Completed!$K$123&lt;&gt;"",Completed!$K$123,"")</f>
        <v>Kii</v>
      </c>
      <c r="AE124" s="65" t="str">
        <f>IF(Completed!$L$123&lt;&gt;"",Completed!$L$123,"")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IF(Completed!$A$124&lt;&gt;"",Completed!$A$124,"")</f>
        <v>Sora no Otoshimono</v>
      </c>
      <c r="O125" s="28">
        <f>IF(Completed!$B$124&lt;&gt;"",Completed!$B$124,"")</f>
        <v>1</v>
      </c>
      <c r="P125" s="28">
        <f ca="1">IF($N$125&lt;&gt;"", INDIRECT("'Tracker'!"&amp;ADDRESS(MATCH($N$125, Tracker[Anime Name], 0) + 2, 3)), "")</f>
        <v>13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DVD</v>
      </c>
      <c r="T125" s="22" t="str">
        <f ca="1">IF($N$125&lt;&gt;"", INDIRECT("'Tracker'!"&amp;ADDRESS(MATCH($N$125, Tracker[Anime Name], 0) + 2, 7)), "")</f>
        <v>2009C</v>
      </c>
      <c r="U125" s="28" t="str">
        <f ca="1">IF($N$125&lt;&gt;"", INDIRECT("'Tracker'!"&amp;ADDRESS(MATCH($N$125, Tracker[Anime Name], 0) + 2, 8)), "")</f>
        <v>Polished</v>
      </c>
      <c r="V125" s="53">
        <f>IF(Completed!$C$124&lt;&gt;"",Completed!$C$124,"")</f>
        <v>7</v>
      </c>
      <c r="W125" s="53">
        <f>IF(Completed!$D$124&lt;&gt;"",Completed!$D$124,"")</f>
        <v>7</v>
      </c>
      <c r="X125" s="53">
        <f>IF(Completed!$E$124&lt;&gt;"",Completed!$E$124,"")</f>
        <v>7.5</v>
      </c>
      <c r="Y125" s="53">
        <f>IF(Completed!$F$124&lt;&gt;"",Completed!$F$124,"")</f>
        <v>7</v>
      </c>
      <c r="Z125" s="64">
        <f>IF(Completed!$G$124&lt;&gt;"",Completed!$G$124,"")</f>
        <v>7.0238693467336679</v>
      </c>
      <c r="AA125" s="74">
        <f>IF(Completed!$H$124&lt;&gt;"",Completed!$H$124,"")</f>
        <v>6.0501092988061203</v>
      </c>
      <c r="AB125" s="54">
        <f>IF(Completed!$I$124&lt;&gt;"",Completed!$I$124,"")</f>
        <v>41496</v>
      </c>
      <c r="AC125" s="54">
        <f>IF(Completed!$J$124&lt;&gt;"",Completed!$J$124,"")</f>
        <v>41512</v>
      </c>
      <c r="AD125" s="65" t="str">
        <f>IF(Completed!$K$124&lt;&gt;"",Completed!$K$124,"")</f>
        <v>Nymph</v>
      </c>
      <c r="AE125" s="65" t="str">
        <f>IF(Completed!$L$124&lt;&gt;"",Completed!$L$124,"")</f>
        <v>Ignoring the ecchi, it would be pretty nice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IF(Completed!$A$125&lt;&gt;"",Completed!$A$125,"")</f>
        <v>Panty &amp; Stocking with Garterbelt</v>
      </c>
      <c r="O126" s="28">
        <f>IF(Completed!$B$125&lt;&gt;"",Completed!$B$125,"")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2010C</v>
      </c>
      <c r="U126" s="28" t="str">
        <f ca="1">IF($N$126&lt;&gt;"", INDIRECT("'Tracker'!"&amp;ADDRESS(MATCH($N$126, Tracker[Anime Name], 0) + 2, 8)), "")</f>
        <v>WhyNot</v>
      </c>
      <c r="V126" s="53">
        <f>IF(Completed!$C$125&lt;&gt;"",Completed!$C$125,"")</f>
        <v>5</v>
      </c>
      <c r="W126" s="53">
        <f>IF(Completed!$D$125&lt;&gt;"",Completed!$D$125,"")</f>
        <v>7</v>
      </c>
      <c r="X126" s="53">
        <f>IF(Completed!$E$125&lt;&gt;"",Completed!$E$125,"")</f>
        <v>4.5</v>
      </c>
      <c r="Y126" s="53">
        <f>IF(Completed!$F$125&lt;&gt;"",Completed!$F$125,"")</f>
        <v>8</v>
      </c>
      <c r="Z126" s="64">
        <f>IF(Completed!$G$125&lt;&gt;"",Completed!$G$125,"")</f>
        <v>7.0138190954773867</v>
      </c>
      <c r="AA126" s="74">
        <f>IF(Completed!$H$125&lt;&gt;"",Completed!$H$125,"")</f>
        <v>6.0366571380527994</v>
      </c>
      <c r="AB126" s="54">
        <f>IF(Completed!$I$125&lt;&gt;"",Completed!$I$125,"")</f>
        <v>41470</v>
      </c>
      <c r="AC126" s="54">
        <f>IF(Completed!$J$125&lt;&gt;"",Completed!$J$125,"")</f>
        <v>41482</v>
      </c>
      <c r="AD126" s="65" t="str">
        <f>IF(Completed!$K$125&lt;&gt;"",Completed!$K$125,"")</f>
        <v>Stocking Anarchy</v>
      </c>
      <c r="AE126" s="65" t="str">
        <f>IF(Completed!$L$125&lt;&gt;"",Completed!$L$125,"")</f>
        <v>Interesting animation style, nice break from "normal" anime</v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IF(Completed!$A$126&lt;&gt;"",Completed!$A$126,"")</f>
        <v>Shinryaku?! Ika Musume</v>
      </c>
      <c r="O127" s="28">
        <f>IF(Completed!$B$126&lt;&gt;"",Completed!$B$126,"")</f>
        <v>2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BD</v>
      </c>
      <c r="T127" s="22" t="str">
        <f ca="1">IF($N$127&lt;&gt;"", INDIRECT("'Tracker'!"&amp;ADDRESS(MATCH($N$127, Tracker[Anime Name], 0) + 2, 7)), "")</f>
        <v>2011C</v>
      </c>
      <c r="U127" s="28" t="str">
        <f ca="1">IF($N$127&lt;&gt;"", INDIRECT("'Tracker'!"&amp;ADDRESS(MATCH($N$127, Tracker[Anime Name], 0) + 2, 8)), "")</f>
        <v>FFF</v>
      </c>
      <c r="V127" s="53">
        <f>IF(Completed!$C$126&lt;&gt;"",Completed!$C$126,"")</f>
        <v>3.5</v>
      </c>
      <c r="W127" s="53">
        <f>IF(Completed!$D$126&lt;&gt;"",Completed!$D$126,"")</f>
        <v>8</v>
      </c>
      <c r="X127" s="53">
        <f>IF(Completed!$E$126&lt;&gt;"",Completed!$E$126,"")</f>
        <v>9</v>
      </c>
      <c r="Y127" s="53">
        <f>IF(Completed!$F$126&lt;&gt;"",Completed!$F$126,"")</f>
        <v>7.5</v>
      </c>
      <c r="Z127" s="64">
        <f>IF(Completed!$G$126&lt;&gt;"",Completed!$G$126,"")</f>
        <v>6.9723618090452257</v>
      </c>
      <c r="AA127" s="74">
        <f>IF(Completed!$H$126&lt;&gt;"",Completed!$H$126,"")</f>
        <v>5.9811669749453493</v>
      </c>
      <c r="AB127" s="54">
        <f>IF(Completed!$I$126&lt;&gt;"",Completed!$I$126,"")</f>
        <v>41289</v>
      </c>
      <c r="AC127" s="54">
        <f>IF(Completed!$J$126&lt;&gt;"",Completed!$J$126,"")</f>
        <v>41289</v>
      </c>
      <c r="AD127" s="65" t="str">
        <f>IF(Completed!$K$126&lt;&gt;"",Completed!$K$126,"")</f>
        <v>Aizawa Chizuru</v>
      </c>
      <c r="AE127" s="65" t="str">
        <f>IF(Completed!$L$126&lt;&gt;"",Completed!$L$126,"")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IF(Completed!$A$127&lt;&gt;"",Completed!$A$127,"")</f>
        <v>Nekomonogatari Black</v>
      </c>
      <c r="O128" s="28">
        <f>IF(Completed!$B$127&lt;&gt;"",Completed!$B$127,"")</f>
        <v>1</v>
      </c>
      <c r="P128" s="28">
        <f ca="1">IF($N$128&lt;&gt;"", INDIRECT("'Tracker'!"&amp;ADDRESS(MATCH($N$128, Tracker[Anime Name], 0) + 2, 3)), "")</f>
        <v>4</v>
      </c>
      <c r="Q128" s="22" t="str">
        <f ca="1">IF($N$128&lt;&gt;"", INDIRECT("'Tracker'!"&amp;ADDRESS(MATCH($N$128, Tracker[Anime Name], 0) + 2, 4)), "")</f>
        <v>A</v>
      </c>
      <c r="R128" s="22" t="str">
        <f ca="1">IF($N$128&lt;&gt;"", INDIRECT("'Tracker'!"&amp;ADDRESS(MATCH($N$128, Tracker[Anime Name], 0) + 2, 5)), "")</f>
        <v>1080p</v>
      </c>
      <c r="S128" s="22" t="str">
        <f ca="1">IF($N$128&lt;&gt;"", INDIRECT("'Tracker'!"&amp;ADDRESS(MATCH($N$128, Tracker[Anime Name], 0) + 2, 6)), "")</f>
        <v>BD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Coalgirls, Mazui</v>
      </c>
      <c r="V128" s="53">
        <f>IF(Completed!$C$127&lt;&gt;"",Completed!$C$127,"")</f>
        <v>7</v>
      </c>
      <c r="W128" s="53">
        <f>IF(Completed!$D$127&lt;&gt;"",Completed!$D$127,"")</f>
        <v>6.5</v>
      </c>
      <c r="X128" s="53">
        <f>IF(Completed!$E$127&lt;&gt;"",Completed!$E$127,"")</f>
        <v>2.5</v>
      </c>
      <c r="Y128" s="53">
        <f>IF(Completed!$F$127&lt;&gt;"",Completed!$F$127,"")</f>
        <v>7.5</v>
      </c>
      <c r="Z128" s="64">
        <f>IF(Completed!$G$127&lt;&gt;"",Completed!$G$127,"")</f>
        <v>6.9007537688442211</v>
      </c>
      <c r="AA128" s="74">
        <f>IF(Completed!$H$127&lt;&gt;"",Completed!$H$127,"")</f>
        <v>5.8853203295779384</v>
      </c>
      <c r="AB128" s="54">
        <f>IF(Completed!$I$127&lt;&gt;"",Completed!$I$127,"")</f>
        <v>41465</v>
      </c>
      <c r="AC128" s="54">
        <f>IF(Completed!$J$127&lt;&gt;"",Completed!$J$127,"")</f>
        <v>41465</v>
      </c>
      <c r="AD128" s="65" t="str">
        <f>IF(Completed!$K$127&lt;&gt;"",Completed!$K$127,"")</f>
        <v>Oshino Shinobu</v>
      </c>
      <c r="AE128" s="65" t="str">
        <f>IF(Completed!$L$127&lt;&gt;"",Completed!$L$127,"")</f>
        <v>Pretty relaxing to watch, got better near the end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IF(Completed!$A$128&lt;&gt;"",Completed!$A$128,"")</f>
        <v>Photokano</v>
      </c>
      <c r="O129" s="28">
        <f>IF(Completed!$B$128&lt;&gt;"",Completed!$B$128,"")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2013A</v>
      </c>
      <c r="U129" s="28" t="str">
        <f ca="1">IF($N$129&lt;&gt;"", INDIRECT("'Tracker'!"&amp;ADDRESS(MATCH($N$129, Tracker[Anime Name], 0) + 2, 8)), "")</f>
        <v>HorribleSubs</v>
      </c>
      <c r="V129" s="53">
        <f>IF(Completed!$C$128&lt;&gt;"",Completed!$C$128,"")</f>
        <v>6.5</v>
      </c>
      <c r="W129" s="53">
        <f>IF(Completed!$D$128&lt;&gt;"",Completed!$D$128,"")</f>
        <v>7</v>
      </c>
      <c r="X129" s="53">
        <f>IF(Completed!$E$128&lt;&gt;"",Completed!$E$128,"")</f>
        <v>6.5</v>
      </c>
      <c r="Y129" s="53">
        <f>IF(Completed!$F$128&lt;&gt;"",Completed!$F$128,"")</f>
        <v>7</v>
      </c>
      <c r="Z129" s="64">
        <f>IF(Completed!$G$128&lt;&gt;"",Completed!$G$128,"")</f>
        <v>6.8844221105527632</v>
      </c>
      <c r="AA129" s="74">
        <f>IF(Completed!$H$128&lt;&gt;"",Completed!$H$128,"")</f>
        <v>5.8634605683537906</v>
      </c>
      <c r="AB129" s="54">
        <f>IF(Completed!$I$128&lt;&gt;"",Completed!$I$128,"")</f>
        <v>41371</v>
      </c>
      <c r="AC129" s="54">
        <f>IF(Completed!$J$128&lt;&gt;"",Completed!$J$128,"")</f>
        <v>41453</v>
      </c>
      <c r="AD129" s="65" t="str">
        <f>IF(Completed!$K$128&lt;&gt;"",Completed!$K$128,"")</f>
        <v>Sakura Mai</v>
      </c>
      <c r="AE129" s="65" t="str">
        <f>IF(Completed!$L$128&lt;&gt;"",Completed!$L$128,"")</f>
        <v/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IF(Completed!$A$129&lt;&gt;"",Completed!$A$129,"")</f>
        <v>Sasami-san @ Ganbaranai</v>
      </c>
      <c r="O130" s="28">
        <f>IF(Completed!$B$129&lt;&gt;"",Completed!$B$129,"")</f>
        <v>1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2012D</v>
      </c>
      <c r="U130" s="28" t="str">
        <f ca="1">IF($N$130&lt;&gt;"", INDIRECT("'Tracker'!"&amp;ADDRESS(MATCH($N$130, Tracker[Anime Name], 0) + 2, 8)), "")</f>
        <v>FFF</v>
      </c>
      <c r="V130" s="53">
        <f>IF(Completed!$C$129&lt;&gt;"",Completed!$C$129,"")</f>
        <v>7</v>
      </c>
      <c r="W130" s="53">
        <f>IF(Completed!$D$129&lt;&gt;"",Completed!$D$129,"")</f>
        <v>7</v>
      </c>
      <c r="X130" s="53">
        <f>IF(Completed!$E$129&lt;&gt;"",Completed!$E$129,"")</f>
        <v>4.5</v>
      </c>
      <c r="Y130" s="53">
        <f>IF(Completed!$F$129&lt;&gt;"",Completed!$F$129,"")</f>
        <v>7</v>
      </c>
      <c r="Z130" s="64">
        <f>IF(Completed!$G$129&lt;&gt;"",Completed!$G$129,"")</f>
        <v>6.8806532663316577</v>
      </c>
      <c r="AA130" s="74">
        <f>IF(Completed!$H$129&lt;&gt;"",Completed!$H$129,"")</f>
        <v>5.8584160080712957</v>
      </c>
      <c r="AB130" s="54">
        <f>IF(Completed!$I$129&lt;&gt;"",Completed!$I$129,"")</f>
        <v>41292</v>
      </c>
      <c r="AC130" s="54">
        <f>IF(Completed!$J$129&lt;&gt;"",Completed!$J$129,"")</f>
        <v>41369</v>
      </c>
      <c r="AD130" s="65" t="str">
        <f>IF(Completed!$K$129&lt;&gt;"",Completed!$K$129,"")</f>
        <v>Yagami Kagami</v>
      </c>
      <c r="AE130" s="65" t="str">
        <f>IF(Completed!$L$129&lt;&gt;"",Completed!$L$129,"")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IF(Completed!$A$130&lt;&gt;"",Completed!$A$130,"")</f>
        <v>Red Data Girl</v>
      </c>
      <c r="O131" s="28">
        <f>IF(Completed!$B$130&lt;&gt;"",Completed!$B$130,"")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C</v>
      </c>
      <c r="R131" s="22" t="str">
        <f ca="1">IF($N$131&lt;&gt;"", INDIRECT("'Tracker'!"&amp;ADDRESS(MATCH($N$131, Tracker[Anime Name], 0) + 2, 5)), "")</f>
        <v>720p</v>
      </c>
      <c r="S131" s="22" t="str">
        <f ca="1">IF($N$131&lt;&gt;"", INDIRECT("'Tracker'!"&amp;ADDRESS(MATCH($N$131, Tracker[Anime Name], 0) + 2, 6)), "")</f>
        <v>TV</v>
      </c>
      <c r="T131" s="22" t="str">
        <f ca="1">IF($N$131&lt;&gt;"", INDIRECT("'Tracker'!"&amp;ADDRESS(MATCH($N$131, Tracker[Anime Name], 0) + 2, 7)), "")</f>
        <v>2013A</v>
      </c>
      <c r="U131" s="28" t="str">
        <f ca="1">IF($N$131&lt;&gt;"", INDIRECT("'Tracker'!"&amp;ADDRESS(MATCH($N$131, Tracker[Anime Name], 0) + 2, 8)), "")</f>
        <v>HorribleSubs</v>
      </c>
      <c r="V131" s="53">
        <f>IF(Completed!$C$130&lt;&gt;"",Completed!$C$130,"")</f>
        <v>7</v>
      </c>
      <c r="W131" s="53">
        <f>IF(Completed!$D$130&lt;&gt;"",Completed!$D$130,"")</f>
        <v>6</v>
      </c>
      <c r="X131" s="53">
        <f>IF(Completed!$E$130&lt;&gt;"",Completed!$E$130,"")</f>
        <v>4.5</v>
      </c>
      <c r="Y131" s="53">
        <f>IF(Completed!$F$130&lt;&gt;"",Completed!$F$130,"")</f>
        <v>7.5</v>
      </c>
      <c r="Z131" s="64">
        <f>IF(Completed!$G$130&lt;&gt;"",Completed!$G$130,"")</f>
        <v>6.8618090452261313</v>
      </c>
      <c r="AA131" s="74">
        <f>IF(Completed!$H$130&lt;&gt;"",Completed!$H$130,"")</f>
        <v>5.8331932066588204</v>
      </c>
      <c r="AB131" s="54">
        <f>IF(Completed!$I$130&lt;&gt;"",Completed!$I$130,"")</f>
        <v>41379</v>
      </c>
      <c r="AC131" s="54">
        <f>IF(Completed!$J$130&lt;&gt;"",Completed!$J$130,"")</f>
        <v>41464</v>
      </c>
      <c r="AD131" s="65" t="str">
        <f>IF(Completed!$K$130&lt;&gt;"",Completed!$K$130,"")</f>
        <v>Himegami</v>
      </c>
      <c r="AE131" s="65" t="str">
        <f>IF(Completed!$L$130&lt;&gt;"",Completed!$L$130,"")</f>
        <v>They tried a bit too hard. 3strange5me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IF(Completed!$A$131&lt;&gt;"",Completed!$A$131,"")</f>
        <v>Yuru Yuri ♪♪</v>
      </c>
      <c r="O132" s="28">
        <f>IF(Completed!$B$131&lt;&gt;"",Completed!$B$131,"")</f>
        <v>2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1080p</v>
      </c>
      <c r="S132" s="22" t="str">
        <f ca="1">IF($N$132&lt;&gt;"", INDIRECT("'Tracker'!"&amp;ADDRESS(MATCH($N$132, Tracker[Anime Name], 0) + 2, 6)), "")</f>
        <v>BD</v>
      </c>
      <c r="T132" s="22" t="str">
        <f ca="1">IF($N$132&lt;&gt;"", INDIRECT("'Tracker'!"&amp;ADDRESS(MATCH($N$132, Tracker[Anime Name], 0) + 2, 7)), "")</f>
        <v>2012B</v>
      </c>
      <c r="U132" s="28" t="str">
        <f ca="1">IF($N$132&lt;&gt;"", INDIRECT("'Tracker'!"&amp;ADDRESS(MATCH($N$132, Tracker[Anime Name], 0) + 2, 8)), "")</f>
        <v>Doki</v>
      </c>
      <c r="V132" s="53">
        <f>IF(Completed!$C$131&lt;&gt;"",Completed!$C$131,"")</f>
        <v>2</v>
      </c>
      <c r="W132" s="53">
        <f>IF(Completed!$D$131&lt;&gt;"",Completed!$D$131,"")</f>
        <v>7.5</v>
      </c>
      <c r="X132" s="53">
        <f>IF(Completed!$E$131&lt;&gt;"",Completed!$E$131,"")</f>
        <v>10</v>
      </c>
      <c r="Y132" s="53">
        <f>IF(Completed!$F$131&lt;&gt;"",Completed!$F$131,"")</f>
        <v>8</v>
      </c>
      <c r="Z132" s="64">
        <f>IF(Completed!$G$131&lt;&gt;"",Completed!$G$131,"")</f>
        <v>6.8605527638190953</v>
      </c>
      <c r="AA132" s="74">
        <f>IF(Completed!$H$131&lt;&gt;"",Completed!$H$131,"")</f>
        <v>5.8315116865646539</v>
      </c>
      <c r="AB132" s="54">
        <f>IF(Completed!$I$131&lt;&gt;"",Completed!$I$131,"")</f>
        <v>41229</v>
      </c>
      <c r="AC132" s="54">
        <f>IF(Completed!$J$131&lt;&gt;"",Completed!$J$131,"")</f>
        <v>41230</v>
      </c>
      <c r="AD132" s="65" t="str">
        <f>IF(Completed!$K$131&lt;&gt;"",Completed!$K$131,"")</f>
        <v>Funami Yui</v>
      </c>
      <c r="AE132" s="65" t="str">
        <f>IF(Completed!$L$131&lt;&gt;"",Completed!$L$131,"")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IF(Completed!$A$132&lt;&gt;"",Completed!$A$132,"")</f>
        <v>Super Sonico the Animation</v>
      </c>
      <c r="O133" s="28">
        <f>IF(Completed!$B$132&lt;&gt;"",Completed!$B$132,"")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Web</v>
      </c>
      <c r="T133" s="22" t="str">
        <f ca="1">IF($N$133&lt;&gt;"", INDIRECT("'Tracker'!"&amp;ADDRESS(MATCH($N$133, Tracker[Anime Name], 0) + 2, 7)), "")</f>
        <v>2013D</v>
      </c>
      <c r="U133" s="28" t="str">
        <f ca="1">IF($N$133&lt;&gt;"", INDIRECT("'Tracker'!"&amp;ADDRESS(MATCH($N$133, Tracker[Anime Name], 0) + 2, 8)), "")</f>
        <v>HorribleSubs</v>
      </c>
      <c r="V133" s="53">
        <f>IF(Completed!$C$132&lt;&gt;"",Completed!$C$132,"")</f>
        <v>5.5</v>
      </c>
      <c r="W133" s="53">
        <f>IF(Completed!$D$132&lt;&gt;"",Completed!$D$132,"")</f>
        <v>7</v>
      </c>
      <c r="X133" s="53">
        <f>IF(Completed!$E$132&lt;&gt;"",Completed!$E$132,"")</f>
        <v>4.5</v>
      </c>
      <c r="Y133" s="53">
        <f>IF(Completed!$F$132&lt;&gt;"",Completed!$F$132,"")</f>
        <v>7.5</v>
      </c>
      <c r="Z133" s="64">
        <f>IF(Completed!$G$132&lt;&gt;"",Completed!$G$132,"")</f>
        <v>6.8555276381909547</v>
      </c>
      <c r="AA133" s="74">
        <f>IF(Completed!$H$132&lt;&gt;"",Completed!$H$132,"")</f>
        <v>5.8247856061879935</v>
      </c>
      <c r="AB133" s="54">
        <f>IF(Completed!$I$132&lt;&gt;"",Completed!$I$132,"")</f>
        <v>41647</v>
      </c>
      <c r="AC133" s="54">
        <f>IF(Completed!$J$132&lt;&gt;"",Completed!$J$132,"")</f>
        <v>41733</v>
      </c>
      <c r="AD133" s="65" t="str">
        <f>IF(Completed!$K$132&lt;&gt;"",Completed!$K$132,"")</f>
        <v>Leila</v>
      </c>
      <c r="AE133" s="65" t="str">
        <f>IF(Completed!$L$132&lt;&gt;"",Completed!$L$132,"")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IF(Completed!$A$133&lt;&gt;"",Completed!$A$133,"")</f>
        <v>Yuru Yuri</v>
      </c>
      <c r="O134" s="28">
        <f>IF(Completed!$B$133&lt;&gt;"",Completed!$B$133,"")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1080p</v>
      </c>
      <c r="S134" s="22" t="str">
        <f ca="1">IF($N$134&lt;&gt;"", INDIRECT("'Tracker'!"&amp;ADDRESS(MATCH($N$134, Tracker[Anime Name], 0) + 2, 6)), "")</f>
        <v>BD</v>
      </c>
      <c r="T134" s="22" t="str">
        <f ca="1">IF($N$134&lt;&gt;"", INDIRECT("'Tracker'!"&amp;ADDRESS(MATCH($N$134, Tracker[Anime Name], 0) + 2, 7)), "")</f>
        <v>2011B</v>
      </c>
      <c r="U134" s="28" t="str">
        <f ca="1">IF($N$134&lt;&gt;"", INDIRECT("'Tracker'!"&amp;ADDRESS(MATCH($N$134, Tracker[Anime Name], 0) + 2, 8)), "")</f>
        <v>Doki</v>
      </c>
      <c r="V134" s="53">
        <f>IF(Completed!$C$133&lt;&gt;"",Completed!$C$133,"")</f>
        <v>2</v>
      </c>
      <c r="W134" s="53">
        <f>IF(Completed!$D$133&lt;&gt;"",Completed!$D$133,"")</f>
        <v>7.5</v>
      </c>
      <c r="X134" s="53">
        <f>IF(Completed!$E$133&lt;&gt;"",Completed!$E$133,"")</f>
        <v>9.5</v>
      </c>
      <c r="Y134" s="53">
        <f>IF(Completed!$F$133&lt;&gt;"",Completed!$F$133,"")</f>
        <v>8</v>
      </c>
      <c r="Z134" s="64">
        <f>IF(Completed!$G$133&lt;&gt;"",Completed!$G$133,"")</f>
        <v>6.8366834170854274</v>
      </c>
      <c r="AA134" s="74">
        <f>IF(Completed!$H$133&lt;&gt;"",Completed!$H$133,"")</f>
        <v>5.7995628047755172</v>
      </c>
      <c r="AB134" s="54">
        <f>IF(Completed!$I$133&lt;&gt;"",Completed!$I$133,"")</f>
        <v>41228</v>
      </c>
      <c r="AC134" s="54">
        <f>IF(Completed!$J$133&lt;&gt;"",Completed!$J$133,"")</f>
        <v>41229</v>
      </c>
      <c r="AD134" s="65" t="str">
        <f>IF(Completed!$K$133&lt;&gt;"",Completed!$K$133,"")</f>
        <v>Funami Yui</v>
      </c>
      <c r="AE134" s="65" t="str">
        <f>IF(Completed!$L$133&lt;&gt;"",Completed!$L$133,"")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IF(Completed!$A$134&lt;&gt;"",Completed!$A$134,"")</f>
        <v>Miss Monochrome</v>
      </c>
      <c r="O135" s="28">
        <f>IF(Completed!$B$134&lt;&gt;"",Completed!$B$134,"")</f>
        <v>1</v>
      </c>
      <c r="P135" s="28">
        <f ca="1">IF($N$135&lt;&gt;"", INDIRECT("'Tracker'!"&amp;ADDRESS(MATCH($N$135, Tracker[Anime Name], 0) + 2, 3)), "")</f>
        <v>13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720p</v>
      </c>
      <c r="S135" s="22" t="str">
        <f ca="1">IF($N$135&lt;&gt;"", INDIRECT("'Tracker'!"&amp;ADDRESS(MATCH($N$135, Tracker[Anime Name], 0) + 2, 6)), "")</f>
        <v>Web</v>
      </c>
      <c r="T135" s="22" t="str">
        <f ca="1">IF($N$135&lt;&gt;"", INDIRECT("'Tracker'!"&amp;ADDRESS(MATCH($N$135, Tracker[Anime Name], 0) + 2, 7)), "")</f>
        <v>2013C</v>
      </c>
      <c r="U135" s="28" t="str">
        <f ca="1">IF($N$135&lt;&gt;"", INDIRECT("'Tracker'!"&amp;ADDRESS(MATCH($N$135, Tracker[Anime Name], 0) + 2, 8)), "")</f>
        <v>HorribleSubs</v>
      </c>
      <c r="V135" s="53">
        <f>IF(Completed!$C$134&lt;&gt;"",Completed!$C$134,"")</f>
        <v>5</v>
      </c>
      <c r="W135" s="53">
        <f>IF(Completed!$D$134&lt;&gt;"",Completed!$D$134,"")</f>
        <v>7.5</v>
      </c>
      <c r="X135" s="53">
        <f>IF(Completed!$E$134&lt;&gt;"",Completed!$E$134,"")</f>
        <v>7.5</v>
      </c>
      <c r="Y135" s="53">
        <f>IF(Completed!$F$134&lt;&gt;"",Completed!$F$134,"")</f>
        <v>6.5</v>
      </c>
      <c r="Z135" s="64">
        <f>IF(Completed!$G$134&lt;&gt;"",Completed!$G$134,"")</f>
        <v>6.5414572864321618</v>
      </c>
      <c r="AA135" s="74">
        <f>IF(Completed!$H$134&lt;&gt;"",Completed!$H$134,"")</f>
        <v>5.4044055826467137</v>
      </c>
      <c r="AB135" s="54">
        <f>IF(Completed!$I$134&lt;&gt;"",Completed!$I$134,"")</f>
        <v>41550</v>
      </c>
      <c r="AC135" s="54">
        <f>IF(Completed!$J$134&lt;&gt;"",Completed!$J$134,"")</f>
        <v>41634</v>
      </c>
      <c r="AD135" s="65" t="str">
        <f>IF(Completed!$K$134&lt;&gt;"",Completed!$K$134,"")</f>
        <v>Miss Monochrome</v>
      </c>
      <c r="AE135" s="65" t="str">
        <f>IF(Completed!$L$134&lt;&gt;"",Completed!$L$134,"")</f>
        <v>Too short to give accurate ratings, but entertaining nonetheless</v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IF(Completed!$A$135&lt;&gt;"",Completed!$A$135,"")</f>
        <v>Kanojo no Flag wo Oraretara</v>
      </c>
      <c r="O136" s="28">
        <f>IF(Completed!$B$135&lt;&gt;"",Completed!$B$135,"")</f>
        <v>1</v>
      </c>
      <c r="P136" s="28">
        <f ca="1">IF($N$136&lt;&gt;"", INDIRECT("'Tracker'!"&amp;ADDRESS(MATCH($N$136, Tracker[Anime Name], 0) + 2, 3)), "")</f>
        <v>13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TV</v>
      </c>
      <c r="T136" s="22" t="str">
        <f ca="1">IF($N$136&lt;&gt;"", INDIRECT("'Tracker'!"&amp;ADDRESS(MATCH($N$136, Tracker[Anime Name], 0) + 2, 7)), "")</f>
        <v>2014A</v>
      </c>
      <c r="U136" s="28" t="str">
        <f ca="1">IF($N$136&lt;&gt;"", INDIRECT("'Tracker'!"&amp;ADDRESS(MATCH($N$136, Tracker[Anime Name], 0) + 2, 8)), "")</f>
        <v>Underwater</v>
      </c>
      <c r="V136" s="53">
        <f>IF(Completed!$C$135&lt;&gt;"",Completed!$C$135,"")</f>
        <v>6</v>
      </c>
      <c r="W136" s="53">
        <f>IF(Completed!$D$135&lt;&gt;"",Completed!$D$135,"")</f>
        <v>7.5</v>
      </c>
      <c r="X136" s="53">
        <f>IF(Completed!$E$135&lt;&gt;"",Completed!$E$135,"")</f>
        <v>6</v>
      </c>
      <c r="Y136" s="53">
        <f>IF(Completed!$F$135&lt;&gt;"",Completed!$F$135,"")</f>
        <v>6</v>
      </c>
      <c r="Z136" s="64">
        <f>IF(Completed!$G$135&lt;&gt;"",Completed!$G$135,"")</f>
        <v>6.4032663316582914</v>
      </c>
      <c r="AA136" s="74">
        <f>IF(Completed!$H$135&lt;&gt;"",Completed!$H$135,"")</f>
        <v>5.2194383722885487</v>
      </c>
      <c r="AB136" s="54">
        <f>IF(Completed!$I$135&lt;&gt;"",Completed!$I$135,"")</f>
        <v>41796</v>
      </c>
      <c r="AC136" s="54">
        <f>IF(Completed!$J$135&lt;&gt;"",Completed!$J$135,"")</f>
        <v>41820</v>
      </c>
      <c r="AD136" s="65" t="str">
        <f>IF(Completed!$K$135&lt;&gt;"",Completed!$K$135,"")</f>
        <v>Nanami Bladefield</v>
      </c>
      <c r="AE136" s="65" t="str">
        <f>IF(Completed!$L$135&lt;&gt;"",Completed!$L$135,"")</f>
        <v>It would've been nicer if it kept the tone of the first few episodes</v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IF(Completed!$A$136&lt;&gt;"",Completed!$A$136,"")</f>
        <v>Namiuchigiwa no Muromi-san</v>
      </c>
      <c r="O137" s="28">
        <f>IF(Completed!$B$136&lt;&gt;"",Completed!$B$136,"")</f>
        <v>1</v>
      </c>
      <c r="P137" s="28">
        <f ca="1">IF($N$137&lt;&gt;"", INDIRECT("'Tracker'!"&amp;ADDRESS(MATCH($N$137, Tracker[Anime Name], 0) + 2, 3)), "")</f>
        <v>13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720p</v>
      </c>
      <c r="S137" s="22" t="str">
        <f ca="1">IF($N$137&lt;&gt;"", INDIRECT("'Tracker'!"&amp;ADDRESS(MATCH($N$137, Tracker[Anime Name], 0) + 2, 6)), "")</f>
        <v>Web</v>
      </c>
      <c r="T137" s="22" t="str">
        <f ca="1">IF($N$137&lt;&gt;"", INDIRECT("'Tracker'!"&amp;ADDRESS(MATCH($N$137, Tracker[Anime Name], 0) + 2, 7)), "")</f>
        <v>2013A</v>
      </c>
      <c r="U137" s="28" t="str">
        <f ca="1">IF($N$137&lt;&gt;"", INDIRECT("'Tracker'!"&amp;ADDRESS(MATCH($N$137, Tracker[Anime Name], 0) + 2, 8)), "")</f>
        <v>HorribleSubs</v>
      </c>
      <c r="V137" s="53">
        <f>IF(Completed!$C$136&lt;&gt;"",Completed!$C$136,"")</f>
        <v>3</v>
      </c>
      <c r="W137" s="53">
        <f>IF(Completed!$D$136&lt;&gt;"",Completed!$D$136,"")</f>
        <v>6.5</v>
      </c>
      <c r="X137" s="53">
        <f>IF(Completed!$E$136&lt;&gt;"",Completed!$E$136,"")</f>
        <v>6.5</v>
      </c>
      <c r="Y137" s="53">
        <f>IF(Completed!$F$136&lt;&gt;"",Completed!$F$136,"")</f>
        <v>7.5</v>
      </c>
      <c r="Z137" s="64">
        <f>IF(Completed!$G$136&lt;&gt;"",Completed!$G$136,"")</f>
        <v>6.358040201005025</v>
      </c>
      <c r="AA137" s="74">
        <f>IF(Completed!$H$136&lt;&gt;"",Completed!$H$136,"")</f>
        <v>5.1589036488986038</v>
      </c>
      <c r="AB137" s="54">
        <f>IF(Completed!$I$136&lt;&gt;"",Completed!$I$136,"")</f>
        <v>41448</v>
      </c>
      <c r="AC137" s="54">
        <f>IF(Completed!$J$136&lt;&gt;"",Completed!$J$136,"")</f>
        <v>41455</v>
      </c>
      <c r="AD137" s="65" t="str">
        <f>IF(Completed!$K$136&lt;&gt;"",Completed!$K$136,"")</f>
        <v>Levia-san</v>
      </c>
      <c r="AE137" s="65" t="str">
        <f>IF(Completed!$L$136&lt;&gt;"",Completed!$L$136,"")</f>
        <v>Not a bad show, despite low ratings. Pretty entertaining to watch overall</v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IF(Completed!$A$137&lt;&gt;"",Completed!$A$137,"")</f>
        <v>Mangaka-san to Assistant-san to</v>
      </c>
      <c r="O138" s="28">
        <f>IF(Completed!$B$137&lt;&gt;"",Completed!$B$137,"")</f>
        <v>1</v>
      </c>
      <c r="P138" s="28">
        <f ca="1">IF($N$138&lt;&gt;"", INDIRECT("'Tracker'!"&amp;ADDRESS(MATCH($N$138, Tracker[Anime Name], 0) + 2, 3)), "")</f>
        <v>12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TV</v>
      </c>
      <c r="T138" s="22" t="str">
        <f ca="1">IF($N$138&lt;&gt;"", INDIRECT("'Tracker'!"&amp;ADDRESS(MATCH($N$138, Tracker[Anime Name], 0) + 2, 7)), "")</f>
        <v>2014A</v>
      </c>
      <c r="U138" s="28" t="str">
        <f ca="1">IF($N$138&lt;&gt;"", INDIRECT("'Tracker'!"&amp;ADDRESS(MATCH($N$138, Tracker[Anime Name], 0) + 2, 8)), "")</f>
        <v>Doki</v>
      </c>
      <c r="V138" s="53">
        <f>IF(Completed!$C$137&lt;&gt;"",Completed!$C$137,"")</f>
        <v>5</v>
      </c>
      <c r="W138" s="53">
        <f>IF(Completed!$D$137&lt;&gt;"",Completed!$D$137,"")</f>
        <v>6.5</v>
      </c>
      <c r="X138" s="53">
        <f>IF(Completed!$E$137&lt;&gt;"",Completed!$E$137,"")</f>
        <v>8</v>
      </c>
      <c r="Y138" s="53">
        <f>IF(Completed!$F$137&lt;&gt;"",Completed!$F$137,"")</f>
        <v>6.5</v>
      </c>
      <c r="Z138" s="64">
        <f>IF(Completed!$G$137&lt;&gt;"",Completed!$G$137,"")</f>
        <v>6.2964824120603025</v>
      </c>
      <c r="AA138" s="74">
        <f>IF(Completed!$H$137&lt;&gt;"",Completed!$H$137,"")</f>
        <v>5.0765091642845146</v>
      </c>
      <c r="AB138" s="54">
        <f>IF(Completed!$I$137&lt;&gt;"",Completed!$I$137,"")</f>
        <v>41785</v>
      </c>
      <c r="AC138" s="54">
        <f>IF(Completed!$J$137&lt;&gt;"",Completed!$J$137,"")</f>
        <v>41814</v>
      </c>
      <c r="AD138" s="65" t="str">
        <f>IF(Completed!$K$137&lt;&gt;"",Completed!$K$137,"")</f>
        <v>Sahoto Ashisu</v>
      </c>
      <c r="AE138" s="65" t="str">
        <f>IF(Completed!$L$137&lt;&gt;"",Completed!$L$137,"")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IF(Completed!$A$138&lt;&gt;"",Completed!$A$138,"")</f>
        <v>Ore no Nounai Sentakushi ga, Gakuen Love Comedy wo Zenryoku de Jama Shiteiru</v>
      </c>
      <c r="O139" s="28">
        <f>IF(Completed!$B$138&lt;&gt;"",Completed!$B$138,"")</f>
        <v>1</v>
      </c>
      <c r="P139" s="28">
        <f ca="1">IF($N$139&lt;&gt;"", INDIRECT("'Tracker'!"&amp;ADDRESS(MATCH($N$139, Tracker[Anime Name], 0) + 2, 3)), "")</f>
        <v>10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2013C</v>
      </c>
      <c r="U139" s="28" t="str">
        <f ca="1">IF($N$139&lt;&gt;"", INDIRECT("'Tracker'!"&amp;ADDRESS(MATCH($N$139, Tracker[Anime Name], 0) + 2, 8)), "")</f>
        <v>HorribleSubs</v>
      </c>
      <c r="V139" s="53">
        <f>IF(Completed!$C$138&lt;&gt;"",Completed!$C$138,"")</f>
        <v>6.5</v>
      </c>
      <c r="W139" s="53">
        <f>IF(Completed!$D$138&lt;&gt;"",Completed!$D$138,"")</f>
        <v>5.5</v>
      </c>
      <c r="X139" s="53">
        <f>IF(Completed!$E$138&lt;&gt;"",Completed!$E$138,"")</f>
        <v>7.5</v>
      </c>
      <c r="Y139" s="53">
        <f>IF(Completed!$F$138&lt;&gt;"",Completed!$F$138,"")</f>
        <v>6.5</v>
      </c>
      <c r="Z139" s="64">
        <f>IF(Completed!$G$138&lt;&gt;"",Completed!$G$138,"")</f>
        <v>6.2788944723618094</v>
      </c>
      <c r="AA139" s="74">
        <f>IF(Completed!$H$138&lt;&gt;"",Completed!$H$138,"")</f>
        <v>5.0529678829662013</v>
      </c>
      <c r="AB139" s="54">
        <f>IF(Completed!$I$138&lt;&gt;"",Completed!$I$138,"")</f>
        <v>41560</v>
      </c>
      <c r="AC139" s="54">
        <f>IF(Completed!$J$138&lt;&gt;"",Completed!$J$138,"")</f>
        <v>41618</v>
      </c>
      <c r="AD139" s="65" t="str">
        <f>IF(Completed!$K$138&lt;&gt;"",Completed!$K$138,"")</f>
        <v>Chocolat</v>
      </c>
      <c r="AE139" s="65" t="str">
        <f>IF(Completed!$L$138&lt;&gt;"",Completed!$L$138,"")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IF(Completed!$A$139&lt;&gt;"",Completed!$A$139,"")</f>
        <v>Himegoto</v>
      </c>
      <c r="O140" s="28">
        <f>IF(Completed!$B$139&lt;&gt;"",Completed!$B$139,"")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TV</v>
      </c>
      <c r="T140" s="22" t="str">
        <f ca="1">IF($N$140&lt;&gt;"", INDIRECT("'Tracker'!"&amp;ADDRESS(MATCH($N$140, Tracker[Anime Name], 0) + 2, 7)), "")</f>
        <v>2014B</v>
      </c>
      <c r="U140" s="28" t="str">
        <f ca="1">IF($N$140&lt;&gt;"", INDIRECT("'Tracker'!"&amp;ADDRESS(MATCH($N$140, Tracker[Anime Name], 0) + 2, 8)), "")</f>
        <v>Doki</v>
      </c>
      <c r="V140" s="53">
        <f>IF(Completed!$C$139&lt;&gt;"",Completed!$C$139,"")</f>
        <v>5.5</v>
      </c>
      <c r="W140" s="53">
        <f>IF(Completed!$D$139&lt;&gt;"",Completed!$D$139,"")</f>
        <v>6</v>
      </c>
      <c r="X140" s="53">
        <f>IF(Completed!$E$139&lt;&gt;"",Completed!$E$139,"")</f>
        <v>7</v>
      </c>
      <c r="Y140" s="53">
        <f>IF(Completed!$F$139&lt;&gt;"",Completed!$F$139,"")</f>
        <v>6</v>
      </c>
      <c r="Z140" s="64">
        <f>IF(Completed!$G$139&lt;&gt;"",Completed!$G$139,"")</f>
        <v>5.9560301507537687</v>
      </c>
      <c r="AA140" s="74">
        <f>IF(Completed!$H$139&lt;&gt;"",Completed!$H$139,"")</f>
        <v>4.6208172187657635</v>
      </c>
      <c r="AB140" s="54">
        <f>IF(Completed!$I$139&lt;&gt;"",Completed!$I$139,"")</f>
        <v>41828</v>
      </c>
      <c r="AC140" s="54">
        <f>IF(Completed!$J$139&lt;&gt;"",Completed!$J$139,"")</f>
        <v>41915</v>
      </c>
      <c r="AD140" s="65" t="str">
        <f>IF(Completed!$K$139&lt;&gt;"",Completed!$K$139,"")</f>
        <v>Arikawa Hime</v>
      </c>
      <c r="AE140" s="65" t="str">
        <f>IF(Completed!$L$139&lt;&gt;"",Completed!$L$139,"")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IF(Completed!$A$140&lt;&gt;"",Completed!$A$140,"")</f>
        <v>Tamako Market</v>
      </c>
      <c r="O141" s="28">
        <f>IF(Completed!$B$140&lt;&gt;"",Completed!$B$140,"")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2012D</v>
      </c>
      <c r="U141" s="28" t="str">
        <f ca="1">IF($N$141&lt;&gt;"", INDIRECT("'Tracker'!"&amp;ADDRESS(MATCH($N$141, Tracker[Anime Name], 0) + 2, 8)), "")</f>
        <v>Mazui</v>
      </c>
      <c r="V141" s="53">
        <f>IF(Completed!$C$140&lt;&gt;"",Completed!$C$140,"")</f>
        <v>5.5</v>
      </c>
      <c r="W141" s="53">
        <f>IF(Completed!$D$140&lt;&gt;"",Completed!$D$140,"")</f>
        <v>5.5</v>
      </c>
      <c r="X141" s="53">
        <f>IF(Completed!$E$140&lt;&gt;"",Completed!$E$140,"")</f>
        <v>5</v>
      </c>
      <c r="Y141" s="53">
        <f>IF(Completed!$F$140&lt;&gt;"",Completed!$F$140,"")</f>
        <v>6</v>
      </c>
      <c r="Z141" s="64">
        <f>IF(Completed!$G$140&lt;&gt;"",Completed!$G$140,"")</f>
        <v>5.7261306532663312</v>
      </c>
      <c r="AA141" s="74">
        <f>IF(Completed!$H$140&lt;&gt;"",Completed!$H$140,"")</f>
        <v>4.3130990415335448</v>
      </c>
      <c r="AB141" s="54">
        <f>IF(Completed!$I$140&lt;&gt;"",Completed!$I$140,"")</f>
        <v>41302</v>
      </c>
      <c r="AC141" s="54">
        <f>IF(Completed!$J$140&lt;&gt;"",Completed!$J$140,"")</f>
        <v>41360</v>
      </c>
      <c r="AD141" s="65" t="str">
        <f>IF(Completed!$K$140&lt;&gt;"",Completed!$K$140,"")</f>
        <v>Makino Kanna</v>
      </c>
      <c r="AE141" s="65" t="str">
        <f>IF(Completed!$L$140&lt;&gt;"",Completed!$L$140,"")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IF(Completed!$A$141&lt;&gt;"",Completed!$A$141,"")</f>
        <v>Shiba Inuko-san</v>
      </c>
      <c r="O142" s="28">
        <f>IF(Completed!$B$141&lt;&gt;"",Completed!$B$141,"")</f>
        <v>1</v>
      </c>
      <c r="P142" s="28">
        <f ca="1">IF($N$142&lt;&gt;"", INDIRECT("'Tracker'!"&amp;ADDRESS(MATCH($N$142, Tracker[Anime Name], 0) + 2, 3)), "")</f>
        <v>26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2012A</v>
      </c>
      <c r="U142" s="28" t="str">
        <f ca="1">IF($N$142&lt;&gt;"", INDIRECT("'Tracker'!"&amp;ADDRESS(MATCH($N$142, Tracker[Anime Name], 0) + 2, 8)), "")</f>
        <v>Migoto</v>
      </c>
      <c r="V142" s="53">
        <f>IF(Completed!$C$141&lt;&gt;"",Completed!$C$141,"")</f>
        <v>1.5</v>
      </c>
      <c r="W142" s="53">
        <f>IF(Completed!$D$141&lt;&gt;"",Completed!$D$141,"")</f>
        <v>5</v>
      </c>
      <c r="X142" s="53">
        <f>IF(Completed!$E$141&lt;&gt;"",Completed!$E$141,"")</f>
        <v>4</v>
      </c>
      <c r="Y142" s="53">
        <f>IF(Completed!$F$141&lt;&gt;"",Completed!$F$141,"")</f>
        <v>6.5</v>
      </c>
      <c r="Z142" s="64">
        <f>IF(Completed!$G$141&lt;&gt;"",Completed!$G$141,"")</f>
        <v>5.0603015075376883</v>
      </c>
      <c r="AA142" s="74">
        <f>IF(Completed!$H$141&lt;&gt;"",Completed!$H$141,"")</f>
        <v>3.4218933916260297</v>
      </c>
      <c r="AB142" s="54">
        <f>IF(Completed!$I$141&lt;&gt;"",Completed!$I$141,"")</f>
        <v>41705</v>
      </c>
      <c r="AC142" s="54">
        <f>IF(Completed!$J$141&lt;&gt;"",Completed!$J$141,"")</f>
        <v>41705</v>
      </c>
      <c r="AD142" s="65" t="str">
        <f>IF(Completed!$K$141&lt;&gt;"",Completed!$K$141,"")</f>
        <v>Ishibashi Chako</v>
      </c>
      <c r="AE142" s="65" t="str">
        <f>IF(Completed!$L$141&lt;&gt;"",Completed!$L$141,"")</f>
        <v>Wow</v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IF(Completed!$A$142&lt;&gt;"",Completed!$A$142,"")</f>
        <v>Oku-sama wa Joushikousei</v>
      </c>
      <c r="O143" s="28">
        <f>IF(Completed!$B$142&lt;&gt;"",Completed!$B$142,"")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480p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2005C</v>
      </c>
      <c r="U143" s="28" t="str">
        <f ca="1">IF($N$143&lt;&gt;"", INDIRECT("'Tracker'!"&amp;ADDRESS(MATCH($N$143, Tracker[Anime Name], 0) + 2, 8)), "")</f>
        <v>LIME</v>
      </c>
      <c r="V143" s="53">
        <f>IF(Completed!$C$142&lt;&gt;"",Completed!$C$142,"")</f>
        <v>3.5</v>
      </c>
      <c r="W143" s="53">
        <f>IF(Completed!$D$142&lt;&gt;"",Completed!$D$142,"")</f>
        <v>5.5</v>
      </c>
      <c r="X143" s="53">
        <f>IF(Completed!$E$142&lt;&gt;"",Completed!$E$142,"")</f>
        <v>6</v>
      </c>
      <c r="Y143" s="53">
        <f>IF(Completed!$F$142&lt;&gt;"",Completed!$F$142,"")</f>
        <v>5</v>
      </c>
      <c r="Z143" s="64">
        <f>IF(Completed!$G$142&lt;&gt;"",Completed!$G$142,"")</f>
        <v>4.9070351758793969</v>
      </c>
      <c r="AA143" s="74">
        <f>IF(Completed!$H$142&lt;&gt;"",Completed!$H$142,"")</f>
        <v>3.2167479401378842</v>
      </c>
      <c r="AB143" s="54">
        <f>IF(Completed!$I$142&lt;&gt;"",Completed!$I$142,"")</f>
        <v>40674</v>
      </c>
      <c r="AC143" s="54">
        <f>IF(Completed!$J$142&lt;&gt;"",Completed!$J$142,"")</f>
        <v>40675</v>
      </c>
      <c r="AD143" s="65" t="str">
        <f>IF(Completed!$K$142&lt;&gt;"",Completed!$K$142,"")</f>
        <v>--</v>
      </c>
      <c r="AE143" s="65" t="str">
        <f>IF(Completed!$L$142&lt;&gt;"",Completed!$L$142,"")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IF(Completed!$A$143&lt;&gt;"",Completed!$A$143,"")</f>
        <v>Onii-chan dakedo Ai sae Areba Kankeinai yone!</v>
      </c>
      <c r="O144" s="28">
        <f>IF(Completed!$B$143&lt;&gt;"",Completed!$B$143,"")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--</v>
      </c>
      <c r="R144" s="22" t="str">
        <f ca="1">IF($N$144&lt;&gt;"", INDIRECT("'Tracker'!"&amp;ADDRESS(MATCH($N$144, Tracker[Anime Name], 0) + 2, 5)), "")</f>
        <v>--</v>
      </c>
      <c r="S144" s="22" t="str">
        <f ca="1">IF($N$144&lt;&gt;"", INDIRECT("'Tracker'!"&amp;ADDRESS(MATCH($N$144, Tracker[Anime Name], 0) + 2, 6)), "")</f>
        <v>--</v>
      </c>
      <c r="T144" s="22" t="str">
        <f ca="1">IF($N$144&lt;&gt;"", INDIRECT("'Tracker'!"&amp;ADDRESS(MATCH($N$144, Tracker[Anime Name], 0) + 2, 7)), "")</f>
        <v>2012C</v>
      </c>
      <c r="U144" s="28" t="str">
        <f ca="1">IF($N$144&lt;&gt;"", INDIRECT("'Tracker'!"&amp;ADDRESS(MATCH($N$144, Tracker[Anime Name], 0) + 2, 8)), "")</f>
        <v>-- NO DL --</v>
      </c>
      <c r="V144" s="53">
        <f>IF(Completed!$C$143&lt;&gt;"",Completed!$C$143,"")</f>
        <v>3</v>
      </c>
      <c r="W144" s="53">
        <f>IF(Completed!$D$143&lt;&gt;"",Completed!$D$143,"")</f>
        <v>2</v>
      </c>
      <c r="X144" s="53">
        <f>IF(Completed!$E$143&lt;&gt;"",Completed!$E$143,"")</f>
        <v>7</v>
      </c>
      <c r="Y144" s="53">
        <f>IF(Completed!$F$143&lt;&gt;"",Completed!$F$143,"")</f>
        <v>3</v>
      </c>
      <c r="Z144" s="64">
        <f>IF(Completed!$G$143&lt;&gt;"",Completed!$G$143,"")</f>
        <v>2.9221105527638187</v>
      </c>
      <c r="AA144" s="74">
        <f>IF(Completed!$H$143&lt;&gt;"",Completed!$H$143,"")</f>
        <v>0.5599461913569862</v>
      </c>
      <c r="AB144" s="54">
        <f>IF(Completed!$I$143&lt;&gt;"",Completed!$I$143,"")</f>
        <v>41254</v>
      </c>
      <c r="AC144" s="54">
        <f>IF(Completed!$J$143&lt;&gt;"",Completed!$J$143,"")</f>
        <v>41264</v>
      </c>
      <c r="AD144" s="65" t="str">
        <f>IF(Completed!$K$143&lt;&gt;"",Completed!$K$143,"")</f>
        <v>Sawatari Ginbei</v>
      </c>
      <c r="AE144" s="65" t="str">
        <f>IF(Completed!$L$143&lt;&gt;"",Completed!$L$143,"")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IF(Completed!$A$144&lt;&gt;"",Completed!$A$144,"")</f>
        <v>Cyclops Shoujo Saipu</v>
      </c>
      <c r="O145" s="28">
        <f>IF(Completed!$B$144&lt;&gt;"",Completed!$B$144,"")</f>
        <v>1</v>
      </c>
      <c r="P145" s="28">
        <f ca="1">IF($N$145&lt;&gt;"", INDIRECT("'Tracker'!"&amp;ADDRESS(MATCH($N$145, Tracker[Anime Name], 0) + 2, 3)), "")</f>
        <v>12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2013A</v>
      </c>
      <c r="U145" s="28" t="str">
        <f ca="1">IF($N$145&lt;&gt;"", INDIRECT("'Tracker'!"&amp;ADDRESS(MATCH($N$145, Tracker[Anime Name], 0) + 2, 8)), "")</f>
        <v>Migoto</v>
      </c>
      <c r="V145" s="53">
        <f>IF(Completed!$C$144&lt;&gt;"",Completed!$C$144,"")</f>
        <v>1.5</v>
      </c>
      <c r="W145" s="53">
        <f>IF(Completed!$D$144&lt;&gt;"",Completed!$D$144,"")</f>
        <v>2</v>
      </c>
      <c r="X145" s="53">
        <f>IF(Completed!$E$144&lt;&gt;"",Completed!$E$144,"")</f>
        <v>4</v>
      </c>
      <c r="Y145" s="53">
        <f>IF(Completed!$F$144&lt;&gt;"",Completed!$F$144,"")</f>
        <v>3</v>
      </c>
      <c r="Z145" s="64">
        <f>IF(Completed!$G$144&lt;&gt;"",Completed!$G$144,"")</f>
        <v>2.5037688442211055</v>
      </c>
      <c r="AA145" s="74">
        <f>IF(Completed!$H$144&lt;&gt;"",Completed!$H$144,"")</f>
        <v>0</v>
      </c>
      <c r="AB145" s="54">
        <f>IF(Completed!$I$144&lt;&gt;"",Completed!$I$144,"")</f>
        <v>41355</v>
      </c>
      <c r="AC145" s="54">
        <f>IF(Completed!$J$144&lt;&gt;"",Completed!$J$144,"")</f>
        <v>41451</v>
      </c>
      <c r="AD145" s="65" t="str">
        <f>IF(Completed!$K$144&lt;&gt;"",Completed!$K$144,"")</f>
        <v>--</v>
      </c>
      <c r="AE145" s="65" t="str">
        <f>IF(Completed!$L$144&lt;&gt;"",Completed!$L$144,"")</f>
        <v>Only watched because each episode was short enough to care about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IF(Completed!$A$145&lt;&gt;"",Completed!$A$145,"")</f>
        <v/>
      </c>
      <c r="O146" s="28" t="str">
        <f>IF(Completed!$B$145&lt;&gt;"",Completed!$B$145,"")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IF(Completed!$C$145&lt;&gt;"",Completed!$C$145,"")</f>
        <v/>
      </c>
      <c r="W146" s="53" t="str">
        <f>IF(Completed!$D$145&lt;&gt;"",Completed!$D$145,"")</f>
        <v/>
      </c>
      <c r="X146" s="53" t="str">
        <f>IF(Completed!$E$145&lt;&gt;"",Completed!$E$145,"")</f>
        <v/>
      </c>
      <c r="Y146" s="53" t="str">
        <f>IF(Completed!$F$145&lt;&gt;"",Completed!$F$145,"")</f>
        <v/>
      </c>
      <c r="Z146" s="64" t="str">
        <f>IF(Completed!$G$145&lt;&gt;"",Completed!$G$145,"")</f>
        <v/>
      </c>
      <c r="AA146" s="74" t="str">
        <f>IF(Completed!$H$145&lt;&gt;"",Completed!$H$145,"")</f>
        <v/>
      </c>
      <c r="AB146" s="54" t="str">
        <f>IF(Completed!$I$145&lt;&gt;"",Completed!$I$145,"")</f>
        <v/>
      </c>
      <c r="AC146" s="54" t="str">
        <f>IF(Completed!$J$145&lt;&gt;"",Completed!$J$145,"")</f>
        <v/>
      </c>
      <c r="AD146" s="65" t="str">
        <f>IF(Completed!$K$145&lt;&gt;"",Completed!$K$145,"")</f>
        <v/>
      </c>
      <c r="AE146" s="65" t="str">
        <f>IF(Completed!$L$145&lt;&gt;"",Completed!$L$145,"")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IF(Completed!$A$146&lt;&gt;"",Completed!$A$146,"")</f>
        <v/>
      </c>
      <c r="O147" s="28" t="str">
        <f>IF(Completed!$B$146&lt;&gt;"",Completed!$B$146,"")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IF(Completed!$C$146&lt;&gt;"",Completed!$C$146,"")</f>
        <v/>
      </c>
      <c r="W147" s="53" t="str">
        <f>IF(Completed!$D$146&lt;&gt;"",Completed!$D$146,"")</f>
        <v/>
      </c>
      <c r="X147" s="53" t="str">
        <f>IF(Completed!$E$146&lt;&gt;"",Completed!$E$146,"")</f>
        <v/>
      </c>
      <c r="Y147" s="53" t="str">
        <f>IF(Completed!$F$146&lt;&gt;"",Completed!$F$146,"")</f>
        <v/>
      </c>
      <c r="Z147" s="64" t="str">
        <f>IF(Completed!$G$146&lt;&gt;"",Completed!$G$146,"")</f>
        <v/>
      </c>
      <c r="AA147" s="74" t="str">
        <f>IF(Completed!$H$146&lt;&gt;"",Completed!$H$146,"")</f>
        <v/>
      </c>
      <c r="AB147" s="54" t="str">
        <f>IF(Completed!$I$146&lt;&gt;"",Completed!$I$146,"")</f>
        <v/>
      </c>
      <c r="AC147" s="54" t="str">
        <f>IF(Completed!$J$146&lt;&gt;"",Completed!$J$146,"")</f>
        <v/>
      </c>
      <c r="AD147" s="65" t="str">
        <f>IF(Completed!$K$146&lt;&gt;"",Completed!$K$146,"")</f>
        <v/>
      </c>
      <c r="AE147" s="65" t="str">
        <f>IF(Completed!$L$146&lt;&gt;"",Completed!$L$146,"")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IF(Completed!$A$147&lt;&gt;"",Completed!$A$147,"")</f>
        <v/>
      </c>
      <c r="O148" s="28" t="str">
        <f>IF(Completed!$B$147&lt;&gt;"",Completed!$B$147,"")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IF(Completed!$C$147&lt;&gt;"",Completed!$C$147,"")</f>
        <v/>
      </c>
      <c r="W148" s="53" t="str">
        <f>IF(Completed!$D$147&lt;&gt;"",Completed!$D$147,"")</f>
        <v/>
      </c>
      <c r="X148" s="53" t="str">
        <f>IF(Completed!$E$147&lt;&gt;"",Completed!$E$147,"")</f>
        <v/>
      </c>
      <c r="Y148" s="53" t="str">
        <f>IF(Completed!$F$147&lt;&gt;"",Completed!$F$147,"")</f>
        <v/>
      </c>
      <c r="Z148" s="64" t="str">
        <f>IF(Completed!$G$147&lt;&gt;"",Completed!$G$147,"")</f>
        <v/>
      </c>
      <c r="AA148" s="74" t="str">
        <f>IF(Completed!$H$147&lt;&gt;"",Completed!$H$147,"")</f>
        <v/>
      </c>
      <c r="AB148" s="54" t="str">
        <f>IF(Completed!$I$147&lt;&gt;"",Completed!$I$147,"")</f>
        <v/>
      </c>
      <c r="AC148" s="54" t="str">
        <f>IF(Completed!$J$147&lt;&gt;"",Completed!$J$147,"")</f>
        <v/>
      </c>
      <c r="AD148" s="65" t="str">
        <f>IF(Completed!$K$147&lt;&gt;"",Completed!$K$147,"")</f>
        <v/>
      </c>
      <c r="AE148" s="65" t="str">
        <f>IF(Completed!$L$147&lt;&gt;"",Completed!$L$147,"")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IF(Completed!$A$148&lt;&gt;"",Completed!$A$148,"")</f>
        <v/>
      </c>
      <c r="O149" s="28" t="str">
        <f>IF(Completed!$B$148&lt;&gt;"",Completed!$B$148,"")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IF(Completed!$C$148&lt;&gt;"",Completed!$C$148,"")</f>
        <v/>
      </c>
      <c r="W149" s="53" t="str">
        <f>IF(Completed!$D$148&lt;&gt;"",Completed!$D$148,"")</f>
        <v/>
      </c>
      <c r="X149" s="53" t="str">
        <f>IF(Completed!$E$148&lt;&gt;"",Completed!$E$148,"")</f>
        <v/>
      </c>
      <c r="Y149" s="53" t="str">
        <f>IF(Completed!$F$148&lt;&gt;"",Completed!$F$148,"")</f>
        <v/>
      </c>
      <c r="Z149" s="64" t="str">
        <f>IF(Completed!$G$148&lt;&gt;"",Completed!$G$148,"")</f>
        <v/>
      </c>
      <c r="AA149" s="74" t="str">
        <f>IF(Completed!$H$148&lt;&gt;"",Completed!$H$148,"")</f>
        <v/>
      </c>
      <c r="AB149" s="54" t="str">
        <f>IF(Completed!$I$148&lt;&gt;"",Completed!$I$148,"")</f>
        <v/>
      </c>
      <c r="AC149" s="54" t="str">
        <f>IF(Completed!$J$148&lt;&gt;"",Completed!$J$148,"")</f>
        <v/>
      </c>
      <c r="AD149" s="65" t="str">
        <f>IF(Completed!$K$148&lt;&gt;"",Completed!$K$148,"")</f>
        <v/>
      </c>
      <c r="AE149" s="65" t="str">
        <f>IF(Completed!$L$148&lt;&gt;"",Completed!$L$148,"")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IF(Completed!$A$149&lt;&gt;"",Completed!$A$149,"")</f>
        <v/>
      </c>
      <c r="O150" s="28" t="str">
        <f>IF(Completed!$B$149&lt;&gt;"",Completed!$B$149,"")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IF(Completed!$C$149&lt;&gt;"",Completed!$C$149,"")</f>
        <v/>
      </c>
      <c r="W150" s="53" t="str">
        <f>IF(Completed!$D$149&lt;&gt;"",Completed!$D$149,"")</f>
        <v/>
      </c>
      <c r="X150" s="53" t="str">
        <f>IF(Completed!$E$149&lt;&gt;"",Completed!$E$149,"")</f>
        <v/>
      </c>
      <c r="Y150" s="53" t="str">
        <f>IF(Completed!$F$149&lt;&gt;"",Completed!$F$149,"")</f>
        <v/>
      </c>
      <c r="Z150" s="64" t="str">
        <f>IF(Completed!$G$149&lt;&gt;"",Completed!$G$149,"")</f>
        <v/>
      </c>
      <c r="AA150" s="74" t="str">
        <f>IF(Completed!$H$149&lt;&gt;"",Completed!$H$149,"")</f>
        <v/>
      </c>
      <c r="AB150" s="54" t="str">
        <f>IF(Completed!$I$149&lt;&gt;"",Completed!$I$149,"")</f>
        <v/>
      </c>
      <c r="AC150" s="54" t="str">
        <f>IF(Completed!$J$149&lt;&gt;"",Completed!$J$149,"")</f>
        <v/>
      </c>
      <c r="AD150" s="65" t="str">
        <f>IF(Completed!$K$149&lt;&gt;"",Completed!$K$149,"")</f>
        <v/>
      </c>
      <c r="AE150" s="65" t="str">
        <f>IF(Completed!$L$149&lt;&gt;"",Completed!$L$149,"")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IF(Completed!$A$150&lt;&gt;"",Completed!$A$150,"")</f>
        <v/>
      </c>
      <c r="O151" s="28" t="str">
        <f>IF(Completed!$B$150&lt;&gt;"",Completed!$B$150,"")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IF(Completed!$C$150&lt;&gt;"",Completed!$C$150,"")</f>
        <v/>
      </c>
      <c r="W151" s="53" t="str">
        <f>IF(Completed!$D$150&lt;&gt;"",Completed!$D$150,"")</f>
        <v/>
      </c>
      <c r="X151" s="53" t="str">
        <f>IF(Completed!$E$150&lt;&gt;"",Completed!$E$150,"")</f>
        <v/>
      </c>
      <c r="Y151" s="53" t="str">
        <f>IF(Completed!$F$150&lt;&gt;"",Completed!$F$150,"")</f>
        <v/>
      </c>
      <c r="Z151" s="64" t="str">
        <f>IF(Completed!$G$150&lt;&gt;"",Completed!$G$150,"")</f>
        <v/>
      </c>
      <c r="AA151" s="74" t="str">
        <f>IF(Completed!$H$150&lt;&gt;"",Completed!$H$150,"")</f>
        <v/>
      </c>
      <c r="AB151" s="54" t="str">
        <f>IF(Completed!$I$150&lt;&gt;"",Completed!$I$150,"")</f>
        <v/>
      </c>
      <c r="AC151" s="54" t="str">
        <f>IF(Completed!$J$150&lt;&gt;"",Completed!$J$150,"")</f>
        <v/>
      </c>
      <c r="AD151" s="65" t="str">
        <f>IF(Completed!$K$150&lt;&gt;"",Completed!$K$150,"")</f>
        <v/>
      </c>
      <c r="AE151" s="65" t="str">
        <f>IF(Completed!$L$150&lt;&gt;"",Completed!$L$150,"")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IF(Completed!$A$151&lt;&gt;"",Completed!$A$151,"")</f>
        <v/>
      </c>
      <c r="O152" s="28" t="str">
        <f>IF(Completed!$B$151&lt;&gt;"",Completed!$B$151,"")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IF(Completed!$C$151&lt;&gt;"",Completed!$C$151,"")</f>
        <v/>
      </c>
      <c r="W152" s="53" t="str">
        <f>IF(Completed!$D$151&lt;&gt;"",Completed!$D$151,"")</f>
        <v/>
      </c>
      <c r="X152" s="53" t="str">
        <f>IF(Completed!$E$151&lt;&gt;"",Completed!$E$151,"")</f>
        <v/>
      </c>
      <c r="Y152" s="53" t="str">
        <f>IF(Completed!$F$151&lt;&gt;"",Completed!$F$151,"")</f>
        <v/>
      </c>
      <c r="Z152" s="64" t="str">
        <f>IF(Completed!$G$151&lt;&gt;"",Completed!$G$151,"")</f>
        <v/>
      </c>
      <c r="AA152" s="74" t="str">
        <f>IF(Completed!$H$151&lt;&gt;"",Completed!$H$151,"")</f>
        <v/>
      </c>
      <c r="AB152" s="54" t="str">
        <f>IF(Completed!$I$151&lt;&gt;"",Completed!$I$151,"")</f>
        <v/>
      </c>
      <c r="AC152" s="54" t="str">
        <f>IF(Completed!$J$151&lt;&gt;"",Completed!$J$151,"")</f>
        <v/>
      </c>
      <c r="AD152" s="65" t="str">
        <f>IF(Completed!$K$151&lt;&gt;"",Completed!$K$151,"")</f>
        <v/>
      </c>
      <c r="AE152" s="65" t="str">
        <f>IF(Completed!$L$151&lt;&gt;"",Completed!$L$151,"")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IF(Completed!$A$152&lt;&gt;"",Completed!$A$152,"")</f>
        <v/>
      </c>
      <c r="O153" s="28" t="str">
        <f>IF(Completed!$B$152&lt;&gt;"",Completed!$B$152,"")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IF(Completed!$C$152&lt;&gt;"",Completed!$C$152,"")</f>
        <v/>
      </c>
      <c r="W153" s="53" t="str">
        <f>IF(Completed!$D$152&lt;&gt;"",Completed!$D$152,"")</f>
        <v/>
      </c>
      <c r="X153" s="53" t="str">
        <f>IF(Completed!$E$152&lt;&gt;"",Completed!$E$152,"")</f>
        <v/>
      </c>
      <c r="Y153" s="53" t="str">
        <f>IF(Completed!$F$152&lt;&gt;"",Completed!$F$152,"")</f>
        <v/>
      </c>
      <c r="Z153" s="64" t="str">
        <f>IF(Completed!$G$152&lt;&gt;"",Completed!$G$152,"")</f>
        <v/>
      </c>
      <c r="AA153" s="74" t="str">
        <f>IF(Completed!$H$152&lt;&gt;"",Completed!$H$152,"")</f>
        <v/>
      </c>
      <c r="AB153" s="54" t="str">
        <f>IF(Completed!$I$152&lt;&gt;"",Completed!$I$152,"")</f>
        <v/>
      </c>
      <c r="AC153" s="54" t="str">
        <f>IF(Completed!$J$152&lt;&gt;"",Completed!$J$152,"")</f>
        <v/>
      </c>
      <c r="AD153" s="65" t="str">
        <f>IF(Completed!$K$152&lt;&gt;"",Completed!$K$152,"")</f>
        <v/>
      </c>
      <c r="AE153" s="65" t="str">
        <f>IF(Completed!$L$152&lt;&gt;"",Completed!$L$152,"")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IF(Completed!$A$153&lt;&gt;"",Completed!$A$153,"")</f>
        <v/>
      </c>
      <c r="O154" s="28" t="str">
        <f>IF(Completed!$B$153&lt;&gt;"",Completed!$B$153,"")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IF(Completed!$C$153&lt;&gt;"",Completed!$C$153,"")</f>
        <v/>
      </c>
      <c r="W154" s="53" t="str">
        <f>IF(Completed!$D$153&lt;&gt;"",Completed!$D$153,"")</f>
        <v/>
      </c>
      <c r="X154" s="53" t="str">
        <f>IF(Completed!$E$153&lt;&gt;"",Completed!$E$153,"")</f>
        <v/>
      </c>
      <c r="Y154" s="53" t="str">
        <f>IF(Completed!$F$153&lt;&gt;"",Completed!$F$153,"")</f>
        <v/>
      </c>
      <c r="Z154" s="64" t="str">
        <f>IF(Completed!$G$153&lt;&gt;"",Completed!$G$153,"")</f>
        <v/>
      </c>
      <c r="AA154" s="74" t="str">
        <f>IF(Completed!$H$153&lt;&gt;"",Completed!$H$153,"")</f>
        <v/>
      </c>
      <c r="AB154" s="54" t="str">
        <f>IF(Completed!$I$153&lt;&gt;"",Completed!$I$153,"")</f>
        <v/>
      </c>
      <c r="AC154" s="54" t="str">
        <f>IF(Completed!$J$153&lt;&gt;"",Completed!$J$153,"")</f>
        <v/>
      </c>
      <c r="AD154" s="65" t="str">
        <f>IF(Completed!$K$153&lt;&gt;"",Completed!$K$153,"")</f>
        <v/>
      </c>
      <c r="AE154" s="65" t="str">
        <f>IF(Completed!$L$153&lt;&gt;"",Completed!$L$153,"")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IF(Completed!$A$154&lt;&gt;"",Completed!$A$154,"")</f>
        <v/>
      </c>
      <c r="O155" s="28" t="str">
        <f>IF(Completed!$B$154&lt;&gt;"",Completed!$B$154,"")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IF(Completed!$C$154&lt;&gt;"",Completed!$C$154,"")</f>
        <v/>
      </c>
      <c r="W155" s="53" t="str">
        <f>IF(Completed!$D$154&lt;&gt;"",Completed!$D$154,"")</f>
        <v/>
      </c>
      <c r="X155" s="53" t="str">
        <f>IF(Completed!$E$154&lt;&gt;"",Completed!$E$154,"")</f>
        <v/>
      </c>
      <c r="Y155" s="53" t="str">
        <f>IF(Completed!$F$154&lt;&gt;"",Completed!$F$154,"")</f>
        <v/>
      </c>
      <c r="Z155" s="64" t="str">
        <f>IF(Completed!$G$154&lt;&gt;"",Completed!$G$154,"")</f>
        <v/>
      </c>
      <c r="AA155" s="74" t="str">
        <f>IF(Completed!$H$154&lt;&gt;"",Completed!$H$154,"")</f>
        <v/>
      </c>
      <c r="AB155" s="54" t="str">
        <f>IF(Completed!$I$154&lt;&gt;"",Completed!$I$154,"")</f>
        <v/>
      </c>
      <c r="AC155" s="54" t="str">
        <f>IF(Completed!$J$154&lt;&gt;"",Completed!$J$154,"")</f>
        <v/>
      </c>
      <c r="AD155" s="65" t="str">
        <f>IF(Completed!$K$154&lt;&gt;"",Completed!$K$154,"")</f>
        <v/>
      </c>
      <c r="AE155" s="65" t="str">
        <f>IF(Completed!$L$154&lt;&gt;"",Completed!$L$154,"")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IF(Completed!$A$155&lt;&gt;"",Completed!$A$155,"")</f>
        <v/>
      </c>
      <c r="O156" s="28" t="str">
        <f>IF(Completed!$B$155&lt;&gt;"",Completed!$B$155,"")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IF(Completed!$C$155&lt;&gt;"",Completed!$C$155,"")</f>
        <v/>
      </c>
      <c r="W156" s="53" t="str">
        <f>IF(Completed!$D$155&lt;&gt;"",Completed!$D$155,"")</f>
        <v/>
      </c>
      <c r="X156" s="53" t="str">
        <f>IF(Completed!$E$155&lt;&gt;"",Completed!$E$155,"")</f>
        <v/>
      </c>
      <c r="Y156" s="53" t="str">
        <f>IF(Completed!$F$155&lt;&gt;"",Completed!$F$155,"")</f>
        <v/>
      </c>
      <c r="Z156" s="64" t="str">
        <f>IF(Completed!$G$155&lt;&gt;"",Completed!$G$155,"")</f>
        <v/>
      </c>
      <c r="AA156" s="74" t="str">
        <f>IF(Completed!$H$155&lt;&gt;"",Completed!$H$155,"")</f>
        <v/>
      </c>
      <c r="AB156" s="54" t="str">
        <f>IF(Completed!$I$155&lt;&gt;"",Completed!$I$155,"")</f>
        <v/>
      </c>
      <c r="AC156" s="54" t="str">
        <f>IF(Completed!$J$155&lt;&gt;"",Completed!$J$155,"")</f>
        <v/>
      </c>
      <c r="AD156" s="65" t="str">
        <f>IF(Completed!$K$155&lt;&gt;"",Completed!$K$155,"")</f>
        <v/>
      </c>
      <c r="AE156" s="65" t="str">
        <f>IF(Completed!$L$155&lt;&gt;"",Completed!$L$155,"")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IF(Completed!$A$156&lt;&gt;"",Completed!$A$156,"")</f>
        <v/>
      </c>
      <c r="O157" s="28" t="str">
        <f>IF(Completed!$B$156&lt;&gt;"",Completed!$B$156,"")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IF(Completed!$C$156&lt;&gt;"",Completed!$C$156,"")</f>
        <v/>
      </c>
      <c r="W157" s="53" t="str">
        <f>IF(Completed!$D$156&lt;&gt;"",Completed!$D$156,"")</f>
        <v/>
      </c>
      <c r="X157" s="53" t="str">
        <f>IF(Completed!$E$156&lt;&gt;"",Completed!$E$156,"")</f>
        <v/>
      </c>
      <c r="Y157" s="53" t="str">
        <f>IF(Completed!$F$156&lt;&gt;"",Completed!$F$156,"")</f>
        <v/>
      </c>
      <c r="Z157" s="64" t="str">
        <f>IF(Completed!$G$156&lt;&gt;"",Completed!$G$156,"")</f>
        <v/>
      </c>
      <c r="AA157" s="74" t="str">
        <f>IF(Completed!$H$156&lt;&gt;"",Completed!$H$156,"")</f>
        <v/>
      </c>
      <c r="AB157" s="54" t="str">
        <f>IF(Completed!$I$156&lt;&gt;"",Completed!$I$156,"")</f>
        <v/>
      </c>
      <c r="AC157" s="54" t="str">
        <f>IF(Completed!$J$156&lt;&gt;"",Completed!$J$156,"")</f>
        <v/>
      </c>
      <c r="AD157" s="65" t="str">
        <f>IF(Completed!$K$156&lt;&gt;"",Completed!$K$156,"")</f>
        <v/>
      </c>
      <c r="AE157" s="65" t="str">
        <f>IF(Completed!$L$156&lt;&gt;"",Completed!$L$156,"")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IF(Completed!$A$157&lt;&gt;"",Completed!$A$157,"")</f>
        <v/>
      </c>
      <c r="O158" s="28" t="str">
        <f>IF(Completed!$B$157&lt;&gt;"",Completed!$B$157,"")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IF(Completed!$C$157&lt;&gt;"",Completed!$C$157,"")</f>
        <v/>
      </c>
      <c r="W158" s="53" t="str">
        <f>IF(Completed!$D$157&lt;&gt;"",Completed!$D$157,"")</f>
        <v/>
      </c>
      <c r="X158" s="53" t="str">
        <f>IF(Completed!$E$157&lt;&gt;"",Completed!$E$157,"")</f>
        <v/>
      </c>
      <c r="Y158" s="53" t="str">
        <f>IF(Completed!$F$157&lt;&gt;"",Completed!$F$157,"")</f>
        <v/>
      </c>
      <c r="Z158" s="64" t="str">
        <f>IF(Completed!$G$157&lt;&gt;"",Completed!$G$157,"")</f>
        <v/>
      </c>
      <c r="AA158" s="74" t="str">
        <f>IF(Completed!$H$157&lt;&gt;"",Completed!$H$157,"")</f>
        <v/>
      </c>
      <c r="AB158" s="54" t="str">
        <f>IF(Completed!$I$157&lt;&gt;"",Completed!$I$157,"")</f>
        <v/>
      </c>
      <c r="AC158" s="54" t="str">
        <f>IF(Completed!$J$157&lt;&gt;"",Completed!$J$157,"")</f>
        <v/>
      </c>
      <c r="AD158" s="65" t="str">
        <f>IF(Completed!$K$157&lt;&gt;"",Completed!$K$157,"")</f>
        <v/>
      </c>
      <c r="AE158" s="65" t="str">
        <f>IF(Completed!$L$157&lt;&gt;"",Completed!$L$157,"")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IF(Completed!$A$158&lt;&gt;"",Completed!$A$158,"")</f>
        <v/>
      </c>
      <c r="O159" s="28" t="str">
        <f>IF(Completed!$B$158&lt;&gt;"",Completed!$B$158,"")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IF(Completed!$C$158&lt;&gt;"",Completed!$C$158,"")</f>
        <v/>
      </c>
      <c r="W159" s="53" t="str">
        <f>IF(Completed!$D$158&lt;&gt;"",Completed!$D$158,"")</f>
        <v/>
      </c>
      <c r="X159" s="53" t="str">
        <f>IF(Completed!$E$158&lt;&gt;"",Completed!$E$158,"")</f>
        <v/>
      </c>
      <c r="Y159" s="53" t="str">
        <f>IF(Completed!$F$158&lt;&gt;"",Completed!$F$158,"")</f>
        <v/>
      </c>
      <c r="Z159" s="64" t="str">
        <f>IF(Completed!$G$158&lt;&gt;"",Completed!$G$158,"")</f>
        <v/>
      </c>
      <c r="AA159" s="74" t="str">
        <f>IF(Completed!$H$158&lt;&gt;"",Completed!$H$158,"")</f>
        <v/>
      </c>
      <c r="AB159" s="54" t="str">
        <f>IF(Completed!$I$158&lt;&gt;"",Completed!$I$158,"")</f>
        <v/>
      </c>
      <c r="AC159" s="54" t="str">
        <f>IF(Completed!$J$158&lt;&gt;"",Completed!$J$158,"")</f>
        <v/>
      </c>
      <c r="AD159" s="65" t="str">
        <f>IF(Completed!$K$158&lt;&gt;"",Completed!$K$158,"")</f>
        <v/>
      </c>
      <c r="AE159" s="65" t="str">
        <f>IF(Completed!$L$158&lt;&gt;"",Completed!$L$158,"")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IF(Completed!$A$159&lt;&gt;"",Completed!$A$159,"")</f>
        <v/>
      </c>
      <c r="O160" s="28" t="str">
        <f>IF(Completed!$B$159&lt;&gt;"",Completed!$B$159,"")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IF(Completed!$C$159&lt;&gt;"",Completed!$C$159,"")</f>
        <v/>
      </c>
      <c r="W160" s="53" t="str">
        <f>IF(Completed!$D$159&lt;&gt;"",Completed!$D$159,"")</f>
        <v/>
      </c>
      <c r="X160" s="53" t="str">
        <f>IF(Completed!$E$159&lt;&gt;"",Completed!$E$159,"")</f>
        <v/>
      </c>
      <c r="Y160" s="53" t="str">
        <f>IF(Completed!$F$159&lt;&gt;"",Completed!$F$159,"")</f>
        <v/>
      </c>
      <c r="Z160" s="64" t="str">
        <f>IF(Completed!$G$159&lt;&gt;"",Completed!$G$159,"")</f>
        <v/>
      </c>
      <c r="AA160" s="74" t="str">
        <f>IF(Completed!$H$159&lt;&gt;"",Completed!$H$159,"")</f>
        <v/>
      </c>
      <c r="AB160" s="54" t="str">
        <f>IF(Completed!$I$159&lt;&gt;"",Completed!$I$159,"")</f>
        <v/>
      </c>
      <c r="AC160" s="54" t="str">
        <f>IF(Completed!$J$159&lt;&gt;"",Completed!$J$159,"")</f>
        <v/>
      </c>
      <c r="AD160" s="65" t="str">
        <f>IF(Completed!$K$159&lt;&gt;"",Completed!$K$159,"")</f>
        <v/>
      </c>
      <c r="AE160" s="65" t="str">
        <f>IF(Completed!$L$159&lt;&gt;"",Completed!$L$159,"")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IF(Completed!$A$160&lt;&gt;"",Completed!$A$160,"")</f>
        <v/>
      </c>
      <c r="O161" s="28" t="str">
        <f>IF(Completed!$B$160&lt;&gt;"",Completed!$B$160,"")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IF(Completed!$C$160&lt;&gt;"",Completed!$C$160,"")</f>
        <v/>
      </c>
      <c r="W161" s="53" t="str">
        <f>IF(Completed!$D$160&lt;&gt;"",Completed!$D$160,"")</f>
        <v/>
      </c>
      <c r="X161" s="53" t="str">
        <f>IF(Completed!$E$160&lt;&gt;"",Completed!$E$160,"")</f>
        <v/>
      </c>
      <c r="Y161" s="53" t="str">
        <f>IF(Completed!$F$160&lt;&gt;"",Completed!$F$160,"")</f>
        <v/>
      </c>
      <c r="Z161" s="64" t="str">
        <f>IF(Completed!$G$160&lt;&gt;"",Completed!$G$160,"")</f>
        <v/>
      </c>
      <c r="AA161" s="74" t="str">
        <f>IF(Completed!$H$160&lt;&gt;"",Completed!$H$160,"")</f>
        <v/>
      </c>
      <c r="AB161" s="54" t="str">
        <f>IF(Completed!$I$160&lt;&gt;"",Completed!$I$160,"")</f>
        <v/>
      </c>
      <c r="AC161" s="54" t="str">
        <f>IF(Completed!$J$160&lt;&gt;"",Completed!$J$160,"")</f>
        <v/>
      </c>
      <c r="AD161" s="65" t="str">
        <f>IF(Completed!$K$160&lt;&gt;"",Completed!$K$160,"")</f>
        <v/>
      </c>
      <c r="AE161" s="65" t="str">
        <f>IF(Completed!$L$160&lt;&gt;"",Completed!$L$160,"")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IF(Completed!$A$161&lt;&gt;"",Completed!$A$161,"")</f>
        <v/>
      </c>
      <c r="O162" s="28" t="str">
        <f>IF(Completed!$B$161&lt;&gt;"",Completed!$B$161,"")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IF(Completed!$C$161&lt;&gt;"",Completed!$C$161,"")</f>
        <v/>
      </c>
      <c r="W162" s="53" t="str">
        <f>IF(Completed!$D$161&lt;&gt;"",Completed!$D$161,"")</f>
        <v/>
      </c>
      <c r="X162" s="53" t="str">
        <f>IF(Completed!$E$161&lt;&gt;"",Completed!$E$161,"")</f>
        <v/>
      </c>
      <c r="Y162" s="53" t="str">
        <f>IF(Completed!$F$161&lt;&gt;"",Completed!$F$161,"")</f>
        <v/>
      </c>
      <c r="Z162" s="64" t="str">
        <f>IF(Completed!$G$161&lt;&gt;"",Completed!$G$161,"")</f>
        <v/>
      </c>
      <c r="AA162" s="74" t="str">
        <f>IF(Completed!$H$161&lt;&gt;"",Completed!$H$161,"")</f>
        <v/>
      </c>
      <c r="AB162" s="54" t="str">
        <f>IF(Completed!$I$161&lt;&gt;"",Completed!$I$161,"")</f>
        <v/>
      </c>
      <c r="AC162" s="54" t="str">
        <f>IF(Completed!$J$161&lt;&gt;"",Completed!$J$161,"")</f>
        <v/>
      </c>
      <c r="AD162" s="65" t="str">
        <f>IF(Completed!$K$161&lt;&gt;"",Completed!$K$161,"")</f>
        <v/>
      </c>
      <c r="AE162" s="65" t="str">
        <f>IF(Completed!$L$161&lt;&gt;"",Completed!$L$161,"")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IF(Completed!$A$162&lt;&gt;"",Completed!$A$162,"")</f>
        <v/>
      </c>
      <c r="O163" s="28" t="str">
        <f>IF(Completed!$B$162&lt;&gt;"",Completed!$B$162,"")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IF(Completed!$C$162&lt;&gt;"",Completed!$C$162,"")</f>
        <v/>
      </c>
      <c r="W163" s="53" t="str">
        <f>IF(Completed!$D$162&lt;&gt;"",Completed!$D$162,"")</f>
        <v/>
      </c>
      <c r="X163" s="53" t="str">
        <f>IF(Completed!$E$162&lt;&gt;"",Completed!$E$162,"")</f>
        <v/>
      </c>
      <c r="Y163" s="53" t="str">
        <f>IF(Completed!$F$162&lt;&gt;"",Completed!$F$162,"")</f>
        <v/>
      </c>
      <c r="Z163" s="64" t="str">
        <f>IF(Completed!$G$162&lt;&gt;"",Completed!$G$162,"")</f>
        <v/>
      </c>
      <c r="AA163" s="74" t="str">
        <f>IF(Completed!$H$162&lt;&gt;"",Completed!$H$162,"")</f>
        <v/>
      </c>
      <c r="AB163" s="54" t="str">
        <f>IF(Completed!$I$162&lt;&gt;"",Completed!$I$162,"")</f>
        <v/>
      </c>
      <c r="AC163" s="54" t="str">
        <f>IF(Completed!$J$162&lt;&gt;"",Completed!$J$162,"")</f>
        <v/>
      </c>
      <c r="AD163" s="65" t="str">
        <f>IF(Completed!$K$162&lt;&gt;"",Completed!$K$162,"")</f>
        <v/>
      </c>
      <c r="AE163" s="65" t="str">
        <f>IF(Completed!$L$162&lt;&gt;"",Completed!$L$162,"")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IF(Completed!$A$163&lt;&gt;"",Completed!$A$163,"")</f>
        <v/>
      </c>
      <c r="O164" s="28" t="str">
        <f>IF(Completed!$B$163&lt;&gt;"",Completed!$B$163,"")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IF(Completed!$C$163&lt;&gt;"",Completed!$C$163,"")</f>
        <v/>
      </c>
      <c r="W164" s="53" t="str">
        <f>IF(Completed!$D$163&lt;&gt;"",Completed!$D$163,"")</f>
        <v/>
      </c>
      <c r="X164" s="53" t="str">
        <f>IF(Completed!$E$163&lt;&gt;"",Completed!$E$163,"")</f>
        <v/>
      </c>
      <c r="Y164" s="53" t="str">
        <f>IF(Completed!$F$163&lt;&gt;"",Completed!$F$163,"")</f>
        <v/>
      </c>
      <c r="Z164" s="64" t="str">
        <f>IF(Completed!$G$163&lt;&gt;"",Completed!$G$163,"")</f>
        <v/>
      </c>
      <c r="AA164" s="74" t="str">
        <f>IF(Completed!$H$163&lt;&gt;"",Completed!$H$163,"")</f>
        <v/>
      </c>
      <c r="AB164" s="54" t="str">
        <f>IF(Completed!$I$163&lt;&gt;"",Completed!$I$163,"")</f>
        <v/>
      </c>
      <c r="AC164" s="54" t="str">
        <f>IF(Completed!$J$163&lt;&gt;"",Completed!$J$163,"")</f>
        <v/>
      </c>
      <c r="AD164" s="65" t="str">
        <f>IF(Completed!$K$163&lt;&gt;"",Completed!$K$163,"")</f>
        <v/>
      </c>
      <c r="AE164" s="65" t="str">
        <f>IF(Completed!$L$163&lt;&gt;"",Completed!$L$163,"")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IF(Completed!$A$164&lt;&gt;"",Completed!$A$164,"")</f>
        <v/>
      </c>
      <c r="O165" s="28" t="str">
        <f>IF(Completed!$B$164&lt;&gt;"",Completed!$B$164,"")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IF(Completed!$C$164&lt;&gt;"",Completed!$C$164,"")</f>
        <v/>
      </c>
      <c r="W165" s="53" t="str">
        <f>IF(Completed!$D$164&lt;&gt;"",Completed!$D$164,"")</f>
        <v/>
      </c>
      <c r="X165" s="53" t="str">
        <f>IF(Completed!$E$164&lt;&gt;"",Completed!$E$164,"")</f>
        <v/>
      </c>
      <c r="Y165" s="53" t="str">
        <f>IF(Completed!$F$164&lt;&gt;"",Completed!$F$164,"")</f>
        <v/>
      </c>
      <c r="Z165" s="64" t="str">
        <f>IF(Completed!$G$164&lt;&gt;"",Completed!$G$164,"")</f>
        <v/>
      </c>
      <c r="AA165" s="74" t="str">
        <f>IF(Completed!$H$164&lt;&gt;"",Completed!$H$164,"")</f>
        <v/>
      </c>
      <c r="AB165" s="54" t="str">
        <f>IF(Completed!$I$164&lt;&gt;"",Completed!$I$164,"")</f>
        <v/>
      </c>
      <c r="AC165" s="54" t="str">
        <f>IF(Completed!$J$164&lt;&gt;"",Completed!$J$164,"")</f>
        <v/>
      </c>
      <c r="AD165" s="65" t="str">
        <f>IF(Completed!$K$164&lt;&gt;"",Completed!$K$164,"")</f>
        <v/>
      </c>
      <c r="AE165" s="65" t="str">
        <f>IF(Completed!$L$164&lt;&gt;"",Completed!$L$164,"")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IF(Completed!$A$165&lt;&gt;"",Completed!$A$165,"")</f>
        <v/>
      </c>
      <c r="O166" s="28" t="str">
        <f>IF(Completed!$B$165&lt;&gt;"",Completed!$B$165,"")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IF(Completed!$C$165&lt;&gt;"",Completed!$C$165,"")</f>
        <v/>
      </c>
      <c r="W166" s="53" t="str">
        <f>IF(Completed!$D$165&lt;&gt;"",Completed!$D$165,"")</f>
        <v/>
      </c>
      <c r="X166" s="53" t="str">
        <f>IF(Completed!$E$165&lt;&gt;"",Completed!$E$165,"")</f>
        <v/>
      </c>
      <c r="Y166" s="53" t="str">
        <f>IF(Completed!$F$165&lt;&gt;"",Completed!$F$165,"")</f>
        <v/>
      </c>
      <c r="Z166" s="64" t="str">
        <f>IF(Completed!$G$165&lt;&gt;"",Completed!$G$165,"")</f>
        <v/>
      </c>
      <c r="AA166" s="74" t="str">
        <f>IF(Completed!$H$165&lt;&gt;"",Completed!$H$165,"")</f>
        <v/>
      </c>
      <c r="AB166" s="54" t="str">
        <f>IF(Completed!$I$165&lt;&gt;"",Completed!$I$165,"")</f>
        <v/>
      </c>
      <c r="AC166" s="54" t="str">
        <f>IF(Completed!$J$165&lt;&gt;"",Completed!$J$165,"")</f>
        <v/>
      </c>
      <c r="AD166" s="65" t="str">
        <f>IF(Completed!$K$165&lt;&gt;"",Completed!$K$165,"")</f>
        <v/>
      </c>
      <c r="AE166" s="65" t="str">
        <f>IF(Completed!$L$165&lt;&gt;"",Completed!$L$165,"")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IF(Completed!$A$166&lt;&gt;"",Completed!$A$166,"")</f>
        <v/>
      </c>
      <c r="O167" s="28" t="str">
        <f>IF(Completed!$B$166&lt;&gt;"",Completed!$B$166,"")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IF(Completed!$C$166&lt;&gt;"",Completed!$C$166,"")</f>
        <v/>
      </c>
      <c r="W167" s="53" t="str">
        <f>IF(Completed!$D$166&lt;&gt;"",Completed!$D$166,"")</f>
        <v/>
      </c>
      <c r="X167" s="53" t="str">
        <f>IF(Completed!$E$166&lt;&gt;"",Completed!$E$166,"")</f>
        <v/>
      </c>
      <c r="Y167" s="53" t="str">
        <f>IF(Completed!$F$166&lt;&gt;"",Completed!$F$166,"")</f>
        <v/>
      </c>
      <c r="Z167" s="64" t="str">
        <f>IF(Completed!$G$166&lt;&gt;"",Completed!$G$166,"")</f>
        <v/>
      </c>
      <c r="AA167" s="74" t="str">
        <f>IF(Completed!$H$166&lt;&gt;"",Completed!$H$166,"")</f>
        <v/>
      </c>
      <c r="AB167" s="54" t="str">
        <f>IF(Completed!$I$166&lt;&gt;"",Completed!$I$166,"")</f>
        <v/>
      </c>
      <c r="AC167" s="54" t="str">
        <f>IF(Completed!$J$166&lt;&gt;"",Completed!$J$166,"")</f>
        <v/>
      </c>
      <c r="AD167" s="65" t="str">
        <f>IF(Completed!$K$166&lt;&gt;"",Completed!$K$166,"")</f>
        <v/>
      </c>
      <c r="AE167" s="65" t="str">
        <f>IF(Completed!$L$166&lt;&gt;"",Completed!$L$166,"")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IF(Completed!$A$167&lt;&gt;"",Completed!$A$167,"")</f>
        <v/>
      </c>
      <c r="O168" s="28" t="str">
        <f>IF(Completed!$B$167&lt;&gt;"",Completed!$B$167,"")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IF(Completed!$C$167&lt;&gt;"",Completed!$C$167,"")</f>
        <v/>
      </c>
      <c r="W168" s="53" t="str">
        <f>IF(Completed!$D$167&lt;&gt;"",Completed!$D$167,"")</f>
        <v/>
      </c>
      <c r="X168" s="53" t="str">
        <f>IF(Completed!$E$167&lt;&gt;"",Completed!$E$167,"")</f>
        <v/>
      </c>
      <c r="Y168" s="53" t="str">
        <f>IF(Completed!$F$167&lt;&gt;"",Completed!$F$167,"")</f>
        <v/>
      </c>
      <c r="Z168" s="64" t="str">
        <f>IF(Completed!$G$167&lt;&gt;"",Completed!$G$167,"")</f>
        <v/>
      </c>
      <c r="AA168" s="74" t="str">
        <f>IF(Completed!$H$167&lt;&gt;"",Completed!$H$167,"")</f>
        <v/>
      </c>
      <c r="AB168" s="54" t="str">
        <f>IF(Completed!$I$167&lt;&gt;"",Completed!$I$167,"")</f>
        <v/>
      </c>
      <c r="AC168" s="54" t="str">
        <f>IF(Completed!$J$167&lt;&gt;"",Completed!$J$167,"")</f>
        <v/>
      </c>
      <c r="AD168" s="65" t="str">
        <f>IF(Completed!$K$167&lt;&gt;"",Completed!$K$167,"")</f>
        <v/>
      </c>
      <c r="AE168" s="65" t="str">
        <f>IF(Completed!$L$167&lt;&gt;"",Completed!$L$167,"")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IF(Completed!$A$168&lt;&gt;"",Completed!$A$168,"")</f>
        <v/>
      </c>
      <c r="O169" s="28" t="str">
        <f>IF(Completed!$B$168&lt;&gt;"",Completed!$B$168,"")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IF(Completed!$C$168&lt;&gt;"",Completed!$C$168,"")</f>
        <v/>
      </c>
      <c r="W169" s="53" t="str">
        <f>IF(Completed!$D$168&lt;&gt;"",Completed!$D$168,"")</f>
        <v/>
      </c>
      <c r="X169" s="53" t="str">
        <f>IF(Completed!$E$168&lt;&gt;"",Completed!$E$168,"")</f>
        <v/>
      </c>
      <c r="Y169" s="53" t="str">
        <f>IF(Completed!$F$168&lt;&gt;"",Completed!$F$168,"")</f>
        <v/>
      </c>
      <c r="Z169" s="64" t="str">
        <f>IF(Completed!$G$168&lt;&gt;"",Completed!$G$168,"")</f>
        <v/>
      </c>
      <c r="AA169" s="74" t="str">
        <f>IF(Completed!$H$168&lt;&gt;"",Completed!$H$168,"")</f>
        <v/>
      </c>
      <c r="AB169" s="54" t="str">
        <f>IF(Completed!$I$168&lt;&gt;"",Completed!$I$168,"")</f>
        <v/>
      </c>
      <c r="AC169" s="54" t="str">
        <f>IF(Completed!$J$168&lt;&gt;"",Completed!$J$168,"")</f>
        <v/>
      </c>
      <c r="AD169" s="65" t="str">
        <f>IF(Completed!$K$168&lt;&gt;"",Completed!$K$168,"")</f>
        <v/>
      </c>
      <c r="AE169" s="65" t="str">
        <f>IF(Completed!$L$168&lt;&gt;"",Completed!$L$168,"")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IF(Completed!$A$169&lt;&gt;"",Completed!$A$169,"")</f>
        <v/>
      </c>
      <c r="O170" s="28" t="str">
        <f>IF(Completed!$B$169&lt;&gt;"",Completed!$B$169,"")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IF(Completed!$C$169&lt;&gt;"",Completed!$C$169,"")</f>
        <v/>
      </c>
      <c r="W170" s="53" t="str">
        <f>IF(Completed!$D$169&lt;&gt;"",Completed!$D$169,"")</f>
        <v/>
      </c>
      <c r="X170" s="53" t="str">
        <f>IF(Completed!$E$169&lt;&gt;"",Completed!$E$169,"")</f>
        <v/>
      </c>
      <c r="Y170" s="53" t="str">
        <f>IF(Completed!$F$169&lt;&gt;"",Completed!$F$169,"")</f>
        <v/>
      </c>
      <c r="Z170" s="64" t="str">
        <f>IF(Completed!$G$169&lt;&gt;"",Completed!$G$169,"")</f>
        <v/>
      </c>
      <c r="AA170" s="74" t="str">
        <f>IF(Completed!$H$169&lt;&gt;"",Completed!$H$169,"")</f>
        <v/>
      </c>
      <c r="AB170" s="54" t="str">
        <f>IF(Completed!$I$169&lt;&gt;"",Completed!$I$169,"")</f>
        <v/>
      </c>
      <c r="AC170" s="54" t="str">
        <f>IF(Completed!$J$169&lt;&gt;"",Completed!$J$169,"")</f>
        <v/>
      </c>
      <c r="AD170" s="65" t="str">
        <f>IF(Completed!$K$169&lt;&gt;"",Completed!$K$169,"")</f>
        <v/>
      </c>
      <c r="AE170" s="65" t="str">
        <f>IF(Completed!$L$169&lt;&gt;"",Completed!$L$169,"")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IF(Completed!$A$170&lt;&gt;"",Completed!$A$170,"")</f>
        <v/>
      </c>
      <c r="O171" s="28" t="str">
        <f>IF(Completed!$B$170&lt;&gt;"",Completed!$B$170,"")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IF(Completed!$C$170&lt;&gt;"",Completed!$C$170,"")</f>
        <v/>
      </c>
      <c r="W171" s="53" t="str">
        <f>IF(Completed!$D$170&lt;&gt;"",Completed!$D$170,"")</f>
        <v/>
      </c>
      <c r="X171" s="53" t="str">
        <f>IF(Completed!$E$170&lt;&gt;"",Completed!$E$170,"")</f>
        <v/>
      </c>
      <c r="Y171" s="53" t="str">
        <f>IF(Completed!$F$170&lt;&gt;"",Completed!$F$170,"")</f>
        <v/>
      </c>
      <c r="Z171" s="64" t="str">
        <f>IF(Completed!$G$170&lt;&gt;"",Completed!$G$170,"")</f>
        <v/>
      </c>
      <c r="AA171" s="74" t="str">
        <f>IF(Completed!$H$170&lt;&gt;"",Completed!$H$170,"")</f>
        <v/>
      </c>
      <c r="AB171" s="54" t="str">
        <f>IF(Completed!$I$170&lt;&gt;"",Completed!$I$170,"")</f>
        <v/>
      </c>
      <c r="AC171" s="54" t="str">
        <f>IF(Completed!$J$170&lt;&gt;"",Completed!$J$170,"")</f>
        <v/>
      </c>
      <c r="AD171" s="65" t="str">
        <f>IF(Completed!$K$170&lt;&gt;"",Completed!$K$170,"")</f>
        <v/>
      </c>
      <c r="AE171" s="65" t="str">
        <f>IF(Completed!$L$170&lt;&gt;"",Completed!$L$170,"")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IF(Completed!$A$171&lt;&gt;"",Completed!$A$171,"")</f>
        <v/>
      </c>
      <c r="O172" s="28" t="str">
        <f>IF(Completed!$B$171&lt;&gt;"",Completed!$B$171,"")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IF(Completed!$C$171&lt;&gt;"",Completed!$C$171,"")</f>
        <v/>
      </c>
      <c r="W172" s="53" t="str">
        <f>IF(Completed!$D$171&lt;&gt;"",Completed!$D$171,"")</f>
        <v/>
      </c>
      <c r="X172" s="53" t="str">
        <f>IF(Completed!$E$171&lt;&gt;"",Completed!$E$171,"")</f>
        <v/>
      </c>
      <c r="Y172" s="53" t="str">
        <f>IF(Completed!$F$171&lt;&gt;"",Completed!$F$171,"")</f>
        <v/>
      </c>
      <c r="Z172" s="64" t="str">
        <f>IF(Completed!$G$171&lt;&gt;"",Completed!$G$171,"")</f>
        <v/>
      </c>
      <c r="AA172" s="74" t="str">
        <f>IF(Completed!$H$171&lt;&gt;"",Completed!$H$171,"")</f>
        <v/>
      </c>
      <c r="AB172" s="54" t="str">
        <f>IF(Completed!$I$171&lt;&gt;"",Completed!$I$171,"")</f>
        <v/>
      </c>
      <c r="AC172" s="54" t="str">
        <f>IF(Completed!$J$171&lt;&gt;"",Completed!$J$171,"")</f>
        <v/>
      </c>
      <c r="AD172" s="65" t="str">
        <f>IF(Completed!$K$171&lt;&gt;"",Completed!$K$171,"")</f>
        <v/>
      </c>
      <c r="AE172" s="65" t="str">
        <f>IF(Completed!$L$171&lt;&gt;"",Completed!$L$171,"")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IF(Completed!$A$172&lt;&gt;"",Completed!$A$172,"")</f>
        <v/>
      </c>
      <c r="O173" s="28" t="str">
        <f>IF(Completed!$B$172&lt;&gt;"",Completed!$B$172,"")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IF(Completed!$C$172&lt;&gt;"",Completed!$C$172,"")</f>
        <v/>
      </c>
      <c r="W173" s="53" t="str">
        <f>IF(Completed!$D$172&lt;&gt;"",Completed!$D$172,"")</f>
        <v/>
      </c>
      <c r="X173" s="53" t="str">
        <f>IF(Completed!$E$172&lt;&gt;"",Completed!$E$172,"")</f>
        <v/>
      </c>
      <c r="Y173" s="53" t="str">
        <f>IF(Completed!$F$172&lt;&gt;"",Completed!$F$172,"")</f>
        <v/>
      </c>
      <c r="Z173" s="64" t="str">
        <f>IF(Completed!$G$172&lt;&gt;"",Completed!$G$172,"")</f>
        <v/>
      </c>
      <c r="AA173" s="74" t="str">
        <f>IF(Completed!$H$172&lt;&gt;"",Completed!$H$172,"")</f>
        <v/>
      </c>
      <c r="AB173" s="54" t="str">
        <f>IF(Completed!$I$172&lt;&gt;"",Completed!$I$172,"")</f>
        <v/>
      </c>
      <c r="AC173" s="54" t="str">
        <f>IF(Completed!$J$172&lt;&gt;"",Completed!$J$172,"")</f>
        <v/>
      </c>
      <c r="AD173" s="65" t="str">
        <f>IF(Completed!$K$172&lt;&gt;"",Completed!$K$172,"")</f>
        <v/>
      </c>
      <c r="AE173" s="65" t="str">
        <f>IF(Completed!$L$172&lt;&gt;"",Completed!$L$172,"")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IF(Completed!$A$173&lt;&gt;"",Completed!$A$173,"")</f>
        <v/>
      </c>
      <c r="O174" s="28" t="str">
        <f>IF(Completed!$B$173&lt;&gt;"",Completed!$B$173,"")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IF(Completed!$C$173&lt;&gt;"",Completed!$C$173,"")</f>
        <v/>
      </c>
      <c r="W174" s="53" t="str">
        <f>IF(Completed!$D$173&lt;&gt;"",Completed!$D$173,"")</f>
        <v/>
      </c>
      <c r="X174" s="53" t="str">
        <f>IF(Completed!$E$173&lt;&gt;"",Completed!$E$173,"")</f>
        <v/>
      </c>
      <c r="Y174" s="53" t="str">
        <f>IF(Completed!$F$173&lt;&gt;"",Completed!$F$173,"")</f>
        <v/>
      </c>
      <c r="Z174" s="64" t="str">
        <f>IF(Completed!$G$173&lt;&gt;"",Completed!$G$173,"")</f>
        <v/>
      </c>
      <c r="AA174" s="74" t="str">
        <f>IF(Completed!$H$173&lt;&gt;"",Completed!$H$173,"")</f>
        <v/>
      </c>
      <c r="AB174" s="54" t="str">
        <f>IF(Completed!$I$173&lt;&gt;"",Completed!$I$173,"")</f>
        <v/>
      </c>
      <c r="AC174" s="54" t="str">
        <f>IF(Completed!$J$173&lt;&gt;"",Completed!$J$173,"")</f>
        <v/>
      </c>
      <c r="AD174" s="65" t="str">
        <f>IF(Completed!$K$173&lt;&gt;"",Completed!$K$173,"")</f>
        <v/>
      </c>
      <c r="AE174" s="65" t="str">
        <f>IF(Completed!$L$173&lt;&gt;"",Completed!$L$173,"")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IF(Completed!$A$174&lt;&gt;"",Completed!$A$174,"")</f>
        <v/>
      </c>
      <c r="O175" s="28" t="str">
        <f>IF(Completed!$B$174&lt;&gt;"",Completed!$B$174,"")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IF(Completed!$C$174&lt;&gt;"",Completed!$C$174,"")</f>
        <v/>
      </c>
      <c r="W175" s="53" t="str">
        <f>IF(Completed!$D$174&lt;&gt;"",Completed!$D$174,"")</f>
        <v/>
      </c>
      <c r="X175" s="53" t="str">
        <f>IF(Completed!$E$174&lt;&gt;"",Completed!$E$174,"")</f>
        <v/>
      </c>
      <c r="Y175" s="53" t="str">
        <f>IF(Completed!$F$174&lt;&gt;"",Completed!$F$174,"")</f>
        <v/>
      </c>
      <c r="Z175" s="64" t="str">
        <f>IF(Completed!$G$174&lt;&gt;"",Completed!$G$174,"")</f>
        <v/>
      </c>
      <c r="AA175" s="74" t="str">
        <f>IF(Completed!$H$174&lt;&gt;"",Completed!$H$174,"")</f>
        <v/>
      </c>
      <c r="AB175" s="54" t="str">
        <f>IF(Completed!$I$174&lt;&gt;"",Completed!$I$174,"")</f>
        <v/>
      </c>
      <c r="AC175" s="54" t="str">
        <f>IF(Completed!$J$174&lt;&gt;"",Completed!$J$174,"")</f>
        <v/>
      </c>
      <c r="AD175" s="65" t="str">
        <f>IF(Completed!$K$174&lt;&gt;"",Completed!$K$174,"")</f>
        <v/>
      </c>
      <c r="AE175" s="65" t="str">
        <f>IF(Completed!$L$174&lt;&gt;"",Completed!$L$174,"")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IF(Completed!$A$175&lt;&gt;"",Completed!$A$175,"")</f>
        <v/>
      </c>
      <c r="O176" s="28" t="str">
        <f>IF(Completed!$B$175&lt;&gt;"",Completed!$B$175,"")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IF(Completed!$C$175&lt;&gt;"",Completed!$C$175,"")</f>
        <v/>
      </c>
      <c r="W176" s="53" t="str">
        <f>IF(Completed!$D$175&lt;&gt;"",Completed!$D$175,"")</f>
        <v/>
      </c>
      <c r="X176" s="53" t="str">
        <f>IF(Completed!$E$175&lt;&gt;"",Completed!$E$175,"")</f>
        <v/>
      </c>
      <c r="Y176" s="53" t="str">
        <f>IF(Completed!$F$175&lt;&gt;"",Completed!$F$175,"")</f>
        <v/>
      </c>
      <c r="Z176" s="64" t="str">
        <f>IF(Completed!$G$175&lt;&gt;"",Completed!$G$175,"")</f>
        <v/>
      </c>
      <c r="AA176" s="74" t="str">
        <f>IF(Completed!$H$175&lt;&gt;"",Completed!$H$175,"")</f>
        <v/>
      </c>
      <c r="AB176" s="54" t="str">
        <f>IF(Completed!$I$175&lt;&gt;"",Completed!$I$175,"")</f>
        <v/>
      </c>
      <c r="AC176" s="54" t="str">
        <f>IF(Completed!$J$175&lt;&gt;"",Completed!$J$175,"")</f>
        <v/>
      </c>
      <c r="AD176" s="65" t="str">
        <f>IF(Completed!$K$175&lt;&gt;"",Completed!$K$175,"")</f>
        <v/>
      </c>
      <c r="AE176" s="65" t="str">
        <f>IF(Completed!$L$175&lt;&gt;"",Completed!$L$175,"")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IF(Completed!$A$176&lt;&gt;"",Completed!$A$176,"")</f>
        <v/>
      </c>
      <c r="O177" s="28" t="str">
        <f>IF(Completed!$B$176&lt;&gt;"",Completed!$B$176,"")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IF(Completed!$C$176&lt;&gt;"",Completed!$C$176,"")</f>
        <v/>
      </c>
      <c r="W177" s="53" t="str">
        <f>IF(Completed!$D$176&lt;&gt;"",Completed!$D$176,"")</f>
        <v/>
      </c>
      <c r="X177" s="53" t="str">
        <f>IF(Completed!$E$176&lt;&gt;"",Completed!$E$176,"")</f>
        <v/>
      </c>
      <c r="Y177" s="53" t="str">
        <f>IF(Completed!$F$176&lt;&gt;"",Completed!$F$176,"")</f>
        <v/>
      </c>
      <c r="Z177" s="64" t="str">
        <f>IF(Completed!$G$176&lt;&gt;"",Completed!$G$176,"")</f>
        <v/>
      </c>
      <c r="AA177" s="74" t="str">
        <f>IF(Completed!$H$176&lt;&gt;"",Completed!$H$176,"")</f>
        <v/>
      </c>
      <c r="AB177" s="54" t="str">
        <f>IF(Completed!$I$176&lt;&gt;"",Completed!$I$176,"")</f>
        <v/>
      </c>
      <c r="AC177" s="54" t="str">
        <f>IF(Completed!$J$176&lt;&gt;"",Completed!$J$176,"")</f>
        <v/>
      </c>
      <c r="AD177" s="65" t="str">
        <f>IF(Completed!$K$176&lt;&gt;"",Completed!$K$176,"")</f>
        <v/>
      </c>
      <c r="AE177" s="65" t="str">
        <f>IF(Completed!$L$176&lt;&gt;"",Completed!$L$176,"")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IF(Completed!$A$177&lt;&gt;"",Completed!$A$177,"")</f>
        <v/>
      </c>
      <c r="O178" s="28" t="str">
        <f>IF(Completed!$B$177&lt;&gt;"",Completed!$B$177,"")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IF(Completed!$C$177&lt;&gt;"",Completed!$C$177,"")</f>
        <v/>
      </c>
      <c r="W178" s="53" t="str">
        <f>IF(Completed!$D$177&lt;&gt;"",Completed!$D$177,"")</f>
        <v/>
      </c>
      <c r="X178" s="53" t="str">
        <f>IF(Completed!$E$177&lt;&gt;"",Completed!$E$177,"")</f>
        <v/>
      </c>
      <c r="Y178" s="53" t="str">
        <f>IF(Completed!$F$177&lt;&gt;"",Completed!$F$177,"")</f>
        <v/>
      </c>
      <c r="Z178" s="64" t="str">
        <f>IF(Completed!$G$177&lt;&gt;"",Completed!$G$177,"")</f>
        <v/>
      </c>
      <c r="AA178" s="74" t="str">
        <f>IF(Completed!$H$177&lt;&gt;"",Completed!$H$177,"")</f>
        <v/>
      </c>
      <c r="AB178" s="54" t="str">
        <f>IF(Completed!$I$177&lt;&gt;"",Completed!$I$177,"")</f>
        <v/>
      </c>
      <c r="AC178" s="54" t="str">
        <f>IF(Completed!$J$177&lt;&gt;"",Completed!$J$177,"")</f>
        <v/>
      </c>
      <c r="AD178" s="65" t="str">
        <f>IF(Completed!$K$177&lt;&gt;"",Completed!$K$177,"")</f>
        <v/>
      </c>
      <c r="AE178" s="65" t="str">
        <f>IF(Completed!$L$177&lt;&gt;"",Completed!$L$177,"")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IF(Completed!$A$178&lt;&gt;"",Completed!$A$178,"")</f>
        <v/>
      </c>
      <c r="O179" s="28" t="str">
        <f>IF(Completed!$B$178&lt;&gt;"",Completed!$B$178,"")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IF(Completed!$C$178&lt;&gt;"",Completed!$C$178,"")</f>
        <v/>
      </c>
      <c r="W179" s="53" t="str">
        <f>IF(Completed!$D$178&lt;&gt;"",Completed!$D$178,"")</f>
        <v/>
      </c>
      <c r="X179" s="53" t="str">
        <f>IF(Completed!$E$178&lt;&gt;"",Completed!$E$178,"")</f>
        <v/>
      </c>
      <c r="Y179" s="53" t="str">
        <f>IF(Completed!$F$178&lt;&gt;"",Completed!$F$178,"")</f>
        <v/>
      </c>
      <c r="Z179" s="64" t="str">
        <f>IF(Completed!$G$178&lt;&gt;"",Completed!$G$178,"")</f>
        <v/>
      </c>
      <c r="AA179" s="74" t="str">
        <f>IF(Completed!$H$178&lt;&gt;"",Completed!$H$178,"")</f>
        <v/>
      </c>
      <c r="AB179" s="54" t="str">
        <f>IF(Completed!$I$178&lt;&gt;"",Completed!$I$178,"")</f>
        <v/>
      </c>
      <c r="AC179" s="54" t="str">
        <f>IF(Completed!$J$178&lt;&gt;"",Completed!$J$178,"")</f>
        <v/>
      </c>
      <c r="AD179" s="65" t="str">
        <f>IF(Completed!$K$178&lt;&gt;"",Completed!$K$178,"")</f>
        <v/>
      </c>
      <c r="AE179" s="65" t="str">
        <f>IF(Completed!$L$178&lt;&gt;"",Completed!$L$178,"")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IF(Completed!$A$179&lt;&gt;"",Completed!$A$179,"")</f>
        <v/>
      </c>
      <c r="O180" s="28" t="str">
        <f>IF(Completed!$B$179&lt;&gt;"",Completed!$B$179,"")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IF(Completed!$C$179&lt;&gt;"",Completed!$C$179,"")</f>
        <v/>
      </c>
      <c r="W180" s="53" t="str">
        <f>IF(Completed!$D$179&lt;&gt;"",Completed!$D$179,"")</f>
        <v/>
      </c>
      <c r="X180" s="53" t="str">
        <f>IF(Completed!$E$179&lt;&gt;"",Completed!$E$179,"")</f>
        <v/>
      </c>
      <c r="Y180" s="53" t="str">
        <f>IF(Completed!$F$179&lt;&gt;"",Completed!$F$179,"")</f>
        <v/>
      </c>
      <c r="Z180" s="64" t="str">
        <f>IF(Completed!$G$179&lt;&gt;"",Completed!$G$179,"")</f>
        <v/>
      </c>
      <c r="AA180" s="74" t="str">
        <f>IF(Completed!$H$179&lt;&gt;"",Completed!$H$179,"")</f>
        <v/>
      </c>
      <c r="AB180" s="54" t="str">
        <f>IF(Completed!$I$179&lt;&gt;"",Completed!$I$179,"")</f>
        <v/>
      </c>
      <c r="AC180" s="54" t="str">
        <f>IF(Completed!$J$179&lt;&gt;"",Completed!$J$179,"")</f>
        <v/>
      </c>
      <c r="AD180" s="65" t="str">
        <f>IF(Completed!$K$179&lt;&gt;"",Completed!$K$179,"")</f>
        <v/>
      </c>
      <c r="AE180" s="65" t="str">
        <f>IF(Completed!$L$179&lt;&gt;"",Completed!$L$179,"")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IF(Completed!$A$180&lt;&gt;"",Completed!$A$180,"")</f>
        <v/>
      </c>
      <c r="O181" s="28" t="str">
        <f>IF(Completed!$B$180&lt;&gt;"",Completed!$B$180,"")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IF(Completed!$C$180&lt;&gt;"",Completed!$C$180,"")</f>
        <v/>
      </c>
      <c r="W181" s="53" t="str">
        <f>IF(Completed!$D$180&lt;&gt;"",Completed!$D$180,"")</f>
        <v/>
      </c>
      <c r="X181" s="53" t="str">
        <f>IF(Completed!$E$180&lt;&gt;"",Completed!$E$180,"")</f>
        <v/>
      </c>
      <c r="Y181" s="53" t="str">
        <f>IF(Completed!$F$180&lt;&gt;"",Completed!$F$180,"")</f>
        <v/>
      </c>
      <c r="Z181" s="64" t="str">
        <f>IF(Completed!$G$180&lt;&gt;"",Completed!$G$180,"")</f>
        <v/>
      </c>
      <c r="AA181" s="74" t="str">
        <f>IF(Completed!$H$180&lt;&gt;"",Completed!$H$180,"")</f>
        <v/>
      </c>
      <c r="AB181" s="54" t="str">
        <f>IF(Completed!$I$180&lt;&gt;"",Completed!$I$180,"")</f>
        <v/>
      </c>
      <c r="AC181" s="54" t="str">
        <f>IF(Completed!$J$180&lt;&gt;"",Completed!$J$180,"")</f>
        <v/>
      </c>
      <c r="AD181" s="65" t="str">
        <f>IF(Completed!$K$180&lt;&gt;"",Completed!$K$180,"")</f>
        <v/>
      </c>
      <c r="AE181" s="65" t="str">
        <f>IF(Completed!$L$180&lt;&gt;"",Completed!$L$180,"")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IF(Completed!$A$181&lt;&gt;"",Completed!$A$181,"")</f>
        <v/>
      </c>
      <c r="O182" s="28" t="str">
        <f>IF(Completed!$B$181&lt;&gt;"",Completed!$B$181,"")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IF(Completed!$C$181&lt;&gt;"",Completed!$C$181,"")</f>
        <v/>
      </c>
      <c r="W182" s="53" t="str">
        <f>IF(Completed!$D$181&lt;&gt;"",Completed!$D$181,"")</f>
        <v/>
      </c>
      <c r="X182" s="53" t="str">
        <f>IF(Completed!$E$181&lt;&gt;"",Completed!$E$181,"")</f>
        <v/>
      </c>
      <c r="Y182" s="53" t="str">
        <f>IF(Completed!$F$181&lt;&gt;"",Completed!$F$181,"")</f>
        <v/>
      </c>
      <c r="Z182" s="64" t="str">
        <f>IF(Completed!$G$181&lt;&gt;"",Completed!$G$181,"")</f>
        <v/>
      </c>
      <c r="AA182" s="74" t="str">
        <f>IF(Completed!$H$181&lt;&gt;"",Completed!$H$181,"")</f>
        <v/>
      </c>
      <c r="AB182" s="54" t="str">
        <f>IF(Completed!$I$181&lt;&gt;"",Completed!$I$181,"")</f>
        <v/>
      </c>
      <c r="AC182" s="54" t="str">
        <f>IF(Completed!$J$181&lt;&gt;"",Completed!$J$181,"")</f>
        <v/>
      </c>
      <c r="AD182" s="65" t="str">
        <f>IF(Completed!$K$181&lt;&gt;"",Completed!$K$181,"")</f>
        <v/>
      </c>
      <c r="AE182" s="65" t="str">
        <f>IF(Completed!$L$181&lt;&gt;"",Completed!$L$181,"")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IF(Completed!$A$182&lt;&gt;"",Completed!$A$182,"")</f>
        <v/>
      </c>
      <c r="O183" s="28" t="str">
        <f>IF(Completed!$B$182&lt;&gt;"",Completed!$B$182,"")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IF(Completed!$C$182&lt;&gt;"",Completed!$C$182,"")</f>
        <v/>
      </c>
      <c r="W183" s="53" t="str">
        <f>IF(Completed!$D$182&lt;&gt;"",Completed!$D$182,"")</f>
        <v/>
      </c>
      <c r="X183" s="53" t="str">
        <f>IF(Completed!$E$182&lt;&gt;"",Completed!$E$182,"")</f>
        <v/>
      </c>
      <c r="Y183" s="53" t="str">
        <f>IF(Completed!$F$182&lt;&gt;"",Completed!$F$182,"")</f>
        <v/>
      </c>
      <c r="Z183" s="64" t="str">
        <f>IF(Completed!$G$182&lt;&gt;"",Completed!$G$182,"")</f>
        <v/>
      </c>
      <c r="AA183" s="74" t="str">
        <f>IF(Completed!$H$182&lt;&gt;"",Completed!$H$182,"")</f>
        <v/>
      </c>
      <c r="AB183" s="54" t="str">
        <f>IF(Completed!$I$182&lt;&gt;"",Completed!$I$182,"")</f>
        <v/>
      </c>
      <c r="AC183" s="54" t="str">
        <f>IF(Completed!$J$182&lt;&gt;"",Completed!$J$182,"")</f>
        <v/>
      </c>
      <c r="AD183" s="65" t="str">
        <f>IF(Completed!$K$182&lt;&gt;"",Completed!$K$182,"")</f>
        <v/>
      </c>
      <c r="AE183" s="65" t="str">
        <f>IF(Completed!$L$182&lt;&gt;"",Completed!$L$182,"")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IF(Completed!$A$183&lt;&gt;"",Completed!$A$183,"")</f>
        <v/>
      </c>
      <c r="O184" s="28" t="str">
        <f>IF(Completed!$B$183&lt;&gt;"",Completed!$B$183,"")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IF(Completed!$C$183&lt;&gt;"",Completed!$C$183,"")</f>
        <v/>
      </c>
      <c r="W184" s="53" t="str">
        <f>IF(Completed!$D$183&lt;&gt;"",Completed!$D$183,"")</f>
        <v/>
      </c>
      <c r="X184" s="53" t="str">
        <f>IF(Completed!$E$183&lt;&gt;"",Completed!$E$183,"")</f>
        <v/>
      </c>
      <c r="Y184" s="53" t="str">
        <f>IF(Completed!$F$183&lt;&gt;"",Completed!$F$183,"")</f>
        <v/>
      </c>
      <c r="Z184" s="64" t="str">
        <f>IF(Completed!$G$183&lt;&gt;"",Completed!$G$183,"")</f>
        <v/>
      </c>
      <c r="AA184" s="74" t="str">
        <f>IF(Completed!$H$183&lt;&gt;"",Completed!$H$183,"")</f>
        <v/>
      </c>
      <c r="AB184" s="54" t="str">
        <f>IF(Completed!$I$183&lt;&gt;"",Completed!$I$183,"")</f>
        <v/>
      </c>
      <c r="AC184" s="54" t="str">
        <f>IF(Completed!$J$183&lt;&gt;"",Completed!$J$183,"")</f>
        <v/>
      </c>
      <c r="AD184" s="65" t="str">
        <f>IF(Completed!$K$183&lt;&gt;"",Completed!$K$183,"")</f>
        <v/>
      </c>
      <c r="AE184" s="65" t="str">
        <f>IF(Completed!$L$183&lt;&gt;"",Completed!$L$183,"")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IF(Completed!$A$184&lt;&gt;"",Completed!$A$184,"")</f>
        <v/>
      </c>
      <c r="O185" s="28" t="str">
        <f>IF(Completed!$B$184&lt;&gt;"",Completed!$B$184,"")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IF(Completed!$C$184&lt;&gt;"",Completed!$C$184,"")</f>
        <v/>
      </c>
      <c r="W185" s="53" t="str">
        <f>IF(Completed!$D$184&lt;&gt;"",Completed!$D$184,"")</f>
        <v/>
      </c>
      <c r="X185" s="53" t="str">
        <f>IF(Completed!$E$184&lt;&gt;"",Completed!$E$184,"")</f>
        <v/>
      </c>
      <c r="Y185" s="53" t="str">
        <f>IF(Completed!$F$184&lt;&gt;"",Completed!$F$184,"")</f>
        <v/>
      </c>
      <c r="Z185" s="64" t="str">
        <f>IF(Completed!$G$184&lt;&gt;"",Completed!$G$184,"")</f>
        <v/>
      </c>
      <c r="AA185" s="74" t="str">
        <f>IF(Completed!$H$184&lt;&gt;"",Completed!$H$184,"")</f>
        <v/>
      </c>
      <c r="AB185" s="54" t="str">
        <f>IF(Completed!$I$184&lt;&gt;"",Completed!$I$184,"")</f>
        <v/>
      </c>
      <c r="AC185" s="54" t="str">
        <f>IF(Completed!$J$184&lt;&gt;"",Completed!$J$184,"")</f>
        <v/>
      </c>
      <c r="AD185" s="65" t="str">
        <f>IF(Completed!$K$184&lt;&gt;"",Completed!$K$184,"")</f>
        <v/>
      </c>
      <c r="AE185" s="65" t="str">
        <f>IF(Completed!$L$184&lt;&gt;"",Completed!$L$184,"")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IF(Completed!$A$185&lt;&gt;"",Completed!$A$185,"")</f>
        <v/>
      </c>
      <c r="O186" s="28" t="str">
        <f>IF(Completed!$B$185&lt;&gt;"",Completed!$B$185,"")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IF(Completed!$C$185&lt;&gt;"",Completed!$C$185,"")</f>
        <v/>
      </c>
      <c r="W186" s="53" t="str">
        <f>IF(Completed!$D$185&lt;&gt;"",Completed!$D$185,"")</f>
        <v/>
      </c>
      <c r="X186" s="53" t="str">
        <f>IF(Completed!$E$185&lt;&gt;"",Completed!$E$185,"")</f>
        <v/>
      </c>
      <c r="Y186" s="53" t="str">
        <f>IF(Completed!$F$185&lt;&gt;"",Completed!$F$185,"")</f>
        <v/>
      </c>
      <c r="Z186" s="64" t="str">
        <f>IF(Completed!$G$185&lt;&gt;"",Completed!$G$185,"")</f>
        <v/>
      </c>
      <c r="AA186" s="74" t="str">
        <f>IF(Completed!$H$185&lt;&gt;"",Completed!$H$185,"")</f>
        <v/>
      </c>
      <c r="AB186" s="54" t="str">
        <f>IF(Completed!$I$185&lt;&gt;"",Completed!$I$185,"")</f>
        <v/>
      </c>
      <c r="AC186" s="54" t="str">
        <f>IF(Completed!$J$185&lt;&gt;"",Completed!$J$185,"")</f>
        <v/>
      </c>
      <c r="AD186" s="65" t="str">
        <f>IF(Completed!$K$185&lt;&gt;"",Completed!$K$185,"")</f>
        <v/>
      </c>
      <c r="AE186" s="65" t="str">
        <f>IF(Completed!$L$185&lt;&gt;"",Completed!$L$185,"")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IF(Completed!$A$186&lt;&gt;"",Completed!$A$186,"")</f>
        <v/>
      </c>
      <c r="O187" s="28" t="str">
        <f>IF(Completed!$B$186&lt;&gt;"",Completed!$B$186,"")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IF(Completed!$C$186&lt;&gt;"",Completed!$C$186,"")</f>
        <v/>
      </c>
      <c r="W187" s="53" t="str">
        <f>IF(Completed!$D$186&lt;&gt;"",Completed!$D$186,"")</f>
        <v/>
      </c>
      <c r="X187" s="53" t="str">
        <f>IF(Completed!$E$186&lt;&gt;"",Completed!$E$186,"")</f>
        <v/>
      </c>
      <c r="Y187" s="53" t="str">
        <f>IF(Completed!$F$186&lt;&gt;"",Completed!$F$186,"")</f>
        <v/>
      </c>
      <c r="Z187" s="64" t="str">
        <f>IF(Completed!$G$186&lt;&gt;"",Completed!$G$186,"")</f>
        <v/>
      </c>
      <c r="AA187" s="74" t="str">
        <f>IF(Completed!$H$186&lt;&gt;"",Completed!$H$186,"")</f>
        <v/>
      </c>
      <c r="AB187" s="54" t="str">
        <f>IF(Completed!$I$186&lt;&gt;"",Completed!$I$186,"")</f>
        <v/>
      </c>
      <c r="AC187" s="54" t="str">
        <f>IF(Completed!$J$186&lt;&gt;"",Completed!$J$186,"")</f>
        <v/>
      </c>
      <c r="AD187" s="65" t="str">
        <f>IF(Completed!$K$186&lt;&gt;"",Completed!$K$186,"")</f>
        <v/>
      </c>
      <c r="AE187" s="65" t="str">
        <f>IF(Completed!$L$186&lt;&gt;"",Completed!$L$186,"")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IF(Completed!$A$187&lt;&gt;"",Completed!$A$187,"")</f>
        <v/>
      </c>
      <c r="O188" s="28" t="str">
        <f>IF(Completed!$B$187&lt;&gt;"",Completed!$B$187,"")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IF(Completed!$C$187&lt;&gt;"",Completed!$C$187,"")</f>
        <v/>
      </c>
      <c r="W188" s="53" t="str">
        <f>IF(Completed!$D$187&lt;&gt;"",Completed!$D$187,"")</f>
        <v/>
      </c>
      <c r="X188" s="53" t="str">
        <f>IF(Completed!$E$187&lt;&gt;"",Completed!$E$187,"")</f>
        <v/>
      </c>
      <c r="Y188" s="53" t="str">
        <f>IF(Completed!$F$187&lt;&gt;"",Completed!$F$187,"")</f>
        <v/>
      </c>
      <c r="Z188" s="64" t="str">
        <f>IF(Completed!$G$187&lt;&gt;"",Completed!$G$187,"")</f>
        <v/>
      </c>
      <c r="AA188" s="74" t="str">
        <f>IF(Completed!$H$187&lt;&gt;"",Completed!$H$187,"")</f>
        <v/>
      </c>
      <c r="AB188" s="54" t="str">
        <f>IF(Completed!$I$187&lt;&gt;"",Completed!$I$187,"")</f>
        <v/>
      </c>
      <c r="AC188" s="54" t="str">
        <f>IF(Completed!$J$187&lt;&gt;"",Completed!$J$187,"")</f>
        <v/>
      </c>
      <c r="AD188" s="65" t="str">
        <f>IF(Completed!$K$187&lt;&gt;"",Completed!$K$187,"")</f>
        <v/>
      </c>
      <c r="AE188" s="65" t="str">
        <f>IF(Completed!$L$187&lt;&gt;"",Completed!$L$187,"")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IF(Completed!$A$188&lt;&gt;"",Completed!$A$188,"")</f>
        <v/>
      </c>
      <c r="O189" s="28" t="str">
        <f>IF(Completed!$B$188&lt;&gt;"",Completed!$B$188,"")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IF(Completed!$C$188&lt;&gt;"",Completed!$C$188,"")</f>
        <v/>
      </c>
      <c r="W189" s="53" t="str">
        <f>IF(Completed!$D$188&lt;&gt;"",Completed!$D$188,"")</f>
        <v/>
      </c>
      <c r="X189" s="53" t="str">
        <f>IF(Completed!$E$188&lt;&gt;"",Completed!$E$188,"")</f>
        <v/>
      </c>
      <c r="Y189" s="53" t="str">
        <f>IF(Completed!$F$188&lt;&gt;"",Completed!$F$188,"")</f>
        <v/>
      </c>
      <c r="Z189" s="64" t="str">
        <f>IF(Completed!$G$188&lt;&gt;"",Completed!$G$188,"")</f>
        <v/>
      </c>
      <c r="AA189" s="74" t="str">
        <f>IF(Completed!$H$188&lt;&gt;"",Completed!$H$188,"")</f>
        <v/>
      </c>
      <c r="AB189" s="54" t="str">
        <f>IF(Completed!$I$188&lt;&gt;"",Completed!$I$188,"")</f>
        <v/>
      </c>
      <c r="AC189" s="54" t="str">
        <f>IF(Completed!$J$188&lt;&gt;"",Completed!$J$188,"")</f>
        <v/>
      </c>
      <c r="AD189" s="65" t="str">
        <f>IF(Completed!$K$188&lt;&gt;"",Completed!$K$188,"")</f>
        <v/>
      </c>
      <c r="AE189" s="65" t="str">
        <f>IF(Completed!$L$188&lt;&gt;"",Completed!$L$188,"")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IF(Completed!$A$189&lt;&gt;"",Completed!$A$189,"")</f>
        <v/>
      </c>
      <c r="O190" s="28" t="str">
        <f>IF(Completed!$B$189&lt;&gt;"",Completed!$B$189,"")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IF(Completed!$C$189&lt;&gt;"",Completed!$C$189,"")</f>
        <v/>
      </c>
      <c r="W190" s="53" t="str">
        <f>IF(Completed!$D$189&lt;&gt;"",Completed!$D$189,"")</f>
        <v/>
      </c>
      <c r="X190" s="53" t="str">
        <f>IF(Completed!$E$189&lt;&gt;"",Completed!$E$189,"")</f>
        <v/>
      </c>
      <c r="Y190" s="53" t="str">
        <f>IF(Completed!$F$189&lt;&gt;"",Completed!$F$189,"")</f>
        <v/>
      </c>
      <c r="Z190" s="64" t="str">
        <f>IF(Completed!$G$189&lt;&gt;"",Completed!$G$189,"")</f>
        <v/>
      </c>
      <c r="AA190" s="74" t="str">
        <f>IF(Completed!$H$189&lt;&gt;"",Completed!$H$189,"")</f>
        <v/>
      </c>
      <c r="AB190" s="54" t="str">
        <f>IF(Completed!$I$189&lt;&gt;"",Completed!$I$189,"")</f>
        <v/>
      </c>
      <c r="AC190" s="54" t="str">
        <f>IF(Completed!$J$189&lt;&gt;"",Completed!$J$189,"")</f>
        <v/>
      </c>
      <c r="AD190" s="65" t="str">
        <f>IF(Completed!$K$189&lt;&gt;"",Completed!$K$189,"")</f>
        <v/>
      </c>
      <c r="AE190" s="65" t="str">
        <f>IF(Completed!$L$189&lt;&gt;"",Completed!$L$189,"")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IF(Completed!$A$190&lt;&gt;"",Completed!$A$190,"")</f>
        <v/>
      </c>
      <c r="O191" s="28" t="str">
        <f>IF(Completed!$B$190&lt;&gt;"",Completed!$B$190,"")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IF(Completed!$C$190&lt;&gt;"",Completed!$C$190,"")</f>
        <v/>
      </c>
      <c r="W191" s="53" t="str">
        <f>IF(Completed!$D$190&lt;&gt;"",Completed!$D$190,"")</f>
        <v/>
      </c>
      <c r="X191" s="53" t="str">
        <f>IF(Completed!$E$190&lt;&gt;"",Completed!$E$190,"")</f>
        <v/>
      </c>
      <c r="Y191" s="53" t="str">
        <f>IF(Completed!$F$190&lt;&gt;"",Completed!$F$190,"")</f>
        <v/>
      </c>
      <c r="Z191" s="64" t="str">
        <f>IF(Completed!$G$190&lt;&gt;"",Completed!$G$190,"")</f>
        <v/>
      </c>
      <c r="AA191" s="74" t="str">
        <f>IF(Completed!$H$190&lt;&gt;"",Completed!$H$190,"")</f>
        <v/>
      </c>
      <c r="AB191" s="54" t="str">
        <f>IF(Completed!$I$190&lt;&gt;"",Completed!$I$190,"")</f>
        <v/>
      </c>
      <c r="AC191" s="54" t="str">
        <f>IF(Completed!$J$190&lt;&gt;"",Completed!$J$190,"")</f>
        <v/>
      </c>
      <c r="AD191" s="65" t="str">
        <f>IF(Completed!$K$190&lt;&gt;"",Completed!$K$190,"")</f>
        <v/>
      </c>
      <c r="AE191" s="65" t="str">
        <f>IF(Completed!$L$190&lt;&gt;"",Completed!$L$190,"")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IF(Completed!$A$191&lt;&gt;"",Completed!$A$191,"")</f>
        <v/>
      </c>
      <c r="O192" s="28" t="str">
        <f>IF(Completed!$B$191&lt;&gt;"",Completed!$B$191,"")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IF(Completed!$C$191&lt;&gt;"",Completed!$C$191,"")</f>
        <v/>
      </c>
      <c r="W192" s="53" t="str">
        <f>IF(Completed!$D$191&lt;&gt;"",Completed!$D$191,"")</f>
        <v/>
      </c>
      <c r="X192" s="53" t="str">
        <f>IF(Completed!$E$191&lt;&gt;"",Completed!$E$191,"")</f>
        <v/>
      </c>
      <c r="Y192" s="53" t="str">
        <f>IF(Completed!$F$191&lt;&gt;"",Completed!$F$191,"")</f>
        <v/>
      </c>
      <c r="Z192" s="64" t="str">
        <f>IF(Completed!$G$191&lt;&gt;"",Completed!$G$191,"")</f>
        <v/>
      </c>
      <c r="AA192" s="74" t="str">
        <f>IF(Completed!$H$191&lt;&gt;"",Completed!$H$191,"")</f>
        <v/>
      </c>
      <c r="AB192" s="54" t="str">
        <f>IF(Completed!$I$191&lt;&gt;"",Completed!$I$191,"")</f>
        <v/>
      </c>
      <c r="AC192" s="54" t="str">
        <f>IF(Completed!$J$191&lt;&gt;"",Completed!$J$191,"")</f>
        <v/>
      </c>
      <c r="AD192" s="65" t="str">
        <f>IF(Completed!$K$191&lt;&gt;"",Completed!$K$191,"")</f>
        <v/>
      </c>
      <c r="AE192" s="65" t="str">
        <f>IF(Completed!$L$191&lt;&gt;"",Completed!$L$191,"")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IF(Completed!$A$194&lt;&gt;"",Completed!$A$194,"")</f>
        <v/>
      </c>
      <c r="O193" s="28" t="str">
        <f>IF(Completed!$B$194&lt;&gt;"",Completed!$B$194,"")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IF(Completed!$C$194&lt;&gt;"",Completed!$C$194,"")</f>
        <v/>
      </c>
      <c r="W193" s="53" t="str">
        <f>IF(Completed!$D$194&lt;&gt;"",Completed!$D$194,"")</f>
        <v/>
      </c>
      <c r="X193" s="53" t="str">
        <f>IF(Completed!$E$194&lt;&gt;"",Completed!$E$194,"")</f>
        <v/>
      </c>
      <c r="Y193" s="53" t="str">
        <f>IF(Completed!$F$194&lt;&gt;"",Completed!$F$194,"")</f>
        <v/>
      </c>
      <c r="Z193" s="64" t="str">
        <f>IF(Completed!$G$194&lt;&gt;"",Completed!$G$194,"")</f>
        <v/>
      </c>
      <c r="AA193" s="74" t="str">
        <f>IF(Completed!$H$194&lt;&gt;"",Completed!$H$194,"")</f>
        <v/>
      </c>
      <c r="AB193" s="54" t="str">
        <f>IF(Completed!$I$194&lt;&gt;"",Completed!$I$194,"")</f>
        <v/>
      </c>
      <c r="AC193" s="54" t="str">
        <f>IF(Completed!$J$194&lt;&gt;"",Completed!$J$194,"")</f>
        <v/>
      </c>
      <c r="AD193" s="65" t="str">
        <f>IF(Completed!$K$194&lt;&gt;"",Completed!$K$194,"")</f>
        <v/>
      </c>
      <c r="AE193" s="65" t="str">
        <f>IF(Completed!$L$194&lt;&gt;"",Completed!$L$194,"")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IF(Completed!$A$195&lt;&gt;"",Completed!$A$195,"")</f>
        <v/>
      </c>
      <c r="O194" s="28" t="str">
        <f>IF(Completed!$B$195&lt;&gt;"",Completed!$B$195,"")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IF(Completed!$C$195&lt;&gt;"",Completed!$C$195,"")</f>
        <v/>
      </c>
      <c r="W194" s="53" t="str">
        <f>IF(Completed!$D$195&lt;&gt;"",Completed!$D$195,"")</f>
        <v/>
      </c>
      <c r="X194" s="53" t="str">
        <f>IF(Completed!$E$195&lt;&gt;"",Completed!$E$195,"")</f>
        <v/>
      </c>
      <c r="Y194" s="53" t="str">
        <f>IF(Completed!$F$195&lt;&gt;"",Completed!$F$195,"")</f>
        <v/>
      </c>
      <c r="Z194" s="64" t="str">
        <f>IF(Completed!$G$195&lt;&gt;"",Completed!$G$195,"")</f>
        <v/>
      </c>
      <c r="AA194" s="74" t="str">
        <f>IF(Completed!$H$195&lt;&gt;"",Completed!$H$195,"")</f>
        <v/>
      </c>
      <c r="AB194" s="54" t="str">
        <f>IF(Completed!$I$195&lt;&gt;"",Completed!$I$195,"")</f>
        <v/>
      </c>
      <c r="AC194" s="54" t="str">
        <f>IF(Completed!$J$195&lt;&gt;"",Completed!$J$195,"")</f>
        <v/>
      </c>
      <c r="AD194" s="65" t="str">
        <f>IF(Completed!$K$195&lt;&gt;"",Completed!$K$195,"")</f>
        <v/>
      </c>
      <c r="AE194" s="65" t="str">
        <f>IF(Completed!$L$195&lt;&gt;"",Completed!$L$195,"")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IF(Completed!$A$196&lt;&gt;"",Completed!$A$196,"")</f>
        <v/>
      </c>
      <c r="O195" s="28" t="str">
        <f>IF(Completed!$B$196&lt;&gt;"",Completed!$B$196,"")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IF(Completed!$C$196&lt;&gt;"",Completed!$C$196,"")</f>
        <v/>
      </c>
      <c r="W195" s="53" t="str">
        <f>IF(Completed!$D$196&lt;&gt;"",Completed!$D$196,"")</f>
        <v/>
      </c>
      <c r="X195" s="53" t="str">
        <f>IF(Completed!$E$196&lt;&gt;"",Completed!$E$196,"")</f>
        <v/>
      </c>
      <c r="Y195" s="53" t="str">
        <f>IF(Completed!$F$196&lt;&gt;"",Completed!$F$196,"")</f>
        <v/>
      </c>
      <c r="Z195" s="64" t="str">
        <f>IF(Completed!$G$196&lt;&gt;"",Completed!$G$196,"")</f>
        <v/>
      </c>
      <c r="AA195" s="74" t="str">
        <f>IF(Completed!$H$196&lt;&gt;"",Completed!$H$196,"")</f>
        <v/>
      </c>
      <c r="AB195" s="54" t="str">
        <f>IF(Completed!$I$196&lt;&gt;"",Completed!$I$196,"")</f>
        <v/>
      </c>
      <c r="AC195" s="54" t="str">
        <f>IF(Completed!$J$196&lt;&gt;"",Completed!$J$196,"")</f>
        <v/>
      </c>
      <c r="AD195" s="65" t="str">
        <f>IF(Completed!$K$196&lt;&gt;"",Completed!$K$196,"")</f>
        <v/>
      </c>
      <c r="AE195" s="65" t="str">
        <f>IF(Completed!$L$196&lt;&gt;"",Completed!$L$196,"")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26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3" t="s">
        <v>462</v>
      </c>
      <c r="B1" s="244"/>
      <c r="C1" s="244"/>
      <c r="D1" s="244"/>
      <c r="E1" s="244"/>
      <c r="F1" s="244"/>
      <c r="G1" s="244"/>
      <c r="H1" s="245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691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705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715</v>
      </c>
      <c r="B75" s="185">
        <v>1</v>
      </c>
      <c r="C75" s="185">
        <v>2</v>
      </c>
      <c r="D75" s="201" t="s">
        <v>264</v>
      </c>
      <c r="E75" s="201" t="s">
        <v>479</v>
      </c>
      <c r="F75" s="201" t="s">
        <v>442</v>
      </c>
      <c r="G75" s="202" t="s">
        <v>556</v>
      </c>
      <c r="H75" s="203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704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696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718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693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692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712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685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713</v>
      </c>
      <c r="H218" s="196" t="s">
        <v>303</v>
      </c>
    </row>
    <row r="219" spans="1:8" ht="16.5">
      <c r="A219" s="190" t="s">
        <v>697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713</v>
      </c>
      <c r="H219" s="196" t="s">
        <v>379</v>
      </c>
    </row>
    <row r="220" spans="1:8" ht="16.5">
      <c r="A220" s="190" t="s">
        <v>714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713</v>
      </c>
      <c r="H220" s="196" t="s">
        <v>303</v>
      </c>
    </row>
    <row r="221" spans="1:8" ht="16.5">
      <c r="A221" s="190" t="s">
        <v>698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713</v>
      </c>
      <c r="H221" s="196" t="s">
        <v>300</v>
      </c>
    </row>
    <row r="222" spans="1:8" ht="16.5">
      <c r="A222" s="190" t="s">
        <v>700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713</v>
      </c>
      <c r="H222" s="196" t="s">
        <v>303</v>
      </c>
    </row>
    <row r="223" spans="1:8" ht="16.5">
      <c r="A223" s="209" t="s">
        <v>680</v>
      </c>
      <c r="B223" s="210">
        <v>1</v>
      </c>
      <c r="C223" s="210"/>
      <c r="D223" s="212" t="s">
        <v>264</v>
      </c>
      <c r="E223" s="212" t="s">
        <v>479</v>
      </c>
      <c r="F223" s="212" t="s">
        <v>442</v>
      </c>
      <c r="G223" s="213" t="s">
        <v>713</v>
      </c>
      <c r="H223" s="211" t="s">
        <v>730</v>
      </c>
    </row>
    <row r="224" spans="1:8" ht="16.5">
      <c r="A224" s="15" t="s">
        <v>735</v>
      </c>
      <c r="B224" s="34">
        <v>2</v>
      </c>
      <c r="C224" s="34"/>
      <c r="D224" s="13" t="s">
        <v>264</v>
      </c>
      <c r="E224" s="13" t="s">
        <v>479</v>
      </c>
      <c r="F224" s="13" t="s">
        <v>442</v>
      </c>
      <c r="G224" s="50" t="s">
        <v>736</v>
      </c>
      <c r="H224" s="180" t="s">
        <v>379</v>
      </c>
    </row>
    <row r="225" spans="1:8" ht="16.5">
      <c r="A225" s="15" t="s">
        <v>738</v>
      </c>
      <c r="B225" s="34">
        <v>1</v>
      </c>
      <c r="C225" s="34"/>
      <c r="D225" s="13" t="s">
        <v>264</v>
      </c>
      <c r="E225" s="13" t="s">
        <v>479</v>
      </c>
      <c r="F225" s="13" t="s">
        <v>442</v>
      </c>
      <c r="G225" s="50" t="s">
        <v>736</v>
      </c>
      <c r="H225" s="180" t="s">
        <v>303</v>
      </c>
    </row>
    <row r="226" spans="1:8" ht="16.5">
      <c r="A226" s="15" t="s">
        <v>739</v>
      </c>
      <c r="B226" s="34">
        <v>1</v>
      </c>
      <c r="C226" s="34"/>
      <c r="D226" s="13" t="s">
        <v>264</v>
      </c>
      <c r="E226" s="13" t="s">
        <v>479</v>
      </c>
      <c r="F226" s="13" t="s">
        <v>442</v>
      </c>
      <c r="G226" s="50" t="s">
        <v>736</v>
      </c>
      <c r="H226" s="180" t="s">
        <v>285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6" t="s">
        <v>1</v>
      </c>
      <c r="B1" s="247"/>
      <c r="C1" s="247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714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711</v>
      </c>
      <c r="B50" s="113">
        <v>1</v>
      </c>
      <c r="C50" s="119" t="s">
        <v>13</v>
      </c>
    </row>
    <row r="51" spans="1:3">
      <c r="A51" s="40" t="s">
        <v>691</v>
      </c>
      <c r="B51" s="36">
        <v>1</v>
      </c>
      <c r="C51" s="119" t="s">
        <v>13</v>
      </c>
    </row>
    <row r="52" spans="1:3">
      <c r="A52" s="40" t="s">
        <v>704</v>
      </c>
      <c r="B52" s="36">
        <v>2</v>
      </c>
      <c r="C52" s="119" t="s">
        <v>13</v>
      </c>
    </row>
    <row r="53" spans="1:3">
      <c r="A53" s="40" t="s">
        <v>692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696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  <c r="C78" s="200"/>
    </row>
    <row r="79" spans="1:3">
      <c r="A79" s="195"/>
      <c r="B79" s="199"/>
      <c r="C79" s="200"/>
    </row>
    <row r="80" spans="1:3">
      <c r="A80" s="195"/>
      <c r="B80" s="199"/>
      <c r="C80" s="200"/>
    </row>
    <row r="81" spans="1:3">
      <c r="A81" s="195"/>
      <c r="B81" s="199"/>
      <c r="C81" s="200"/>
    </row>
    <row r="82" spans="1:3">
      <c r="A82" s="195"/>
      <c r="B82" s="199"/>
      <c r="C82" s="20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8" t="s">
        <v>440</v>
      </c>
      <c r="B1" s="249"/>
      <c r="C1" s="249"/>
      <c r="D1" s="250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703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4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8" t="s">
        <v>2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706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27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59">
        <f>IF('Vars and Stats'!$B$13="Y",10*(Completed[[#This Row],[Raw]]-'Vars and Stats'!$B$9)/'Vars and Stats'!$B$10, 10*Completed[[#This Row],[Raw]]/'Vars and Stats'!$B$8)</f>
        <v>9.0196737851017303</v>
      </c>
      <c r="I9" s="54">
        <v>41742</v>
      </c>
      <c r="J9" s="54">
        <v>41746</v>
      </c>
      <c r="K9" s="56" t="s">
        <v>418</v>
      </c>
      <c r="L9" s="29" t="s">
        <v>419</v>
      </c>
    </row>
    <row r="10" spans="1:12" ht="16.5">
      <c r="A10" s="21" t="s">
        <v>564</v>
      </c>
      <c r="B10" s="28">
        <v>2</v>
      </c>
      <c r="C10" s="53">
        <v>9.5</v>
      </c>
      <c r="D10" s="53">
        <v>10</v>
      </c>
      <c r="E10" s="53">
        <v>6</v>
      </c>
      <c r="F10" s="53">
        <v>9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0" s="59">
        <f>IF('Vars and Stats'!$B$13="Y",10*(Completed[[#This Row],[Raw]]-'Vars and Stats'!$B$9)/'Vars and Stats'!$B$10, 10*Completed[[#This Row],[Raw]]/'Vars and Stats'!$B$8)</f>
        <v>8.9860433832184299</v>
      </c>
      <c r="I10" s="54">
        <v>41293</v>
      </c>
      <c r="J10" s="54">
        <v>41294</v>
      </c>
      <c r="K10" s="56" t="s">
        <v>162</v>
      </c>
      <c r="L10" s="29" t="s">
        <v>21</v>
      </c>
    </row>
    <row r="11" spans="1:12" ht="16.5">
      <c r="A11" s="21" t="s">
        <v>126</v>
      </c>
      <c r="B11" s="28">
        <v>1</v>
      </c>
      <c r="C11" s="53">
        <v>10</v>
      </c>
      <c r="D11" s="53">
        <v>9</v>
      </c>
      <c r="E11" s="53">
        <v>4</v>
      </c>
      <c r="F11" s="53">
        <v>9.5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1" s="59">
        <f>IF('Vars and Stats'!$B$13="Y",10*(Completed[[#This Row],[Raw]]-'Vars and Stats'!$B$9)/'Vars and Stats'!$B$10, 10*Completed[[#This Row],[Raw]]/'Vars and Stats'!$B$8)</f>
        <v>8.9557760215234552</v>
      </c>
      <c r="I11" s="54">
        <v>41750</v>
      </c>
      <c r="J11" s="54">
        <v>41756</v>
      </c>
      <c r="K11" s="56" t="s">
        <v>427</v>
      </c>
      <c r="L11" s="29"/>
    </row>
    <row r="12" spans="1:12" ht="16.5">
      <c r="A12" s="21" t="s">
        <v>426</v>
      </c>
      <c r="B12" s="28">
        <v>1</v>
      </c>
      <c r="C12" s="53">
        <v>9</v>
      </c>
      <c r="D12" s="53">
        <v>9</v>
      </c>
      <c r="E12" s="53">
        <v>7.5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2" s="70">
        <f>IF('Vars and Stats'!$B$13="Y",10*(Completed[[#This Row],[Raw]]-'Vars and Stats'!$B$9)/'Vars and Stats'!$B$10, 10*Completed[[#This Row],[Raw]]/'Vars and Stats'!$B$8)</f>
        <v>8.933916260299311</v>
      </c>
      <c r="I12" s="49">
        <v>41814</v>
      </c>
      <c r="J12" s="54">
        <v>41815</v>
      </c>
      <c r="K12" s="56" t="s">
        <v>570</v>
      </c>
      <c r="L12" s="29" t="s">
        <v>571</v>
      </c>
    </row>
    <row r="13" spans="1:12" ht="16.5">
      <c r="A13" s="21" t="s">
        <v>26</v>
      </c>
      <c r="B13" s="28">
        <v>1</v>
      </c>
      <c r="C13" s="53">
        <v>9</v>
      </c>
      <c r="D13" s="53">
        <v>9.5</v>
      </c>
      <c r="E13" s="53">
        <v>4.5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3" s="59">
        <f>IF('Vars and Stats'!$B$13="Y",10*(Completed[[#This Row],[Raw]]-'Vars and Stats'!$B$9)/'Vars and Stats'!$B$10, 10*Completed[[#This Row],[Raw]]/'Vars and Stats'!$B$8)</f>
        <v>8.9221456196401565</v>
      </c>
      <c r="I13" s="54">
        <v>41357</v>
      </c>
      <c r="J13" s="54">
        <v>41357</v>
      </c>
      <c r="K13" s="56" t="s">
        <v>187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59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392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59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366</v>
      </c>
      <c r="L15" s="29" t="s">
        <v>367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59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416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0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579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59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184" t="s">
        <v>613</v>
      </c>
      <c r="B19" s="185">
        <v>1</v>
      </c>
      <c r="C19" s="186">
        <v>10</v>
      </c>
      <c r="D19" s="186">
        <v>9</v>
      </c>
      <c r="E19" s="186">
        <v>4.5</v>
      </c>
      <c r="F19" s="186">
        <v>9</v>
      </c>
      <c r="G19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19" s="193">
        <f>IF('Vars and Stats'!$B$13="Y",10*(Completed[[#This Row],[Raw]]-'Vars and Stats'!$B$9)/'Vars and Stats'!$B$10, 10*Completed[[#This Row],[Raw]]/'Vars and Stats'!$B$8)</f>
        <v>8.6531024045737333</v>
      </c>
      <c r="I19" s="187">
        <v>41831</v>
      </c>
      <c r="J19" s="187">
        <v>42017</v>
      </c>
      <c r="K19" s="188" t="s">
        <v>707</v>
      </c>
      <c r="L19" s="189" t="s">
        <v>708</v>
      </c>
    </row>
    <row r="20" spans="1:12" ht="16.5">
      <c r="A20" s="21" t="s">
        <v>700</v>
      </c>
      <c r="B20" s="28">
        <v>1</v>
      </c>
      <c r="C20" s="53">
        <v>9.5</v>
      </c>
      <c r="D20" s="53">
        <v>9</v>
      </c>
      <c r="E20" s="53">
        <v>6</v>
      </c>
      <c r="F20" s="53">
        <v>9</v>
      </c>
      <c r="G20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0" s="70">
        <f>IF('Vars and Stats'!$B$13="Y",10*(Completed[[#This Row],[Raw]]-'Vars and Stats'!$B$9)/'Vars and Stats'!$B$10, 10*Completed[[#This Row],[Raw]]/'Vars and Stats'!$B$8)</f>
        <v>8.6261980830670932</v>
      </c>
      <c r="I20" s="54">
        <v>42026</v>
      </c>
      <c r="J20" s="54">
        <v>42029</v>
      </c>
      <c r="K20" s="56" t="s">
        <v>734</v>
      </c>
      <c r="L20" s="29"/>
    </row>
    <row r="21" spans="1:12" ht="16.5">
      <c r="A21" s="165" t="s">
        <v>697</v>
      </c>
      <c r="B21" s="166">
        <v>1</v>
      </c>
      <c r="C21" s="167">
        <v>8</v>
      </c>
      <c r="D21" s="167">
        <v>9</v>
      </c>
      <c r="E21" s="167">
        <v>6.5</v>
      </c>
      <c r="F21" s="167">
        <v>9.5</v>
      </c>
      <c r="G21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1" s="81">
        <f>IF('Vars and Stats'!$B$13="Y",10*(Completed[[#This Row],[Raw]]-'Vars and Stats'!$B$9)/'Vars and Stats'!$B$10, 10*Completed[[#This Row],[Raw]]/'Vars and Stats'!$B$8)</f>
        <v>8.624516562972925</v>
      </c>
      <c r="I21" s="168">
        <v>42023</v>
      </c>
      <c r="J21" s="168">
        <v>42026</v>
      </c>
      <c r="K21" s="169" t="s">
        <v>732</v>
      </c>
      <c r="L21" s="170" t="s">
        <v>733</v>
      </c>
    </row>
    <row r="22" spans="1:12" ht="16.5">
      <c r="A22" s="21" t="s">
        <v>278</v>
      </c>
      <c r="B22" s="28">
        <v>1</v>
      </c>
      <c r="C22" s="53">
        <v>9</v>
      </c>
      <c r="D22" s="53">
        <v>8.5</v>
      </c>
      <c r="E22" s="53">
        <v>5</v>
      </c>
      <c r="F22" s="53">
        <v>9.5</v>
      </c>
      <c r="G22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2" s="59">
        <f>IF('Vars and Stats'!$B$13="Y",10*(Completed[[#This Row],[Raw]]-'Vars and Stats'!$B$9)/'Vars and Stats'!$B$10, 10*Completed[[#This Row],[Raw]]/'Vars and Stats'!$B$8)</f>
        <v>8.5942492012779557</v>
      </c>
      <c r="I22" s="54">
        <v>41555</v>
      </c>
      <c r="J22" s="54">
        <v>41726</v>
      </c>
      <c r="K22" s="56" t="s">
        <v>388</v>
      </c>
      <c r="L22" s="29" t="s">
        <v>389</v>
      </c>
    </row>
    <row r="23" spans="1:12" ht="16.5">
      <c r="A23" s="21" t="s">
        <v>415</v>
      </c>
      <c r="B23" s="28">
        <v>1</v>
      </c>
      <c r="C23" s="53">
        <v>9.5</v>
      </c>
      <c r="D23" s="53">
        <v>8.5</v>
      </c>
      <c r="E23" s="53">
        <v>3</v>
      </c>
      <c r="F23" s="53">
        <v>9.5</v>
      </c>
      <c r="G23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3" s="70">
        <f>IF('Vars and Stats'!$B$13="Y",10*(Completed[[#This Row],[Raw]]-'Vars and Stats'!$B$9)/'Vars and Stats'!$B$10, 10*Completed[[#This Row],[Raw]]/'Vars and Stats'!$B$8)</f>
        <v>8.5892046409954599</v>
      </c>
      <c r="I23" s="111">
        <v>41750</v>
      </c>
      <c r="J23" s="54">
        <v>41817</v>
      </c>
      <c r="K23" s="55" t="s">
        <v>123</v>
      </c>
      <c r="L23" s="29" t="s">
        <v>580</v>
      </c>
    </row>
    <row r="24" spans="1:12" ht="16.5">
      <c r="A24" s="21" t="s">
        <v>116</v>
      </c>
      <c r="B24" s="28">
        <v>1</v>
      </c>
      <c r="C24" s="53">
        <v>9.5</v>
      </c>
      <c r="D24" s="53">
        <v>8.5</v>
      </c>
      <c r="E24" s="53">
        <v>3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4" s="59">
        <f>IF('Vars and Stats'!$B$13="Y",10*(Completed[[#This Row],[Raw]]-'Vars and Stats'!$B$9)/'Vars and Stats'!$B$10, 10*Completed[[#This Row],[Raw]]/'Vars and Stats'!$B$8)</f>
        <v>8.5892046409954599</v>
      </c>
      <c r="I24" s="54">
        <v>41477</v>
      </c>
      <c r="J24" s="54">
        <v>41479</v>
      </c>
      <c r="K24" s="56" t="s">
        <v>190</v>
      </c>
      <c r="L24" s="29"/>
    </row>
    <row r="25" spans="1:12" ht="16.5">
      <c r="A25" s="165" t="s">
        <v>414</v>
      </c>
      <c r="B25" s="166">
        <v>1</v>
      </c>
      <c r="C25" s="167">
        <v>9.5</v>
      </c>
      <c r="D25" s="167">
        <v>8.5</v>
      </c>
      <c r="E25" s="167">
        <v>7.5</v>
      </c>
      <c r="F25" s="167">
        <v>9</v>
      </c>
      <c r="G25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5" s="81">
        <f>IF('Vars and Stats'!$B$13="Y",10*(Completed[[#This Row],[Raw]]-'Vars and Stats'!$B$9)/'Vars and Stats'!$B$10, 10*Completed[[#This Row],[Raw]]/'Vars and Stats'!$B$8)</f>
        <v>8.5421220783588367</v>
      </c>
      <c r="I25" s="49">
        <v>41750</v>
      </c>
      <c r="J25" s="168">
        <v>41815</v>
      </c>
      <c r="K25" s="169" t="s">
        <v>578</v>
      </c>
      <c r="L25" s="170"/>
    </row>
    <row r="26" spans="1:12" ht="16.5">
      <c r="A26" s="21" t="s">
        <v>664</v>
      </c>
      <c r="B26" s="28">
        <v>1</v>
      </c>
      <c r="C26" s="53">
        <v>8.5</v>
      </c>
      <c r="D26" s="53">
        <v>9</v>
      </c>
      <c r="E26" s="53">
        <v>8.5</v>
      </c>
      <c r="F26" s="53">
        <v>9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6" s="70">
        <f>IF('Vars and Stats'!$B$13="Y",10*(Completed[[#This Row],[Raw]]-'Vars and Stats'!$B$9)/'Vars and Stats'!$B$10, 10*Completed[[#This Row],[Raw]]/'Vars and Stats'!$B$8)</f>
        <v>8.5404405582646721</v>
      </c>
      <c r="I26" s="54">
        <v>41862</v>
      </c>
      <c r="J26" s="54">
        <v>41907</v>
      </c>
      <c r="K26" s="56" t="s">
        <v>665</v>
      </c>
      <c r="L26" s="29"/>
    </row>
    <row r="27" spans="1:12" ht="16.5">
      <c r="A27" s="21" t="s">
        <v>153</v>
      </c>
      <c r="B27" s="28">
        <v>3</v>
      </c>
      <c r="C27" s="53">
        <v>8.5</v>
      </c>
      <c r="D27" s="53">
        <v>8.5</v>
      </c>
      <c r="E27" s="53">
        <v>6</v>
      </c>
      <c r="F27" s="53">
        <v>9.5</v>
      </c>
      <c r="G27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7" s="59">
        <f>IF('Vars and Stats'!$B$13="Y",10*(Completed[[#This Row],[Raw]]-'Vars and Stats'!$B$9)/'Vars and Stats'!$B$10, 10*Completed[[#This Row],[Raw]]/'Vars and Stats'!$B$8)</f>
        <v>8.5353959979821745</v>
      </c>
      <c r="I27" s="54">
        <v>41400</v>
      </c>
      <c r="J27" s="54">
        <v>41402</v>
      </c>
      <c r="K27" s="56" t="s">
        <v>157</v>
      </c>
      <c r="L27" s="29"/>
    </row>
    <row r="28" spans="1:12" ht="16.5">
      <c r="A28" s="21" t="s">
        <v>146</v>
      </c>
      <c r="B28" s="28">
        <v>1</v>
      </c>
      <c r="C28" s="53">
        <v>9</v>
      </c>
      <c r="D28" s="53">
        <v>9</v>
      </c>
      <c r="E28" s="53">
        <v>5.5</v>
      </c>
      <c r="F28" s="53">
        <v>9</v>
      </c>
      <c r="G28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8" s="59">
        <f>IF('Vars and Stats'!$B$13="Y",10*(Completed[[#This Row],[Raw]]-'Vars and Stats'!$B$9)/'Vars and Stats'!$B$10, 10*Completed[[#This Row],[Raw]]/'Vars and Stats'!$B$8)</f>
        <v>8.4714982344039012</v>
      </c>
      <c r="I28" s="54">
        <v>41280</v>
      </c>
      <c r="J28" s="54">
        <v>41281</v>
      </c>
      <c r="K28" s="56" t="s">
        <v>339</v>
      </c>
      <c r="L28" s="29"/>
    </row>
    <row r="29" spans="1:12" ht="16.5">
      <c r="A29" s="21" t="s">
        <v>181</v>
      </c>
      <c r="B29" s="28">
        <v>2</v>
      </c>
      <c r="C29" s="53">
        <v>9</v>
      </c>
      <c r="D29" s="53">
        <v>8.5</v>
      </c>
      <c r="E29" s="53">
        <v>3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9" s="59">
        <f>IF('Vars and Stats'!$B$13="Y",10*(Completed[[#This Row],[Raw]]-'Vars and Stats'!$B$9)/'Vars and Stats'!$B$10, 10*Completed[[#This Row],[Raw]]/'Vars and Stats'!$B$8)</f>
        <v>8.4664536741214036</v>
      </c>
      <c r="I29" s="54">
        <v>41479</v>
      </c>
      <c r="J29" s="54">
        <v>41481</v>
      </c>
      <c r="K29" s="56" t="s">
        <v>190</v>
      </c>
      <c r="L29" s="29" t="s">
        <v>182</v>
      </c>
    </row>
    <row r="30" spans="1:12" ht="16.5">
      <c r="A30" s="21" t="s">
        <v>48</v>
      </c>
      <c r="B30" s="28">
        <v>1</v>
      </c>
      <c r="C30" s="53">
        <v>8.5</v>
      </c>
      <c r="D30" s="53">
        <v>9.5</v>
      </c>
      <c r="E30" s="53">
        <v>4.5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0" s="59">
        <f>IF('Vars and Stats'!$B$13="Y",10*(Completed[[#This Row],[Raw]]-'Vars and Stats'!$B$9)/'Vars and Stats'!$B$10, 10*Completed[[#This Row],[Raw]]/'Vars and Stats'!$B$8)</f>
        <v>8.4647721540272425</v>
      </c>
      <c r="I30" s="54">
        <v>41304</v>
      </c>
      <c r="J30" s="54">
        <v>41312</v>
      </c>
      <c r="K30" s="56" t="s">
        <v>195</v>
      </c>
      <c r="L30" s="29" t="s">
        <v>49</v>
      </c>
    </row>
    <row r="31" spans="1:12" ht="16.5">
      <c r="A31" s="21" t="s">
        <v>249</v>
      </c>
      <c r="B31" s="28">
        <v>1</v>
      </c>
      <c r="C31" s="53">
        <v>9.5</v>
      </c>
      <c r="D31" s="53">
        <v>8.5</v>
      </c>
      <c r="E31" s="53">
        <v>6</v>
      </c>
      <c r="F31" s="53">
        <v>9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1" s="59">
        <f>IF('Vars and Stats'!$B$13="Y",10*(Completed[[#This Row],[Raw]]-'Vars and Stats'!$B$9)/'Vars and Stats'!$B$10, 10*Completed[[#This Row],[Raw]]/'Vars and Stats'!$B$8)</f>
        <v>8.446275432991424</v>
      </c>
      <c r="I31" s="54">
        <v>41562</v>
      </c>
      <c r="J31" s="54">
        <v>41574</v>
      </c>
      <c r="K31" s="56" t="s">
        <v>291</v>
      </c>
      <c r="L31" s="29" t="s">
        <v>292</v>
      </c>
    </row>
    <row r="32" spans="1:12" ht="16.5">
      <c r="A32" s="21" t="s">
        <v>250</v>
      </c>
      <c r="B32" s="28">
        <v>1</v>
      </c>
      <c r="C32" s="53">
        <v>9</v>
      </c>
      <c r="D32" s="53">
        <v>9</v>
      </c>
      <c r="E32" s="53">
        <v>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2" s="59">
        <f>IF('Vars and Stats'!$B$13="Y",10*(Completed[[#This Row],[Raw]]-'Vars and Stats'!$B$9)/'Vars and Stats'!$B$10, 10*Completed[[#This Row],[Raw]]/'Vars and Stats'!$B$8)</f>
        <v>8.4395493526147636</v>
      </c>
      <c r="I32" s="54">
        <v>41537</v>
      </c>
      <c r="J32" s="57">
        <v>41559</v>
      </c>
      <c r="K32" s="56" t="s">
        <v>286</v>
      </c>
      <c r="L32" s="29"/>
    </row>
    <row r="33" spans="1:12" ht="16.5">
      <c r="A33" s="21" t="s">
        <v>107</v>
      </c>
      <c r="B33" s="28">
        <v>1</v>
      </c>
      <c r="C33" s="53">
        <v>8</v>
      </c>
      <c r="D33" s="53">
        <v>9.5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3" s="59">
        <f>IF('Vars and Stats'!$B$13="Y",10*(Completed[[#This Row],[Raw]]-'Vars and Stats'!$B$9)/'Vars and Stats'!$B$10, 10*Completed[[#This Row],[Raw]]/'Vars and Stats'!$B$8)</f>
        <v>8.4378678325206025</v>
      </c>
      <c r="I33" s="54">
        <v>41286</v>
      </c>
      <c r="J33" s="54">
        <v>41292</v>
      </c>
      <c r="K33" s="56" t="s">
        <v>162</v>
      </c>
      <c r="L33" s="29"/>
    </row>
    <row r="34" spans="1:12" ht="16.5">
      <c r="A34" s="21" t="s">
        <v>478</v>
      </c>
      <c r="B34" s="28">
        <v>1</v>
      </c>
      <c r="C34" s="53">
        <v>10</v>
      </c>
      <c r="D34" s="53">
        <v>8</v>
      </c>
      <c r="E34" s="53">
        <v>1.5</v>
      </c>
      <c r="F34" s="53">
        <v>9.5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4" s="59">
        <f>IF('Vars and Stats'!$B$13="Y",10*(Completed[[#This Row],[Raw]]-'Vars and Stats'!$B$9)/'Vars and Stats'!$B$10, 10*Completed[[#This Row],[Raw]]/'Vars and Stats'!$B$8)</f>
        <v>8.4361863124264325</v>
      </c>
      <c r="I34" s="54">
        <v>41397</v>
      </c>
      <c r="J34" s="54">
        <v>41546</v>
      </c>
      <c r="K34" s="56" t="s">
        <v>274</v>
      </c>
      <c r="L34" s="29"/>
    </row>
    <row r="35" spans="1:12" ht="16.5">
      <c r="A35" s="21" t="s">
        <v>50</v>
      </c>
      <c r="B35" s="28">
        <v>1</v>
      </c>
      <c r="C35" s="53">
        <v>9</v>
      </c>
      <c r="D35" s="53">
        <v>9</v>
      </c>
      <c r="E35" s="53">
        <v>4.5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5" s="59">
        <f>IF('Vars and Stats'!$B$13="Y",10*(Completed[[#This Row],[Raw]]-'Vars and Stats'!$B$9)/'Vars and Stats'!$B$10, 10*Completed[[#This Row],[Raw]]/'Vars and Stats'!$B$8)</f>
        <v>8.4076004708256278</v>
      </c>
      <c r="I35" s="54">
        <v>41645</v>
      </c>
      <c r="J35" s="54">
        <v>41645</v>
      </c>
      <c r="K35" s="56" t="s">
        <v>375</v>
      </c>
      <c r="L35" s="29" t="s">
        <v>374</v>
      </c>
    </row>
    <row r="36" spans="1:12" ht="16.5">
      <c r="A36" s="21" t="s">
        <v>24</v>
      </c>
      <c r="B36" s="28">
        <v>1</v>
      </c>
      <c r="C36" s="53">
        <v>8</v>
      </c>
      <c r="D36" s="53">
        <v>9.5</v>
      </c>
      <c r="E36" s="53">
        <v>5</v>
      </c>
      <c r="F36" s="53">
        <v>9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6" s="59">
        <f>IF('Vars and Stats'!$B$13="Y",10*(Completed[[#This Row],[Raw]]-'Vars and Stats'!$B$9)/'Vars and Stats'!$B$10, 10*Completed[[#This Row],[Raw]]/'Vars and Stats'!$B$8)</f>
        <v>8.3739700689423238</v>
      </c>
      <c r="I36" s="54">
        <v>41370</v>
      </c>
      <c r="J36" s="54">
        <v>41454</v>
      </c>
      <c r="K36" s="56" t="s">
        <v>191</v>
      </c>
      <c r="L36" s="29" t="s">
        <v>438</v>
      </c>
    </row>
    <row r="37" spans="1:12" ht="16.5">
      <c r="A37" s="21" t="s">
        <v>110</v>
      </c>
      <c r="B37" s="28">
        <v>1</v>
      </c>
      <c r="C37" s="53">
        <v>9.5</v>
      </c>
      <c r="D37" s="53">
        <v>9</v>
      </c>
      <c r="E37" s="53">
        <v>6.5</v>
      </c>
      <c r="F37" s="53">
        <v>8.5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37" s="59">
        <f>IF('Vars and Stats'!$B$13="Y",10*(Completed[[#This Row],[Raw]]-'Vars and Stats'!$B$9)/'Vars and Stats'!$B$10, 10*Completed[[#This Row],[Raw]]/'Vars and Stats'!$B$8)</f>
        <v>8.3235244661173713</v>
      </c>
      <c r="I37" s="54">
        <v>41369</v>
      </c>
      <c r="J37" s="54">
        <v>41389</v>
      </c>
      <c r="K37" s="56" t="s">
        <v>157</v>
      </c>
      <c r="L37" s="29" t="s">
        <v>14</v>
      </c>
    </row>
    <row r="38" spans="1:12" ht="16.5">
      <c r="A38" s="184" t="s">
        <v>685</v>
      </c>
      <c r="B38" s="185">
        <v>1</v>
      </c>
      <c r="C38" s="186">
        <v>8</v>
      </c>
      <c r="D38" s="186">
        <v>8.5</v>
      </c>
      <c r="E38" s="186">
        <v>9.5</v>
      </c>
      <c r="F38" s="186">
        <v>9</v>
      </c>
      <c r="G38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38" s="193">
        <f>IF('Vars and Stats'!$B$13="Y",10*(Completed[[#This Row],[Raw]]-'Vars and Stats'!$B$9)/'Vars and Stats'!$B$10, 10*Completed[[#This Row],[Raw]]/'Vars and Stats'!$B$8)</f>
        <v>8.3016647048932253</v>
      </c>
      <c r="I38" s="187">
        <v>42024</v>
      </c>
      <c r="J38" s="187">
        <v>42024</v>
      </c>
      <c r="K38" s="188" t="s">
        <v>727</v>
      </c>
      <c r="L38" s="189"/>
    </row>
    <row r="39" spans="1:12" ht="16.5">
      <c r="A39" s="21" t="s">
        <v>176</v>
      </c>
      <c r="B39" s="28">
        <v>1</v>
      </c>
      <c r="C39" s="53">
        <v>9.5</v>
      </c>
      <c r="D39" s="53">
        <v>8</v>
      </c>
      <c r="E39" s="53">
        <v>6</v>
      </c>
      <c r="F39" s="53">
        <v>9</v>
      </c>
      <c r="G39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9" s="59">
        <f>IF('Vars and Stats'!$B$13="Y",10*(Completed[[#This Row],[Raw]]-'Vars and Stats'!$B$9)/'Vars and Stats'!$B$10, 10*Completed[[#This Row],[Raw]]/'Vars and Stats'!$B$8)</f>
        <v>8.2663527829157566</v>
      </c>
      <c r="I39" s="54">
        <v>41530</v>
      </c>
      <c r="J39" s="54">
        <v>41532</v>
      </c>
      <c r="K39" s="56" t="s">
        <v>247</v>
      </c>
      <c r="L39" s="40" t="s">
        <v>248</v>
      </c>
    </row>
    <row r="40" spans="1:12" ht="16.5">
      <c r="A40" s="21" t="s">
        <v>32</v>
      </c>
      <c r="B40" s="28">
        <v>2</v>
      </c>
      <c r="C40" s="53">
        <v>8.5</v>
      </c>
      <c r="D40" s="53">
        <v>9</v>
      </c>
      <c r="E40" s="53">
        <v>4</v>
      </c>
      <c r="F40" s="53">
        <v>9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0" s="59">
        <f>IF('Vars and Stats'!$B$13="Y",10*(Completed[[#This Row],[Raw]]-'Vars and Stats'!$B$9)/'Vars and Stats'!$B$10, 10*Completed[[#This Row],[Raw]]/'Vars and Stats'!$B$8)</f>
        <v>8.2529006221624357</v>
      </c>
      <c r="I40" s="54">
        <v>41358</v>
      </c>
      <c r="J40" s="54">
        <v>41359</v>
      </c>
      <c r="K40" s="56" t="s">
        <v>188</v>
      </c>
      <c r="L40" s="29"/>
    </row>
    <row r="41" spans="1:12" ht="16.5">
      <c r="A41" s="21" t="s">
        <v>40</v>
      </c>
      <c r="B41" s="28">
        <v>1</v>
      </c>
      <c r="C41" s="53">
        <v>8.5</v>
      </c>
      <c r="D41" s="53">
        <v>9</v>
      </c>
      <c r="E41" s="53">
        <v>4</v>
      </c>
      <c r="F41" s="53">
        <v>9</v>
      </c>
      <c r="G41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1" s="59">
        <f>IF('Vars and Stats'!$B$13="Y",10*(Completed[[#This Row],[Raw]]-'Vars and Stats'!$B$9)/'Vars and Stats'!$B$10, 10*Completed[[#This Row],[Raw]]/'Vars and Stats'!$B$8)</f>
        <v>8.2529006221624357</v>
      </c>
      <c r="I41" s="54">
        <v>41328</v>
      </c>
      <c r="J41" s="54">
        <v>41329</v>
      </c>
      <c r="K41" s="56" t="s">
        <v>189</v>
      </c>
      <c r="L41" s="29"/>
    </row>
    <row r="42" spans="1:12" ht="16.5">
      <c r="A42" s="21" t="s">
        <v>173</v>
      </c>
      <c r="B42" s="28">
        <v>1</v>
      </c>
      <c r="C42" s="53">
        <v>8</v>
      </c>
      <c r="D42" s="53">
        <v>9</v>
      </c>
      <c r="E42" s="53">
        <v>5.5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2" s="59">
        <f>IF('Vars and Stats'!$B$13="Y",10*(Completed[[#This Row],[Raw]]-'Vars and Stats'!$B$9)/'Vars and Stats'!$B$10, 10*Completed[[#This Row],[Raw]]/'Vars and Stats'!$B$8)</f>
        <v>8.2259963006557921</v>
      </c>
      <c r="I42" s="54">
        <v>41461</v>
      </c>
      <c r="J42" s="54">
        <v>41543</v>
      </c>
      <c r="K42" s="56" t="s">
        <v>270</v>
      </c>
      <c r="L42" s="29" t="s">
        <v>271</v>
      </c>
    </row>
    <row r="43" spans="1:12" ht="16.5">
      <c r="A43" s="21" t="s">
        <v>152</v>
      </c>
      <c r="B43" s="28">
        <v>2</v>
      </c>
      <c r="C43" s="53">
        <v>9</v>
      </c>
      <c r="D43" s="53">
        <v>9</v>
      </c>
      <c r="E43" s="53">
        <v>6.5</v>
      </c>
      <c r="F43" s="53">
        <v>8.5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3" s="59">
        <f>IF('Vars and Stats'!$B$13="Y",10*(Completed[[#This Row],[Raw]]-'Vars and Stats'!$B$9)/'Vars and Stats'!$B$10, 10*Completed[[#This Row],[Raw]]/'Vars and Stats'!$B$8)</f>
        <v>8.2007734992433168</v>
      </c>
      <c r="I43" s="54">
        <v>41395</v>
      </c>
      <c r="J43" s="54">
        <v>41400</v>
      </c>
      <c r="K43" s="56" t="s">
        <v>157</v>
      </c>
      <c r="L43" s="40" t="s">
        <v>463</v>
      </c>
    </row>
    <row r="44" spans="1:12" ht="16.5">
      <c r="A44" s="165" t="s">
        <v>698</v>
      </c>
      <c r="B44" s="166">
        <v>1</v>
      </c>
      <c r="C44" s="167">
        <v>7</v>
      </c>
      <c r="D44" s="167">
        <v>9</v>
      </c>
      <c r="E44" s="167">
        <v>8.5</v>
      </c>
      <c r="F44" s="167">
        <v>9</v>
      </c>
      <c r="G44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4" s="81">
        <f>IF('Vars and Stats'!$B$13="Y",10*(Completed[[#This Row],[Raw]]-'Vars and Stats'!$B$9)/'Vars and Stats'!$B$10, 10*Completed[[#This Row],[Raw]]/'Vars and Stats'!$B$8)</f>
        <v>8.1721876576425103</v>
      </c>
      <c r="I44" s="168">
        <v>42023</v>
      </c>
      <c r="J44" s="168">
        <v>42025</v>
      </c>
      <c r="K44" s="169" t="s">
        <v>728</v>
      </c>
      <c r="L44" s="170" t="s">
        <v>729</v>
      </c>
    </row>
    <row r="45" spans="1:12" ht="16.5">
      <c r="A45" s="21" t="s">
        <v>370</v>
      </c>
      <c r="B45" s="28">
        <v>1</v>
      </c>
      <c r="C45" s="53">
        <v>4</v>
      </c>
      <c r="D45" s="53">
        <v>9</v>
      </c>
      <c r="E45" s="53">
        <v>9.5</v>
      </c>
      <c r="F45" s="53">
        <v>10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5" s="59">
        <f>IF('Vars and Stats'!$B$13="Y",10*(Completed[[#This Row],[Raw]]-'Vars and Stats'!$B$9)/'Vars and Stats'!$B$10, 10*Completed[[#This Row],[Raw]]/'Vars and Stats'!$B$8)</f>
        <v>8.1688246174541774</v>
      </c>
      <c r="I45" s="54">
        <v>41638</v>
      </c>
      <c r="J45" s="54">
        <v>41641</v>
      </c>
      <c r="K45" s="56" t="s">
        <v>371</v>
      </c>
      <c r="L45" s="29"/>
    </row>
    <row r="46" spans="1:12" ht="16.5">
      <c r="A46" s="21" t="s">
        <v>453</v>
      </c>
      <c r="B46" s="28">
        <v>1</v>
      </c>
      <c r="C46" s="53">
        <v>7.5</v>
      </c>
      <c r="D46" s="53">
        <v>9</v>
      </c>
      <c r="E46" s="53">
        <v>6</v>
      </c>
      <c r="F46" s="53">
        <v>9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6" s="59">
        <f>IF('Vars and Stats'!$B$13="Y",10*(Completed[[#This Row],[Raw]]-'Vars and Stats'!$B$9)/'Vars and Stats'!$B$10, 10*Completed[[#This Row],[Raw]]/'Vars and Stats'!$B$8)</f>
        <v>8.1351942155708752</v>
      </c>
      <c r="I46" s="54">
        <v>41436</v>
      </c>
      <c r="J46" s="54">
        <v>41438</v>
      </c>
      <c r="K46" s="56" t="s">
        <v>192</v>
      </c>
      <c r="L46" s="29"/>
    </row>
    <row r="47" spans="1:12" ht="16.5">
      <c r="A47" s="184" t="s">
        <v>614</v>
      </c>
      <c r="B47" s="185">
        <v>2</v>
      </c>
      <c r="C47" s="186">
        <v>9</v>
      </c>
      <c r="D47" s="186">
        <v>8.5</v>
      </c>
      <c r="E47" s="186">
        <v>8</v>
      </c>
      <c r="F47" s="186">
        <v>8.5</v>
      </c>
      <c r="G47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47" s="193">
        <f>IF('Vars and Stats'!$B$13="Y",10*(Completed[[#This Row],[Raw]]-'Vars and Stats'!$B$9)/'Vars and Stats'!$B$10, 10*Completed[[#This Row],[Raw]]/'Vars and Stats'!$B$8)</f>
        <v>8.1166974945350603</v>
      </c>
      <c r="I47" s="187">
        <v>41826</v>
      </c>
      <c r="J47" s="187">
        <v>41993</v>
      </c>
      <c r="K47" s="188" t="s">
        <v>709</v>
      </c>
      <c r="L47" s="189" t="s">
        <v>710</v>
      </c>
    </row>
    <row r="48" spans="1:12" ht="16.5">
      <c r="A48" s="21" t="s">
        <v>88</v>
      </c>
      <c r="B48" s="28">
        <v>1</v>
      </c>
      <c r="C48" s="53">
        <v>5</v>
      </c>
      <c r="D48" s="53">
        <v>9</v>
      </c>
      <c r="E48" s="53">
        <v>10</v>
      </c>
      <c r="F48" s="53">
        <v>9.5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8" s="59">
        <f>IF('Vars and Stats'!$B$13="Y",10*(Completed[[#This Row],[Raw]]-'Vars and Stats'!$B$9)/'Vars and Stats'!$B$10, 10*Completed[[#This Row],[Raw]]/'Vars and Stats'!$B$8)</f>
        <v>8.1116529342525627</v>
      </c>
      <c r="I48" s="54">
        <v>41316</v>
      </c>
      <c r="J48" s="54">
        <v>41316</v>
      </c>
      <c r="K48" s="56" t="s">
        <v>215</v>
      </c>
      <c r="L48" s="40" t="s">
        <v>89</v>
      </c>
    </row>
    <row r="49" spans="1:12" ht="16.5">
      <c r="A49" s="21" t="s">
        <v>454</v>
      </c>
      <c r="B49" s="28">
        <v>2</v>
      </c>
      <c r="C49" s="53">
        <v>8.5</v>
      </c>
      <c r="D49" s="53">
        <v>8.5</v>
      </c>
      <c r="E49" s="53">
        <v>4.5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9" s="59">
        <f>IF('Vars and Stats'!$B$13="Y",10*(Completed[[#This Row],[Raw]]-'Vars and Stats'!$B$9)/'Vars and Stats'!$B$10, 10*Completed[[#This Row],[Raw]]/'Vars and Stats'!$B$8)</f>
        <v>8.1049268538759023</v>
      </c>
      <c r="I49" s="54">
        <v>41473</v>
      </c>
      <c r="J49" s="54">
        <v>41546</v>
      </c>
      <c r="K49" s="56" t="s">
        <v>192</v>
      </c>
      <c r="L49" s="29"/>
    </row>
    <row r="50" spans="1:12" ht="16.5">
      <c r="A50" s="21" t="s">
        <v>232</v>
      </c>
      <c r="B50" s="28">
        <v>1</v>
      </c>
      <c r="C50" s="53">
        <v>9.5</v>
      </c>
      <c r="D50" s="53">
        <v>7.5</v>
      </c>
      <c r="E50" s="53">
        <v>5</v>
      </c>
      <c r="F50" s="53">
        <v>9</v>
      </c>
      <c r="G50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0" s="59">
        <f>IF('Vars and Stats'!$B$13="Y",10*(Completed[[#This Row],[Raw]]-'Vars and Stats'!$B$9)/'Vars and Stats'!$B$10, 10*Completed[[#This Row],[Raw]]/'Vars and Stats'!$B$8)</f>
        <v>8.0225323692618122</v>
      </c>
      <c r="I50" s="54">
        <v>41485</v>
      </c>
      <c r="J50" s="54">
        <v>41491</v>
      </c>
      <c r="K50" s="56" t="s">
        <v>233</v>
      </c>
      <c r="L50" s="29" t="s">
        <v>246</v>
      </c>
    </row>
    <row r="51" spans="1:12" ht="16.5">
      <c r="A51" s="21" t="s">
        <v>132</v>
      </c>
      <c r="B51" s="28">
        <v>2</v>
      </c>
      <c r="C51" s="53">
        <v>9</v>
      </c>
      <c r="D51" s="53">
        <v>8</v>
      </c>
      <c r="E51" s="53">
        <v>4</v>
      </c>
      <c r="F51" s="53">
        <v>9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1" s="59">
        <f>IF('Vars and Stats'!$B$13="Y",10*(Completed[[#This Row],[Raw]]-'Vars and Stats'!$B$9)/'Vars and Stats'!$B$10, 10*Completed[[#This Row],[Raw]]/'Vars and Stats'!$B$8)</f>
        <v>8.0158062888851518</v>
      </c>
      <c r="I51" s="54">
        <v>41468</v>
      </c>
      <c r="J51" s="54">
        <v>41470</v>
      </c>
      <c r="K51" s="56" t="s">
        <v>192</v>
      </c>
      <c r="L51" s="29" t="s">
        <v>180</v>
      </c>
    </row>
    <row r="52" spans="1:12" ht="16.5">
      <c r="A52" s="21" t="s">
        <v>423</v>
      </c>
      <c r="B52" s="28">
        <v>1</v>
      </c>
      <c r="C52" s="53">
        <v>8.5</v>
      </c>
      <c r="D52" s="53">
        <v>9</v>
      </c>
      <c r="E52" s="53">
        <v>5.5</v>
      </c>
      <c r="F52" s="53">
        <v>8.5</v>
      </c>
      <c r="G52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2" s="70">
        <f>IF('Vars and Stats'!$B$13="Y",10*(Completed[[#This Row],[Raw]]-'Vars and Stats'!$B$9)/'Vars and Stats'!$B$10, 10*Completed[[#This Row],[Raw]]/'Vars and Stats'!$B$8)</f>
        <v>8.0141247687909889</v>
      </c>
      <c r="I52" s="54">
        <v>41785</v>
      </c>
      <c r="J52" s="54">
        <v>41818</v>
      </c>
      <c r="K52" s="56" t="s">
        <v>583</v>
      </c>
      <c r="L52" s="29" t="s">
        <v>582</v>
      </c>
    </row>
    <row r="53" spans="1:12" ht="16.5">
      <c r="A53" s="21" t="s">
        <v>22</v>
      </c>
      <c r="B53" s="28">
        <v>1</v>
      </c>
      <c r="C53" s="53">
        <v>8</v>
      </c>
      <c r="D53" s="53">
        <v>8.5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3" s="59">
        <f>IF('Vars and Stats'!$B$13="Y",10*(Completed[[#This Row],[Raw]]-'Vars and Stats'!$B$9)/'Vars and Stats'!$B$10, 10*Completed[[#This Row],[Raw]]/'Vars and Stats'!$B$8)</f>
        <v>8.0141247687909889</v>
      </c>
      <c r="I53" s="54">
        <v>41371</v>
      </c>
      <c r="J53" s="54">
        <v>41452</v>
      </c>
      <c r="K53" s="56" t="s">
        <v>197</v>
      </c>
      <c r="L53" s="29"/>
    </row>
    <row r="54" spans="1:12" ht="16.5">
      <c r="A54" s="21" t="s">
        <v>409</v>
      </c>
      <c r="B54" s="28">
        <v>1</v>
      </c>
      <c r="C54" s="53">
        <v>4.5</v>
      </c>
      <c r="D54" s="53">
        <v>9</v>
      </c>
      <c r="E54" s="53">
        <v>10</v>
      </c>
      <c r="F54" s="53">
        <v>9.5</v>
      </c>
      <c r="G54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4" s="70">
        <f>IF('Vars and Stats'!$B$13="Y",10*(Completed[[#This Row],[Raw]]-'Vars and Stats'!$B$9)/'Vars and Stats'!$B$10, 10*Completed[[#This Row],[Raw]]/'Vars and Stats'!$B$8)</f>
        <v>7.9889019673785109</v>
      </c>
      <c r="I54" s="54">
        <v>41762</v>
      </c>
      <c r="J54" s="54">
        <v>41820</v>
      </c>
      <c r="K54" s="56" t="s">
        <v>585</v>
      </c>
      <c r="L54" s="29"/>
    </row>
    <row r="55" spans="1:12" ht="16.5">
      <c r="A55" s="21" t="s">
        <v>425</v>
      </c>
      <c r="B55" s="28">
        <v>1</v>
      </c>
      <c r="C55" s="53">
        <v>9</v>
      </c>
      <c r="D55" s="53">
        <v>8.5</v>
      </c>
      <c r="E55" s="53">
        <v>5.5</v>
      </c>
      <c r="F55" s="53">
        <v>8.5</v>
      </c>
      <c r="G55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5" s="70">
        <f>IF('Vars and Stats'!$B$13="Y",10*(Completed[[#This Row],[Raw]]-'Vars and Stats'!$B$9)/'Vars and Stats'!$B$10, 10*Completed[[#This Row],[Raw]]/'Vars and Stats'!$B$8)</f>
        <v>7.9569530855893724</v>
      </c>
      <c r="I55" s="57">
        <v>41786</v>
      </c>
      <c r="J55" s="54">
        <v>41812</v>
      </c>
      <c r="K55" s="56" t="s">
        <v>572</v>
      </c>
      <c r="L55" s="29"/>
    </row>
    <row r="56" spans="1:12" ht="16.5">
      <c r="A56" s="21" t="s">
        <v>150</v>
      </c>
      <c r="B56" s="28">
        <v>1</v>
      </c>
      <c r="C56" s="53">
        <v>8.5</v>
      </c>
      <c r="D56" s="53">
        <v>8</v>
      </c>
      <c r="E56" s="53">
        <v>5</v>
      </c>
      <c r="F56" s="53">
        <v>9</v>
      </c>
      <c r="G56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6" s="59">
        <f>IF('Vars and Stats'!$B$13="Y",10*(Completed[[#This Row],[Raw]]-'Vars and Stats'!$B$9)/'Vars and Stats'!$B$10, 10*Completed[[#This Row],[Raw]]/'Vars and Stats'!$B$8)</f>
        <v>7.9569530855893724</v>
      </c>
      <c r="I56" s="54">
        <v>41261</v>
      </c>
      <c r="J56" s="54">
        <v>41359</v>
      </c>
      <c r="K56" s="56" t="s">
        <v>160</v>
      </c>
      <c r="L56" s="29"/>
    </row>
    <row r="57" spans="1:12" ht="16.5">
      <c r="A57" s="21" t="s">
        <v>372</v>
      </c>
      <c r="B57" s="28">
        <v>1</v>
      </c>
      <c r="C57" s="53">
        <v>9</v>
      </c>
      <c r="D57" s="53">
        <v>8.5</v>
      </c>
      <c r="E57" s="53">
        <v>5</v>
      </c>
      <c r="F57" s="53">
        <v>8.5</v>
      </c>
      <c r="G57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7" s="59">
        <f>IF('Vars and Stats'!$B$13="Y",10*(Completed[[#This Row],[Raw]]-'Vars and Stats'!$B$9)/'Vars and Stats'!$B$10, 10*Completed[[#This Row],[Raw]]/'Vars and Stats'!$B$8)</f>
        <v>7.9250042038002348</v>
      </c>
      <c r="I57" s="54">
        <v>41647</v>
      </c>
      <c r="J57" s="54">
        <v>41726</v>
      </c>
      <c r="K57" s="56" t="s">
        <v>391</v>
      </c>
      <c r="L57" s="29"/>
    </row>
    <row r="58" spans="1:12" ht="16.5">
      <c r="A58" s="165" t="s">
        <v>408</v>
      </c>
      <c r="B58" s="166">
        <v>1</v>
      </c>
      <c r="C58" s="167">
        <v>7.5</v>
      </c>
      <c r="D58" s="167">
        <v>9.5</v>
      </c>
      <c r="E58" s="167">
        <v>5</v>
      </c>
      <c r="F58" s="167">
        <v>8.5</v>
      </c>
      <c r="G58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58" s="81">
        <f>IF('Vars and Stats'!$B$13="Y",10*(Completed[[#This Row],[Raw]]-'Vars and Stats'!$B$9)/'Vars and Stats'!$B$10, 10*Completed[[#This Row],[Raw]]/'Vars and Stats'!$B$8)</f>
        <v>7.9165966033294071</v>
      </c>
      <c r="I58" s="168">
        <v>41751</v>
      </c>
      <c r="J58" s="168">
        <v>42020</v>
      </c>
      <c r="K58" s="169" t="s">
        <v>721</v>
      </c>
      <c r="L58" s="170" t="s">
        <v>722</v>
      </c>
    </row>
    <row r="59" spans="1:12" ht="16.5">
      <c r="A59" s="21" t="s">
        <v>149</v>
      </c>
      <c r="B59" s="28">
        <v>2</v>
      </c>
      <c r="C59" s="53">
        <v>6.5</v>
      </c>
      <c r="D59" s="53">
        <v>7.5</v>
      </c>
      <c r="E59" s="53">
        <v>9</v>
      </c>
      <c r="F59" s="53">
        <v>9.5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9" s="59">
        <f>IF('Vars and Stats'!$B$13="Y",10*(Completed[[#This Row],[Raw]]-'Vars and Stats'!$B$9)/'Vars and Stats'!$B$10, 10*Completed[[#This Row],[Raw]]/'Vars and Stats'!$B$8)</f>
        <v>7.8762401210694479</v>
      </c>
      <c r="I59" s="54">
        <v>41338</v>
      </c>
      <c r="J59" s="54">
        <v>41340</v>
      </c>
      <c r="K59" s="56" t="s">
        <v>165</v>
      </c>
      <c r="L59" s="29" t="s">
        <v>53</v>
      </c>
    </row>
    <row r="60" spans="1:12" ht="16.5">
      <c r="A60" s="21" t="s">
        <v>275</v>
      </c>
      <c r="B60" s="28">
        <v>1</v>
      </c>
      <c r="C60" s="53">
        <v>8.5</v>
      </c>
      <c r="D60" s="53">
        <v>8.5</v>
      </c>
      <c r="E60" s="53">
        <v>6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0" s="59">
        <f>IF('Vars and Stats'!$B$13="Y",10*(Completed[[#This Row],[Raw]]-'Vars and Stats'!$B$9)/'Vars and Stats'!$B$10, 10*Completed[[#This Row],[Raw]]/'Vars and Stats'!$B$8)</f>
        <v>7.8661510005044573</v>
      </c>
      <c r="I60" s="54">
        <v>41550</v>
      </c>
      <c r="J60" s="54">
        <v>41628</v>
      </c>
      <c r="K60" s="56" t="s">
        <v>341</v>
      </c>
      <c r="L60" s="29" t="s">
        <v>439</v>
      </c>
    </row>
    <row r="61" spans="1:12" ht="16.5">
      <c r="A61" s="21" t="s">
        <v>148</v>
      </c>
      <c r="B61" s="28">
        <v>1</v>
      </c>
      <c r="C61" s="53">
        <v>4</v>
      </c>
      <c r="D61" s="53">
        <v>9</v>
      </c>
      <c r="E61" s="53">
        <v>10</v>
      </c>
      <c r="F61" s="53">
        <v>9.5</v>
      </c>
      <c r="G61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1" s="59">
        <f>IF('Vars and Stats'!$B$13="Y",10*(Completed[[#This Row],[Raw]]-'Vars and Stats'!$B$9)/'Vars and Stats'!$B$10, 10*Completed[[#This Row],[Raw]]/'Vars and Stats'!$B$8)</f>
        <v>7.8661510005044573</v>
      </c>
      <c r="I61" s="54">
        <v>41300</v>
      </c>
      <c r="J61" s="54">
        <v>41302</v>
      </c>
      <c r="K61" s="56" t="s">
        <v>214</v>
      </c>
      <c r="L61" s="29" t="s">
        <v>91</v>
      </c>
    </row>
    <row r="62" spans="1:12" ht="16.5">
      <c r="A62" s="21" t="s">
        <v>45</v>
      </c>
      <c r="B62" s="28">
        <v>1</v>
      </c>
      <c r="C62" s="53">
        <v>9</v>
      </c>
      <c r="D62" s="53">
        <v>8.5</v>
      </c>
      <c r="E62" s="53">
        <v>3</v>
      </c>
      <c r="F62" s="53">
        <v>8.5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2" s="59">
        <f>IF('Vars and Stats'!$B$13="Y",10*(Completed[[#This Row],[Raw]]-'Vars and Stats'!$B$9)/'Vars and Stats'!$B$10, 10*Completed[[#This Row],[Raw]]/'Vars and Stats'!$B$8)</f>
        <v>7.7972086766436846</v>
      </c>
      <c r="I62" s="54">
        <v>41411</v>
      </c>
      <c r="J62" s="54">
        <v>41413</v>
      </c>
      <c r="K62" s="56" t="s">
        <v>194</v>
      </c>
      <c r="L62" s="29"/>
    </row>
    <row r="63" spans="1:12" ht="16.5">
      <c r="A63" s="21" t="s">
        <v>226</v>
      </c>
      <c r="B63" s="28">
        <v>2</v>
      </c>
      <c r="C63" s="53">
        <v>9</v>
      </c>
      <c r="D63" s="53">
        <v>8</v>
      </c>
      <c r="E63" s="53">
        <v>5.5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3" s="59">
        <f>IF('Vars and Stats'!$B$13="Y",10*(Completed[[#This Row],[Raw]]-'Vars and Stats'!$B$9)/'Vars and Stats'!$B$10, 10*Completed[[#This Row],[Raw]]/'Vars and Stats'!$B$8)</f>
        <v>7.7770304355137059</v>
      </c>
      <c r="I63" s="54">
        <v>41633</v>
      </c>
      <c r="J63" s="54">
        <v>41635</v>
      </c>
      <c r="K63" s="56" t="s">
        <v>360</v>
      </c>
      <c r="L63" s="29" t="s">
        <v>361</v>
      </c>
    </row>
    <row r="64" spans="1:12" ht="16.5">
      <c r="A64" s="21" t="s">
        <v>368</v>
      </c>
      <c r="B64" s="28">
        <v>2</v>
      </c>
      <c r="C64" s="53">
        <v>9</v>
      </c>
      <c r="D64" s="53">
        <v>8</v>
      </c>
      <c r="E64" s="53">
        <v>5.5</v>
      </c>
      <c r="F64" s="53">
        <v>8.5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4" s="59">
        <f>IF('Vars and Stats'!$B$13="Y",10*(Completed[[#This Row],[Raw]]-'Vars and Stats'!$B$9)/'Vars and Stats'!$B$10, 10*Completed[[#This Row],[Raw]]/'Vars and Stats'!$B$8)</f>
        <v>7.7770304355137059</v>
      </c>
      <c r="I64" s="54">
        <v>41461</v>
      </c>
      <c r="J64" s="54">
        <v>41638</v>
      </c>
      <c r="K64" s="56" t="s">
        <v>195</v>
      </c>
      <c r="L64" s="29" t="s">
        <v>369</v>
      </c>
    </row>
    <row r="65" spans="1:12" ht="16.5">
      <c r="A65" s="21" t="s">
        <v>485</v>
      </c>
      <c r="B65" s="28">
        <v>1</v>
      </c>
      <c r="C65" s="53">
        <v>8.5</v>
      </c>
      <c r="D65" s="53">
        <v>7.5</v>
      </c>
      <c r="E65" s="53">
        <v>5</v>
      </c>
      <c r="F65" s="53">
        <v>9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5" s="59">
        <f>IF('Vars and Stats'!$B$13="Y",10*(Completed[[#This Row],[Raw]]-'Vars and Stats'!$B$9)/'Vars and Stats'!$B$10, 10*Completed[[#This Row],[Raw]]/'Vars and Stats'!$B$8)</f>
        <v>7.7770304355137059</v>
      </c>
      <c r="I65" s="54">
        <v>41431</v>
      </c>
      <c r="J65" s="54">
        <v>41436</v>
      </c>
      <c r="K65" s="56" t="s">
        <v>192</v>
      </c>
      <c r="L65" s="29"/>
    </row>
    <row r="66" spans="1:12" ht="16.5">
      <c r="A66" s="21" t="s">
        <v>353</v>
      </c>
      <c r="B66" s="28">
        <v>1</v>
      </c>
      <c r="C66" s="53">
        <v>8.5</v>
      </c>
      <c r="D66" s="53">
        <v>9</v>
      </c>
      <c r="E66" s="53">
        <v>7</v>
      </c>
      <c r="F66" s="53">
        <v>8</v>
      </c>
      <c r="G66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6" s="70">
        <f>IF('Vars and Stats'!$B$13="Y",10*(Completed[[#This Row],[Raw]]-'Vars and Stats'!$B$9)/'Vars and Stats'!$B$10, 10*Completed[[#This Row],[Raw]]/'Vars and Stats'!$B$8)</f>
        <v>7.7753489154195394</v>
      </c>
      <c r="I66" s="54">
        <v>41652</v>
      </c>
      <c r="J66" s="54">
        <v>41824</v>
      </c>
      <c r="K66" s="56" t="s">
        <v>611</v>
      </c>
      <c r="L66" s="29"/>
    </row>
    <row r="67" spans="1:12" ht="16.5">
      <c r="A67" s="21" t="s">
        <v>131</v>
      </c>
      <c r="B67" s="28">
        <v>1</v>
      </c>
      <c r="C67" s="53">
        <v>7</v>
      </c>
      <c r="D67" s="53">
        <v>8.5</v>
      </c>
      <c r="E67" s="53">
        <v>10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67" s="59">
        <f>IF('Vars and Stats'!$B$13="Y",10*(Completed[[#This Row],[Raw]]-'Vars and Stats'!$B$9)/'Vars and Stats'!$B$10, 10*Completed[[#This Row],[Raw]]/'Vars and Stats'!$B$8)</f>
        <v>7.7534891541953899</v>
      </c>
      <c r="I67" s="54">
        <v>41378</v>
      </c>
      <c r="J67" s="54">
        <v>41454</v>
      </c>
      <c r="K67" s="56" t="s">
        <v>201</v>
      </c>
      <c r="L67" s="40"/>
    </row>
    <row r="68" spans="1:12" ht="16.5">
      <c r="A68" s="21" t="s">
        <v>154</v>
      </c>
      <c r="B68" s="28">
        <v>1</v>
      </c>
      <c r="C68" s="53">
        <v>9</v>
      </c>
      <c r="D68" s="53">
        <v>8</v>
      </c>
      <c r="E68" s="53">
        <v>5</v>
      </c>
      <c r="F68" s="53">
        <v>8.5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8" s="59">
        <f>IF('Vars and Stats'!$B$13="Y",10*(Completed[[#This Row],[Raw]]-'Vars and Stats'!$B$9)/'Vars and Stats'!$B$10, 10*Completed[[#This Row],[Raw]]/'Vars and Stats'!$B$8)</f>
        <v>7.7450815537245683</v>
      </c>
      <c r="I68" s="54">
        <v>41424</v>
      </c>
      <c r="J68" s="54">
        <v>41430</v>
      </c>
      <c r="K68" s="56" t="s">
        <v>193</v>
      </c>
      <c r="L68" s="29" t="s">
        <v>112</v>
      </c>
    </row>
    <row r="69" spans="1:12" ht="16.5">
      <c r="A69" s="21" t="s">
        <v>273</v>
      </c>
      <c r="B69" s="28">
        <v>2</v>
      </c>
      <c r="C69" s="53">
        <v>8.5</v>
      </c>
      <c r="D69" s="53">
        <v>8</v>
      </c>
      <c r="E69" s="53">
        <v>5.5</v>
      </c>
      <c r="F69" s="53">
        <v>8.5</v>
      </c>
      <c r="G69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9" s="59">
        <f>IF('Vars and Stats'!$B$13="Y",10*(Completed[[#This Row],[Raw]]-'Vars and Stats'!$B$9)/'Vars and Stats'!$B$10, 10*Completed[[#This Row],[Raw]]/'Vars and Stats'!$B$8)</f>
        <v>7.6542794686396505</v>
      </c>
      <c r="I69" s="54">
        <v>41370</v>
      </c>
      <c r="J69" s="54">
        <v>41512</v>
      </c>
      <c r="K69" s="56" t="s">
        <v>225</v>
      </c>
      <c r="L69" s="29"/>
    </row>
    <row r="70" spans="1:12" ht="16.5">
      <c r="A70" s="184" t="s">
        <v>615</v>
      </c>
      <c r="B70" s="185">
        <v>2</v>
      </c>
      <c r="C70" s="186">
        <v>7</v>
      </c>
      <c r="D70" s="186">
        <v>8</v>
      </c>
      <c r="E70" s="186">
        <v>6</v>
      </c>
      <c r="F70" s="186">
        <v>9</v>
      </c>
      <c r="G70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0" s="193">
        <f>IF('Vars and Stats'!$B$13="Y",10*(Completed[[#This Row],[Raw]]-'Vars and Stats'!$B$9)/'Vars and Stats'!$B$10, 10*Completed[[#This Row],[Raw]]/'Vars and Stats'!$B$8)</f>
        <v>7.652597948545484</v>
      </c>
      <c r="I70" s="187">
        <v>41837</v>
      </c>
      <c r="J70" s="187">
        <v>42021</v>
      </c>
      <c r="K70" s="188" t="s">
        <v>723</v>
      </c>
      <c r="L70" s="189"/>
    </row>
    <row r="71" spans="1:12" ht="16.5">
      <c r="A71" s="184" t="s">
        <v>612</v>
      </c>
      <c r="B71" s="185">
        <v>2</v>
      </c>
      <c r="C71" s="186">
        <v>8.5</v>
      </c>
      <c r="D71" s="186">
        <v>8</v>
      </c>
      <c r="E71" s="186">
        <v>5</v>
      </c>
      <c r="F71" s="186">
        <v>8.5</v>
      </c>
      <c r="G71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1" s="193">
        <f>IF('Vars and Stats'!$B$13="Y",10*(Completed[[#This Row],[Raw]]-'Vars and Stats'!$B$9)/'Vars and Stats'!$B$10, 10*Completed[[#This Row],[Raw]]/'Vars and Stats'!$B$8)</f>
        <v>7.6223305868505102</v>
      </c>
      <c r="I71" s="187">
        <v>41827</v>
      </c>
      <c r="J71" s="187">
        <v>42022</v>
      </c>
      <c r="K71" s="188" t="s">
        <v>724</v>
      </c>
      <c r="L71" s="189"/>
    </row>
    <row r="72" spans="1:12" ht="16.5">
      <c r="A72" s="21" t="s">
        <v>59</v>
      </c>
      <c r="B72" s="28">
        <v>1</v>
      </c>
      <c r="C72" s="53">
        <v>9</v>
      </c>
      <c r="D72" s="53">
        <v>7.5</v>
      </c>
      <c r="E72" s="53">
        <v>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2" s="59">
        <f>IF('Vars and Stats'!$B$13="Y",10*(Completed[[#This Row],[Raw]]-'Vars and Stats'!$B$9)/'Vars and Stats'!$B$10, 10*Completed[[#This Row],[Raw]]/'Vars and Stats'!$B$8)</f>
        <v>7.5651589036488991</v>
      </c>
      <c r="I72" s="54">
        <v>41255</v>
      </c>
      <c r="J72" s="54">
        <v>41256</v>
      </c>
      <c r="K72" s="56" t="s">
        <v>196</v>
      </c>
      <c r="L72" s="29"/>
    </row>
    <row r="73" spans="1:12" ht="16.5">
      <c r="A73" s="21" t="s">
        <v>288</v>
      </c>
      <c r="B73" s="28">
        <v>1</v>
      </c>
      <c r="C73" s="53">
        <v>8.5</v>
      </c>
      <c r="D73" s="53">
        <v>8.5</v>
      </c>
      <c r="E73" s="53">
        <v>6.5</v>
      </c>
      <c r="F73" s="53">
        <v>8</v>
      </c>
      <c r="G73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3" s="59">
        <f>IF('Vars and Stats'!$B$13="Y",10*(Completed[[#This Row],[Raw]]-'Vars and Stats'!$B$9)/'Vars and Stats'!$B$10, 10*Completed[[#This Row],[Raw]]/'Vars and Stats'!$B$8)</f>
        <v>7.5634773835547335</v>
      </c>
      <c r="I73" s="54">
        <v>41555</v>
      </c>
      <c r="J73" s="54">
        <v>41631</v>
      </c>
      <c r="K73" s="56" t="s">
        <v>349</v>
      </c>
      <c r="L73" s="29" t="s">
        <v>350</v>
      </c>
    </row>
    <row r="74" spans="1:12" ht="16.5">
      <c r="A74" s="21" t="s">
        <v>280</v>
      </c>
      <c r="B74" s="28">
        <v>1</v>
      </c>
      <c r="C74" s="53">
        <v>8.5</v>
      </c>
      <c r="D74" s="53">
        <v>8</v>
      </c>
      <c r="E74" s="53">
        <v>4</v>
      </c>
      <c r="F74" s="53">
        <v>8.5</v>
      </c>
      <c r="G74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4" s="59">
        <f>IF('Vars and Stats'!$B$13="Y",10*(Completed[[#This Row],[Raw]]-'Vars and Stats'!$B$9)/'Vars and Stats'!$B$10, 10*Completed[[#This Row],[Raw]]/'Vars and Stats'!$B$8)</f>
        <v>7.5584328232722369</v>
      </c>
      <c r="I74" s="54">
        <v>41562</v>
      </c>
      <c r="J74" s="54">
        <v>41728</v>
      </c>
      <c r="K74" s="76" t="s">
        <v>393</v>
      </c>
      <c r="L74" s="29" t="s">
        <v>394</v>
      </c>
    </row>
    <row r="75" spans="1:12" ht="16.5">
      <c r="A75" s="21" t="s">
        <v>410</v>
      </c>
      <c r="B75" s="28">
        <v>1</v>
      </c>
      <c r="C75" s="53">
        <v>8.5</v>
      </c>
      <c r="D75" s="53">
        <v>8</v>
      </c>
      <c r="E75" s="53">
        <v>3.5</v>
      </c>
      <c r="F75" s="53">
        <v>8.5</v>
      </c>
      <c r="G75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5" s="70">
        <f>IF('Vars and Stats'!$B$13="Y",10*(Completed[[#This Row],[Raw]]-'Vars and Stats'!$B$9)/'Vars and Stats'!$B$10, 10*Completed[[#This Row],[Raw]]/'Vars and Stats'!$B$8)</f>
        <v>7.5264839414831002</v>
      </c>
      <c r="I75" s="49">
        <v>41789</v>
      </c>
      <c r="J75" s="54">
        <v>41816</v>
      </c>
      <c r="K75" s="56" t="s">
        <v>575</v>
      </c>
      <c r="L75" s="29"/>
    </row>
    <row r="76" spans="1:12" ht="16.5">
      <c r="A76" s="21" t="s">
        <v>79</v>
      </c>
      <c r="B76" s="28">
        <v>2</v>
      </c>
      <c r="C76" s="53">
        <v>7</v>
      </c>
      <c r="D76" s="53">
        <v>8</v>
      </c>
      <c r="E76" s="53">
        <v>3.5</v>
      </c>
      <c r="F76" s="53">
        <v>9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6" s="59">
        <f>IF('Vars and Stats'!$B$13="Y",10*(Completed[[#This Row],[Raw]]-'Vars and Stats'!$B$9)/'Vars and Stats'!$B$10, 10*Completed[[#This Row],[Raw]]/'Vars and Stats'!$B$8)</f>
        <v>7.4928535395997988</v>
      </c>
      <c r="I76" s="54">
        <v>41354</v>
      </c>
      <c r="J76" s="54">
        <v>41355</v>
      </c>
      <c r="K76" s="56" t="s">
        <v>336</v>
      </c>
      <c r="L76" s="29"/>
    </row>
    <row r="77" spans="1:12" ht="16.5">
      <c r="A77" s="21" t="s">
        <v>373</v>
      </c>
      <c r="B77" s="28">
        <v>1</v>
      </c>
      <c r="C77" s="53">
        <v>5</v>
      </c>
      <c r="D77" s="53">
        <v>9</v>
      </c>
      <c r="E77" s="53">
        <v>5</v>
      </c>
      <c r="F77" s="53">
        <v>9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77" s="59">
        <f>IF('Vars and Stats'!$B$13="Y",10*(Completed[[#This Row],[Raw]]-'Vars and Stats'!$B$9)/'Vars and Stats'!$B$10, 10*Completed[[#This Row],[Raw]]/'Vars and Stats'!$B$8)</f>
        <v>7.457541617622331</v>
      </c>
      <c r="I77" s="54">
        <v>41648</v>
      </c>
      <c r="J77" s="54">
        <v>41785</v>
      </c>
      <c r="K77" s="56" t="s">
        <v>434</v>
      </c>
      <c r="L77" s="29"/>
    </row>
    <row r="78" spans="1:12" ht="16.5">
      <c r="A78" s="21" t="s">
        <v>407</v>
      </c>
      <c r="B78" s="28">
        <v>1</v>
      </c>
      <c r="C78" s="53">
        <v>8</v>
      </c>
      <c r="D78" s="53">
        <v>8.5</v>
      </c>
      <c r="E78" s="53">
        <v>6</v>
      </c>
      <c r="F78" s="53">
        <v>8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78" s="70">
        <f>IF('Vars and Stats'!$B$13="Y",10*(Completed[[#This Row],[Raw]]-'Vars and Stats'!$B$9)/'Vars and Stats'!$B$10, 10*Completed[[#This Row],[Raw]]/'Vars and Stats'!$B$8)</f>
        <v>7.4087775348915414</v>
      </c>
      <c r="I78" s="54">
        <v>41750</v>
      </c>
      <c r="J78" s="54">
        <v>41831</v>
      </c>
      <c r="K78" s="56" t="s">
        <v>655</v>
      </c>
      <c r="L78" s="29" t="s">
        <v>656</v>
      </c>
    </row>
    <row r="79" spans="1:12" ht="16.5">
      <c r="A79" s="21" t="s">
        <v>151</v>
      </c>
      <c r="B79" s="28">
        <v>1</v>
      </c>
      <c r="C79" s="53">
        <v>6.5</v>
      </c>
      <c r="D79" s="53">
        <v>8.5</v>
      </c>
      <c r="E79" s="53">
        <v>6.5</v>
      </c>
      <c r="F79" s="53">
        <v>8.5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79" s="59">
        <f>IF('Vars and Stats'!$B$13="Y",10*(Completed[[#This Row],[Raw]]-'Vars and Stats'!$B$9)/'Vars and Stats'!$B$10, 10*Completed[[#This Row],[Raw]]/'Vars and Stats'!$B$8)</f>
        <v>7.4070960147973759</v>
      </c>
      <c r="I79" s="54">
        <v>41394</v>
      </c>
      <c r="J79" s="54">
        <v>41397</v>
      </c>
      <c r="K79" s="56" t="s">
        <v>203</v>
      </c>
      <c r="L79" s="29" t="s">
        <v>65</v>
      </c>
    </row>
    <row r="80" spans="1:12" ht="16.5">
      <c r="A80" s="21" t="s">
        <v>355</v>
      </c>
      <c r="B80" s="28">
        <v>1</v>
      </c>
      <c r="C80" s="53">
        <v>6.5</v>
      </c>
      <c r="D80" s="53">
        <v>8</v>
      </c>
      <c r="E80" s="53">
        <v>9</v>
      </c>
      <c r="F80" s="53">
        <v>8.5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0" s="59">
        <f>IF('Vars and Stats'!$B$13="Y",10*(Completed[[#This Row],[Raw]]-'Vars and Stats'!$B$9)/'Vars and Stats'!$B$10, 10*Completed[[#This Row],[Raw]]/'Vars and Stats'!$B$8)</f>
        <v>7.3869177736673945</v>
      </c>
      <c r="I80" s="54">
        <v>41650</v>
      </c>
      <c r="J80" s="54">
        <v>41733</v>
      </c>
      <c r="K80" s="56" t="s">
        <v>399</v>
      </c>
      <c r="L80" s="29"/>
    </row>
    <row r="81" spans="1:12" ht="16.5">
      <c r="A81" s="21" t="s">
        <v>179</v>
      </c>
      <c r="B81" s="28">
        <v>1</v>
      </c>
      <c r="C81" s="53">
        <v>8</v>
      </c>
      <c r="D81" s="53">
        <v>6.5</v>
      </c>
      <c r="E81" s="53">
        <v>6</v>
      </c>
      <c r="F81" s="53">
        <v>9</v>
      </c>
      <c r="G81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1" s="59">
        <f>IF('Vars and Stats'!$B$13="Y",10*(Completed[[#This Row],[Raw]]-'Vars and Stats'!$B$9)/'Vars and Stats'!$B$10, 10*Completed[[#This Row],[Raw]]/'Vars and Stats'!$B$8)</f>
        <v>7.3583319320665863</v>
      </c>
      <c r="I81" s="54">
        <v>41316</v>
      </c>
      <c r="J81" s="54">
        <v>41323</v>
      </c>
      <c r="K81" s="56" t="s">
        <v>200</v>
      </c>
      <c r="L81" s="29"/>
    </row>
    <row r="82" spans="1:12" ht="16.5">
      <c r="A82" s="21" t="s">
        <v>134</v>
      </c>
      <c r="B82" s="28">
        <v>1</v>
      </c>
      <c r="C82" s="53">
        <v>8</v>
      </c>
      <c r="D82" s="53">
        <v>8.5</v>
      </c>
      <c r="E82" s="53">
        <v>5</v>
      </c>
      <c r="F82" s="53">
        <v>8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2" s="59">
        <f>IF('Vars and Stats'!$B$13="Y",10*(Completed[[#This Row],[Raw]]-'Vars and Stats'!$B$9)/'Vars and Stats'!$B$10, 10*Completed[[#This Row],[Raw]]/'Vars and Stats'!$B$8)</f>
        <v>7.3448797713132672</v>
      </c>
      <c r="I82" s="54">
        <v>41360</v>
      </c>
      <c r="J82" s="54">
        <v>41363</v>
      </c>
      <c r="K82" s="56" t="s">
        <v>202</v>
      </c>
      <c r="L82" s="29" t="s">
        <v>140</v>
      </c>
    </row>
    <row r="83" spans="1:12" ht="16.5">
      <c r="A83" s="21" t="s">
        <v>693</v>
      </c>
      <c r="B83" s="28">
        <v>1</v>
      </c>
      <c r="C83" s="53">
        <v>8.5</v>
      </c>
      <c r="D83" s="53">
        <v>8</v>
      </c>
      <c r="E83" s="53">
        <v>5</v>
      </c>
      <c r="F83" s="53">
        <v>8</v>
      </c>
      <c r="G83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3" s="70">
        <f>IF('Vars and Stats'!$B$13="Y",10*(Completed[[#This Row],[Raw]]-'Vars and Stats'!$B$9)/'Vars and Stats'!$B$10, 10*Completed[[#This Row],[Raw]]/'Vars and Stats'!$B$8)</f>
        <v>7.2877080881116507</v>
      </c>
      <c r="I83" s="54">
        <v>41940</v>
      </c>
      <c r="J83" s="54">
        <v>41940</v>
      </c>
      <c r="K83" s="56" t="s">
        <v>694</v>
      </c>
      <c r="L83" s="29" t="s">
        <v>695</v>
      </c>
    </row>
    <row r="84" spans="1:12" ht="16.5">
      <c r="A84" s="21" t="s">
        <v>72</v>
      </c>
      <c r="B84" s="28">
        <v>1</v>
      </c>
      <c r="C84" s="53">
        <v>7</v>
      </c>
      <c r="D84" s="53">
        <v>8</v>
      </c>
      <c r="E84" s="53">
        <v>5.5</v>
      </c>
      <c r="F84" s="53">
        <v>8.5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4" s="59">
        <f>IF('Vars and Stats'!$B$13="Y",10*(Completed[[#This Row],[Raw]]-'Vars and Stats'!$B$9)/'Vars and Stats'!$B$10, 10*Completed[[#This Row],[Raw]]/'Vars and Stats'!$B$8)</f>
        <v>7.2860265680174878</v>
      </c>
      <c r="I84" s="54">
        <v>41363</v>
      </c>
      <c r="J84" s="54">
        <v>41364</v>
      </c>
      <c r="K84" s="56" t="s">
        <v>228</v>
      </c>
      <c r="L84" s="29"/>
    </row>
    <row r="85" spans="1:12" ht="16.5">
      <c r="A85" s="21" t="s">
        <v>170</v>
      </c>
      <c r="B85" s="28">
        <v>1</v>
      </c>
      <c r="C85" s="53">
        <v>8.5</v>
      </c>
      <c r="D85" s="53">
        <v>7.5</v>
      </c>
      <c r="E85" s="53">
        <v>2.5</v>
      </c>
      <c r="F85" s="53">
        <v>8.5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5" s="59">
        <f>IF('Vars and Stats'!$B$13="Y",10*(Completed[[#This Row],[Raw]]-'Vars and Stats'!$B$9)/'Vars and Stats'!$B$10, 10*Completed[[#This Row],[Raw]]/'Vars and Stats'!$B$8)</f>
        <v>7.2826635278291567</v>
      </c>
      <c r="I85" s="54">
        <v>41459</v>
      </c>
      <c r="J85" s="54">
        <v>41543</v>
      </c>
      <c r="K85" s="56" t="s">
        <v>266</v>
      </c>
      <c r="L85" s="29" t="s">
        <v>584</v>
      </c>
    </row>
    <row r="86" spans="1:12" ht="16.5">
      <c r="A86" s="21" t="s">
        <v>111</v>
      </c>
      <c r="B86" s="28">
        <v>1</v>
      </c>
      <c r="C86" s="53">
        <v>6</v>
      </c>
      <c r="D86" s="53">
        <v>7</v>
      </c>
      <c r="E86" s="53">
        <v>9</v>
      </c>
      <c r="F86" s="53">
        <v>9</v>
      </c>
      <c r="G86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6" s="59">
        <f>IF('Vars and Stats'!$B$13="Y",10*(Completed[[#This Row],[Raw]]-'Vars and Stats'!$B$9)/'Vars and Stats'!$B$10, 10*Completed[[#This Row],[Raw]]/'Vars and Stats'!$B$8)</f>
        <v>7.2389440053808647</v>
      </c>
      <c r="I86" s="54">
        <v>41337</v>
      </c>
      <c r="J86" s="54">
        <v>41338</v>
      </c>
      <c r="K86" s="76" t="s">
        <v>165</v>
      </c>
      <c r="L86" s="29" t="s">
        <v>139</v>
      </c>
    </row>
    <row r="87" spans="1:12" ht="16.5">
      <c r="A87" s="21" t="s">
        <v>84</v>
      </c>
      <c r="B87" s="28">
        <v>1</v>
      </c>
      <c r="C87" s="53">
        <v>6.5</v>
      </c>
      <c r="D87" s="53">
        <v>7.5</v>
      </c>
      <c r="E87" s="53">
        <v>4</v>
      </c>
      <c r="F87" s="53">
        <v>9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87" s="59">
        <f>IF('Vars and Stats'!$B$13="Y",10*(Completed[[#This Row],[Raw]]-'Vars and Stats'!$B$9)/'Vars and Stats'!$B$10, 10*Completed[[#This Row],[Raw]]/'Vars and Stats'!$B$8)</f>
        <v>7.2221288044392118</v>
      </c>
      <c r="I87" s="54">
        <v>41347</v>
      </c>
      <c r="J87" s="54">
        <v>41354</v>
      </c>
      <c r="K87" s="75" t="s">
        <v>621</v>
      </c>
      <c r="L87" s="29"/>
    </row>
    <row r="88" spans="1:12" ht="16.5">
      <c r="A88" s="21" t="s">
        <v>168</v>
      </c>
      <c r="B88" s="28">
        <v>2</v>
      </c>
      <c r="C88" s="53">
        <v>7</v>
      </c>
      <c r="D88" s="53">
        <v>8</v>
      </c>
      <c r="E88" s="53">
        <v>9.5</v>
      </c>
      <c r="F88" s="53">
        <v>8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88" s="59">
        <f>IF('Vars and Stats'!$B$13="Y",10*(Completed[[#This Row],[Raw]]-'Vars and Stats'!$B$9)/'Vars and Stats'!$B$10, 10*Completed[[#This Row],[Raw]]/'Vars and Stats'!$B$8)</f>
        <v>7.2069951235917262</v>
      </c>
      <c r="I88" s="54">
        <v>41468</v>
      </c>
      <c r="J88" s="54">
        <v>41589</v>
      </c>
      <c r="K88" s="56" t="s">
        <v>164</v>
      </c>
      <c r="L88" s="29"/>
    </row>
    <row r="89" spans="1:12" ht="16.5">
      <c r="A89" s="21" t="s">
        <v>276</v>
      </c>
      <c r="B89" s="28">
        <v>1</v>
      </c>
      <c r="C89" s="53">
        <v>8</v>
      </c>
      <c r="D89" s="53">
        <v>8</v>
      </c>
      <c r="E89" s="53">
        <v>5</v>
      </c>
      <c r="F89" s="53">
        <v>8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9" s="59">
        <f>IF('Vars and Stats'!$B$13="Y",10*(Completed[[#This Row],[Raw]]-'Vars and Stats'!$B$9)/'Vars and Stats'!$B$10, 10*Completed[[#This Row],[Raw]]/'Vars and Stats'!$B$8)</f>
        <v>7.164957121237598</v>
      </c>
      <c r="I89" s="54">
        <v>41555</v>
      </c>
      <c r="J89" s="54">
        <v>41748</v>
      </c>
      <c r="K89" s="56" t="s">
        <v>420</v>
      </c>
      <c r="L89" s="29"/>
    </row>
    <row r="90" spans="1:12" ht="16.5">
      <c r="A90" s="21" t="s">
        <v>505</v>
      </c>
      <c r="B90" s="28">
        <v>1</v>
      </c>
      <c r="C90" s="53">
        <v>8</v>
      </c>
      <c r="D90" s="53">
        <v>8</v>
      </c>
      <c r="E90" s="53">
        <v>5</v>
      </c>
      <c r="F90" s="53">
        <v>8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0" s="59">
        <f>IF('Vars and Stats'!$B$13="Y",10*(Completed[[#This Row],[Raw]]-'Vars and Stats'!$B$9)/'Vars and Stats'!$B$10, 10*Completed[[#This Row],[Raw]]/'Vars and Stats'!$B$8)</f>
        <v>7.164957121237598</v>
      </c>
      <c r="I90" s="54">
        <v>41245</v>
      </c>
      <c r="J90" s="54">
        <v>41250</v>
      </c>
      <c r="K90" s="56" t="s">
        <v>227</v>
      </c>
      <c r="L90" s="29" t="s">
        <v>563</v>
      </c>
    </row>
    <row r="91" spans="1:12" ht="16.5">
      <c r="A91" s="21" t="s">
        <v>122</v>
      </c>
      <c r="B91" s="28">
        <v>1</v>
      </c>
      <c r="C91" s="53">
        <v>7.5</v>
      </c>
      <c r="D91" s="53">
        <v>7.5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1" s="59">
        <f>IF('Vars and Stats'!$B$13="Y",10*(Completed[[#This Row],[Raw]]-'Vars and Stats'!$B$9)/'Vars and Stats'!$B$10, 10*Completed[[#This Row],[Raw]]/'Vars and Stats'!$B$8)</f>
        <v>7.1498234403901124</v>
      </c>
      <c r="I91" s="54">
        <v>41453</v>
      </c>
      <c r="J91" s="54">
        <v>41456</v>
      </c>
      <c r="K91" s="56" t="s">
        <v>164</v>
      </c>
      <c r="L91" s="29"/>
    </row>
    <row r="92" spans="1:12" ht="16.5">
      <c r="A92" s="21" t="s">
        <v>359</v>
      </c>
      <c r="B92" s="28">
        <v>1</v>
      </c>
      <c r="C92" s="53">
        <v>7.5</v>
      </c>
      <c r="D92" s="53">
        <v>8</v>
      </c>
      <c r="E92" s="53">
        <v>6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2" s="59">
        <f>IF('Vars and Stats'!$B$13="Y",10*(Completed[[#This Row],[Raw]]-'Vars and Stats'!$B$9)/'Vars and Stats'!$B$10, 10*Completed[[#This Row],[Raw]]/'Vars and Stats'!$B$8)</f>
        <v>7.1061039179418186</v>
      </c>
      <c r="I92" s="54">
        <v>41661</v>
      </c>
      <c r="J92" s="54">
        <v>41722</v>
      </c>
      <c r="K92" s="56" t="s">
        <v>390</v>
      </c>
      <c r="L92" s="29"/>
    </row>
    <row r="93" spans="1:12" ht="16.5">
      <c r="A93" s="21" t="s">
        <v>358</v>
      </c>
      <c r="B93" s="28">
        <v>1</v>
      </c>
      <c r="C93" s="53">
        <v>5</v>
      </c>
      <c r="D93" s="53">
        <v>8</v>
      </c>
      <c r="E93" s="53">
        <v>5</v>
      </c>
      <c r="F93" s="53">
        <v>9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3" s="59">
        <f>IF('Vars and Stats'!$B$13="Y",10*(Completed[[#This Row],[Raw]]-'Vars and Stats'!$B$9)/'Vars and Stats'!$B$10, 10*Completed[[#This Row],[Raw]]/'Vars and Stats'!$B$8)</f>
        <v>7.0976963174709935</v>
      </c>
      <c r="I93" s="54">
        <v>41650</v>
      </c>
      <c r="J93" s="54">
        <v>41744</v>
      </c>
      <c r="K93" s="56" t="s">
        <v>401</v>
      </c>
      <c r="L93" s="29"/>
    </row>
    <row r="94" spans="1:12" ht="16.5">
      <c r="A94" s="21" t="s">
        <v>166</v>
      </c>
      <c r="B94" s="28">
        <v>1</v>
      </c>
      <c r="C94" s="53">
        <v>4</v>
      </c>
      <c r="D94" s="53">
        <v>8</v>
      </c>
      <c r="E94" s="53">
        <v>3</v>
      </c>
      <c r="F94" s="53">
        <v>9.5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4" s="59">
        <f>IF('Vars and Stats'!$B$13="Y",10*(Completed[[#This Row],[Raw]]-'Vars and Stats'!$B$9)/'Vars and Stats'!$B$10, 10*Completed[[#This Row],[Raw]]/'Vars and Stats'!$B$8)</f>
        <v>7.0590213553051964</v>
      </c>
      <c r="I94" s="54">
        <v>41443</v>
      </c>
      <c r="J94" s="54">
        <v>41444</v>
      </c>
      <c r="K94" s="56" t="s">
        <v>207</v>
      </c>
      <c r="L94" s="29"/>
    </row>
    <row r="95" spans="1:12" ht="16.5">
      <c r="A95" s="21" t="s">
        <v>36</v>
      </c>
      <c r="B95" s="28">
        <v>1</v>
      </c>
      <c r="C95" s="53">
        <v>7</v>
      </c>
      <c r="D95" s="53">
        <v>8</v>
      </c>
      <c r="E95" s="53">
        <v>7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5" s="59">
        <f>IF('Vars and Stats'!$B$13="Y",10*(Completed[[#This Row],[Raw]]-'Vars and Stats'!$B$9)/'Vars and Stats'!$B$10, 10*Completed[[#This Row],[Raw]]/'Vars and Stats'!$B$8)</f>
        <v>7.0472507146460401</v>
      </c>
      <c r="I95" s="54">
        <v>41457</v>
      </c>
      <c r="J95" s="54">
        <v>41463</v>
      </c>
      <c r="K95" s="56" t="s">
        <v>163</v>
      </c>
      <c r="L95" s="29"/>
    </row>
    <row r="96" spans="1:12" ht="16.5">
      <c r="A96" s="21" t="s">
        <v>357</v>
      </c>
      <c r="B96" s="28">
        <v>1</v>
      </c>
      <c r="C96" s="53">
        <v>7.5</v>
      </c>
      <c r="D96" s="53">
        <v>8</v>
      </c>
      <c r="E96" s="53">
        <v>5</v>
      </c>
      <c r="F96" s="53">
        <v>8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6" s="59">
        <f>IF('Vars and Stats'!$B$13="Y",10*(Completed[[#This Row],[Raw]]-'Vars and Stats'!$B$9)/'Vars and Stats'!$B$10, 10*Completed[[#This Row],[Raw]]/'Vars and Stats'!$B$8)</f>
        <v>7.0422061543635452</v>
      </c>
      <c r="I96" s="54">
        <v>41648</v>
      </c>
      <c r="J96" s="54">
        <v>41746</v>
      </c>
      <c r="K96" s="56" t="s">
        <v>417</v>
      </c>
      <c r="L96" s="29"/>
    </row>
    <row r="97" spans="1:12" ht="16.5">
      <c r="A97" s="21" t="s">
        <v>167</v>
      </c>
      <c r="B97" s="28">
        <v>1</v>
      </c>
      <c r="C97" s="53">
        <v>3.5</v>
      </c>
      <c r="D97" s="53">
        <v>8</v>
      </c>
      <c r="E97" s="53">
        <v>9.5</v>
      </c>
      <c r="F97" s="53">
        <v>9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97" s="59">
        <f>IF('Vars and Stats'!$B$13="Y",10*(Completed[[#This Row],[Raw]]-'Vars and Stats'!$B$9)/'Vars and Stats'!$B$10, 10*Completed[[#This Row],[Raw]]/'Vars and Stats'!$B$8)</f>
        <v>7.0169833529510663</v>
      </c>
      <c r="I97" s="54">
        <v>41462</v>
      </c>
      <c r="J97" s="54">
        <v>41538</v>
      </c>
      <c r="K97" s="56" t="s">
        <v>255</v>
      </c>
      <c r="L97" s="29"/>
    </row>
    <row r="98" spans="1:12" ht="16.5">
      <c r="A98" s="21" t="s">
        <v>147</v>
      </c>
      <c r="B98" s="28">
        <v>1</v>
      </c>
      <c r="C98" s="53">
        <v>2</v>
      </c>
      <c r="D98" s="53">
        <v>8.5</v>
      </c>
      <c r="E98" s="53">
        <v>7</v>
      </c>
      <c r="F98" s="53">
        <v>9.5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98" s="59">
        <f>IF('Vars and Stats'!$B$13="Y",10*(Completed[[#This Row],[Raw]]-'Vars and Stats'!$B$9)/'Vars and Stats'!$B$10, 10*Completed[[#This Row],[Raw]]/'Vars and Stats'!$B$8)</f>
        <v>7.0035311921977463</v>
      </c>
      <c r="I98" s="54">
        <v>41291</v>
      </c>
      <c r="J98" s="54">
        <v>41298</v>
      </c>
      <c r="K98" s="56" t="s">
        <v>211</v>
      </c>
      <c r="L98" s="29" t="s">
        <v>100</v>
      </c>
    </row>
    <row r="99" spans="1:12" ht="16.5">
      <c r="A99" s="21" t="s">
        <v>277</v>
      </c>
      <c r="B99" s="28">
        <v>1</v>
      </c>
      <c r="C99" s="53">
        <v>8.5</v>
      </c>
      <c r="D99" s="53">
        <v>7.5</v>
      </c>
      <c r="E99" s="53">
        <v>2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99" s="59">
        <f>IF('Vars and Stats'!$B$13="Y",10*(Completed[[#This Row],[Raw]]-'Vars and Stats'!$B$9)/'Vars and Stats'!$B$10, 10*Completed[[#This Row],[Raw]]/'Vars and Stats'!$B$8)</f>
        <v>6.9160921473011605</v>
      </c>
      <c r="I99" s="54">
        <v>41555</v>
      </c>
      <c r="J99" s="54">
        <v>41634</v>
      </c>
      <c r="K99" s="56" t="s">
        <v>347</v>
      </c>
      <c r="L99" s="29" t="s">
        <v>348</v>
      </c>
    </row>
    <row r="100" spans="1:12" ht="16.5">
      <c r="A100" s="21" t="s">
        <v>354</v>
      </c>
      <c r="B100" s="28">
        <v>2</v>
      </c>
      <c r="C100" s="53">
        <v>8</v>
      </c>
      <c r="D100" s="53">
        <v>8</v>
      </c>
      <c r="E100" s="53">
        <v>6</v>
      </c>
      <c r="F100" s="53">
        <v>7.5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0" s="59">
        <f>IF('Vars and Stats'!$B$13="Y",10*(Completed[[#This Row],[Raw]]-'Vars and Stats'!$B$9)/'Vars and Stats'!$B$10, 10*Completed[[#This Row],[Raw]]/'Vars and Stats'!$B$8)</f>
        <v>6.8942323860770145</v>
      </c>
      <c r="I100" s="54">
        <v>41648</v>
      </c>
      <c r="J100" s="54">
        <v>41730</v>
      </c>
      <c r="K100" s="56" t="s">
        <v>395</v>
      </c>
      <c r="L100" s="29"/>
    </row>
    <row r="101" spans="1:12" ht="16.5">
      <c r="A101" s="21" t="s">
        <v>313</v>
      </c>
      <c r="B101" s="28">
        <v>1</v>
      </c>
      <c r="C101" s="53">
        <v>8</v>
      </c>
      <c r="D101" s="53">
        <v>7.5</v>
      </c>
      <c r="E101" s="53">
        <v>3.5</v>
      </c>
      <c r="F101" s="53">
        <v>8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1" s="59">
        <f>IF('Vars and Stats'!$B$13="Y",10*(Completed[[#This Row],[Raw]]-'Vars and Stats'!$B$9)/'Vars and Stats'!$B$10, 10*Completed[[#This Row],[Raw]]/'Vars and Stats'!$B$8)</f>
        <v>6.8891878257945187</v>
      </c>
      <c r="I101" s="54">
        <v>41541</v>
      </c>
      <c r="J101" s="54">
        <v>41541</v>
      </c>
      <c r="K101" s="56" t="s">
        <v>265</v>
      </c>
      <c r="L101" s="29"/>
    </row>
    <row r="102" spans="1:12" ht="16.5">
      <c r="A102" s="21" t="s">
        <v>68</v>
      </c>
      <c r="B102" s="28">
        <v>1</v>
      </c>
      <c r="C102" s="53">
        <v>8</v>
      </c>
      <c r="D102" s="53">
        <v>7</v>
      </c>
      <c r="E102" s="53">
        <v>6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2" s="59">
        <f>IF('Vars and Stats'!$B$13="Y",10*(Completed[[#This Row],[Raw]]-'Vars and Stats'!$B$9)/'Vars and Stats'!$B$10, 10*Completed[[#This Row],[Raw]]/'Vars and Stats'!$B$8)</f>
        <v>6.8690095846645365</v>
      </c>
      <c r="I102" s="54">
        <v>41251</v>
      </c>
      <c r="J102" s="54">
        <v>41263</v>
      </c>
      <c r="K102" s="56" t="s">
        <v>218</v>
      </c>
      <c r="L102" s="29"/>
    </row>
    <row r="103" spans="1:12" ht="16.5">
      <c r="A103" s="21" t="s">
        <v>171</v>
      </c>
      <c r="B103" s="28">
        <v>1</v>
      </c>
      <c r="C103" s="53">
        <v>8</v>
      </c>
      <c r="D103" s="53">
        <v>8</v>
      </c>
      <c r="E103" s="53">
        <v>5.5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3" s="59">
        <f>IF('Vars and Stats'!$B$13="Y",10*(Completed[[#This Row],[Raw]]-'Vars and Stats'!$B$9)/'Vars and Stats'!$B$10, 10*Completed[[#This Row],[Raw]]/'Vars and Stats'!$B$8)</f>
        <v>6.862283504287876</v>
      </c>
      <c r="I103" s="54">
        <v>41461</v>
      </c>
      <c r="J103" s="54">
        <v>41546</v>
      </c>
      <c r="K103" s="56" t="s">
        <v>335</v>
      </c>
      <c r="L103" s="29"/>
    </row>
    <row r="104" spans="1:12" ht="16.5">
      <c r="A104" s="21" t="s">
        <v>113</v>
      </c>
      <c r="B104" s="28">
        <v>1</v>
      </c>
      <c r="C104" s="53">
        <v>7</v>
      </c>
      <c r="D104" s="53">
        <v>7.5</v>
      </c>
      <c r="E104" s="53">
        <v>6.5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4" s="59">
        <f>IF('Vars and Stats'!$B$13="Y",10*(Completed[[#This Row],[Raw]]-'Vars and Stats'!$B$9)/'Vars and Stats'!$B$10, 10*Completed[[#This Row],[Raw]]/'Vars and Stats'!$B$8)</f>
        <v>6.8353791827812342</v>
      </c>
      <c r="I104" s="54">
        <v>41430</v>
      </c>
      <c r="J104" s="54">
        <v>41431</v>
      </c>
      <c r="K104" s="55" t="s">
        <v>337</v>
      </c>
      <c r="L104" s="29" t="s">
        <v>114</v>
      </c>
    </row>
    <row r="105" spans="1:12" ht="16.5">
      <c r="A105" s="184" t="s">
        <v>653</v>
      </c>
      <c r="B105" s="185">
        <v>1</v>
      </c>
      <c r="C105" s="186">
        <v>7</v>
      </c>
      <c r="D105" s="186">
        <v>7.5</v>
      </c>
      <c r="E105" s="186">
        <v>6</v>
      </c>
      <c r="F105" s="186">
        <v>8</v>
      </c>
      <c r="G105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5" s="193">
        <f>IF('Vars and Stats'!$B$13="Y",10*(Completed[[#This Row],[Raw]]-'Vars and Stats'!$B$9)/'Vars and Stats'!$B$10, 10*Completed[[#This Row],[Raw]]/'Vars and Stats'!$B$8)</f>
        <v>6.8034303009920967</v>
      </c>
      <c r="I105" s="187">
        <v>41837</v>
      </c>
      <c r="J105" s="187">
        <v>42020</v>
      </c>
      <c r="K105" s="188" t="s">
        <v>719</v>
      </c>
      <c r="L105" s="189" t="s">
        <v>720</v>
      </c>
    </row>
    <row r="106" spans="1:12" ht="16.5">
      <c r="A106" s="21" t="s">
        <v>406</v>
      </c>
      <c r="B106" s="28">
        <v>1</v>
      </c>
      <c r="C106" s="53">
        <v>7.5</v>
      </c>
      <c r="D106" s="53">
        <v>8</v>
      </c>
      <c r="E106" s="53">
        <v>5.5</v>
      </c>
      <c r="F106" s="53">
        <v>7.5</v>
      </c>
      <c r="G106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6" s="70">
        <f>IF('Vars and Stats'!$B$13="Y",10*(Completed[[#This Row],[Raw]]-'Vars and Stats'!$B$9)/'Vars and Stats'!$B$10, 10*Completed[[#This Row],[Raw]]/'Vars and Stats'!$B$8)</f>
        <v>6.7395325374138233</v>
      </c>
      <c r="I106" s="48">
        <v>41759</v>
      </c>
      <c r="J106" s="54">
        <v>41812</v>
      </c>
      <c r="K106" s="56" t="s">
        <v>568</v>
      </c>
      <c r="L106" s="29" t="s">
        <v>569</v>
      </c>
    </row>
    <row r="107" spans="1:12" ht="16.5">
      <c r="A107" s="21" t="s">
        <v>118</v>
      </c>
      <c r="B107" s="28">
        <v>1</v>
      </c>
      <c r="C107" s="53">
        <v>8</v>
      </c>
      <c r="D107" s="53">
        <v>7.5</v>
      </c>
      <c r="E107" s="53">
        <v>5</v>
      </c>
      <c r="F107" s="53">
        <v>7.5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07" s="59">
        <f>IF('Vars and Stats'!$B$13="Y",10*(Completed[[#This Row],[Raw]]-'Vars and Stats'!$B$9)/'Vars and Stats'!$B$10, 10*Completed[[#This Row],[Raw]]/'Vars and Stats'!$B$8)</f>
        <v>6.650411972423071</v>
      </c>
      <c r="I107" s="54">
        <v>41453</v>
      </c>
      <c r="J107" s="54">
        <v>41457</v>
      </c>
      <c r="K107" s="56" t="s">
        <v>217</v>
      </c>
      <c r="L107" s="29" t="s">
        <v>145</v>
      </c>
    </row>
    <row r="108" spans="1:12" ht="16.5">
      <c r="A108" s="21" t="s">
        <v>169</v>
      </c>
      <c r="B108" s="28">
        <v>1</v>
      </c>
      <c r="C108" s="53">
        <v>7</v>
      </c>
      <c r="D108" s="53">
        <v>7.5</v>
      </c>
      <c r="E108" s="53">
        <v>3.5</v>
      </c>
      <c r="F108" s="53">
        <v>8</v>
      </c>
      <c r="G108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08" s="59">
        <f>IF('Vars and Stats'!$B$13="Y",10*(Completed[[#This Row],[Raw]]-'Vars and Stats'!$B$9)/'Vars and Stats'!$B$10, 10*Completed[[#This Row],[Raw]]/'Vars and Stats'!$B$8)</f>
        <v>6.6436858920464097</v>
      </c>
      <c r="I108" s="54">
        <v>41465</v>
      </c>
      <c r="J108" s="54">
        <v>41543</v>
      </c>
      <c r="K108" s="56" t="s">
        <v>268</v>
      </c>
      <c r="L108" s="29" t="s">
        <v>267</v>
      </c>
    </row>
    <row r="109" spans="1:12" ht="16.5">
      <c r="A109" s="21" t="s">
        <v>138</v>
      </c>
      <c r="B109" s="28">
        <v>1</v>
      </c>
      <c r="C109" s="53">
        <v>6.5</v>
      </c>
      <c r="D109" s="53">
        <v>7.5</v>
      </c>
      <c r="E109" s="53">
        <v>5</v>
      </c>
      <c r="F109" s="53">
        <v>8</v>
      </c>
      <c r="G109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09" s="59">
        <f>IF('Vars and Stats'!$B$13="Y",10*(Completed[[#This Row],[Raw]]-'Vars and Stats'!$B$9)/'Vars and Stats'!$B$10, 10*Completed[[#This Row],[Raw]]/'Vars and Stats'!$B$8)</f>
        <v>6.6167815705397679</v>
      </c>
      <c r="I109" s="54">
        <v>41456</v>
      </c>
      <c r="J109" s="54">
        <v>41535</v>
      </c>
      <c r="K109" s="56" t="s">
        <v>253</v>
      </c>
      <c r="L109" s="29"/>
    </row>
    <row r="110" spans="1:12" ht="16.5">
      <c r="A110" s="21" t="s">
        <v>120</v>
      </c>
      <c r="B110" s="28">
        <v>1</v>
      </c>
      <c r="C110" s="53">
        <v>4</v>
      </c>
      <c r="D110" s="53">
        <v>8</v>
      </c>
      <c r="E110" s="53">
        <v>0</v>
      </c>
      <c r="F110" s="53">
        <v>9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0" s="59">
        <f>IF('Vars and Stats'!$B$13="Y",10*(Completed[[#This Row],[Raw]]-'Vars and Stats'!$B$9)/'Vars and Stats'!$B$10, 10*Completed[[#This Row],[Raw]]/'Vars and Stats'!$B$8)</f>
        <v>6.5327055658315123</v>
      </c>
      <c r="I110" s="54">
        <v>41450</v>
      </c>
      <c r="J110" s="54">
        <v>41452</v>
      </c>
      <c r="K110" s="56" t="s">
        <v>206</v>
      </c>
      <c r="L110" s="29" t="s">
        <v>121</v>
      </c>
    </row>
    <row r="111" spans="1:12" ht="16.5">
      <c r="A111" s="21" t="s">
        <v>356</v>
      </c>
      <c r="B111" s="28">
        <v>1</v>
      </c>
      <c r="C111" s="53">
        <v>6.5</v>
      </c>
      <c r="D111" s="53">
        <v>9</v>
      </c>
      <c r="E111" s="53">
        <v>5</v>
      </c>
      <c r="F111" s="53">
        <v>7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1" s="59">
        <f>IF('Vars and Stats'!$B$13="Y",10*(Completed[[#This Row],[Raw]]-'Vars and Stats'!$B$9)/'Vars and Stats'!$B$10, 10*Completed[[#This Row],[Raw]]/'Vars and Stats'!$B$8)</f>
        <v>6.4873045232890529</v>
      </c>
      <c r="I111" s="54">
        <v>41650</v>
      </c>
      <c r="J111" s="54">
        <v>41745</v>
      </c>
      <c r="K111" s="56" t="s">
        <v>403</v>
      </c>
      <c r="L111" s="29" t="s">
        <v>404</v>
      </c>
    </row>
    <row r="112" spans="1:12" ht="16.5">
      <c r="A112" s="21" t="s">
        <v>309</v>
      </c>
      <c r="B112" s="28">
        <v>1</v>
      </c>
      <c r="C112" s="53">
        <v>7.5</v>
      </c>
      <c r="D112" s="53">
        <v>7.5</v>
      </c>
      <c r="E112" s="53">
        <v>4</v>
      </c>
      <c r="F112" s="53">
        <v>7.5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2" s="59">
        <f>IF('Vars and Stats'!$B$13="Y",10*(Completed[[#This Row],[Raw]]-'Vars and Stats'!$B$9)/'Vars and Stats'!$B$10, 10*Completed[[#This Row],[Raw]]/'Vars and Stats'!$B$8)</f>
        <v>6.4637632419707414</v>
      </c>
      <c r="I112" s="54">
        <v>41330</v>
      </c>
      <c r="J112" s="54">
        <v>41346</v>
      </c>
      <c r="K112" s="56" t="s">
        <v>204</v>
      </c>
      <c r="L112" s="29" t="s">
        <v>82</v>
      </c>
    </row>
    <row r="113" spans="1:12" ht="16.5">
      <c r="A113" s="21" t="s">
        <v>175</v>
      </c>
      <c r="B113" s="28">
        <v>1</v>
      </c>
      <c r="C113" s="53">
        <v>4</v>
      </c>
      <c r="D113" s="53">
        <v>8</v>
      </c>
      <c r="E113" s="53">
        <v>9</v>
      </c>
      <c r="F113" s="53">
        <v>8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3" s="59">
        <f>IF('Vars and Stats'!$B$13="Y",10*(Completed[[#This Row],[Raw]]-'Vars and Stats'!$B$9)/'Vars and Stats'!$B$10, 10*Completed[[#This Row],[Raw]]/'Vars and Stats'!$B$8)</f>
        <v>6.4385404405582634</v>
      </c>
      <c r="I113" s="54">
        <v>41488</v>
      </c>
      <c r="J113" s="54">
        <v>41492</v>
      </c>
      <c r="K113" s="56" t="s">
        <v>243</v>
      </c>
      <c r="L113" s="29" t="s">
        <v>437</v>
      </c>
    </row>
    <row r="114" spans="1:12" ht="16.5">
      <c r="A114" s="21" t="s">
        <v>376</v>
      </c>
      <c r="B114" s="28">
        <v>1</v>
      </c>
      <c r="C114" s="53">
        <v>7.5</v>
      </c>
      <c r="D114" s="53">
        <v>7.5</v>
      </c>
      <c r="E114" s="53">
        <v>3.5</v>
      </c>
      <c r="F114" s="53">
        <v>7.5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4" s="59">
        <f>IF('Vars and Stats'!$B$13="Y",10*(Completed[[#This Row],[Raw]]-'Vars and Stats'!$B$9)/'Vars and Stats'!$B$10, 10*Completed[[#This Row],[Raw]]/'Vars and Stats'!$B$8)</f>
        <v>6.4318143601816038</v>
      </c>
      <c r="I114" s="54">
        <v>41650</v>
      </c>
      <c r="J114" s="54">
        <v>41749</v>
      </c>
      <c r="K114" s="56" t="s">
        <v>424</v>
      </c>
      <c r="L114" s="29"/>
    </row>
    <row r="115" spans="1:12" ht="16.5">
      <c r="A115" s="21" t="s">
        <v>77</v>
      </c>
      <c r="B115" s="34">
        <v>1</v>
      </c>
      <c r="C115" s="68">
        <v>6</v>
      </c>
      <c r="D115" s="68">
        <v>7</v>
      </c>
      <c r="E115" s="68">
        <v>6</v>
      </c>
      <c r="F115" s="68">
        <v>8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5" s="59">
        <f>IF('Vars and Stats'!$B$13="Y",10*(Completed[[#This Row],[Raw]]-'Vars and Stats'!$B$9)/'Vars and Stats'!$B$10, 10*Completed[[#This Row],[Raw]]/'Vars and Stats'!$B$8)</f>
        <v>6.3780057171683193</v>
      </c>
      <c r="I115" s="16">
        <v>41365</v>
      </c>
      <c r="J115" s="16">
        <v>41369</v>
      </c>
      <c r="K115" s="214" t="s">
        <v>199</v>
      </c>
      <c r="L115" s="72"/>
    </row>
    <row r="116" spans="1:12" ht="16.5">
      <c r="A116" s="190" t="s">
        <v>623</v>
      </c>
      <c r="B116" s="191">
        <v>1</v>
      </c>
      <c r="C116" s="205">
        <v>7.5</v>
      </c>
      <c r="D116" s="205">
        <v>8</v>
      </c>
      <c r="E116" s="205">
        <v>5</v>
      </c>
      <c r="F116" s="205">
        <v>7</v>
      </c>
      <c r="G116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6" s="193">
        <f>IF('Vars and Stats'!$B$13="Y",10*(Completed[[#This Row],[Raw]]-'Vars and Stats'!$B$9)/'Vars and Stats'!$B$10, 10*Completed[[#This Row],[Raw]]/'Vars and Stats'!$B$8)</f>
        <v>6.3729611568858235</v>
      </c>
      <c r="I116" s="187">
        <v>41832</v>
      </c>
      <c r="J116" s="206">
        <v>42023</v>
      </c>
      <c r="K116" s="207" t="s">
        <v>725</v>
      </c>
      <c r="L116" s="208" t="s">
        <v>726</v>
      </c>
    </row>
    <row r="117" spans="1:12" ht="16.5">
      <c r="A117" s="15" t="s">
        <v>86</v>
      </c>
      <c r="B117" s="34">
        <v>2</v>
      </c>
      <c r="C117" s="68">
        <v>7</v>
      </c>
      <c r="D117" s="68">
        <v>7.5</v>
      </c>
      <c r="E117" s="68">
        <v>4.5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7" s="59">
        <f>IF('Vars and Stats'!$B$13="Y",10*(Completed[[#This Row],[Raw]]-'Vars and Stats'!$B$9)/'Vars and Stats'!$B$10, 10*Completed[[#This Row],[Raw]]/'Vars and Stats'!$B$8)</f>
        <v>6.3729611568858235</v>
      </c>
      <c r="I117" s="54">
        <v>41345</v>
      </c>
      <c r="J117" s="16">
        <v>41350</v>
      </c>
      <c r="K117" s="71" t="s">
        <v>195</v>
      </c>
      <c r="L117" s="72"/>
    </row>
    <row r="118" spans="1:12" ht="16.5">
      <c r="A118" s="15" t="s">
        <v>129</v>
      </c>
      <c r="B118" s="34">
        <v>1</v>
      </c>
      <c r="C118" s="68">
        <v>4</v>
      </c>
      <c r="D118" s="68">
        <v>7</v>
      </c>
      <c r="E118" s="68">
        <v>8</v>
      </c>
      <c r="F118" s="68">
        <v>8.5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18" s="59">
        <f>IF('Vars and Stats'!$B$13="Y",10*(Completed[[#This Row],[Raw]]-'Vars and Stats'!$B$9)/'Vars and Stats'!$B$10, 10*Completed[[#This Row],[Raw]]/'Vars and Stats'!$B$8)</f>
        <v>6.3494198755675129</v>
      </c>
      <c r="I118" s="16">
        <v>41449</v>
      </c>
      <c r="J118" s="16">
        <v>41451</v>
      </c>
      <c r="K118" s="71" t="s">
        <v>209</v>
      </c>
      <c r="L118" s="72"/>
    </row>
    <row r="119" spans="1:12" ht="16.5">
      <c r="A119" s="15" t="s">
        <v>97</v>
      </c>
      <c r="B119" s="34">
        <v>1</v>
      </c>
      <c r="C119" s="68">
        <v>3</v>
      </c>
      <c r="D119" s="68">
        <v>8</v>
      </c>
      <c r="E119" s="68">
        <v>9</v>
      </c>
      <c r="F119" s="68">
        <v>8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19" s="59">
        <f>IF('Vars and Stats'!$B$13="Y",10*(Completed[[#This Row],[Raw]]-'Vars and Stats'!$B$9)/'Vars and Stats'!$B$10, 10*Completed[[#This Row],[Raw]]/'Vars and Stats'!$B$8)</f>
        <v>6.1930385068101561</v>
      </c>
      <c r="I119" s="54">
        <v>41288</v>
      </c>
      <c r="J119" s="16">
        <v>41288</v>
      </c>
      <c r="K119" s="71" t="s">
        <v>212</v>
      </c>
      <c r="L119" s="72"/>
    </row>
    <row r="120" spans="1:12" ht="16.5">
      <c r="A120" s="190" t="s">
        <v>715</v>
      </c>
      <c r="B120" s="191">
        <v>1</v>
      </c>
      <c r="C120" s="205">
        <v>6.5</v>
      </c>
      <c r="D120" s="205">
        <v>7.5</v>
      </c>
      <c r="E120" s="205">
        <v>8</v>
      </c>
      <c r="F120" s="205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0" s="193">
        <f>IF('Vars and Stats'!$B$13="Y",10*(Completed[[#This Row],[Raw]]-'Vars and Stats'!$B$9)/'Vars and Stats'!$B$10, 10*Completed[[#This Row],[Raw]]/'Vars and Stats'!$B$8)</f>
        <v>6.1392298637968725</v>
      </c>
      <c r="I120" s="187">
        <v>42018</v>
      </c>
      <c r="J120" s="206">
        <v>42018</v>
      </c>
      <c r="K120" s="207" t="s">
        <v>716</v>
      </c>
      <c r="L120" s="208" t="s">
        <v>717</v>
      </c>
    </row>
    <row r="121" spans="1:12" ht="16.5">
      <c r="A121" s="15" t="s">
        <v>95</v>
      </c>
      <c r="B121" s="34">
        <v>5</v>
      </c>
      <c r="C121" s="68">
        <v>7.5</v>
      </c>
      <c r="D121" s="68">
        <v>8</v>
      </c>
      <c r="E121" s="68">
        <v>0.5</v>
      </c>
      <c r="F121" s="68">
        <v>7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1" s="59">
        <f>IF('Vars and Stats'!$B$13="Y",10*(Completed[[#This Row],[Raw]]-'Vars and Stats'!$B$9)/'Vars and Stats'!$B$10, 10*Completed[[#This Row],[Raw]]/'Vars and Stats'!$B$8)</f>
        <v>6.0854212207835898</v>
      </c>
      <c r="I121" s="54">
        <v>41088</v>
      </c>
      <c r="J121" s="16">
        <v>41108</v>
      </c>
      <c r="K121" s="71" t="s">
        <v>216</v>
      </c>
      <c r="L121" s="72" t="s">
        <v>316</v>
      </c>
    </row>
    <row r="122" spans="1:12" ht="16.5">
      <c r="A122" s="15" t="s">
        <v>12</v>
      </c>
      <c r="B122" s="34">
        <v>2</v>
      </c>
      <c r="C122" s="68">
        <v>6</v>
      </c>
      <c r="D122" s="68">
        <v>7</v>
      </c>
      <c r="E122" s="68">
        <v>6.5</v>
      </c>
      <c r="F122" s="68">
        <v>7.5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2" s="59">
        <f>IF('Vars and Stats'!$B$13="Y",10*(Completed[[#This Row],[Raw]]-'Vars and Stats'!$B$9)/'Vars and Stats'!$B$10, 10*Completed[[#This Row],[Raw]]/'Vars and Stats'!$B$8)</f>
        <v>6.0753321002185974</v>
      </c>
      <c r="I122" s="54">
        <v>41371</v>
      </c>
      <c r="J122" s="16">
        <v>41455</v>
      </c>
      <c r="K122" s="71" t="s">
        <v>199</v>
      </c>
      <c r="L122" s="72"/>
    </row>
    <row r="123" spans="1:12" ht="16.5">
      <c r="A123" s="204" t="s">
        <v>174</v>
      </c>
      <c r="B123" s="34">
        <v>1</v>
      </c>
      <c r="C123" s="68">
        <v>6.5</v>
      </c>
      <c r="D123" s="68">
        <v>7</v>
      </c>
      <c r="E123" s="68">
        <v>4.5</v>
      </c>
      <c r="F123" s="68">
        <v>7.5</v>
      </c>
      <c r="G123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3" s="59">
        <f>IF('Vars and Stats'!$B$13="Y",10*(Completed[[#This Row],[Raw]]-'Vars and Stats'!$B$9)/'Vars and Stats'!$B$10, 10*Completed[[#This Row],[Raw]]/'Vars and Stats'!$B$8)</f>
        <v>6.0702875399361016</v>
      </c>
      <c r="I123" s="54">
        <v>41464</v>
      </c>
      <c r="J123" s="16">
        <v>41543</v>
      </c>
      <c r="K123" s="71" t="s">
        <v>269</v>
      </c>
      <c r="L123" s="72"/>
    </row>
    <row r="124" spans="1:12" ht="16.5">
      <c r="A124" s="15" t="s">
        <v>244</v>
      </c>
      <c r="B124" s="34">
        <v>1</v>
      </c>
      <c r="C124" s="68">
        <v>7</v>
      </c>
      <c r="D124" s="68">
        <v>7</v>
      </c>
      <c r="E124" s="68">
        <v>7.5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4" s="59">
        <f>IF('Vars and Stats'!$B$13="Y",10*(Completed[[#This Row],[Raw]]-'Vars and Stats'!$B$9)/'Vars and Stats'!$B$10, 10*Completed[[#This Row],[Raw]]/'Vars and Stats'!$B$8)</f>
        <v>6.0501092988061203</v>
      </c>
      <c r="I124" s="16">
        <v>41496</v>
      </c>
      <c r="J124" s="16">
        <v>41512</v>
      </c>
      <c r="K124" s="71" t="s">
        <v>245</v>
      </c>
      <c r="L124" s="72" t="s">
        <v>436</v>
      </c>
    </row>
    <row r="125" spans="1:12" ht="16.5">
      <c r="A125" s="15" t="s">
        <v>183</v>
      </c>
      <c r="B125" s="34">
        <v>1</v>
      </c>
      <c r="C125" s="68">
        <v>5</v>
      </c>
      <c r="D125" s="68">
        <v>7</v>
      </c>
      <c r="E125" s="68">
        <v>4.5</v>
      </c>
      <c r="F125" s="68">
        <v>8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5" s="59">
        <f>IF('Vars and Stats'!$B$13="Y",10*(Completed[[#This Row],[Raw]]-'Vars and Stats'!$B$9)/'Vars and Stats'!$B$10, 10*Completed[[#This Row],[Raw]]/'Vars and Stats'!$B$8)</f>
        <v>6.0366571380527994</v>
      </c>
      <c r="I125" s="16">
        <v>41470</v>
      </c>
      <c r="J125" s="16">
        <v>41482</v>
      </c>
      <c r="K125" s="71" t="s">
        <v>213</v>
      </c>
      <c r="L125" s="72" t="s">
        <v>184</v>
      </c>
    </row>
    <row r="126" spans="1:12" ht="16.5">
      <c r="A126" s="15" t="s">
        <v>94</v>
      </c>
      <c r="B126" s="34">
        <v>2</v>
      </c>
      <c r="C126" s="68">
        <v>3.5</v>
      </c>
      <c r="D126" s="68">
        <v>8</v>
      </c>
      <c r="E126" s="68">
        <v>9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6" s="59">
        <f>IF('Vars and Stats'!$B$13="Y",10*(Completed[[#This Row],[Raw]]-'Vars and Stats'!$B$9)/'Vars and Stats'!$B$10, 10*Completed[[#This Row],[Raw]]/'Vars and Stats'!$B$8)</f>
        <v>5.9811669749453493</v>
      </c>
      <c r="I126" s="16">
        <v>41289</v>
      </c>
      <c r="J126" s="16">
        <v>41289</v>
      </c>
      <c r="K126" s="71" t="s">
        <v>212</v>
      </c>
      <c r="L126" s="72"/>
    </row>
    <row r="127" spans="1:12" ht="16.5">
      <c r="A127" s="15" t="s">
        <v>499</v>
      </c>
      <c r="B127" s="34">
        <v>1</v>
      </c>
      <c r="C127" s="68">
        <v>7</v>
      </c>
      <c r="D127" s="68">
        <v>6.5</v>
      </c>
      <c r="E127" s="68">
        <v>2.5</v>
      </c>
      <c r="F127" s="68">
        <v>7.5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27" s="59">
        <f>IF('Vars and Stats'!$B$13="Y",10*(Completed[[#This Row],[Raw]]-'Vars and Stats'!$B$9)/'Vars and Stats'!$B$10, 10*Completed[[#This Row],[Raw]]/'Vars and Stats'!$B$8)</f>
        <v>5.8853203295779384</v>
      </c>
      <c r="I127" s="16">
        <v>41465</v>
      </c>
      <c r="J127" s="16">
        <v>41465</v>
      </c>
      <c r="K127" s="71" t="s">
        <v>195</v>
      </c>
      <c r="L127" s="72" t="s">
        <v>428</v>
      </c>
    </row>
    <row r="128" spans="1:12" ht="16.5">
      <c r="A128" s="15" t="s">
        <v>119</v>
      </c>
      <c r="B128" s="34">
        <v>1</v>
      </c>
      <c r="C128" s="68">
        <v>6.5</v>
      </c>
      <c r="D128" s="68">
        <v>7</v>
      </c>
      <c r="E128" s="68">
        <v>6.5</v>
      </c>
      <c r="F128" s="68">
        <v>7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28" s="59">
        <f>IF('Vars and Stats'!$B$13="Y",10*(Completed[[#This Row],[Raw]]-'Vars and Stats'!$B$9)/'Vars and Stats'!$B$10, 10*Completed[[#This Row],[Raw]]/'Vars and Stats'!$B$8)</f>
        <v>5.8634605683537906</v>
      </c>
      <c r="I128" s="16">
        <v>41371</v>
      </c>
      <c r="J128" s="16">
        <v>41453</v>
      </c>
      <c r="K128" s="71" t="s">
        <v>205</v>
      </c>
      <c r="L128" s="72"/>
    </row>
    <row r="129" spans="1:12" ht="16.5">
      <c r="A129" s="15" t="s">
        <v>99</v>
      </c>
      <c r="B129" s="34">
        <v>1</v>
      </c>
      <c r="C129" s="68">
        <v>7</v>
      </c>
      <c r="D129" s="68">
        <v>7</v>
      </c>
      <c r="E129" s="68">
        <v>4.5</v>
      </c>
      <c r="F129" s="68">
        <v>7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29" s="59">
        <f>IF('Vars and Stats'!$B$13="Y",10*(Completed[[#This Row],[Raw]]-'Vars and Stats'!$B$9)/'Vars and Stats'!$B$10, 10*Completed[[#This Row],[Raw]]/'Vars and Stats'!$B$8)</f>
        <v>5.8584160080712957</v>
      </c>
      <c r="I129" s="16">
        <v>41292</v>
      </c>
      <c r="J129" s="16">
        <v>41369</v>
      </c>
      <c r="K129" s="71" t="s">
        <v>220</v>
      </c>
      <c r="L129" s="72"/>
    </row>
    <row r="130" spans="1:12" ht="16.5">
      <c r="A130" s="15" t="s">
        <v>17</v>
      </c>
      <c r="B130" s="34">
        <v>1</v>
      </c>
      <c r="C130" s="68">
        <v>7</v>
      </c>
      <c r="D130" s="68">
        <v>6</v>
      </c>
      <c r="E130" s="68">
        <v>4.5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0" s="59">
        <f>IF('Vars and Stats'!$B$13="Y",10*(Completed[[#This Row],[Raw]]-'Vars and Stats'!$B$9)/'Vars and Stats'!$B$10, 10*Completed[[#This Row],[Raw]]/'Vars and Stats'!$B$8)</f>
        <v>5.8331932066588204</v>
      </c>
      <c r="I130" s="16">
        <v>41379</v>
      </c>
      <c r="J130" s="16">
        <v>41464</v>
      </c>
      <c r="K130" s="71" t="s">
        <v>219</v>
      </c>
      <c r="L130" s="72" t="s">
        <v>178</v>
      </c>
    </row>
    <row r="131" spans="1:12" ht="16.5">
      <c r="A131" s="15" t="s">
        <v>102</v>
      </c>
      <c r="B131" s="34">
        <v>2</v>
      </c>
      <c r="C131" s="68">
        <v>2</v>
      </c>
      <c r="D131" s="68">
        <v>7.5</v>
      </c>
      <c r="E131" s="68">
        <v>10</v>
      </c>
      <c r="F131" s="68">
        <v>8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1" s="59">
        <f>IF('Vars and Stats'!$B$13="Y",10*(Completed[[#This Row],[Raw]]-'Vars and Stats'!$B$9)/'Vars and Stats'!$B$10, 10*Completed[[#This Row],[Raw]]/'Vars and Stats'!$B$8)</f>
        <v>5.8315116865646539</v>
      </c>
      <c r="I131" s="16">
        <v>41229</v>
      </c>
      <c r="J131" s="16">
        <v>41230</v>
      </c>
      <c r="K131" s="71" t="s">
        <v>198</v>
      </c>
      <c r="L131" s="72"/>
    </row>
    <row r="132" spans="1:12" ht="16.5">
      <c r="A132" s="15" t="s">
        <v>380</v>
      </c>
      <c r="B132" s="34">
        <v>1</v>
      </c>
      <c r="C132" s="68">
        <v>5.5</v>
      </c>
      <c r="D132" s="68">
        <v>7</v>
      </c>
      <c r="E132" s="68">
        <v>4.5</v>
      </c>
      <c r="F132" s="68">
        <v>7.5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2" s="59">
        <f>IF('Vars and Stats'!$B$13="Y",10*(Completed[[#This Row],[Raw]]-'Vars and Stats'!$B$9)/'Vars and Stats'!$B$10, 10*Completed[[#This Row],[Raw]]/'Vars and Stats'!$B$8)</f>
        <v>5.8247856061879935</v>
      </c>
      <c r="I132" s="16">
        <v>41647</v>
      </c>
      <c r="J132" s="16">
        <v>41733</v>
      </c>
      <c r="K132" s="71" t="s">
        <v>400</v>
      </c>
      <c r="L132" s="72"/>
    </row>
    <row r="133" spans="1:12" ht="16.5">
      <c r="A133" s="15" t="s">
        <v>101</v>
      </c>
      <c r="B133" s="34">
        <v>1</v>
      </c>
      <c r="C133" s="68">
        <v>2</v>
      </c>
      <c r="D133" s="68">
        <v>7.5</v>
      </c>
      <c r="E133" s="68">
        <v>9.5</v>
      </c>
      <c r="F133" s="68">
        <v>8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3" s="59">
        <f>IF('Vars and Stats'!$B$13="Y",10*(Completed[[#This Row],[Raw]]-'Vars and Stats'!$B$9)/'Vars and Stats'!$B$10, 10*Completed[[#This Row],[Raw]]/'Vars and Stats'!$B$8)</f>
        <v>5.7995628047755172</v>
      </c>
      <c r="I133" s="16">
        <v>41228</v>
      </c>
      <c r="J133" s="16">
        <v>41229</v>
      </c>
      <c r="K133" s="71" t="s">
        <v>198</v>
      </c>
      <c r="L133" s="72"/>
    </row>
    <row r="134" spans="1:12" ht="16.5">
      <c r="A134" s="15" t="s">
        <v>283</v>
      </c>
      <c r="B134" s="34">
        <v>1</v>
      </c>
      <c r="C134" s="68">
        <v>5</v>
      </c>
      <c r="D134" s="68">
        <v>7.5</v>
      </c>
      <c r="E134" s="68">
        <v>7.5</v>
      </c>
      <c r="F134" s="68">
        <v>6.5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4" s="59">
        <f>IF('Vars and Stats'!$B$13="Y",10*(Completed[[#This Row],[Raw]]-'Vars and Stats'!$B$9)/'Vars and Stats'!$B$10, 10*Completed[[#This Row],[Raw]]/'Vars and Stats'!$B$8)</f>
        <v>5.4044055826467137</v>
      </c>
      <c r="I134" s="16">
        <v>41550</v>
      </c>
      <c r="J134" s="16">
        <v>41634</v>
      </c>
      <c r="K134" s="71" t="s">
        <v>283</v>
      </c>
      <c r="L134" s="72" t="s">
        <v>346</v>
      </c>
    </row>
    <row r="135" spans="1:12" ht="16.5">
      <c r="A135" s="15" t="s">
        <v>412</v>
      </c>
      <c r="B135" s="34">
        <v>1</v>
      </c>
      <c r="C135" s="68">
        <v>6</v>
      </c>
      <c r="D135" s="68">
        <v>7.5</v>
      </c>
      <c r="E135" s="68">
        <v>6</v>
      </c>
      <c r="F135" s="68">
        <v>6</v>
      </c>
      <c r="G135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5" s="70">
        <f>IF('Vars and Stats'!$B$13="Y",10*(Completed[[#This Row],[Raw]]-'Vars and Stats'!$B$9)/'Vars and Stats'!$B$10, 10*Completed[[#This Row],[Raw]]/'Vars and Stats'!$B$8)</f>
        <v>5.2194383722885487</v>
      </c>
      <c r="I135" s="16">
        <v>41796</v>
      </c>
      <c r="J135" s="16">
        <v>41820</v>
      </c>
      <c r="K135" s="71" t="s">
        <v>586</v>
      </c>
      <c r="L135" s="72" t="s">
        <v>587</v>
      </c>
    </row>
    <row r="136" spans="1:12" ht="16.5">
      <c r="A136" s="15" t="s">
        <v>130</v>
      </c>
      <c r="B136" s="34">
        <v>1</v>
      </c>
      <c r="C136" s="68">
        <v>3</v>
      </c>
      <c r="D136" s="68">
        <v>6.5</v>
      </c>
      <c r="E136" s="68">
        <v>6.5</v>
      </c>
      <c r="F136" s="68">
        <v>7.5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6" s="59">
        <f>IF('Vars and Stats'!$B$13="Y",10*(Completed[[#This Row],[Raw]]-'Vars and Stats'!$B$9)/'Vars and Stats'!$B$10, 10*Completed[[#This Row],[Raw]]/'Vars and Stats'!$B$8)</f>
        <v>5.1589036488986038</v>
      </c>
      <c r="I136" s="16">
        <v>41448</v>
      </c>
      <c r="J136" s="16">
        <v>41455</v>
      </c>
      <c r="K136" s="71" t="s">
        <v>208</v>
      </c>
      <c r="L136" s="72" t="s">
        <v>133</v>
      </c>
    </row>
    <row r="137" spans="1:12" ht="16.5">
      <c r="A137" s="15" t="s">
        <v>421</v>
      </c>
      <c r="B137" s="34">
        <v>1</v>
      </c>
      <c r="C137" s="68">
        <v>5</v>
      </c>
      <c r="D137" s="68">
        <v>6.5</v>
      </c>
      <c r="E137" s="68">
        <v>8</v>
      </c>
      <c r="F137" s="68">
        <v>6.5</v>
      </c>
      <c r="G137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37" s="70">
        <f>IF('Vars and Stats'!$B$13="Y",10*(Completed[[#This Row],[Raw]]-'Vars and Stats'!$B$9)/'Vars and Stats'!$B$10, 10*Completed[[#This Row],[Raw]]/'Vars and Stats'!$B$8)</f>
        <v>5.0765091642845146</v>
      </c>
      <c r="I137" s="16">
        <v>41785</v>
      </c>
      <c r="J137" s="16">
        <v>41814</v>
      </c>
      <c r="K137" s="71" t="s">
        <v>565</v>
      </c>
      <c r="L137" s="72"/>
    </row>
    <row r="138" spans="1:12" ht="16.5">
      <c r="A138" s="15" t="s">
        <v>289</v>
      </c>
      <c r="B138" s="34">
        <v>1</v>
      </c>
      <c r="C138" s="68">
        <v>6.5</v>
      </c>
      <c r="D138" s="68">
        <v>5.5</v>
      </c>
      <c r="E138" s="68">
        <v>7.5</v>
      </c>
      <c r="F138" s="68">
        <v>6.5</v>
      </c>
      <c r="G138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38" s="59">
        <f>IF('Vars and Stats'!$B$13="Y",10*(Completed[[#This Row],[Raw]]-'Vars and Stats'!$B$9)/'Vars and Stats'!$B$10, 10*Completed[[#This Row],[Raw]]/'Vars and Stats'!$B$8)</f>
        <v>5.0529678829662013</v>
      </c>
      <c r="I138" s="16">
        <v>41560</v>
      </c>
      <c r="J138" s="16">
        <v>41618</v>
      </c>
      <c r="K138" s="71" t="s">
        <v>340</v>
      </c>
      <c r="L138" s="72"/>
    </row>
    <row r="139" spans="1:12" ht="16.5">
      <c r="A139" s="15" t="s">
        <v>624</v>
      </c>
      <c r="B139" s="34">
        <v>1</v>
      </c>
      <c r="C139" s="68">
        <v>5.5</v>
      </c>
      <c r="D139" s="68">
        <v>6</v>
      </c>
      <c r="E139" s="68">
        <v>7</v>
      </c>
      <c r="F139" s="68">
        <v>6</v>
      </c>
      <c r="G139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39" s="70">
        <f>IF('Vars and Stats'!$B$13="Y",10*(Completed[[#This Row],[Raw]]-'Vars and Stats'!$B$9)/'Vars and Stats'!$B$10, 10*Completed[[#This Row],[Raw]]/'Vars and Stats'!$B$8)</f>
        <v>4.6208172187657635</v>
      </c>
      <c r="I139" s="16">
        <v>41828</v>
      </c>
      <c r="J139" s="16">
        <v>41915</v>
      </c>
      <c r="K139" s="71" t="s">
        <v>667</v>
      </c>
      <c r="L139" s="72"/>
    </row>
    <row r="140" spans="1:12" ht="16.5">
      <c r="A140" s="15" t="s">
        <v>103</v>
      </c>
      <c r="B140" s="34">
        <v>1</v>
      </c>
      <c r="C140" s="68">
        <v>5.5</v>
      </c>
      <c r="D140" s="68">
        <v>5.5</v>
      </c>
      <c r="E140" s="68">
        <v>5</v>
      </c>
      <c r="F140" s="68">
        <v>6</v>
      </c>
      <c r="G140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0" s="59">
        <f>IF('Vars and Stats'!$B$13="Y",10*(Completed[[#This Row],[Raw]]-'Vars and Stats'!$B$9)/'Vars and Stats'!$B$10, 10*Completed[[#This Row],[Raw]]/'Vars and Stats'!$B$8)</f>
        <v>4.3130990415335448</v>
      </c>
      <c r="I140" s="16">
        <v>41302</v>
      </c>
      <c r="J140" s="16">
        <v>41360</v>
      </c>
      <c r="K140" s="71" t="s">
        <v>210</v>
      </c>
      <c r="L140" s="72"/>
    </row>
    <row r="141" spans="1:12" ht="16.5">
      <c r="A141" s="15" t="s">
        <v>384</v>
      </c>
      <c r="B141" s="34">
        <v>1</v>
      </c>
      <c r="C141" s="68">
        <v>1.5</v>
      </c>
      <c r="D141" s="68">
        <v>5</v>
      </c>
      <c r="E141" s="68">
        <v>4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1" s="59">
        <f>IF('Vars and Stats'!$B$13="Y",10*(Completed[[#This Row],[Raw]]-'Vars and Stats'!$B$9)/'Vars and Stats'!$B$10, 10*Completed[[#This Row],[Raw]]/'Vars and Stats'!$B$8)</f>
        <v>3.4218933916260297</v>
      </c>
      <c r="I141" s="16">
        <v>41705</v>
      </c>
      <c r="J141" s="16">
        <v>41705</v>
      </c>
      <c r="K141" s="71" t="s">
        <v>385</v>
      </c>
      <c r="L141" s="72" t="s">
        <v>386</v>
      </c>
    </row>
    <row r="142" spans="1:12" ht="16.5">
      <c r="A142" s="15" t="s">
        <v>104</v>
      </c>
      <c r="B142" s="34">
        <v>1</v>
      </c>
      <c r="C142" s="68">
        <v>3.5</v>
      </c>
      <c r="D142" s="68">
        <v>5.5</v>
      </c>
      <c r="E142" s="68">
        <v>6</v>
      </c>
      <c r="F142" s="68">
        <v>5</v>
      </c>
      <c r="G142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2" s="59">
        <f>IF('Vars and Stats'!$B$13="Y",10*(Completed[[#This Row],[Raw]]-'Vars and Stats'!$B$9)/'Vars and Stats'!$B$10, 10*Completed[[#This Row],[Raw]]/'Vars and Stats'!$B$8)</f>
        <v>3.2167479401378842</v>
      </c>
      <c r="I142" s="16">
        <v>40674</v>
      </c>
      <c r="J142" s="16">
        <v>40675</v>
      </c>
      <c r="K142" s="77" t="s">
        <v>123</v>
      </c>
      <c r="L142" s="72"/>
    </row>
    <row r="143" spans="1:12" ht="16.5">
      <c r="A143" s="15" t="s">
        <v>105</v>
      </c>
      <c r="B143" s="34">
        <v>1</v>
      </c>
      <c r="C143" s="68">
        <v>3</v>
      </c>
      <c r="D143" s="68">
        <v>2</v>
      </c>
      <c r="E143" s="68">
        <v>7</v>
      </c>
      <c r="F143" s="68">
        <v>3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3" s="59">
        <f>IF('Vars and Stats'!$B$13="Y",10*(Completed[[#This Row],[Raw]]-'Vars and Stats'!$B$9)/'Vars and Stats'!$B$10, 10*Completed[[#This Row],[Raw]]/'Vars and Stats'!$B$8)</f>
        <v>0.5599461913569862</v>
      </c>
      <c r="I143" s="16">
        <v>41254</v>
      </c>
      <c r="J143" s="16">
        <v>41264</v>
      </c>
      <c r="K143" s="71" t="s">
        <v>221</v>
      </c>
      <c r="L143" s="72"/>
    </row>
    <row r="144" spans="1:12" ht="16.5">
      <c r="A144" s="15" t="s">
        <v>19</v>
      </c>
      <c r="B144" s="34">
        <v>1</v>
      </c>
      <c r="C144" s="68">
        <v>1.5</v>
      </c>
      <c r="D144" s="68">
        <v>2</v>
      </c>
      <c r="E144" s="68">
        <v>4</v>
      </c>
      <c r="F144" s="68">
        <v>3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4" s="59">
        <f>IF('Vars and Stats'!$B$13="Y",10*(Completed[[#This Row],[Raw]]-'Vars and Stats'!$B$9)/'Vars and Stats'!$B$10, 10*Completed[[#This Row],[Raw]]/'Vars and Stats'!$B$8)</f>
        <v>0</v>
      </c>
      <c r="I144" s="16">
        <v>41355</v>
      </c>
      <c r="J144" s="16">
        <v>41451</v>
      </c>
      <c r="K144" s="71" t="s">
        <v>123</v>
      </c>
      <c r="L144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3" t="s">
        <v>55</v>
      </c>
      <c r="B1" s="244"/>
      <c r="C1" s="244"/>
      <c r="D1" s="245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I16" sqref="I16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6" t="s">
        <v>297</v>
      </c>
      <c r="B1" s="247"/>
      <c r="C1" s="41" t="s">
        <v>619</v>
      </c>
      <c r="D1" s="234" t="s">
        <v>158</v>
      </c>
      <c r="E1" s="236"/>
      <c r="F1" s="23" t="s">
        <v>619</v>
      </c>
      <c r="G1" s="234" t="s">
        <v>617</v>
      </c>
      <c r="H1" s="235"/>
      <c r="I1" s="236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686</v>
      </c>
      <c r="H3" s="28" t="s">
        <v>687</v>
      </c>
      <c r="I3" s="29" t="s">
        <v>689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688</v>
      </c>
      <c r="H4" s="28" t="s">
        <v>687</v>
      </c>
      <c r="I4" s="29" t="s">
        <v>690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699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 t="s">
        <v>700</v>
      </c>
      <c r="H6" s="28" t="s">
        <v>657</v>
      </c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701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702</v>
      </c>
      <c r="H8" s="28" t="s">
        <v>657</v>
      </c>
      <c r="I8" s="29"/>
    </row>
    <row r="9" spans="1:9">
      <c r="A9" s="21"/>
      <c r="B9" s="29"/>
      <c r="D9" s="21" t="s">
        <v>161</v>
      </c>
      <c r="E9" s="29" t="s">
        <v>117</v>
      </c>
      <c r="G9" s="21" t="s">
        <v>677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 t="s">
        <v>680</v>
      </c>
      <c r="H10" s="28" t="s">
        <v>678</v>
      </c>
      <c r="I10" s="29" t="s">
        <v>681</v>
      </c>
    </row>
    <row r="11" spans="1:9">
      <c r="A11" s="21"/>
      <c r="B11" s="29"/>
      <c r="D11" s="46" t="s">
        <v>570</v>
      </c>
      <c r="E11" s="47" t="s">
        <v>426</v>
      </c>
      <c r="G11" s="21" t="s">
        <v>682</v>
      </c>
      <c r="H11" s="28" t="s">
        <v>678</v>
      </c>
      <c r="I11" s="29" t="s">
        <v>679</v>
      </c>
    </row>
    <row r="12" spans="1:9">
      <c r="A12" s="21"/>
      <c r="B12" s="29"/>
      <c r="G12" s="21" t="s">
        <v>683</v>
      </c>
      <c r="H12" s="28" t="s">
        <v>678</v>
      </c>
      <c r="I12" s="29" t="s">
        <v>684</v>
      </c>
    </row>
    <row r="13" spans="1:9">
      <c r="A13" s="21"/>
      <c r="B13" s="29"/>
      <c r="G13" s="21"/>
      <c r="H13" s="28"/>
      <c r="I13" s="29"/>
    </row>
    <row r="14" spans="1:9">
      <c r="A14" s="21"/>
      <c r="B14" s="29"/>
      <c r="D14" s="44" t="s">
        <v>627</v>
      </c>
      <c r="E14" s="45">
        <v>1.4</v>
      </c>
      <c r="G14" s="21"/>
      <c r="H14" s="28"/>
      <c r="I14" s="29"/>
    </row>
    <row r="15" spans="1:9">
      <c r="A15" s="21"/>
      <c r="B15" s="29"/>
      <c r="G15" s="21"/>
      <c r="H15" s="28"/>
      <c r="I15" s="29"/>
    </row>
    <row r="16" spans="1:9">
      <c r="A16" s="21"/>
      <c r="B16" s="29"/>
      <c r="G16" s="21"/>
      <c r="H16" s="28"/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10</v>
      </c>
      <c r="I23" s="124">
        <f>H23*22/60</f>
        <v>3.6666666666666665</v>
      </c>
    </row>
    <row r="24" spans="1:9">
      <c r="G24" s="127" t="s">
        <v>626</v>
      </c>
      <c r="H24" s="123">
        <f>COUNTIF($H1:$H22, "Y")</f>
        <v>4</v>
      </c>
      <c r="I24" s="125">
        <f>H24*22/60</f>
        <v>1.4666666666666666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B29" sqref="B2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34" t="s">
        <v>562</v>
      </c>
      <c r="B1" s="235"/>
      <c r="C1" s="235"/>
      <c r="D1" s="235"/>
      <c r="E1" s="236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33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26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7.3084784137818328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1" t="s">
        <v>81</v>
      </c>
      <c r="B16" s="252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7.3084784137818328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6.6235076509164283</v>
      </c>
      <c r="C19" s="158" t="s">
        <v>633</v>
      </c>
    </row>
    <row r="20" spans="1:5">
      <c r="A20" s="137" t="s">
        <v>90</v>
      </c>
      <c r="B20" s="138">
        <f>QUARTILE(Completed[Total], 2)</f>
        <v>7.5609551034134856</v>
      </c>
      <c r="C20" s="158" t="s">
        <v>634</v>
      </c>
      <c r="D20" s="251" t="s">
        <v>648</v>
      </c>
      <c r="E20" s="252"/>
    </row>
    <row r="21" spans="1:5">
      <c r="A21" s="137" t="s">
        <v>92</v>
      </c>
      <c r="B21" s="138">
        <f>QUARTILE(Completed[Total], 3)</f>
        <v>8.2928367243988585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20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1.6693290734824302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1.461320674996387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3365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80760</v>
      </c>
      <c r="D27" s="128" t="s">
        <v>629</v>
      </c>
      <c r="E27" s="157">
        <f>COUNTIF(Completed[Total], "&gt;=9")</f>
        <v>7</v>
      </c>
    </row>
    <row r="28" spans="1:5">
      <c r="A28" s="137" t="s">
        <v>144</v>
      </c>
      <c r="B28" s="152">
        <f ca="1">B27/60</f>
        <v>1346</v>
      </c>
      <c r="D28" s="128" t="s">
        <v>51</v>
      </c>
      <c r="E28" s="157">
        <f>COUNTIF(Completed[Total],  "&gt;=8 ")-COUNTIF(Completed[Total],"&gt;=9")</f>
        <v>44</v>
      </c>
    </row>
    <row r="29" spans="1:5">
      <c r="A29" s="143" t="s">
        <v>142</v>
      </c>
      <c r="B29" s="144">
        <f ca="1">B28/24</f>
        <v>56.083333333333336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214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96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185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2015-02-13T02:47:38Z</dcterms:modified>
</cp:coreProperties>
</file>