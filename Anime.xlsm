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599"/>
  </bookViews>
  <sheets>
    <sheet name="Anime" sheetId="5" r:id="rId1"/>
    <sheet name="Watched Shows" sheetId="8" r:id="rId2"/>
    <sheet name="Rewatches" sheetId="15" r:id="rId3"/>
    <sheet name="Movies and OVAs" sheetId="3" r:id="rId4"/>
    <sheet name="Soundtracks" sheetId="4" r:id="rId5"/>
    <sheet name="Patrick's Anime" sheetId="12" r:id="rId6"/>
    <sheet name="Sheet1" sheetId="7" r:id="rId7"/>
    <sheet name="Sheet2" sheetId="6" r:id="rId8"/>
    <sheet name="Chart Calculations" sheetId="14" r:id="rId9"/>
  </sheets>
  <calcPr calcId="152511" iterateDelta="1E-4"/>
</workbook>
</file>

<file path=xl/calcChain.xml><?xml version="1.0" encoding="utf-8"?>
<calcChain xmlns="http://schemas.openxmlformats.org/spreadsheetml/2006/main">
  <c r="AN60" i="5" l="1"/>
  <c r="AN59" i="5"/>
  <c r="AN58" i="5"/>
  <c r="AN57" i="5"/>
  <c r="S6" i="8" l="1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3" i="8"/>
  <c r="S4" i="8"/>
  <c r="A4" i="8" l="1"/>
  <c r="B4" i="8"/>
  <c r="C4" i="8"/>
  <c r="D4" i="8"/>
  <c r="E4" i="8"/>
  <c r="F4" i="8"/>
  <c r="G4" i="8"/>
  <c r="H4" i="8"/>
  <c r="I4" i="8"/>
  <c r="M4" i="8"/>
  <c r="O4" i="8"/>
  <c r="Q4" i="8"/>
  <c r="R4" i="8"/>
  <c r="A5" i="8"/>
  <c r="B5" i="8"/>
  <c r="C5" i="8"/>
  <c r="D5" i="8"/>
  <c r="E5" i="8"/>
  <c r="F5" i="8"/>
  <c r="G5" i="8"/>
  <c r="H5" i="8"/>
  <c r="I5" i="8"/>
  <c r="M5" i="8"/>
  <c r="O5" i="8"/>
  <c r="Q5" i="8"/>
  <c r="R5" i="8"/>
  <c r="S5" i="8"/>
  <c r="A6" i="8"/>
  <c r="B6" i="8"/>
  <c r="C6" i="8"/>
  <c r="D6" i="8"/>
  <c r="E6" i="8"/>
  <c r="F6" i="8"/>
  <c r="G6" i="8"/>
  <c r="H6" i="8"/>
  <c r="I6" i="8"/>
  <c r="M6" i="8"/>
  <c r="O6" i="8"/>
  <c r="Q6" i="8"/>
  <c r="R6" i="8"/>
  <c r="A7" i="8"/>
  <c r="B7" i="8"/>
  <c r="C7" i="8"/>
  <c r="D7" i="8"/>
  <c r="E7" i="8"/>
  <c r="F7" i="8"/>
  <c r="G7" i="8"/>
  <c r="H7" i="8"/>
  <c r="I7" i="8"/>
  <c r="M7" i="8"/>
  <c r="O7" i="8"/>
  <c r="Q7" i="8"/>
  <c r="R7" i="8"/>
  <c r="A8" i="8"/>
  <c r="B8" i="8"/>
  <c r="C8" i="8"/>
  <c r="D8" i="8"/>
  <c r="E8" i="8"/>
  <c r="F8" i="8"/>
  <c r="G8" i="8"/>
  <c r="H8" i="8"/>
  <c r="I8" i="8"/>
  <c r="M8" i="8"/>
  <c r="O8" i="8"/>
  <c r="Q8" i="8"/>
  <c r="R8" i="8"/>
  <c r="A9" i="8"/>
  <c r="B9" i="8"/>
  <c r="C9" i="8"/>
  <c r="D9" i="8"/>
  <c r="E9" i="8"/>
  <c r="F9" i="8"/>
  <c r="G9" i="8"/>
  <c r="H9" i="8"/>
  <c r="I9" i="8"/>
  <c r="M9" i="8"/>
  <c r="O9" i="8"/>
  <c r="Q9" i="8"/>
  <c r="R9" i="8"/>
  <c r="A10" i="8"/>
  <c r="B10" i="8"/>
  <c r="C10" i="8"/>
  <c r="D10" i="8"/>
  <c r="E10" i="8"/>
  <c r="F10" i="8"/>
  <c r="G10" i="8"/>
  <c r="H10" i="8"/>
  <c r="I10" i="8"/>
  <c r="M10" i="8"/>
  <c r="O10" i="8"/>
  <c r="Q10" i="8"/>
  <c r="R10" i="8"/>
  <c r="A11" i="8"/>
  <c r="B11" i="8"/>
  <c r="C11" i="8"/>
  <c r="D11" i="8"/>
  <c r="E11" i="8"/>
  <c r="F11" i="8"/>
  <c r="G11" i="8"/>
  <c r="H11" i="8"/>
  <c r="I11" i="8"/>
  <c r="M11" i="8"/>
  <c r="O11" i="8"/>
  <c r="Q11" i="8"/>
  <c r="R11" i="8"/>
  <c r="A12" i="8"/>
  <c r="B12" i="8"/>
  <c r="C12" i="8"/>
  <c r="D12" i="8"/>
  <c r="E12" i="8"/>
  <c r="F12" i="8"/>
  <c r="G12" i="8"/>
  <c r="H12" i="8"/>
  <c r="I12" i="8"/>
  <c r="M12" i="8"/>
  <c r="O12" i="8"/>
  <c r="Q12" i="8"/>
  <c r="R12" i="8"/>
  <c r="A13" i="8"/>
  <c r="B13" i="8"/>
  <c r="C13" i="8"/>
  <c r="D13" i="8"/>
  <c r="E13" i="8"/>
  <c r="F13" i="8"/>
  <c r="G13" i="8"/>
  <c r="H13" i="8"/>
  <c r="I13" i="8"/>
  <c r="M13" i="8"/>
  <c r="O13" i="8"/>
  <c r="Q13" i="8"/>
  <c r="R13" i="8"/>
  <c r="A14" i="8"/>
  <c r="B14" i="8"/>
  <c r="C14" i="8"/>
  <c r="D14" i="8"/>
  <c r="E14" i="8"/>
  <c r="F14" i="8"/>
  <c r="G14" i="8"/>
  <c r="H14" i="8"/>
  <c r="I14" i="8"/>
  <c r="M14" i="8"/>
  <c r="O14" i="8"/>
  <c r="Q14" i="8"/>
  <c r="R14" i="8"/>
  <c r="A15" i="8"/>
  <c r="B15" i="8"/>
  <c r="C15" i="8"/>
  <c r="D15" i="8"/>
  <c r="E15" i="8"/>
  <c r="F15" i="8"/>
  <c r="G15" i="8"/>
  <c r="H15" i="8"/>
  <c r="I15" i="8"/>
  <c r="M15" i="8"/>
  <c r="O15" i="8"/>
  <c r="Q15" i="8"/>
  <c r="R15" i="8"/>
  <c r="A16" i="8"/>
  <c r="B16" i="8"/>
  <c r="C16" i="8"/>
  <c r="D16" i="8"/>
  <c r="E16" i="8"/>
  <c r="F16" i="8"/>
  <c r="G16" i="8"/>
  <c r="H16" i="8"/>
  <c r="I16" i="8"/>
  <c r="M16" i="8"/>
  <c r="O16" i="8"/>
  <c r="Q16" i="8"/>
  <c r="R16" i="8"/>
  <c r="A17" i="8"/>
  <c r="B17" i="8"/>
  <c r="C17" i="8"/>
  <c r="D17" i="8"/>
  <c r="E17" i="8"/>
  <c r="F17" i="8"/>
  <c r="G17" i="8"/>
  <c r="H17" i="8"/>
  <c r="I17" i="8"/>
  <c r="M17" i="8"/>
  <c r="O17" i="8"/>
  <c r="Q17" i="8"/>
  <c r="R17" i="8"/>
  <c r="A18" i="8"/>
  <c r="B18" i="8"/>
  <c r="C18" i="8"/>
  <c r="D18" i="8"/>
  <c r="E18" i="8"/>
  <c r="F18" i="8"/>
  <c r="G18" i="8"/>
  <c r="H18" i="8"/>
  <c r="I18" i="8"/>
  <c r="M18" i="8"/>
  <c r="O18" i="8"/>
  <c r="Q18" i="8"/>
  <c r="R18" i="8"/>
  <c r="A19" i="8"/>
  <c r="B19" i="8"/>
  <c r="C19" i="8"/>
  <c r="D19" i="8"/>
  <c r="E19" i="8"/>
  <c r="F19" i="8"/>
  <c r="G19" i="8"/>
  <c r="H19" i="8"/>
  <c r="I19" i="8"/>
  <c r="M19" i="8"/>
  <c r="O19" i="8"/>
  <c r="Q19" i="8"/>
  <c r="R19" i="8"/>
  <c r="A20" i="8"/>
  <c r="B20" i="8"/>
  <c r="C20" i="8"/>
  <c r="D20" i="8"/>
  <c r="E20" i="8"/>
  <c r="F20" i="8"/>
  <c r="G20" i="8"/>
  <c r="H20" i="8"/>
  <c r="I20" i="8"/>
  <c r="M20" i="8"/>
  <c r="O20" i="8"/>
  <c r="Q20" i="8"/>
  <c r="R20" i="8"/>
  <c r="A21" i="8"/>
  <c r="B21" i="8"/>
  <c r="C21" i="8"/>
  <c r="D21" i="8"/>
  <c r="E21" i="8"/>
  <c r="F21" i="8"/>
  <c r="G21" i="8"/>
  <c r="H21" i="8"/>
  <c r="I21" i="8"/>
  <c r="M21" i="8"/>
  <c r="O21" i="8"/>
  <c r="Q21" i="8"/>
  <c r="R21" i="8"/>
  <c r="A22" i="8"/>
  <c r="B22" i="8"/>
  <c r="C22" i="8"/>
  <c r="D22" i="8"/>
  <c r="E22" i="8"/>
  <c r="F22" i="8"/>
  <c r="G22" i="8"/>
  <c r="H22" i="8"/>
  <c r="I22" i="8"/>
  <c r="M22" i="8"/>
  <c r="O22" i="8"/>
  <c r="Q22" i="8"/>
  <c r="R22" i="8"/>
  <c r="A23" i="8"/>
  <c r="B23" i="8"/>
  <c r="C23" i="8"/>
  <c r="D23" i="8"/>
  <c r="E23" i="8"/>
  <c r="F23" i="8"/>
  <c r="G23" i="8"/>
  <c r="H23" i="8"/>
  <c r="I23" i="8"/>
  <c r="M23" i="8"/>
  <c r="O23" i="8"/>
  <c r="Q23" i="8"/>
  <c r="R23" i="8"/>
  <c r="A24" i="8"/>
  <c r="B24" i="8"/>
  <c r="C24" i="8"/>
  <c r="D24" i="8"/>
  <c r="E24" i="8"/>
  <c r="F24" i="8"/>
  <c r="G24" i="8"/>
  <c r="H24" i="8"/>
  <c r="I24" i="8"/>
  <c r="M24" i="8"/>
  <c r="O24" i="8"/>
  <c r="Q24" i="8"/>
  <c r="R24" i="8"/>
  <c r="A25" i="8"/>
  <c r="B25" i="8"/>
  <c r="C25" i="8"/>
  <c r="D25" i="8"/>
  <c r="E25" i="8"/>
  <c r="F25" i="8"/>
  <c r="G25" i="8"/>
  <c r="H25" i="8"/>
  <c r="I25" i="8"/>
  <c r="M25" i="8"/>
  <c r="O25" i="8"/>
  <c r="Q25" i="8"/>
  <c r="R25" i="8"/>
  <c r="A26" i="8"/>
  <c r="B26" i="8"/>
  <c r="C26" i="8"/>
  <c r="D26" i="8"/>
  <c r="E26" i="8"/>
  <c r="F26" i="8"/>
  <c r="G26" i="8"/>
  <c r="H26" i="8"/>
  <c r="I26" i="8"/>
  <c r="M26" i="8"/>
  <c r="O26" i="8"/>
  <c r="Q26" i="8"/>
  <c r="R26" i="8"/>
  <c r="A27" i="8"/>
  <c r="B27" i="8"/>
  <c r="C27" i="8"/>
  <c r="D27" i="8"/>
  <c r="E27" i="8"/>
  <c r="F27" i="8"/>
  <c r="G27" i="8"/>
  <c r="H27" i="8"/>
  <c r="I27" i="8"/>
  <c r="M27" i="8"/>
  <c r="O27" i="8"/>
  <c r="Q27" i="8"/>
  <c r="R27" i="8"/>
  <c r="A28" i="8"/>
  <c r="B28" i="8"/>
  <c r="C28" i="8"/>
  <c r="D28" i="8"/>
  <c r="E28" i="8"/>
  <c r="F28" i="8"/>
  <c r="G28" i="8"/>
  <c r="H28" i="8"/>
  <c r="I28" i="8"/>
  <c r="M28" i="8"/>
  <c r="O28" i="8"/>
  <c r="Q28" i="8"/>
  <c r="R28" i="8"/>
  <c r="A29" i="8"/>
  <c r="B29" i="8"/>
  <c r="C29" i="8"/>
  <c r="D29" i="8"/>
  <c r="E29" i="8"/>
  <c r="F29" i="8"/>
  <c r="G29" i="8"/>
  <c r="H29" i="8"/>
  <c r="I29" i="8"/>
  <c r="M29" i="8"/>
  <c r="O29" i="8"/>
  <c r="Q29" i="8"/>
  <c r="R29" i="8"/>
  <c r="A30" i="8"/>
  <c r="B30" i="8"/>
  <c r="C30" i="8"/>
  <c r="D30" i="8"/>
  <c r="E30" i="8"/>
  <c r="F30" i="8"/>
  <c r="G30" i="8"/>
  <c r="H30" i="8"/>
  <c r="I30" i="8"/>
  <c r="M30" i="8"/>
  <c r="O30" i="8"/>
  <c r="Q30" i="8"/>
  <c r="R30" i="8"/>
  <c r="A31" i="8"/>
  <c r="B31" i="8"/>
  <c r="C31" i="8"/>
  <c r="D31" i="8"/>
  <c r="E31" i="8"/>
  <c r="F31" i="8"/>
  <c r="G31" i="8"/>
  <c r="H31" i="8"/>
  <c r="I31" i="8"/>
  <c r="M31" i="8"/>
  <c r="O31" i="8"/>
  <c r="Q31" i="8"/>
  <c r="R31" i="8"/>
  <c r="A32" i="8"/>
  <c r="B32" i="8"/>
  <c r="C32" i="8"/>
  <c r="D32" i="8"/>
  <c r="E32" i="8"/>
  <c r="F32" i="8"/>
  <c r="G32" i="8"/>
  <c r="H32" i="8"/>
  <c r="I32" i="8"/>
  <c r="M32" i="8"/>
  <c r="O32" i="8"/>
  <c r="Q32" i="8"/>
  <c r="R32" i="8"/>
  <c r="A33" i="8"/>
  <c r="B33" i="8"/>
  <c r="C33" i="8"/>
  <c r="D33" i="8"/>
  <c r="E33" i="8"/>
  <c r="F33" i="8"/>
  <c r="G33" i="8"/>
  <c r="H33" i="8"/>
  <c r="I33" i="8"/>
  <c r="M33" i="8"/>
  <c r="O33" i="8"/>
  <c r="Q33" i="8"/>
  <c r="R33" i="8"/>
  <c r="A34" i="8"/>
  <c r="B34" i="8"/>
  <c r="C34" i="8"/>
  <c r="D34" i="8"/>
  <c r="E34" i="8"/>
  <c r="F34" i="8"/>
  <c r="G34" i="8"/>
  <c r="H34" i="8"/>
  <c r="I34" i="8"/>
  <c r="M34" i="8"/>
  <c r="O34" i="8"/>
  <c r="Q34" i="8"/>
  <c r="R34" i="8"/>
  <c r="A35" i="8"/>
  <c r="B35" i="8"/>
  <c r="C35" i="8"/>
  <c r="D35" i="8"/>
  <c r="E35" i="8"/>
  <c r="F35" i="8"/>
  <c r="G35" i="8"/>
  <c r="H35" i="8"/>
  <c r="I35" i="8"/>
  <c r="M35" i="8"/>
  <c r="O35" i="8"/>
  <c r="Q35" i="8"/>
  <c r="R35" i="8"/>
  <c r="A36" i="8"/>
  <c r="B36" i="8"/>
  <c r="C36" i="8"/>
  <c r="D36" i="8"/>
  <c r="E36" i="8"/>
  <c r="F36" i="8"/>
  <c r="G36" i="8"/>
  <c r="H36" i="8"/>
  <c r="I36" i="8"/>
  <c r="M36" i="8"/>
  <c r="O36" i="8"/>
  <c r="Q36" i="8"/>
  <c r="R36" i="8"/>
  <c r="A37" i="8"/>
  <c r="B37" i="8"/>
  <c r="C37" i="8"/>
  <c r="D37" i="8"/>
  <c r="E37" i="8"/>
  <c r="F37" i="8"/>
  <c r="G37" i="8"/>
  <c r="H37" i="8"/>
  <c r="I37" i="8"/>
  <c r="M37" i="8"/>
  <c r="O37" i="8"/>
  <c r="Q37" i="8"/>
  <c r="R37" i="8"/>
  <c r="A38" i="8"/>
  <c r="B38" i="8"/>
  <c r="C38" i="8"/>
  <c r="D38" i="8"/>
  <c r="E38" i="8"/>
  <c r="F38" i="8"/>
  <c r="G38" i="8"/>
  <c r="H38" i="8"/>
  <c r="I38" i="8"/>
  <c r="M38" i="8"/>
  <c r="O38" i="8"/>
  <c r="Q38" i="8"/>
  <c r="R38" i="8"/>
  <c r="A39" i="8"/>
  <c r="B39" i="8"/>
  <c r="C39" i="8"/>
  <c r="D39" i="8"/>
  <c r="E39" i="8"/>
  <c r="F39" i="8"/>
  <c r="G39" i="8"/>
  <c r="H39" i="8"/>
  <c r="I39" i="8"/>
  <c r="M39" i="8"/>
  <c r="O39" i="8"/>
  <c r="Q39" i="8"/>
  <c r="R39" i="8"/>
  <c r="A40" i="8"/>
  <c r="B40" i="8"/>
  <c r="C40" i="8"/>
  <c r="D40" i="8"/>
  <c r="E40" i="8"/>
  <c r="F40" i="8"/>
  <c r="G40" i="8"/>
  <c r="H40" i="8"/>
  <c r="I40" i="8"/>
  <c r="M40" i="8"/>
  <c r="O40" i="8"/>
  <c r="Q40" i="8"/>
  <c r="R40" i="8"/>
  <c r="A41" i="8"/>
  <c r="B41" i="8"/>
  <c r="C41" i="8"/>
  <c r="D41" i="8"/>
  <c r="E41" i="8"/>
  <c r="F41" i="8"/>
  <c r="G41" i="8"/>
  <c r="H41" i="8"/>
  <c r="I41" i="8"/>
  <c r="M41" i="8"/>
  <c r="O41" i="8"/>
  <c r="Q41" i="8"/>
  <c r="R41" i="8"/>
  <c r="A42" i="8"/>
  <c r="B42" i="8"/>
  <c r="C42" i="8"/>
  <c r="D42" i="8"/>
  <c r="E42" i="8"/>
  <c r="F42" i="8"/>
  <c r="G42" i="8"/>
  <c r="H42" i="8"/>
  <c r="I42" i="8"/>
  <c r="M42" i="8"/>
  <c r="O42" i="8"/>
  <c r="Q42" i="8"/>
  <c r="R42" i="8"/>
  <c r="A43" i="8"/>
  <c r="B43" i="8"/>
  <c r="C43" i="8"/>
  <c r="D43" i="8"/>
  <c r="E43" i="8"/>
  <c r="F43" i="8"/>
  <c r="G43" i="8"/>
  <c r="H43" i="8"/>
  <c r="I43" i="8"/>
  <c r="M43" i="8"/>
  <c r="O43" i="8"/>
  <c r="Q43" i="8"/>
  <c r="R43" i="8"/>
  <c r="A44" i="8"/>
  <c r="B44" i="8"/>
  <c r="C44" i="8"/>
  <c r="D44" i="8"/>
  <c r="E44" i="8"/>
  <c r="F44" i="8"/>
  <c r="G44" i="8"/>
  <c r="H44" i="8"/>
  <c r="I44" i="8"/>
  <c r="M44" i="8"/>
  <c r="O44" i="8"/>
  <c r="Q44" i="8"/>
  <c r="R44" i="8"/>
  <c r="A45" i="8"/>
  <c r="B45" i="8"/>
  <c r="C45" i="8"/>
  <c r="D45" i="8"/>
  <c r="E45" i="8"/>
  <c r="F45" i="8"/>
  <c r="G45" i="8"/>
  <c r="H45" i="8"/>
  <c r="I45" i="8"/>
  <c r="M45" i="8"/>
  <c r="O45" i="8"/>
  <c r="Q45" i="8"/>
  <c r="R45" i="8"/>
  <c r="A46" i="8"/>
  <c r="B46" i="8"/>
  <c r="C46" i="8"/>
  <c r="D46" i="8"/>
  <c r="E46" i="8"/>
  <c r="F46" i="8"/>
  <c r="G46" i="8"/>
  <c r="H46" i="8"/>
  <c r="I46" i="8"/>
  <c r="M46" i="8"/>
  <c r="O46" i="8"/>
  <c r="Q46" i="8"/>
  <c r="R46" i="8"/>
  <c r="A47" i="8"/>
  <c r="B47" i="8"/>
  <c r="C47" i="8"/>
  <c r="D47" i="8"/>
  <c r="E47" i="8"/>
  <c r="F47" i="8"/>
  <c r="G47" i="8"/>
  <c r="H47" i="8"/>
  <c r="I47" i="8"/>
  <c r="M47" i="8"/>
  <c r="O47" i="8"/>
  <c r="Q47" i="8"/>
  <c r="R47" i="8"/>
  <c r="A48" i="8"/>
  <c r="B48" i="8"/>
  <c r="C48" i="8"/>
  <c r="D48" i="8"/>
  <c r="E48" i="8"/>
  <c r="F48" i="8"/>
  <c r="G48" i="8"/>
  <c r="H48" i="8"/>
  <c r="I48" i="8"/>
  <c r="M48" i="8"/>
  <c r="O48" i="8"/>
  <c r="Q48" i="8"/>
  <c r="R48" i="8"/>
  <c r="A49" i="8"/>
  <c r="B49" i="8"/>
  <c r="C49" i="8"/>
  <c r="D49" i="8"/>
  <c r="E49" i="8"/>
  <c r="F49" i="8"/>
  <c r="G49" i="8"/>
  <c r="H49" i="8"/>
  <c r="I49" i="8"/>
  <c r="M49" i="8"/>
  <c r="O49" i="8"/>
  <c r="Q49" i="8"/>
  <c r="R49" i="8"/>
  <c r="A50" i="8"/>
  <c r="B50" i="8"/>
  <c r="C50" i="8"/>
  <c r="D50" i="8"/>
  <c r="E50" i="8"/>
  <c r="F50" i="8"/>
  <c r="G50" i="8"/>
  <c r="H50" i="8"/>
  <c r="I50" i="8"/>
  <c r="M50" i="8"/>
  <c r="O50" i="8"/>
  <c r="Q50" i="8"/>
  <c r="R50" i="8"/>
  <c r="A51" i="8"/>
  <c r="B51" i="8"/>
  <c r="C51" i="8"/>
  <c r="D51" i="8"/>
  <c r="E51" i="8"/>
  <c r="F51" i="8"/>
  <c r="G51" i="8"/>
  <c r="H51" i="8"/>
  <c r="I51" i="8"/>
  <c r="M51" i="8"/>
  <c r="O51" i="8"/>
  <c r="Q51" i="8"/>
  <c r="R51" i="8"/>
  <c r="A52" i="8"/>
  <c r="B52" i="8"/>
  <c r="C52" i="8"/>
  <c r="D52" i="8"/>
  <c r="E52" i="8"/>
  <c r="F52" i="8"/>
  <c r="G52" i="8"/>
  <c r="H52" i="8"/>
  <c r="I52" i="8"/>
  <c r="M52" i="8"/>
  <c r="O52" i="8"/>
  <c r="Q52" i="8"/>
  <c r="R52" i="8"/>
  <c r="A53" i="8"/>
  <c r="B53" i="8"/>
  <c r="C53" i="8"/>
  <c r="D53" i="8"/>
  <c r="E53" i="8"/>
  <c r="F53" i="8"/>
  <c r="G53" i="8"/>
  <c r="H53" i="8"/>
  <c r="I53" i="8"/>
  <c r="M53" i="8"/>
  <c r="O53" i="8"/>
  <c r="Q53" i="8"/>
  <c r="R53" i="8"/>
  <c r="A54" i="8"/>
  <c r="B54" i="8"/>
  <c r="C54" i="8"/>
  <c r="D54" i="8"/>
  <c r="E54" i="8"/>
  <c r="F54" i="8"/>
  <c r="G54" i="8"/>
  <c r="H54" i="8"/>
  <c r="I54" i="8"/>
  <c r="M54" i="8"/>
  <c r="O54" i="8"/>
  <c r="Q54" i="8"/>
  <c r="R54" i="8"/>
  <c r="A55" i="8"/>
  <c r="B55" i="8"/>
  <c r="C55" i="8"/>
  <c r="D55" i="8"/>
  <c r="E55" i="8"/>
  <c r="F55" i="8"/>
  <c r="G55" i="8"/>
  <c r="H55" i="8"/>
  <c r="I55" i="8"/>
  <c r="M55" i="8"/>
  <c r="O55" i="8"/>
  <c r="Q55" i="8"/>
  <c r="R55" i="8"/>
  <c r="A56" i="8"/>
  <c r="B56" i="8"/>
  <c r="C56" i="8"/>
  <c r="D56" i="8"/>
  <c r="E56" i="8"/>
  <c r="F56" i="8"/>
  <c r="G56" i="8"/>
  <c r="H56" i="8"/>
  <c r="I56" i="8"/>
  <c r="M56" i="8"/>
  <c r="O56" i="8"/>
  <c r="Q56" i="8"/>
  <c r="R56" i="8"/>
  <c r="A57" i="8"/>
  <c r="B57" i="8"/>
  <c r="C57" i="8"/>
  <c r="D57" i="8"/>
  <c r="E57" i="8"/>
  <c r="F57" i="8"/>
  <c r="G57" i="8"/>
  <c r="H57" i="8"/>
  <c r="I57" i="8"/>
  <c r="M57" i="8"/>
  <c r="O57" i="8"/>
  <c r="Q57" i="8"/>
  <c r="R57" i="8"/>
  <c r="A58" i="8"/>
  <c r="B58" i="8"/>
  <c r="C58" i="8"/>
  <c r="D58" i="8"/>
  <c r="E58" i="8"/>
  <c r="F58" i="8"/>
  <c r="G58" i="8"/>
  <c r="H58" i="8"/>
  <c r="I58" i="8"/>
  <c r="M58" i="8"/>
  <c r="O58" i="8"/>
  <c r="Q58" i="8"/>
  <c r="R58" i="8"/>
  <c r="A59" i="8"/>
  <c r="B59" i="8"/>
  <c r="C59" i="8"/>
  <c r="D59" i="8"/>
  <c r="E59" i="8"/>
  <c r="F59" i="8"/>
  <c r="G59" i="8"/>
  <c r="H59" i="8"/>
  <c r="I59" i="8"/>
  <c r="M59" i="8"/>
  <c r="O59" i="8"/>
  <c r="Q59" i="8"/>
  <c r="R59" i="8"/>
  <c r="A60" i="8"/>
  <c r="B60" i="8"/>
  <c r="C60" i="8"/>
  <c r="D60" i="8"/>
  <c r="E60" i="8"/>
  <c r="F60" i="8"/>
  <c r="G60" i="8"/>
  <c r="H60" i="8"/>
  <c r="I60" i="8"/>
  <c r="M60" i="8"/>
  <c r="O60" i="8"/>
  <c r="Q60" i="8"/>
  <c r="R60" i="8"/>
  <c r="A61" i="8"/>
  <c r="B61" i="8"/>
  <c r="C61" i="8"/>
  <c r="D61" i="8"/>
  <c r="E61" i="8"/>
  <c r="F61" i="8"/>
  <c r="G61" i="8"/>
  <c r="H61" i="8"/>
  <c r="I61" i="8"/>
  <c r="M61" i="8"/>
  <c r="O61" i="8"/>
  <c r="Q61" i="8"/>
  <c r="R61" i="8"/>
  <c r="A62" i="8"/>
  <c r="B62" i="8"/>
  <c r="C62" i="8"/>
  <c r="D62" i="8"/>
  <c r="E62" i="8"/>
  <c r="F62" i="8"/>
  <c r="G62" i="8"/>
  <c r="H62" i="8"/>
  <c r="I62" i="8"/>
  <c r="M62" i="8"/>
  <c r="O62" i="8"/>
  <c r="Q62" i="8"/>
  <c r="R62" i="8"/>
  <c r="A63" i="8"/>
  <c r="B63" i="8"/>
  <c r="C63" i="8"/>
  <c r="D63" i="8"/>
  <c r="E63" i="8"/>
  <c r="F63" i="8"/>
  <c r="G63" i="8"/>
  <c r="H63" i="8"/>
  <c r="I63" i="8"/>
  <c r="M63" i="8"/>
  <c r="O63" i="8"/>
  <c r="Q63" i="8"/>
  <c r="R63" i="8"/>
  <c r="A64" i="8"/>
  <c r="B64" i="8"/>
  <c r="C64" i="8"/>
  <c r="D64" i="8"/>
  <c r="E64" i="8"/>
  <c r="F64" i="8"/>
  <c r="G64" i="8"/>
  <c r="H64" i="8"/>
  <c r="I64" i="8"/>
  <c r="M64" i="8"/>
  <c r="O64" i="8"/>
  <c r="Q64" i="8"/>
  <c r="R64" i="8"/>
  <c r="A65" i="8"/>
  <c r="B65" i="8"/>
  <c r="C65" i="8"/>
  <c r="D65" i="8"/>
  <c r="E65" i="8"/>
  <c r="F65" i="8"/>
  <c r="G65" i="8"/>
  <c r="H65" i="8"/>
  <c r="I65" i="8"/>
  <c r="M65" i="8"/>
  <c r="O65" i="8"/>
  <c r="Q65" i="8"/>
  <c r="R65" i="8"/>
  <c r="A66" i="8"/>
  <c r="B66" i="8"/>
  <c r="C66" i="8"/>
  <c r="D66" i="8"/>
  <c r="E66" i="8"/>
  <c r="F66" i="8"/>
  <c r="G66" i="8"/>
  <c r="H66" i="8"/>
  <c r="I66" i="8"/>
  <c r="M66" i="8"/>
  <c r="O66" i="8"/>
  <c r="Q66" i="8"/>
  <c r="R66" i="8"/>
  <c r="A67" i="8"/>
  <c r="B67" i="8"/>
  <c r="C67" i="8"/>
  <c r="D67" i="8"/>
  <c r="E67" i="8"/>
  <c r="F67" i="8"/>
  <c r="G67" i="8"/>
  <c r="H67" i="8"/>
  <c r="I67" i="8"/>
  <c r="M67" i="8"/>
  <c r="O67" i="8"/>
  <c r="Q67" i="8"/>
  <c r="R67" i="8"/>
  <c r="A68" i="8"/>
  <c r="B68" i="8"/>
  <c r="C68" i="8"/>
  <c r="D68" i="8"/>
  <c r="E68" i="8"/>
  <c r="F68" i="8"/>
  <c r="G68" i="8"/>
  <c r="H68" i="8"/>
  <c r="I68" i="8"/>
  <c r="M68" i="8"/>
  <c r="O68" i="8"/>
  <c r="Q68" i="8"/>
  <c r="R68" i="8"/>
  <c r="A69" i="8"/>
  <c r="B69" i="8"/>
  <c r="C69" i="8"/>
  <c r="D69" i="8"/>
  <c r="E69" i="8"/>
  <c r="F69" i="8"/>
  <c r="G69" i="8"/>
  <c r="H69" i="8"/>
  <c r="I69" i="8"/>
  <c r="M69" i="8"/>
  <c r="O69" i="8"/>
  <c r="Q69" i="8"/>
  <c r="R69" i="8"/>
  <c r="A70" i="8"/>
  <c r="B70" i="8"/>
  <c r="C70" i="8"/>
  <c r="D70" i="8"/>
  <c r="E70" i="8"/>
  <c r="F70" i="8"/>
  <c r="G70" i="8"/>
  <c r="H70" i="8"/>
  <c r="I70" i="8"/>
  <c r="M70" i="8"/>
  <c r="O70" i="8"/>
  <c r="Q70" i="8"/>
  <c r="R70" i="8"/>
  <c r="A71" i="8"/>
  <c r="B71" i="8"/>
  <c r="C71" i="8"/>
  <c r="D71" i="8"/>
  <c r="E71" i="8"/>
  <c r="F71" i="8"/>
  <c r="G71" i="8"/>
  <c r="H71" i="8"/>
  <c r="I71" i="8"/>
  <c r="M71" i="8"/>
  <c r="O71" i="8"/>
  <c r="Q71" i="8"/>
  <c r="R71" i="8"/>
  <c r="A72" i="8"/>
  <c r="B72" i="8"/>
  <c r="C72" i="8"/>
  <c r="D72" i="8"/>
  <c r="E72" i="8"/>
  <c r="F72" i="8"/>
  <c r="G72" i="8"/>
  <c r="H72" i="8"/>
  <c r="I72" i="8"/>
  <c r="M72" i="8"/>
  <c r="O72" i="8"/>
  <c r="Q72" i="8"/>
  <c r="R72" i="8"/>
  <c r="A73" i="8"/>
  <c r="B73" i="8"/>
  <c r="C73" i="8"/>
  <c r="D73" i="8"/>
  <c r="E73" i="8"/>
  <c r="F73" i="8"/>
  <c r="G73" i="8"/>
  <c r="H73" i="8"/>
  <c r="I73" i="8"/>
  <c r="M73" i="8"/>
  <c r="O73" i="8"/>
  <c r="Q73" i="8"/>
  <c r="R73" i="8"/>
  <c r="A74" i="8"/>
  <c r="B74" i="8"/>
  <c r="C74" i="8"/>
  <c r="D74" i="8"/>
  <c r="E74" i="8"/>
  <c r="F74" i="8"/>
  <c r="G74" i="8"/>
  <c r="H74" i="8"/>
  <c r="I74" i="8"/>
  <c r="M74" i="8"/>
  <c r="O74" i="8"/>
  <c r="Q74" i="8"/>
  <c r="R74" i="8"/>
  <c r="A75" i="8"/>
  <c r="B75" i="8"/>
  <c r="C75" i="8"/>
  <c r="D75" i="8"/>
  <c r="E75" i="8"/>
  <c r="F75" i="8"/>
  <c r="G75" i="8"/>
  <c r="H75" i="8"/>
  <c r="I75" i="8"/>
  <c r="M75" i="8"/>
  <c r="O75" i="8"/>
  <c r="Q75" i="8"/>
  <c r="R75" i="8"/>
  <c r="A76" i="8"/>
  <c r="B76" i="8"/>
  <c r="C76" i="8"/>
  <c r="D76" i="8"/>
  <c r="E76" i="8"/>
  <c r="F76" i="8"/>
  <c r="G76" i="8"/>
  <c r="H76" i="8"/>
  <c r="I76" i="8"/>
  <c r="M76" i="8"/>
  <c r="O76" i="8"/>
  <c r="Q76" i="8"/>
  <c r="R76" i="8"/>
  <c r="A77" i="8"/>
  <c r="B77" i="8"/>
  <c r="C77" i="8"/>
  <c r="D77" i="8"/>
  <c r="E77" i="8"/>
  <c r="F77" i="8"/>
  <c r="G77" i="8"/>
  <c r="H77" i="8"/>
  <c r="I77" i="8"/>
  <c r="M77" i="8"/>
  <c r="O77" i="8"/>
  <c r="Q77" i="8"/>
  <c r="R77" i="8"/>
  <c r="A78" i="8"/>
  <c r="B78" i="8"/>
  <c r="C78" i="8"/>
  <c r="D78" i="8"/>
  <c r="E78" i="8"/>
  <c r="F78" i="8"/>
  <c r="G78" i="8"/>
  <c r="H78" i="8"/>
  <c r="I78" i="8"/>
  <c r="M78" i="8"/>
  <c r="O78" i="8"/>
  <c r="Q78" i="8"/>
  <c r="R78" i="8"/>
  <c r="A79" i="8"/>
  <c r="B79" i="8"/>
  <c r="C79" i="8"/>
  <c r="D79" i="8"/>
  <c r="E79" i="8"/>
  <c r="F79" i="8"/>
  <c r="G79" i="8"/>
  <c r="H79" i="8"/>
  <c r="I79" i="8"/>
  <c r="M79" i="8"/>
  <c r="O79" i="8"/>
  <c r="Q79" i="8"/>
  <c r="R79" i="8"/>
  <c r="A80" i="8"/>
  <c r="B80" i="8"/>
  <c r="C80" i="8"/>
  <c r="D80" i="8"/>
  <c r="E80" i="8"/>
  <c r="F80" i="8"/>
  <c r="G80" i="8"/>
  <c r="H80" i="8"/>
  <c r="I80" i="8"/>
  <c r="M80" i="8"/>
  <c r="O80" i="8"/>
  <c r="Q80" i="8"/>
  <c r="R80" i="8"/>
  <c r="A81" i="8"/>
  <c r="B81" i="8"/>
  <c r="C81" i="8"/>
  <c r="D81" i="8"/>
  <c r="E81" i="8"/>
  <c r="F81" i="8"/>
  <c r="G81" i="8"/>
  <c r="H81" i="8"/>
  <c r="I81" i="8"/>
  <c r="M81" i="8"/>
  <c r="O81" i="8"/>
  <c r="Q81" i="8"/>
  <c r="R81" i="8"/>
  <c r="A82" i="8"/>
  <c r="B82" i="8"/>
  <c r="C82" i="8"/>
  <c r="D82" i="8"/>
  <c r="E82" i="8"/>
  <c r="F82" i="8"/>
  <c r="G82" i="8"/>
  <c r="H82" i="8"/>
  <c r="I82" i="8"/>
  <c r="M82" i="8"/>
  <c r="O82" i="8"/>
  <c r="Q82" i="8"/>
  <c r="R82" i="8"/>
  <c r="A83" i="8"/>
  <c r="B83" i="8"/>
  <c r="C83" i="8"/>
  <c r="D83" i="8"/>
  <c r="E83" i="8"/>
  <c r="F83" i="8"/>
  <c r="G83" i="8"/>
  <c r="H83" i="8"/>
  <c r="I83" i="8"/>
  <c r="M83" i="8"/>
  <c r="O83" i="8"/>
  <c r="Q83" i="8"/>
  <c r="R83" i="8"/>
  <c r="A84" i="8"/>
  <c r="B84" i="8"/>
  <c r="C84" i="8"/>
  <c r="D84" i="8"/>
  <c r="E84" i="8"/>
  <c r="F84" i="8"/>
  <c r="G84" i="8"/>
  <c r="H84" i="8"/>
  <c r="I84" i="8"/>
  <c r="M84" i="8"/>
  <c r="O84" i="8"/>
  <c r="Q84" i="8"/>
  <c r="R84" i="8"/>
  <c r="A85" i="8"/>
  <c r="B85" i="8"/>
  <c r="C85" i="8"/>
  <c r="D85" i="8"/>
  <c r="E85" i="8"/>
  <c r="F85" i="8"/>
  <c r="G85" i="8"/>
  <c r="H85" i="8"/>
  <c r="I85" i="8"/>
  <c r="M85" i="8"/>
  <c r="O85" i="8"/>
  <c r="Q85" i="8"/>
  <c r="R85" i="8"/>
  <c r="A86" i="8"/>
  <c r="B86" i="8"/>
  <c r="C86" i="8"/>
  <c r="D86" i="8"/>
  <c r="E86" i="8"/>
  <c r="F86" i="8"/>
  <c r="G86" i="8"/>
  <c r="H86" i="8"/>
  <c r="I86" i="8"/>
  <c r="M86" i="8"/>
  <c r="O86" i="8"/>
  <c r="Q86" i="8"/>
  <c r="R86" i="8"/>
  <c r="A87" i="8"/>
  <c r="B87" i="8"/>
  <c r="C87" i="8"/>
  <c r="D87" i="8"/>
  <c r="E87" i="8"/>
  <c r="F87" i="8"/>
  <c r="G87" i="8"/>
  <c r="H87" i="8"/>
  <c r="I87" i="8"/>
  <c r="M87" i="8"/>
  <c r="O87" i="8"/>
  <c r="Q87" i="8"/>
  <c r="R87" i="8"/>
  <c r="A88" i="8"/>
  <c r="B88" i="8"/>
  <c r="C88" i="8"/>
  <c r="D88" i="8"/>
  <c r="E88" i="8"/>
  <c r="F88" i="8"/>
  <c r="G88" i="8"/>
  <c r="H88" i="8"/>
  <c r="I88" i="8"/>
  <c r="M88" i="8"/>
  <c r="O88" i="8"/>
  <c r="Q88" i="8"/>
  <c r="R88" i="8"/>
  <c r="A89" i="8"/>
  <c r="B89" i="8"/>
  <c r="C89" i="8"/>
  <c r="D89" i="8"/>
  <c r="E89" i="8"/>
  <c r="F89" i="8"/>
  <c r="G89" i="8"/>
  <c r="H89" i="8"/>
  <c r="I89" i="8"/>
  <c r="M89" i="8"/>
  <c r="O89" i="8"/>
  <c r="Q89" i="8"/>
  <c r="R89" i="8"/>
  <c r="A90" i="8"/>
  <c r="B90" i="8"/>
  <c r="C90" i="8"/>
  <c r="D90" i="8"/>
  <c r="E90" i="8"/>
  <c r="F90" i="8"/>
  <c r="G90" i="8"/>
  <c r="H90" i="8"/>
  <c r="I90" i="8"/>
  <c r="M90" i="8"/>
  <c r="O90" i="8"/>
  <c r="Q90" i="8"/>
  <c r="R90" i="8"/>
  <c r="A91" i="8"/>
  <c r="B91" i="8"/>
  <c r="C91" i="8"/>
  <c r="D91" i="8"/>
  <c r="E91" i="8"/>
  <c r="F91" i="8"/>
  <c r="G91" i="8"/>
  <c r="H91" i="8"/>
  <c r="I91" i="8"/>
  <c r="M91" i="8"/>
  <c r="O91" i="8"/>
  <c r="Q91" i="8"/>
  <c r="R91" i="8"/>
  <c r="A92" i="8"/>
  <c r="B92" i="8"/>
  <c r="C92" i="8"/>
  <c r="D92" i="8"/>
  <c r="E92" i="8"/>
  <c r="F92" i="8"/>
  <c r="G92" i="8"/>
  <c r="H92" i="8"/>
  <c r="I92" i="8"/>
  <c r="M92" i="8"/>
  <c r="O92" i="8"/>
  <c r="Q92" i="8"/>
  <c r="R92" i="8"/>
  <c r="A93" i="8"/>
  <c r="B93" i="8"/>
  <c r="C93" i="8"/>
  <c r="D93" i="8"/>
  <c r="E93" i="8"/>
  <c r="F93" i="8"/>
  <c r="G93" i="8"/>
  <c r="H93" i="8"/>
  <c r="I93" i="8"/>
  <c r="M93" i="8"/>
  <c r="O93" i="8"/>
  <c r="Q93" i="8"/>
  <c r="R93" i="8"/>
  <c r="A94" i="8"/>
  <c r="B94" i="8"/>
  <c r="C94" i="8"/>
  <c r="D94" i="8"/>
  <c r="E94" i="8"/>
  <c r="F94" i="8"/>
  <c r="G94" i="8"/>
  <c r="H94" i="8"/>
  <c r="I94" i="8"/>
  <c r="M94" i="8"/>
  <c r="O94" i="8"/>
  <c r="Q94" i="8"/>
  <c r="R94" i="8"/>
  <c r="A95" i="8"/>
  <c r="B95" i="8"/>
  <c r="C95" i="8"/>
  <c r="D95" i="8"/>
  <c r="E95" i="8"/>
  <c r="F95" i="8"/>
  <c r="G95" i="8"/>
  <c r="H95" i="8"/>
  <c r="I95" i="8"/>
  <c r="M95" i="8"/>
  <c r="O95" i="8"/>
  <c r="Q95" i="8"/>
  <c r="R95" i="8"/>
  <c r="A96" i="8"/>
  <c r="B96" i="8"/>
  <c r="C96" i="8"/>
  <c r="D96" i="8"/>
  <c r="E96" i="8"/>
  <c r="F96" i="8"/>
  <c r="G96" i="8"/>
  <c r="H96" i="8"/>
  <c r="I96" i="8"/>
  <c r="M96" i="8"/>
  <c r="O96" i="8"/>
  <c r="Q96" i="8"/>
  <c r="R96" i="8"/>
  <c r="A97" i="8"/>
  <c r="B97" i="8"/>
  <c r="C97" i="8"/>
  <c r="D97" i="8"/>
  <c r="E97" i="8"/>
  <c r="F97" i="8"/>
  <c r="G97" i="8"/>
  <c r="H97" i="8"/>
  <c r="I97" i="8"/>
  <c r="M97" i="8"/>
  <c r="O97" i="8"/>
  <c r="Q97" i="8"/>
  <c r="R97" i="8"/>
  <c r="A98" i="8"/>
  <c r="B98" i="8"/>
  <c r="C98" i="8"/>
  <c r="D98" i="8"/>
  <c r="E98" i="8"/>
  <c r="F98" i="8"/>
  <c r="G98" i="8"/>
  <c r="H98" i="8"/>
  <c r="I98" i="8"/>
  <c r="M98" i="8"/>
  <c r="O98" i="8"/>
  <c r="Q98" i="8"/>
  <c r="R98" i="8"/>
  <c r="A99" i="8"/>
  <c r="B99" i="8"/>
  <c r="C99" i="8"/>
  <c r="D99" i="8"/>
  <c r="E99" i="8"/>
  <c r="F99" i="8"/>
  <c r="G99" i="8"/>
  <c r="H99" i="8"/>
  <c r="I99" i="8"/>
  <c r="M99" i="8"/>
  <c r="O99" i="8"/>
  <c r="Q99" i="8"/>
  <c r="R99" i="8"/>
  <c r="A100" i="8"/>
  <c r="B100" i="8"/>
  <c r="C100" i="8"/>
  <c r="D100" i="8"/>
  <c r="E100" i="8"/>
  <c r="F100" i="8"/>
  <c r="G100" i="8"/>
  <c r="H100" i="8"/>
  <c r="I100" i="8"/>
  <c r="M100" i="8"/>
  <c r="O100" i="8"/>
  <c r="Q100" i="8"/>
  <c r="R100" i="8"/>
  <c r="A101" i="8"/>
  <c r="B101" i="8"/>
  <c r="C101" i="8"/>
  <c r="D101" i="8"/>
  <c r="E101" i="8"/>
  <c r="F101" i="8"/>
  <c r="G101" i="8"/>
  <c r="H101" i="8"/>
  <c r="I101" i="8"/>
  <c r="M101" i="8"/>
  <c r="O101" i="8"/>
  <c r="Q101" i="8"/>
  <c r="R101" i="8"/>
  <c r="A102" i="8"/>
  <c r="B102" i="8"/>
  <c r="C102" i="8"/>
  <c r="D102" i="8"/>
  <c r="E102" i="8"/>
  <c r="F102" i="8"/>
  <c r="G102" i="8"/>
  <c r="H102" i="8"/>
  <c r="I102" i="8"/>
  <c r="M102" i="8"/>
  <c r="O102" i="8"/>
  <c r="Q102" i="8"/>
  <c r="R102" i="8"/>
  <c r="A103" i="8"/>
  <c r="B103" i="8"/>
  <c r="C103" i="8"/>
  <c r="D103" i="8"/>
  <c r="E103" i="8"/>
  <c r="F103" i="8"/>
  <c r="G103" i="8"/>
  <c r="H103" i="8"/>
  <c r="I103" i="8"/>
  <c r="M103" i="8"/>
  <c r="O103" i="8"/>
  <c r="Q103" i="8"/>
  <c r="R103" i="8"/>
  <c r="A104" i="8"/>
  <c r="B104" i="8"/>
  <c r="C104" i="8"/>
  <c r="D104" i="8"/>
  <c r="E104" i="8"/>
  <c r="F104" i="8"/>
  <c r="G104" i="8"/>
  <c r="H104" i="8"/>
  <c r="I104" i="8"/>
  <c r="M104" i="8"/>
  <c r="O104" i="8"/>
  <c r="Q104" i="8"/>
  <c r="R104" i="8"/>
  <c r="A105" i="8"/>
  <c r="B105" i="8"/>
  <c r="C105" i="8"/>
  <c r="D105" i="8"/>
  <c r="E105" i="8"/>
  <c r="F105" i="8"/>
  <c r="G105" i="8"/>
  <c r="H105" i="8"/>
  <c r="I105" i="8"/>
  <c r="M105" i="8"/>
  <c r="O105" i="8"/>
  <c r="Q105" i="8"/>
  <c r="R105" i="8"/>
  <c r="A106" i="8"/>
  <c r="B106" i="8"/>
  <c r="C106" i="8"/>
  <c r="D106" i="8"/>
  <c r="E106" i="8"/>
  <c r="F106" i="8"/>
  <c r="G106" i="8"/>
  <c r="H106" i="8"/>
  <c r="I106" i="8"/>
  <c r="M106" i="8"/>
  <c r="O106" i="8"/>
  <c r="Q106" i="8"/>
  <c r="R106" i="8"/>
  <c r="A107" i="8"/>
  <c r="B107" i="8"/>
  <c r="C107" i="8"/>
  <c r="D107" i="8"/>
  <c r="E107" i="8"/>
  <c r="F107" i="8"/>
  <c r="G107" i="8"/>
  <c r="H107" i="8"/>
  <c r="I107" i="8"/>
  <c r="M107" i="8"/>
  <c r="O107" i="8"/>
  <c r="Q107" i="8"/>
  <c r="R107" i="8"/>
  <c r="A108" i="8"/>
  <c r="B108" i="8"/>
  <c r="C108" i="8"/>
  <c r="D108" i="8"/>
  <c r="E108" i="8"/>
  <c r="F108" i="8"/>
  <c r="G108" i="8"/>
  <c r="H108" i="8"/>
  <c r="I108" i="8"/>
  <c r="M108" i="8"/>
  <c r="O108" i="8"/>
  <c r="Q108" i="8"/>
  <c r="R108" i="8"/>
  <c r="A109" i="8"/>
  <c r="B109" i="8"/>
  <c r="C109" i="8"/>
  <c r="D109" i="8"/>
  <c r="E109" i="8"/>
  <c r="F109" i="8"/>
  <c r="G109" i="8"/>
  <c r="H109" i="8"/>
  <c r="I109" i="8"/>
  <c r="M109" i="8"/>
  <c r="O109" i="8"/>
  <c r="Q109" i="8"/>
  <c r="R109" i="8"/>
  <c r="A110" i="8"/>
  <c r="B110" i="8"/>
  <c r="C110" i="8"/>
  <c r="D110" i="8"/>
  <c r="E110" i="8"/>
  <c r="F110" i="8"/>
  <c r="G110" i="8"/>
  <c r="H110" i="8"/>
  <c r="I110" i="8"/>
  <c r="M110" i="8"/>
  <c r="O110" i="8"/>
  <c r="Q110" i="8"/>
  <c r="R110" i="8"/>
  <c r="A111" i="8"/>
  <c r="B111" i="8"/>
  <c r="C111" i="8"/>
  <c r="D111" i="8"/>
  <c r="E111" i="8"/>
  <c r="F111" i="8"/>
  <c r="G111" i="8"/>
  <c r="H111" i="8"/>
  <c r="I111" i="8"/>
  <c r="M111" i="8"/>
  <c r="O111" i="8"/>
  <c r="Q111" i="8"/>
  <c r="R111" i="8"/>
  <c r="A112" i="8"/>
  <c r="B112" i="8"/>
  <c r="C112" i="8"/>
  <c r="D112" i="8"/>
  <c r="E112" i="8"/>
  <c r="F112" i="8"/>
  <c r="G112" i="8"/>
  <c r="H112" i="8"/>
  <c r="I112" i="8"/>
  <c r="M112" i="8"/>
  <c r="O112" i="8"/>
  <c r="Q112" i="8"/>
  <c r="R112" i="8"/>
  <c r="A113" i="8"/>
  <c r="B113" i="8"/>
  <c r="C113" i="8"/>
  <c r="D113" i="8"/>
  <c r="E113" i="8"/>
  <c r="F113" i="8"/>
  <c r="G113" i="8"/>
  <c r="H113" i="8"/>
  <c r="I113" i="8"/>
  <c r="M113" i="8"/>
  <c r="O113" i="8"/>
  <c r="Q113" i="8"/>
  <c r="R113" i="8"/>
  <c r="A114" i="8"/>
  <c r="B114" i="8"/>
  <c r="C114" i="8"/>
  <c r="D114" i="8"/>
  <c r="E114" i="8"/>
  <c r="F114" i="8"/>
  <c r="G114" i="8"/>
  <c r="H114" i="8"/>
  <c r="I114" i="8"/>
  <c r="M114" i="8"/>
  <c r="O114" i="8"/>
  <c r="Q114" i="8"/>
  <c r="R114" i="8"/>
  <c r="A115" i="8"/>
  <c r="B115" i="8"/>
  <c r="C115" i="8"/>
  <c r="D115" i="8"/>
  <c r="E115" i="8"/>
  <c r="F115" i="8"/>
  <c r="G115" i="8"/>
  <c r="H115" i="8"/>
  <c r="I115" i="8"/>
  <c r="M115" i="8"/>
  <c r="O115" i="8"/>
  <c r="Q115" i="8"/>
  <c r="R115" i="8"/>
  <c r="A116" i="8"/>
  <c r="B116" i="8"/>
  <c r="C116" i="8"/>
  <c r="D116" i="8"/>
  <c r="E116" i="8"/>
  <c r="F116" i="8"/>
  <c r="G116" i="8"/>
  <c r="H116" i="8"/>
  <c r="I116" i="8"/>
  <c r="J116" i="8"/>
  <c r="K116" i="8"/>
  <c r="L116" i="8"/>
  <c r="M116" i="8"/>
  <c r="N116" i="8"/>
  <c r="O116" i="8"/>
  <c r="P116" i="8"/>
  <c r="Q116" i="8"/>
  <c r="R116" i="8"/>
  <c r="A117" i="8"/>
  <c r="B117" i="8"/>
  <c r="C117" i="8"/>
  <c r="D117" i="8"/>
  <c r="E117" i="8"/>
  <c r="F117" i="8"/>
  <c r="G117" i="8"/>
  <c r="H117" i="8"/>
  <c r="I117" i="8"/>
  <c r="J117" i="8"/>
  <c r="K117" i="8"/>
  <c r="L117" i="8"/>
  <c r="M117" i="8"/>
  <c r="N117" i="8"/>
  <c r="O117" i="8"/>
  <c r="P117" i="8"/>
  <c r="Q117" i="8"/>
  <c r="R117" i="8"/>
  <c r="A118" i="8"/>
  <c r="B118" i="8"/>
  <c r="C118" i="8"/>
  <c r="D118" i="8"/>
  <c r="E118" i="8"/>
  <c r="F118" i="8"/>
  <c r="G118" i="8"/>
  <c r="H118" i="8"/>
  <c r="I118" i="8"/>
  <c r="J118" i="8"/>
  <c r="K118" i="8"/>
  <c r="L118" i="8"/>
  <c r="M118" i="8"/>
  <c r="N118" i="8"/>
  <c r="O118" i="8"/>
  <c r="P118" i="8"/>
  <c r="Q118" i="8"/>
  <c r="R118" i="8"/>
  <c r="A119" i="8"/>
  <c r="B119" i="8"/>
  <c r="C119" i="8"/>
  <c r="D119" i="8"/>
  <c r="E119" i="8"/>
  <c r="F119" i="8"/>
  <c r="G119" i="8"/>
  <c r="H119" i="8"/>
  <c r="I119" i="8"/>
  <c r="J119" i="8"/>
  <c r="K119" i="8"/>
  <c r="L119" i="8"/>
  <c r="M119" i="8"/>
  <c r="N119" i="8"/>
  <c r="O119" i="8"/>
  <c r="P119" i="8"/>
  <c r="Q119" i="8"/>
  <c r="R119" i="8"/>
  <c r="A120" i="8"/>
  <c r="B120" i="8"/>
  <c r="C120" i="8"/>
  <c r="D120" i="8"/>
  <c r="E120" i="8"/>
  <c r="F120" i="8"/>
  <c r="G120" i="8"/>
  <c r="H120" i="8"/>
  <c r="I120" i="8"/>
  <c r="J120" i="8"/>
  <c r="K120" i="8"/>
  <c r="L120" i="8"/>
  <c r="M120" i="8"/>
  <c r="N120" i="8"/>
  <c r="O120" i="8"/>
  <c r="P120" i="8"/>
  <c r="Q120" i="8"/>
  <c r="R120" i="8"/>
  <c r="A121" i="8"/>
  <c r="B121" i="8"/>
  <c r="C121" i="8"/>
  <c r="D121" i="8"/>
  <c r="E121" i="8"/>
  <c r="F121" i="8"/>
  <c r="G121" i="8"/>
  <c r="H121" i="8"/>
  <c r="I121" i="8"/>
  <c r="J121" i="8"/>
  <c r="K121" i="8"/>
  <c r="L121" i="8"/>
  <c r="M121" i="8"/>
  <c r="N121" i="8"/>
  <c r="O121" i="8"/>
  <c r="P121" i="8"/>
  <c r="Q121" i="8"/>
  <c r="R121" i="8"/>
  <c r="A122" i="8"/>
  <c r="B122" i="8"/>
  <c r="C122" i="8"/>
  <c r="D122" i="8"/>
  <c r="E122" i="8"/>
  <c r="F122" i="8"/>
  <c r="G122" i="8"/>
  <c r="H122" i="8"/>
  <c r="I122" i="8"/>
  <c r="J122" i="8"/>
  <c r="K122" i="8"/>
  <c r="L122" i="8"/>
  <c r="M122" i="8"/>
  <c r="N122" i="8"/>
  <c r="O122" i="8"/>
  <c r="P122" i="8"/>
  <c r="Q122" i="8"/>
  <c r="R122" i="8"/>
  <c r="A123" i="8"/>
  <c r="B123" i="8"/>
  <c r="C123" i="8"/>
  <c r="D123" i="8"/>
  <c r="E123" i="8"/>
  <c r="F123" i="8"/>
  <c r="G123" i="8"/>
  <c r="H123" i="8"/>
  <c r="I123" i="8"/>
  <c r="J123" i="8"/>
  <c r="K123" i="8"/>
  <c r="L123" i="8"/>
  <c r="M123" i="8"/>
  <c r="N123" i="8"/>
  <c r="O123" i="8"/>
  <c r="P123" i="8"/>
  <c r="Q123" i="8"/>
  <c r="R123" i="8"/>
  <c r="A124" i="8"/>
  <c r="B124" i="8"/>
  <c r="C124" i="8"/>
  <c r="D124" i="8"/>
  <c r="E124" i="8"/>
  <c r="F124" i="8"/>
  <c r="G124" i="8"/>
  <c r="H124" i="8"/>
  <c r="I124" i="8"/>
  <c r="J124" i="8"/>
  <c r="K124" i="8"/>
  <c r="L124" i="8"/>
  <c r="M124" i="8"/>
  <c r="N124" i="8"/>
  <c r="O124" i="8"/>
  <c r="P124" i="8"/>
  <c r="Q124" i="8"/>
  <c r="R124" i="8"/>
  <c r="A125" i="8"/>
  <c r="B125" i="8"/>
  <c r="C125" i="8"/>
  <c r="D125" i="8"/>
  <c r="E125" i="8"/>
  <c r="F125" i="8"/>
  <c r="G125" i="8"/>
  <c r="H125" i="8"/>
  <c r="I125" i="8"/>
  <c r="J125" i="8"/>
  <c r="K125" i="8"/>
  <c r="L125" i="8"/>
  <c r="M125" i="8"/>
  <c r="N125" i="8"/>
  <c r="O125" i="8"/>
  <c r="P125" i="8"/>
  <c r="Q125" i="8"/>
  <c r="R125" i="8"/>
  <c r="A126" i="8"/>
  <c r="B126" i="8"/>
  <c r="C126" i="8"/>
  <c r="D126" i="8"/>
  <c r="E126" i="8"/>
  <c r="F126" i="8"/>
  <c r="G126" i="8"/>
  <c r="H126" i="8"/>
  <c r="I126" i="8"/>
  <c r="J126" i="8"/>
  <c r="K126" i="8"/>
  <c r="L126" i="8"/>
  <c r="M126" i="8"/>
  <c r="N126" i="8"/>
  <c r="O126" i="8"/>
  <c r="P126" i="8"/>
  <c r="Q126" i="8"/>
  <c r="R126" i="8"/>
  <c r="A127" i="8"/>
  <c r="B127" i="8"/>
  <c r="C127" i="8"/>
  <c r="D127" i="8"/>
  <c r="E127" i="8"/>
  <c r="F127" i="8"/>
  <c r="G127" i="8"/>
  <c r="H127" i="8"/>
  <c r="I127" i="8"/>
  <c r="J127" i="8"/>
  <c r="K127" i="8"/>
  <c r="L127" i="8"/>
  <c r="M127" i="8"/>
  <c r="N127" i="8"/>
  <c r="O127" i="8"/>
  <c r="P127" i="8"/>
  <c r="Q127" i="8"/>
  <c r="R127" i="8"/>
  <c r="A128" i="8"/>
  <c r="B128" i="8"/>
  <c r="C128" i="8"/>
  <c r="D128" i="8"/>
  <c r="E128" i="8"/>
  <c r="F128" i="8"/>
  <c r="G128" i="8"/>
  <c r="H128" i="8"/>
  <c r="I128" i="8"/>
  <c r="J128" i="8"/>
  <c r="K128" i="8"/>
  <c r="L128" i="8"/>
  <c r="M128" i="8"/>
  <c r="N128" i="8"/>
  <c r="O128" i="8"/>
  <c r="P128" i="8"/>
  <c r="Q128" i="8"/>
  <c r="R128" i="8"/>
  <c r="A129" i="8"/>
  <c r="B129" i="8"/>
  <c r="C129" i="8"/>
  <c r="D129" i="8"/>
  <c r="E129" i="8"/>
  <c r="F129" i="8"/>
  <c r="G129" i="8"/>
  <c r="H129" i="8"/>
  <c r="I129" i="8"/>
  <c r="J129" i="8"/>
  <c r="K129" i="8"/>
  <c r="L129" i="8"/>
  <c r="M129" i="8"/>
  <c r="N129" i="8"/>
  <c r="O129" i="8"/>
  <c r="P129" i="8"/>
  <c r="Q129" i="8"/>
  <c r="R129" i="8"/>
  <c r="A130" i="8"/>
  <c r="B130" i="8"/>
  <c r="C130" i="8"/>
  <c r="D130" i="8"/>
  <c r="E130" i="8"/>
  <c r="F130" i="8"/>
  <c r="G130" i="8"/>
  <c r="H130" i="8"/>
  <c r="I130" i="8"/>
  <c r="J130" i="8"/>
  <c r="K130" i="8"/>
  <c r="L130" i="8"/>
  <c r="M130" i="8"/>
  <c r="N130" i="8"/>
  <c r="O130" i="8"/>
  <c r="P130" i="8"/>
  <c r="Q130" i="8"/>
  <c r="R130" i="8"/>
  <c r="A131" i="8"/>
  <c r="B131" i="8"/>
  <c r="C131" i="8"/>
  <c r="D131" i="8"/>
  <c r="E131" i="8"/>
  <c r="F131" i="8"/>
  <c r="G131" i="8"/>
  <c r="H131" i="8"/>
  <c r="I131" i="8"/>
  <c r="J131" i="8"/>
  <c r="K131" i="8"/>
  <c r="L131" i="8"/>
  <c r="M131" i="8"/>
  <c r="N131" i="8"/>
  <c r="O131" i="8"/>
  <c r="P131" i="8"/>
  <c r="Q131" i="8"/>
  <c r="R131" i="8"/>
  <c r="A132" i="8"/>
  <c r="B132" i="8"/>
  <c r="C132" i="8"/>
  <c r="D132" i="8"/>
  <c r="E132" i="8"/>
  <c r="F132" i="8"/>
  <c r="G132" i="8"/>
  <c r="H132" i="8"/>
  <c r="I132" i="8"/>
  <c r="J132" i="8"/>
  <c r="K132" i="8"/>
  <c r="L132" i="8"/>
  <c r="M132" i="8"/>
  <c r="N132" i="8"/>
  <c r="O132" i="8"/>
  <c r="P132" i="8"/>
  <c r="Q132" i="8"/>
  <c r="R132" i="8"/>
  <c r="A133" i="8"/>
  <c r="B133" i="8"/>
  <c r="C133" i="8"/>
  <c r="D133" i="8"/>
  <c r="E133" i="8"/>
  <c r="F133" i="8"/>
  <c r="G133" i="8"/>
  <c r="H133" i="8"/>
  <c r="I133" i="8"/>
  <c r="J133" i="8"/>
  <c r="K133" i="8"/>
  <c r="L133" i="8"/>
  <c r="M133" i="8"/>
  <c r="N133" i="8"/>
  <c r="O133" i="8"/>
  <c r="P133" i="8"/>
  <c r="Q133" i="8"/>
  <c r="R133" i="8"/>
  <c r="A134" i="8"/>
  <c r="B134" i="8"/>
  <c r="C134" i="8"/>
  <c r="D134" i="8"/>
  <c r="E134" i="8"/>
  <c r="F134" i="8"/>
  <c r="G134" i="8"/>
  <c r="H134" i="8"/>
  <c r="I134" i="8"/>
  <c r="J134" i="8"/>
  <c r="K134" i="8"/>
  <c r="L134" i="8"/>
  <c r="M134" i="8"/>
  <c r="N134" i="8"/>
  <c r="O134" i="8"/>
  <c r="P134" i="8"/>
  <c r="Q134" i="8"/>
  <c r="R134" i="8"/>
  <c r="A135" i="8"/>
  <c r="B135" i="8"/>
  <c r="C135" i="8"/>
  <c r="D135" i="8"/>
  <c r="E135" i="8"/>
  <c r="F135" i="8"/>
  <c r="G135" i="8"/>
  <c r="H135" i="8"/>
  <c r="I135" i="8"/>
  <c r="J135" i="8"/>
  <c r="K135" i="8"/>
  <c r="L135" i="8"/>
  <c r="M135" i="8"/>
  <c r="N135" i="8"/>
  <c r="O135" i="8"/>
  <c r="P135" i="8"/>
  <c r="Q135" i="8"/>
  <c r="R135" i="8"/>
  <c r="A136" i="8"/>
  <c r="B136" i="8"/>
  <c r="C136" i="8"/>
  <c r="D136" i="8"/>
  <c r="E136" i="8"/>
  <c r="F136" i="8"/>
  <c r="G136" i="8"/>
  <c r="H136" i="8"/>
  <c r="I136" i="8"/>
  <c r="J136" i="8"/>
  <c r="K136" i="8"/>
  <c r="L136" i="8"/>
  <c r="M136" i="8"/>
  <c r="N136" i="8"/>
  <c r="O136" i="8"/>
  <c r="P136" i="8"/>
  <c r="Q136" i="8"/>
  <c r="R136" i="8"/>
  <c r="A137" i="8"/>
  <c r="B137" i="8"/>
  <c r="C137" i="8"/>
  <c r="D137" i="8"/>
  <c r="E137" i="8"/>
  <c r="F137" i="8"/>
  <c r="G137" i="8"/>
  <c r="H137" i="8"/>
  <c r="I137" i="8"/>
  <c r="J137" i="8"/>
  <c r="K137" i="8"/>
  <c r="L137" i="8"/>
  <c r="M137" i="8"/>
  <c r="N137" i="8"/>
  <c r="O137" i="8"/>
  <c r="P137" i="8"/>
  <c r="Q137" i="8"/>
  <c r="R137" i="8"/>
  <c r="A138" i="8"/>
  <c r="B138" i="8"/>
  <c r="C138" i="8"/>
  <c r="D138" i="8"/>
  <c r="E138" i="8"/>
  <c r="F138" i="8"/>
  <c r="G138" i="8"/>
  <c r="H138" i="8"/>
  <c r="I138" i="8"/>
  <c r="J138" i="8"/>
  <c r="K138" i="8"/>
  <c r="L138" i="8"/>
  <c r="M138" i="8"/>
  <c r="N138" i="8"/>
  <c r="O138" i="8"/>
  <c r="P138" i="8"/>
  <c r="Q138" i="8"/>
  <c r="R138" i="8"/>
  <c r="A139" i="8"/>
  <c r="B139" i="8"/>
  <c r="C139" i="8"/>
  <c r="D139" i="8"/>
  <c r="E139" i="8"/>
  <c r="F139" i="8"/>
  <c r="G139" i="8"/>
  <c r="H139" i="8"/>
  <c r="I139" i="8"/>
  <c r="J139" i="8"/>
  <c r="K139" i="8"/>
  <c r="L139" i="8"/>
  <c r="M139" i="8"/>
  <c r="N139" i="8"/>
  <c r="O139" i="8"/>
  <c r="P139" i="8"/>
  <c r="Q139" i="8"/>
  <c r="R139" i="8"/>
  <c r="A140" i="8"/>
  <c r="B140" i="8"/>
  <c r="C140" i="8"/>
  <c r="D140" i="8"/>
  <c r="E140" i="8"/>
  <c r="F140" i="8"/>
  <c r="G140" i="8"/>
  <c r="H140" i="8"/>
  <c r="I140" i="8"/>
  <c r="J140" i="8"/>
  <c r="K140" i="8"/>
  <c r="L140" i="8"/>
  <c r="M140" i="8"/>
  <c r="N140" i="8"/>
  <c r="O140" i="8"/>
  <c r="P140" i="8"/>
  <c r="Q140" i="8"/>
  <c r="R140" i="8"/>
  <c r="A141" i="8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R141" i="8"/>
  <c r="A142" i="8"/>
  <c r="B142" i="8"/>
  <c r="C142" i="8"/>
  <c r="D142" i="8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R142" i="8"/>
  <c r="A143" i="8"/>
  <c r="B143" i="8"/>
  <c r="C143" i="8"/>
  <c r="D143" i="8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R143" i="8"/>
  <c r="A144" i="8"/>
  <c r="B144" i="8"/>
  <c r="C144" i="8"/>
  <c r="D144" i="8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R144" i="8"/>
  <c r="A145" i="8"/>
  <c r="B145" i="8"/>
  <c r="C145" i="8"/>
  <c r="D145" i="8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R145" i="8"/>
  <c r="A146" i="8"/>
  <c r="B146" i="8"/>
  <c r="C146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R146" i="8"/>
  <c r="A147" i="8"/>
  <c r="B147" i="8"/>
  <c r="C147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R147" i="8"/>
  <c r="A148" i="8"/>
  <c r="B148" i="8"/>
  <c r="C148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R148" i="8"/>
  <c r="A149" i="8"/>
  <c r="B149" i="8"/>
  <c r="C149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R149" i="8"/>
  <c r="A150" i="8"/>
  <c r="B150" i="8"/>
  <c r="C150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R150" i="8"/>
  <c r="A151" i="8"/>
  <c r="B151" i="8"/>
  <c r="C151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R151" i="8"/>
  <c r="A152" i="8"/>
  <c r="B152" i="8"/>
  <c r="C152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R152" i="8"/>
  <c r="A153" i="8"/>
  <c r="B153" i="8"/>
  <c r="C153" i="8"/>
  <c r="D153" i="8"/>
  <c r="E153" i="8"/>
  <c r="F153" i="8"/>
  <c r="G153" i="8"/>
  <c r="H153" i="8"/>
  <c r="I153" i="8"/>
  <c r="J153" i="8"/>
  <c r="K153" i="8"/>
  <c r="L153" i="8"/>
  <c r="M153" i="8"/>
  <c r="N153" i="8"/>
  <c r="O153" i="8"/>
  <c r="P153" i="8"/>
  <c r="Q153" i="8"/>
  <c r="R153" i="8"/>
  <c r="A154" i="8"/>
  <c r="B154" i="8"/>
  <c r="C154" i="8"/>
  <c r="D154" i="8"/>
  <c r="E154" i="8"/>
  <c r="F154" i="8"/>
  <c r="G154" i="8"/>
  <c r="H154" i="8"/>
  <c r="I154" i="8"/>
  <c r="J154" i="8"/>
  <c r="K154" i="8"/>
  <c r="L154" i="8"/>
  <c r="M154" i="8"/>
  <c r="N154" i="8"/>
  <c r="O154" i="8"/>
  <c r="P154" i="8"/>
  <c r="Q154" i="8"/>
  <c r="R154" i="8"/>
  <c r="A155" i="8"/>
  <c r="B155" i="8"/>
  <c r="C155" i="8"/>
  <c r="D155" i="8"/>
  <c r="E155" i="8"/>
  <c r="F155" i="8"/>
  <c r="G155" i="8"/>
  <c r="H155" i="8"/>
  <c r="I155" i="8"/>
  <c r="J155" i="8"/>
  <c r="K155" i="8"/>
  <c r="L155" i="8"/>
  <c r="M155" i="8"/>
  <c r="N155" i="8"/>
  <c r="O155" i="8"/>
  <c r="P155" i="8"/>
  <c r="Q155" i="8"/>
  <c r="R155" i="8"/>
  <c r="A156" i="8"/>
  <c r="B156" i="8"/>
  <c r="C156" i="8"/>
  <c r="D156" i="8"/>
  <c r="E156" i="8"/>
  <c r="F156" i="8"/>
  <c r="G156" i="8"/>
  <c r="H156" i="8"/>
  <c r="I156" i="8"/>
  <c r="J156" i="8"/>
  <c r="K156" i="8"/>
  <c r="L156" i="8"/>
  <c r="M156" i="8"/>
  <c r="N156" i="8"/>
  <c r="O156" i="8"/>
  <c r="P156" i="8"/>
  <c r="Q156" i="8"/>
  <c r="R156" i="8"/>
  <c r="A157" i="8"/>
  <c r="B157" i="8"/>
  <c r="C157" i="8"/>
  <c r="D157" i="8"/>
  <c r="E157" i="8"/>
  <c r="F157" i="8"/>
  <c r="G157" i="8"/>
  <c r="H157" i="8"/>
  <c r="I157" i="8"/>
  <c r="J157" i="8"/>
  <c r="K157" i="8"/>
  <c r="L157" i="8"/>
  <c r="M157" i="8"/>
  <c r="N157" i="8"/>
  <c r="O157" i="8"/>
  <c r="P157" i="8"/>
  <c r="Q157" i="8"/>
  <c r="R157" i="8"/>
  <c r="A158" i="8"/>
  <c r="B158" i="8"/>
  <c r="C158" i="8"/>
  <c r="D158" i="8"/>
  <c r="E158" i="8"/>
  <c r="F158" i="8"/>
  <c r="G158" i="8"/>
  <c r="H158" i="8"/>
  <c r="I158" i="8"/>
  <c r="J158" i="8"/>
  <c r="K158" i="8"/>
  <c r="L158" i="8"/>
  <c r="M158" i="8"/>
  <c r="N158" i="8"/>
  <c r="O158" i="8"/>
  <c r="P158" i="8"/>
  <c r="Q158" i="8"/>
  <c r="R158" i="8"/>
  <c r="A159" i="8"/>
  <c r="B159" i="8"/>
  <c r="C159" i="8"/>
  <c r="D159" i="8"/>
  <c r="E159" i="8"/>
  <c r="F159" i="8"/>
  <c r="G159" i="8"/>
  <c r="H159" i="8"/>
  <c r="I159" i="8"/>
  <c r="J159" i="8"/>
  <c r="K159" i="8"/>
  <c r="L159" i="8"/>
  <c r="M159" i="8"/>
  <c r="N159" i="8"/>
  <c r="O159" i="8"/>
  <c r="P159" i="8"/>
  <c r="Q159" i="8"/>
  <c r="R159" i="8"/>
  <c r="A160" i="8"/>
  <c r="B160" i="8"/>
  <c r="C160" i="8"/>
  <c r="D160" i="8"/>
  <c r="E160" i="8"/>
  <c r="F160" i="8"/>
  <c r="G160" i="8"/>
  <c r="H160" i="8"/>
  <c r="I160" i="8"/>
  <c r="J160" i="8"/>
  <c r="K160" i="8"/>
  <c r="L160" i="8"/>
  <c r="M160" i="8"/>
  <c r="N160" i="8"/>
  <c r="O160" i="8"/>
  <c r="P160" i="8"/>
  <c r="Q160" i="8"/>
  <c r="R160" i="8"/>
  <c r="A161" i="8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R161" i="8"/>
  <c r="A162" i="8"/>
  <c r="B162" i="8"/>
  <c r="C162" i="8"/>
  <c r="D162" i="8"/>
  <c r="E162" i="8"/>
  <c r="F162" i="8"/>
  <c r="G162" i="8"/>
  <c r="H162" i="8"/>
  <c r="I162" i="8"/>
  <c r="J162" i="8"/>
  <c r="K162" i="8"/>
  <c r="L162" i="8"/>
  <c r="M162" i="8"/>
  <c r="N162" i="8"/>
  <c r="O162" i="8"/>
  <c r="P162" i="8"/>
  <c r="Q162" i="8"/>
  <c r="R162" i="8"/>
  <c r="A163" i="8"/>
  <c r="B163" i="8"/>
  <c r="C163" i="8"/>
  <c r="D163" i="8"/>
  <c r="E163" i="8"/>
  <c r="F163" i="8"/>
  <c r="G163" i="8"/>
  <c r="H163" i="8"/>
  <c r="I163" i="8"/>
  <c r="J163" i="8"/>
  <c r="K163" i="8"/>
  <c r="L163" i="8"/>
  <c r="M163" i="8"/>
  <c r="N163" i="8"/>
  <c r="O163" i="8"/>
  <c r="P163" i="8"/>
  <c r="Q163" i="8"/>
  <c r="R163" i="8"/>
  <c r="A164" i="8"/>
  <c r="B164" i="8"/>
  <c r="C164" i="8"/>
  <c r="D164" i="8"/>
  <c r="E164" i="8"/>
  <c r="F164" i="8"/>
  <c r="G164" i="8"/>
  <c r="H164" i="8"/>
  <c r="I164" i="8"/>
  <c r="J164" i="8"/>
  <c r="K164" i="8"/>
  <c r="L164" i="8"/>
  <c r="M164" i="8"/>
  <c r="N164" i="8"/>
  <c r="O164" i="8"/>
  <c r="P164" i="8"/>
  <c r="Q164" i="8"/>
  <c r="R164" i="8"/>
  <c r="A165" i="8"/>
  <c r="B165" i="8"/>
  <c r="C165" i="8"/>
  <c r="D165" i="8"/>
  <c r="E165" i="8"/>
  <c r="F165" i="8"/>
  <c r="G165" i="8"/>
  <c r="H165" i="8"/>
  <c r="I165" i="8"/>
  <c r="J165" i="8"/>
  <c r="K165" i="8"/>
  <c r="L165" i="8"/>
  <c r="M165" i="8"/>
  <c r="N165" i="8"/>
  <c r="O165" i="8"/>
  <c r="P165" i="8"/>
  <c r="Q165" i="8"/>
  <c r="R165" i="8"/>
  <c r="A166" i="8"/>
  <c r="B166" i="8"/>
  <c r="C166" i="8"/>
  <c r="D166" i="8"/>
  <c r="E166" i="8"/>
  <c r="F166" i="8"/>
  <c r="G166" i="8"/>
  <c r="H166" i="8"/>
  <c r="I166" i="8"/>
  <c r="J166" i="8"/>
  <c r="K166" i="8"/>
  <c r="L166" i="8"/>
  <c r="M166" i="8"/>
  <c r="N166" i="8"/>
  <c r="O166" i="8"/>
  <c r="P166" i="8"/>
  <c r="Q166" i="8"/>
  <c r="R166" i="8"/>
  <c r="A167" i="8"/>
  <c r="B167" i="8"/>
  <c r="C167" i="8"/>
  <c r="D167" i="8"/>
  <c r="E167" i="8"/>
  <c r="F167" i="8"/>
  <c r="G167" i="8"/>
  <c r="H167" i="8"/>
  <c r="I167" i="8"/>
  <c r="J167" i="8"/>
  <c r="K167" i="8"/>
  <c r="L167" i="8"/>
  <c r="M167" i="8"/>
  <c r="N167" i="8"/>
  <c r="O167" i="8"/>
  <c r="P167" i="8"/>
  <c r="Q167" i="8"/>
  <c r="R167" i="8"/>
  <c r="A168" i="8"/>
  <c r="B168" i="8"/>
  <c r="C168" i="8"/>
  <c r="D168" i="8"/>
  <c r="E168" i="8"/>
  <c r="F168" i="8"/>
  <c r="G168" i="8"/>
  <c r="H168" i="8"/>
  <c r="I168" i="8"/>
  <c r="J168" i="8"/>
  <c r="K168" i="8"/>
  <c r="L168" i="8"/>
  <c r="M168" i="8"/>
  <c r="N168" i="8"/>
  <c r="O168" i="8"/>
  <c r="P168" i="8"/>
  <c r="Q168" i="8"/>
  <c r="R168" i="8"/>
  <c r="A169" i="8"/>
  <c r="B169" i="8"/>
  <c r="C169" i="8"/>
  <c r="D169" i="8"/>
  <c r="E169" i="8"/>
  <c r="F169" i="8"/>
  <c r="G169" i="8"/>
  <c r="H169" i="8"/>
  <c r="I169" i="8"/>
  <c r="J169" i="8"/>
  <c r="K169" i="8"/>
  <c r="L169" i="8"/>
  <c r="M169" i="8"/>
  <c r="N169" i="8"/>
  <c r="O169" i="8"/>
  <c r="P169" i="8"/>
  <c r="Q169" i="8"/>
  <c r="R169" i="8"/>
  <c r="A170" i="8"/>
  <c r="B170" i="8"/>
  <c r="C170" i="8"/>
  <c r="D170" i="8"/>
  <c r="E170" i="8"/>
  <c r="F170" i="8"/>
  <c r="G170" i="8"/>
  <c r="H170" i="8"/>
  <c r="I170" i="8"/>
  <c r="J170" i="8"/>
  <c r="K170" i="8"/>
  <c r="L170" i="8"/>
  <c r="M170" i="8"/>
  <c r="N170" i="8"/>
  <c r="O170" i="8"/>
  <c r="P170" i="8"/>
  <c r="Q170" i="8"/>
  <c r="R170" i="8"/>
  <c r="A171" i="8"/>
  <c r="B171" i="8"/>
  <c r="C171" i="8"/>
  <c r="D171" i="8"/>
  <c r="E171" i="8"/>
  <c r="F171" i="8"/>
  <c r="G171" i="8"/>
  <c r="H171" i="8"/>
  <c r="I171" i="8"/>
  <c r="J171" i="8"/>
  <c r="K171" i="8"/>
  <c r="L171" i="8"/>
  <c r="M171" i="8"/>
  <c r="N171" i="8"/>
  <c r="O171" i="8"/>
  <c r="P171" i="8"/>
  <c r="Q171" i="8"/>
  <c r="R171" i="8"/>
  <c r="A172" i="8"/>
  <c r="B172" i="8"/>
  <c r="C172" i="8"/>
  <c r="D172" i="8"/>
  <c r="E172" i="8"/>
  <c r="F172" i="8"/>
  <c r="G172" i="8"/>
  <c r="H172" i="8"/>
  <c r="I172" i="8"/>
  <c r="J172" i="8"/>
  <c r="K172" i="8"/>
  <c r="L172" i="8"/>
  <c r="M172" i="8"/>
  <c r="N172" i="8"/>
  <c r="O172" i="8"/>
  <c r="P172" i="8"/>
  <c r="Q172" i="8"/>
  <c r="R172" i="8"/>
  <c r="A173" i="8"/>
  <c r="B173" i="8"/>
  <c r="C173" i="8"/>
  <c r="D173" i="8"/>
  <c r="E173" i="8"/>
  <c r="F173" i="8"/>
  <c r="G173" i="8"/>
  <c r="H173" i="8"/>
  <c r="I173" i="8"/>
  <c r="J173" i="8"/>
  <c r="K173" i="8"/>
  <c r="L173" i="8"/>
  <c r="M173" i="8"/>
  <c r="N173" i="8"/>
  <c r="O173" i="8"/>
  <c r="P173" i="8"/>
  <c r="Q173" i="8"/>
  <c r="R173" i="8"/>
  <c r="A174" i="8"/>
  <c r="B174" i="8"/>
  <c r="C174" i="8"/>
  <c r="D174" i="8"/>
  <c r="E174" i="8"/>
  <c r="F174" i="8"/>
  <c r="G174" i="8"/>
  <c r="H174" i="8"/>
  <c r="I174" i="8"/>
  <c r="J174" i="8"/>
  <c r="K174" i="8"/>
  <c r="L174" i="8"/>
  <c r="M174" i="8"/>
  <c r="N174" i="8"/>
  <c r="O174" i="8"/>
  <c r="P174" i="8"/>
  <c r="Q174" i="8"/>
  <c r="R174" i="8"/>
  <c r="A175" i="8"/>
  <c r="B175" i="8"/>
  <c r="C175" i="8"/>
  <c r="D175" i="8"/>
  <c r="E175" i="8"/>
  <c r="F175" i="8"/>
  <c r="G175" i="8"/>
  <c r="H175" i="8"/>
  <c r="I175" i="8"/>
  <c r="J175" i="8"/>
  <c r="K175" i="8"/>
  <c r="L175" i="8"/>
  <c r="M175" i="8"/>
  <c r="N175" i="8"/>
  <c r="O175" i="8"/>
  <c r="P175" i="8"/>
  <c r="Q175" i="8"/>
  <c r="R175" i="8"/>
  <c r="A176" i="8"/>
  <c r="B176" i="8"/>
  <c r="C176" i="8"/>
  <c r="D176" i="8"/>
  <c r="E176" i="8"/>
  <c r="F176" i="8"/>
  <c r="G176" i="8"/>
  <c r="H176" i="8"/>
  <c r="I176" i="8"/>
  <c r="J176" i="8"/>
  <c r="K176" i="8"/>
  <c r="L176" i="8"/>
  <c r="M176" i="8"/>
  <c r="N176" i="8"/>
  <c r="O176" i="8"/>
  <c r="P176" i="8"/>
  <c r="Q176" i="8"/>
  <c r="R176" i="8"/>
  <c r="A177" i="8"/>
  <c r="B177" i="8"/>
  <c r="C177" i="8"/>
  <c r="D177" i="8"/>
  <c r="E177" i="8"/>
  <c r="F177" i="8"/>
  <c r="G177" i="8"/>
  <c r="H177" i="8"/>
  <c r="I177" i="8"/>
  <c r="J177" i="8"/>
  <c r="K177" i="8"/>
  <c r="L177" i="8"/>
  <c r="M177" i="8"/>
  <c r="N177" i="8"/>
  <c r="O177" i="8"/>
  <c r="P177" i="8"/>
  <c r="Q177" i="8"/>
  <c r="R177" i="8"/>
  <c r="A178" i="8"/>
  <c r="B178" i="8"/>
  <c r="C178" i="8"/>
  <c r="D178" i="8"/>
  <c r="E178" i="8"/>
  <c r="F178" i="8"/>
  <c r="G178" i="8"/>
  <c r="H178" i="8"/>
  <c r="I178" i="8"/>
  <c r="J178" i="8"/>
  <c r="K178" i="8"/>
  <c r="L178" i="8"/>
  <c r="M178" i="8"/>
  <c r="N178" i="8"/>
  <c r="O178" i="8"/>
  <c r="P178" i="8"/>
  <c r="Q178" i="8"/>
  <c r="R178" i="8"/>
  <c r="A179" i="8"/>
  <c r="B179" i="8"/>
  <c r="C179" i="8"/>
  <c r="D179" i="8"/>
  <c r="E179" i="8"/>
  <c r="F179" i="8"/>
  <c r="G179" i="8"/>
  <c r="H179" i="8"/>
  <c r="I179" i="8"/>
  <c r="J179" i="8"/>
  <c r="K179" i="8"/>
  <c r="L179" i="8"/>
  <c r="M179" i="8"/>
  <c r="N179" i="8"/>
  <c r="O179" i="8"/>
  <c r="P179" i="8"/>
  <c r="Q179" i="8"/>
  <c r="R179" i="8"/>
  <c r="A180" i="8"/>
  <c r="B180" i="8"/>
  <c r="C180" i="8"/>
  <c r="D180" i="8"/>
  <c r="E180" i="8"/>
  <c r="F180" i="8"/>
  <c r="G180" i="8"/>
  <c r="H180" i="8"/>
  <c r="I180" i="8"/>
  <c r="J180" i="8"/>
  <c r="K180" i="8"/>
  <c r="L180" i="8"/>
  <c r="M180" i="8"/>
  <c r="N180" i="8"/>
  <c r="O180" i="8"/>
  <c r="P180" i="8"/>
  <c r="Q180" i="8"/>
  <c r="R180" i="8"/>
  <c r="A181" i="8"/>
  <c r="B181" i="8"/>
  <c r="C181" i="8"/>
  <c r="D181" i="8"/>
  <c r="E181" i="8"/>
  <c r="F181" i="8"/>
  <c r="G181" i="8"/>
  <c r="H181" i="8"/>
  <c r="I181" i="8"/>
  <c r="J181" i="8"/>
  <c r="K181" i="8"/>
  <c r="L181" i="8"/>
  <c r="M181" i="8"/>
  <c r="N181" i="8"/>
  <c r="O181" i="8"/>
  <c r="P181" i="8"/>
  <c r="Q181" i="8"/>
  <c r="R181" i="8"/>
  <c r="A182" i="8"/>
  <c r="B182" i="8"/>
  <c r="C182" i="8"/>
  <c r="D182" i="8"/>
  <c r="E182" i="8"/>
  <c r="F182" i="8"/>
  <c r="G182" i="8"/>
  <c r="H182" i="8"/>
  <c r="I182" i="8"/>
  <c r="J182" i="8"/>
  <c r="K182" i="8"/>
  <c r="L182" i="8"/>
  <c r="M182" i="8"/>
  <c r="N182" i="8"/>
  <c r="O182" i="8"/>
  <c r="P182" i="8"/>
  <c r="Q182" i="8"/>
  <c r="R182" i="8"/>
  <c r="A183" i="8"/>
  <c r="B183" i="8"/>
  <c r="C183" i="8"/>
  <c r="D183" i="8"/>
  <c r="E183" i="8"/>
  <c r="F183" i="8"/>
  <c r="G183" i="8"/>
  <c r="H183" i="8"/>
  <c r="I183" i="8"/>
  <c r="J183" i="8"/>
  <c r="K183" i="8"/>
  <c r="L183" i="8"/>
  <c r="M183" i="8"/>
  <c r="N183" i="8"/>
  <c r="O183" i="8"/>
  <c r="P183" i="8"/>
  <c r="Q183" i="8"/>
  <c r="R183" i="8"/>
  <c r="A184" i="8"/>
  <c r="B184" i="8"/>
  <c r="C184" i="8"/>
  <c r="D184" i="8"/>
  <c r="E184" i="8"/>
  <c r="F184" i="8"/>
  <c r="G184" i="8"/>
  <c r="H184" i="8"/>
  <c r="I184" i="8"/>
  <c r="J184" i="8"/>
  <c r="K184" i="8"/>
  <c r="L184" i="8"/>
  <c r="M184" i="8"/>
  <c r="N184" i="8"/>
  <c r="O184" i="8"/>
  <c r="P184" i="8"/>
  <c r="Q184" i="8"/>
  <c r="R184" i="8"/>
  <c r="A185" i="8"/>
  <c r="B185" i="8"/>
  <c r="C185" i="8"/>
  <c r="D185" i="8"/>
  <c r="E185" i="8"/>
  <c r="F185" i="8"/>
  <c r="G185" i="8"/>
  <c r="H185" i="8"/>
  <c r="I185" i="8"/>
  <c r="J185" i="8"/>
  <c r="K185" i="8"/>
  <c r="L185" i="8"/>
  <c r="M185" i="8"/>
  <c r="N185" i="8"/>
  <c r="O185" i="8"/>
  <c r="P185" i="8"/>
  <c r="Q185" i="8"/>
  <c r="R185" i="8"/>
  <c r="A186" i="8"/>
  <c r="B186" i="8"/>
  <c r="C186" i="8"/>
  <c r="D186" i="8"/>
  <c r="E186" i="8"/>
  <c r="F186" i="8"/>
  <c r="G186" i="8"/>
  <c r="H186" i="8"/>
  <c r="I186" i="8"/>
  <c r="J186" i="8"/>
  <c r="K186" i="8"/>
  <c r="L186" i="8"/>
  <c r="M186" i="8"/>
  <c r="N186" i="8"/>
  <c r="O186" i="8"/>
  <c r="P186" i="8"/>
  <c r="Q186" i="8"/>
  <c r="R186" i="8"/>
  <c r="A187" i="8"/>
  <c r="B187" i="8"/>
  <c r="C187" i="8"/>
  <c r="D187" i="8"/>
  <c r="E187" i="8"/>
  <c r="F187" i="8"/>
  <c r="G187" i="8"/>
  <c r="H187" i="8"/>
  <c r="I187" i="8"/>
  <c r="J187" i="8"/>
  <c r="K187" i="8"/>
  <c r="L187" i="8"/>
  <c r="M187" i="8"/>
  <c r="N187" i="8"/>
  <c r="O187" i="8"/>
  <c r="P187" i="8"/>
  <c r="Q187" i="8"/>
  <c r="R187" i="8"/>
  <c r="A188" i="8"/>
  <c r="B188" i="8"/>
  <c r="C188" i="8"/>
  <c r="D188" i="8"/>
  <c r="E188" i="8"/>
  <c r="F188" i="8"/>
  <c r="G188" i="8"/>
  <c r="H188" i="8"/>
  <c r="I188" i="8"/>
  <c r="J188" i="8"/>
  <c r="K188" i="8"/>
  <c r="L188" i="8"/>
  <c r="M188" i="8"/>
  <c r="N188" i="8"/>
  <c r="O188" i="8"/>
  <c r="P188" i="8"/>
  <c r="Q188" i="8"/>
  <c r="R188" i="8"/>
  <c r="A189" i="8"/>
  <c r="B189" i="8"/>
  <c r="C189" i="8"/>
  <c r="D189" i="8"/>
  <c r="E189" i="8"/>
  <c r="F189" i="8"/>
  <c r="G189" i="8"/>
  <c r="H189" i="8"/>
  <c r="I189" i="8"/>
  <c r="J189" i="8"/>
  <c r="K189" i="8"/>
  <c r="L189" i="8"/>
  <c r="M189" i="8"/>
  <c r="N189" i="8"/>
  <c r="O189" i="8"/>
  <c r="P189" i="8"/>
  <c r="Q189" i="8"/>
  <c r="R189" i="8"/>
  <c r="A190" i="8"/>
  <c r="B190" i="8"/>
  <c r="C190" i="8"/>
  <c r="D190" i="8"/>
  <c r="E190" i="8"/>
  <c r="F190" i="8"/>
  <c r="G190" i="8"/>
  <c r="H190" i="8"/>
  <c r="I190" i="8"/>
  <c r="J190" i="8"/>
  <c r="K190" i="8"/>
  <c r="L190" i="8"/>
  <c r="M190" i="8"/>
  <c r="N190" i="8"/>
  <c r="O190" i="8"/>
  <c r="P190" i="8"/>
  <c r="Q190" i="8"/>
  <c r="R190" i="8"/>
  <c r="A191" i="8"/>
  <c r="B191" i="8"/>
  <c r="C191" i="8"/>
  <c r="D191" i="8"/>
  <c r="E191" i="8"/>
  <c r="F191" i="8"/>
  <c r="G191" i="8"/>
  <c r="H191" i="8"/>
  <c r="I191" i="8"/>
  <c r="J191" i="8"/>
  <c r="K191" i="8"/>
  <c r="L191" i="8"/>
  <c r="M191" i="8"/>
  <c r="N191" i="8"/>
  <c r="O191" i="8"/>
  <c r="P191" i="8"/>
  <c r="Q191" i="8"/>
  <c r="R191" i="8"/>
  <c r="A192" i="8"/>
  <c r="B192" i="8"/>
  <c r="C192" i="8"/>
  <c r="D192" i="8"/>
  <c r="E192" i="8"/>
  <c r="F192" i="8"/>
  <c r="G192" i="8"/>
  <c r="H192" i="8"/>
  <c r="I192" i="8"/>
  <c r="J192" i="8"/>
  <c r="K192" i="8"/>
  <c r="L192" i="8"/>
  <c r="M192" i="8"/>
  <c r="N192" i="8"/>
  <c r="O192" i="8"/>
  <c r="P192" i="8"/>
  <c r="Q192" i="8"/>
  <c r="R192" i="8"/>
  <c r="A193" i="8"/>
  <c r="B193" i="8"/>
  <c r="C193" i="8"/>
  <c r="D193" i="8"/>
  <c r="E193" i="8"/>
  <c r="F193" i="8"/>
  <c r="G193" i="8"/>
  <c r="H193" i="8"/>
  <c r="I193" i="8"/>
  <c r="J193" i="8"/>
  <c r="K193" i="8"/>
  <c r="L193" i="8"/>
  <c r="M193" i="8"/>
  <c r="N193" i="8"/>
  <c r="O193" i="8"/>
  <c r="P193" i="8"/>
  <c r="Q193" i="8"/>
  <c r="R193" i="8"/>
  <c r="A194" i="8"/>
  <c r="B194" i="8"/>
  <c r="C194" i="8"/>
  <c r="D194" i="8"/>
  <c r="E194" i="8"/>
  <c r="F194" i="8"/>
  <c r="G194" i="8"/>
  <c r="H194" i="8"/>
  <c r="I194" i="8"/>
  <c r="J194" i="8"/>
  <c r="K194" i="8"/>
  <c r="L194" i="8"/>
  <c r="M194" i="8"/>
  <c r="N194" i="8"/>
  <c r="O194" i="8"/>
  <c r="P194" i="8"/>
  <c r="Q194" i="8"/>
  <c r="R194" i="8"/>
  <c r="A195" i="8"/>
  <c r="B195" i="8"/>
  <c r="C195" i="8"/>
  <c r="D195" i="8"/>
  <c r="E195" i="8"/>
  <c r="F195" i="8"/>
  <c r="G195" i="8"/>
  <c r="H195" i="8"/>
  <c r="I195" i="8"/>
  <c r="J195" i="8"/>
  <c r="K195" i="8"/>
  <c r="L195" i="8"/>
  <c r="M195" i="8"/>
  <c r="N195" i="8"/>
  <c r="O195" i="8"/>
  <c r="P195" i="8"/>
  <c r="Q195" i="8"/>
  <c r="R195" i="8"/>
  <c r="A196" i="8"/>
  <c r="B196" i="8"/>
  <c r="C196" i="8"/>
  <c r="D196" i="8"/>
  <c r="E196" i="8"/>
  <c r="F196" i="8"/>
  <c r="G196" i="8"/>
  <c r="H196" i="8"/>
  <c r="I196" i="8"/>
  <c r="J196" i="8"/>
  <c r="K196" i="8"/>
  <c r="L196" i="8"/>
  <c r="M196" i="8"/>
  <c r="N196" i="8"/>
  <c r="O196" i="8"/>
  <c r="P196" i="8"/>
  <c r="Q196" i="8"/>
  <c r="R196" i="8"/>
  <c r="A197" i="8"/>
  <c r="B197" i="8"/>
  <c r="C197" i="8"/>
  <c r="D197" i="8"/>
  <c r="E197" i="8"/>
  <c r="F197" i="8"/>
  <c r="G197" i="8"/>
  <c r="H197" i="8"/>
  <c r="I197" i="8"/>
  <c r="J197" i="8"/>
  <c r="K197" i="8"/>
  <c r="L197" i="8"/>
  <c r="M197" i="8"/>
  <c r="N197" i="8"/>
  <c r="O197" i="8"/>
  <c r="P197" i="8"/>
  <c r="Q197" i="8"/>
  <c r="R197" i="8"/>
  <c r="A198" i="8"/>
  <c r="B198" i="8"/>
  <c r="C198" i="8"/>
  <c r="D198" i="8"/>
  <c r="E198" i="8"/>
  <c r="F198" i="8"/>
  <c r="G198" i="8"/>
  <c r="H198" i="8"/>
  <c r="I198" i="8"/>
  <c r="J198" i="8"/>
  <c r="K198" i="8"/>
  <c r="L198" i="8"/>
  <c r="M198" i="8"/>
  <c r="N198" i="8"/>
  <c r="O198" i="8"/>
  <c r="P198" i="8"/>
  <c r="Q198" i="8"/>
  <c r="R198" i="8"/>
  <c r="A199" i="8"/>
  <c r="B199" i="8"/>
  <c r="C199" i="8"/>
  <c r="D199" i="8"/>
  <c r="E199" i="8"/>
  <c r="F199" i="8"/>
  <c r="G199" i="8"/>
  <c r="H199" i="8"/>
  <c r="I199" i="8"/>
  <c r="J199" i="8"/>
  <c r="K199" i="8"/>
  <c r="L199" i="8"/>
  <c r="M199" i="8"/>
  <c r="N199" i="8"/>
  <c r="O199" i="8"/>
  <c r="P199" i="8"/>
  <c r="Q199" i="8"/>
  <c r="R199" i="8"/>
  <c r="A200" i="8"/>
  <c r="B200" i="8"/>
  <c r="C200" i="8"/>
  <c r="D200" i="8"/>
  <c r="E200" i="8"/>
  <c r="F200" i="8"/>
  <c r="G200" i="8"/>
  <c r="H200" i="8"/>
  <c r="I200" i="8"/>
  <c r="J200" i="8"/>
  <c r="K200" i="8"/>
  <c r="L200" i="8"/>
  <c r="M200" i="8"/>
  <c r="N200" i="8"/>
  <c r="O200" i="8"/>
  <c r="P200" i="8"/>
  <c r="Q200" i="8"/>
  <c r="R200" i="8"/>
  <c r="A201" i="8"/>
  <c r="B201" i="8"/>
  <c r="C201" i="8"/>
  <c r="D201" i="8"/>
  <c r="E201" i="8"/>
  <c r="F201" i="8"/>
  <c r="G201" i="8"/>
  <c r="H201" i="8"/>
  <c r="I201" i="8"/>
  <c r="J201" i="8"/>
  <c r="K201" i="8"/>
  <c r="L201" i="8"/>
  <c r="M201" i="8"/>
  <c r="N201" i="8"/>
  <c r="O201" i="8"/>
  <c r="P201" i="8"/>
  <c r="Q201" i="8"/>
  <c r="R201" i="8"/>
  <c r="A202" i="8"/>
  <c r="B202" i="8"/>
  <c r="C202" i="8"/>
  <c r="D202" i="8"/>
  <c r="E202" i="8"/>
  <c r="F202" i="8"/>
  <c r="G202" i="8"/>
  <c r="H202" i="8"/>
  <c r="I202" i="8"/>
  <c r="J202" i="8"/>
  <c r="K202" i="8"/>
  <c r="L202" i="8"/>
  <c r="M202" i="8"/>
  <c r="N202" i="8"/>
  <c r="O202" i="8"/>
  <c r="P202" i="8"/>
  <c r="Q202" i="8"/>
  <c r="R202" i="8"/>
  <c r="A203" i="8"/>
  <c r="B203" i="8"/>
  <c r="C203" i="8"/>
  <c r="D203" i="8"/>
  <c r="E203" i="8"/>
  <c r="F203" i="8"/>
  <c r="G203" i="8"/>
  <c r="H203" i="8"/>
  <c r="I203" i="8"/>
  <c r="J203" i="8"/>
  <c r="K203" i="8"/>
  <c r="L203" i="8"/>
  <c r="M203" i="8"/>
  <c r="N203" i="8"/>
  <c r="O203" i="8"/>
  <c r="P203" i="8"/>
  <c r="Q203" i="8"/>
  <c r="R203" i="8"/>
  <c r="A204" i="8"/>
  <c r="B204" i="8"/>
  <c r="C204" i="8"/>
  <c r="D204" i="8"/>
  <c r="E204" i="8"/>
  <c r="F204" i="8"/>
  <c r="G204" i="8"/>
  <c r="H204" i="8"/>
  <c r="I204" i="8"/>
  <c r="J204" i="8"/>
  <c r="K204" i="8"/>
  <c r="L204" i="8"/>
  <c r="M204" i="8"/>
  <c r="N204" i="8"/>
  <c r="O204" i="8"/>
  <c r="P204" i="8"/>
  <c r="Q204" i="8"/>
  <c r="R204" i="8"/>
  <c r="A205" i="8"/>
  <c r="B205" i="8"/>
  <c r="C205" i="8"/>
  <c r="D205" i="8"/>
  <c r="E205" i="8"/>
  <c r="F205" i="8"/>
  <c r="G205" i="8"/>
  <c r="H205" i="8"/>
  <c r="I205" i="8"/>
  <c r="J205" i="8"/>
  <c r="K205" i="8"/>
  <c r="L205" i="8"/>
  <c r="M205" i="8"/>
  <c r="N205" i="8"/>
  <c r="O205" i="8"/>
  <c r="P205" i="8"/>
  <c r="Q205" i="8"/>
  <c r="R205" i="8"/>
  <c r="A206" i="8"/>
  <c r="B206" i="8"/>
  <c r="C206" i="8"/>
  <c r="D206" i="8"/>
  <c r="E206" i="8"/>
  <c r="F206" i="8"/>
  <c r="G206" i="8"/>
  <c r="H206" i="8"/>
  <c r="I206" i="8"/>
  <c r="J206" i="8"/>
  <c r="K206" i="8"/>
  <c r="L206" i="8"/>
  <c r="M206" i="8"/>
  <c r="N206" i="8"/>
  <c r="O206" i="8"/>
  <c r="P206" i="8"/>
  <c r="Q206" i="8"/>
  <c r="R206" i="8"/>
  <c r="A207" i="8"/>
  <c r="B207" i="8"/>
  <c r="C207" i="8"/>
  <c r="D207" i="8"/>
  <c r="E207" i="8"/>
  <c r="F207" i="8"/>
  <c r="G207" i="8"/>
  <c r="H207" i="8"/>
  <c r="I207" i="8"/>
  <c r="J207" i="8"/>
  <c r="K207" i="8"/>
  <c r="L207" i="8"/>
  <c r="M207" i="8"/>
  <c r="N207" i="8"/>
  <c r="O207" i="8"/>
  <c r="P207" i="8"/>
  <c r="Q207" i="8"/>
  <c r="R207" i="8"/>
  <c r="A208" i="8"/>
  <c r="B208" i="8"/>
  <c r="C208" i="8"/>
  <c r="D208" i="8"/>
  <c r="E208" i="8"/>
  <c r="F208" i="8"/>
  <c r="G208" i="8"/>
  <c r="H208" i="8"/>
  <c r="I208" i="8"/>
  <c r="J208" i="8"/>
  <c r="K208" i="8"/>
  <c r="L208" i="8"/>
  <c r="M208" i="8"/>
  <c r="N208" i="8"/>
  <c r="O208" i="8"/>
  <c r="P208" i="8"/>
  <c r="Q208" i="8"/>
  <c r="R208" i="8"/>
  <c r="A209" i="8"/>
  <c r="B209" i="8"/>
  <c r="C209" i="8"/>
  <c r="D209" i="8"/>
  <c r="E209" i="8"/>
  <c r="F209" i="8"/>
  <c r="G209" i="8"/>
  <c r="H209" i="8"/>
  <c r="I209" i="8"/>
  <c r="J209" i="8"/>
  <c r="K209" i="8"/>
  <c r="L209" i="8"/>
  <c r="M209" i="8"/>
  <c r="N209" i="8"/>
  <c r="O209" i="8"/>
  <c r="P209" i="8"/>
  <c r="Q209" i="8"/>
  <c r="R209" i="8"/>
  <c r="A210" i="8"/>
  <c r="B210" i="8"/>
  <c r="C210" i="8"/>
  <c r="D210" i="8"/>
  <c r="E210" i="8"/>
  <c r="F210" i="8"/>
  <c r="G210" i="8"/>
  <c r="H210" i="8"/>
  <c r="I210" i="8"/>
  <c r="J210" i="8"/>
  <c r="K210" i="8"/>
  <c r="L210" i="8"/>
  <c r="M210" i="8"/>
  <c r="N210" i="8"/>
  <c r="O210" i="8"/>
  <c r="P210" i="8"/>
  <c r="Q210" i="8"/>
  <c r="R210" i="8"/>
  <c r="A211" i="8"/>
  <c r="B211" i="8"/>
  <c r="C211" i="8"/>
  <c r="D211" i="8"/>
  <c r="E211" i="8"/>
  <c r="F211" i="8"/>
  <c r="G211" i="8"/>
  <c r="H211" i="8"/>
  <c r="I211" i="8"/>
  <c r="J211" i="8"/>
  <c r="K211" i="8"/>
  <c r="L211" i="8"/>
  <c r="M211" i="8"/>
  <c r="N211" i="8"/>
  <c r="O211" i="8"/>
  <c r="P211" i="8"/>
  <c r="Q211" i="8"/>
  <c r="R211" i="8"/>
  <c r="A212" i="8"/>
  <c r="B212" i="8"/>
  <c r="C212" i="8"/>
  <c r="D212" i="8"/>
  <c r="E212" i="8"/>
  <c r="F212" i="8"/>
  <c r="G212" i="8"/>
  <c r="H212" i="8"/>
  <c r="I212" i="8"/>
  <c r="J212" i="8"/>
  <c r="K212" i="8"/>
  <c r="L212" i="8"/>
  <c r="M212" i="8"/>
  <c r="N212" i="8"/>
  <c r="O212" i="8"/>
  <c r="P212" i="8"/>
  <c r="Q212" i="8"/>
  <c r="R212" i="8"/>
  <c r="A213" i="8"/>
  <c r="B213" i="8"/>
  <c r="C213" i="8"/>
  <c r="D213" i="8"/>
  <c r="E213" i="8"/>
  <c r="F213" i="8"/>
  <c r="G213" i="8"/>
  <c r="H213" i="8"/>
  <c r="I213" i="8"/>
  <c r="J213" i="8"/>
  <c r="K213" i="8"/>
  <c r="L213" i="8"/>
  <c r="M213" i="8"/>
  <c r="N213" i="8"/>
  <c r="O213" i="8"/>
  <c r="P213" i="8"/>
  <c r="Q213" i="8"/>
  <c r="R213" i="8"/>
  <c r="A214" i="8"/>
  <c r="B214" i="8"/>
  <c r="C214" i="8"/>
  <c r="D214" i="8"/>
  <c r="E214" i="8"/>
  <c r="F214" i="8"/>
  <c r="G214" i="8"/>
  <c r="H214" i="8"/>
  <c r="I214" i="8"/>
  <c r="J214" i="8"/>
  <c r="K214" i="8"/>
  <c r="L214" i="8"/>
  <c r="M214" i="8"/>
  <c r="N214" i="8"/>
  <c r="O214" i="8"/>
  <c r="P214" i="8"/>
  <c r="Q214" i="8"/>
  <c r="R214" i="8"/>
  <c r="A215" i="8"/>
  <c r="B215" i="8"/>
  <c r="C215" i="8"/>
  <c r="D215" i="8"/>
  <c r="E215" i="8"/>
  <c r="F215" i="8"/>
  <c r="G215" i="8"/>
  <c r="H215" i="8"/>
  <c r="I215" i="8"/>
  <c r="J215" i="8"/>
  <c r="K215" i="8"/>
  <c r="L215" i="8"/>
  <c r="M215" i="8"/>
  <c r="N215" i="8"/>
  <c r="O215" i="8"/>
  <c r="P215" i="8"/>
  <c r="Q215" i="8"/>
  <c r="R215" i="8"/>
  <c r="A216" i="8"/>
  <c r="B216" i="8"/>
  <c r="C216" i="8"/>
  <c r="D216" i="8"/>
  <c r="E216" i="8"/>
  <c r="F216" i="8"/>
  <c r="G216" i="8"/>
  <c r="H216" i="8"/>
  <c r="I216" i="8"/>
  <c r="J216" i="8"/>
  <c r="K216" i="8"/>
  <c r="L216" i="8"/>
  <c r="M216" i="8"/>
  <c r="N216" i="8"/>
  <c r="O216" i="8"/>
  <c r="P216" i="8"/>
  <c r="Q216" i="8"/>
  <c r="R216" i="8"/>
  <c r="A217" i="8"/>
  <c r="B217" i="8"/>
  <c r="C217" i="8"/>
  <c r="D217" i="8"/>
  <c r="E217" i="8"/>
  <c r="F217" i="8"/>
  <c r="G217" i="8"/>
  <c r="H217" i="8"/>
  <c r="I217" i="8"/>
  <c r="J217" i="8"/>
  <c r="K217" i="8"/>
  <c r="L217" i="8"/>
  <c r="M217" i="8"/>
  <c r="N217" i="8"/>
  <c r="O217" i="8"/>
  <c r="P217" i="8"/>
  <c r="Q217" i="8"/>
  <c r="R217" i="8"/>
  <c r="A218" i="8"/>
  <c r="B218" i="8"/>
  <c r="C218" i="8"/>
  <c r="D218" i="8"/>
  <c r="E218" i="8"/>
  <c r="F218" i="8"/>
  <c r="G218" i="8"/>
  <c r="H218" i="8"/>
  <c r="I218" i="8"/>
  <c r="J218" i="8"/>
  <c r="K218" i="8"/>
  <c r="L218" i="8"/>
  <c r="M218" i="8"/>
  <c r="N218" i="8"/>
  <c r="O218" i="8"/>
  <c r="P218" i="8"/>
  <c r="Q218" i="8"/>
  <c r="R218" i="8"/>
  <c r="A219" i="8"/>
  <c r="B219" i="8"/>
  <c r="C219" i="8"/>
  <c r="D219" i="8"/>
  <c r="E219" i="8"/>
  <c r="F219" i="8"/>
  <c r="G219" i="8"/>
  <c r="H219" i="8"/>
  <c r="I219" i="8"/>
  <c r="J219" i="8"/>
  <c r="K219" i="8"/>
  <c r="L219" i="8"/>
  <c r="M219" i="8"/>
  <c r="N219" i="8"/>
  <c r="O219" i="8"/>
  <c r="P219" i="8"/>
  <c r="Q219" i="8"/>
  <c r="R219" i="8"/>
  <c r="A220" i="8"/>
  <c r="B220" i="8"/>
  <c r="C220" i="8"/>
  <c r="D220" i="8"/>
  <c r="E220" i="8"/>
  <c r="F220" i="8"/>
  <c r="G220" i="8"/>
  <c r="H220" i="8"/>
  <c r="I220" i="8"/>
  <c r="J220" i="8"/>
  <c r="K220" i="8"/>
  <c r="L220" i="8"/>
  <c r="M220" i="8"/>
  <c r="N220" i="8"/>
  <c r="O220" i="8"/>
  <c r="P220" i="8"/>
  <c r="Q220" i="8"/>
  <c r="R220" i="8"/>
  <c r="A221" i="8"/>
  <c r="B221" i="8"/>
  <c r="C221" i="8"/>
  <c r="D221" i="8"/>
  <c r="E221" i="8"/>
  <c r="F221" i="8"/>
  <c r="G221" i="8"/>
  <c r="H221" i="8"/>
  <c r="I221" i="8"/>
  <c r="J221" i="8"/>
  <c r="K221" i="8"/>
  <c r="L221" i="8"/>
  <c r="M221" i="8"/>
  <c r="N221" i="8"/>
  <c r="O221" i="8"/>
  <c r="P221" i="8"/>
  <c r="Q221" i="8"/>
  <c r="R221" i="8"/>
  <c r="A222" i="8"/>
  <c r="B222" i="8"/>
  <c r="C222" i="8"/>
  <c r="D222" i="8"/>
  <c r="E222" i="8"/>
  <c r="F222" i="8"/>
  <c r="G222" i="8"/>
  <c r="H222" i="8"/>
  <c r="I222" i="8"/>
  <c r="J222" i="8"/>
  <c r="K222" i="8"/>
  <c r="L222" i="8"/>
  <c r="M222" i="8"/>
  <c r="N222" i="8"/>
  <c r="O222" i="8"/>
  <c r="P222" i="8"/>
  <c r="Q222" i="8"/>
  <c r="R222" i="8"/>
  <c r="A223" i="8"/>
  <c r="B223" i="8"/>
  <c r="C223" i="8"/>
  <c r="D223" i="8"/>
  <c r="E223" i="8"/>
  <c r="F223" i="8"/>
  <c r="G223" i="8"/>
  <c r="H223" i="8"/>
  <c r="I223" i="8"/>
  <c r="J223" i="8"/>
  <c r="K223" i="8"/>
  <c r="L223" i="8"/>
  <c r="M223" i="8"/>
  <c r="N223" i="8"/>
  <c r="O223" i="8"/>
  <c r="P223" i="8"/>
  <c r="Q223" i="8"/>
  <c r="R223" i="8"/>
  <c r="A224" i="8"/>
  <c r="B224" i="8"/>
  <c r="C224" i="8"/>
  <c r="D224" i="8"/>
  <c r="E224" i="8"/>
  <c r="F224" i="8"/>
  <c r="G224" i="8"/>
  <c r="H224" i="8"/>
  <c r="I224" i="8"/>
  <c r="J224" i="8"/>
  <c r="K224" i="8"/>
  <c r="L224" i="8"/>
  <c r="M224" i="8"/>
  <c r="N224" i="8"/>
  <c r="O224" i="8"/>
  <c r="P224" i="8"/>
  <c r="Q224" i="8"/>
  <c r="R224" i="8"/>
  <c r="A225" i="8"/>
  <c r="B225" i="8"/>
  <c r="C225" i="8"/>
  <c r="D225" i="8"/>
  <c r="E225" i="8"/>
  <c r="F225" i="8"/>
  <c r="G225" i="8"/>
  <c r="H225" i="8"/>
  <c r="I225" i="8"/>
  <c r="J225" i="8"/>
  <c r="K225" i="8"/>
  <c r="L225" i="8"/>
  <c r="M225" i="8"/>
  <c r="N225" i="8"/>
  <c r="O225" i="8"/>
  <c r="P225" i="8"/>
  <c r="Q225" i="8"/>
  <c r="R225" i="8"/>
  <c r="A226" i="8"/>
  <c r="B226" i="8"/>
  <c r="C226" i="8"/>
  <c r="D226" i="8"/>
  <c r="E226" i="8"/>
  <c r="F226" i="8"/>
  <c r="G226" i="8"/>
  <c r="H226" i="8"/>
  <c r="I226" i="8"/>
  <c r="J226" i="8"/>
  <c r="K226" i="8"/>
  <c r="L226" i="8"/>
  <c r="M226" i="8"/>
  <c r="N226" i="8"/>
  <c r="O226" i="8"/>
  <c r="P226" i="8"/>
  <c r="Q226" i="8"/>
  <c r="R226" i="8"/>
  <c r="A227" i="8"/>
  <c r="B227" i="8"/>
  <c r="C227" i="8"/>
  <c r="D227" i="8"/>
  <c r="E227" i="8"/>
  <c r="F227" i="8"/>
  <c r="G227" i="8"/>
  <c r="H227" i="8"/>
  <c r="I227" i="8"/>
  <c r="J227" i="8"/>
  <c r="K227" i="8"/>
  <c r="L227" i="8"/>
  <c r="M227" i="8"/>
  <c r="N227" i="8"/>
  <c r="O227" i="8"/>
  <c r="P227" i="8"/>
  <c r="Q227" i="8"/>
  <c r="R227" i="8"/>
  <c r="A228" i="8"/>
  <c r="B228" i="8"/>
  <c r="C228" i="8"/>
  <c r="D228" i="8"/>
  <c r="E228" i="8"/>
  <c r="F228" i="8"/>
  <c r="G228" i="8"/>
  <c r="H228" i="8"/>
  <c r="I228" i="8"/>
  <c r="J228" i="8"/>
  <c r="K228" i="8"/>
  <c r="L228" i="8"/>
  <c r="M228" i="8"/>
  <c r="N228" i="8"/>
  <c r="O228" i="8"/>
  <c r="P228" i="8"/>
  <c r="Q228" i="8"/>
  <c r="R228" i="8"/>
  <c r="A229" i="8"/>
  <c r="B229" i="8"/>
  <c r="C229" i="8"/>
  <c r="D229" i="8"/>
  <c r="E229" i="8"/>
  <c r="F229" i="8"/>
  <c r="G229" i="8"/>
  <c r="H229" i="8"/>
  <c r="I229" i="8"/>
  <c r="J229" i="8"/>
  <c r="K229" i="8"/>
  <c r="L229" i="8"/>
  <c r="M229" i="8"/>
  <c r="N229" i="8"/>
  <c r="O229" i="8"/>
  <c r="P229" i="8"/>
  <c r="Q229" i="8"/>
  <c r="R229" i="8"/>
  <c r="A230" i="8"/>
  <c r="B230" i="8"/>
  <c r="C230" i="8"/>
  <c r="D230" i="8"/>
  <c r="E230" i="8"/>
  <c r="F230" i="8"/>
  <c r="G230" i="8"/>
  <c r="H230" i="8"/>
  <c r="I230" i="8"/>
  <c r="J230" i="8"/>
  <c r="K230" i="8"/>
  <c r="L230" i="8"/>
  <c r="M230" i="8"/>
  <c r="N230" i="8"/>
  <c r="O230" i="8"/>
  <c r="P230" i="8"/>
  <c r="Q230" i="8"/>
  <c r="R230" i="8"/>
  <c r="A231" i="8"/>
  <c r="B231" i="8"/>
  <c r="C231" i="8"/>
  <c r="D231" i="8"/>
  <c r="E231" i="8"/>
  <c r="F231" i="8"/>
  <c r="G231" i="8"/>
  <c r="H231" i="8"/>
  <c r="I231" i="8"/>
  <c r="J231" i="8"/>
  <c r="K231" i="8"/>
  <c r="L231" i="8"/>
  <c r="M231" i="8"/>
  <c r="N231" i="8"/>
  <c r="O231" i="8"/>
  <c r="P231" i="8"/>
  <c r="Q231" i="8"/>
  <c r="R231" i="8"/>
  <c r="A232" i="8"/>
  <c r="B232" i="8"/>
  <c r="C232" i="8"/>
  <c r="D232" i="8"/>
  <c r="E232" i="8"/>
  <c r="F232" i="8"/>
  <c r="G232" i="8"/>
  <c r="H232" i="8"/>
  <c r="I232" i="8"/>
  <c r="J232" i="8"/>
  <c r="K232" i="8"/>
  <c r="L232" i="8"/>
  <c r="M232" i="8"/>
  <c r="N232" i="8"/>
  <c r="O232" i="8"/>
  <c r="P232" i="8"/>
  <c r="Q232" i="8"/>
  <c r="R232" i="8"/>
  <c r="A233" i="8"/>
  <c r="B233" i="8"/>
  <c r="C233" i="8"/>
  <c r="D233" i="8"/>
  <c r="E233" i="8"/>
  <c r="F233" i="8"/>
  <c r="G233" i="8"/>
  <c r="H233" i="8"/>
  <c r="I233" i="8"/>
  <c r="J233" i="8"/>
  <c r="K233" i="8"/>
  <c r="L233" i="8"/>
  <c r="M233" i="8"/>
  <c r="N233" i="8"/>
  <c r="O233" i="8"/>
  <c r="P233" i="8"/>
  <c r="Q233" i="8"/>
  <c r="R233" i="8"/>
  <c r="A234" i="8"/>
  <c r="B234" i="8"/>
  <c r="C234" i="8"/>
  <c r="D234" i="8"/>
  <c r="E234" i="8"/>
  <c r="F234" i="8"/>
  <c r="G234" i="8"/>
  <c r="H234" i="8"/>
  <c r="I234" i="8"/>
  <c r="J234" i="8"/>
  <c r="K234" i="8"/>
  <c r="L234" i="8"/>
  <c r="M234" i="8"/>
  <c r="N234" i="8"/>
  <c r="O234" i="8"/>
  <c r="P234" i="8"/>
  <c r="Q234" i="8"/>
  <c r="R234" i="8"/>
  <c r="A235" i="8"/>
  <c r="B235" i="8"/>
  <c r="C235" i="8"/>
  <c r="D235" i="8"/>
  <c r="E235" i="8"/>
  <c r="F235" i="8"/>
  <c r="G235" i="8"/>
  <c r="H235" i="8"/>
  <c r="I235" i="8"/>
  <c r="J235" i="8"/>
  <c r="K235" i="8"/>
  <c r="L235" i="8"/>
  <c r="M235" i="8"/>
  <c r="N235" i="8"/>
  <c r="O235" i="8"/>
  <c r="P235" i="8"/>
  <c r="Q235" i="8"/>
  <c r="R235" i="8"/>
  <c r="A236" i="8"/>
  <c r="B236" i="8"/>
  <c r="C236" i="8"/>
  <c r="D236" i="8"/>
  <c r="E236" i="8"/>
  <c r="F236" i="8"/>
  <c r="G236" i="8"/>
  <c r="H236" i="8"/>
  <c r="I236" i="8"/>
  <c r="J236" i="8"/>
  <c r="K236" i="8"/>
  <c r="L236" i="8"/>
  <c r="M236" i="8"/>
  <c r="N236" i="8"/>
  <c r="O236" i="8"/>
  <c r="P236" i="8"/>
  <c r="Q236" i="8"/>
  <c r="R236" i="8"/>
  <c r="A237" i="8"/>
  <c r="B237" i="8"/>
  <c r="C237" i="8"/>
  <c r="D237" i="8"/>
  <c r="E237" i="8"/>
  <c r="F237" i="8"/>
  <c r="G237" i="8"/>
  <c r="H237" i="8"/>
  <c r="I237" i="8"/>
  <c r="J237" i="8"/>
  <c r="K237" i="8"/>
  <c r="L237" i="8"/>
  <c r="M237" i="8"/>
  <c r="N237" i="8"/>
  <c r="O237" i="8"/>
  <c r="P237" i="8"/>
  <c r="Q237" i="8"/>
  <c r="R237" i="8"/>
  <c r="A238" i="8"/>
  <c r="B238" i="8"/>
  <c r="C238" i="8"/>
  <c r="D238" i="8"/>
  <c r="E238" i="8"/>
  <c r="F238" i="8"/>
  <c r="G238" i="8"/>
  <c r="H238" i="8"/>
  <c r="I238" i="8"/>
  <c r="J238" i="8"/>
  <c r="K238" i="8"/>
  <c r="L238" i="8"/>
  <c r="M238" i="8"/>
  <c r="N238" i="8"/>
  <c r="O238" i="8"/>
  <c r="P238" i="8"/>
  <c r="Q238" i="8"/>
  <c r="R238" i="8"/>
  <c r="A239" i="8"/>
  <c r="B239" i="8"/>
  <c r="C239" i="8"/>
  <c r="D239" i="8"/>
  <c r="E239" i="8"/>
  <c r="F239" i="8"/>
  <c r="G239" i="8"/>
  <c r="H239" i="8"/>
  <c r="I239" i="8"/>
  <c r="J239" i="8"/>
  <c r="K239" i="8"/>
  <c r="L239" i="8"/>
  <c r="M239" i="8"/>
  <c r="N239" i="8"/>
  <c r="O239" i="8"/>
  <c r="P239" i="8"/>
  <c r="Q239" i="8"/>
  <c r="R239" i="8"/>
  <c r="A240" i="8"/>
  <c r="B240" i="8"/>
  <c r="C240" i="8"/>
  <c r="D240" i="8"/>
  <c r="E240" i="8"/>
  <c r="F240" i="8"/>
  <c r="G240" i="8"/>
  <c r="H240" i="8"/>
  <c r="I240" i="8"/>
  <c r="J240" i="8"/>
  <c r="K240" i="8"/>
  <c r="L240" i="8"/>
  <c r="M240" i="8"/>
  <c r="N240" i="8"/>
  <c r="O240" i="8"/>
  <c r="P240" i="8"/>
  <c r="Q240" i="8"/>
  <c r="R240" i="8"/>
  <c r="A241" i="8"/>
  <c r="B241" i="8"/>
  <c r="C241" i="8"/>
  <c r="D241" i="8"/>
  <c r="E241" i="8"/>
  <c r="F241" i="8"/>
  <c r="G241" i="8"/>
  <c r="H241" i="8"/>
  <c r="I241" i="8"/>
  <c r="J241" i="8"/>
  <c r="K241" i="8"/>
  <c r="L241" i="8"/>
  <c r="M241" i="8"/>
  <c r="N241" i="8"/>
  <c r="O241" i="8"/>
  <c r="P241" i="8"/>
  <c r="Q241" i="8"/>
  <c r="R241" i="8"/>
  <c r="A242" i="8"/>
  <c r="B242" i="8"/>
  <c r="C242" i="8"/>
  <c r="D242" i="8"/>
  <c r="E242" i="8"/>
  <c r="F242" i="8"/>
  <c r="G242" i="8"/>
  <c r="H242" i="8"/>
  <c r="I242" i="8"/>
  <c r="J242" i="8"/>
  <c r="K242" i="8"/>
  <c r="L242" i="8"/>
  <c r="M242" i="8"/>
  <c r="N242" i="8"/>
  <c r="O242" i="8"/>
  <c r="P242" i="8"/>
  <c r="Q242" i="8"/>
  <c r="R242" i="8"/>
  <c r="A243" i="8"/>
  <c r="B243" i="8"/>
  <c r="C243" i="8"/>
  <c r="D243" i="8"/>
  <c r="E243" i="8"/>
  <c r="F243" i="8"/>
  <c r="G243" i="8"/>
  <c r="H243" i="8"/>
  <c r="I243" i="8"/>
  <c r="J243" i="8"/>
  <c r="K243" i="8"/>
  <c r="L243" i="8"/>
  <c r="M243" i="8"/>
  <c r="N243" i="8"/>
  <c r="O243" i="8"/>
  <c r="P243" i="8"/>
  <c r="Q243" i="8"/>
  <c r="R243" i="8"/>
  <c r="A244" i="8"/>
  <c r="B244" i="8"/>
  <c r="C244" i="8"/>
  <c r="D244" i="8"/>
  <c r="E244" i="8"/>
  <c r="F244" i="8"/>
  <c r="G244" i="8"/>
  <c r="H244" i="8"/>
  <c r="I244" i="8"/>
  <c r="J244" i="8"/>
  <c r="K244" i="8"/>
  <c r="L244" i="8"/>
  <c r="M244" i="8"/>
  <c r="N244" i="8"/>
  <c r="O244" i="8"/>
  <c r="P244" i="8"/>
  <c r="Q244" i="8"/>
  <c r="R244" i="8"/>
  <c r="A245" i="8"/>
  <c r="B245" i="8"/>
  <c r="C245" i="8"/>
  <c r="D245" i="8"/>
  <c r="E245" i="8"/>
  <c r="F245" i="8"/>
  <c r="G245" i="8"/>
  <c r="H245" i="8"/>
  <c r="I245" i="8"/>
  <c r="J245" i="8"/>
  <c r="K245" i="8"/>
  <c r="L245" i="8"/>
  <c r="M245" i="8"/>
  <c r="N245" i="8"/>
  <c r="O245" i="8"/>
  <c r="P245" i="8"/>
  <c r="Q245" i="8"/>
  <c r="R245" i="8"/>
  <c r="A246" i="8"/>
  <c r="B246" i="8"/>
  <c r="C246" i="8"/>
  <c r="D246" i="8"/>
  <c r="E246" i="8"/>
  <c r="F246" i="8"/>
  <c r="G246" i="8"/>
  <c r="H246" i="8"/>
  <c r="I246" i="8"/>
  <c r="J246" i="8"/>
  <c r="K246" i="8"/>
  <c r="L246" i="8"/>
  <c r="M246" i="8"/>
  <c r="N246" i="8"/>
  <c r="O246" i="8"/>
  <c r="P246" i="8"/>
  <c r="Q246" i="8"/>
  <c r="R246" i="8"/>
  <c r="A247" i="8"/>
  <c r="B247" i="8"/>
  <c r="C247" i="8"/>
  <c r="D247" i="8"/>
  <c r="E247" i="8"/>
  <c r="F247" i="8"/>
  <c r="G247" i="8"/>
  <c r="H247" i="8"/>
  <c r="I247" i="8"/>
  <c r="J247" i="8"/>
  <c r="K247" i="8"/>
  <c r="L247" i="8"/>
  <c r="M247" i="8"/>
  <c r="N247" i="8"/>
  <c r="O247" i="8"/>
  <c r="P247" i="8"/>
  <c r="Q247" i="8"/>
  <c r="R247" i="8"/>
  <c r="A248" i="8"/>
  <c r="B248" i="8"/>
  <c r="C248" i="8"/>
  <c r="D248" i="8"/>
  <c r="E248" i="8"/>
  <c r="F248" i="8"/>
  <c r="G248" i="8"/>
  <c r="H248" i="8"/>
  <c r="I248" i="8"/>
  <c r="J248" i="8"/>
  <c r="K248" i="8"/>
  <c r="L248" i="8"/>
  <c r="M248" i="8"/>
  <c r="N248" i="8"/>
  <c r="O248" i="8"/>
  <c r="P248" i="8"/>
  <c r="Q248" i="8"/>
  <c r="R248" i="8"/>
  <c r="A249" i="8"/>
  <c r="B249" i="8"/>
  <c r="C249" i="8"/>
  <c r="D249" i="8"/>
  <c r="E249" i="8"/>
  <c r="F249" i="8"/>
  <c r="G249" i="8"/>
  <c r="H249" i="8"/>
  <c r="I249" i="8"/>
  <c r="J249" i="8"/>
  <c r="K249" i="8"/>
  <c r="L249" i="8"/>
  <c r="M249" i="8"/>
  <c r="N249" i="8"/>
  <c r="O249" i="8"/>
  <c r="P249" i="8"/>
  <c r="Q249" i="8"/>
  <c r="R249" i="8"/>
  <c r="A250" i="8"/>
  <c r="B250" i="8"/>
  <c r="C250" i="8"/>
  <c r="D250" i="8"/>
  <c r="E250" i="8"/>
  <c r="F250" i="8"/>
  <c r="G250" i="8"/>
  <c r="H250" i="8"/>
  <c r="I250" i="8"/>
  <c r="J250" i="8"/>
  <c r="K250" i="8"/>
  <c r="L250" i="8"/>
  <c r="M250" i="8"/>
  <c r="N250" i="8"/>
  <c r="O250" i="8"/>
  <c r="P250" i="8"/>
  <c r="Q250" i="8"/>
  <c r="R250" i="8"/>
  <c r="A251" i="8"/>
  <c r="B251" i="8"/>
  <c r="C251" i="8"/>
  <c r="D251" i="8"/>
  <c r="E251" i="8"/>
  <c r="F251" i="8"/>
  <c r="G251" i="8"/>
  <c r="H251" i="8"/>
  <c r="I251" i="8"/>
  <c r="J251" i="8"/>
  <c r="K251" i="8"/>
  <c r="L251" i="8"/>
  <c r="M251" i="8"/>
  <c r="N251" i="8"/>
  <c r="O251" i="8"/>
  <c r="P251" i="8"/>
  <c r="Q251" i="8"/>
  <c r="R251" i="8"/>
  <c r="A252" i="8"/>
  <c r="B252" i="8"/>
  <c r="C252" i="8"/>
  <c r="D252" i="8"/>
  <c r="E252" i="8"/>
  <c r="F252" i="8"/>
  <c r="G252" i="8"/>
  <c r="H252" i="8"/>
  <c r="I252" i="8"/>
  <c r="J252" i="8"/>
  <c r="K252" i="8"/>
  <c r="L252" i="8"/>
  <c r="M252" i="8"/>
  <c r="N252" i="8"/>
  <c r="O252" i="8"/>
  <c r="P252" i="8"/>
  <c r="Q252" i="8"/>
  <c r="R252" i="8"/>
  <c r="A253" i="8"/>
  <c r="B253" i="8"/>
  <c r="C253" i="8"/>
  <c r="D253" i="8"/>
  <c r="E253" i="8"/>
  <c r="F253" i="8"/>
  <c r="G253" i="8"/>
  <c r="H253" i="8"/>
  <c r="I253" i="8"/>
  <c r="J253" i="8"/>
  <c r="K253" i="8"/>
  <c r="L253" i="8"/>
  <c r="M253" i="8"/>
  <c r="N253" i="8"/>
  <c r="O253" i="8"/>
  <c r="P253" i="8"/>
  <c r="Q253" i="8"/>
  <c r="R253" i="8"/>
  <c r="A254" i="8"/>
  <c r="B254" i="8"/>
  <c r="C254" i="8"/>
  <c r="D254" i="8"/>
  <c r="E254" i="8"/>
  <c r="F254" i="8"/>
  <c r="G254" i="8"/>
  <c r="H254" i="8"/>
  <c r="I254" i="8"/>
  <c r="J254" i="8"/>
  <c r="K254" i="8"/>
  <c r="L254" i="8"/>
  <c r="M254" i="8"/>
  <c r="N254" i="8"/>
  <c r="O254" i="8"/>
  <c r="P254" i="8"/>
  <c r="Q254" i="8"/>
  <c r="R254" i="8"/>
  <c r="A255" i="8"/>
  <c r="B255" i="8"/>
  <c r="C255" i="8"/>
  <c r="D255" i="8"/>
  <c r="E255" i="8"/>
  <c r="F255" i="8"/>
  <c r="G255" i="8"/>
  <c r="H255" i="8"/>
  <c r="I255" i="8"/>
  <c r="J255" i="8"/>
  <c r="K255" i="8"/>
  <c r="L255" i="8"/>
  <c r="M255" i="8"/>
  <c r="N255" i="8"/>
  <c r="O255" i="8"/>
  <c r="P255" i="8"/>
  <c r="Q255" i="8"/>
  <c r="R255" i="8"/>
  <c r="A256" i="8"/>
  <c r="B256" i="8"/>
  <c r="C256" i="8"/>
  <c r="D256" i="8"/>
  <c r="E256" i="8"/>
  <c r="F256" i="8"/>
  <c r="G256" i="8"/>
  <c r="H256" i="8"/>
  <c r="I256" i="8"/>
  <c r="J256" i="8"/>
  <c r="K256" i="8"/>
  <c r="L256" i="8"/>
  <c r="M256" i="8"/>
  <c r="N256" i="8"/>
  <c r="O256" i="8"/>
  <c r="P256" i="8"/>
  <c r="Q256" i="8"/>
  <c r="R256" i="8"/>
  <c r="A257" i="8"/>
  <c r="B257" i="8"/>
  <c r="C257" i="8"/>
  <c r="D257" i="8"/>
  <c r="E257" i="8"/>
  <c r="F257" i="8"/>
  <c r="G257" i="8"/>
  <c r="H257" i="8"/>
  <c r="I257" i="8"/>
  <c r="J257" i="8"/>
  <c r="K257" i="8"/>
  <c r="L257" i="8"/>
  <c r="M257" i="8"/>
  <c r="N257" i="8"/>
  <c r="O257" i="8"/>
  <c r="P257" i="8"/>
  <c r="Q257" i="8"/>
  <c r="R257" i="8"/>
  <c r="A258" i="8"/>
  <c r="B258" i="8"/>
  <c r="C258" i="8"/>
  <c r="D258" i="8"/>
  <c r="E258" i="8"/>
  <c r="F258" i="8"/>
  <c r="G258" i="8"/>
  <c r="H258" i="8"/>
  <c r="I258" i="8"/>
  <c r="J258" i="8"/>
  <c r="K258" i="8"/>
  <c r="L258" i="8"/>
  <c r="M258" i="8"/>
  <c r="N258" i="8"/>
  <c r="O258" i="8"/>
  <c r="P258" i="8"/>
  <c r="Q258" i="8"/>
  <c r="R258" i="8"/>
  <c r="A259" i="8"/>
  <c r="B259" i="8"/>
  <c r="C259" i="8"/>
  <c r="D259" i="8"/>
  <c r="E259" i="8"/>
  <c r="F259" i="8"/>
  <c r="G259" i="8"/>
  <c r="H259" i="8"/>
  <c r="I259" i="8"/>
  <c r="J259" i="8"/>
  <c r="K259" i="8"/>
  <c r="L259" i="8"/>
  <c r="M259" i="8"/>
  <c r="N259" i="8"/>
  <c r="O259" i="8"/>
  <c r="P259" i="8"/>
  <c r="Q259" i="8"/>
  <c r="R259" i="8"/>
  <c r="A260" i="8"/>
  <c r="B260" i="8"/>
  <c r="C260" i="8"/>
  <c r="D260" i="8"/>
  <c r="E260" i="8"/>
  <c r="F260" i="8"/>
  <c r="G260" i="8"/>
  <c r="H260" i="8"/>
  <c r="I260" i="8"/>
  <c r="J260" i="8"/>
  <c r="K260" i="8"/>
  <c r="L260" i="8"/>
  <c r="M260" i="8"/>
  <c r="N260" i="8"/>
  <c r="O260" i="8"/>
  <c r="P260" i="8"/>
  <c r="Q260" i="8"/>
  <c r="R260" i="8"/>
  <c r="S260" i="8"/>
  <c r="A261" i="8"/>
  <c r="B261" i="8"/>
  <c r="C261" i="8"/>
  <c r="D261" i="8"/>
  <c r="E261" i="8"/>
  <c r="F261" i="8"/>
  <c r="G261" i="8"/>
  <c r="H261" i="8"/>
  <c r="I261" i="8"/>
  <c r="J261" i="8"/>
  <c r="K261" i="8"/>
  <c r="L261" i="8"/>
  <c r="M261" i="8"/>
  <c r="N261" i="8"/>
  <c r="O261" i="8"/>
  <c r="P261" i="8"/>
  <c r="Q261" i="8"/>
  <c r="R261" i="8"/>
  <c r="S261" i="8"/>
  <c r="A262" i="8"/>
  <c r="B262" i="8"/>
  <c r="C262" i="8"/>
  <c r="D262" i="8"/>
  <c r="E262" i="8"/>
  <c r="F262" i="8"/>
  <c r="G262" i="8"/>
  <c r="H262" i="8"/>
  <c r="I262" i="8"/>
  <c r="J262" i="8"/>
  <c r="K262" i="8"/>
  <c r="L262" i="8"/>
  <c r="M262" i="8"/>
  <c r="N262" i="8"/>
  <c r="O262" i="8"/>
  <c r="P262" i="8"/>
  <c r="Q262" i="8"/>
  <c r="R262" i="8"/>
  <c r="S262" i="8"/>
  <c r="A263" i="8"/>
  <c r="B263" i="8"/>
  <c r="C263" i="8"/>
  <c r="D263" i="8"/>
  <c r="E263" i="8"/>
  <c r="F263" i="8"/>
  <c r="G263" i="8"/>
  <c r="H263" i="8"/>
  <c r="I263" i="8"/>
  <c r="J263" i="8"/>
  <c r="K263" i="8"/>
  <c r="L263" i="8"/>
  <c r="M263" i="8"/>
  <c r="N263" i="8"/>
  <c r="O263" i="8"/>
  <c r="P263" i="8"/>
  <c r="Q263" i="8"/>
  <c r="R263" i="8"/>
  <c r="S263" i="8"/>
  <c r="A264" i="8"/>
  <c r="B264" i="8"/>
  <c r="C264" i="8"/>
  <c r="D264" i="8"/>
  <c r="E264" i="8"/>
  <c r="F264" i="8"/>
  <c r="G264" i="8"/>
  <c r="H264" i="8"/>
  <c r="I264" i="8"/>
  <c r="J264" i="8"/>
  <c r="K264" i="8"/>
  <c r="L264" i="8"/>
  <c r="M264" i="8"/>
  <c r="N264" i="8"/>
  <c r="O264" i="8"/>
  <c r="P264" i="8"/>
  <c r="Q264" i="8"/>
  <c r="R264" i="8"/>
  <c r="S264" i="8"/>
  <c r="A265" i="8"/>
  <c r="B265" i="8"/>
  <c r="C265" i="8"/>
  <c r="D265" i="8"/>
  <c r="E265" i="8"/>
  <c r="F265" i="8"/>
  <c r="G265" i="8"/>
  <c r="H265" i="8"/>
  <c r="I265" i="8"/>
  <c r="J265" i="8"/>
  <c r="K265" i="8"/>
  <c r="L265" i="8"/>
  <c r="M265" i="8"/>
  <c r="N265" i="8"/>
  <c r="O265" i="8"/>
  <c r="P265" i="8"/>
  <c r="Q265" i="8"/>
  <c r="R265" i="8"/>
  <c r="S265" i="8"/>
  <c r="A266" i="8"/>
  <c r="B266" i="8"/>
  <c r="C266" i="8"/>
  <c r="D266" i="8"/>
  <c r="E266" i="8"/>
  <c r="F266" i="8"/>
  <c r="G266" i="8"/>
  <c r="H266" i="8"/>
  <c r="I266" i="8"/>
  <c r="J266" i="8"/>
  <c r="K266" i="8"/>
  <c r="L266" i="8"/>
  <c r="M266" i="8"/>
  <c r="N266" i="8"/>
  <c r="O266" i="8"/>
  <c r="P266" i="8"/>
  <c r="Q266" i="8"/>
  <c r="R266" i="8"/>
  <c r="S266" i="8"/>
  <c r="A267" i="8"/>
  <c r="B267" i="8"/>
  <c r="C267" i="8"/>
  <c r="D267" i="8"/>
  <c r="E267" i="8"/>
  <c r="F267" i="8"/>
  <c r="G267" i="8"/>
  <c r="H267" i="8"/>
  <c r="I267" i="8"/>
  <c r="J267" i="8"/>
  <c r="K267" i="8"/>
  <c r="L267" i="8"/>
  <c r="M267" i="8"/>
  <c r="N267" i="8"/>
  <c r="O267" i="8"/>
  <c r="P267" i="8"/>
  <c r="Q267" i="8"/>
  <c r="R267" i="8"/>
  <c r="S267" i="8"/>
  <c r="A268" i="8"/>
  <c r="B268" i="8"/>
  <c r="C268" i="8"/>
  <c r="D268" i="8"/>
  <c r="E268" i="8"/>
  <c r="F268" i="8"/>
  <c r="G268" i="8"/>
  <c r="H268" i="8"/>
  <c r="I268" i="8"/>
  <c r="J268" i="8"/>
  <c r="K268" i="8"/>
  <c r="L268" i="8"/>
  <c r="M268" i="8"/>
  <c r="N268" i="8"/>
  <c r="O268" i="8"/>
  <c r="P268" i="8"/>
  <c r="Q268" i="8"/>
  <c r="R268" i="8"/>
  <c r="S268" i="8"/>
  <c r="A269" i="8"/>
  <c r="B269" i="8"/>
  <c r="C269" i="8"/>
  <c r="D269" i="8"/>
  <c r="E269" i="8"/>
  <c r="F269" i="8"/>
  <c r="G269" i="8"/>
  <c r="H269" i="8"/>
  <c r="I269" i="8"/>
  <c r="J269" i="8"/>
  <c r="K269" i="8"/>
  <c r="L269" i="8"/>
  <c r="M269" i="8"/>
  <c r="N269" i="8"/>
  <c r="O269" i="8"/>
  <c r="P269" i="8"/>
  <c r="Q269" i="8"/>
  <c r="R269" i="8"/>
  <c r="S269" i="8"/>
  <c r="A270" i="8"/>
  <c r="B270" i="8"/>
  <c r="C270" i="8"/>
  <c r="D270" i="8"/>
  <c r="E270" i="8"/>
  <c r="F270" i="8"/>
  <c r="G270" i="8"/>
  <c r="H270" i="8"/>
  <c r="I270" i="8"/>
  <c r="J270" i="8"/>
  <c r="K270" i="8"/>
  <c r="L270" i="8"/>
  <c r="M270" i="8"/>
  <c r="N270" i="8"/>
  <c r="O270" i="8"/>
  <c r="P270" i="8"/>
  <c r="Q270" i="8"/>
  <c r="R270" i="8"/>
  <c r="S270" i="8"/>
  <c r="A271" i="8"/>
  <c r="B271" i="8"/>
  <c r="C271" i="8"/>
  <c r="D271" i="8"/>
  <c r="E271" i="8"/>
  <c r="F271" i="8"/>
  <c r="G271" i="8"/>
  <c r="H271" i="8"/>
  <c r="I271" i="8"/>
  <c r="J271" i="8"/>
  <c r="K271" i="8"/>
  <c r="L271" i="8"/>
  <c r="M271" i="8"/>
  <c r="N271" i="8"/>
  <c r="O271" i="8"/>
  <c r="P271" i="8"/>
  <c r="Q271" i="8"/>
  <c r="R271" i="8"/>
  <c r="S271" i="8"/>
  <c r="A272" i="8"/>
  <c r="B272" i="8"/>
  <c r="C272" i="8"/>
  <c r="D272" i="8"/>
  <c r="E272" i="8"/>
  <c r="F272" i="8"/>
  <c r="G272" i="8"/>
  <c r="H272" i="8"/>
  <c r="I272" i="8"/>
  <c r="J272" i="8"/>
  <c r="K272" i="8"/>
  <c r="L272" i="8"/>
  <c r="M272" i="8"/>
  <c r="N272" i="8"/>
  <c r="O272" i="8"/>
  <c r="P272" i="8"/>
  <c r="Q272" i="8"/>
  <c r="R272" i="8"/>
  <c r="S272" i="8"/>
  <c r="A273" i="8"/>
  <c r="B273" i="8"/>
  <c r="C273" i="8"/>
  <c r="D273" i="8"/>
  <c r="E273" i="8"/>
  <c r="F273" i="8"/>
  <c r="G273" i="8"/>
  <c r="H273" i="8"/>
  <c r="I273" i="8"/>
  <c r="J273" i="8"/>
  <c r="K273" i="8"/>
  <c r="L273" i="8"/>
  <c r="M273" i="8"/>
  <c r="N273" i="8"/>
  <c r="O273" i="8"/>
  <c r="P273" i="8"/>
  <c r="Q273" i="8"/>
  <c r="R273" i="8"/>
  <c r="S273" i="8"/>
  <c r="A274" i="8"/>
  <c r="B274" i="8"/>
  <c r="C274" i="8"/>
  <c r="D274" i="8"/>
  <c r="E274" i="8"/>
  <c r="F274" i="8"/>
  <c r="G274" i="8"/>
  <c r="H274" i="8"/>
  <c r="I274" i="8"/>
  <c r="J274" i="8"/>
  <c r="K274" i="8"/>
  <c r="L274" i="8"/>
  <c r="M274" i="8"/>
  <c r="N274" i="8"/>
  <c r="O274" i="8"/>
  <c r="P274" i="8"/>
  <c r="Q274" i="8"/>
  <c r="R274" i="8"/>
  <c r="S274" i="8"/>
  <c r="A275" i="8"/>
  <c r="B275" i="8"/>
  <c r="C275" i="8"/>
  <c r="D275" i="8"/>
  <c r="E275" i="8"/>
  <c r="F275" i="8"/>
  <c r="G275" i="8"/>
  <c r="H275" i="8"/>
  <c r="I275" i="8"/>
  <c r="J275" i="8"/>
  <c r="K275" i="8"/>
  <c r="L275" i="8"/>
  <c r="M275" i="8"/>
  <c r="N275" i="8"/>
  <c r="O275" i="8"/>
  <c r="P275" i="8"/>
  <c r="Q275" i="8"/>
  <c r="R275" i="8"/>
  <c r="S275" i="8"/>
  <c r="A276" i="8"/>
  <c r="B276" i="8"/>
  <c r="C276" i="8"/>
  <c r="D276" i="8"/>
  <c r="E276" i="8"/>
  <c r="F276" i="8"/>
  <c r="G276" i="8"/>
  <c r="H276" i="8"/>
  <c r="I276" i="8"/>
  <c r="J276" i="8"/>
  <c r="K276" i="8"/>
  <c r="L276" i="8"/>
  <c r="M276" i="8"/>
  <c r="N276" i="8"/>
  <c r="O276" i="8"/>
  <c r="P276" i="8"/>
  <c r="Q276" i="8"/>
  <c r="R276" i="8"/>
  <c r="S276" i="8"/>
  <c r="A277" i="8"/>
  <c r="B277" i="8"/>
  <c r="C277" i="8"/>
  <c r="D277" i="8"/>
  <c r="E277" i="8"/>
  <c r="F277" i="8"/>
  <c r="G277" i="8"/>
  <c r="H277" i="8"/>
  <c r="I277" i="8"/>
  <c r="J277" i="8"/>
  <c r="K277" i="8"/>
  <c r="L277" i="8"/>
  <c r="M277" i="8"/>
  <c r="N277" i="8"/>
  <c r="O277" i="8"/>
  <c r="P277" i="8"/>
  <c r="Q277" i="8"/>
  <c r="R277" i="8"/>
  <c r="S277" i="8"/>
  <c r="A278" i="8"/>
  <c r="B278" i="8"/>
  <c r="C278" i="8"/>
  <c r="D278" i="8"/>
  <c r="E278" i="8"/>
  <c r="F278" i="8"/>
  <c r="G278" i="8"/>
  <c r="H278" i="8"/>
  <c r="I278" i="8"/>
  <c r="J278" i="8"/>
  <c r="K278" i="8"/>
  <c r="L278" i="8"/>
  <c r="M278" i="8"/>
  <c r="N278" i="8"/>
  <c r="O278" i="8"/>
  <c r="P278" i="8"/>
  <c r="Q278" i="8"/>
  <c r="R278" i="8"/>
  <c r="S278" i="8"/>
  <c r="A279" i="8"/>
  <c r="B279" i="8"/>
  <c r="C279" i="8"/>
  <c r="D279" i="8"/>
  <c r="E279" i="8"/>
  <c r="F279" i="8"/>
  <c r="G279" i="8"/>
  <c r="H279" i="8"/>
  <c r="I279" i="8"/>
  <c r="J279" i="8"/>
  <c r="K279" i="8"/>
  <c r="L279" i="8"/>
  <c r="M279" i="8"/>
  <c r="N279" i="8"/>
  <c r="O279" i="8"/>
  <c r="P279" i="8"/>
  <c r="Q279" i="8"/>
  <c r="R279" i="8"/>
  <c r="S279" i="8"/>
  <c r="A280" i="8"/>
  <c r="B280" i="8"/>
  <c r="C280" i="8"/>
  <c r="D280" i="8"/>
  <c r="E280" i="8"/>
  <c r="F280" i="8"/>
  <c r="G280" i="8"/>
  <c r="H280" i="8"/>
  <c r="I280" i="8"/>
  <c r="J280" i="8"/>
  <c r="K280" i="8"/>
  <c r="L280" i="8"/>
  <c r="M280" i="8"/>
  <c r="N280" i="8"/>
  <c r="O280" i="8"/>
  <c r="P280" i="8"/>
  <c r="Q280" i="8"/>
  <c r="R280" i="8"/>
  <c r="S280" i="8"/>
  <c r="A281" i="8"/>
  <c r="B281" i="8"/>
  <c r="C281" i="8"/>
  <c r="D281" i="8"/>
  <c r="E281" i="8"/>
  <c r="F281" i="8"/>
  <c r="G281" i="8"/>
  <c r="H281" i="8"/>
  <c r="I281" i="8"/>
  <c r="J281" i="8"/>
  <c r="K281" i="8"/>
  <c r="L281" i="8"/>
  <c r="M281" i="8"/>
  <c r="N281" i="8"/>
  <c r="O281" i="8"/>
  <c r="P281" i="8"/>
  <c r="Q281" i="8"/>
  <c r="R281" i="8"/>
  <c r="S281" i="8"/>
  <c r="A282" i="8"/>
  <c r="B282" i="8"/>
  <c r="C282" i="8"/>
  <c r="D282" i="8"/>
  <c r="E282" i="8"/>
  <c r="F282" i="8"/>
  <c r="G282" i="8"/>
  <c r="H282" i="8"/>
  <c r="I282" i="8"/>
  <c r="J282" i="8"/>
  <c r="K282" i="8"/>
  <c r="L282" i="8"/>
  <c r="M282" i="8"/>
  <c r="N282" i="8"/>
  <c r="O282" i="8"/>
  <c r="P282" i="8"/>
  <c r="Q282" i="8"/>
  <c r="R282" i="8"/>
  <c r="S282" i="8"/>
  <c r="A283" i="8"/>
  <c r="B283" i="8"/>
  <c r="C283" i="8"/>
  <c r="D283" i="8"/>
  <c r="E283" i="8"/>
  <c r="F283" i="8"/>
  <c r="G283" i="8"/>
  <c r="H283" i="8"/>
  <c r="I283" i="8"/>
  <c r="J283" i="8"/>
  <c r="K283" i="8"/>
  <c r="L283" i="8"/>
  <c r="M283" i="8"/>
  <c r="N283" i="8"/>
  <c r="O283" i="8"/>
  <c r="P283" i="8"/>
  <c r="Q283" i="8"/>
  <c r="R283" i="8"/>
  <c r="S283" i="8"/>
  <c r="A284" i="8"/>
  <c r="B284" i="8"/>
  <c r="C284" i="8"/>
  <c r="D284" i="8"/>
  <c r="E284" i="8"/>
  <c r="F284" i="8"/>
  <c r="G284" i="8"/>
  <c r="H284" i="8"/>
  <c r="I284" i="8"/>
  <c r="J284" i="8"/>
  <c r="K284" i="8"/>
  <c r="L284" i="8"/>
  <c r="M284" i="8"/>
  <c r="N284" i="8"/>
  <c r="O284" i="8"/>
  <c r="P284" i="8"/>
  <c r="Q284" i="8"/>
  <c r="R284" i="8"/>
  <c r="S284" i="8"/>
  <c r="A285" i="8"/>
  <c r="B285" i="8"/>
  <c r="C285" i="8"/>
  <c r="D285" i="8"/>
  <c r="E285" i="8"/>
  <c r="F285" i="8"/>
  <c r="G285" i="8"/>
  <c r="H285" i="8"/>
  <c r="I285" i="8"/>
  <c r="J285" i="8"/>
  <c r="K285" i="8"/>
  <c r="L285" i="8"/>
  <c r="M285" i="8"/>
  <c r="N285" i="8"/>
  <c r="O285" i="8"/>
  <c r="P285" i="8"/>
  <c r="Q285" i="8"/>
  <c r="R285" i="8"/>
  <c r="S285" i="8"/>
  <c r="A286" i="8"/>
  <c r="B286" i="8"/>
  <c r="C286" i="8"/>
  <c r="D286" i="8"/>
  <c r="E286" i="8"/>
  <c r="F286" i="8"/>
  <c r="G286" i="8"/>
  <c r="H286" i="8"/>
  <c r="I286" i="8"/>
  <c r="J286" i="8"/>
  <c r="K286" i="8"/>
  <c r="L286" i="8"/>
  <c r="M286" i="8"/>
  <c r="N286" i="8"/>
  <c r="O286" i="8"/>
  <c r="P286" i="8"/>
  <c r="Q286" i="8"/>
  <c r="R286" i="8"/>
  <c r="S286" i="8"/>
  <c r="A287" i="8"/>
  <c r="B287" i="8"/>
  <c r="C287" i="8"/>
  <c r="D287" i="8"/>
  <c r="E287" i="8"/>
  <c r="F287" i="8"/>
  <c r="G287" i="8"/>
  <c r="H287" i="8"/>
  <c r="I287" i="8"/>
  <c r="J287" i="8"/>
  <c r="K287" i="8"/>
  <c r="L287" i="8"/>
  <c r="M287" i="8"/>
  <c r="N287" i="8"/>
  <c r="O287" i="8"/>
  <c r="P287" i="8"/>
  <c r="Q287" i="8"/>
  <c r="R287" i="8"/>
  <c r="S287" i="8"/>
  <c r="A288" i="8"/>
  <c r="B288" i="8"/>
  <c r="C288" i="8"/>
  <c r="D288" i="8"/>
  <c r="E288" i="8"/>
  <c r="F288" i="8"/>
  <c r="G288" i="8"/>
  <c r="H288" i="8"/>
  <c r="I288" i="8"/>
  <c r="J288" i="8"/>
  <c r="K288" i="8"/>
  <c r="L288" i="8"/>
  <c r="M288" i="8"/>
  <c r="N288" i="8"/>
  <c r="O288" i="8"/>
  <c r="P288" i="8"/>
  <c r="Q288" i="8"/>
  <c r="R288" i="8"/>
  <c r="S288" i="8"/>
  <c r="A289" i="8"/>
  <c r="B289" i="8"/>
  <c r="C289" i="8"/>
  <c r="D289" i="8"/>
  <c r="E289" i="8"/>
  <c r="F289" i="8"/>
  <c r="G289" i="8"/>
  <c r="H289" i="8"/>
  <c r="I289" i="8"/>
  <c r="J289" i="8"/>
  <c r="K289" i="8"/>
  <c r="L289" i="8"/>
  <c r="M289" i="8"/>
  <c r="N289" i="8"/>
  <c r="O289" i="8"/>
  <c r="P289" i="8"/>
  <c r="Q289" i="8"/>
  <c r="R289" i="8"/>
  <c r="S289" i="8"/>
  <c r="A290" i="8"/>
  <c r="B290" i="8"/>
  <c r="C290" i="8"/>
  <c r="D290" i="8"/>
  <c r="E290" i="8"/>
  <c r="F290" i="8"/>
  <c r="G290" i="8"/>
  <c r="H290" i="8"/>
  <c r="I290" i="8"/>
  <c r="J290" i="8"/>
  <c r="K290" i="8"/>
  <c r="L290" i="8"/>
  <c r="M290" i="8"/>
  <c r="N290" i="8"/>
  <c r="O290" i="8"/>
  <c r="P290" i="8"/>
  <c r="Q290" i="8"/>
  <c r="R290" i="8"/>
  <c r="S290" i="8"/>
  <c r="A291" i="8"/>
  <c r="B291" i="8"/>
  <c r="C291" i="8"/>
  <c r="D291" i="8"/>
  <c r="E291" i="8"/>
  <c r="F291" i="8"/>
  <c r="G291" i="8"/>
  <c r="H291" i="8"/>
  <c r="I291" i="8"/>
  <c r="J291" i="8"/>
  <c r="K291" i="8"/>
  <c r="L291" i="8"/>
  <c r="M291" i="8"/>
  <c r="N291" i="8"/>
  <c r="O291" i="8"/>
  <c r="P291" i="8"/>
  <c r="Q291" i="8"/>
  <c r="R291" i="8"/>
  <c r="S291" i="8"/>
  <c r="A292" i="8"/>
  <c r="B292" i="8"/>
  <c r="C292" i="8"/>
  <c r="D292" i="8"/>
  <c r="E292" i="8"/>
  <c r="F292" i="8"/>
  <c r="G292" i="8"/>
  <c r="H292" i="8"/>
  <c r="I292" i="8"/>
  <c r="J292" i="8"/>
  <c r="K292" i="8"/>
  <c r="L292" i="8"/>
  <c r="M292" i="8"/>
  <c r="N292" i="8"/>
  <c r="O292" i="8"/>
  <c r="P292" i="8"/>
  <c r="Q292" i="8"/>
  <c r="R292" i="8"/>
  <c r="S292" i="8"/>
  <c r="A293" i="8"/>
  <c r="B293" i="8"/>
  <c r="C293" i="8"/>
  <c r="D293" i="8"/>
  <c r="E293" i="8"/>
  <c r="F293" i="8"/>
  <c r="G293" i="8"/>
  <c r="H293" i="8"/>
  <c r="I293" i="8"/>
  <c r="J293" i="8"/>
  <c r="K293" i="8"/>
  <c r="L293" i="8"/>
  <c r="M293" i="8"/>
  <c r="N293" i="8"/>
  <c r="O293" i="8"/>
  <c r="P293" i="8"/>
  <c r="Q293" i="8"/>
  <c r="R293" i="8"/>
  <c r="S293" i="8"/>
  <c r="A294" i="8"/>
  <c r="B294" i="8"/>
  <c r="C294" i="8"/>
  <c r="D294" i="8"/>
  <c r="E294" i="8"/>
  <c r="F294" i="8"/>
  <c r="G294" i="8"/>
  <c r="H294" i="8"/>
  <c r="I294" i="8"/>
  <c r="J294" i="8"/>
  <c r="K294" i="8"/>
  <c r="L294" i="8"/>
  <c r="M294" i="8"/>
  <c r="N294" i="8"/>
  <c r="O294" i="8"/>
  <c r="P294" i="8"/>
  <c r="Q294" i="8"/>
  <c r="R294" i="8"/>
  <c r="S294" i="8"/>
  <c r="A295" i="8"/>
  <c r="B295" i="8"/>
  <c r="C295" i="8"/>
  <c r="D295" i="8"/>
  <c r="E295" i="8"/>
  <c r="F295" i="8"/>
  <c r="G295" i="8"/>
  <c r="H295" i="8"/>
  <c r="I295" i="8"/>
  <c r="J295" i="8"/>
  <c r="K295" i="8"/>
  <c r="L295" i="8"/>
  <c r="M295" i="8"/>
  <c r="N295" i="8"/>
  <c r="O295" i="8"/>
  <c r="P295" i="8"/>
  <c r="Q295" i="8"/>
  <c r="R295" i="8"/>
  <c r="S295" i="8"/>
  <c r="A296" i="8"/>
  <c r="B296" i="8"/>
  <c r="C296" i="8"/>
  <c r="D296" i="8"/>
  <c r="E296" i="8"/>
  <c r="F296" i="8"/>
  <c r="G296" i="8"/>
  <c r="H296" i="8"/>
  <c r="I296" i="8"/>
  <c r="J296" i="8"/>
  <c r="K296" i="8"/>
  <c r="L296" i="8"/>
  <c r="M296" i="8"/>
  <c r="N296" i="8"/>
  <c r="O296" i="8"/>
  <c r="P296" i="8"/>
  <c r="Q296" i="8"/>
  <c r="R296" i="8"/>
  <c r="S296" i="8"/>
  <c r="A297" i="8"/>
  <c r="B297" i="8"/>
  <c r="C297" i="8"/>
  <c r="D297" i="8"/>
  <c r="E297" i="8"/>
  <c r="F297" i="8"/>
  <c r="G297" i="8"/>
  <c r="H297" i="8"/>
  <c r="I297" i="8"/>
  <c r="J297" i="8"/>
  <c r="K297" i="8"/>
  <c r="L297" i="8"/>
  <c r="M297" i="8"/>
  <c r="N297" i="8"/>
  <c r="O297" i="8"/>
  <c r="P297" i="8"/>
  <c r="Q297" i="8"/>
  <c r="R297" i="8"/>
  <c r="S297" i="8"/>
  <c r="A298" i="8"/>
  <c r="B298" i="8"/>
  <c r="C298" i="8"/>
  <c r="D298" i="8"/>
  <c r="E298" i="8"/>
  <c r="F298" i="8"/>
  <c r="G298" i="8"/>
  <c r="H298" i="8"/>
  <c r="I298" i="8"/>
  <c r="J298" i="8"/>
  <c r="K298" i="8"/>
  <c r="L298" i="8"/>
  <c r="M298" i="8"/>
  <c r="N298" i="8"/>
  <c r="O298" i="8"/>
  <c r="P298" i="8"/>
  <c r="Q298" i="8"/>
  <c r="R298" i="8"/>
  <c r="S298" i="8"/>
  <c r="A299" i="8"/>
  <c r="B299" i="8"/>
  <c r="C299" i="8"/>
  <c r="D299" i="8"/>
  <c r="E299" i="8"/>
  <c r="F299" i="8"/>
  <c r="G299" i="8"/>
  <c r="H299" i="8"/>
  <c r="I299" i="8"/>
  <c r="J299" i="8"/>
  <c r="K299" i="8"/>
  <c r="L299" i="8"/>
  <c r="M299" i="8"/>
  <c r="N299" i="8"/>
  <c r="O299" i="8"/>
  <c r="P299" i="8"/>
  <c r="Q299" i="8"/>
  <c r="R299" i="8"/>
  <c r="S299" i="8"/>
  <c r="A300" i="8"/>
  <c r="B300" i="8"/>
  <c r="C300" i="8"/>
  <c r="D300" i="8"/>
  <c r="E300" i="8"/>
  <c r="F300" i="8"/>
  <c r="G300" i="8"/>
  <c r="H300" i="8"/>
  <c r="I300" i="8"/>
  <c r="J300" i="8"/>
  <c r="K300" i="8"/>
  <c r="L300" i="8"/>
  <c r="M300" i="8"/>
  <c r="N300" i="8"/>
  <c r="O300" i="8"/>
  <c r="P300" i="8"/>
  <c r="Q300" i="8"/>
  <c r="R300" i="8"/>
  <c r="S300" i="8"/>
  <c r="A301" i="8"/>
  <c r="B301" i="8"/>
  <c r="C301" i="8"/>
  <c r="D301" i="8"/>
  <c r="E301" i="8"/>
  <c r="F301" i="8"/>
  <c r="G301" i="8"/>
  <c r="H301" i="8"/>
  <c r="I301" i="8"/>
  <c r="J301" i="8"/>
  <c r="K301" i="8"/>
  <c r="L301" i="8"/>
  <c r="M301" i="8"/>
  <c r="N301" i="8"/>
  <c r="O301" i="8"/>
  <c r="P301" i="8"/>
  <c r="Q301" i="8"/>
  <c r="R301" i="8"/>
  <c r="S301" i="8"/>
  <c r="A302" i="8"/>
  <c r="B302" i="8"/>
  <c r="C302" i="8"/>
  <c r="D302" i="8"/>
  <c r="E302" i="8"/>
  <c r="F302" i="8"/>
  <c r="G302" i="8"/>
  <c r="H302" i="8"/>
  <c r="I302" i="8"/>
  <c r="J302" i="8"/>
  <c r="K302" i="8"/>
  <c r="L302" i="8"/>
  <c r="M302" i="8"/>
  <c r="N302" i="8"/>
  <c r="O302" i="8"/>
  <c r="P302" i="8"/>
  <c r="Q302" i="8"/>
  <c r="R302" i="8"/>
  <c r="S302" i="8"/>
  <c r="A303" i="8"/>
  <c r="B303" i="8"/>
  <c r="C303" i="8"/>
  <c r="D303" i="8"/>
  <c r="E303" i="8"/>
  <c r="F303" i="8"/>
  <c r="G303" i="8"/>
  <c r="H303" i="8"/>
  <c r="I303" i="8"/>
  <c r="J303" i="8"/>
  <c r="K303" i="8"/>
  <c r="L303" i="8"/>
  <c r="M303" i="8"/>
  <c r="N303" i="8"/>
  <c r="O303" i="8"/>
  <c r="P303" i="8"/>
  <c r="Q303" i="8"/>
  <c r="R303" i="8"/>
  <c r="S303" i="8"/>
  <c r="A304" i="8"/>
  <c r="B304" i="8"/>
  <c r="C304" i="8"/>
  <c r="D304" i="8"/>
  <c r="E304" i="8"/>
  <c r="F304" i="8"/>
  <c r="G304" i="8"/>
  <c r="H304" i="8"/>
  <c r="I304" i="8"/>
  <c r="J304" i="8"/>
  <c r="K304" i="8"/>
  <c r="L304" i="8"/>
  <c r="M304" i="8"/>
  <c r="N304" i="8"/>
  <c r="O304" i="8"/>
  <c r="P304" i="8"/>
  <c r="Q304" i="8"/>
  <c r="R304" i="8"/>
  <c r="S304" i="8"/>
  <c r="A305" i="8"/>
  <c r="B305" i="8"/>
  <c r="C305" i="8"/>
  <c r="D305" i="8"/>
  <c r="E305" i="8"/>
  <c r="F305" i="8"/>
  <c r="G305" i="8"/>
  <c r="H305" i="8"/>
  <c r="I305" i="8"/>
  <c r="J305" i="8"/>
  <c r="K305" i="8"/>
  <c r="L305" i="8"/>
  <c r="M305" i="8"/>
  <c r="N305" i="8"/>
  <c r="O305" i="8"/>
  <c r="P305" i="8"/>
  <c r="Q305" i="8"/>
  <c r="R305" i="8"/>
  <c r="S305" i="8"/>
  <c r="A306" i="8"/>
  <c r="B306" i="8"/>
  <c r="C306" i="8"/>
  <c r="D306" i="8"/>
  <c r="E306" i="8"/>
  <c r="F306" i="8"/>
  <c r="G306" i="8"/>
  <c r="H306" i="8"/>
  <c r="I306" i="8"/>
  <c r="J306" i="8"/>
  <c r="K306" i="8"/>
  <c r="L306" i="8"/>
  <c r="M306" i="8"/>
  <c r="N306" i="8"/>
  <c r="O306" i="8"/>
  <c r="P306" i="8"/>
  <c r="Q306" i="8"/>
  <c r="R306" i="8"/>
  <c r="S306" i="8"/>
  <c r="A307" i="8"/>
  <c r="B307" i="8"/>
  <c r="C307" i="8"/>
  <c r="D307" i="8"/>
  <c r="E307" i="8"/>
  <c r="F307" i="8"/>
  <c r="G307" i="8"/>
  <c r="H307" i="8"/>
  <c r="I307" i="8"/>
  <c r="J307" i="8"/>
  <c r="K307" i="8"/>
  <c r="L307" i="8"/>
  <c r="M307" i="8"/>
  <c r="N307" i="8"/>
  <c r="O307" i="8"/>
  <c r="P307" i="8"/>
  <c r="Q307" i="8"/>
  <c r="R307" i="8"/>
  <c r="S307" i="8"/>
  <c r="A308" i="8"/>
  <c r="B308" i="8"/>
  <c r="C308" i="8"/>
  <c r="D308" i="8"/>
  <c r="E308" i="8"/>
  <c r="F308" i="8"/>
  <c r="G308" i="8"/>
  <c r="H308" i="8"/>
  <c r="I308" i="8"/>
  <c r="J308" i="8"/>
  <c r="K308" i="8"/>
  <c r="L308" i="8"/>
  <c r="M308" i="8"/>
  <c r="N308" i="8"/>
  <c r="O308" i="8"/>
  <c r="P308" i="8"/>
  <c r="Q308" i="8"/>
  <c r="R308" i="8"/>
  <c r="S308" i="8"/>
  <c r="A309" i="8"/>
  <c r="B309" i="8"/>
  <c r="C309" i="8"/>
  <c r="D309" i="8"/>
  <c r="E309" i="8"/>
  <c r="F309" i="8"/>
  <c r="G309" i="8"/>
  <c r="H309" i="8"/>
  <c r="I309" i="8"/>
  <c r="J309" i="8"/>
  <c r="K309" i="8"/>
  <c r="L309" i="8"/>
  <c r="M309" i="8"/>
  <c r="N309" i="8"/>
  <c r="O309" i="8"/>
  <c r="P309" i="8"/>
  <c r="Q309" i="8"/>
  <c r="R309" i="8"/>
  <c r="S309" i="8"/>
  <c r="A310" i="8"/>
  <c r="B310" i="8"/>
  <c r="C310" i="8"/>
  <c r="D310" i="8"/>
  <c r="E310" i="8"/>
  <c r="F310" i="8"/>
  <c r="G310" i="8"/>
  <c r="H310" i="8"/>
  <c r="I310" i="8"/>
  <c r="J310" i="8"/>
  <c r="K310" i="8"/>
  <c r="L310" i="8"/>
  <c r="M310" i="8"/>
  <c r="N310" i="8"/>
  <c r="O310" i="8"/>
  <c r="P310" i="8"/>
  <c r="Q310" i="8"/>
  <c r="R310" i="8"/>
  <c r="S310" i="8"/>
  <c r="A311" i="8"/>
  <c r="B311" i="8"/>
  <c r="C311" i="8"/>
  <c r="D311" i="8"/>
  <c r="E311" i="8"/>
  <c r="F311" i="8"/>
  <c r="G311" i="8"/>
  <c r="H311" i="8"/>
  <c r="I311" i="8"/>
  <c r="J311" i="8"/>
  <c r="K311" i="8"/>
  <c r="L311" i="8"/>
  <c r="M311" i="8"/>
  <c r="N311" i="8"/>
  <c r="O311" i="8"/>
  <c r="P311" i="8"/>
  <c r="Q311" i="8"/>
  <c r="R311" i="8"/>
  <c r="S311" i="8"/>
  <c r="A312" i="8"/>
  <c r="B312" i="8"/>
  <c r="C312" i="8"/>
  <c r="D312" i="8"/>
  <c r="E312" i="8"/>
  <c r="F312" i="8"/>
  <c r="G312" i="8"/>
  <c r="H312" i="8"/>
  <c r="I312" i="8"/>
  <c r="J312" i="8"/>
  <c r="K312" i="8"/>
  <c r="L312" i="8"/>
  <c r="M312" i="8"/>
  <c r="N312" i="8"/>
  <c r="O312" i="8"/>
  <c r="P312" i="8"/>
  <c r="Q312" i="8"/>
  <c r="R312" i="8"/>
  <c r="S312" i="8"/>
  <c r="A313" i="8"/>
  <c r="B313" i="8"/>
  <c r="C313" i="8"/>
  <c r="D313" i="8"/>
  <c r="E313" i="8"/>
  <c r="F313" i="8"/>
  <c r="G313" i="8"/>
  <c r="H313" i="8"/>
  <c r="I313" i="8"/>
  <c r="J313" i="8"/>
  <c r="K313" i="8"/>
  <c r="L313" i="8"/>
  <c r="M313" i="8"/>
  <c r="N313" i="8"/>
  <c r="O313" i="8"/>
  <c r="P313" i="8"/>
  <c r="Q313" i="8"/>
  <c r="R313" i="8"/>
  <c r="S313" i="8"/>
  <c r="A314" i="8"/>
  <c r="B314" i="8"/>
  <c r="C314" i="8"/>
  <c r="D314" i="8"/>
  <c r="E314" i="8"/>
  <c r="F314" i="8"/>
  <c r="G314" i="8"/>
  <c r="H314" i="8"/>
  <c r="I314" i="8"/>
  <c r="J314" i="8"/>
  <c r="K314" i="8"/>
  <c r="L314" i="8"/>
  <c r="M314" i="8"/>
  <c r="N314" i="8"/>
  <c r="O314" i="8"/>
  <c r="P314" i="8"/>
  <c r="Q314" i="8"/>
  <c r="R314" i="8"/>
  <c r="S314" i="8"/>
  <c r="A315" i="8"/>
  <c r="B315" i="8"/>
  <c r="C315" i="8"/>
  <c r="D315" i="8"/>
  <c r="E315" i="8"/>
  <c r="F315" i="8"/>
  <c r="G315" i="8"/>
  <c r="H315" i="8"/>
  <c r="I315" i="8"/>
  <c r="J315" i="8"/>
  <c r="K315" i="8"/>
  <c r="L315" i="8"/>
  <c r="M315" i="8"/>
  <c r="N315" i="8"/>
  <c r="O315" i="8"/>
  <c r="P315" i="8"/>
  <c r="Q315" i="8"/>
  <c r="R315" i="8"/>
  <c r="S315" i="8"/>
  <c r="A316" i="8"/>
  <c r="B316" i="8"/>
  <c r="C316" i="8"/>
  <c r="D316" i="8"/>
  <c r="E316" i="8"/>
  <c r="F316" i="8"/>
  <c r="G316" i="8"/>
  <c r="H316" i="8"/>
  <c r="I316" i="8"/>
  <c r="J316" i="8"/>
  <c r="K316" i="8"/>
  <c r="L316" i="8"/>
  <c r="M316" i="8"/>
  <c r="N316" i="8"/>
  <c r="O316" i="8"/>
  <c r="P316" i="8"/>
  <c r="Q316" i="8"/>
  <c r="R316" i="8"/>
  <c r="S316" i="8"/>
  <c r="A317" i="8"/>
  <c r="B317" i="8"/>
  <c r="C317" i="8"/>
  <c r="D317" i="8"/>
  <c r="E317" i="8"/>
  <c r="F317" i="8"/>
  <c r="G317" i="8"/>
  <c r="H317" i="8"/>
  <c r="I317" i="8"/>
  <c r="J317" i="8"/>
  <c r="K317" i="8"/>
  <c r="L317" i="8"/>
  <c r="M317" i="8"/>
  <c r="N317" i="8"/>
  <c r="O317" i="8"/>
  <c r="P317" i="8"/>
  <c r="Q317" i="8"/>
  <c r="R317" i="8"/>
  <c r="S317" i="8"/>
  <c r="A318" i="8"/>
  <c r="B318" i="8"/>
  <c r="C318" i="8"/>
  <c r="D318" i="8"/>
  <c r="E318" i="8"/>
  <c r="F318" i="8"/>
  <c r="G318" i="8"/>
  <c r="H318" i="8"/>
  <c r="I318" i="8"/>
  <c r="J318" i="8"/>
  <c r="K318" i="8"/>
  <c r="L318" i="8"/>
  <c r="M318" i="8"/>
  <c r="N318" i="8"/>
  <c r="O318" i="8"/>
  <c r="P318" i="8"/>
  <c r="Q318" i="8"/>
  <c r="R318" i="8"/>
  <c r="S318" i="8"/>
  <c r="A319" i="8"/>
  <c r="B319" i="8"/>
  <c r="C319" i="8"/>
  <c r="D319" i="8"/>
  <c r="E319" i="8"/>
  <c r="F319" i="8"/>
  <c r="G319" i="8"/>
  <c r="H319" i="8"/>
  <c r="I319" i="8"/>
  <c r="J319" i="8"/>
  <c r="K319" i="8"/>
  <c r="L319" i="8"/>
  <c r="M319" i="8"/>
  <c r="N319" i="8"/>
  <c r="O319" i="8"/>
  <c r="P319" i="8"/>
  <c r="Q319" i="8"/>
  <c r="R319" i="8"/>
  <c r="S319" i="8"/>
  <c r="A320" i="8"/>
  <c r="B320" i="8"/>
  <c r="C320" i="8"/>
  <c r="D320" i="8"/>
  <c r="E320" i="8"/>
  <c r="F320" i="8"/>
  <c r="G320" i="8"/>
  <c r="H320" i="8"/>
  <c r="I320" i="8"/>
  <c r="J320" i="8"/>
  <c r="K320" i="8"/>
  <c r="L320" i="8"/>
  <c r="M320" i="8"/>
  <c r="N320" i="8"/>
  <c r="O320" i="8"/>
  <c r="P320" i="8"/>
  <c r="Q320" i="8"/>
  <c r="R320" i="8"/>
  <c r="S320" i="8"/>
  <c r="A321" i="8"/>
  <c r="B321" i="8"/>
  <c r="C321" i="8"/>
  <c r="D321" i="8"/>
  <c r="E321" i="8"/>
  <c r="F321" i="8"/>
  <c r="G321" i="8"/>
  <c r="H321" i="8"/>
  <c r="I321" i="8"/>
  <c r="J321" i="8"/>
  <c r="K321" i="8"/>
  <c r="L321" i="8"/>
  <c r="M321" i="8"/>
  <c r="N321" i="8"/>
  <c r="O321" i="8"/>
  <c r="P321" i="8"/>
  <c r="Q321" i="8"/>
  <c r="R321" i="8"/>
  <c r="S321" i="8"/>
  <c r="A322" i="8"/>
  <c r="B322" i="8"/>
  <c r="C322" i="8"/>
  <c r="D322" i="8"/>
  <c r="E322" i="8"/>
  <c r="F322" i="8"/>
  <c r="G322" i="8"/>
  <c r="H322" i="8"/>
  <c r="I322" i="8"/>
  <c r="J322" i="8"/>
  <c r="K322" i="8"/>
  <c r="L322" i="8"/>
  <c r="M322" i="8"/>
  <c r="N322" i="8"/>
  <c r="O322" i="8"/>
  <c r="P322" i="8"/>
  <c r="Q322" i="8"/>
  <c r="R322" i="8"/>
  <c r="S322" i="8"/>
  <c r="A323" i="8"/>
  <c r="B323" i="8"/>
  <c r="C323" i="8"/>
  <c r="D323" i="8"/>
  <c r="E323" i="8"/>
  <c r="F323" i="8"/>
  <c r="G323" i="8"/>
  <c r="H323" i="8"/>
  <c r="I323" i="8"/>
  <c r="J323" i="8"/>
  <c r="K323" i="8"/>
  <c r="L323" i="8"/>
  <c r="M323" i="8"/>
  <c r="N323" i="8"/>
  <c r="O323" i="8"/>
  <c r="P323" i="8"/>
  <c r="Q323" i="8"/>
  <c r="R323" i="8"/>
  <c r="S323" i="8"/>
  <c r="A324" i="8"/>
  <c r="B324" i="8"/>
  <c r="C324" i="8"/>
  <c r="D324" i="8"/>
  <c r="E324" i="8"/>
  <c r="F324" i="8"/>
  <c r="G324" i="8"/>
  <c r="H324" i="8"/>
  <c r="I324" i="8"/>
  <c r="J324" i="8"/>
  <c r="K324" i="8"/>
  <c r="L324" i="8"/>
  <c r="M324" i="8"/>
  <c r="N324" i="8"/>
  <c r="O324" i="8"/>
  <c r="P324" i="8"/>
  <c r="Q324" i="8"/>
  <c r="R324" i="8"/>
  <c r="S324" i="8"/>
  <c r="A325" i="8"/>
  <c r="B325" i="8"/>
  <c r="C325" i="8"/>
  <c r="D325" i="8"/>
  <c r="E325" i="8"/>
  <c r="F325" i="8"/>
  <c r="G325" i="8"/>
  <c r="H325" i="8"/>
  <c r="I325" i="8"/>
  <c r="J325" i="8"/>
  <c r="K325" i="8"/>
  <c r="L325" i="8"/>
  <c r="M325" i="8"/>
  <c r="N325" i="8"/>
  <c r="O325" i="8"/>
  <c r="P325" i="8"/>
  <c r="Q325" i="8"/>
  <c r="R325" i="8"/>
  <c r="S325" i="8"/>
  <c r="A326" i="8"/>
  <c r="B326" i="8"/>
  <c r="C326" i="8"/>
  <c r="D326" i="8"/>
  <c r="E326" i="8"/>
  <c r="F326" i="8"/>
  <c r="G326" i="8"/>
  <c r="H326" i="8"/>
  <c r="I326" i="8"/>
  <c r="J326" i="8"/>
  <c r="K326" i="8"/>
  <c r="L326" i="8"/>
  <c r="M326" i="8"/>
  <c r="N326" i="8"/>
  <c r="O326" i="8"/>
  <c r="P326" i="8"/>
  <c r="Q326" i="8"/>
  <c r="R326" i="8"/>
  <c r="S326" i="8"/>
  <c r="A327" i="8"/>
  <c r="B327" i="8"/>
  <c r="C327" i="8"/>
  <c r="D327" i="8"/>
  <c r="E327" i="8"/>
  <c r="F327" i="8"/>
  <c r="G327" i="8"/>
  <c r="H327" i="8"/>
  <c r="I327" i="8"/>
  <c r="J327" i="8"/>
  <c r="K327" i="8"/>
  <c r="L327" i="8"/>
  <c r="M327" i="8"/>
  <c r="N327" i="8"/>
  <c r="O327" i="8"/>
  <c r="P327" i="8"/>
  <c r="Q327" i="8"/>
  <c r="R327" i="8"/>
  <c r="S327" i="8"/>
  <c r="A328" i="8"/>
  <c r="B328" i="8"/>
  <c r="C328" i="8"/>
  <c r="D328" i="8"/>
  <c r="E328" i="8"/>
  <c r="F328" i="8"/>
  <c r="G328" i="8"/>
  <c r="H328" i="8"/>
  <c r="I328" i="8"/>
  <c r="J328" i="8"/>
  <c r="K328" i="8"/>
  <c r="L328" i="8"/>
  <c r="M328" i="8"/>
  <c r="N328" i="8"/>
  <c r="O328" i="8"/>
  <c r="P328" i="8"/>
  <c r="Q328" i="8"/>
  <c r="R328" i="8"/>
  <c r="S328" i="8"/>
  <c r="A329" i="8"/>
  <c r="B329" i="8"/>
  <c r="C329" i="8"/>
  <c r="D329" i="8"/>
  <c r="E329" i="8"/>
  <c r="F329" i="8"/>
  <c r="G329" i="8"/>
  <c r="H329" i="8"/>
  <c r="I329" i="8"/>
  <c r="J329" i="8"/>
  <c r="K329" i="8"/>
  <c r="L329" i="8"/>
  <c r="M329" i="8"/>
  <c r="N329" i="8"/>
  <c r="O329" i="8"/>
  <c r="P329" i="8"/>
  <c r="Q329" i="8"/>
  <c r="R329" i="8"/>
  <c r="S329" i="8"/>
  <c r="A330" i="8"/>
  <c r="B330" i="8"/>
  <c r="C330" i="8"/>
  <c r="D330" i="8"/>
  <c r="E330" i="8"/>
  <c r="F330" i="8"/>
  <c r="G330" i="8"/>
  <c r="H330" i="8"/>
  <c r="I330" i="8"/>
  <c r="J330" i="8"/>
  <c r="K330" i="8"/>
  <c r="L330" i="8"/>
  <c r="M330" i="8"/>
  <c r="N330" i="8"/>
  <c r="O330" i="8"/>
  <c r="P330" i="8"/>
  <c r="Q330" i="8"/>
  <c r="R330" i="8"/>
  <c r="S330" i="8"/>
  <c r="A331" i="8"/>
  <c r="B331" i="8"/>
  <c r="C331" i="8"/>
  <c r="D331" i="8"/>
  <c r="E331" i="8"/>
  <c r="F331" i="8"/>
  <c r="G331" i="8"/>
  <c r="H331" i="8"/>
  <c r="I331" i="8"/>
  <c r="J331" i="8"/>
  <c r="K331" i="8"/>
  <c r="L331" i="8"/>
  <c r="M331" i="8"/>
  <c r="N331" i="8"/>
  <c r="O331" i="8"/>
  <c r="P331" i="8"/>
  <c r="Q331" i="8"/>
  <c r="R331" i="8"/>
  <c r="S331" i="8"/>
  <c r="A332" i="8"/>
  <c r="B332" i="8"/>
  <c r="C332" i="8"/>
  <c r="D332" i="8"/>
  <c r="E332" i="8"/>
  <c r="F332" i="8"/>
  <c r="G332" i="8"/>
  <c r="H332" i="8"/>
  <c r="I332" i="8"/>
  <c r="J332" i="8"/>
  <c r="K332" i="8"/>
  <c r="L332" i="8"/>
  <c r="M332" i="8"/>
  <c r="N332" i="8"/>
  <c r="O332" i="8"/>
  <c r="P332" i="8"/>
  <c r="Q332" i="8"/>
  <c r="R332" i="8"/>
  <c r="S332" i="8"/>
  <c r="A333" i="8"/>
  <c r="B333" i="8"/>
  <c r="C333" i="8"/>
  <c r="D333" i="8"/>
  <c r="E333" i="8"/>
  <c r="F333" i="8"/>
  <c r="G333" i="8"/>
  <c r="H333" i="8"/>
  <c r="I333" i="8"/>
  <c r="J333" i="8"/>
  <c r="K333" i="8"/>
  <c r="L333" i="8"/>
  <c r="M333" i="8"/>
  <c r="N333" i="8"/>
  <c r="O333" i="8"/>
  <c r="P333" i="8"/>
  <c r="Q333" i="8"/>
  <c r="R333" i="8"/>
  <c r="S333" i="8"/>
  <c r="A334" i="8"/>
  <c r="B334" i="8"/>
  <c r="C334" i="8"/>
  <c r="D334" i="8"/>
  <c r="E334" i="8"/>
  <c r="F334" i="8"/>
  <c r="G334" i="8"/>
  <c r="H334" i="8"/>
  <c r="I334" i="8"/>
  <c r="J334" i="8"/>
  <c r="K334" i="8"/>
  <c r="L334" i="8"/>
  <c r="M334" i="8"/>
  <c r="N334" i="8"/>
  <c r="O334" i="8"/>
  <c r="P334" i="8"/>
  <c r="Q334" i="8"/>
  <c r="R334" i="8"/>
  <c r="S334" i="8"/>
  <c r="A335" i="8"/>
  <c r="B335" i="8"/>
  <c r="C335" i="8"/>
  <c r="D335" i="8"/>
  <c r="E335" i="8"/>
  <c r="F335" i="8"/>
  <c r="G335" i="8"/>
  <c r="H335" i="8"/>
  <c r="I335" i="8"/>
  <c r="J335" i="8"/>
  <c r="K335" i="8"/>
  <c r="L335" i="8"/>
  <c r="M335" i="8"/>
  <c r="N335" i="8"/>
  <c r="O335" i="8"/>
  <c r="P335" i="8"/>
  <c r="Q335" i="8"/>
  <c r="R335" i="8"/>
  <c r="S335" i="8"/>
  <c r="A336" i="8"/>
  <c r="B336" i="8"/>
  <c r="C336" i="8"/>
  <c r="D336" i="8"/>
  <c r="E336" i="8"/>
  <c r="F336" i="8"/>
  <c r="G336" i="8"/>
  <c r="H336" i="8"/>
  <c r="I336" i="8"/>
  <c r="J336" i="8"/>
  <c r="K336" i="8"/>
  <c r="L336" i="8"/>
  <c r="M336" i="8"/>
  <c r="N336" i="8"/>
  <c r="O336" i="8"/>
  <c r="P336" i="8"/>
  <c r="Q336" i="8"/>
  <c r="R336" i="8"/>
  <c r="S336" i="8"/>
  <c r="A337" i="8"/>
  <c r="B337" i="8"/>
  <c r="C337" i="8"/>
  <c r="D337" i="8"/>
  <c r="E337" i="8"/>
  <c r="F337" i="8"/>
  <c r="G337" i="8"/>
  <c r="H337" i="8"/>
  <c r="I337" i="8"/>
  <c r="J337" i="8"/>
  <c r="K337" i="8"/>
  <c r="L337" i="8"/>
  <c r="M337" i="8"/>
  <c r="N337" i="8"/>
  <c r="O337" i="8"/>
  <c r="P337" i="8"/>
  <c r="Q337" i="8"/>
  <c r="R337" i="8"/>
  <c r="S337" i="8"/>
  <c r="A338" i="8"/>
  <c r="B338" i="8"/>
  <c r="C338" i="8"/>
  <c r="D338" i="8"/>
  <c r="E338" i="8"/>
  <c r="F338" i="8"/>
  <c r="G338" i="8"/>
  <c r="H338" i="8"/>
  <c r="I338" i="8"/>
  <c r="J338" i="8"/>
  <c r="K338" i="8"/>
  <c r="L338" i="8"/>
  <c r="M338" i="8"/>
  <c r="N338" i="8"/>
  <c r="O338" i="8"/>
  <c r="P338" i="8"/>
  <c r="Q338" i="8"/>
  <c r="R338" i="8"/>
  <c r="S338" i="8"/>
  <c r="A339" i="8"/>
  <c r="B339" i="8"/>
  <c r="C339" i="8"/>
  <c r="D339" i="8"/>
  <c r="E339" i="8"/>
  <c r="F339" i="8"/>
  <c r="G339" i="8"/>
  <c r="H339" i="8"/>
  <c r="I339" i="8"/>
  <c r="J339" i="8"/>
  <c r="K339" i="8"/>
  <c r="L339" i="8"/>
  <c r="M339" i="8"/>
  <c r="N339" i="8"/>
  <c r="O339" i="8"/>
  <c r="P339" i="8"/>
  <c r="Q339" i="8"/>
  <c r="R339" i="8"/>
  <c r="S339" i="8"/>
  <c r="A340" i="8"/>
  <c r="B340" i="8"/>
  <c r="C340" i="8"/>
  <c r="D340" i="8"/>
  <c r="E340" i="8"/>
  <c r="F340" i="8"/>
  <c r="G340" i="8"/>
  <c r="H340" i="8"/>
  <c r="I340" i="8"/>
  <c r="J340" i="8"/>
  <c r="K340" i="8"/>
  <c r="L340" i="8"/>
  <c r="M340" i="8"/>
  <c r="N340" i="8"/>
  <c r="O340" i="8"/>
  <c r="P340" i="8"/>
  <c r="Q340" i="8"/>
  <c r="R340" i="8"/>
  <c r="S340" i="8"/>
  <c r="A341" i="8"/>
  <c r="B341" i="8"/>
  <c r="C341" i="8"/>
  <c r="D341" i="8"/>
  <c r="E341" i="8"/>
  <c r="F341" i="8"/>
  <c r="G341" i="8"/>
  <c r="H341" i="8"/>
  <c r="I341" i="8"/>
  <c r="J341" i="8"/>
  <c r="K341" i="8"/>
  <c r="L341" i="8"/>
  <c r="M341" i="8"/>
  <c r="N341" i="8"/>
  <c r="O341" i="8"/>
  <c r="P341" i="8"/>
  <c r="Q341" i="8"/>
  <c r="R341" i="8"/>
  <c r="S341" i="8"/>
  <c r="A342" i="8"/>
  <c r="B342" i="8"/>
  <c r="C342" i="8"/>
  <c r="D342" i="8"/>
  <c r="E342" i="8"/>
  <c r="F342" i="8"/>
  <c r="G342" i="8"/>
  <c r="H342" i="8"/>
  <c r="I342" i="8"/>
  <c r="J342" i="8"/>
  <c r="K342" i="8"/>
  <c r="L342" i="8"/>
  <c r="M342" i="8"/>
  <c r="N342" i="8"/>
  <c r="O342" i="8"/>
  <c r="P342" i="8"/>
  <c r="Q342" i="8"/>
  <c r="R342" i="8"/>
  <c r="S342" i="8"/>
  <c r="A343" i="8"/>
  <c r="B343" i="8"/>
  <c r="C343" i="8"/>
  <c r="D343" i="8"/>
  <c r="E343" i="8"/>
  <c r="F343" i="8"/>
  <c r="G343" i="8"/>
  <c r="H343" i="8"/>
  <c r="I343" i="8"/>
  <c r="J343" i="8"/>
  <c r="K343" i="8"/>
  <c r="L343" i="8"/>
  <c r="M343" i="8"/>
  <c r="N343" i="8"/>
  <c r="O343" i="8"/>
  <c r="P343" i="8"/>
  <c r="Q343" i="8"/>
  <c r="R343" i="8"/>
  <c r="S343" i="8"/>
  <c r="A344" i="8"/>
  <c r="B344" i="8"/>
  <c r="C344" i="8"/>
  <c r="D344" i="8"/>
  <c r="E344" i="8"/>
  <c r="F344" i="8"/>
  <c r="G344" i="8"/>
  <c r="H344" i="8"/>
  <c r="I344" i="8"/>
  <c r="J344" i="8"/>
  <c r="K344" i="8"/>
  <c r="L344" i="8"/>
  <c r="M344" i="8"/>
  <c r="N344" i="8"/>
  <c r="O344" i="8"/>
  <c r="P344" i="8"/>
  <c r="Q344" i="8"/>
  <c r="R344" i="8"/>
  <c r="S344" i="8"/>
  <c r="A345" i="8"/>
  <c r="B345" i="8"/>
  <c r="C345" i="8"/>
  <c r="D345" i="8"/>
  <c r="E345" i="8"/>
  <c r="F345" i="8"/>
  <c r="G345" i="8"/>
  <c r="H345" i="8"/>
  <c r="I345" i="8"/>
  <c r="J345" i="8"/>
  <c r="K345" i="8"/>
  <c r="L345" i="8"/>
  <c r="M345" i="8"/>
  <c r="N345" i="8"/>
  <c r="O345" i="8"/>
  <c r="P345" i="8"/>
  <c r="Q345" i="8"/>
  <c r="R345" i="8"/>
  <c r="S345" i="8"/>
  <c r="A346" i="8"/>
  <c r="B346" i="8"/>
  <c r="C346" i="8"/>
  <c r="D346" i="8"/>
  <c r="E346" i="8"/>
  <c r="F346" i="8"/>
  <c r="G346" i="8"/>
  <c r="H346" i="8"/>
  <c r="I346" i="8"/>
  <c r="J346" i="8"/>
  <c r="K346" i="8"/>
  <c r="L346" i="8"/>
  <c r="M346" i="8"/>
  <c r="N346" i="8"/>
  <c r="O346" i="8"/>
  <c r="P346" i="8"/>
  <c r="Q346" i="8"/>
  <c r="R346" i="8"/>
  <c r="S346" i="8"/>
  <c r="A347" i="8"/>
  <c r="B347" i="8"/>
  <c r="C347" i="8"/>
  <c r="D347" i="8"/>
  <c r="E347" i="8"/>
  <c r="F347" i="8"/>
  <c r="G347" i="8"/>
  <c r="H347" i="8"/>
  <c r="I347" i="8"/>
  <c r="J347" i="8"/>
  <c r="K347" i="8"/>
  <c r="L347" i="8"/>
  <c r="M347" i="8"/>
  <c r="N347" i="8"/>
  <c r="O347" i="8"/>
  <c r="P347" i="8"/>
  <c r="Q347" i="8"/>
  <c r="R347" i="8"/>
  <c r="S347" i="8"/>
  <c r="A348" i="8"/>
  <c r="B348" i="8"/>
  <c r="C348" i="8"/>
  <c r="D348" i="8"/>
  <c r="E348" i="8"/>
  <c r="F348" i="8"/>
  <c r="G348" i="8"/>
  <c r="H348" i="8"/>
  <c r="I348" i="8"/>
  <c r="J348" i="8"/>
  <c r="K348" i="8"/>
  <c r="L348" i="8"/>
  <c r="M348" i="8"/>
  <c r="N348" i="8"/>
  <c r="O348" i="8"/>
  <c r="P348" i="8"/>
  <c r="Q348" i="8"/>
  <c r="R348" i="8"/>
  <c r="S348" i="8"/>
  <c r="A349" i="8"/>
  <c r="B349" i="8"/>
  <c r="C349" i="8"/>
  <c r="D349" i="8"/>
  <c r="E349" i="8"/>
  <c r="F349" i="8"/>
  <c r="G349" i="8"/>
  <c r="H349" i="8"/>
  <c r="I349" i="8"/>
  <c r="J349" i="8"/>
  <c r="K349" i="8"/>
  <c r="L349" i="8"/>
  <c r="M349" i="8"/>
  <c r="N349" i="8"/>
  <c r="O349" i="8"/>
  <c r="P349" i="8"/>
  <c r="Q349" i="8"/>
  <c r="R349" i="8"/>
  <c r="S349" i="8"/>
  <c r="A350" i="8"/>
  <c r="B350" i="8"/>
  <c r="C350" i="8"/>
  <c r="D350" i="8"/>
  <c r="E350" i="8"/>
  <c r="F350" i="8"/>
  <c r="G350" i="8"/>
  <c r="H350" i="8"/>
  <c r="I350" i="8"/>
  <c r="J350" i="8"/>
  <c r="K350" i="8"/>
  <c r="L350" i="8"/>
  <c r="M350" i="8"/>
  <c r="N350" i="8"/>
  <c r="O350" i="8"/>
  <c r="P350" i="8"/>
  <c r="Q350" i="8"/>
  <c r="R350" i="8"/>
  <c r="S350" i="8"/>
  <c r="A351" i="8"/>
  <c r="B351" i="8"/>
  <c r="C351" i="8"/>
  <c r="D351" i="8"/>
  <c r="E351" i="8"/>
  <c r="F351" i="8"/>
  <c r="G351" i="8"/>
  <c r="H351" i="8"/>
  <c r="I351" i="8"/>
  <c r="J351" i="8"/>
  <c r="K351" i="8"/>
  <c r="L351" i="8"/>
  <c r="M351" i="8"/>
  <c r="N351" i="8"/>
  <c r="O351" i="8"/>
  <c r="P351" i="8"/>
  <c r="Q351" i="8"/>
  <c r="R351" i="8"/>
  <c r="S351" i="8"/>
  <c r="A352" i="8"/>
  <c r="B352" i="8"/>
  <c r="C352" i="8"/>
  <c r="D352" i="8"/>
  <c r="E352" i="8"/>
  <c r="F352" i="8"/>
  <c r="G352" i="8"/>
  <c r="H352" i="8"/>
  <c r="I352" i="8"/>
  <c r="J352" i="8"/>
  <c r="K352" i="8"/>
  <c r="L352" i="8"/>
  <c r="M352" i="8"/>
  <c r="N352" i="8"/>
  <c r="O352" i="8"/>
  <c r="P352" i="8"/>
  <c r="Q352" i="8"/>
  <c r="R352" i="8"/>
  <c r="S352" i="8"/>
  <c r="A353" i="8"/>
  <c r="B353" i="8"/>
  <c r="C353" i="8"/>
  <c r="D353" i="8"/>
  <c r="E353" i="8"/>
  <c r="F353" i="8"/>
  <c r="G353" i="8"/>
  <c r="H353" i="8"/>
  <c r="I353" i="8"/>
  <c r="J353" i="8"/>
  <c r="K353" i="8"/>
  <c r="L353" i="8"/>
  <c r="M353" i="8"/>
  <c r="N353" i="8"/>
  <c r="O353" i="8"/>
  <c r="P353" i="8"/>
  <c r="Q353" i="8"/>
  <c r="R353" i="8"/>
  <c r="S353" i="8"/>
  <c r="A354" i="8"/>
  <c r="B354" i="8"/>
  <c r="C354" i="8"/>
  <c r="D354" i="8"/>
  <c r="E354" i="8"/>
  <c r="F354" i="8"/>
  <c r="G354" i="8"/>
  <c r="H354" i="8"/>
  <c r="I354" i="8"/>
  <c r="J354" i="8"/>
  <c r="K354" i="8"/>
  <c r="L354" i="8"/>
  <c r="M354" i="8"/>
  <c r="N354" i="8"/>
  <c r="O354" i="8"/>
  <c r="P354" i="8"/>
  <c r="Q354" i="8"/>
  <c r="R354" i="8"/>
  <c r="S354" i="8"/>
  <c r="A355" i="8"/>
  <c r="B355" i="8"/>
  <c r="C355" i="8"/>
  <c r="D355" i="8"/>
  <c r="E355" i="8"/>
  <c r="F355" i="8"/>
  <c r="G355" i="8"/>
  <c r="H355" i="8"/>
  <c r="I355" i="8"/>
  <c r="J355" i="8"/>
  <c r="K355" i="8"/>
  <c r="L355" i="8"/>
  <c r="M355" i="8"/>
  <c r="N355" i="8"/>
  <c r="O355" i="8"/>
  <c r="P355" i="8"/>
  <c r="Q355" i="8"/>
  <c r="R355" i="8"/>
  <c r="S355" i="8"/>
  <c r="A356" i="8"/>
  <c r="B356" i="8"/>
  <c r="C356" i="8"/>
  <c r="D356" i="8"/>
  <c r="E356" i="8"/>
  <c r="F356" i="8"/>
  <c r="G356" i="8"/>
  <c r="H356" i="8"/>
  <c r="I356" i="8"/>
  <c r="J356" i="8"/>
  <c r="K356" i="8"/>
  <c r="L356" i="8"/>
  <c r="M356" i="8"/>
  <c r="N356" i="8"/>
  <c r="O356" i="8"/>
  <c r="P356" i="8"/>
  <c r="Q356" i="8"/>
  <c r="R356" i="8"/>
  <c r="S356" i="8"/>
  <c r="A357" i="8"/>
  <c r="B357" i="8"/>
  <c r="C357" i="8"/>
  <c r="D357" i="8"/>
  <c r="E357" i="8"/>
  <c r="F357" i="8"/>
  <c r="G357" i="8"/>
  <c r="H357" i="8"/>
  <c r="I357" i="8"/>
  <c r="J357" i="8"/>
  <c r="K357" i="8"/>
  <c r="L357" i="8"/>
  <c r="M357" i="8"/>
  <c r="N357" i="8"/>
  <c r="O357" i="8"/>
  <c r="P357" i="8"/>
  <c r="Q357" i="8"/>
  <c r="R357" i="8"/>
  <c r="S357" i="8"/>
  <c r="A358" i="8"/>
  <c r="B358" i="8"/>
  <c r="C358" i="8"/>
  <c r="D358" i="8"/>
  <c r="E358" i="8"/>
  <c r="F358" i="8"/>
  <c r="G358" i="8"/>
  <c r="H358" i="8"/>
  <c r="I358" i="8"/>
  <c r="J358" i="8"/>
  <c r="K358" i="8"/>
  <c r="L358" i="8"/>
  <c r="M358" i="8"/>
  <c r="N358" i="8"/>
  <c r="O358" i="8"/>
  <c r="P358" i="8"/>
  <c r="Q358" i="8"/>
  <c r="R358" i="8"/>
  <c r="S358" i="8"/>
  <c r="A359" i="8"/>
  <c r="B359" i="8"/>
  <c r="C359" i="8"/>
  <c r="D359" i="8"/>
  <c r="E359" i="8"/>
  <c r="F359" i="8"/>
  <c r="G359" i="8"/>
  <c r="H359" i="8"/>
  <c r="I359" i="8"/>
  <c r="J359" i="8"/>
  <c r="K359" i="8"/>
  <c r="L359" i="8"/>
  <c r="M359" i="8"/>
  <c r="N359" i="8"/>
  <c r="O359" i="8"/>
  <c r="P359" i="8"/>
  <c r="Q359" i="8"/>
  <c r="R359" i="8"/>
  <c r="S359" i="8"/>
  <c r="A360" i="8"/>
  <c r="B360" i="8"/>
  <c r="C360" i="8"/>
  <c r="D360" i="8"/>
  <c r="E360" i="8"/>
  <c r="F360" i="8"/>
  <c r="G360" i="8"/>
  <c r="H360" i="8"/>
  <c r="I360" i="8"/>
  <c r="J360" i="8"/>
  <c r="K360" i="8"/>
  <c r="L360" i="8"/>
  <c r="M360" i="8"/>
  <c r="N360" i="8"/>
  <c r="O360" i="8"/>
  <c r="P360" i="8"/>
  <c r="Q360" i="8"/>
  <c r="R360" i="8"/>
  <c r="S360" i="8"/>
  <c r="A361" i="8"/>
  <c r="B361" i="8"/>
  <c r="C361" i="8"/>
  <c r="D361" i="8"/>
  <c r="E361" i="8"/>
  <c r="F361" i="8"/>
  <c r="G361" i="8"/>
  <c r="H361" i="8"/>
  <c r="I361" i="8"/>
  <c r="J361" i="8"/>
  <c r="K361" i="8"/>
  <c r="L361" i="8"/>
  <c r="M361" i="8"/>
  <c r="N361" i="8"/>
  <c r="O361" i="8"/>
  <c r="P361" i="8"/>
  <c r="Q361" i="8"/>
  <c r="R361" i="8"/>
  <c r="S361" i="8"/>
  <c r="A362" i="8"/>
  <c r="B362" i="8"/>
  <c r="C362" i="8"/>
  <c r="D362" i="8"/>
  <c r="E362" i="8"/>
  <c r="F362" i="8"/>
  <c r="G362" i="8"/>
  <c r="H362" i="8"/>
  <c r="I362" i="8"/>
  <c r="J362" i="8"/>
  <c r="K362" i="8"/>
  <c r="L362" i="8"/>
  <c r="M362" i="8"/>
  <c r="N362" i="8"/>
  <c r="O362" i="8"/>
  <c r="P362" i="8"/>
  <c r="Q362" i="8"/>
  <c r="R362" i="8"/>
  <c r="S362" i="8"/>
  <c r="A363" i="8"/>
  <c r="B363" i="8"/>
  <c r="C363" i="8"/>
  <c r="D363" i="8"/>
  <c r="E363" i="8"/>
  <c r="F363" i="8"/>
  <c r="G363" i="8"/>
  <c r="H363" i="8"/>
  <c r="I363" i="8"/>
  <c r="J363" i="8"/>
  <c r="K363" i="8"/>
  <c r="L363" i="8"/>
  <c r="M363" i="8"/>
  <c r="N363" i="8"/>
  <c r="O363" i="8"/>
  <c r="P363" i="8"/>
  <c r="Q363" i="8"/>
  <c r="R363" i="8"/>
  <c r="S363" i="8"/>
  <c r="A364" i="8"/>
  <c r="B364" i="8"/>
  <c r="C364" i="8"/>
  <c r="D364" i="8"/>
  <c r="E364" i="8"/>
  <c r="F364" i="8"/>
  <c r="G364" i="8"/>
  <c r="H364" i="8"/>
  <c r="I364" i="8"/>
  <c r="J364" i="8"/>
  <c r="K364" i="8"/>
  <c r="L364" i="8"/>
  <c r="M364" i="8"/>
  <c r="N364" i="8"/>
  <c r="O364" i="8"/>
  <c r="P364" i="8"/>
  <c r="Q364" i="8"/>
  <c r="R364" i="8"/>
  <c r="S364" i="8"/>
  <c r="A365" i="8"/>
  <c r="B365" i="8"/>
  <c r="C365" i="8"/>
  <c r="D365" i="8"/>
  <c r="E365" i="8"/>
  <c r="F365" i="8"/>
  <c r="G365" i="8"/>
  <c r="H365" i="8"/>
  <c r="I365" i="8"/>
  <c r="J365" i="8"/>
  <c r="K365" i="8"/>
  <c r="L365" i="8"/>
  <c r="M365" i="8"/>
  <c r="N365" i="8"/>
  <c r="O365" i="8"/>
  <c r="P365" i="8"/>
  <c r="Q365" i="8"/>
  <c r="R365" i="8"/>
  <c r="S365" i="8"/>
  <c r="A366" i="8"/>
  <c r="B366" i="8"/>
  <c r="C366" i="8"/>
  <c r="D366" i="8"/>
  <c r="E366" i="8"/>
  <c r="F366" i="8"/>
  <c r="G366" i="8"/>
  <c r="H366" i="8"/>
  <c r="I366" i="8"/>
  <c r="J366" i="8"/>
  <c r="K366" i="8"/>
  <c r="L366" i="8"/>
  <c r="M366" i="8"/>
  <c r="N366" i="8"/>
  <c r="O366" i="8"/>
  <c r="P366" i="8"/>
  <c r="Q366" i="8"/>
  <c r="R366" i="8"/>
  <c r="S366" i="8"/>
  <c r="A367" i="8"/>
  <c r="B367" i="8"/>
  <c r="C367" i="8"/>
  <c r="D367" i="8"/>
  <c r="E367" i="8"/>
  <c r="F367" i="8"/>
  <c r="G367" i="8"/>
  <c r="H367" i="8"/>
  <c r="I367" i="8"/>
  <c r="J367" i="8"/>
  <c r="K367" i="8"/>
  <c r="L367" i="8"/>
  <c r="M367" i="8"/>
  <c r="N367" i="8"/>
  <c r="O367" i="8"/>
  <c r="P367" i="8"/>
  <c r="Q367" i="8"/>
  <c r="R367" i="8"/>
  <c r="S367" i="8"/>
  <c r="A368" i="8"/>
  <c r="B368" i="8"/>
  <c r="C368" i="8"/>
  <c r="D368" i="8"/>
  <c r="E368" i="8"/>
  <c r="F368" i="8"/>
  <c r="G368" i="8"/>
  <c r="H368" i="8"/>
  <c r="I368" i="8"/>
  <c r="J368" i="8"/>
  <c r="K368" i="8"/>
  <c r="L368" i="8"/>
  <c r="M368" i="8"/>
  <c r="N368" i="8"/>
  <c r="O368" i="8"/>
  <c r="P368" i="8"/>
  <c r="Q368" i="8"/>
  <c r="R368" i="8"/>
  <c r="S368" i="8"/>
  <c r="A369" i="8"/>
  <c r="B369" i="8"/>
  <c r="C369" i="8"/>
  <c r="D369" i="8"/>
  <c r="E369" i="8"/>
  <c r="F369" i="8"/>
  <c r="G369" i="8"/>
  <c r="H369" i="8"/>
  <c r="I369" i="8"/>
  <c r="J369" i="8"/>
  <c r="K369" i="8"/>
  <c r="L369" i="8"/>
  <c r="M369" i="8"/>
  <c r="N369" i="8"/>
  <c r="O369" i="8"/>
  <c r="P369" i="8"/>
  <c r="Q369" i="8"/>
  <c r="R369" i="8"/>
  <c r="S369" i="8"/>
  <c r="A370" i="8"/>
  <c r="B370" i="8"/>
  <c r="C370" i="8"/>
  <c r="D370" i="8"/>
  <c r="E370" i="8"/>
  <c r="F370" i="8"/>
  <c r="G370" i="8"/>
  <c r="H370" i="8"/>
  <c r="I370" i="8"/>
  <c r="J370" i="8"/>
  <c r="K370" i="8"/>
  <c r="L370" i="8"/>
  <c r="M370" i="8"/>
  <c r="N370" i="8"/>
  <c r="O370" i="8"/>
  <c r="P370" i="8"/>
  <c r="Q370" i="8"/>
  <c r="R370" i="8"/>
  <c r="S370" i="8"/>
  <c r="A371" i="8"/>
  <c r="B371" i="8"/>
  <c r="C371" i="8"/>
  <c r="D371" i="8"/>
  <c r="E371" i="8"/>
  <c r="F371" i="8"/>
  <c r="G371" i="8"/>
  <c r="H371" i="8"/>
  <c r="I371" i="8"/>
  <c r="J371" i="8"/>
  <c r="K371" i="8"/>
  <c r="L371" i="8"/>
  <c r="M371" i="8"/>
  <c r="N371" i="8"/>
  <c r="O371" i="8"/>
  <c r="P371" i="8"/>
  <c r="Q371" i="8"/>
  <c r="R371" i="8"/>
  <c r="S371" i="8"/>
  <c r="A372" i="8"/>
  <c r="B372" i="8"/>
  <c r="C372" i="8"/>
  <c r="D372" i="8"/>
  <c r="E372" i="8"/>
  <c r="F372" i="8"/>
  <c r="G372" i="8"/>
  <c r="H372" i="8"/>
  <c r="I372" i="8"/>
  <c r="J372" i="8"/>
  <c r="K372" i="8"/>
  <c r="L372" i="8"/>
  <c r="M372" i="8"/>
  <c r="N372" i="8"/>
  <c r="O372" i="8"/>
  <c r="P372" i="8"/>
  <c r="Q372" i="8"/>
  <c r="R372" i="8"/>
  <c r="S372" i="8"/>
  <c r="A373" i="8"/>
  <c r="B373" i="8"/>
  <c r="C373" i="8"/>
  <c r="D373" i="8"/>
  <c r="E373" i="8"/>
  <c r="F373" i="8"/>
  <c r="G373" i="8"/>
  <c r="H373" i="8"/>
  <c r="I373" i="8"/>
  <c r="J373" i="8"/>
  <c r="K373" i="8"/>
  <c r="L373" i="8"/>
  <c r="M373" i="8"/>
  <c r="N373" i="8"/>
  <c r="O373" i="8"/>
  <c r="P373" i="8"/>
  <c r="Q373" i="8"/>
  <c r="R373" i="8"/>
  <c r="S373" i="8"/>
  <c r="A374" i="8"/>
  <c r="B374" i="8"/>
  <c r="C374" i="8"/>
  <c r="D374" i="8"/>
  <c r="E374" i="8"/>
  <c r="F374" i="8"/>
  <c r="G374" i="8"/>
  <c r="H374" i="8"/>
  <c r="I374" i="8"/>
  <c r="J374" i="8"/>
  <c r="K374" i="8"/>
  <c r="L374" i="8"/>
  <c r="M374" i="8"/>
  <c r="N374" i="8"/>
  <c r="O374" i="8"/>
  <c r="P374" i="8"/>
  <c r="Q374" i="8"/>
  <c r="R374" i="8"/>
  <c r="S374" i="8"/>
  <c r="A375" i="8"/>
  <c r="B375" i="8"/>
  <c r="C375" i="8"/>
  <c r="D375" i="8"/>
  <c r="E375" i="8"/>
  <c r="F375" i="8"/>
  <c r="G375" i="8"/>
  <c r="H375" i="8"/>
  <c r="I375" i="8"/>
  <c r="J375" i="8"/>
  <c r="K375" i="8"/>
  <c r="L375" i="8"/>
  <c r="M375" i="8"/>
  <c r="N375" i="8"/>
  <c r="O375" i="8"/>
  <c r="P375" i="8"/>
  <c r="Q375" i="8"/>
  <c r="R375" i="8"/>
  <c r="S375" i="8"/>
  <c r="A376" i="8"/>
  <c r="B376" i="8"/>
  <c r="C376" i="8"/>
  <c r="D376" i="8"/>
  <c r="E376" i="8"/>
  <c r="F376" i="8"/>
  <c r="G376" i="8"/>
  <c r="H376" i="8"/>
  <c r="I376" i="8"/>
  <c r="J376" i="8"/>
  <c r="K376" i="8"/>
  <c r="L376" i="8"/>
  <c r="M376" i="8"/>
  <c r="N376" i="8"/>
  <c r="O376" i="8"/>
  <c r="P376" i="8"/>
  <c r="Q376" i="8"/>
  <c r="R376" i="8"/>
  <c r="S376" i="8"/>
  <c r="A377" i="8"/>
  <c r="B377" i="8"/>
  <c r="C377" i="8"/>
  <c r="D377" i="8"/>
  <c r="E377" i="8"/>
  <c r="F377" i="8"/>
  <c r="G377" i="8"/>
  <c r="H377" i="8"/>
  <c r="I377" i="8"/>
  <c r="J377" i="8"/>
  <c r="K377" i="8"/>
  <c r="L377" i="8"/>
  <c r="M377" i="8"/>
  <c r="N377" i="8"/>
  <c r="O377" i="8"/>
  <c r="P377" i="8"/>
  <c r="Q377" i="8"/>
  <c r="R377" i="8"/>
  <c r="S377" i="8"/>
  <c r="A378" i="8"/>
  <c r="B378" i="8"/>
  <c r="C378" i="8"/>
  <c r="D378" i="8"/>
  <c r="E378" i="8"/>
  <c r="F378" i="8"/>
  <c r="G378" i="8"/>
  <c r="H378" i="8"/>
  <c r="I378" i="8"/>
  <c r="J378" i="8"/>
  <c r="K378" i="8"/>
  <c r="L378" i="8"/>
  <c r="M378" i="8"/>
  <c r="N378" i="8"/>
  <c r="O378" i="8"/>
  <c r="P378" i="8"/>
  <c r="Q378" i="8"/>
  <c r="R378" i="8"/>
  <c r="S378" i="8"/>
  <c r="A379" i="8"/>
  <c r="B379" i="8"/>
  <c r="C379" i="8"/>
  <c r="D379" i="8"/>
  <c r="E379" i="8"/>
  <c r="F379" i="8"/>
  <c r="G379" i="8"/>
  <c r="H379" i="8"/>
  <c r="I379" i="8"/>
  <c r="J379" i="8"/>
  <c r="K379" i="8"/>
  <c r="L379" i="8"/>
  <c r="M379" i="8"/>
  <c r="N379" i="8"/>
  <c r="O379" i="8"/>
  <c r="P379" i="8"/>
  <c r="Q379" i="8"/>
  <c r="R379" i="8"/>
  <c r="S379" i="8"/>
  <c r="A380" i="8"/>
  <c r="B380" i="8"/>
  <c r="C380" i="8"/>
  <c r="D380" i="8"/>
  <c r="E380" i="8"/>
  <c r="F380" i="8"/>
  <c r="G380" i="8"/>
  <c r="H380" i="8"/>
  <c r="I380" i="8"/>
  <c r="J380" i="8"/>
  <c r="K380" i="8"/>
  <c r="L380" i="8"/>
  <c r="M380" i="8"/>
  <c r="N380" i="8"/>
  <c r="O380" i="8"/>
  <c r="P380" i="8"/>
  <c r="Q380" i="8"/>
  <c r="R380" i="8"/>
  <c r="S380" i="8"/>
  <c r="A381" i="8"/>
  <c r="B381" i="8"/>
  <c r="C381" i="8"/>
  <c r="D381" i="8"/>
  <c r="E381" i="8"/>
  <c r="F381" i="8"/>
  <c r="G381" i="8"/>
  <c r="H381" i="8"/>
  <c r="I381" i="8"/>
  <c r="J381" i="8"/>
  <c r="K381" i="8"/>
  <c r="L381" i="8"/>
  <c r="M381" i="8"/>
  <c r="N381" i="8"/>
  <c r="O381" i="8"/>
  <c r="P381" i="8"/>
  <c r="Q381" i="8"/>
  <c r="R381" i="8"/>
  <c r="S381" i="8"/>
  <c r="A382" i="8"/>
  <c r="B382" i="8"/>
  <c r="C382" i="8"/>
  <c r="D382" i="8"/>
  <c r="E382" i="8"/>
  <c r="F382" i="8"/>
  <c r="G382" i="8"/>
  <c r="H382" i="8"/>
  <c r="I382" i="8"/>
  <c r="J382" i="8"/>
  <c r="K382" i="8"/>
  <c r="L382" i="8"/>
  <c r="M382" i="8"/>
  <c r="N382" i="8"/>
  <c r="O382" i="8"/>
  <c r="P382" i="8"/>
  <c r="Q382" i="8"/>
  <c r="R382" i="8"/>
  <c r="S382" i="8"/>
  <c r="A383" i="8"/>
  <c r="B383" i="8"/>
  <c r="C383" i="8"/>
  <c r="D383" i="8"/>
  <c r="E383" i="8"/>
  <c r="F383" i="8"/>
  <c r="G383" i="8"/>
  <c r="H383" i="8"/>
  <c r="I383" i="8"/>
  <c r="J383" i="8"/>
  <c r="K383" i="8"/>
  <c r="L383" i="8"/>
  <c r="M383" i="8"/>
  <c r="N383" i="8"/>
  <c r="O383" i="8"/>
  <c r="P383" i="8"/>
  <c r="Q383" i="8"/>
  <c r="R383" i="8"/>
  <c r="S383" i="8"/>
  <c r="A384" i="8"/>
  <c r="B384" i="8"/>
  <c r="C384" i="8"/>
  <c r="D384" i="8"/>
  <c r="E384" i="8"/>
  <c r="F384" i="8"/>
  <c r="G384" i="8"/>
  <c r="H384" i="8"/>
  <c r="I384" i="8"/>
  <c r="J384" i="8"/>
  <c r="K384" i="8"/>
  <c r="L384" i="8"/>
  <c r="M384" i="8"/>
  <c r="N384" i="8"/>
  <c r="O384" i="8"/>
  <c r="P384" i="8"/>
  <c r="Q384" i="8"/>
  <c r="R384" i="8"/>
  <c r="S384" i="8"/>
  <c r="A385" i="8"/>
  <c r="B385" i="8"/>
  <c r="C385" i="8"/>
  <c r="D385" i="8"/>
  <c r="E385" i="8"/>
  <c r="F385" i="8"/>
  <c r="G385" i="8"/>
  <c r="H385" i="8"/>
  <c r="I385" i="8"/>
  <c r="J385" i="8"/>
  <c r="K385" i="8"/>
  <c r="L385" i="8"/>
  <c r="M385" i="8"/>
  <c r="N385" i="8"/>
  <c r="O385" i="8"/>
  <c r="P385" i="8"/>
  <c r="Q385" i="8"/>
  <c r="R385" i="8"/>
  <c r="S385" i="8"/>
  <c r="A386" i="8"/>
  <c r="B386" i="8"/>
  <c r="C386" i="8"/>
  <c r="D386" i="8"/>
  <c r="E386" i="8"/>
  <c r="F386" i="8"/>
  <c r="G386" i="8"/>
  <c r="H386" i="8"/>
  <c r="I386" i="8"/>
  <c r="J386" i="8"/>
  <c r="K386" i="8"/>
  <c r="L386" i="8"/>
  <c r="M386" i="8"/>
  <c r="N386" i="8"/>
  <c r="O386" i="8"/>
  <c r="P386" i="8"/>
  <c r="Q386" i="8"/>
  <c r="R386" i="8"/>
  <c r="S386" i="8"/>
  <c r="A387" i="8"/>
  <c r="B387" i="8"/>
  <c r="C387" i="8"/>
  <c r="D387" i="8"/>
  <c r="E387" i="8"/>
  <c r="F387" i="8"/>
  <c r="G387" i="8"/>
  <c r="H387" i="8"/>
  <c r="I387" i="8"/>
  <c r="J387" i="8"/>
  <c r="K387" i="8"/>
  <c r="L387" i="8"/>
  <c r="M387" i="8"/>
  <c r="N387" i="8"/>
  <c r="O387" i="8"/>
  <c r="P387" i="8"/>
  <c r="Q387" i="8"/>
  <c r="R387" i="8"/>
  <c r="S387" i="8"/>
  <c r="A388" i="8"/>
  <c r="B388" i="8"/>
  <c r="C388" i="8"/>
  <c r="D388" i="8"/>
  <c r="E388" i="8"/>
  <c r="F388" i="8"/>
  <c r="G388" i="8"/>
  <c r="H388" i="8"/>
  <c r="I388" i="8"/>
  <c r="J388" i="8"/>
  <c r="K388" i="8"/>
  <c r="L388" i="8"/>
  <c r="M388" i="8"/>
  <c r="N388" i="8"/>
  <c r="O388" i="8"/>
  <c r="P388" i="8"/>
  <c r="Q388" i="8"/>
  <c r="R388" i="8"/>
  <c r="S388" i="8"/>
  <c r="A389" i="8"/>
  <c r="B389" i="8"/>
  <c r="C389" i="8"/>
  <c r="D389" i="8"/>
  <c r="E389" i="8"/>
  <c r="F389" i="8"/>
  <c r="G389" i="8"/>
  <c r="H389" i="8"/>
  <c r="I389" i="8"/>
  <c r="J389" i="8"/>
  <c r="K389" i="8"/>
  <c r="L389" i="8"/>
  <c r="M389" i="8"/>
  <c r="N389" i="8"/>
  <c r="O389" i="8"/>
  <c r="P389" i="8"/>
  <c r="Q389" i="8"/>
  <c r="R389" i="8"/>
  <c r="S389" i="8"/>
  <c r="A390" i="8"/>
  <c r="B390" i="8"/>
  <c r="C390" i="8"/>
  <c r="D390" i="8"/>
  <c r="E390" i="8"/>
  <c r="F390" i="8"/>
  <c r="G390" i="8"/>
  <c r="H390" i="8"/>
  <c r="I390" i="8"/>
  <c r="J390" i="8"/>
  <c r="K390" i="8"/>
  <c r="L390" i="8"/>
  <c r="M390" i="8"/>
  <c r="N390" i="8"/>
  <c r="O390" i="8"/>
  <c r="P390" i="8"/>
  <c r="Q390" i="8"/>
  <c r="R390" i="8"/>
  <c r="S390" i="8"/>
  <c r="A391" i="8"/>
  <c r="B391" i="8"/>
  <c r="C391" i="8"/>
  <c r="D391" i="8"/>
  <c r="E391" i="8"/>
  <c r="F391" i="8"/>
  <c r="G391" i="8"/>
  <c r="H391" i="8"/>
  <c r="I391" i="8"/>
  <c r="J391" i="8"/>
  <c r="K391" i="8"/>
  <c r="L391" i="8"/>
  <c r="M391" i="8"/>
  <c r="N391" i="8"/>
  <c r="O391" i="8"/>
  <c r="P391" i="8"/>
  <c r="Q391" i="8"/>
  <c r="R391" i="8"/>
  <c r="S391" i="8"/>
  <c r="A392" i="8"/>
  <c r="B392" i="8"/>
  <c r="C392" i="8"/>
  <c r="D392" i="8"/>
  <c r="E392" i="8"/>
  <c r="F392" i="8"/>
  <c r="G392" i="8"/>
  <c r="H392" i="8"/>
  <c r="I392" i="8"/>
  <c r="J392" i="8"/>
  <c r="K392" i="8"/>
  <c r="L392" i="8"/>
  <c r="M392" i="8"/>
  <c r="N392" i="8"/>
  <c r="O392" i="8"/>
  <c r="P392" i="8"/>
  <c r="Q392" i="8"/>
  <c r="R392" i="8"/>
  <c r="S392" i="8"/>
  <c r="A393" i="8"/>
  <c r="B393" i="8"/>
  <c r="C393" i="8"/>
  <c r="D393" i="8"/>
  <c r="E393" i="8"/>
  <c r="F393" i="8"/>
  <c r="G393" i="8"/>
  <c r="H393" i="8"/>
  <c r="I393" i="8"/>
  <c r="J393" i="8"/>
  <c r="K393" i="8"/>
  <c r="L393" i="8"/>
  <c r="M393" i="8"/>
  <c r="N393" i="8"/>
  <c r="O393" i="8"/>
  <c r="P393" i="8"/>
  <c r="Q393" i="8"/>
  <c r="R393" i="8"/>
  <c r="S393" i="8"/>
  <c r="A394" i="8"/>
  <c r="B394" i="8"/>
  <c r="C394" i="8"/>
  <c r="D394" i="8"/>
  <c r="E394" i="8"/>
  <c r="F394" i="8"/>
  <c r="G394" i="8"/>
  <c r="H394" i="8"/>
  <c r="I394" i="8"/>
  <c r="J394" i="8"/>
  <c r="K394" i="8"/>
  <c r="L394" i="8"/>
  <c r="M394" i="8"/>
  <c r="N394" i="8"/>
  <c r="O394" i="8"/>
  <c r="P394" i="8"/>
  <c r="Q394" i="8"/>
  <c r="R394" i="8"/>
  <c r="S394" i="8"/>
  <c r="A395" i="8"/>
  <c r="B395" i="8"/>
  <c r="C395" i="8"/>
  <c r="D395" i="8"/>
  <c r="E395" i="8"/>
  <c r="F395" i="8"/>
  <c r="G395" i="8"/>
  <c r="H395" i="8"/>
  <c r="I395" i="8"/>
  <c r="J395" i="8"/>
  <c r="K395" i="8"/>
  <c r="L395" i="8"/>
  <c r="M395" i="8"/>
  <c r="N395" i="8"/>
  <c r="O395" i="8"/>
  <c r="P395" i="8"/>
  <c r="Q395" i="8"/>
  <c r="R395" i="8"/>
  <c r="S395" i="8"/>
  <c r="A396" i="8"/>
  <c r="B396" i="8"/>
  <c r="C396" i="8"/>
  <c r="D396" i="8"/>
  <c r="E396" i="8"/>
  <c r="F396" i="8"/>
  <c r="G396" i="8"/>
  <c r="H396" i="8"/>
  <c r="I396" i="8"/>
  <c r="J396" i="8"/>
  <c r="K396" i="8"/>
  <c r="L396" i="8"/>
  <c r="M396" i="8"/>
  <c r="N396" i="8"/>
  <c r="O396" i="8"/>
  <c r="P396" i="8"/>
  <c r="Q396" i="8"/>
  <c r="R396" i="8"/>
  <c r="S396" i="8"/>
  <c r="A397" i="8"/>
  <c r="B397" i="8"/>
  <c r="C397" i="8"/>
  <c r="D397" i="8"/>
  <c r="E397" i="8"/>
  <c r="F397" i="8"/>
  <c r="G397" i="8"/>
  <c r="H397" i="8"/>
  <c r="I397" i="8"/>
  <c r="J397" i="8"/>
  <c r="K397" i="8"/>
  <c r="L397" i="8"/>
  <c r="M397" i="8"/>
  <c r="N397" i="8"/>
  <c r="O397" i="8"/>
  <c r="P397" i="8"/>
  <c r="Q397" i="8"/>
  <c r="R397" i="8"/>
  <c r="S397" i="8"/>
  <c r="A398" i="8"/>
  <c r="B398" i="8"/>
  <c r="C398" i="8"/>
  <c r="D398" i="8"/>
  <c r="E398" i="8"/>
  <c r="F398" i="8"/>
  <c r="G398" i="8"/>
  <c r="H398" i="8"/>
  <c r="I398" i="8"/>
  <c r="J398" i="8"/>
  <c r="K398" i="8"/>
  <c r="L398" i="8"/>
  <c r="M398" i="8"/>
  <c r="N398" i="8"/>
  <c r="O398" i="8"/>
  <c r="P398" i="8"/>
  <c r="Q398" i="8"/>
  <c r="R398" i="8"/>
  <c r="S398" i="8"/>
  <c r="A399" i="8"/>
  <c r="B399" i="8"/>
  <c r="C399" i="8"/>
  <c r="D399" i="8"/>
  <c r="E399" i="8"/>
  <c r="F399" i="8"/>
  <c r="G399" i="8"/>
  <c r="H399" i="8"/>
  <c r="I399" i="8"/>
  <c r="J399" i="8"/>
  <c r="K399" i="8"/>
  <c r="L399" i="8"/>
  <c r="M399" i="8"/>
  <c r="N399" i="8"/>
  <c r="O399" i="8"/>
  <c r="P399" i="8"/>
  <c r="Q399" i="8"/>
  <c r="R399" i="8"/>
  <c r="S399" i="8"/>
  <c r="A400" i="8"/>
  <c r="B400" i="8"/>
  <c r="C400" i="8"/>
  <c r="D400" i="8"/>
  <c r="E400" i="8"/>
  <c r="F400" i="8"/>
  <c r="G400" i="8"/>
  <c r="H400" i="8"/>
  <c r="I400" i="8"/>
  <c r="J400" i="8"/>
  <c r="K400" i="8"/>
  <c r="L400" i="8"/>
  <c r="M400" i="8"/>
  <c r="N400" i="8"/>
  <c r="O400" i="8"/>
  <c r="P400" i="8"/>
  <c r="Q400" i="8"/>
  <c r="R400" i="8"/>
  <c r="S400" i="8"/>
  <c r="B3" i="8"/>
  <c r="C3" i="8"/>
  <c r="D3" i="8"/>
  <c r="E3" i="8"/>
  <c r="F3" i="8"/>
  <c r="G3" i="8"/>
  <c r="H3" i="8"/>
  <c r="I3" i="8"/>
  <c r="M3" i="8"/>
  <c r="O3" i="8"/>
  <c r="Q3" i="8"/>
  <c r="R3" i="8"/>
  <c r="AH5" i="5" l="1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H36" i="5"/>
  <c r="AH37" i="5"/>
  <c r="AH38" i="5"/>
  <c r="AH39" i="5"/>
  <c r="AH40" i="5"/>
  <c r="AH42" i="5"/>
  <c r="AH41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2" i="5"/>
  <c r="AH93" i="5"/>
  <c r="AH94" i="5"/>
  <c r="AH95" i="5"/>
  <c r="AH97" i="5"/>
  <c r="AH98" i="5"/>
  <c r="AH99" i="5"/>
  <c r="AH100" i="5"/>
  <c r="AH102" i="5"/>
  <c r="AH101" i="5"/>
  <c r="AH103" i="5"/>
  <c r="AH106" i="5"/>
  <c r="AH96" i="5"/>
  <c r="AH107" i="5"/>
  <c r="AH105" i="5"/>
  <c r="P20" i="8" s="1"/>
  <c r="AH108" i="5"/>
  <c r="AH109" i="5"/>
  <c r="AH91" i="5"/>
  <c r="AH110" i="5"/>
  <c r="AH111" i="5"/>
  <c r="AH104" i="5"/>
  <c r="AH112" i="5"/>
  <c r="AH113" i="5"/>
  <c r="AH114" i="5"/>
  <c r="P113" i="8" s="1"/>
  <c r="AH115" i="5"/>
  <c r="AH116" i="5"/>
  <c r="AH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2" i="5"/>
  <c r="AF41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2" i="5"/>
  <c r="AF93" i="5"/>
  <c r="AF94" i="5"/>
  <c r="AF95" i="5"/>
  <c r="AF97" i="5"/>
  <c r="AF98" i="5"/>
  <c r="AF99" i="5"/>
  <c r="AF100" i="5"/>
  <c r="AF102" i="5"/>
  <c r="AF101" i="5"/>
  <c r="AF103" i="5"/>
  <c r="AF106" i="5"/>
  <c r="AF96" i="5"/>
  <c r="AF107" i="5"/>
  <c r="AF105" i="5"/>
  <c r="N20" i="8" s="1"/>
  <c r="AF108" i="5"/>
  <c r="AF109" i="5"/>
  <c r="AF91" i="5"/>
  <c r="AF110" i="5"/>
  <c r="AF111" i="5"/>
  <c r="AF104" i="5"/>
  <c r="AF112" i="5"/>
  <c r="AF113" i="5"/>
  <c r="AF114" i="5"/>
  <c r="N113" i="8" s="1"/>
  <c r="AF115" i="5"/>
  <c r="AF116" i="5"/>
  <c r="AF4" i="5"/>
  <c r="J3" i="12"/>
  <c r="P35" i="8" l="1"/>
  <c r="P55" i="8"/>
  <c r="P17" i="8"/>
  <c r="P48" i="8"/>
  <c r="N48" i="8"/>
  <c r="P7" i="8"/>
  <c r="P27" i="8"/>
  <c r="N5" i="8"/>
  <c r="N49" i="8"/>
  <c r="P33" i="8"/>
  <c r="P5" i="8"/>
  <c r="P29" i="8"/>
  <c r="N7" i="8"/>
  <c r="N11" i="8"/>
  <c r="P16" i="8"/>
  <c r="P24" i="8"/>
  <c r="N16" i="8"/>
  <c r="N60" i="8"/>
  <c r="P81" i="8"/>
  <c r="N24" i="8"/>
  <c r="P73" i="8"/>
  <c r="N45" i="8"/>
  <c r="N32" i="8"/>
  <c r="P61" i="8"/>
  <c r="P9" i="8"/>
  <c r="P71" i="8"/>
  <c r="P49" i="8"/>
  <c r="P13" i="8"/>
  <c r="N35" i="8"/>
  <c r="N71" i="8"/>
  <c r="N55" i="8"/>
  <c r="P28" i="8"/>
  <c r="N40" i="8"/>
  <c r="N12" i="8"/>
  <c r="P31" i="8"/>
  <c r="N29" i="8"/>
  <c r="N72" i="8"/>
  <c r="N28" i="8"/>
  <c r="N4" i="8"/>
  <c r="P45" i="8"/>
  <c r="N27" i="8"/>
  <c r="N31" i="8"/>
  <c r="P72" i="8"/>
  <c r="P4" i="8"/>
  <c r="N9" i="8"/>
  <c r="N64" i="8"/>
  <c r="P58" i="8"/>
  <c r="P30" i="8"/>
  <c r="P6" i="8"/>
  <c r="P46" i="8"/>
  <c r="N17" i="8"/>
  <c r="N13" i="8"/>
  <c r="P18" i="8"/>
  <c r="P10" i="8"/>
  <c r="P34" i="8"/>
  <c r="P26" i="8"/>
  <c r="N81" i="8"/>
  <c r="N61" i="8"/>
  <c r="N94" i="8"/>
  <c r="N33" i="8"/>
  <c r="N65" i="8"/>
  <c r="N25" i="8"/>
  <c r="P70" i="8"/>
  <c r="P38" i="8"/>
  <c r="P14" i="8"/>
  <c r="N19" i="8"/>
  <c r="P40" i="8"/>
  <c r="P12" i="8"/>
  <c r="P32" i="8"/>
  <c r="P8" i="8"/>
  <c r="N73" i="8"/>
  <c r="N39" i="8"/>
  <c r="P94" i="8"/>
  <c r="N76" i="8"/>
  <c r="P69" i="8"/>
  <c r="N8" i="8"/>
  <c r="P65" i="8"/>
  <c r="P25" i="8"/>
  <c r="P76" i="8"/>
  <c r="N23" i="8"/>
  <c r="P60" i="8"/>
  <c r="N59" i="8"/>
  <c r="N87" i="8"/>
  <c r="P64" i="8"/>
  <c r="N63" i="8"/>
  <c r="N15" i="8"/>
  <c r="P44" i="8"/>
  <c r="N104" i="8"/>
  <c r="N85" i="8"/>
  <c r="N92" i="8"/>
  <c r="N75" i="8"/>
  <c r="N100" i="8"/>
  <c r="N56" i="8"/>
  <c r="N91" i="8"/>
  <c r="N67" i="8"/>
  <c r="N79" i="8"/>
  <c r="N84" i="8"/>
  <c r="N95" i="8"/>
  <c r="N99" i="8"/>
  <c r="N21" i="8"/>
  <c r="N52" i="8"/>
  <c r="P110" i="8"/>
  <c r="P82" i="8"/>
  <c r="P106" i="8"/>
  <c r="P112" i="8"/>
  <c r="P53" i="8"/>
  <c r="P57" i="8"/>
  <c r="P42" i="8"/>
  <c r="P50" i="8"/>
  <c r="P78" i="8"/>
  <c r="P88" i="8"/>
  <c r="P89" i="8"/>
  <c r="P114" i="8"/>
  <c r="N44" i="8"/>
  <c r="P104" i="8"/>
  <c r="P85" i="8"/>
  <c r="P56" i="8"/>
  <c r="N86" i="8"/>
  <c r="P43" i="8"/>
  <c r="P51" i="8"/>
  <c r="N46" i="8"/>
  <c r="N107" i="8"/>
  <c r="N93" i="8"/>
  <c r="N105" i="8"/>
  <c r="N108" i="8"/>
  <c r="N96" i="8"/>
  <c r="N98" i="8"/>
  <c r="N103" i="8"/>
  <c r="N74" i="8"/>
  <c r="N80" i="8"/>
  <c r="N101" i="8"/>
  <c r="N14" i="8"/>
  <c r="N22" i="8"/>
  <c r="N36" i="8"/>
  <c r="N115" i="8"/>
  <c r="N102" i="8"/>
  <c r="P11" i="8"/>
  <c r="P19" i="8"/>
  <c r="P39" i="8"/>
  <c r="P92" i="8"/>
  <c r="P75" i="8"/>
  <c r="P100" i="8"/>
  <c r="P86" i="8"/>
  <c r="P91" i="8"/>
  <c r="P67" i="8"/>
  <c r="P79" i="8"/>
  <c r="P84" i="8"/>
  <c r="P95" i="8"/>
  <c r="P99" i="8"/>
  <c r="P21" i="8"/>
  <c r="P52" i="8"/>
  <c r="N6" i="8"/>
  <c r="N18" i="8"/>
  <c r="N3" i="8"/>
  <c r="N111" i="8"/>
  <c r="N109" i="8"/>
  <c r="N69" i="8"/>
  <c r="N10" i="8"/>
  <c r="N34" i="8"/>
  <c r="N66" i="8"/>
  <c r="N62" i="8"/>
  <c r="N26" i="8"/>
  <c r="N47" i="8"/>
  <c r="N54" i="8"/>
  <c r="N68" i="8"/>
  <c r="N77" i="8"/>
  <c r="N37" i="8"/>
  <c r="N83" i="8"/>
  <c r="N90" i="8"/>
  <c r="N41" i="8"/>
  <c r="N97" i="8"/>
  <c r="P87" i="8"/>
  <c r="P107" i="8"/>
  <c r="P93" i="8"/>
  <c r="P105" i="8"/>
  <c r="P23" i="8"/>
  <c r="P108" i="8"/>
  <c r="P96" i="8"/>
  <c r="P98" i="8"/>
  <c r="P103" i="8"/>
  <c r="P74" i="8"/>
  <c r="P80" i="8"/>
  <c r="P101" i="8"/>
  <c r="P22" i="8"/>
  <c r="P36" i="8"/>
  <c r="P115" i="8"/>
  <c r="P102" i="8"/>
  <c r="N58" i="8"/>
  <c r="N110" i="8"/>
  <c r="N70" i="8"/>
  <c r="N82" i="8"/>
  <c r="N106" i="8"/>
  <c r="N112" i="8"/>
  <c r="N30" i="8"/>
  <c r="N38" i="8"/>
  <c r="N53" i="8"/>
  <c r="N57" i="8"/>
  <c r="N43" i="8"/>
  <c r="N42" i="8"/>
  <c r="N50" i="8"/>
  <c r="N51" i="8"/>
  <c r="N78" i="8"/>
  <c r="N88" i="8"/>
  <c r="N89" i="8"/>
  <c r="N114" i="8"/>
  <c r="P3" i="8"/>
  <c r="P59" i="8"/>
  <c r="P111" i="8"/>
  <c r="P109" i="8"/>
  <c r="P63" i="8"/>
  <c r="P66" i="8"/>
  <c r="P62" i="8"/>
  <c r="P47" i="8"/>
  <c r="P54" i="8"/>
  <c r="P68" i="8"/>
  <c r="P77" i="8"/>
  <c r="P15" i="8"/>
  <c r="P37" i="8"/>
  <c r="P83" i="8"/>
  <c r="P90" i="8"/>
  <c r="P41" i="8"/>
  <c r="P97" i="8"/>
  <c r="AN39" i="5"/>
  <c r="B28" i="5" l="1"/>
  <c r="I28" i="5" s="1"/>
  <c r="B29" i="5"/>
  <c r="I29" i="5" s="1"/>
  <c r="AN53" i="5" l="1"/>
  <c r="AN52" i="5"/>
  <c r="AN49" i="5"/>
  <c r="AN51" i="5"/>
  <c r="AN50" i="5"/>
  <c r="AN46" i="5"/>
  <c r="AN48" i="5"/>
  <c r="AN47" i="5"/>
  <c r="A3" i="8" l="1"/>
  <c r="AN43" i="5" l="1"/>
  <c r="AN40" i="5"/>
  <c r="AN41" i="5" s="1"/>
  <c r="AN42" i="5" s="1"/>
  <c r="AN54" i="5" l="1"/>
  <c r="AN61" i="5"/>
  <c r="AN13" i="5"/>
  <c r="AB10" i="5" l="1"/>
  <c r="AB78" i="5"/>
  <c r="AB85" i="5"/>
  <c r="AB63" i="5"/>
  <c r="AB8" i="5"/>
  <c r="AB72" i="5"/>
  <c r="AB88" i="5"/>
  <c r="AB89" i="5"/>
  <c r="AB102" i="5"/>
  <c r="AB58" i="5"/>
  <c r="AB54" i="5"/>
  <c r="AB70" i="5"/>
  <c r="AB68" i="5"/>
  <c r="AB12" i="5"/>
  <c r="AB17" i="5"/>
  <c r="AB38" i="5"/>
  <c r="AB114" i="5"/>
  <c r="AB6" i="5"/>
  <c r="AB26" i="5"/>
  <c r="AB55" i="5"/>
  <c r="AB42" i="5"/>
  <c r="AB41" i="5"/>
  <c r="AB15" i="5"/>
  <c r="AB116" i="5"/>
  <c r="AB115" i="5"/>
  <c r="AB16" i="5"/>
  <c r="AB74" i="5"/>
  <c r="AB9" i="5"/>
  <c r="AB39" i="5"/>
  <c r="AB106" i="5"/>
  <c r="AB19" i="5"/>
  <c r="AB43" i="5"/>
  <c r="AB109" i="5"/>
  <c r="AB59" i="5"/>
  <c r="AB110" i="5"/>
  <c r="AB86" i="5"/>
  <c r="AB36" i="5"/>
  <c r="AB94" i="5"/>
  <c r="AB113" i="5"/>
  <c r="AB57" i="5"/>
  <c r="AB99" i="5"/>
  <c r="AB95" i="5"/>
  <c r="AB97" i="5"/>
  <c r="AB60" i="5"/>
  <c r="AB51" i="5"/>
  <c r="AB90" i="5"/>
  <c r="AB98" i="5"/>
  <c r="AB23" i="5"/>
  <c r="AB73" i="5"/>
  <c r="AB37" i="5"/>
  <c r="AB24" i="5"/>
  <c r="AB35" i="5"/>
  <c r="AB61" i="5"/>
  <c r="AB79" i="5"/>
  <c r="AB93" i="5"/>
  <c r="AB81" i="5"/>
  <c r="AB84" i="5"/>
  <c r="AB83" i="5"/>
  <c r="AB21" i="5"/>
  <c r="AB112" i="5"/>
  <c r="AB80" i="5"/>
  <c r="AB25" i="5"/>
  <c r="AB30" i="5"/>
  <c r="AB27" i="5"/>
  <c r="AB20" i="5"/>
  <c r="AB34" i="5"/>
  <c r="AB71" i="5"/>
  <c r="AB76" i="5"/>
  <c r="AB100" i="5"/>
  <c r="AB7" i="5"/>
  <c r="AB32" i="5"/>
  <c r="AB103" i="5"/>
  <c r="AB28" i="5"/>
  <c r="AB50" i="5"/>
  <c r="AB107" i="5"/>
  <c r="AB82" i="5"/>
  <c r="AB77" i="5"/>
  <c r="AB101" i="5"/>
  <c r="AB13" i="5"/>
  <c r="J41" i="8" s="1"/>
  <c r="AB29" i="5"/>
  <c r="AB66" i="5"/>
  <c r="AB53" i="5"/>
  <c r="AB111" i="5"/>
  <c r="AB31" i="5"/>
  <c r="AB48" i="5"/>
  <c r="AB75" i="5"/>
  <c r="AB11" i="5"/>
  <c r="AB5" i="5"/>
  <c r="AB4" i="5"/>
  <c r="AB14" i="5"/>
  <c r="J36" i="8" s="1"/>
  <c r="AB33" i="5"/>
  <c r="AB52" i="5"/>
  <c r="AB46" i="5"/>
  <c r="AB47" i="5"/>
  <c r="AB49" i="5"/>
  <c r="AB67" i="5"/>
  <c r="AB64" i="5"/>
  <c r="AB87" i="5"/>
  <c r="AB92" i="5"/>
  <c r="AB62" i="5"/>
  <c r="AB105" i="5"/>
  <c r="AB108" i="5"/>
  <c r="AB96" i="5"/>
  <c r="AB91" i="5"/>
  <c r="AB104" i="5"/>
  <c r="AB18" i="5"/>
  <c r="AB44" i="5"/>
  <c r="AB69" i="5"/>
  <c r="AB22" i="5"/>
  <c r="AB45" i="5"/>
  <c r="AB40" i="5"/>
  <c r="AB56" i="5"/>
  <c r="AB65" i="5"/>
  <c r="J62" i="8" l="1"/>
  <c r="J6" i="8"/>
  <c r="J57" i="8"/>
  <c r="J58" i="8"/>
  <c r="J15" i="8"/>
  <c r="J71" i="8"/>
  <c r="J77" i="8"/>
  <c r="J50" i="8"/>
  <c r="J4" i="8"/>
  <c r="J33" i="8"/>
  <c r="J5" i="8"/>
  <c r="J113" i="8"/>
  <c r="J23" i="8"/>
  <c r="J53" i="8"/>
  <c r="J25" i="8"/>
  <c r="J13" i="8"/>
  <c r="J24" i="8"/>
  <c r="J49" i="8"/>
  <c r="J78" i="8"/>
  <c r="J82" i="8"/>
  <c r="J11" i="8"/>
  <c r="J16" i="8"/>
  <c r="J14" i="8"/>
  <c r="J20" i="8"/>
  <c r="J18" i="8"/>
  <c r="J31" i="8"/>
  <c r="J73" i="8"/>
  <c r="J34" i="8"/>
  <c r="J70" i="8"/>
  <c r="J42" i="8"/>
  <c r="J54" i="8"/>
  <c r="J22" i="8"/>
  <c r="J56" i="8"/>
  <c r="J61" i="8"/>
  <c r="J30" i="8"/>
  <c r="J44" i="8"/>
  <c r="J69" i="8"/>
  <c r="J94" i="8"/>
  <c r="J10" i="8"/>
  <c r="J84" i="8"/>
  <c r="J87" i="8"/>
  <c r="J46" i="8"/>
  <c r="J115" i="8"/>
  <c r="J39" i="8"/>
  <c r="J29" i="8"/>
  <c r="J17" i="8"/>
  <c r="J92" i="8"/>
  <c r="J66" i="8"/>
  <c r="J12" i="8"/>
  <c r="J43" i="8"/>
  <c r="J91" i="8"/>
  <c r="J68" i="8"/>
  <c r="J112" i="8"/>
  <c r="J55" i="8"/>
  <c r="J79" i="8"/>
  <c r="J81" i="8"/>
  <c r="J72" i="8"/>
  <c r="J67" i="8"/>
  <c r="J38" i="8"/>
  <c r="J32" i="8"/>
  <c r="J86" i="8"/>
  <c r="J97" i="8"/>
  <c r="J35" i="8"/>
  <c r="J100" i="8"/>
  <c r="J103" i="8"/>
  <c r="J105" i="8"/>
  <c r="J111" i="8"/>
  <c r="J63" i="8"/>
  <c r="J27" i="8"/>
  <c r="J60" i="8"/>
  <c r="J9" i="8"/>
  <c r="J47" i="8"/>
  <c r="J28" i="8"/>
  <c r="J21" i="8"/>
  <c r="J7" i="8"/>
  <c r="J65" i="8"/>
  <c r="J80" i="8"/>
  <c r="J83" i="8"/>
  <c r="J51" i="8"/>
  <c r="J76" i="8"/>
  <c r="J19" i="8"/>
  <c r="J3" i="8"/>
  <c r="J59" i="8"/>
  <c r="J95" i="8"/>
  <c r="J93" i="8"/>
  <c r="J99" i="8"/>
  <c r="J101" i="8"/>
  <c r="J90" i="8"/>
  <c r="J96" i="8"/>
  <c r="J110" i="8"/>
  <c r="J109" i="8"/>
  <c r="J40" i="8"/>
  <c r="J26" i="8"/>
  <c r="J8" i="8"/>
  <c r="J52" i="8"/>
  <c r="J74" i="8"/>
  <c r="J37" i="8"/>
  <c r="J64" i="8"/>
  <c r="J85" i="8"/>
  <c r="J45" i="8"/>
  <c r="J48" i="8"/>
  <c r="J75" i="8"/>
  <c r="J88" i="8"/>
  <c r="J98" i="8"/>
  <c r="J102" i="8"/>
  <c r="J89" i="8"/>
  <c r="J108" i="8"/>
  <c r="J106" i="8"/>
  <c r="J107" i="8"/>
  <c r="J104" i="8"/>
  <c r="J114" i="8"/>
  <c r="AN11" i="5"/>
  <c r="AN10" i="5"/>
  <c r="AC4" i="5" l="1"/>
  <c r="AN12" i="5"/>
  <c r="AC116" i="5" s="1"/>
  <c r="AC32" i="5" l="1"/>
  <c r="AC42" i="5"/>
  <c r="AC114" i="5"/>
  <c r="AC12" i="5"/>
  <c r="AC102" i="5"/>
  <c r="AC8" i="5"/>
  <c r="AC15" i="5"/>
  <c r="AC6" i="5"/>
  <c r="AC38" i="5"/>
  <c r="AC58" i="5"/>
  <c r="AC72" i="5"/>
  <c r="AC10" i="5"/>
  <c r="AC56" i="5"/>
  <c r="AC41" i="5"/>
  <c r="AC26" i="5"/>
  <c r="AC68" i="5"/>
  <c r="AC70" i="5"/>
  <c r="AC88" i="5"/>
  <c r="AC85" i="5"/>
  <c r="AC55" i="5"/>
  <c r="AC17" i="5"/>
  <c r="AC54" i="5"/>
  <c r="AC89" i="5"/>
  <c r="AC63" i="5"/>
  <c r="AC78" i="5"/>
  <c r="AC87" i="5"/>
  <c r="AC75" i="5"/>
  <c r="AC69" i="5"/>
  <c r="AC62" i="5"/>
  <c r="AC92" i="5"/>
  <c r="AC22" i="5"/>
  <c r="AC48" i="5"/>
  <c r="AC44" i="5"/>
  <c r="AC53" i="5"/>
  <c r="AC52" i="5"/>
  <c r="AC45" i="5"/>
  <c r="AC5" i="5"/>
  <c r="AC28" i="5"/>
  <c r="AC111" i="5"/>
  <c r="AC11" i="5"/>
  <c r="AC33" i="5"/>
  <c r="AC96" i="5"/>
  <c r="AC7" i="5"/>
  <c r="AC13" i="5"/>
  <c r="AC101" i="5"/>
  <c r="AC82" i="5"/>
  <c r="AC71" i="5"/>
  <c r="AC27" i="5"/>
  <c r="AC83" i="5"/>
  <c r="AC81" i="5"/>
  <c r="AC73" i="5"/>
  <c r="AC113" i="5"/>
  <c r="AC97" i="5"/>
  <c r="AC57" i="5"/>
  <c r="AC110" i="5"/>
  <c r="AC9" i="5"/>
  <c r="AC16" i="5"/>
  <c r="AC31" i="5"/>
  <c r="AC49" i="5"/>
  <c r="AC104" i="5"/>
  <c r="AC64" i="5"/>
  <c r="AC47" i="5"/>
  <c r="AC18" i="5"/>
  <c r="AC91" i="5"/>
  <c r="AC66" i="5"/>
  <c r="AC103" i="5"/>
  <c r="AC50" i="5"/>
  <c r="AC100" i="5"/>
  <c r="AC77" i="5"/>
  <c r="AC30" i="5"/>
  <c r="AC21" i="5"/>
  <c r="AC61" i="5"/>
  <c r="AC37" i="5"/>
  <c r="AC90" i="5"/>
  <c r="AC94" i="5"/>
  <c r="AC86" i="5"/>
  <c r="AC19" i="5"/>
  <c r="AC43" i="5"/>
  <c r="AC39" i="5"/>
  <c r="AC105" i="5"/>
  <c r="AC65" i="5"/>
  <c r="AC40" i="5"/>
  <c r="AC67" i="5"/>
  <c r="AC46" i="5"/>
  <c r="AC14" i="5"/>
  <c r="AC108" i="5"/>
  <c r="AC25" i="5"/>
  <c r="AC107" i="5"/>
  <c r="AC76" i="5"/>
  <c r="AC29" i="5"/>
  <c r="AC20" i="5"/>
  <c r="AC80" i="5"/>
  <c r="AC79" i="5"/>
  <c r="AC35" i="5"/>
  <c r="AC23" i="5"/>
  <c r="AC99" i="5"/>
  <c r="AC36" i="5"/>
  <c r="AC60" i="5"/>
  <c r="AC109" i="5"/>
  <c r="AC74" i="5"/>
  <c r="AC115" i="5"/>
  <c r="AC34" i="5"/>
  <c r="AC112" i="5"/>
  <c r="AC84" i="5"/>
  <c r="AC93" i="5"/>
  <c r="AC24" i="5"/>
  <c r="AC95" i="5"/>
  <c r="AC98" i="5"/>
  <c r="AC51" i="5"/>
  <c r="AC59" i="5"/>
  <c r="AC106" i="5"/>
  <c r="K87" i="8" l="1"/>
  <c r="K56" i="8"/>
  <c r="K81" i="8"/>
  <c r="K36" i="8"/>
  <c r="K98" i="8"/>
  <c r="K82" i="8"/>
  <c r="K84" i="8"/>
  <c r="K8" i="8"/>
  <c r="K7" i="8"/>
  <c r="K6" i="8"/>
  <c r="K17" i="8"/>
  <c r="K51" i="8"/>
  <c r="K25" i="8"/>
  <c r="K115" i="8"/>
  <c r="K67" i="8"/>
  <c r="K5" i="8"/>
  <c r="K37" i="8"/>
  <c r="K41" i="8"/>
  <c r="K54" i="8"/>
  <c r="K31" i="8"/>
  <c r="K74" i="8"/>
  <c r="K71" i="8"/>
  <c r="K113" i="8"/>
  <c r="K32" i="8"/>
  <c r="K88" i="8"/>
  <c r="K4" i="8"/>
  <c r="K57" i="8"/>
  <c r="K14" i="8"/>
  <c r="K69" i="8"/>
  <c r="K53" i="8"/>
  <c r="K15" i="8"/>
  <c r="K11" i="8"/>
  <c r="K55" i="8"/>
  <c r="K77" i="8"/>
  <c r="K62" i="8"/>
  <c r="K9" i="8"/>
  <c r="K40" i="8"/>
  <c r="K16" i="8"/>
  <c r="K110" i="8"/>
  <c r="K43" i="8"/>
  <c r="K92" i="8"/>
  <c r="K102" i="8"/>
  <c r="K70" i="8"/>
  <c r="K12" i="8"/>
  <c r="K75" i="8"/>
  <c r="K38" i="8"/>
  <c r="K13" i="8"/>
  <c r="K86" i="8"/>
  <c r="K80" i="8"/>
  <c r="K47" i="8"/>
  <c r="K52" i="8"/>
  <c r="K49" i="8"/>
  <c r="K76" i="8"/>
  <c r="K93" i="8"/>
  <c r="K44" i="8"/>
  <c r="K20" i="8"/>
  <c r="K46" i="8"/>
  <c r="K66" i="8"/>
  <c r="K30" i="8"/>
  <c r="K22" i="8"/>
  <c r="K65" i="8"/>
  <c r="K24" i="8"/>
  <c r="K18" i="8"/>
  <c r="K19" i="8"/>
  <c r="K64" i="8"/>
  <c r="K85" i="8"/>
  <c r="K34" i="8"/>
  <c r="K95" i="8"/>
  <c r="K63" i="8"/>
  <c r="K72" i="8"/>
  <c r="K29" i="8"/>
  <c r="K60" i="8"/>
  <c r="K50" i="8"/>
  <c r="K26" i="8"/>
  <c r="K90" i="8"/>
  <c r="K27" i="8"/>
  <c r="K103" i="8"/>
  <c r="K104" i="8"/>
  <c r="K28" i="8"/>
  <c r="K23" i="8"/>
  <c r="K100" i="8"/>
  <c r="K105" i="8"/>
  <c r="K89" i="8"/>
  <c r="K73" i="8"/>
  <c r="K45" i="8"/>
  <c r="K94" i="8"/>
  <c r="K78" i="8"/>
  <c r="K39" i="8"/>
  <c r="K91" i="8"/>
  <c r="K48" i="8"/>
  <c r="K83" i="8"/>
  <c r="K58" i="8"/>
  <c r="K107" i="8"/>
  <c r="K61" i="8"/>
  <c r="K97" i="8"/>
  <c r="K3" i="8"/>
  <c r="K79" i="8"/>
  <c r="K21" i="8"/>
  <c r="K10" i="8"/>
  <c r="K111" i="8"/>
  <c r="K42" i="8"/>
  <c r="K112" i="8"/>
  <c r="K106" i="8"/>
  <c r="K99" i="8"/>
  <c r="K68" i="8"/>
  <c r="K59" i="8"/>
  <c r="K33" i="8"/>
  <c r="K96" i="8"/>
  <c r="K109" i="8"/>
  <c r="K101" i="8"/>
  <c r="K108" i="8"/>
  <c r="K114" i="8"/>
  <c r="K35" i="8"/>
  <c r="AD78" i="5"/>
  <c r="AD10" i="5"/>
  <c r="AD85" i="5"/>
  <c r="AD63" i="5"/>
  <c r="AD8" i="5"/>
  <c r="AD72" i="5"/>
  <c r="AD88" i="5"/>
  <c r="AD89" i="5"/>
  <c r="AD102" i="5"/>
  <c r="AD58" i="5"/>
  <c r="AD70" i="5"/>
  <c r="AD54" i="5"/>
  <c r="AD12" i="5"/>
  <c r="AD38" i="5"/>
  <c r="AD68" i="5"/>
  <c r="AD17" i="5"/>
  <c r="AD114" i="5"/>
  <c r="AD6" i="5"/>
  <c r="AD26" i="5"/>
  <c r="AD55" i="5"/>
  <c r="AD42" i="5"/>
  <c r="AD15" i="5"/>
  <c r="AD41" i="5"/>
  <c r="AD93" i="5"/>
  <c r="AN38" i="5"/>
  <c r="AD31" i="5"/>
  <c r="AD13" i="5"/>
  <c r="AD106" i="5"/>
  <c r="AD76" i="5"/>
  <c r="AN23" i="5"/>
  <c r="AD75" i="5"/>
  <c r="AD79" i="5"/>
  <c r="AD37" i="5"/>
  <c r="AD66" i="5"/>
  <c r="AD82" i="5"/>
  <c r="AD96" i="5"/>
  <c r="AN32" i="5"/>
  <c r="AD101" i="5"/>
  <c r="AD69" i="5"/>
  <c r="AD14" i="5"/>
  <c r="AD27" i="5"/>
  <c r="AD19" i="5"/>
  <c r="AN31" i="5"/>
  <c r="AD11" i="5"/>
  <c r="AD56" i="5"/>
  <c r="AD21" i="5"/>
  <c r="AD112" i="5"/>
  <c r="AN20" i="5"/>
  <c r="AD65" i="5"/>
  <c r="AD18" i="5"/>
  <c r="AD103" i="5"/>
  <c r="AD61" i="5"/>
  <c r="AD51" i="5"/>
  <c r="AD24" i="5"/>
  <c r="AD60" i="5"/>
  <c r="AD35" i="5"/>
  <c r="AD29" i="5"/>
  <c r="AD40" i="5"/>
  <c r="AD43" i="5"/>
  <c r="AD49" i="5"/>
  <c r="AD110" i="5"/>
  <c r="AD71" i="5"/>
  <c r="AN33" i="5"/>
  <c r="AN24" i="5"/>
  <c r="AD25" i="5"/>
  <c r="AD105" i="5"/>
  <c r="AD87" i="5"/>
  <c r="AD64" i="5"/>
  <c r="AD46" i="5"/>
  <c r="AD22" i="5"/>
  <c r="AD30" i="5"/>
  <c r="AD81" i="5"/>
  <c r="AD73" i="5"/>
  <c r="AD99" i="5"/>
  <c r="AD90" i="5"/>
  <c r="AD98" i="5"/>
  <c r="AD113" i="5"/>
  <c r="AD59" i="5"/>
  <c r="AD109" i="5"/>
  <c r="AD74" i="5"/>
  <c r="AD16" i="5"/>
  <c r="AN18" i="5"/>
  <c r="AN21" i="5"/>
  <c r="AN27" i="5"/>
  <c r="AN30" i="5"/>
  <c r="AD100" i="5"/>
  <c r="AD53" i="5"/>
  <c r="AD45" i="5"/>
  <c r="AD92" i="5"/>
  <c r="AD104" i="5"/>
  <c r="AD32" i="5"/>
  <c r="AD62" i="5"/>
  <c r="AD116" i="5"/>
  <c r="AD52" i="5"/>
  <c r="AD91" i="5"/>
  <c r="AD34" i="5"/>
  <c r="AD84" i="5"/>
  <c r="AN17" i="5"/>
  <c r="AN35" i="5"/>
  <c r="AD77" i="5"/>
  <c r="AD44" i="5"/>
  <c r="AD108" i="5"/>
  <c r="AD50" i="5"/>
  <c r="AD107" i="5"/>
  <c r="AD48" i="5"/>
  <c r="AD7" i="5"/>
  <c r="AD83" i="5"/>
  <c r="AD86" i="5"/>
  <c r="AD57" i="5"/>
  <c r="AD36" i="5"/>
  <c r="AN19" i="5"/>
  <c r="AN26" i="5"/>
  <c r="AN25" i="5"/>
  <c r="AN22" i="5"/>
  <c r="AN34" i="5"/>
  <c r="AD111" i="5"/>
  <c r="AD33" i="5"/>
  <c r="AD28" i="5"/>
  <c r="AD5" i="5"/>
  <c r="AD4" i="5"/>
  <c r="AD67" i="5"/>
  <c r="AD47" i="5"/>
  <c r="AD20" i="5"/>
  <c r="AD80" i="5"/>
  <c r="AD23" i="5"/>
  <c r="AD94" i="5"/>
  <c r="AD97" i="5"/>
  <c r="AD115" i="5"/>
  <c r="AD95" i="5"/>
  <c r="AD9" i="5"/>
  <c r="AD39" i="5"/>
  <c r="L28" i="8" l="1"/>
  <c r="L19" i="8"/>
  <c r="L45" i="8"/>
  <c r="L54" i="8"/>
  <c r="L63" i="8"/>
  <c r="L4" i="8"/>
  <c r="L42" i="8"/>
  <c r="L81" i="8"/>
  <c r="L41" i="8"/>
  <c r="L14" i="8"/>
  <c r="L20" i="8"/>
  <c r="L65" i="8"/>
  <c r="L113" i="8"/>
  <c r="L74" i="8"/>
  <c r="L67" i="8"/>
  <c r="L87" i="8"/>
  <c r="L84" i="8"/>
  <c r="L69" i="8"/>
  <c r="L59" i="8"/>
  <c r="L12" i="8"/>
  <c r="L91" i="8"/>
  <c r="L78" i="8"/>
  <c r="L97" i="8"/>
  <c r="L48" i="8"/>
  <c r="L53" i="8"/>
  <c r="L13" i="8"/>
  <c r="L16" i="8"/>
  <c r="L62" i="8"/>
  <c r="L88" i="8"/>
  <c r="L39" i="8"/>
  <c r="L57" i="8"/>
  <c r="L9" i="8"/>
  <c r="L37" i="8"/>
  <c r="L34" i="8"/>
  <c r="L18" i="8"/>
  <c r="L23" i="8"/>
  <c r="L30" i="8"/>
  <c r="L71" i="8"/>
  <c r="L58" i="8"/>
  <c r="L5" i="8"/>
  <c r="L77" i="8"/>
  <c r="L11" i="8"/>
  <c r="L7" i="8"/>
  <c r="L64" i="8"/>
  <c r="L26" i="8"/>
  <c r="L40" i="8"/>
  <c r="L98" i="8"/>
  <c r="L25" i="8"/>
  <c r="L70" i="8"/>
  <c r="L75" i="8"/>
  <c r="L56" i="8"/>
  <c r="L50" i="8"/>
  <c r="L43" i="8"/>
  <c r="L52" i="8"/>
  <c r="L61" i="8"/>
  <c r="L31" i="8"/>
  <c r="L82" i="8"/>
  <c r="L24" i="8"/>
  <c r="L72" i="8"/>
  <c r="L10" i="8"/>
  <c r="L32" i="8"/>
  <c r="L93" i="8"/>
  <c r="L76" i="8"/>
  <c r="L47" i="8"/>
  <c r="L66" i="8"/>
  <c r="L21" i="8"/>
  <c r="L36" i="8"/>
  <c r="L60" i="8"/>
  <c r="L85" i="8"/>
  <c r="L100" i="8"/>
  <c r="L90" i="8"/>
  <c r="L96" i="8"/>
  <c r="L111" i="8"/>
  <c r="L92" i="8"/>
  <c r="L8" i="8"/>
  <c r="L94" i="8"/>
  <c r="L80" i="8"/>
  <c r="L86" i="8"/>
  <c r="L38" i="8"/>
  <c r="L17" i="8"/>
  <c r="L29" i="8"/>
  <c r="L33" i="8"/>
  <c r="L101" i="8"/>
  <c r="L112" i="8"/>
  <c r="L105" i="8"/>
  <c r="L110" i="8"/>
  <c r="L109" i="8"/>
  <c r="L6" i="8"/>
  <c r="L46" i="8"/>
  <c r="L73" i="8"/>
  <c r="L51" i="8"/>
  <c r="L22" i="8"/>
  <c r="L83" i="8"/>
  <c r="L95" i="8"/>
  <c r="L49" i="8"/>
  <c r="L99" i="8"/>
  <c r="L102" i="8"/>
  <c r="L103" i="8"/>
  <c r="L108" i="8"/>
  <c r="L106" i="8"/>
  <c r="L115" i="8"/>
  <c r="L35" i="8"/>
  <c r="L3" i="8"/>
  <c r="L44" i="8"/>
  <c r="L15" i="8"/>
  <c r="L27" i="8"/>
  <c r="L79" i="8"/>
  <c r="L55" i="8"/>
  <c r="L68" i="8"/>
  <c r="L89" i="8"/>
  <c r="L104" i="8"/>
  <c r="L114" i="8"/>
  <c r="L107" i="8"/>
  <c r="AN37" i="5"/>
  <c r="AN36" i="5"/>
</calcChain>
</file>

<file path=xl/sharedStrings.xml><?xml version="1.0" encoding="utf-8"?>
<sst xmlns="http://schemas.openxmlformats.org/spreadsheetml/2006/main" count="2089" uniqueCount="650">
  <si>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</si>
  <si>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</si>
  <si>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</si>
  <si>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</si>
  <si>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</si>
  <si>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</si>
  <si>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</si>
  <si>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</si>
  <si>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</si>
  <si>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</si>
  <si>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</si>
  <si>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</si>
  <si>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</si>
  <si>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</si>
  <si>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</si>
  <si>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</si>
  <si>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</si>
  <si>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</si>
  <si>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</si>
  <si>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</si>
  <si>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</si>
  <si>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</si>
  <si>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</si>
  <si>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</si>
  <si>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</si>
  <si>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</si>
  <si>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</si>
  <si>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</si>
  <si>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</si>
  <si>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</si>
  <si>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</si>
  <si>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</si>
  <si>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</si>
  <si>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</si>
  <si>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</si>
  <si>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</si>
  <si>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</si>
  <si>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</si>
  <si>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</si>
  <si>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</si>
  <si>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</si>
  <si>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</si>
  <si>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</si>
  <si>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</si>
  <si>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</si>
  <si>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</si>
  <si>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</si>
  <si>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</si>
  <si>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</si>
  <si>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</si>
  <si>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</si>
  <si>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</si>
  <si>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</si>
  <si>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</si>
  <si>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</si>
  <si>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</si>
  <si>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</si>
  <si>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</si>
  <si>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</si>
  <si>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</si>
  <si>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</si>
  <si>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</si>
  <si>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</si>
  <si>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</si>
  <si>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</si>
  <si>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</si>
  <si>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</si>
  <si>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</si>
  <si>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</si>
  <si>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</si>
  <si>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</si>
  <si>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</si>
  <si>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</si>
  <si>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</si>
  <si>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</si>
  <si>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</si>
  <si>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</si>
  <si>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</si>
  <si>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</si>
  <si>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</si>
  <si>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</si>
  <si>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</si>
  <si>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</si>
  <si>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</si>
  <si>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</si>
  <si>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</si>
  <si>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</si>
  <si>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</si>
  <si>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</si>
  <si>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</si>
  <si>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</si>
  <si>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</si>
  <si>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</si>
  <si>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</si>
  <si>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</si>
  <si>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</si>
  <si>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</si>
  <si>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</si>
  <si>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</si>
  <si>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</si>
  <si>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</si>
  <si>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</si>
  <si>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</si>
  <si>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</si>
  <si>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</si>
  <si>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</si>
  <si>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</si>
  <si>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</si>
  <si>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</si>
  <si>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</si>
  <si>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</si>
  <si>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</si>
  <si>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</si>
  <si>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</si>
  <si>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</si>
  <si>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</si>
  <si>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</si>
  <si>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</si>
  <si>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</si>
  <si>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</si>
  <si>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</si>
  <si>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</si>
  <si>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</si>
  <si>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</si>
  <si>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</si>
  <si>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</si>
  <si>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</si>
  <si>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</si>
  <si>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</si>
  <si>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</si>
  <si>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</si>
  <si>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</si>
  <si>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</si>
  <si>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</si>
  <si>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</si>
  <si>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</si>
  <si>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</si>
  <si>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</si>
  <si>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</si>
  <si>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</si>
  <si>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</si>
  <si>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</si>
  <si>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</si>
  <si>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</si>
  <si>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</si>
  <si>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</si>
  <si>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</si>
  <si>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</si>
  <si>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</si>
  <si>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</si>
  <si>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</si>
  <si>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</si>
  <si>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</si>
  <si>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</si>
  <si>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</si>
  <si>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</si>
  <si>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</si>
  <si>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</si>
  <si>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</si>
  <si>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Music Collections</t>
  </si>
  <si>
    <t>DL?</t>
  </si>
  <si>
    <t>ORG?</t>
  </si>
  <si>
    <t>Y</t>
  </si>
  <si>
    <t>Shakugan no Shana</t>
  </si>
  <si>
    <t>X</t>
  </si>
  <si>
    <t>Sakurasou no Pet na Kanojo</t>
  </si>
  <si>
    <t>The iDOLM@STER</t>
  </si>
  <si>
    <t>Toradora</t>
  </si>
  <si>
    <t>K-On!</t>
  </si>
  <si>
    <t>Suzumiya Haruhi no Yuutsu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</si>
  <si>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</si>
  <si>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</si>
  <si>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</si>
  <si>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</si>
  <si>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</si>
  <si>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</si>
  <si>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</si>
  <si>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</si>
  <si>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</si>
  <si>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</si>
  <si>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</si>
  <si>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</si>
  <si>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OreImo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</si>
  <si>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</si>
  <si>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</si>
  <si>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</si>
  <si>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</si>
  <si>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</si>
  <si>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</si>
  <si>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</si>
  <si>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</si>
  <si>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</si>
  <si>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</si>
  <si>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</si>
  <si>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</si>
  <si>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</si>
  <si>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</si>
  <si>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</si>
  <si>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</si>
  <si>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</si>
  <si>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</si>
  <si>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</si>
  <si>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</si>
  <si>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</si>
  <si>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</si>
  <si>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</si>
  <si>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</si>
  <si>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</si>
  <si>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</si>
  <si>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</si>
  <si>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</si>
  <si>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</si>
  <si>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</si>
  <si>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</si>
  <si>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</si>
  <si>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</si>
  <si>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</si>
  <si>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</si>
  <si>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</si>
  <si>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</si>
  <si>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</si>
  <si>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</si>
  <si>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</si>
  <si>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</si>
  <si>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</si>
  <si>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</si>
  <si>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</si>
  <si>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</si>
  <si>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</si>
  <si>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</si>
  <si>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</si>
  <si>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</si>
  <si>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</si>
  <si>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Red</t>
  </si>
  <si>
    <t>White</t>
  </si>
  <si>
    <t>Pink</t>
  </si>
  <si>
    <t>Purple</t>
  </si>
  <si>
    <t>None</t>
  </si>
  <si>
    <t>Silver</t>
  </si>
  <si>
    <t>Orange</t>
  </si>
  <si>
    <t>Harem</t>
  </si>
  <si>
    <t>Hair</t>
  </si>
  <si>
    <t>Tachibana Kanade</t>
  </si>
  <si>
    <t>Shiina Mashiro</t>
  </si>
  <si>
    <t>Mikoto Misaka</t>
  </si>
  <si>
    <t>Fujibayashi Kyou</t>
  </si>
  <si>
    <t>Kasugano Sora</t>
  </si>
  <si>
    <t>Hakamada Hinata</t>
  </si>
  <si>
    <t>Black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</si>
  <si>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</si>
  <si>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</si>
  <si>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</si>
  <si>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</si>
  <si>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</si>
  <si>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</si>
  <si>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</si>
  <si>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</si>
  <si>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</si>
  <si>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</si>
  <si>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</si>
  <si>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</si>
  <si>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</si>
  <si>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</si>
  <si>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Stay?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</si>
  <si>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</si>
  <si>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</si>
  <si>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</si>
  <si>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</si>
  <si>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</si>
  <si>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</si>
  <si>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</si>
  <si>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Raildex (Full)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</si>
  <si>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</si>
  <si>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</si>
  <si>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</si>
  <si>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</si>
  <si>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</si>
  <si>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</si>
  <si>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</si>
  <si>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</si>
  <si>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</si>
  <si>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</si>
  <si>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</si>
  <si>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</si>
  <si>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</si>
  <si>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</si>
  <si>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</si>
  <si>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</si>
  <si>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</si>
  <si>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</si>
  <si>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</si>
  <si>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</si>
  <si>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</si>
  <si>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</si>
  <si>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</si>
  <si>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</si>
  <si>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</si>
  <si>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</si>
  <si>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</si>
  <si>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</si>
  <si>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</si>
  <si>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</si>
  <si>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</si>
  <si>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</si>
  <si>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</si>
  <si>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</si>
  <si>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</si>
  <si>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</si>
  <si>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</si>
  <si>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</si>
  <si>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</si>
  <si>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</si>
  <si>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</si>
  <si>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</si>
  <si>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</si>
  <si>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</si>
  <si>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</si>
  <si>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</si>
  <si>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</si>
  <si>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</si>
  <si>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</si>
  <si>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</si>
  <si>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</si>
  <si>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</si>
  <si>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</si>
  <si>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</si>
  <si>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</si>
  <si>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</si>
  <si>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</si>
  <si>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</si>
  <si>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</si>
  <si>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</si>
  <si>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</si>
  <si>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</si>
  <si>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</si>
  <si>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</si>
  <si>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</si>
  <si>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</si>
  <si>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</si>
  <si>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</si>
  <si>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</si>
  <si>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</si>
  <si>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</si>
  <si>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Name</t>
    <phoneticPr fontId="6"/>
  </si>
  <si>
    <t>Show</t>
    <phoneticPr fontId="6"/>
  </si>
  <si>
    <t>Name</t>
    <phoneticPr fontId="6"/>
  </si>
  <si>
    <t>Show</t>
    <phoneticPr fontId="6"/>
  </si>
  <si>
    <t>Show</t>
    <phoneticPr fontId="6"/>
  </si>
  <si>
    <t>Shana</t>
    <phoneticPr fontId="6"/>
  </si>
  <si>
    <t>Shakugan no Shana</t>
    <phoneticPr fontId="6"/>
  </si>
  <si>
    <t>Inferno Cop</t>
    <phoneticPr fontId="6"/>
  </si>
  <si>
    <t>T.K.</t>
    <phoneticPr fontId="6"/>
  </si>
  <si>
    <t>Inko</t>
    <phoneticPr fontId="6"/>
  </si>
  <si>
    <t>Angel Beats!</t>
    <phoneticPr fontId="6"/>
  </si>
  <si>
    <t>Toradora!</t>
    <phoneticPr fontId="6"/>
  </si>
  <si>
    <t>Hikigaya Hachiman</t>
    <phoneticPr fontId="6"/>
  </si>
  <si>
    <t>Yahari Ore no Seishun Love Come Machigatteiru</t>
    <phoneticPr fontId="6"/>
  </si>
  <si>
    <t xml:space="preserve"> </t>
    <phoneticPr fontId="6"/>
  </si>
  <si>
    <t>Mikoto Misaka</t>
    <phoneticPr fontId="6"/>
  </si>
  <si>
    <t>To Aru Kagaku no Railgun</t>
    <phoneticPr fontId="6"/>
  </si>
  <si>
    <t>Houtarou Oreki</t>
    <phoneticPr fontId="6"/>
  </si>
  <si>
    <t>Hyouka</t>
    <phoneticPr fontId="6"/>
  </si>
  <si>
    <t>Kasugano Sora</t>
    <phoneticPr fontId="6"/>
  </si>
  <si>
    <t>Yosuga no Sora</t>
    <phoneticPr fontId="6"/>
  </si>
  <si>
    <t>Fujibayashi Kyou</t>
    <phoneticPr fontId="6"/>
  </si>
  <si>
    <t>Clannad</t>
    <phoneticPr fontId="6"/>
  </si>
  <si>
    <t>Maou Sadou</t>
    <phoneticPr fontId="6"/>
  </si>
  <si>
    <t>Hataraku Maou-sama</t>
    <phoneticPr fontId="6"/>
  </si>
  <si>
    <t>Best Male Characters</t>
    <phoneticPr fontId="6"/>
  </si>
  <si>
    <t>Best Characters *</t>
    <phoneticPr fontId="6"/>
  </si>
  <si>
    <t>Best Female Characters</t>
    <phoneticPr fontId="6"/>
  </si>
  <si>
    <t>Koyomi Araragi</t>
    <phoneticPr fontId="6"/>
  </si>
  <si>
    <t>Monogatari Series</t>
    <phoneticPr fontId="6"/>
  </si>
  <si>
    <t>Freddie Mercury</t>
    <phoneticPr fontId="6"/>
  </si>
  <si>
    <t>Sakigake! Cromartie High School</t>
    <phoneticPr fontId="6"/>
  </si>
  <si>
    <t>Mirai Nikki</t>
    <phoneticPr fontId="6"/>
  </si>
  <si>
    <t>Tachibana Kanade</t>
    <phoneticPr fontId="6"/>
  </si>
  <si>
    <t>Angel Beats!</t>
    <phoneticPr fontId="6"/>
  </si>
  <si>
    <t>Twelfth</t>
    <phoneticPr fontId="6"/>
  </si>
  <si>
    <t>Kamijou Touma</t>
    <phoneticPr fontId="6"/>
  </si>
  <si>
    <t>To Aru Majutsu no Index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</si>
  <si>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</si>
  <si>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</si>
  <si>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</si>
  <si>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</si>
  <si>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Servant x Service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</si>
  <si>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</si>
  <si>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</si>
  <si>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</si>
  <si>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</si>
  <si>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</si>
  <si>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</si>
  <si>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</si>
  <si>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</si>
  <si>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</si>
  <si>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</si>
  <si>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</si>
  <si>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</si>
  <si>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</si>
  <si>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</si>
  <si>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</si>
  <si>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</si>
  <si>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</si>
  <si>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</si>
  <si>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</si>
  <si>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</si>
  <si>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</si>
  <si>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</si>
  <si>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</si>
  <si>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</si>
  <si>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</si>
  <si>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</si>
  <si>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</si>
  <si>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</si>
  <si>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</si>
  <si>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</si>
  <si>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</si>
  <si>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</si>
  <si>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</si>
  <si>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</si>
  <si>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</si>
  <si>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</si>
  <si>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</si>
  <si>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</si>
  <si>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</si>
  <si>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</si>
  <si>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</si>
  <si>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</si>
  <si>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</si>
  <si>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</si>
  <si>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</si>
  <si>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</si>
  <si>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</si>
  <si>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</si>
  <si>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</si>
  <si>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</si>
  <si>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</si>
  <si>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</si>
  <si>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</si>
  <si>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</si>
  <si>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</si>
  <si>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</si>
  <si>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Navy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</si>
  <si>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</si>
  <si>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</si>
  <si>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</si>
  <si>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</si>
  <si>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</si>
  <si>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</si>
  <si>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Mochi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</si>
  <si>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</si>
  <si>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</si>
  <si>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</si>
  <si>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</si>
  <si>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</si>
  <si>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</si>
  <si>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</si>
  <si>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</si>
  <si>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</si>
  <si>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</si>
  <si>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</si>
  <si>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</si>
  <si>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</si>
  <si>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</si>
  <si>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</si>
  <si>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</si>
  <si>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UTW-Mazui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</si>
  <si>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</si>
  <si>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</si>
  <si>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</si>
  <si>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</si>
  <si>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</si>
  <si>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</si>
  <si>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</si>
  <si>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Steins;Subs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</si>
  <si>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</si>
  <si>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</si>
  <si>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</si>
  <si>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</si>
  <si>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</si>
  <si>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</si>
  <si>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</si>
  <si>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</si>
  <si>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</si>
  <si>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</si>
  <si>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</si>
  <si>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</si>
  <si>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</si>
  <si>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</si>
  <si>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</si>
  <si>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</si>
  <si>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</si>
  <si>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Watched Shows</t>
  </si>
  <si>
    <t>Kurahashi Riko</t>
  </si>
  <si>
    <t>Shimada Minami</t>
  </si>
  <si>
    <t>Haruka Kotoura</t>
  </si>
  <si>
    <t>Sakamichi no Apollon</t>
  </si>
  <si>
    <t>Sort by Ratio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</si>
  <si>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</si>
  <si>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</si>
  <si>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</si>
  <si>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</si>
  <si>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</si>
  <si>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</si>
  <si>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</si>
  <si>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</si>
  <si>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</si>
  <si>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</si>
  <si>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</si>
  <si>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</si>
  <si>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</si>
  <si>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</si>
  <si>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</si>
  <si>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</si>
  <si>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</si>
  <si>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</si>
  <si>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</si>
  <si>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</si>
  <si>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</si>
  <si>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</si>
  <si>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</si>
  <si>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</si>
  <si>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</si>
  <si>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</si>
  <si>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</si>
  <si>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</si>
  <si>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</si>
  <si>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</si>
  <si>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</si>
  <si>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</si>
  <si>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</si>
  <si>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</si>
  <si>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</si>
  <si>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</si>
  <si>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</si>
  <si>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</si>
  <si>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</si>
  <si>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</si>
  <si>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</si>
  <si>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</si>
  <si>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</si>
  <si>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</si>
  <si>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</si>
  <si>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</si>
  <si>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</si>
  <si>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</si>
  <si>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</si>
  <si>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</si>
  <si>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</si>
  <si>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</si>
  <si>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#</t>
  </si>
  <si>
    <t>Anime that Patrick Has Watched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</si>
  <si>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</si>
  <si>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</si>
  <si>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</si>
  <si>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</si>
  <si>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</si>
  <si>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</si>
  <si>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</si>
  <si>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</si>
  <si>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</si>
  <si>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</si>
  <si>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</si>
  <si>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</si>
  <si>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</si>
  <si>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</si>
  <si>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</si>
  <si>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</si>
  <si>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</si>
  <si>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</si>
  <si>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</si>
  <si>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</si>
  <si>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</si>
  <si>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</si>
  <si>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</si>
  <si>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</si>
  <si>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</si>
  <si>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</si>
  <si>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</si>
  <si>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</si>
  <si>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</si>
  <si>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</si>
  <si>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</si>
  <si>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</si>
  <si>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</si>
  <si>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</si>
  <si>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</si>
  <si>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</si>
  <si>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</si>
  <si>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</si>
  <si>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</si>
  <si>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</si>
  <si>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</si>
  <si>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</si>
  <si>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</si>
  <si>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</si>
  <si>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</si>
  <si>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</si>
  <si>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</si>
  <si>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</si>
  <si>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Attack on Titan</t>
  </si>
  <si>
    <t>Durarara!</t>
  </si>
  <si>
    <t>For the RNG</t>
  </si>
  <si>
    <t>Title</t>
  </si>
  <si>
    <t>The Chosen One: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</si>
  <si>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</si>
  <si>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</si>
  <si>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</si>
  <si>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</si>
  <si>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</si>
  <si>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</si>
  <si>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</si>
  <si>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</si>
  <si>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</si>
  <si>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</si>
  <si>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Finish</t>
  </si>
  <si>
    <t>---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</si>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</sst>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rgb="FF000000"/>
      <name val="Calibri"/>
      <family val="2"/>
    </font>
    <font>
      <sz val="11"/>
      <color theme="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</borders>
  <cellStyleXfs count="1">
    <xf numFmtId="0" fontId="0" fillId="0" borderId="0"/>
  </cellStyleXfs>
  <cellXfs count="208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0" borderId="24" xfId="0" applyFont="1" applyBorder="1"/>
    <xf numFmtId="0" fontId="3" fillId="0" borderId="25" xfId="0" applyFont="1" applyBorder="1"/>
    <xf numFmtId="0" fontId="3" fillId="0" borderId="26" xfId="0" applyFont="1" applyBorder="1"/>
    <xf numFmtId="0" fontId="3" fillId="0" borderId="19" xfId="0" applyFont="1" applyBorder="1"/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164" fontId="3" fillId="0" borderId="4" xfId="0" applyNumberFormat="1" applyFont="1" applyBorder="1" applyAlignment="1">
      <alignment horizontal="center"/>
    </xf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4" borderId="20" xfId="0" applyFont="1" applyFill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8" fillId="0" borderId="0" xfId="0" applyFont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8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0" fillId="0" borderId="6" xfId="0" applyBorder="1"/>
    <xf numFmtId="0" fontId="3" fillId="4" borderId="20" xfId="0" applyFont="1" applyFill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2" fillId="3" borderId="3" xfId="0" applyFont="1" applyFill="1" applyBorder="1" applyAlignment="1"/>
    <xf numFmtId="0" fontId="0" fillId="0" borderId="7" xfId="0" applyBorder="1" applyAlignment="1"/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4" borderId="17" xfId="0" applyFont="1" applyFill="1" applyBorder="1"/>
    <xf numFmtId="0" fontId="3" fillId="4" borderId="23" xfId="0" applyFont="1" applyFill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 applyAlignment="1">
      <alignment horizontal="left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30" xfId="0" applyNumberFormat="1" applyFont="1" applyBorder="1" applyAlignment="1">
      <alignment horizontal="left"/>
    </xf>
    <xf numFmtId="14" fontId="3" fillId="0" borderId="30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14" fontId="9" fillId="0" borderId="30" xfId="0" applyNumberFormat="1" applyFont="1" applyBorder="1" applyAlignment="1">
      <alignment horizontal="left"/>
    </xf>
    <xf numFmtId="0" fontId="9" fillId="0" borderId="31" xfId="0" applyFont="1" applyBorder="1"/>
    <xf numFmtId="0" fontId="9" fillId="0" borderId="30" xfId="0" applyFont="1" applyBorder="1" applyAlignment="1"/>
    <xf numFmtId="0" fontId="9" fillId="0" borderId="30" xfId="0" applyFont="1" applyBorder="1"/>
    <xf numFmtId="0" fontId="9" fillId="0" borderId="30" xfId="0" applyFont="1" applyBorder="1" applyAlignment="1">
      <alignment horizontal="left"/>
    </xf>
    <xf numFmtId="14" fontId="9" fillId="0" borderId="30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1" fillId="0" borderId="0" xfId="0" applyFont="1"/>
    <xf numFmtId="0" fontId="3" fillId="0" borderId="15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7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3" fillId="0" borderId="14" xfId="0" applyFont="1" applyBorder="1"/>
    <xf numFmtId="0" fontId="3" fillId="0" borderId="14" xfId="0" quotePrefix="1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</cellXfs>
  <cellStyles count="1">
    <cellStyle name="Normal" xfId="0" builtinId="0"/>
  </cellStyles>
  <dxfs count="27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26"/>
      <tableStyleElement type="totalRow" dxfId="25"/>
      <tableStyleElement type="firstRowStripe" dxfId="24"/>
      <tableStyleElement type="secondRowStripe" dxfId="2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Anime!$AP$7:$AP$16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Anime!$AN$18:$AN$27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392816"/>
        <c:axId val="1397378128"/>
      </c:barChart>
      <c:catAx>
        <c:axId val="1397392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397378128"/>
        <c:crossesAt val="0"/>
        <c:auto val="1"/>
        <c:lblAlgn val="ctr"/>
        <c:lblOffset val="100"/>
        <c:noMultiLvlLbl val="1"/>
      </c:catAx>
      <c:valAx>
        <c:axId val="1397378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397392816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Anime!$AF$3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(Anime!$AE$4:$AE$400,Anime!$AG$4:$AG$400)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Anime!$AF$4:$AF$400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Anime!$AF$3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(Anime!$AE$4:$AE$400,Anime!$AG$4:$AG$400)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Anime!$AF$4:$AF$400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7386832"/>
        <c:axId val="1397380848"/>
      </c:lineChart>
      <c:dateAx>
        <c:axId val="1397386832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380848"/>
        <c:crosses val="autoZero"/>
        <c:auto val="1"/>
        <c:lblOffset val="100"/>
        <c:baseTimeUnit val="days"/>
      </c:dateAx>
      <c:valAx>
        <c:axId val="1397380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397386832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Anime!$AM$46:$AM$54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Anime!$AN$46:$AN$54</c:f>
              <c:numCache>
                <c:formatCode>General</c:formatCode>
                <c:ptCount val="9"/>
                <c:pt idx="0">
                  <c:v>25</c:v>
                </c:pt>
                <c:pt idx="1">
                  <c:v>23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379216"/>
        <c:axId val="1397383568"/>
      </c:barChart>
      <c:catAx>
        <c:axId val="1397379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397383568"/>
        <c:crosses val="autoZero"/>
        <c:auto val="1"/>
        <c:lblAlgn val="ctr"/>
        <c:lblOffset val="100"/>
        <c:noMultiLvlLbl val="0"/>
      </c:catAx>
      <c:valAx>
        <c:axId val="1397383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97379216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Anime!$AH$3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(Anime!$AG$4:$AG$400,Anime!$AE$4:$AE$400)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Anime!$AH$4:$AH$400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7390096"/>
        <c:axId val="1397385744"/>
      </c:lineChart>
      <c:dateAx>
        <c:axId val="139739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385744"/>
        <c:crosses val="autoZero"/>
        <c:auto val="1"/>
        <c:lblOffset val="100"/>
        <c:baseTimeUnit val="days"/>
        <c:majorUnit val="3"/>
        <c:majorTimeUnit val="months"/>
      </c:dateAx>
      <c:valAx>
        <c:axId val="139738574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1397390096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Anime!$AM$57:$AM$61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Anime!$AN$57:$AN$61</c:f>
              <c:numCache>
                <c:formatCode>General</c:formatCode>
                <c:ptCount val="5"/>
                <c:pt idx="0">
                  <c:v>85</c:v>
                </c:pt>
                <c:pt idx="1">
                  <c:v>60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Number</a:t>
            </a:r>
            <a:r>
              <a:rPr lang="en-US" sz="1800" b="1" baseline="0"/>
              <a:t> of Shows Watched vs. Time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820900631655239E-2"/>
          <c:y val="0.10381875846860067"/>
          <c:w val="0.88076177217239671"/>
          <c:h val="0.68461017142644875"/>
        </c:manualLayout>
      </c:layout>
      <c:lineChart>
        <c:grouping val="standard"/>
        <c:varyColors val="0"/>
        <c:ser>
          <c:idx val="0"/>
          <c:order val="0"/>
          <c:tx>
            <c:v>No. of Shows Started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'Chart Calculations'!$A$2:$A$227</c:f>
              <c:numCache>
                <c:formatCode>m/d/yyyy</c:formatCode>
                <c:ptCount val="226"/>
                <c:pt idx="0">
                  <c:v>40674</c:v>
                </c:pt>
                <c:pt idx="1">
                  <c:v>41270</c:v>
                </c:pt>
                <c:pt idx="2">
                  <c:v>41088</c:v>
                </c:pt>
                <c:pt idx="3">
                  <c:v>41228</c:v>
                </c:pt>
                <c:pt idx="4">
                  <c:v>41229</c:v>
                </c:pt>
                <c:pt idx="5">
                  <c:v>41245</c:v>
                </c:pt>
                <c:pt idx="6">
                  <c:v>41250</c:v>
                </c:pt>
                <c:pt idx="7">
                  <c:v>41251</c:v>
                </c:pt>
                <c:pt idx="8">
                  <c:v>41254</c:v>
                </c:pt>
                <c:pt idx="9">
                  <c:v>41255</c:v>
                </c:pt>
                <c:pt idx="10">
                  <c:v>41261</c:v>
                </c:pt>
                <c:pt idx="11">
                  <c:v>41280</c:v>
                </c:pt>
                <c:pt idx="12">
                  <c:v>41286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41295</c:v>
                </c:pt>
                <c:pt idx="20">
                  <c:v>41300</c:v>
                </c:pt>
                <c:pt idx="21">
                  <c:v>41302</c:v>
                </c:pt>
                <c:pt idx="22">
                  <c:v>41304</c:v>
                </c:pt>
                <c:pt idx="23">
                  <c:v>41316</c:v>
                </c:pt>
                <c:pt idx="24">
                  <c:v>41316</c:v>
                </c:pt>
                <c:pt idx="25">
                  <c:v>41328</c:v>
                </c:pt>
                <c:pt idx="26">
                  <c:v>41330</c:v>
                </c:pt>
                <c:pt idx="27">
                  <c:v>41337</c:v>
                </c:pt>
                <c:pt idx="28">
                  <c:v>41338</c:v>
                </c:pt>
                <c:pt idx="29">
                  <c:v>41345</c:v>
                </c:pt>
                <c:pt idx="30">
                  <c:v>41347</c:v>
                </c:pt>
                <c:pt idx="31">
                  <c:v>41354</c:v>
                </c:pt>
                <c:pt idx="32">
                  <c:v>41355</c:v>
                </c:pt>
                <c:pt idx="33">
                  <c:v>41357</c:v>
                </c:pt>
                <c:pt idx="34">
                  <c:v>41358</c:v>
                </c:pt>
                <c:pt idx="35">
                  <c:v>41360</c:v>
                </c:pt>
                <c:pt idx="36">
                  <c:v>41363</c:v>
                </c:pt>
                <c:pt idx="37">
                  <c:v>41365</c:v>
                </c:pt>
                <c:pt idx="38">
                  <c:v>41369</c:v>
                </c:pt>
                <c:pt idx="39">
                  <c:v>41370</c:v>
                </c:pt>
                <c:pt idx="40">
                  <c:v>41370</c:v>
                </c:pt>
                <c:pt idx="41">
                  <c:v>41371</c:v>
                </c:pt>
                <c:pt idx="42">
                  <c:v>41371</c:v>
                </c:pt>
                <c:pt idx="43">
                  <c:v>41371</c:v>
                </c:pt>
                <c:pt idx="44">
                  <c:v>41378</c:v>
                </c:pt>
                <c:pt idx="45">
                  <c:v>41379</c:v>
                </c:pt>
                <c:pt idx="46">
                  <c:v>41394</c:v>
                </c:pt>
                <c:pt idx="47">
                  <c:v>41395</c:v>
                </c:pt>
                <c:pt idx="48">
                  <c:v>41397</c:v>
                </c:pt>
                <c:pt idx="49">
                  <c:v>41400</c:v>
                </c:pt>
                <c:pt idx="50">
                  <c:v>41411</c:v>
                </c:pt>
                <c:pt idx="51">
                  <c:v>41424</c:v>
                </c:pt>
                <c:pt idx="52">
                  <c:v>41430</c:v>
                </c:pt>
                <c:pt idx="53">
                  <c:v>41431</c:v>
                </c:pt>
                <c:pt idx="54">
                  <c:v>41436</c:v>
                </c:pt>
                <c:pt idx="55">
                  <c:v>41443</c:v>
                </c:pt>
                <c:pt idx="56">
                  <c:v>41448</c:v>
                </c:pt>
                <c:pt idx="57">
                  <c:v>41449</c:v>
                </c:pt>
                <c:pt idx="58">
                  <c:v>41450</c:v>
                </c:pt>
                <c:pt idx="59">
                  <c:v>41453</c:v>
                </c:pt>
                <c:pt idx="60">
                  <c:v>41453</c:v>
                </c:pt>
                <c:pt idx="61">
                  <c:v>41456</c:v>
                </c:pt>
                <c:pt idx="62">
                  <c:v>41457</c:v>
                </c:pt>
                <c:pt idx="63">
                  <c:v>41459</c:v>
                </c:pt>
                <c:pt idx="64">
                  <c:v>41461</c:v>
                </c:pt>
                <c:pt idx="65">
                  <c:v>41461</c:v>
                </c:pt>
                <c:pt idx="66">
                  <c:v>41461</c:v>
                </c:pt>
                <c:pt idx="67">
                  <c:v>41462</c:v>
                </c:pt>
                <c:pt idx="68">
                  <c:v>41464</c:v>
                </c:pt>
                <c:pt idx="69">
                  <c:v>41465</c:v>
                </c:pt>
                <c:pt idx="70">
                  <c:v>41465</c:v>
                </c:pt>
                <c:pt idx="71">
                  <c:v>41468</c:v>
                </c:pt>
                <c:pt idx="72">
                  <c:v>41468</c:v>
                </c:pt>
                <c:pt idx="73">
                  <c:v>41470</c:v>
                </c:pt>
                <c:pt idx="74">
                  <c:v>41473</c:v>
                </c:pt>
                <c:pt idx="75">
                  <c:v>41477</c:v>
                </c:pt>
                <c:pt idx="76">
                  <c:v>41479</c:v>
                </c:pt>
                <c:pt idx="77">
                  <c:v>41485</c:v>
                </c:pt>
                <c:pt idx="78">
                  <c:v>41488</c:v>
                </c:pt>
                <c:pt idx="79">
                  <c:v>41496</c:v>
                </c:pt>
                <c:pt idx="80">
                  <c:v>41530</c:v>
                </c:pt>
                <c:pt idx="81">
                  <c:v>41537</c:v>
                </c:pt>
                <c:pt idx="82">
                  <c:v>41541</c:v>
                </c:pt>
                <c:pt idx="83">
                  <c:v>41550</c:v>
                </c:pt>
                <c:pt idx="84">
                  <c:v>41550</c:v>
                </c:pt>
                <c:pt idx="85">
                  <c:v>41553</c:v>
                </c:pt>
                <c:pt idx="86">
                  <c:v>41555</c:v>
                </c:pt>
                <c:pt idx="87">
                  <c:v>41555</c:v>
                </c:pt>
                <c:pt idx="88">
                  <c:v>41555</c:v>
                </c:pt>
                <c:pt idx="89">
                  <c:v>41555</c:v>
                </c:pt>
                <c:pt idx="90">
                  <c:v>41555</c:v>
                </c:pt>
                <c:pt idx="91">
                  <c:v>41560</c:v>
                </c:pt>
                <c:pt idx="92">
                  <c:v>41562</c:v>
                </c:pt>
                <c:pt idx="93">
                  <c:v>41562</c:v>
                </c:pt>
                <c:pt idx="94">
                  <c:v>41607</c:v>
                </c:pt>
                <c:pt idx="95">
                  <c:v>41633</c:v>
                </c:pt>
                <c:pt idx="96">
                  <c:v>41636</c:v>
                </c:pt>
                <c:pt idx="97">
                  <c:v>41638</c:v>
                </c:pt>
                <c:pt idx="98">
                  <c:v>41645</c:v>
                </c:pt>
                <c:pt idx="99">
                  <c:v>41646</c:v>
                </c:pt>
                <c:pt idx="100">
                  <c:v>41647</c:v>
                </c:pt>
                <c:pt idx="101">
                  <c:v>41647</c:v>
                </c:pt>
                <c:pt idx="102">
                  <c:v>41648</c:v>
                </c:pt>
                <c:pt idx="103">
                  <c:v>41648</c:v>
                </c:pt>
                <c:pt idx="104">
                  <c:v>41648</c:v>
                </c:pt>
                <c:pt idx="105">
                  <c:v>41650</c:v>
                </c:pt>
                <c:pt idx="106">
                  <c:v>41650</c:v>
                </c:pt>
                <c:pt idx="107">
                  <c:v>41650</c:v>
                </c:pt>
                <c:pt idx="108">
                  <c:v>41650</c:v>
                </c:pt>
                <c:pt idx="109">
                  <c:v>41661</c:v>
                </c:pt>
                <c:pt idx="110">
                  <c:v>41705</c:v>
                </c:pt>
                <c:pt idx="111">
                  <c:v>41742</c:v>
                </c:pt>
                <c:pt idx="112">
                  <c:v>41750</c:v>
                </c:pt>
                <c:pt idx="113">
                  <c:v>40675</c:v>
                </c:pt>
                <c:pt idx="114">
                  <c:v>41279</c:v>
                </c:pt>
                <c:pt idx="115">
                  <c:v>41108</c:v>
                </c:pt>
                <c:pt idx="116">
                  <c:v>41229</c:v>
                </c:pt>
                <c:pt idx="117">
                  <c:v>41230</c:v>
                </c:pt>
                <c:pt idx="118">
                  <c:v>41250</c:v>
                </c:pt>
                <c:pt idx="119">
                  <c:v>41265</c:v>
                </c:pt>
                <c:pt idx="120">
                  <c:v>41263</c:v>
                </c:pt>
                <c:pt idx="121">
                  <c:v>41264</c:v>
                </c:pt>
                <c:pt idx="122">
                  <c:v>41256</c:v>
                </c:pt>
                <c:pt idx="123">
                  <c:v>41359</c:v>
                </c:pt>
                <c:pt idx="124">
                  <c:v>41281</c:v>
                </c:pt>
                <c:pt idx="125">
                  <c:v>41292</c:v>
                </c:pt>
                <c:pt idx="126">
                  <c:v>41288</c:v>
                </c:pt>
                <c:pt idx="127">
                  <c:v>41289</c:v>
                </c:pt>
                <c:pt idx="128">
                  <c:v>41352</c:v>
                </c:pt>
                <c:pt idx="129">
                  <c:v>41298</c:v>
                </c:pt>
                <c:pt idx="130">
                  <c:v>41369</c:v>
                </c:pt>
                <c:pt idx="131">
                  <c:v>41294</c:v>
                </c:pt>
                <c:pt idx="132">
                  <c:v>41300</c:v>
                </c:pt>
                <c:pt idx="133">
                  <c:v>41302</c:v>
                </c:pt>
                <c:pt idx="134">
                  <c:v>41360</c:v>
                </c:pt>
                <c:pt idx="135">
                  <c:v>41312</c:v>
                </c:pt>
                <c:pt idx="136">
                  <c:v>41316</c:v>
                </c:pt>
                <c:pt idx="137">
                  <c:v>41323</c:v>
                </c:pt>
                <c:pt idx="138">
                  <c:v>41329</c:v>
                </c:pt>
                <c:pt idx="139">
                  <c:v>41346</c:v>
                </c:pt>
                <c:pt idx="140">
                  <c:v>41338</c:v>
                </c:pt>
                <c:pt idx="141">
                  <c:v>41340</c:v>
                </c:pt>
                <c:pt idx="142">
                  <c:v>41350</c:v>
                </c:pt>
                <c:pt idx="143">
                  <c:v>41354</c:v>
                </c:pt>
                <c:pt idx="144">
                  <c:v>41355</c:v>
                </c:pt>
                <c:pt idx="145">
                  <c:v>41451</c:v>
                </c:pt>
                <c:pt idx="146">
                  <c:v>41357</c:v>
                </c:pt>
                <c:pt idx="147">
                  <c:v>41359</c:v>
                </c:pt>
                <c:pt idx="148">
                  <c:v>41363</c:v>
                </c:pt>
                <c:pt idx="149">
                  <c:v>41364</c:v>
                </c:pt>
                <c:pt idx="150">
                  <c:v>41369</c:v>
                </c:pt>
                <c:pt idx="151">
                  <c:v>41389</c:v>
                </c:pt>
                <c:pt idx="152">
                  <c:v>41454</c:v>
                </c:pt>
                <c:pt idx="153">
                  <c:v>41512</c:v>
                </c:pt>
                <c:pt idx="154">
                  <c:v>41452</c:v>
                </c:pt>
                <c:pt idx="155">
                  <c:v>41453</c:v>
                </c:pt>
                <c:pt idx="156">
                  <c:v>41455</c:v>
                </c:pt>
                <c:pt idx="157">
                  <c:v>41454</c:v>
                </c:pt>
                <c:pt idx="158">
                  <c:v>41464</c:v>
                </c:pt>
                <c:pt idx="159">
                  <c:v>41397</c:v>
                </c:pt>
                <c:pt idx="160">
                  <c:v>41400</c:v>
                </c:pt>
                <c:pt idx="161">
                  <c:v>41546</c:v>
                </c:pt>
                <c:pt idx="162">
                  <c:v>41402</c:v>
                </c:pt>
                <c:pt idx="163">
                  <c:v>41413</c:v>
                </c:pt>
                <c:pt idx="164">
                  <c:v>41430</c:v>
                </c:pt>
                <c:pt idx="165">
                  <c:v>41431</c:v>
                </c:pt>
                <c:pt idx="166">
                  <c:v>41436</c:v>
                </c:pt>
                <c:pt idx="167">
                  <c:v>41438</c:v>
                </c:pt>
                <c:pt idx="168">
                  <c:v>41444</c:v>
                </c:pt>
                <c:pt idx="169">
                  <c:v>41455</c:v>
                </c:pt>
                <c:pt idx="170">
                  <c:v>41451</c:v>
                </c:pt>
                <c:pt idx="171">
                  <c:v>41452</c:v>
                </c:pt>
                <c:pt idx="172">
                  <c:v>41456</c:v>
                </c:pt>
                <c:pt idx="173">
                  <c:v>41457</c:v>
                </c:pt>
                <c:pt idx="174">
                  <c:v>41535</c:v>
                </c:pt>
                <c:pt idx="175">
                  <c:v>41463</c:v>
                </c:pt>
                <c:pt idx="176">
                  <c:v>41543</c:v>
                </c:pt>
                <c:pt idx="177">
                  <c:v>41543</c:v>
                </c:pt>
                <c:pt idx="178">
                  <c:v>41638</c:v>
                </c:pt>
                <c:pt idx="179">
                  <c:v>41546</c:v>
                </c:pt>
                <c:pt idx="180">
                  <c:v>41538</c:v>
                </c:pt>
                <c:pt idx="181">
                  <c:v>41543</c:v>
                </c:pt>
                <c:pt idx="182">
                  <c:v>41543</c:v>
                </c:pt>
                <c:pt idx="183">
                  <c:v>41465</c:v>
                </c:pt>
                <c:pt idx="184">
                  <c:v>41470</c:v>
                </c:pt>
                <c:pt idx="185">
                  <c:v>41589</c:v>
                </c:pt>
                <c:pt idx="186">
                  <c:v>41482</c:v>
                </c:pt>
                <c:pt idx="187">
                  <c:v>41546</c:v>
                </c:pt>
                <c:pt idx="188">
                  <c:v>41479</c:v>
                </c:pt>
                <c:pt idx="189">
                  <c:v>41481</c:v>
                </c:pt>
                <c:pt idx="190">
                  <c:v>41491</c:v>
                </c:pt>
                <c:pt idx="191">
                  <c:v>41492</c:v>
                </c:pt>
                <c:pt idx="192">
                  <c:v>41512</c:v>
                </c:pt>
                <c:pt idx="193">
                  <c:v>41532</c:v>
                </c:pt>
                <c:pt idx="194">
                  <c:v>41559</c:v>
                </c:pt>
                <c:pt idx="195">
                  <c:v>41541</c:v>
                </c:pt>
                <c:pt idx="196">
                  <c:v>41628</c:v>
                </c:pt>
                <c:pt idx="197">
                  <c:v>41634</c:v>
                </c:pt>
                <c:pt idx="198">
                  <c:v>41632</c:v>
                </c:pt>
                <c:pt idx="199">
                  <c:v>41720</c:v>
                </c:pt>
                <c:pt idx="200">
                  <c:v>41726</c:v>
                </c:pt>
                <c:pt idx="201">
                  <c:v>41631</c:v>
                </c:pt>
                <c:pt idx="202">
                  <c:v>41748</c:v>
                </c:pt>
                <c:pt idx="203">
                  <c:v>41634</c:v>
                </c:pt>
                <c:pt idx="204">
                  <c:v>41618</c:v>
                </c:pt>
                <c:pt idx="205">
                  <c:v>41574</c:v>
                </c:pt>
                <c:pt idx="206">
                  <c:v>41728</c:v>
                </c:pt>
                <c:pt idx="207">
                  <c:v>41634</c:v>
                </c:pt>
                <c:pt idx="208">
                  <c:v>41635</c:v>
                </c:pt>
                <c:pt idx="209">
                  <c:v>41636</c:v>
                </c:pt>
                <c:pt idx="210">
                  <c:v>41641</c:v>
                </c:pt>
                <c:pt idx="211">
                  <c:v>41645</c:v>
                </c:pt>
                <c:pt idx="212">
                  <c:v>41647</c:v>
                </c:pt>
                <c:pt idx="213">
                  <c:v>41726</c:v>
                </c:pt>
                <c:pt idx="214">
                  <c:v>41733</c:v>
                </c:pt>
                <c:pt idx="215">
                  <c:v>41730</c:v>
                </c:pt>
                <c:pt idx="216">
                  <c:v>41746</c:v>
                </c:pt>
                <c:pt idx="217">
                  <c:v>41785</c:v>
                </c:pt>
                <c:pt idx="218">
                  <c:v>41733</c:v>
                </c:pt>
                <c:pt idx="219">
                  <c:v>41749</c:v>
                </c:pt>
                <c:pt idx="220">
                  <c:v>41745</c:v>
                </c:pt>
                <c:pt idx="221">
                  <c:v>41744</c:v>
                </c:pt>
                <c:pt idx="222">
                  <c:v>41722</c:v>
                </c:pt>
                <c:pt idx="223">
                  <c:v>41705</c:v>
                </c:pt>
                <c:pt idx="224">
                  <c:v>41746</c:v>
                </c:pt>
                <c:pt idx="225">
                  <c:v>41756</c:v>
                </c:pt>
              </c:numCache>
            </c:numRef>
          </c:cat>
          <c:val>
            <c:numRef>
              <c:f>'Chart Calculations'!$B$2:$B$227</c:f>
              <c:numCache>
                <c:formatCode>General</c:formatCode>
                <c:ptCount val="226"/>
                <c:pt idx="0">
                  <c:v>1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25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41</c:v>
                </c:pt>
                <c:pt idx="40">
                  <c:v>41</c:v>
                </c:pt>
                <c:pt idx="41">
                  <c:v>44</c:v>
                </c:pt>
                <c:pt idx="42">
                  <c:v>44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61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71</c:v>
                </c:pt>
                <c:pt idx="70">
                  <c:v>71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85</c:v>
                </c:pt>
                <c:pt idx="84">
                  <c:v>85</c:v>
                </c:pt>
                <c:pt idx="85">
                  <c:v>86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92</c:v>
                </c:pt>
                <c:pt idx="92">
                  <c:v>94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102</c:v>
                </c:pt>
                <c:pt idx="101">
                  <c:v>102</c:v>
                </c:pt>
                <c:pt idx="102">
                  <c:v>105</c:v>
                </c:pt>
                <c:pt idx="103">
                  <c:v>105</c:v>
                </c:pt>
                <c:pt idx="104">
                  <c:v>105</c:v>
                </c:pt>
                <c:pt idx="105">
                  <c:v>109</c:v>
                </c:pt>
                <c:pt idx="106">
                  <c:v>109</c:v>
                </c:pt>
                <c:pt idx="107">
                  <c:v>109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</c:numCache>
            </c:numRef>
          </c:val>
          <c:smooth val="0"/>
        </c:ser>
        <c:ser>
          <c:idx val="1"/>
          <c:order val="1"/>
          <c:tx>
            <c:v>No. of Shows Finished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'Chart Calculations'!$A$2:$A$227</c:f>
              <c:numCache>
                <c:formatCode>m/d/yyyy</c:formatCode>
                <c:ptCount val="226"/>
                <c:pt idx="0">
                  <c:v>40674</c:v>
                </c:pt>
                <c:pt idx="1">
                  <c:v>41270</c:v>
                </c:pt>
                <c:pt idx="2">
                  <c:v>41088</c:v>
                </c:pt>
                <c:pt idx="3">
                  <c:v>41228</c:v>
                </c:pt>
                <c:pt idx="4">
                  <c:v>41229</c:v>
                </c:pt>
                <c:pt idx="5">
                  <c:v>41245</c:v>
                </c:pt>
                <c:pt idx="6">
                  <c:v>41250</c:v>
                </c:pt>
                <c:pt idx="7">
                  <c:v>41251</c:v>
                </c:pt>
                <c:pt idx="8">
                  <c:v>41254</c:v>
                </c:pt>
                <c:pt idx="9">
                  <c:v>41255</c:v>
                </c:pt>
                <c:pt idx="10">
                  <c:v>41261</c:v>
                </c:pt>
                <c:pt idx="11">
                  <c:v>41280</c:v>
                </c:pt>
                <c:pt idx="12">
                  <c:v>41286</c:v>
                </c:pt>
                <c:pt idx="13">
                  <c:v>41288</c:v>
                </c:pt>
                <c:pt idx="14">
                  <c:v>41289</c:v>
                </c:pt>
                <c:pt idx="15">
                  <c:v>41290</c:v>
                </c:pt>
                <c:pt idx="16">
                  <c:v>41291</c:v>
                </c:pt>
                <c:pt idx="17">
                  <c:v>41292</c:v>
                </c:pt>
                <c:pt idx="18">
                  <c:v>41293</c:v>
                </c:pt>
                <c:pt idx="19">
                  <c:v>41295</c:v>
                </c:pt>
                <c:pt idx="20">
                  <c:v>41300</c:v>
                </c:pt>
                <c:pt idx="21">
                  <c:v>41302</c:v>
                </c:pt>
                <c:pt idx="22">
                  <c:v>41304</c:v>
                </c:pt>
                <c:pt idx="23">
                  <c:v>41316</c:v>
                </c:pt>
                <c:pt idx="24">
                  <c:v>41316</c:v>
                </c:pt>
                <c:pt idx="25">
                  <c:v>41328</c:v>
                </c:pt>
                <c:pt idx="26">
                  <c:v>41330</c:v>
                </c:pt>
                <c:pt idx="27">
                  <c:v>41337</c:v>
                </c:pt>
                <c:pt idx="28">
                  <c:v>41338</c:v>
                </c:pt>
                <c:pt idx="29">
                  <c:v>41345</c:v>
                </c:pt>
                <c:pt idx="30">
                  <c:v>41347</c:v>
                </c:pt>
                <c:pt idx="31">
                  <c:v>41354</c:v>
                </c:pt>
                <c:pt idx="32">
                  <c:v>41355</c:v>
                </c:pt>
                <c:pt idx="33">
                  <c:v>41357</c:v>
                </c:pt>
                <c:pt idx="34">
                  <c:v>41358</c:v>
                </c:pt>
                <c:pt idx="35">
                  <c:v>41360</c:v>
                </c:pt>
                <c:pt idx="36">
                  <c:v>41363</c:v>
                </c:pt>
                <c:pt idx="37">
                  <c:v>41365</c:v>
                </c:pt>
                <c:pt idx="38">
                  <c:v>41369</c:v>
                </c:pt>
                <c:pt idx="39">
                  <c:v>41370</c:v>
                </c:pt>
                <c:pt idx="40">
                  <c:v>41370</c:v>
                </c:pt>
                <c:pt idx="41">
                  <c:v>41371</c:v>
                </c:pt>
                <c:pt idx="42">
                  <c:v>41371</c:v>
                </c:pt>
                <c:pt idx="43">
                  <c:v>41371</c:v>
                </c:pt>
                <c:pt idx="44">
                  <c:v>41378</c:v>
                </c:pt>
                <c:pt idx="45">
                  <c:v>41379</c:v>
                </c:pt>
                <c:pt idx="46">
                  <c:v>41394</c:v>
                </c:pt>
                <c:pt idx="47">
                  <c:v>41395</c:v>
                </c:pt>
                <c:pt idx="48">
                  <c:v>41397</c:v>
                </c:pt>
                <c:pt idx="49">
                  <c:v>41400</c:v>
                </c:pt>
                <c:pt idx="50">
                  <c:v>41411</c:v>
                </c:pt>
                <c:pt idx="51">
                  <c:v>41424</c:v>
                </c:pt>
                <c:pt idx="52">
                  <c:v>41430</c:v>
                </c:pt>
                <c:pt idx="53">
                  <c:v>41431</c:v>
                </c:pt>
                <c:pt idx="54">
                  <c:v>41436</c:v>
                </c:pt>
                <c:pt idx="55">
                  <c:v>41443</c:v>
                </c:pt>
                <c:pt idx="56">
                  <c:v>41448</c:v>
                </c:pt>
                <c:pt idx="57">
                  <c:v>41449</c:v>
                </c:pt>
                <c:pt idx="58">
                  <c:v>41450</c:v>
                </c:pt>
                <c:pt idx="59">
                  <c:v>41453</c:v>
                </c:pt>
                <c:pt idx="60">
                  <c:v>41453</c:v>
                </c:pt>
                <c:pt idx="61">
                  <c:v>41456</c:v>
                </c:pt>
                <c:pt idx="62">
                  <c:v>41457</c:v>
                </c:pt>
                <c:pt idx="63">
                  <c:v>41459</c:v>
                </c:pt>
                <c:pt idx="64">
                  <c:v>41461</c:v>
                </c:pt>
                <c:pt idx="65">
                  <c:v>41461</c:v>
                </c:pt>
                <c:pt idx="66">
                  <c:v>41461</c:v>
                </c:pt>
                <c:pt idx="67">
                  <c:v>41462</c:v>
                </c:pt>
                <c:pt idx="68">
                  <c:v>41464</c:v>
                </c:pt>
                <c:pt idx="69">
                  <c:v>41465</c:v>
                </c:pt>
                <c:pt idx="70">
                  <c:v>41465</c:v>
                </c:pt>
                <c:pt idx="71">
                  <c:v>41468</c:v>
                </c:pt>
                <c:pt idx="72">
                  <c:v>41468</c:v>
                </c:pt>
                <c:pt idx="73">
                  <c:v>41470</c:v>
                </c:pt>
                <c:pt idx="74">
                  <c:v>41473</c:v>
                </c:pt>
                <c:pt idx="75">
                  <c:v>41477</c:v>
                </c:pt>
                <c:pt idx="76">
                  <c:v>41479</c:v>
                </c:pt>
                <c:pt idx="77">
                  <c:v>41485</c:v>
                </c:pt>
                <c:pt idx="78">
                  <c:v>41488</c:v>
                </c:pt>
                <c:pt idx="79">
                  <c:v>41496</c:v>
                </c:pt>
                <c:pt idx="80">
                  <c:v>41530</c:v>
                </c:pt>
                <c:pt idx="81">
                  <c:v>41537</c:v>
                </c:pt>
                <c:pt idx="82">
                  <c:v>41541</c:v>
                </c:pt>
                <c:pt idx="83">
                  <c:v>41550</c:v>
                </c:pt>
                <c:pt idx="84">
                  <c:v>41550</c:v>
                </c:pt>
                <c:pt idx="85">
                  <c:v>41553</c:v>
                </c:pt>
                <c:pt idx="86">
                  <c:v>41555</c:v>
                </c:pt>
                <c:pt idx="87">
                  <c:v>41555</c:v>
                </c:pt>
                <c:pt idx="88">
                  <c:v>41555</c:v>
                </c:pt>
                <c:pt idx="89">
                  <c:v>41555</c:v>
                </c:pt>
                <c:pt idx="90">
                  <c:v>41555</c:v>
                </c:pt>
                <c:pt idx="91">
                  <c:v>41560</c:v>
                </c:pt>
                <c:pt idx="92">
                  <c:v>41562</c:v>
                </c:pt>
                <c:pt idx="93">
                  <c:v>41562</c:v>
                </c:pt>
                <c:pt idx="94">
                  <c:v>41607</c:v>
                </c:pt>
                <c:pt idx="95">
                  <c:v>41633</c:v>
                </c:pt>
                <c:pt idx="96">
                  <c:v>41636</c:v>
                </c:pt>
                <c:pt idx="97">
                  <c:v>41638</c:v>
                </c:pt>
                <c:pt idx="98">
                  <c:v>41645</c:v>
                </c:pt>
                <c:pt idx="99">
                  <c:v>41646</c:v>
                </c:pt>
                <c:pt idx="100">
                  <c:v>41647</c:v>
                </c:pt>
                <c:pt idx="101">
                  <c:v>41647</c:v>
                </c:pt>
                <c:pt idx="102">
                  <c:v>41648</c:v>
                </c:pt>
                <c:pt idx="103">
                  <c:v>41648</c:v>
                </c:pt>
                <c:pt idx="104">
                  <c:v>41648</c:v>
                </c:pt>
                <c:pt idx="105">
                  <c:v>41650</c:v>
                </c:pt>
                <c:pt idx="106">
                  <c:v>41650</c:v>
                </c:pt>
                <c:pt idx="107">
                  <c:v>41650</c:v>
                </c:pt>
                <c:pt idx="108">
                  <c:v>41650</c:v>
                </c:pt>
                <c:pt idx="109">
                  <c:v>41661</c:v>
                </c:pt>
                <c:pt idx="110">
                  <c:v>41705</c:v>
                </c:pt>
                <c:pt idx="111">
                  <c:v>41742</c:v>
                </c:pt>
                <c:pt idx="112">
                  <c:v>41750</c:v>
                </c:pt>
                <c:pt idx="113">
                  <c:v>40675</c:v>
                </c:pt>
                <c:pt idx="114">
                  <c:v>41279</c:v>
                </c:pt>
                <c:pt idx="115">
                  <c:v>41108</c:v>
                </c:pt>
                <c:pt idx="116">
                  <c:v>41229</c:v>
                </c:pt>
                <c:pt idx="117">
                  <c:v>41230</c:v>
                </c:pt>
                <c:pt idx="118">
                  <c:v>41250</c:v>
                </c:pt>
                <c:pt idx="119">
                  <c:v>41265</c:v>
                </c:pt>
                <c:pt idx="120">
                  <c:v>41263</c:v>
                </c:pt>
                <c:pt idx="121">
                  <c:v>41264</c:v>
                </c:pt>
                <c:pt idx="122">
                  <c:v>41256</c:v>
                </c:pt>
                <c:pt idx="123">
                  <c:v>41359</c:v>
                </c:pt>
                <c:pt idx="124">
                  <c:v>41281</c:v>
                </c:pt>
                <c:pt idx="125">
                  <c:v>41292</c:v>
                </c:pt>
                <c:pt idx="126">
                  <c:v>41288</c:v>
                </c:pt>
                <c:pt idx="127">
                  <c:v>41289</c:v>
                </c:pt>
                <c:pt idx="128">
                  <c:v>41352</c:v>
                </c:pt>
                <c:pt idx="129">
                  <c:v>41298</c:v>
                </c:pt>
                <c:pt idx="130">
                  <c:v>41369</c:v>
                </c:pt>
                <c:pt idx="131">
                  <c:v>41294</c:v>
                </c:pt>
                <c:pt idx="132">
                  <c:v>41300</c:v>
                </c:pt>
                <c:pt idx="133">
                  <c:v>41302</c:v>
                </c:pt>
                <c:pt idx="134">
                  <c:v>41360</c:v>
                </c:pt>
                <c:pt idx="135">
                  <c:v>41312</c:v>
                </c:pt>
                <c:pt idx="136">
                  <c:v>41316</c:v>
                </c:pt>
                <c:pt idx="137">
                  <c:v>41323</c:v>
                </c:pt>
                <c:pt idx="138">
                  <c:v>41329</c:v>
                </c:pt>
                <c:pt idx="139">
                  <c:v>41346</c:v>
                </c:pt>
                <c:pt idx="140">
                  <c:v>41338</c:v>
                </c:pt>
                <c:pt idx="141">
                  <c:v>41340</c:v>
                </c:pt>
                <c:pt idx="142">
                  <c:v>41350</c:v>
                </c:pt>
                <c:pt idx="143">
                  <c:v>41354</c:v>
                </c:pt>
                <c:pt idx="144">
                  <c:v>41355</c:v>
                </c:pt>
                <c:pt idx="145">
                  <c:v>41451</c:v>
                </c:pt>
                <c:pt idx="146">
                  <c:v>41357</c:v>
                </c:pt>
                <c:pt idx="147">
                  <c:v>41359</c:v>
                </c:pt>
                <c:pt idx="148">
                  <c:v>41363</c:v>
                </c:pt>
                <c:pt idx="149">
                  <c:v>41364</c:v>
                </c:pt>
                <c:pt idx="150">
                  <c:v>41369</c:v>
                </c:pt>
                <c:pt idx="151">
                  <c:v>41389</c:v>
                </c:pt>
                <c:pt idx="152">
                  <c:v>41454</c:v>
                </c:pt>
                <c:pt idx="153">
                  <c:v>41512</c:v>
                </c:pt>
                <c:pt idx="154">
                  <c:v>41452</c:v>
                </c:pt>
                <c:pt idx="155">
                  <c:v>41453</c:v>
                </c:pt>
                <c:pt idx="156">
                  <c:v>41455</c:v>
                </c:pt>
                <c:pt idx="157">
                  <c:v>41454</c:v>
                </c:pt>
                <c:pt idx="158">
                  <c:v>41464</c:v>
                </c:pt>
                <c:pt idx="159">
                  <c:v>41397</c:v>
                </c:pt>
                <c:pt idx="160">
                  <c:v>41400</c:v>
                </c:pt>
                <c:pt idx="161">
                  <c:v>41546</c:v>
                </c:pt>
                <c:pt idx="162">
                  <c:v>41402</c:v>
                </c:pt>
                <c:pt idx="163">
                  <c:v>41413</c:v>
                </c:pt>
                <c:pt idx="164">
                  <c:v>41430</c:v>
                </c:pt>
                <c:pt idx="165">
                  <c:v>41431</c:v>
                </c:pt>
                <c:pt idx="166">
                  <c:v>41436</c:v>
                </c:pt>
                <c:pt idx="167">
                  <c:v>41438</c:v>
                </c:pt>
                <c:pt idx="168">
                  <c:v>41444</c:v>
                </c:pt>
                <c:pt idx="169">
                  <c:v>41455</c:v>
                </c:pt>
                <c:pt idx="170">
                  <c:v>41451</c:v>
                </c:pt>
                <c:pt idx="171">
                  <c:v>41452</c:v>
                </c:pt>
                <c:pt idx="172">
                  <c:v>41456</c:v>
                </c:pt>
                <c:pt idx="173">
                  <c:v>41457</c:v>
                </c:pt>
                <c:pt idx="174">
                  <c:v>41535</c:v>
                </c:pt>
                <c:pt idx="175">
                  <c:v>41463</c:v>
                </c:pt>
                <c:pt idx="176">
                  <c:v>41543</c:v>
                </c:pt>
                <c:pt idx="177">
                  <c:v>41543</c:v>
                </c:pt>
                <c:pt idx="178">
                  <c:v>41638</c:v>
                </c:pt>
                <c:pt idx="179">
                  <c:v>41546</c:v>
                </c:pt>
                <c:pt idx="180">
                  <c:v>41538</c:v>
                </c:pt>
                <c:pt idx="181">
                  <c:v>41543</c:v>
                </c:pt>
                <c:pt idx="182">
                  <c:v>41543</c:v>
                </c:pt>
                <c:pt idx="183">
                  <c:v>41465</c:v>
                </c:pt>
                <c:pt idx="184">
                  <c:v>41470</c:v>
                </c:pt>
                <c:pt idx="185">
                  <c:v>41589</c:v>
                </c:pt>
                <c:pt idx="186">
                  <c:v>41482</c:v>
                </c:pt>
                <c:pt idx="187">
                  <c:v>41546</c:v>
                </c:pt>
                <c:pt idx="188">
                  <c:v>41479</c:v>
                </c:pt>
                <c:pt idx="189">
                  <c:v>41481</c:v>
                </c:pt>
                <c:pt idx="190">
                  <c:v>41491</c:v>
                </c:pt>
                <c:pt idx="191">
                  <c:v>41492</c:v>
                </c:pt>
                <c:pt idx="192">
                  <c:v>41512</c:v>
                </c:pt>
                <c:pt idx="193">
                  <c:v>41532</c:v>
                </c:pt>
                <c:pt idx="194">
                  <c:v>41559</c:v>
                </c:pt>
                <c:pt idx="195">
                  <c:v>41541</c:v>
                </c:pt>
                <c:pt idx="196">
                  <c:v>41628</c:v>
                </c:pt>
                <c:pt idx="197">
                  <c:v>41634</c:v>
                </c:pt>
                <c:pt idx="198">
                  <c:v>41632</c:v>
                </c:pt>
                <c:pt idx="199">
                  <c:v>41720</c:v>
                </c:pt>
                <c:pt idx="200">
                  <c:v>41726</c:v>
                </c:pt>
                <c:pt idx="201">
                  <c:v>41631</c:v>
                </c:pt>
                <c:pt idx="202">
                  <c:v>41748</c:v>
                </c:pt>
                <c:pt idx="203">
                  <c:v>41634</c:v>
                </c:pt>
                <c:pt idx="204">
                  <c:v>41618</c:v>
                </c:pt>
                <c:pt idx="205">
                  <c:v>41574</c:v>
                </c:pt>
                <c:pt idx="206">
                  <c:v>41728</c:v>
                </c:pt>
                <c:pt idx="207">
                  <c:v>41634</c:v>
                </c:pt>
                <c:pt idx="208">
                  <c:v>41635</c:v>
                </c:pt>
                <c:pt idx="209">
                  <c:v>41636</c:v>
                </c:pt>
                <c:pt idx="210">
                  <c:v>41641</c:v>
                </c:pt>
                <c:pt idx="211">
                  <c:v>41645</c:v>
                </c:pt>
                <c:pt idx="212">
                  <c:v>41647</c:v>
                </c:pt>
                <c:pt idx="213">
                  <c:v>41726</c:v>
                </c:pt>
                <c:pt idx="214">
                  <c:v>41733</c:v>
                </c:pt>
                <c:pt idx="215">
                  <c:v>41730</c:v>
                </c:pt>
                <c:pt idx="216">
                  <c:v>41746</c:v>
                </c:pt>
                <c:pt idx="217">
                  <c:v>41785</c:v>
                </c:pt>
                <c:pt idx="218">
                  <c:v>41733</c:v>
                </c:pt>
                <c:pt idx="219">
                  <c:v>41749</c:v>
                </c:pt>
                <c:pt idx="220">
                  <c:v>41745</c:v>
                </c:pt>
                <c:pt idx="221">
                  <c:v>41744</c:v>
                </c:pt>
                <c:pt idx="222">
                  <c:v>41722</c:v>
                </c:pt>
                <c:pt idx="223">
                  <c:v>41705</c:v>
                </c:pt>
                <c:pt idx="224">
                  <c:v>41746</c:v>
                </c:pt>
                <c:pt idx="225">
                  <c:v>41756</c:v>
                </c:pt>
              </c:numCache>
            </c:numRef>
          </c:cat>
          <c:val>
            <c:numRef>
              <c:f>'Chart Calculations'!$C$2:$C$227</c:f>
              <c:numCache>
                <c:formatCode>General</c:formatCode>
                <c:ptCount val="226"/>
                <c:pt idx="113">
                  <c:v>1</c:v>
                </c:pt>
                <c:pt idx="114">
                  <c:v>10</c:v>
                </c:pt>
                <c:pt idx="115">
                  <c:v>2</c:v>
                </c:pt>
                <c:pt idx="116">
                  <c:v>3</c:v>
                </c:pt>
                <c:pt idx="117">
                  <c:v>4</c:v>
                </c:pt>
                <c:pt idx="118">
                  <c:v>5</c:v>
                </c:pt>
                <c:pt idx="119">
                  <c:v>9</c:v>
                </c:pt>
                <c:pt idx="120">
                  <c:v>7</c:v>
                </c:pt>
                <c:pt idx="121">
                  <c:v>8</c:v>
                </c:pt>
                <c:pt idx="122">
                  <c:v>6</c:v>
                </c:pt>
                <c:pt idx="123">
                  <c:v>32</c:v>
                </c:pt>
                <c:pt idx="124">
                  <c:v>11</c:v>
                </c:pt>
                <c:pt idx="125">
                  <c:v>14</c:v>
                </c:pt>
                <c:pt idx="126">
                  <c:v>12</c:v>
                </c:pt>
                <c:pt idx="127">
                  <c:v>13</c:v>
                </c:pt>
                <c:pt idx="128">
                  <c:v>27</c:v>
                </c:pt>
                <c:pt idx="129">
                  <c:v>16</c:v>
                </c:pt>
                <c:pt idx="130">
                  <c:v>37</c:v>
                </c:pt>
                <c:pt idx="131">
                  <c:v>15</c:v>
                </c:pt>
                <c:pt idx="132">
                  <c:v>17</c:v>
                </c:pt>
                <c:pt idx="133">
                  <c:v>18</c:v>
                </c:pt>
                <c:pt idx="134">
                  <c:v>33</c:v>
                </c:pt>
                <c:pt idx="135">
                  <c:v>19</c:v>
                </c:pt>
                <c:pt idx="136">
                  <c:v>20</c:v>
                </c:pt>
                <c:pt idx="137">
                  <c:v>21</c:v>
                </c:pt>
                <c:pt idx="138">
                  <c:v>22</c:v>
                </c:pt>
                <c:pt idx="139">
                  <c:v>25</c:v>
                </c:pt>
                <c:pt idx="140">
                  <c:v>23</c:v>
                </c:pt>
                <c:pt idx="141">
                  <c:v>24</c:v>
                </c:pt>
                <c:pt idx="142">
                  <c:v>26</c:v>
                </c:pt>
                <c:pt idx="143">
                  <c:v>28</c:v>
                </c:pt>
                <c:pt idx="144">
                  <c:v>29</c:v>
                </c:pt>
                <c:pt idx="145">
                  <c:v>49</c:v>
                </c:pt>
                <c:pt idx="146">
                  <c:v>30</c:v>
                </c:pt>
                <c:pt idx="147">
                  <c:v>32</c:v>
                </c:pt>
                <c:pt idx="148">
                  <c:v>34</c:v>
                </c:pt>
                <c:pt idx="149">
                  <c:v>35</c:v>
                </c:pt>
                <c:pt idx="150">
                  <c:v>37</c:v>
                </c:pt>
                <c:pt idx="151">
                  <c:v>38</c:v>
                </c:pt>
                <c:pt idx="152">
                  <c:v>54</c:v>
                </c:pt>
                <c:pt idx="153">
                  <c:v>69</c:v>
                </c:pt>
                <c:pt idx="154">
                  <c:v>51</c:v>
                </c:pt>
                <c:pt idx="155">
                  <c:v>52</c:v>
                </c:pt>
                <c:pt idx="156">
                  <c:v>56</c:v>
                </c:pt>
                <c:pt idx="157">
                  <c:v>54</c:v>
                </c:pt>
                <c:pt idx="158">
                  <c:v>60</c:v>
                </c:pt>
                <c:pt idx="159">
                  <c:v>39</c:v>
                </c:pt>
                <c:pt idx="160">
                  <c:v>40</c:v>
                </c:pt>
                <c:pt idx="161">
                  <c:v>80</c:v>
                </c:pt>
                <c:pt idx="162">
                  <c:v>41</c:v>
                </c:pt>
                <c:pt idx="163">
                  <c:v>42</c:v>
                </c:pt>
                <c:pt idx="164">
                  <c:v>43</c:v>
                </c:pt>
                <c:pt idx="165">
                  <c:v>44</c:v>
                </c:pt>
                <c:pt idx="166">
                  <c:v>45</c:v>
                </c:pt>
                <c:pt idx="167">
                  <c:v>46</c:v>
                </c:pt>
                <c:pt idx="168">
                  <c:v>47</c:v>
                </c:pt>
                <c:pt idx="169">
                  <c:v>56</c:v>
                </c:pt>
                <c:pt idx="170">
                  <c:v>49</c:v>
                </c:pt>
                <c:pt idx="171">
                  <c:v>51</c:v>
                </c:pt>
                <c:pt idx="172">
                  <c:v>57</c:v>
                </c:pt>
                <c:pt idx="173">
                  <c:v>58</c:v>
                </c:pt>
                <c:pt idx="174">
                  <c:v>71</c:v>
                </c:pt>
                <c:pt idx="175">
                  <c:v>59</c:v>
                </c:pt>
                <c:pt idx="176">
                  <c:v>77</c:v>
                </c:pt>
                <c:pt idx="177">
                  <c:v>77</c:v>
                </c:pt>
                <c:pt idx="178">
                  <c:v>93</c:v>
                </c:pt>
                <c:pt idx="179">
                  <c:v>80</c:v>
                </c:pt>
                <c:pt idx="180">
                  <c:v>72</c:v>
                </c:pt>
                <c:pt idx="181">
                  <c:v>77</c:v>
                </c:pt>
                <c:pt idx="182">
                  <c:v>77</c:v>
                </c:pt>
                <c:pt idx="183">
                  <c:v>61</c:v>
                </c:pt>
                <c:pt idx="184">
                  <c:v>62</c:v>
                </c:pt>
                <c:pt idx="185">
                  <c:v>83</c:v>
                </c:pt>
                <c:pt idx="186">
                  <c:v>65</c:v>
                </c:pt>
                <c:pt idx="187">
                  <c:v>80</c:v>
                </c:pt>
                <c:pt idx="188">
                  <c:v>63</c:v>
                </c:pt>
                <c:pt idx="189">
                  <c:v>64</c:v>
                </c:pt>
                <c:pt idx="190">
                  <c:v>66</c:v>
                </c:pt>
                <c:pt idx="191">
                  <c:v>67</c:v>
                </c:pt>
                <c:pt idx="192">
                  <c:v>69</c:v>
                </c:pt>
                <c:pt idx="193">
                  <c:v>70</c:v>
                </c:pt>
                <c:pt idx="194">
                  <c:v>81</c:v>
                </c:pt>
                <c:pt idx="195">
                  <c:v>73</c:v>
                </c:pt>
                <c:pt idx="196">
                  <c:v>85</c:v>
                </c:pt>
                <c:pt idx="197">
                  <c:v>90</c:v>
                </c:pt>
                <c:pt idx="198">
                  <c:v>87</c:v>
                </c:pt>
                <c:pt idx="199">
                  <c:v>98</c:v>
                </c:pt>
                <c:pt idx="200">
                  <c:v>101</c:v>
                </c:pt>
                <c:pt idx="201">
                  <c:v>86</c:v>
                </c:pt>
                <c:pt idx="202">
                  <c:v>110</c:v>
                </c:pt>
                <c:pt idx="203">
                  <c:v>90</c:v>
                </c:pt>
                <c:pt idx="204">
                  <c:v>84</c:v>
                </c:pt>
                <c:pt idx="205">
                  <c:v>82</c:v>
                </c:pt>
                <c:pt idx="206">
                  <c:v>102</c:v>
                </c:pt>
                <c:pt idx="207">
                  <c:v>90</c:v>
                </c:pt>
                <c:pt idx="208">
                  <c:v>91</c:v>
                </c:pt>
                <c:pt idx="209">
                  <c:v>92</c:v>
                </c:pt>
                <c:pt idx="210">
                  <c:v>94</c:v>
                </c:pt>
                <c:pt idx="211">
                  <c:v>95</c:v>
                </c:pt>
                <c:pt idx="212">
                  <c:v>96</c:v>
                </c:pt>
                <c:pt idx="213">
                  <c:v>101</c:v>
                </c:pt>
                <c:pt idx="214">
                  <c:v>105</c:v>
                </c:pt>
                <c:pt idx="215">
                  <c:v>103</c:v>
                </c:pt>
                <c:pt idx="216">
                  <c:v>109</c:v>
                </c:pt>
                <c:pt idx="217">
                  <c:v>113</c:v>
                </c:pt>
                <c:pt idx="218">
                  <c:v>105</c:v>
                </c:pt>
                <c:pt idx="219">
                  <c:v>111</c:v>
                </c:pt>
                <c:pt idx="220">
                  <c:v>107</c:v>
                </c:pt>
                <c:pt idx="221">
                  <c:v>106</c:v>
                </c:pt>
                <c:pt idx="222">
                  <c:v>99</c:v>
                </c:pt>
                <c:pt idx="223">
                  <c:v>97</c:v>
                </c:pt>
                <c:pt idx="224">
                  <c:v>109</c:v>
                </c:pt>
                <c:pt idx="225">
                  <c:v>112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7404640"/>
        <c:axId val="1617410624"/>
      </c:lineChart>
      <c:dateAx>
        <c:axId val="1617404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410624"/>
        <c:crosses val="autoZero"/>
        <c:auto val="1"/>
        <c:lblOffset val="100"/>
        <c:baseTimeUnit val="days"/>
      </c:dateAx>
      <c:valAx>
        <c:axId val="161741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Number</a:t>
                </a:r>
                <a:r>
                  <a:rPr lang="en-US" b="1" baseline="0"/>
                  <a:t> of Shows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40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3</xdr:row>
      <xdr:rowOff>0</xdr:rowOff>
    </xdr:from>
    <xdr:to>
      <xdr:col>49</xdr:col>
      <xdr:colOff>0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6445</xdr:colOff>
      <xdr:row>24</xdr:row>
      <xdr:rowOff>6444</xdr:rowOff>
    </xdr:from>
    <xdr:to>
      <xdr:col>49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3</xdr:row>
      <xdr:rowOff>13607</xdr:rowOff>
    </xdr:from>
    <xdr:to>
      <xdr:col>57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8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0</xdr:colOff>
      <xdr:row>24</xdr:row>
      <xdr:rowOff>0</xdr:rowOff>
    </xdr:from>
    <xdr:to>
      <xdr:col>49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50</xdr:col>
      <xdr:colOff>1</xdr:colOff>
      <xdr:row>23</xdr:row>
      <xdr:rowOff>163285</xdr:rowOff>
    </xdr:from>
    <xdr:to>
      <xdr:col>58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2</xdr:row>
      <xdr:rowOff>23812</xdr:rowOff>
    </xdr:from>
    <xdr:to>
      <xdr:col>12</xdr:col>
      <xdr:colOff>581025</xdr:colOff>
      <xdr:row>23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le2" displayName="Table2" ref="A2:G14" totalsRowShown="0" headerRowDxfId="22" dataDxfId="21" tableBorderDxfId="20">
  <autoFilter ref="A2:G14"/>
  <tableColumns count="7">
    <tableColumn id="1" name="Anime Name" dataDxfId="19"/>
    <tableColumn id="2" name="Sn." dataDxfId="18"/>
    <tableColumn id="3" name="Eps." dataDxfId="17"/>
    <tableColumn id="4" name="Dr.#" dataDxfId="16"/>
    <tableColumn id="5" name="Subber" dataDxfId="15"/>
    <tableColumn id="6" name="Start" dataDxfId="14"/>
    <tableColumn id="7" name="End" dataDxfId="13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01"/>
  <sheetViews>
    <sheetView showGridLines="0" tabSelected="1" zoomScale="70" zoomScaleNormal="70" workbookViewId="0">
      <selection activeCell="W21" sqref="W21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5" width="5.7109375" style="3" customWidth="1"/>
    <col min="6" max="6" width="5.7109375" style="3" hidden="1" customWidth="1"/>
    <col min="7" max="7" width="14.140625" style="83" hidden="1" customWidth="1"/>
    <col min="8" max="8" width="6" style="83" bestFit="1" customWidth="1"/>
    <col min="9" max="9" width="8.28515625" style="7" bestFit="1" customWidth="1"/>
    <col min="10" max="10" width="2.5703125" bestFit="1" customWidth="1"/>
    <col min="11" max="11" width="35.7109375" style="6" customWidth="1"/>
    <col min="12" max="12" width="7.42578125" style="3" customWidth="1"/>
    <col min="13" max="13" width="5.7109375" style="3" customWidth="1"/>
    <col min="14" max="15" width="7.5703125" style="3" customWidth="1"/>
    <col min="16" max="16" width="15.7109375" style="87" customWidth="1"/>
    <col min="17" max="17" width="2" bestFit="1" customWidth="1"/>
    <col min="18" max="18" width="35.7109375" style="6" customWidth="1"/>
    <col min="19" max="19" width="4.5703125" style="69" customWidth="1"/>
    <col min="20" max="20" width="5.7109375" style="3" customWidth="1"/>
    <col min="21" max="22" width="6.7109375" style="3" customWidth="1"/>
    <col min="23" max="23" width="15.7109375" style="83" customWidth="1"/>
    <col min="24" max="27" width="6.7109375" style="3" hidden="1" customWidth="1"/>
    <col min="28" max="28" width="8.7109375" style="3" hidden="1" customWidth="1"/>
    <col min="29" max="29" width="8.28515625" style="3" customWidth="1"/>
    <col min="30" max="30" width="5.7109375" style="62" customWidth="1"/>
    <col min="31" max="31" width="15.28515625" style="62" hidden="1" customWidth="1"/>
    <col min="32" max="32" width="5.85546875" style="62" hidden="1" customWidth="1"/>
    <col min="33" max="33" width="15.85546875" style="130" hidden="1" customWidth="1"/>
    <col min="34" max="34" width="5.7109375" style="3" hidden="1" customWidth="1"/>
    <col min="35" max="35" width="11.28515625" style="3" hidden="1" customWidth="1"/>
    <col min="36" max="36" width="24" style="3" bestFit="1" customWidth="1"/>
    <col min="37" max="37" width="46.42578125" style="7" customWidth="1"/>
    <col min="38" max="38" width="9.140625" style="6"/>
    <col min="39" max="39" width="23.5703125" customWidth="1"/>
    <col min="40" max="40" width="11.7109375" customWidth="1"/>
    <col min="41" max="41" width="10.28515625" customWidth="1"/>
    <col min="50" max="50" width="3.140625" customWidth="1"/>
  </cols>
  <sheetData>
    <row r="1" spans="1:47" ht="16.5">
      <c r="A1" s="164" t="s">
        <v>0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6"/>
      <c r="AL1" s="132"/>
      <c r="AM1" s="8"/>
      <c r="AN1" s="8"/>
      <c r="AO1" s="8"/>
      <c r="AP1" s="8"/>
      <c r="AQ1" s="2"/>
      <c r="AR1" s="2"/>
      <c r="AS1" s="1"/>
      <c r="AT1" s="1"/>
      <c r="AU1" s="1"/>
    </row>
    <row r="2" spans="1:47" ht="16.5">
      <c r="A2" s="170" t="s">
        <v>1</v>
      </c>
      <c r="B2" s="171"/>
      <c r="C2" s="171"/>
      <c r="D2" s="171"/>
      <c r="E2" s="171"/>
      <c r="F2" s="171"/>
      <c r="G2" s="171"/>
      <c r="H2" s="171"/>
      <c r="I2" s="172"/>
      <c r="J2" s="74" t="s">
        <v>190</v>
      </c>
      <c r="K2" s="167" t="s">
        <v>2</v>
      </c>
      <c r="L2" s="168"/>
      <c r="M2" s="168"/>
      <c r="N2" s="168"/>
      <c r="O2" s="168"/>
      <c r="P2" s="169"/>
      <c r="Q2" s="9"/>
      <c r="R2" s="170" t="s">
        <v>3</v>
      </c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2"/>
      <c r="AL2" s="132"/>
      <c r="AO2" s="8"/>
      <c r="AP2" s="8"/>
      <c r="AQ2" s="2"/>
      <c r="AR2" s="2"/>
      <c r="AS2" s="1"/>
      <c r="AT2" s="1"/>
      <c r="AU2" s="1"/>
    </row>
    <row r="3" spans="1:47" ht="16.5">
      <c r="A3" s="10" t="s">
        <v>314</v>
      </c>
      <c r="B3" s="11" t="s">
        <v>425</v>
      </c>
      <c r="C3" s="11" t="s">
        <v>228</v>
      </c>
      <c r="D3" s="11" t="s">
        <v>510</v>
      </c>
      <c r="E3" s="60" t="s">
        <v>511</v>
      </c>
      <c r="F3" s="60" t="s">
        <v>405</v>
      </c>
      <c r="G3" s="103" t="s">
        <v>613</v>
      </c>
      <c r="H3" s="103" t="s">
        <v>131</v>
      </c>
      <c r="I3" s="61" t="s">
        <v>257</v>
      </c>
      <c r="J3" s="75"/>
      <c r="K3" s="11" t="s">
        <v>4</v>
      </c>
      <c r="L3" s="58" t="s">
        <v>5</v>
      </c>
      <c r="M3" s="85" t="s">
        <v>328</v>
      </c>
      <c r="N3" s="70" t="s">
        <v>405</v>
      </c>
      <c r="O3" s="70" t="s">
        <v>131</v>
      </c>
      <c r="P3" s="70" t="s">
        <v>257</v>
      </c>
      <c r="Q3" s="8"/>
      <c r="R3" s="11" t="s">
        <v>4</v>
      </c>
      <c r="S3" s="11" t="s">
        <v>228</v>
      </c>
      <c r="T3" s="11" t="s">
        <v>209</v>
      </c>
      <c r="U3" s="70" t="s">
        <v>404</v>
      </c>
      <c r="V3" s="70" t="s">
        <v>131</v>
      </c>
      <c r="W3" s="70" t="s">
        <v>257</v>
      </c>
      <c r="X3" s="11" t="s">
        <v>6</v>
      </c>
      <c r="Y3" s="11" t="s">
        <v>7</v>
      </c>
      <c r="Z3" s="11" t="s">
        <v>8</v>
      </c>
      <c r="AA3" s="11" t="s">
        <v>9</v>
      </c>
      <c r="AB3" s="11" t="s">
        <v>10</v>
      </c>
      <c r="AC3" s="11" t="s">
        <v>11</v>
      </c>
      <c r="AD3" s="11" t="s">
        <v>229</v>
      </c>
      <c r="AE3" s="11" t="s">
        <v>611</v>
      </c>
      <c r="AF3" s="70" t="s">
        <v>619</v>
      </c>
      <c r="AG3" s="70" t="s">
        <v>12</v>
      </c>
      <c r="AH3" s="11" t="s">
        <v>620</v>
      </c>
      <c r="AI3" s="11" t="s">
        <v>612</v>
      </c>
      <c r="AJ3" s="11" t="s">
        <v>276</v>
      </c>
      <c r="AK3" s="11" t="s">
        <v>13</v>
      </c>
      <c r="AL3" s="132"/>
      <c r="AM3" s="8"/>
      <c r="AN3" s="8"/>
      <c r="AO3" s="8"/>
      <c r="AP3" s="8"/>
      <c r="AQ3" s="2"/>
      <c r="AR3" s="2"/>
      <c r="AS3" s="1"/>
      <c r="AT3" s="1"/>
      <c r="AU3" s="1"/>
    </row>
    <row r="4" spans="1:47" ht="16.5">
      <c r="A4" s="12" t="s">
        <v>512</v>
      </c>
      <c r="B4" s="13" t="s">
        <v>534</v>
      </c>
      <c r="C4" s="14">
        <v>1</v>
      </c>
      <c r="D4" s="14">
        <v>17</v>
      </c>
      <c r="E4" s="14">
        <v>20</v>
      </c>
      <c r="F4" s="68" t="s">
        <v>406</v>
      </c>
      <c r="G4" s="125">
        <v>41652</v>
      </c>
      <c r="H4" s="125" t="s">
        <v>631</v>
      </c>
      <c r="I4" s="185" t="s">
        <v>429</v>
      </c>
      <c r="J4" s="76" t="s">
        <v>230</v>
      </c>
      <c r="K4" s="12" t="s">
        <v>48</v>
      </c>
      <c r="L4" s="14" t="s">
        <v>15</v>
      </c>
      <c r="M4" s="14">
        <v>13</v>
      </c>
      <c r="N4" s="68" t="s">
        <v>403</v>
      </c>
      <c r="O4" s="189" t="s">
        <v>632</v>
      </c>
      <c r="P4" s="187" t="s">
        <v>448</v>
      </c>
      <c r="Q4" s="9" t="s">
        <v>230</v>
      </c>
      <c r="R4" s="12" t="s">
        <v>53</v>
      </c>
      <c r="S4" s="14">
        <v>1</v>
      </c>
      <c r="T4" s="14">
        <v>13</v>
      </c>
      <c r="U4" s="68" t="s">
        <v>403</v>
      </c>
      <c r="V4" s="68" t="s">
        <v>633</v>
      </c>
      <c r="W4" s="121" t="s">
        <v>462</v>
      </c>
      <c r="X4" s="16">
        <v>11</v>
      </c>
      <c r="Y4" s="16">
        <v>11</v>
      </c>
      <c r="Z4" s="16">
        <v>0</v>
      </c>
      <c r="AA4" s="16">
        <v>11</v>
      </c>
      <c r="AB4" s="17">
        <f>(X4*$AN$5+Y4*$AN$6+Z4*$AN$7+AA4*$AN$8)/$AN$13</f>
        <v>9.9809264305177106</v>
      </c>
      <c r="AC4" s="18">
        <f>IF($AN$15="Y",10*(AB4-$AN$11)/$AN$12, 10*AB4/$AN$10)</f>
        <v>10</v>
      </c>
      <c r="AD4" s="19">
        <f>RANK(AC4,AC:AC,0)</f>
        <v>1</v>
      </c>
      <c r="AE4" s="72">
        <v>41290</v>
      </c>
      <c r="AF4" s="21">
        <f>COUNTIF(AE:AE, "&lt;="&amp;AE4)</f>
        <v>16</v>
      </c>
      <c r="AG4" s="129">
        <v>41352</v>
      </c>
      <c r="AH4" s="21">
        <f>COUNTIF(AG:AG, "&lt;="&amp;AG4)</f>
        <v>27</v>
      </c>
      <c r="AI4" s="21"/>
      <c r="AJ4" s="198" t="s">
        <v>53</v>
      </c>
      <c r="AK4" s="193"/>
      <c r="AL4" s="132"/>
      <c r="AM4" s="22" t="s">
        <v>17</v>
      </c>
      <c r="AN4" s="22" t="s">
        <v>18</v>
      </c>
      <c r="AO4" s="8"/>
      <c r="AP4" s="8"/>
      <c r="AQ4" s="2"/>
      <c r="AR4" s="2"/>
      <c r="AS4" s="1"/>
      <c r="AT4" s="1"/>
      <c r="AU4" s="1"/>
    </row>
    <row r="5" spans="1:47" ht="16.5">
      <c r="A5" s="12" t="s">
        <v>579</v>
      </c>
      <c r="B5" s="23" t="s">
        <v>593</v>
      </c>
      <c r="C5" s="14">
        <v>1</v>
      </c>
      <c r="D5" s="14">
        <v>0</v>
      </c>
      <c r="E5" s="14">
        <v>7</v>
      </c>
      <c r="F5" s="68" t="s">
        <v>406</v>
      </c>
      <c r="G5" s="84" t="s">
        <v>617</v>
      </c>
      <c r="H5" s="84" t="s">
        <v>631</v>
      </c>
      <c r="I5" s="185" t="s">
        <v>448</v>
      </c>
      <c r="J5" s="76" t="s">
        <v>230</v>
      </c>
      <c r="K5" s="12" t="s">
        <v>488</v>
      </c>
      <c r="L5" s="14" t="s">
        <v>15</v>
      </c>
      <c r="M5" s="14">
        <v>12</v>
      </c>
      <c r="N5" s="68" t="s">
        <v>403</v>
      </c>
      <c r="O5" s="189" t="s">
        <v>631</v>
      </c>
      <c r="P5" s="187" t="s">
        <v>462</v>
      </c>
      <c r="Q5" s="9" t="s">
        <v>230</v>
      </c>
      <c r="R5" s="12" t="s">
        <v>127</v>
      </c>
      <c r="S5" s="14">
        <v>1</v>
      </c>
      <c r="T5" s="14">
        <v>25</v>
      </c>
      <c r="U5" s="68" t="s">
        <v>403</v>
      </c>
      <c r="V5" s="68" t="s">
        <v>632</v>
      </c>
      <c r="W5" s="156" t="s">
        <v>589</v>
      </c>
      <c r="X5" s="16">
        <v>10</v>
      </c>
      <c r="Y5" s="16">
        <v>9.5</v>
      </c>
      <c r="Z5" s="16">
        <v>4</v>
      </c>
      <c r="AA5" s="16">
        <v>10</v>
      </c>
      <c r="AB5" s="17">
        <f>(X5*$AN$5+Y5*$AN$6+Z5*$AN$7+AA5*$AN$8)/$AN$13</f>
        <v>9.3583106267029965</v>
      </c>
      <c r="AC5" s="18">
        <f>IF($AN$15="Y",10*(AB5-$AN$11)/$AN$12, 10*AB5/$AN$10)</f>
        <v>9.173149990953501</v>
      </c>
      <c r="AD5" s="19">
        <f>RANK(AC5,AC:AC,0)</f>
        <v>2</v>
      </c>
      <c r="AE5" s="72">
        <v>41270</v>
      </c>
      <c r="AF5" s="21">
        <f>COUNTIF(AE:AE, "&lt;="&amp;AE5)</f>
        <v>11</v>
      </c>
      <c r="AG5" s="129">
        <v>41279</v>
      </c>
      <c r="AH5" s="21">
        <f>COUNTIF(AG:AG, "&lt;="&amp;AG5)</f>
        <v>10</v>
      </c>
      <c r="AI5" s="21"/>
      <c r="AJ5" s="65" t="s">
        <v>277</v>
      </c>
      <c r="AK5" s="193" t="s">
        <v>549</v>
      </c>
      <c r="AL5" s="132" t="s">
        <v>230</v>
      </c>
      <c r="AM5" s="24" t="s">
        <v>204</v>
      </c>
      <c r="AN5" s="25">
        <v>0.57499999999999996</v>
      </c>
      <c r="AO5" s="26"/>
      <c r="AP5" s="8"/>
      <c r="AQ5" s="2"/>
      <c r="AR5" s="2"/>
      <c r="AS5" s="1"/>
      <c r="AT5" s="1"/>
      <c r="AU5" s="1"/>
    </row>
    <row r="6" spans="1:47" ht="16.5">
      <c r="A6" s="12" t="s">
        <v>581</v>
      </c>
      <c r="B6" s="23" t="s">
        <v>593</v>
      </c>
      <c r="C6" s="14">
        <v>1</v>
      </c>
      <c r="D6" s="14">
        <v>9</v>
      </c>
      <c r="E6" s="14">
        <v>10</v>
      </c>
      <c r="F6" s="68" t="s">
        <v>406</v>
      </c>
      <c r="G6" s="125">
        <v>41750</v>
      </c>
      <c r="H6" s="125" t="s">
        <v>631</v>
      </c>
      <c r="I6" s="185" t="s">
        <v>589</v>
      </c>
      <c r="J6" s="76" t="s">
        <v>230</v>
      </c>
      <c r="K6" s="12" t="s">
        <v>401</v>
      </c>
      <c r="L6" s="14" t="s">
        <v>15</v>
      </c>
      <c r="M6" s="14">
        <v>26</v>
      </c>
      <c r="N6" s="68" t="s">
        <v>406</v>
      </c>
      <c r="O6" s="189" t="s">
        <v>635</v>
      </c>
      <c r="P6" s="187" t="s">
        <v>491</v>
      </c>
      <c r="Q6" s="9" t="s">
        <v>230</v>
      </c>
      <c r="R6" s="12" t="s">
        <v>496</v>
      </c>
      <c r="S6" s="14">
        <v>1</v>
      </c>
      <c r="T6" s="14">
        <v>12</v>
      </c>
      <c r="U6" s="68" t="s">
        <v>406</v>
      </c>
      <c r="V6" s="68" t="s">
        <v>633</v>
      </c>
      <c r="W6" s="150" t="s">
        <v>452</v>
      </c>
      <c r="X6" s="16">
        <v>9.5</v>
      </c>
      <c r="Y6" s="16">
        <v>10</v>
      </c>
      <c r="Z6" s="16">
        <v>3.5</v>
      </c>
      <c r="AA6" s="16">
        <v>10</v>
      </c>
      <c r="AB6" s="17">
        <f>(X6*$AN$5+Y6*$AN$6+Z6*$AN$7+AA6*$AN$8)/$AN$13</f>
        <v>9.2411444141689376</v>
      </c>
      <c r="AC6" s="18">
        <f>IF($AN$15="Y",10*(AB6-$AN$11)/$AN$12, 10*AB6/$AN$10)</f>
        <v>9.017550208069478</v>
      </c>
      <c r="AD6" s="19">
        <f>RANK(AC6,AC:AC,0)</f>
        <v>3</v>
      </c>
      <c r="AE6" s="72">
        <v>41646</v>
      </c>
      <c r="AF6" s="21">
        <f>COUNTIF(AE:AE, "&lt;="&amp;AE6)</f>
        <v>100</v>
      </c>
      <c r="AG6" s="129">
        <v>41647</v>
      </c>
      <c r="AH6" s="21">
        <f>COUNTIF(AG:AG, "&lt;="&amp;AG6)</f>
        <v>96</v>
      </c>
      <c r="AI6" s="21"/>
      <c r="AJ6" s="65" t="s">
        <v>538</v>
      </c>
      <c r="AK6" s="193" t="s">
        <v>539</v>
      </c>
      <c r="AL6" s="132" t="s">
        <v>230</v>
      </c>
      <c r="AM6" s="27" t="s">
        <v>203</v>
      </c>
      <c r="AN6" s="28">
        <v>0.315</v>
      </c>
      <c r="AO6" s="26"/>
      <c r="AP6" s="8"/>
      <c r="AQ6" s="2"/>
      <c r="AR6" s="2"/>
      <c r="AS6" s="1"/>
      <c r="AT6" s="1"/>
      <c r="AU6" s="1"/>
    </row>
    <row r="7" spans="1:47" ht="16.5">
      <c r="A7" s="12" t="s">
        <v>571</v>
      </c>
      <c r="B7" s="23" t="s">
        <v>593</v>
      </c>
      <c r="C7" s="14">
        <v>1</v>
      </c>
      <c r="D7" s="14">
        <v>10</v>
      </c>
      <c r="E7" s="14">
        <v>11</v>
      </c>
      <c r="F7" s="68" t="s">
        <v>406</v>
      </c>
      <c r="G7" s="125">
        <v>41759</v>
      </c>
      <c r="H7" s="125" t="s">
        <v>633</v>
      </c>
      <c r="I7" s="185" t="s">
        <v>258</v>
      </c>
      <c r="J7" s="76" t="s">
        <v>230</v>
      </c>
      <c r="K7" s="12" t="s">
        <v>501</v>
      </c>
      <c r="L7" s="14" t="s">
        <v>15</v>
      </c>
      <c r="M7" s="14">
        <v>25</v>
      </c>
      <c r="N7" s="68" t="s">
        <v>406</v>
      </c>
      <c r="O7" s="189" t="s">
        <v>631</v>
      </c>
      <c r="P7" s="187" t="s">
        <v>523</v>
      </c>
      <c r="Q7" s="9" t="s">
        <v>230</v>
      </c>
      <c r="R7" s="12" t="s">
        <v>225</v>
      </c>
      <c r="S7" s="14">
        <v>3</v>
      </c>
      <c r="T7" s="14">
        <v>24</v>
      </c>
      <c r="U7" s="68" t="s">
        <v>403</v>
      </c>
      <c r="V7" s="68" t="s">
        <v>631</v>
      </c>
      <c r="W7" s="81" t="s">
        <v>471</v>
      </c>
      <c r="X7" s="16">
        <v>10</v>
      </c>
      <c r="Y7" s="16">
        <v>8.5</v>
      </c>
      <c r="Z7" s="16">
        <v>6</v>
      </c>
      <c r="AA7" s="16">
        <v>9.5</v>
      </c>
      <c r="AB7" s="17">
        <f>(X7*$AN$5+Y7*$AN$6+Z7*$AN$7+AA7*$AN$8)/$AN$13</f>
        <v>9.1607629427792912</v>
      </c>
      <c r="AC7" s="18">
        <f>IF($AN$15="Y",10*(AB7-$AN$11)/$AN$12, 10*AB7/$AN$10)</f>
        <v>8.9108015198118338</v>
      </c>
      <c r="AD7" s="19">
        <f>RANK(AC7,AC:AC,0)</f>
        <v>4</v>
      </c>
      <c r="AE7" s="72">
        <v>41400</v>
      </c>
      <c r="AF7" s="21">
        <f>COUNTIF(AE:AE, "&lt;="&amp;AE7)</f>
        <v>50</v>
      </c>
      <c r="AG7" s="129">
        <v>41402</v>
      </c>
      <c r="AH7" s="21">
        <f>COUNTIF(AG:AG, "&lt;="&amp;AG7)</f>
        <v>41</v>
      </c>
      <c r="AI7" s="21"/>
      <c r="AJ7" s="65" t="s">
        <v>232</v>
      </c>
      <c r="AK7" s="193"/>
      <c r="AL7" s="132" t="s">
        <v>230</v>
      </c>
      <c r="AM7" s="27" t="s">
        <v>8</v>
      </c>
      <c r="AN7" s="28">
        <v>0.17</v>
      </c>
      <c r="AO7" s="26"/>
      <c r="AP7" s="8" t="s">
        <v>25</v>
      </c>
      <c r="AQ7" s="2"/>
      <c r="AR7" s="2"/>
      <c r="AS7" s="1"/>
      <c r="AT7" s="1"/>
      <c r="AU7" s="1"/>
    </row>
    <row r="8" spans="1:47" ht="16.5">
      <c r="A8" s="12" t="s">
        <v>577</v>
      </c>
      <c r="B8" s="23" t="s">
        <v>428</v>
      </c>
      <c r="C8" s="14">
        <v>1</v>
      </c>
      <c r="D8" s="14">
        <v>0</v>
      </c>
      <c r="E8" s="14">
        <v>7</v>
      </c>
      <c r="F8" s="68" t="s">
        <v>406</v>
      </c>
      <c r="G8" s="84" t="s">
        <v>617</v>
      </c>
      <c r="H8" s="84" t="s">
        <v>631</v>
      </c>
      <c r="I8" s="186" t="s">
        <v>258</v>
      </c>
      <c r="J8" s="76" t="s">
        <v>230</v>
      </c>
      <c r="K8" s="12" t="s">
        <v>521</v>
      </c>
      <c r="L8" s="14" t="s">
        <v>15</v>
      </c>
      <c r="M8" s="14">
        <v>24</v>
      </c>
      <c r="N8" s="71" t="s">
        <v>406</v>
      </c>
      <c r="O8" s="190" t="s">
        <v>631</v>
      </c>
      <c r="P8" s="188" t="s">
        <v>524</v>
      </c>
      <c r="Q8" s="9" t="s">
        <v>230</v>
      </c>
      <c r="R8" s="12" t="s">
        <v>33</v>
      </c>
      <c r="S8" s="14">
        <v>1</v>
      </c>
      <c r="T8" s="14">
        <v>11</v>
      </c>
      <c r="U8" s="68" t="s">
        <v>406</v>
      </c>
      <c r="V8" s="68" t="s">
        <v>632</v>
      </c>
      <c r="W8" s="81" t="s">
        <v>458</v>
      </c>
      <c r="X8" s="16">
        <v>10</v>
      </c>
      <c r="Y8" s="16">
        <v>9</v>
      </c>
      <c r="Z8" s="16">
        <v>5</v>
      </c>
      <c r="AA8" s="16">
        <v>9.5</v>
      </c>
      <c r="AB8" s="17">
        <f>(X8*$AN$5+Y8*$AN$6+Z8*$AN$7+AA8*$AN$8)/$AN$13</f>
        <v>9.1539509536784731</v>
      </c>
      <c r="AC8" s="18">
        <f>IF($AN$15="Y",10*(AB8-$AN$11)/$AN$12, 10*AB8/$AN$10)</f>
        <v>8.9017550208069469</v>
      </c>
      <c r="AD8" s="19">
        <f>RANK(AC8,AC:AC,0)</f>
        <v>5</v>
      </c>
      <c r="AE8" s="72">
        <v>41742</v>
      </c>
      <c r="AF8" s="21">
        <f>COUNTIF(AE:AE, "&lt;="&amp;AE8)</f>
        <v>112</v>
      </c>
      <c r="AG8" s="129">
        <v>41746</v>
      </c>
      <c r="AH8" s="21">
        <f>COUNTIF(AG:AG, "&lt;="&amp;AG8)</f>
        <v>109</v>
      </c>
      <c r="AI8" s="21"/>
      <c r="AJ8" s="65" t="s">
        <v>584</v>
      </c>
      <c r="AK8" s="193" t="s">
        <v>585</v>
      </c>
      <c r="AL8" s="132" t="s">
        <v>230</v>
      </c>
      <c r="AM8" s="29" t="s">
        <v>205</v>
      </c>
      <c r="AN8" s="30">
        <v>0.77500000000000002</v>
      </c>
      <c r="AO8" s="26"/>
      <c r="AP8" s="8" t="s">
        <v>27</v>
      </c>
      <c r="AQ8" s="2"/>
      <c r="AR8" s="2"/>
      <c r="AS8" s="1"/>
      <c r="AT8" s="1"/>
      <c r="AU8" s="1"/>
    </row>
    <row r="9" spans="1:47" ht="16.5">
      <c r="A9" s="12" t="s">
        <v>576</v>
      </c>
      <c r="B9" s="13" t="s">
        <v>532</v>
      </c>
      <c r="C9" s="14">
        <v>1</v>
      </c>
      <c r="D9" s="14">
        <v>9</v>
      </c>
      <c r="E9" s="14">
        <v>11</v>
      </c>
      <c r="F9" s="68" t="s">
        <v>406</v>
      </c>
      <c r="G9" s="125">
        <v>41749</v>
      </c>
      <c r="H9" s="125" t="s">
        <v>631</v>
      </c>
      <c r="I9" s="185" t="s">
        <v>540</v>
      </c>
      <c r="J9" s="9" t="s">
        <v>230</v>
      </c>
      <c r="K9" s="12" t="s">
        <v>522</v>
      </c>
      <c r="L9" s="14" t="s">
        <v>15</v>
      </c>
      <c r="M9" s="14">
        <v>25</v>
      </c>
      <c r="N9" s="68" t="s">
        <v>406</v>
      </c>
      <c r="O9" s="189" t="s">
        <v>631</v>
      </c>
      <c r="P9" s="187" t="s">
        <v>524</v>
      </c>
      <c r="Q9" s="9" t="s">
        <v>230</v>
      </c>
      <c r="R9" s="12" t="s">
        <v>192</v>
      </c>
      <c r="S9" s="14">
        <v>1</v>
      </c>
      <c r="T9" s="14">
        <v>16</v>
      </c>
      <c r="U9" s="68" t="s">
        <v>403</v>
      </c>
      <c r="V9" s="68" t="s">
        <v>632</v>
      </c>
      <c r="W9" s="81" t="s">
        <v>450</v>
      </c>
      <c r="X9" s="16">
        <v>10</v>
      </c>
      <c r="Y9" s="16">
        <v>10</v>
      </c>
      <c r="Z9" s="16">
        <v>3</v>
      </c>
      <c r="AA9" s="16">
        <v>9.5</v>
      </c>
      <c r="AB9" s="17">
        <f>(X9*$AN$5+Y9*$AN$6+Z9*$AN$7+AA9*$AN$8)/$AN$13</f>
        <v>9.1403269754768406</v>
      </c>
      <c r="AC9" s="18">
        <f>IF($AN$15="Y",10*(AB9-$AN$11)/$AN$12, 10*AB9/$AN$10)</f>
        <v>8.8836620227971803</v>
      </c>
      <c r="AD9" s="19">
        <f>RANK(AC9,AC:AC,0)</f>
        <v>6</v>
      </c>
      <c r="AE9" s="72">
        <v>41607</v>
      </c>
      <c r="AF9" s="21">
        <f>COUNTIF(AE:AE, "&lt;="&amp;AE9)</f>
        <v>95</v>
      </c>
      <c r="AG9" s="129">
        <v>41634</v>
      </c>
      <c r="AH9" s="21">
        <f>COUNTIF(AG:AG, "&lt;="&amp;AG9)</f>
        <v>90</v>
      </c>
      <c r="AI9" s="21"/>
      <c r="AJ9" s="65" t="s">
        <v>503</v>
      </c>
      <c r="AK9" s="193" t="s">
        <v>504</v>
      </c>
      <c r="AL9" s="132" t="s">
        <v>230</v>
      </c>
      <c r="AM9" s="8"/>
      <c r="AN9" s="8"/>
      <c r="AO9" s="31"/>
      <c r="AP9" s="8" t="s">
        <v>31</v>
      </c>
      <c r="AQ9" s="2"/>
      <c r="AR9" s="2"/>
      <c r="AS9" s="1"/>
      <c r="AT9" s="1"/>
      <c r="AU9" s="1"/>
    </row>
    <row r="10" spans="1:47" ht="16.5">
      <c r="A10" s="12" t="s">
        <v>73</v>
      </c>
      <c r="B10" s="13" t="s">
        <v>190</v>
      </c>
      <c r="C10" s="14">
        <v>1</v>
      </c>
      <c r="D10" s="14">
        <v>8</v>
      </c>
      <c r="E10" s="14">
        <v>26</v>
      </c>
      <c r="F10" s="71" t="s">
        <v>403</v>
      </c>
      <c r="G10" s="128">
        <v>41653</v>
      </c>
      <c r="H10" s="128" t="s">
        <v>632</v>
      </c>
      <c r="I10" s="7" t="s">
        <v>478</v>
      </c>
      <c r="J10" s="9"/>
      <c r="K10" s="12" t="s">
        <v>329</v>
      </c>
      <c r="L10" s="14" t="s">
        <v>15</v>
      </c>
      <c r="M10" s="14">
        <v>25</v>
      </c>
      <c r="N10" s="68" t="s">
        <v>403</v>
      </c>
      <c r="O10" s="189" t="s">
        <v>632</v>
      </c>
      <c r="P10" s="187" t="s">
        <v>450</v>
      </c>
      <c r="Q10" s="9" t="s">
        <v>230</v>
      </c>
      <c r="R10" s="12" t="s">
        <v>193</v>
      </c>
      <c r="S10" s="14">
        <v>1</v>
      </c>
      <c r="T10" s="14">
        <v>25</v>
      </c>
      <c r="U10" s="68" t="s">
        <v>403</v>
      </c>
      <c r="V10" s="68" t="s">
        <v>632</v>
      </c>
      <c r="W10" s="81" t="s">
        <v>450</v>
      </c>
      <c r="X10" s="16">
        <v>10</v>
      </c>
      <c r="Y10" s="16">
        <v>9</v>
      </c>
      <c r="Z10" s="16">
        <v>4</v>
      </c>
      <c r="AA10" s="16">
        <v>9.5</v>
      </c>
      <c r="AB10" s="17">
        <f>(X10*$AN$5+Y10*$AN$6+Z10*$AN$7+AA10*$AN$8)/$AN$13</f>
        <v>9.061307901907357</v>
      </c>
      <c r="AC10" s="18">
        <f>IF($AN$15="Y",10*(AB10-$AN$11)/$AN$12, 10*AB10/$AN$10)</f>
        <v>8.7787226343405109</v>
      </c>
      <c r="AD10" s="19">
        <f>RANK(AC10,AC:AC,0)</f>
        <v>7</v>
      </c>
      <c r="AE10" s="72">
        <v>41750</v>
      </c>
      <c r="AF10" s="21">
        <f>COUNTIF(AE:AE, "&lt;="&amp;AE10)</f>
        <v>113</v>
      </c>
      <c r="AG10" s="129">
        <v>41756</v>
      </c>
      <c r="AH10" s="21">
        <f>COUNTIF(AG:AG, "&lt;="&amp;AG10)</f>
        <v>112</v>
      </c>
      <c r="AI10" s="21"/>
      <c r="AJ10" s="65" t="s">
        <v>605</v>
      </c>
      <c r="AK10" s="193"/>
      <c r="AL10" s="132" t="s">
        <v>230</v>
      </c>
      <c r="AM10" s="32" t="s">
        <v>36</v>
      </c>
      <c r="AN10" s="33">
        <f>MAX(AB:AB)</f>
        <v>9.9809264305177106</v>
      </c>
      <c r="AO10" s="8"/>
      <c r="AP10" s="8" t="s">
        <v>37</v>
      </c>
      <c r="AQ10" s="2"/>
      <c r="AR10" s="2"/>
      <c r="AS10" s="1"/>
      <c r="AT10" s="1"/>
      <c r="AU10" s="1"/>
    </row>
    <row r="11" spans="1:47" ht="16.5">
      <c r="A11" s="12" t="s">
        <v>587</v>
      </c>
      <c r="B11" s="23" t="s">
        <v>594</v>
      </c>
      <c r="C11" s="14">
        <v>1</v>
      </c>
      <c r="D11" s="14">
        <v>10</v>
      </c>
      <c r="E11" s="14">
        <v>10</v>
      </c>
      <c r="F11" s="68" t="s">
        <v>406</v>
      </c>
      <c r="G11" s="125">
        <v>41785</v>
      </c>
      <c r="H11" s="125" t="s">
        <v>631</v>
      </c>
      <c r="I11" s="185" t="s">
        <v>448</v>
      </c>
      <c r="J11" s="9"/>
      <c r="K11" s="12" t="s">
        <v>330</v>
      </c>
      <c r="L11" s="14" t="s">
        <v>321</v>
      </c>
      <c r="M11" s="14">
        <v>25</v>
      </c>
      <c r="N11" s="68" t="s">
        <v>403</v>
      </c>
      <c r="O11" s="189" t="s">
        <v>632</v>
      </c>
      <c r="P11" s="188" t="s">
        <v>450</v>
      </c>
      <c r="Q11" s="9" t="s">
        <v>230</v>
      </c>
      <c r="R11" s="12" t="s">
        <v>218</v>
      </c>
      <c r="S11" s="14">
        <v>2</v>
      </c>
      <c r="T11" s="14">
        <v>22</v>
      </c>
      <c r="U11" s="68" t="s">
        <v>403</v>
      </c>
      <c r="V11" s="68" t="s">
        <v>632</v>
      </c>
      <c r="W11" s="119" t="s">
        <v>448</v>
      </c>
      <c r="X11" s="16">
        <v>9.5</v>
      </c>
      <c r="Y11" s="16">
        <v>10</v>
      </c>
      <c r="Z11" s="16">
        <v>6</v>
      </c>
      <c r="AA11" s="16">
        <v>9</v>
      </c>
      <c r="AB11" s="17">
        <f>(X11*$AN$5+Y11*$AN$6+Z11*$AN$7+AA11*$AN$8)/$AN$13</f>
        <v>9.0504087193460485</v>
      </c>
      <c r="AC11" s="18">
        <f>IF($AN$15="Y",10*(AB11-$AN$11)/$AN$12, 10*AB11/$AN$10)</f>
        <v>8.7642482359326923</v>
      </c>
      <c r="AD11" s="19">
        <f>RANK(AC11,AC:AC,0)</f>
        <v>8</v>
      </c>
      <c r="AE11" s="72">
        <v>41293</v>
      </c>
      <c r="AF11" s="21">
        <f>COUNTIF(AE:AE, "&lt;="&amp;AE11)</f>
        <v>19</v>
      </c>
      <c r="AG11" s="129">
        <v>41294</v>
      </c>
      <c r="AH11" s="21">
        <f>COUNTIF(AG:AG, "&lt;="&amp;AG11)</f>
        <v>15</v>
      </c>
      <c r="AI11" s="21"/>
      <c r="AJ11" s="65" t="s">
        <v>245</v>
      </c>
      <c r="AK11" s="193" t="s">
        <v>23</v>
      </c>
      <c r="AL11" s="132" t="s">
        <v>230</v>
      </c>
      <c r="AM11" s="34" t="s">
        <v>40</v>
      </c>
      <c r="AN11" s="35">
        <f>MIN(AB:AB)</f>
        <v>2.4509536784741148</v>
      </c>
      <c r="AO11" s="8"/>
      <c r="AP11" s="8" t="s">
        <v>41</v>
      </c>
      <c r="AQ11" s="2"/>
      <c r="AR11" s="2"/>
      <c r="AS11" s="1"/>
      <c r="AT11" s="1"/>
      <c r="AU11" s="1"/>
    </row>
    <row r="12" spans="1:47" ht="16.5">
      <c r="A12" s="12" t="s">
        <v>575</v>
      </c>
      <c r="B12" s="13" t="s">
        <v>592</v>
      </c>
      <c r="C12" s="14">
        <v>1</v>
      </c>
      <c r="D12" s="14">
        <v>10</v>
      </c>
      <c r="E12" s="14">
        <v>10</v>
      </c>
      <c r="F12" s="68" t="s">
        <v>406</v>
      </c>
      <c r="G12" s="125">
        <v>41789</v>
      </c>
      <c r="H12" s="125" t="s">
        <v>631</v>
      </c>
      <c r="I12" s="185" t="s">
        <v>455</v>
      </c>
      <c r="J12" s="9" t="s">
        <v>230</v>
      </c>
      <c r="K12" s="12" t="s">
        <v>415</v>
      </c>
      <c r="L12" s="14" t="s">
        <v>15</v>
      </c>
      <c r="M12" s="14">
        <v>12</v>
      </c>
      <c r="N12" s="71" t="s">
        <v>406</v>
      </c>
      <c r="O12" s="190" t="s">
        <v>631</v>
      </c>
      <c r="P12" s="187" t="s">
        <v>427</v>
      </c>
      <c r="Q12" s="9" t="s">
        <v>230</v>
      </c>
      <c r="R12" s="12" t="s">
        <v>422</v>
      </c>
      <c r="S12" s="14">
        <v>1</v>
      </c>
      <c r="T12" s="14">
        <v>25</v>
      </c>
      <c r="U12" s="68" t="s">
        <v>406</v>
      </c>
      <c r="V12" s="68" t="s">
        <v>631</v>
      </c>
      <c r="W12" s="133" t="s">
        <v>452</v>
      </c>
      <c r="X12" s="16">
        <v>9</v>
      </c>
      <c r="Y12" s="16">
        <v>9</v>
      </c>
      <c r="Z12" s="16">
        <v>6.5</v>
      </c>
      <c r="AA12" s="16">
        <v>9.5</v>
      </c>
      <c r="AB12" s="17">
        <f>(X12*$AN$5+Y12*$AN$6+Z12*$AN$7+AA12*$AN$8)/$AN$13</f>
        <v>8.9795640326975477</v>
      </c>
      <c r="AC12" s="18">
        <f>IF($AN$15="Y",10*(AB12-$AN$11)/$AN$12, 10*AB12/$AN$10)</f>
        <v>8.67016464628189</v>
      </c>
      <c r="AD12" s="19">
        <f>RANK(AC12,AC:AC,0)</f>
        <v>9</v>
      </c>
      <c r="AE12" s="72">
        <v>41555</v>
      </c>
      <c r="AF12" s="21">
        <f>COUNTIF(AE:AE, "&lt;="&amp;AE12)</f>
        <v>91</v>
      </c>
      <c r="AG12" s="129">
        <v>41720</v>
      </c>
      <c r="AH12" s="21">
        <f>COUNTIF(AG:AG, "&lt;="&amp;AG12)</f>
        <v>98</v>
      </c>
      <c r="AI12" s="21"/>
      <c r="AJ12" s="65" t="s">
        <v>434</v>
      </c>
      <c r="AK12" s="193" t="s">
        <v>556</v>
      </c>
      <c r="AL12" s="132" t="s">
        <v>230</v>
      </c>
      <c r="AM12" s="34" t="s">
        <v>43</v>
      </c>
      <c r="AN12" s="35">
        <f>AN10-AN11</f>
        <v>7.5299727520435962</v>
      </c>
      <c r="AO12" s="8"/>
      <c r="AP12" s="8" t="s">
        <v>44</v>
      </c>
      <c r="AQ12" s="2"/>
      <c r="AR12" s="2"/>
      <c r="AS12" s="1"/>
      <c r="AT12" s="1"/>
      <c r="AU12" s="1"/>
    </row>
    <row r="13" spans="1:47" ht="16.5">
      <c r="A13" s="12" t="s">
        <v>572</v>
      </c>
      <c r="B13" s="23" t="s">
        <v>592</v>
      </c>
      <c r="C13" s="14">
        <v>1</v>
      </c>
      <c r="D13" s="14">
        <v>10</v>
      </c>
      <c r="E13" s="14">
        <v>10</v>
      </c>
      <c r="F13" s="68" t="s">
        <v>406</v>
      </c>
      <c r="G13" s="125">
        <v>41750</v>
      </c>
      <c r="H13" s="125" t="s">
        <v>631</v>
      </c>
      <c r="I13" s="185" t="s">
        <v>597</v>
      </c>
      <c r="J13" s="9" t="s">
        <v>230</v>
      </c>
      <c r="K13" s="12" t="s">
        <v>331</v>
      </c>
      <c r="L13" s="14" t="s">
        <v>321</v>
      </c>
      <c r="M13" s="14">
        <v>26</v>
      </c>
      <c r="N13" s="68" t="s">
        <v>403</v>
      </c>
      <c r="O13" s="189" t="s">
        <v>632</v>
      </c>
      <c r="P13" s="187" t="s">
        <v>450</v>
      </c>
      <c r="Q13" s="9" t="s">
        <v>230</v>
      </c>
      <c r="R13" s="12" t="s">
        <v>163</v>
      </c>
      <c r="S13" s="14">
        <v>1</v>
      </c>
      <c r="T13" s="14">
        <v>24</v>
      </c>
      <c r="U13" s="68" t="s">
        <v>403</v>
      </c>
      <c r="V13" s="68" t="s">
        <v>632</v>
      </c>
      <c r="W13" s="81" t="s">
        <v>458</v>
      </c>
      <c r="X13" s="16">
        <v>9.5</v>
      </c>
      <c r="Y13" s="16">
        <v>9</v>
      </c>
      <c r="Z13" s="16">
        <v>6.5</v>
      </c>
      <c r="AA13" s="16">
        <v>9</v>
      </c>
      <c r="AB13" s="17">
        <f>(X13*$AN$5+Y13*$AN$6+Z13*$AN$7+AA13*$AN$8)/$AN$13</f>
        <v>8.9250681198910087</v>
      </c>
      <c r="AC13" s="18">
        <f>IF($AN$15="Y",10*(AB13-$AN$11)/$AN$12, 10*AB13/$AN$10)</f>
        <v>8.5977926542428094</v>
      </c>
      <c r="AD13" s="19">
        <f>RANK(AC13,AC:AC,0)</f>
        <v>10</v>
      </c>
      <c r="AE13" s="72">
        <v>41369</v>
      </c>
      <c r="AF13" s="21">
        <f>COUNTIF(AE:AE, "&lt;="&amp;AE13)</f>
        <v>39</v>
      </c>
      <c r="AG13" s="129">
        <v>41389</v>
      </c>
      <c r="AH13" s="21">
        <f>COUNTIF(AG:AG, "&lt;="&amp;AG13)</f>
        <v>38</v>
      </c>
      <c r="AI13" s="21"/>
      <c r="AJ13" s="65" t="s">
        <v>232</v>
      </c>
      <c r="AK13" s="193" t="s">
        <v>16</v>
      </c>
      <c r="AL13" s="132" t="s">
        <v>230</v>
      </c>
      <c r="AM13" s="36" t="s">
        <v>46</v>
      </c>
      <c r="AN13" s="37">
        <f>SUM(AN5:AN8)</f>
        <v>1.835</v>
      </c>
      <c r="AO13" s="8"/>
      <c r="AP13" s="8" t="s">
        <v>47</v>
      </c>
      <c r="AQ13" s="2"/>
      <c r="AR13" s="2"/>
      <c r="AS13" s="1"/>
      <c r="AT13" s="1"/>
      <c r="AU13" s="1"/>
    </row>
    <row r="14" spans="1:47" ht="16.5">
      <c r="A14" s="12" t="s">
        <v>580</v>
      </c>
      <c r="B14" s="23" t="s">
        <v>596</v>
      </c>
      <c r="C14" s="14">
        <v>1</v>
      </c>
      <c r="D14" s="14">
        <v>10</v>
      </c>
      <c r="E14" s="14">
        <v>10</v>
      </c>
      <c r="F14" s="68" t="s">
        <v>406</v>
      </c>
      <c r="G14" s="125">
        <v>41750</v>
      </c>
      <c r="H14" s="125" t="s">
        <v>631</v>
      </c>
      <c r="I14" s="185" t="s">
        <v>598</v>
      </c>
      <c r="J14" s="9" t="s">
        <v>230</v>
      </c>
      <c r="K14" s="12" t="s">
        <v>266</v>
      </c>
      <c r="L14" s="14" t="s">
        <v>15</v>
      </c>
      <c r="M14" s="14">
        <v>12</v>
      </c>
      <c r="N14" s="68" t="s">
        <v>406</v>
      </c>
      <c r="O14" s="189" t="s">
        <v>632</v>
      </c>
      <c r="P14" s="187" t="s">
        <v>450</v>
      </c>
      <c r="Q14" s="9" t="s">
        <v>230</v>
      </c>
      <c r="R14" s="12" t="s">
        <v>30</v>
      </c>
      <c r="S14" s="14">
        <v>1</v>
      </c>
      <c r="T14" s="14">
        <v>13</v>
      </c>
      <c r="U14" s="68" t="s">
        <v>403</v>
      </c>
      <c r="V14" s="68" t="s">
        <v>632</v>
      </c>
      <c r="W14" s="81" t="s">
        <v>450</v>
      </c>
      <c r="X14" s="16">
        <v>9</v>
      </c>
      <c r="Y14" s="16">
        <v>9.5</v>
      </c>
      <c r="Z14" s="16">
        <v>4.5</v>
      </c>
      <c r="AA14" s="16">
        <v>9.5</v>
      </c>
      <c r="AB14" s="17">
        <f>(X14*$AN$5+Y14*$AN$6+Z14*$AN$7+AA14*$AN$8)/$AN$13</f>
        <v>8.8801089918256135</v>
      </c>
      <c r="AC14" s="18">
        <f>IF($AN$15="Y",10*(AB14-$AN$11)/$AN$12, 10*AB14/$AN$10)</f>
        <v>8.5380857608105689</v>
      </c>
      <c r="AD14" s="19">
        <f>RANK(AC14,AC:AC,0)</f>
        <v>11</v>
      </c>
      <c r="AE14" s="72">
        <v>41357</v>
      </c>
      <c r="AF14" s="21">
        <f>COUNTIF(AE:AE, "&lt;="&amp;AE14)</f>
        <v>34</v>
      </c>
      <c r="AG14" s="129">
        <v>41357</v>
      </c>
      <c r="AH14" s="21">
        <f>COUNTIF(AG:AG, "&lt;="&amp;AG14)</f>
        <v>30</v>
      </c>
      <c r="AI14" s="21"/>
      <c r="AJ14" s="65" t="s">
        <v>278</v>
      </c>
      <c r="AK14" s="191"/>
      <c r="AL14" s="132" t="s">
        <v>230</v>
      </c>
      <c r="AM14" s="8"/>
      <c r="AN14" s="8"/>
      <c r="AO14" s="8"/>
      <c r="AP14" s="8" t="s">
        <v>51</v>
      </c>
      <c r="AQ14" s="2"/>
      <c r="AR14" s="2"/>
      <c r="AS14" s="1"/>
      <c r="AT14" s="1"/>
      <c r="AU14" s="1"/>
    </row>
    <row r="15" spans="1:47" ht="17.25" thickBot="1">
      <c r="A15" s="12" t="s">
        <v>582</v>
      </c>
      <c r="B15" s="23" t="s">
        <v>593</v>
      </c>
      <c r="C15" s="14">
        <v>1</v>
      </c>
      <c r="D15" s="14">
        <v>10</v>
      </c>
      <c r="E15" s="14">
        <v>10</v>
      </c>
      <c r="F15" s="68" t="s">
        <v>406</v>
      </c>
      <c r="G15" s="84" t="s">
        <v>617</v>
      </c>
      <c r="H15" s="84" t="s">
        <v>631</v>
      </c>
      <c r="I15" s="185" t="s">
        <v>597</v>
      </c>
      <c r="J15" s="9" t="s">
        <v>230</v>
      </c>
      <c r="K15" s="12" t="s">
        <v>394</v>
      </c>
      <c r="L15" s="86" t="s">
        <v>15</v>
      </c>
      <c r="M15" s="8">
        <v>24</v>
      </c>
      <c r="N15" s="68" t="s">
        <v>403</v>
      </c>
      <c r="O15" s="189" t="s">
        <v>632</v>
      </c>
      <c r="P15" s="187" t="s">
        <v>450</v>
      </c>
      <c r="Q15" s="9" t="s">
        <v>230</v>
      </c>
      <c r="R15" s="12" t="s">
        <v>175</v>
      </c>
      <c r="S15" s="14">
        <v>1</v>
      </c>
      <c r="T15" s="14">
        <v>12</v>
      </c>
      <c r="U15" s="68" t="s">
        <v>403</v>
      </c>
      <c r="V15" s="68" t="s">
        <v>632</v>
      </c>
      <c r="W15" s="81" t="s">
        <v>448</v>
      </c>
      <c r="X15" s="16">
        <v>9</v>
      </c>
      <c r="Y15" s="16">
        <v>9.5</v>
      </c>
      <c r="Z15" s="16">
        <v>6.5</v>
      </c>
      <c r="AA15" s="16">
        <v>9</v>
      </c>
      <c r="AB15" s="17">
        <f>(X15*$AN$5+Y15*$AN$6+Z15*$AN$7+AA15*$AN$8)/$AN$13</f>
        <v>8.8542234332425078</v>
      </c>
      <c r="AC15" s="18">
        <f>IF($AN$15="Y",10*(AB15-$AN$11)/$AN$12, 10*AB15/$AN$10)</f>
        <v>8.5037090645920053</v>
      </c>
      <c r="AD15" s="19">
        <f>RANK(AC15,AC:AC,0)</f>
        <v>12</v>
      </c>
      <c r="AE15" s="72">
        <v>41636</v>
      </c>
      <c r="AF15" s="21">
        <f>COUNTIF(AE:AE, "&lt;="&amp;AE15)</f>
        <v>97</v>
      </c>
      <c r="AG15" s="129">
        <v>41636</v>
      </c>
      <c r="AH15" s="21">
        <f>COUNTIF(AG:AG, "&lt;="&amp;AG15)</f>
        <v>92</v>
      </c>
      <c r="AI15" s="21"/>
      <c r="AJ15" s="65" t="s">
        <v>525</v>
      </c>
      <c r="AK15" s="193" t="s">
        <v>526</v>
      </c>
      <c r="AL15" s="132" t="s">
        <v>230</v>
      </c>
      <c r="AM15" s="38" t="s">
        <v>54</v>
      </c>
      <c r="AN15" s="49" t="s">
        <v>162</v>
      </c>
      <c r="AO15" s="8"/>
      <c r="AP15" s="8" t="s">
        <v>56</v>
      </c>
      <c r="AQ15" s="2"/>
      <c r="AR15" s="2"/>
      <c r="AS15" s="1"/>
      <c r="AT15" s="1"/>
      <c r="AU15" s="1"/>
    </row>
    <row r="16" spans="1:47" ht="16.5">
      <c r="A16" s="12" t="s">
        <v>574</v>
      </c>
      <c r="B16" s="23" t="s">
        <v>593</v>
      </c>
      <c r="C16" s="14">
        <v>1</v>
      </c>
      <c r="D16" s="64">
        <v>10</v>
      </c>
      <c r="E16" s="14">
        <v>10</v>
      </c>
      <c r="F16" s="68" t="s">
        <v>406</v>
      </c>
      <c r="G16" s="125">
        <v>41762</v>
      </c>
      <c r="H16" s="125" t="s">
        <v>631</v>
      </c>
      <c r="I16" s="185" t="s">
        <v>588</v>
      </c>
      <c r="J16" s="9" t="s">
        <v>230</v>
      </c>
      <c r="K16" s="12" t="s">
        <v>52</v>
      </c>
      <c r="L16" s="14" t="s">
        <v>15</v>
      </c>
      <c r="M16" s="14">
        <v>12</v>
      </c>
      <c r="N16" s="68" t="s">
        <v>406</v>
      </c>
      <c r="O16" s="189" t="s">
        <v>632</v>
      </c>
      <c r="P16" s="187" t="s">
        <v>450</v>
      </c>
      <c r="Q16" s="9" t="s">
        <v>230</v>
      </c>
      <c r="R16" s="12" t="s">
        <v>424</v>
      </c>
      <c r="S16" s="14">
        <v>1</v>
      </c>
      <c r="T16" s="14">
        <v>12</v>
      </c>
      <c r="U16" s="68" t="s">
        <v>406</v>
      </c>
      <c r="V16" s="68" t="s">
        <v>631</v>
      </c>
      <c r="W16" s="81" t="s">
        <v>427</v>
      </c>
      <c r="X16" s="16">
        <v>9</v>
      </c>
      <c r="Y16" s="16">
        <v>9.5</v>
      </c>
      <c r="Z16" s="16">
        <v>6</v>
      </c>
      <c r="AA16" s="16">
        <v>9</v>
      </c>
      <c r="AB16" s="17">
        <f>(X16*$AN$5+Y16*$AN$6+Z16*$AN$7+AA16*$AN$8)/$AN$13</f>
        <v>8.8079019073569498</v>
      </c>
      <c r="AC16" s="18">
        <f>IF($AN$15="Y",10*(AB16-$AN$11)/$AN$12, 10*AB16/$AN$10)</f>
        <v>8.4421928713587864</v>
      </c>
      <c r="AD16" s="19">
        <f>RANK(AC16,AC:AC,0)</f>
        <v>13</v>
      </c>
      <c r="AE16" s="72">
        <v>41553</v>
      </c>
      <c r="AF16" s="21">
        <f>COUNTIF(AE:AE, "&lt;="&amp;AE16)</f>
        <v>86</v>
      </c>
      <c r="AG16" s="129">
        <v>41632</v>
      </c>
      <c r="AH16" s="21">
        <f>COUNTIF(AG:AG, "&lt;="&amp;AG16)</f>
        <v>87</v>
      </c>
      <c r="AI16" s="21"/>
      <c r="AJ16" s="65" t="s">
        <v>443</v>
      </c>
      <c r="AK16" s="193"/>
      <c r="AL16" s="132" t="s">
        <v>230</v>
      </c>
      <c r="AM16" s="8"/>
      <c r="AN16" s="8"/>
      <c r="AO16" s="8"/>
      <c r="AP16" s="8" t="s">
        <v>59</v>
      </c>
      <c r="AQ16" s="2"/>
      <c r="AR16" s="2"/>
      <c r="AS16" s="1"/>
      <c r="AT16" s="1"/>
      <c r="AU16" s="1"/>
    </row>
    <row r="17" spans="1:47" ht="16.5">
      <c r="A17" s="12" t="s">
        <v>590</v>
      </c>
      <c r="B17" s="23" t="s">
        <v>428</v>
      </c>
      <c r="C17" s="14">
        <v>1</v>
      </c>
      <c r="D17" s="14">
        <v>10</v>
      </c>
      <c r="E17" s="14">
        <v>10</v>
      </c>
      <c r="F17" s="68" t="s">
        <v>406</v>
      </c>
      <c r="G17" s="125">
        <v>41785</v>
      </c>
      <c r="H17" s="125" t="s">
        <v>631</v>
      </c>
      <c r="I17" s="185" t="s">
        <v>258</v>
      </c>
      <c r="J17" s="9" t="s">
        <v>230</v>
      </c>
      <c r="K17" s="12" t="s">
        <v>393</v>
      </c>
      <c r="L17" s="14" t="s">
        <v>15</v>
      </c>
      <c r="M17" s="14">
        <v>25</v>
      </c>
      <c r="N17" s="68" t="s">
        <v>403</v>
      </c>
      <c r="O17" s="189" t="s">
        <v>632</v>
      </c>
      <c r="P17" s="187" t="s">
        <v>427</v>
      </c>
      <c r="Q17" s="9" t="s">
        <v>230</v>
      </c>
      <c r="R17" s="12" t="s">
        <v>421</v>
      </c>
      <c r="S17" s="14">
        <v>1</v>
      </c>
      <c r="T17" s="14">
        <v>24</v>
      </c>
      <c r="U17" s="68" t="s">
        <v>406</v>
      </c>
      <c r="V17" s="68" t="s">
        <v>631</v>
      </c>
      <c r="W17" s="81" t="s">
        <v>452</v>
      </c>
      <c r="X17" s="16">
        <v>9</v>
      </c>
      <c r="Y17" s="16">
        <v>8.5</v>
      </c>
      <c r="Z17" s="16">
        <v>5</v>
      </c>
      <c r="AA17" s="16">
        <v>9.5</v>
      </c>
      <c r="AB17" s="17">
        <f>(X17*$AN$5+Y17*$AN$6+Z17*$AN$7+AA17*$AN$8)/$AN$13</f>
        <v>8.7547683923705737</v>
      </c>
      <c r="AC17" s="18">
        <f>IF($AN$15="Y",10*(AB17-$AN$11)/$AN$12, 10*AB17/$AN$10)</f>
        <v>8.3716301791206824</v>
      </c>
      <c r="AD17" s="19">
        <f>RANK(AC17,AC:AC,0)</f>
        <v>14</v>
      </c>
      <c r="AE17" s="72">
        <v>41555</v>
      </c>
      <c r="AF17" s="21">
        <f>COUNTIF(AE:AE, "&lt;="&amp;AE17)</f>
        <v>91</v>
      </c>
      <c r="AG17" s="129">
        <v>41726</v>
      </c>
      <c r="AH17" s="21">
        <f>COUNTIF(AG:AG, "&lt;="&amp;AG17)</f>
        <v>101</v>
      </c>
      <c r="AI17" s="21"/>
      <c r="AJ17" s="65" t="s">
        <v>552</v>
      </c>
      <c r="AK17" s="193" t="s">
        <v>553</v>
      </c>
      <c r="AL17" s="132" t="s">
        <v>230</v>
      </c>
      <c r="AM17" s="32" t="s">
        <v>61</v>
      </c>
      <c r="AN17" s="33">
        <f>AVERAGE(AC:AC)</f>
        <v>6.895001368983479</v>
      </c>
      <c r="AO17" s="8"/>
      <c r="AP17" s="8"/>
      <c r="AQ17" s="2"/>
      <c r="AR17" s="2"/>
      <c r="AS17" s="1"/>
      <c r="AT17" s="1"/>
      <c r="AU17" s="1"/>
    </row>
    <row r="18" spans="1:47" ht="16.5">
      <c r="A18" s="12" t="s">
        <v>595</v>
      </c>
      <c r="B18" s="23" t="s">
        <v>428</v>
      </c>
      <c r="C18" s="14">
        <v>1</v>
      </c>
      <c r="D18" s="14">
        <v>10</v>
      </c>
      <c r="E18" s="14">
        <v>10</v>
      </c>
      <c r="F18" s="68" t="s">
        <v>406</v>
      </c>
      <c r="G18" s="125">
        <v>41786</v>
      </c>
      <c r="H18" s="125" t="s">
        <v>631</v>
      </c>
      <c r="I18" s="185" t="s">
        <v>429</v>
      </c>
      <c r="J18" s="9" t="s">
        <v>230</v>
      </c>
      <c r="K18" s="12" t="s">
        <v>400</v>
      </c>
      <c r="L18" s="14" t="s">
        <v>15</v>
      </c>
      <c r="M18" s="14">
        <v>7</v>
      </c>
      <c r="N18" s="68" t="s">
        <v>406</v>
      </c>
      <c r="O18" s="189" t="s">
        <v>632</v>
      </c>
      <c r="P18" s="187" t="s">
        <v>458</v>
      </c>
      <c r="Q18" s="9" t="s">
        <v>230</v>
      </c>
      <c r="R18" s="12" t="s">
        <v>34</v>
      </c>
      <c r="S18" s="14">
        <v>1</v>
      </c>
      <c r="T18" s="14">
        <v>14</v>
      </c>
      <c r="U18" s="68" t="s">
        <v>403</v>
      </c>
      <c r="V18" s="68" t="s">
        <v>632</v>
      </c>
      <c r="W18" s="81" t="s">
        <v>448</v>
      </c>
      <c r="X18" s="16">
        <v>9</v>
      </c>
      <c r="Y18" s="16">
        <v>9</v>
      </c>
      <c r="Z18" s="16">
        <v>4</v>
      </c>
      <c r="AA18" s="16">
        <v>9.5</v>
      </c>
      <c r="AB18" s="17">
        <f>(X18*$AN$5+Y18*$AN$6+Z18*$AN$7+AA18*$AN$8)/$AN$13</f>
        <v>8.7479564032697539</v>
      </c>
      <c r="AC18" s="18">
        <f>IF($AN$15="Y",10*(AB18-$AN$11)/$AN$12, 10*AB18/$AN$10)</f>
        <v>8.3625836801157956</v>
      </c>
      <c r="AD18" s="19">
        <f>RANK(AC18,AC:AC,0)</f>
        <v>15</v>
      </c>
      <c r="AE18" s="72">
        <v>41295</v>
      </c>
      <c r="AF18" s="21">
        <f>COUNTIF(AE:AE, "&lt;="&amp;AE18)</f>
        <v>20</v>
      </c>
      <c r="AG18" s="129">
        <v>41300</v>
      </c>
      <c r="AH18" s="21">
        <f>COUNTIF(AG:AG, "&lt;="&amp;AG18)</f>
        <v>17</v>
      </c>
      <c r="AI18" s="21"/>
      <c r="AJ18" s="65" t="s">
        <v>242</v>
      </c>
      <c r="AK18" s="193" t="s">
        <v>35</v>
      </c>
      <c r="AL18" s="132" t="s">
        <v>230</v>
      </c>
      <c r="AM18" s="34" t="s">
        <v>231</v>
      </c>
      <c r="AN18" s="39">
        <f>COUNTIF(AC:AC, "&gt;=9")</f>
        <v>3</v>
      </c>
      <c r="AO18" s="40"/>
      <c r="AP18" s="8"/>
      <c r="AQ18" s="2"/>
      <c r="AR18" s="2"/>
      <c r="AS18" s="1"/>
      <c r="AT18" s="1"/>
      <c r="AU18" s="1"/>
    </row>
    <row r="19" spans="1:47" ht="16.5">
      <c r="A19" s="12" t="s">
        <v>578</v>
      </c>
      <c r="B19" s="13" t="s">
        <v>532</v>
      </c>
      <c r="C19" s="14">
        <v>1</v>
      </c>
      <c r="D19" s="14">
        <v>11</v>
      </c>
      <c r="E19" s="14">
        <v>11</v>
      </c>
      <c r="F19" s="68" t="s">
        <v>406</v>
      </c>
      <c r="G19" s="84" t="s">
        <v>617</v>
      </c>
      <c r="H19" s="84" t="s">
        <v>631</v>
      </c>
      <c r="I19" s="185" t="s">
        <v>597</v>
      </c>
      <c r="J19" s="9" t="s">
        <v>230</v>
      </c>
      <c r="K19" s="12" t="s">
        <v>636</v>
      </c>
      <c r="L19" s="14" t="s">
        <v>15</v>
      </c>
      <c r="M19" s="14">
        <v>64</v>
      </c>
      <c r="N19" s="68" t="s">
        <v>406</v>
      </c>
      <c r="O19" s="189" t="s">
        <v>631</v>
      </c>
      <c r="P19" s="187" t="s">
        <v>475</v>
      </c>
      <c r="Q19" s="9" t="s">
        <v>230</v>
      </c>
      <c r="R19" s="12" t="s">
        <v>391</v>
      </c>
      <c r="S19" s="14">
        <v>1</v>
      </c>
      <c r="T19" s="14">
        <v>12</v>
      </c>
      <c r="U19" s="68" t="s">
        <v>403</v>
      </c>
      <c r="V19" s="68" t="s">
        <v>631</v>
      </c>
      <c r="W19" s="81" t="s">
        <v>452</v>
      </c>
      <c r="X19" s="16">
        <v>9.5</v>
      </c>
      <c r="Y19" s="16">
        <v>8.5</v>
      </c>
      <c r="Z19" s="16">
        <v>5.5</v>
      </c>
      <c r="AA19" s="16">
        <v>9</v>
      </c>
      <c r="AB19" s="17">
        <f>(X19*$AN$5+Y19*$AN$6+Z19*$AN$7+AA19*$AN$8)/$AN$13</f>
        <v>8.746594005449591</v>
      </c>
      <c r="AC19" s="18">
        <f>IF($AN$15="Y",10*(AB19-$AN$11)/$AN$12, 10*AB19/$AN$10)</f>
        <v>8.3607743803148189</v>
      </c>
      <c r="AD19" s="19">
        <f>RANK(AC19,AC:AC,0)</f>
        <v>16</v>
      </c>
      <c r="AE19" s="72">
        <v>41562</v>
      </c>
      <c r="AF19" s="21">
        <f>COUNTIF(AE:AE, "&lt;="&amp;AE19)</f>
        <v>94</v>
      </c>
      <c r="AG19" s="129">
        <v>41574</v>
      </c>
      <c r="AH19" s="21">
        <f>COUNTIF(AG:AG, "&lt;="&amp;AG19)</f>
        <v>82</v>
      </c>
      <c r="AI19" s="21"/>
      <c r="AJ19" s="65" t="s">
        <v>438</v>
      </c>
      <c r="AK19" s="193" t="s">
        <v>439</v>
      </c>
      <c r="AL19" s="132" t="s">
        <v>230</v>
      </c>
      <c r="AM19" s="34" t="s">
        <v>66</v>
      </c>
      <c r="AN19" s="39">
        <f>COUNTIF(AC:AC,  "&gt;=8 ")-COUNTIF(AC:AC,"&gt;=9")</f>
        <v>25</v>
      </c>
      <c r="AO19" s="8"/>
      <c r="AP19" s="8"/>
      <c r="AQ19" s="2"/>
      <c r="AR19" s="2"/>
      <c r="AS19" s="1"/>
      <c r="AT19" s="1"/>
      <c r="AU19" s="1"/>
    </row>
    <row r="20" spans="1:47" ht="16.5">
      <c r="A20" s="12" t="s">
        <v>573</v>
      </c>
      <c r="B20" s="13" t="s">
        <v>532</v>
      </c>
      <c r="C20" s="14">
        <v>1</v>
      </c>
      <c r="D20" s="14">
        <v>10</v>
      </c>
      <c r="E20" s="14">
        <v>10</v>
      </c>
      <c r="F20" s="68" t="s">
        <v>406</v>
      </c>
      <c r="G20" s="125">
        <v>41751</v>
      </c>
      <c r="H20" s="125" t="s">
        <v>631</v>
      </c>
      <c r="I20" s="185" t="s">
        <v>589</v>
      </c>
      <c r="J20" s="9" t="s">
        <v>230</v>
      </c>
      <c r="K20" s="12" t="s">
        <v>57</v>
      </c>
      <c r="L20" s="14" t="s">
        <v>15</v>
      </c>
      <c r="M20" s="14">
        <v>12</v>
      </c>
      <c r="N20" s="68" t="s">
        <v>403</v>
      </c>
      <c r="O20" s="189" t="s">
        <v>632</v>
      </c>
      <c r="P20" s="187" t="s">
        <v>647</v>
      </c>
      <c r="Q20" s="9" t="s">
        <v>230</v>
      </c>
      <c r="R20" s="12" t="s">
        <v>176</v>
      </c>
      <c r="S20" s="14">
        <v>1</v>
      </c>
      <c r="T20" s="14">
        <v>25</v>
      </c>
      <c r="U20" s="68" t="s">
        <v>403</v>
      </c>
      <c r="V20" s="68" t="s">
        <v>631</v>
      </c>
      <c r="W20" s="81" t="s">
        <v>452</v>
      </c>
      <c r="X20" s="16">
        <v>9.5</v>
      </c>
      <c r="Y20" s="16">
        <v>8.5</v>
      </c>
      <c r="Z20" s="16">
        <v>3</v>
      </c>
      <c r="AA20" s="16">
        <v>9.5</v>
      </c>
      <c r="AB20" s="17">
        <f>(X20*$AN$5+Y20*$AN$6+Z20*$AN$7+AA20*$AN$8)/$AN$13</f>
        <v>8.7261580381471386</v>
      </c>
      <c r="AC20" s="18">
        <f>IF($AN$15="Y",10*(AB20-$AN$11)/$AN$12, 10*AB20/$AN$10)</f>
        <v>8.3336348833001637</v>
      </c>
      <c r="AD20" s="19">
        <f>RANK(AC20,AC:AC,0)</f>
        <v>17</v>
      </c>
      <c r="AE20" s="72">
        <v>41477</v>
      </c>
      <c r="AF20" s="21">
        <f>COUNTIF(AE:AE, "&lt;="&amp;AE20)</f>
        <v>76</v>
      </c>
      <c r="AG20" s="129">
        <v>41479</v>
      </c>
      <c r="AH20" s="21">
        <f>COUNTIF(AG:AG, "&lt;="&amp;AG20)</f>
        <v>63</v>
      </c>
      <c r="AI20" s="21"/>
      <c r="AJ20" s="65" t="s">
        <v>281</v>
      </c>
      <c r="AK20" s="193"/>
      <c r="AL20" s="132" t="s">
        <v>230</v>
      </c>
      <c r="AM20" s="34" t="s">
        <v>69</v>
      </c>
      <c r="AN20" s="39">
        <f>COUNTIF(AC:AC,  "&gt;=7")-COUNTIF(AC:AC,"&gt;=8")</f>
        <v>32</v>
      </c>
      <c r="AO20" s="8"/>
      <c r="AP20" s="8"/>
      <c r="AQ20" s="2"/>
      <c r="AR20" s="2"/>
      <c r="AS20" s="1"/>
      <c r="AT20" s="1"/>
      <c r="AU20" s="1"/>
    </row>
    <row r="21" spans="1:47" ht="16.5">
      <c r="A21" s="12"/>
      <c r="B21" s="23"/>
      <c r="C21" s="14"/>
      <c r="D21" s="14"/>
      <c r="E21" s="14"/>
      <c r="F21" s="68"/>
      <c r="G21" s="84"/>
      <c r="H21" s="84"/>
      <c r="I21" s="15"/>
      <c r="J21" s="9" t="s">
        <v>230</v>
      </c>
      <c r="K21" s="12" t="s">
        <v>98</v>
      </c>
      <c r="L21" s="14" t="s">
        <v>15</v>
      </c>
      <c r="M21" s="14">
        <v>12</v>
      </c>
      <c r="N21" s="71" t="s">
        <v>406</v>
      </c>
      <c r="O21" s="190" t="s">
        <v>632</v>
      </c>
      <c r="P21" s="187" t="s">
        <v>448</v>
      </c>
      <c r="Q21" s="9" t="s">
        <v>230</v>
      </c>
      <c r="R21" s="12" t="s">
        <v>265</v>
      </c>
      <c r="S21" s="14">
        <v>1</v>
      </c>
      <c r="T21" s="14">
        <v>11</v>
      </c>
      <c r="U21" s="68" t="s">
        <v>403</v>
      </c>
      <c r="V21" s="68" t="s">
        <v>632</v>
      </c>
      <c r="W21" s="81" t="s">
        <v>448</v>
      </c>
      <c r="X21" s="16">
        <v>9.5</v>
      </c>
      <c r="Y21" s="16">
        <v>8</v>
      </c>
      <c r="Z21" s="16">
        <v>6</v>
      </c>
      <c r="AA21" s="16">
        <v>9</v>
      </c>
      <c r="AB21" s="17">
        <f>(X21*$AN$5+Y21*$AN$6+Z21*$AN$7+AA21*$AN$8)/$AN$13</f>
        <v>8.7070844686648492</v>
      </c>
      <c r="AC21" s="18">
        <f>IF($AN$15="Y",10*(AB21-$AN$11)/$AN$12, 10*AB21/$AN$10)</f>
        <v>8.3083046860864833</v>
      </c>
      <c r="AD21" s="19">
        <f>RANK(AC21,AC:AC,0)</f>
        <v>18</v>
      </c>
      <c r="AE21" s="72">
        <v>41530</v>
      </c>
      <c r="AF21" s="21">
        <f>COUNTIF(AE:AE, "&lt;="&amp;AE21)</f>
        <v>81</v>
      </c>
      <c r="AG21" s="129">
        <v>41532</v>
      </c>
      <c r="AH21" s="21">
        <f>COUNTIF(AG:AG, "&lt;="&amp;AG21)</f>
        <v>70</v>
      </c>
      <c r="AI21" s="21"/>
      <c r="AJ21" s="65" t="s">
        <v>389</v>
      </c>
      <c r="AK21" s="193" t="s">
        <v>390</v>
      </c>
      <c r="AL21" s="132" t="s">
        <v>230</v>
      </c>
      <c r="AM21" s="34" t="s">
        <v>71</v>
      </c>
      <c r="AN21" s="39">
        <f>COUNTIF(AC:AC,  "&gt;=6 ")-COUNTIF(AC:AC,"&gt;=7")</f>
        <v>25</v>
      </c>
      <c r="AO21" s="8"/>
      <c r="AP21" s="8"/>
      <c r="AQ21" s="2"/>
      <c r="AR21" s="2"/>
      <c r="AS21" s="1"/>
      <c r="AT21" s="1"/>
      <c r="AU21" s="1"/>
    </row>
    <row r="22" spans="1:47" ht="16.5">
      <c r="A22" s="12"/>
      <c r="B22" s="13"/>
      <c r="C22" s="14"/>
      <c r="D22" s="14"/>
      <c r="E22" s="14"/>
      <c r="F22" s="71"/>
      <c r="G22" s="128"/>
      <c r="H22" s="128"/>
      <c r="I22" s="15"/>
      <c r="J22" s="9" t="s">
        <v>230</v>
      </c>
      <c r="K22" s="12" t="s">
        <v>322</v>
      </c>
      <c r="L22" s="14" t="s">
        <v>321</v>
      </c>
      <c r="M22" s="14">
        <v>52</v>
      </c>
      <c r="N22" s="68" t="s">
        <v>403</v>
      </c>
      <c r="O22" s="189" t="s">
        <v>635</v>
      </c>
      <c r="P22" s="187" t="s">
        <v>472</v>
      </c>
      <c r="Q22" s="9" t="s">
        <v>230</v>
      </c>
      <c r="R22" s="12" t="s">
        <v>217</v>
      </c>
      <c r="S22" s="14">
        <v>1</v>
      </c>
      <c r="T22" s="14">
        <v>25</v>
      </c>
      <c r="U22" s="68" t="s">
        <v>403</v>
      </c>
      <c r="V22" s="68" t="s">
        <v>632</v>
      </c>
      <c r="W22" s="81" t="s">
        <v>450</v>
      </c>
      <c r="X22" s="16">
        <v>9</v>
      </c>
      <c r="Y22" s="16">
        <v>9</v>
      </c>
      <c r="Z22" s="16">
        <v>5.5</v>
      </c>
      <c r="AA22" s="16">
        <v>9</v>
      </c>
      <c r="AB22" s="17">
        <f>(X22*$AN$5+Y22*$AN$6+Z22*$AN$7+AA22*$AN$8)/$AN$13</f>
        <v>8.6757493188010919</v>
      </c>
      <c r="AC22" s="18">
        <f>IF($AN$15="Y",10*(AB22-$AN$11)/$AN$12, 10*AB22/$AN$10)</f>
        <v>8.2666907906640166</v>
      </c>
      <c r="AD22" s="19">
        <f>RANK(AC22,AC:AC,0)</f>
        <v>19</v>
      </c>
      <c r="AE22" s="72">
        <v>41280</v>
      </c>
      <c r="AF22" s="21">
        <f>COUNTIF(AE:AE, "&lt;="&amp;AE22)</f>
        <v>12</v>
      </c>
      <c r="AG22" s="205">
        <v>41281</v>
      </c>
      <c r="AH22" s="21">
        <f>COUNTIF(AG:AG, "&lt;="&amp;AG22)</f>
        <v>11</v>
      </c>
      <c r="AI22" s="21"/>
      <c r="AJ22" s="65" t="s">
        <v>498</v>
      </c>
      <c r="AK22" s="193"/>
      <c r="AL22" s="132" t="s">
        <v>230</v>
      </c>
      <c r="AM22" s="34" t="s">
        <v>75</v>
      </c>
      <c r="AN22" s="39">
        <f>COUNTIF(AC:AC,  "&gt;=5 ")-COUNTIF(AC:AC,"&gt;=6")</f>
        <v>19</v>
      </c>
      <c r="AO22" s="8"/>
      <c r="AP22" s="8"/>
      <c r="AQ22" s="2"/>
      <c r="AR22" s="2"/>
      <c r="AS22" s="1"/>
      <c r="AT22" s="1"/>
      <c r="AU22" s="1"/>
    </row>
    <row r="23" spans="1:47" ht="16.5">
      <c r="A23" s="12"/>
      <c r="B23" s="13"/>
      <c r="C23" s="14"/>
      <c r="D23" s="14"/>
      <c r="E23" s="14"/>
      <c r="F23" s="68"/>
      <c r="G23" s="125"/>
      <c r="H23" s="125"/>
      <c r="I23" s="15"/>
      <c r="J23" s="9" t="s">
        <v>230</v>
      </c>
      <c r="K23" s="12" t="s">
        <v>62</v>
      </c>
      <c r="L23" s="14" t="s">
        <v>15</v>
      </c>
      <c r="M23" s="14">
        <v>12</v>
      </c>
      <c r="N23" s="68" t="s">
        <v>403</v>
      </c>
      <c r="O23" s="189" t="s">
        <v>632</v>
      </c>
      <c r="P23" s="187" t="s">
        <v>477</v>
      </c>
      <c r="Q23" s="9" t="s">
        <v>230</v>
      </c>
      <c r="R23" s="12" t="s">
        <v>392</v>
      </c>
      <c r="S23" s="14">
        <v>1</v>
      </c>
      <c r="T23" s="14">
        <v>24</v>
      </c>
      <c r="U23" s="68" t="s">
        <v>403</v>
      </c>
      <c r="V23" s="68" t="s">
        <v>632</v>
      </c>
      <c r="W23" s="81" t="s">
        <v>450</v>
      </c>
      <c r="X23" s="16">
        <v>9</v>
      </c>
      <c r="Y23" s="16">
        <v>9</v>
      </c>
      <c r="Z23" s="16">
        <v>5</v>
      </c>
      <c r="AA23" s="16">
        <v>9</v>
      </c>
      <c r="AB23" s="17">
        <f>(X23*$AN$5+Y23*$AN$6+Z23*$AN$7+AA23*$AN$8)/$AN$13</f>
        <v>8.6294277929155321</v>
      </c>
      <c r="AC23" s="18">
        <f>IF($AN$15="Y",10*(AB23-$AN$11)/$AN$12, 10*AB23/$AN$10)</f>
        <v>8.2051745974307959</v>
      </c>
      <c r="AD23" s="19">
        <f>RANK(AC23,AC:AC,0)</f>
        <v>20</v>
      </c>
      <c r="AE23" s="72">
        <v>41537</v>
      </c>
      <c r="AF23" s="21">
        <f>COUNTIF(AE:AE, "&lt;="&amp;AE23)</f>
        <v>82</v>
      </c>
      <c r="AG23" s="202">
        <v>41559</v>
      </c>
      <c r="AH23" s="21">
        <f>COUNTIF(AG:AG, "&lt;="&amp;AG23)</f>
        <v>81</v>
      </c>
      <c r="AI23" s="21"/>
      <c r="AJ23" s="65" t="s">
        <v>430</v>
      </c>
      <c r="AK23" s="193"/>
      <c r="AL23" s="132" t="s">
        <v>230</v>
      </c>
      <c r="AM23" s="34" t="s">
        <v>78</v>
      </c>
      <c r="AN23" s="39">
        <f>COUNTIF(AC:AC,  "&gt;=4 ")-COUNTIF(AC:AC,"&gt;=5")</f>
        <v>4</v>
      </c>
      <c r="AO23" s="8"/>
      <c r="AP23" s="8"/>
      <c r="AQ23" s="2"/>
      <c r="AR23" s="2"/>
      <c r="AS23" s="1"/>
      <c r="AT23" s="1"/>
      <c r="AU23" s="1"/>
    </row>
    <row r="24" spans="1:47" ht="16.5">
      <c r="A24" s="12"/>
      <c r="B24" s="13"/>
      <c r="C24" s="14"/>
      <c r="D24" s="14"/>
      <c r="E24" s="14"/>
      <c r="F24" s="68"/>
      <c r="G24" s="126"/>
      <c r="H24" s="153"/>
      <c r="I24" s="15"/>
      <c r="J24" s="9" t="s">
        <v>230</v>
      </c>
      <c r="K24" s="12" t="s">
        <v>323</v>
      </c>
      <c r="L24" s="14" t="s">
        <v>321</v>
      </c>
      <c r="M24" s="14">
        <v>12</v>
      </c>
      <c r="N24" s="68" t="s">
        <v>403</v>
      </c>
      <c r="O24" s="189" t="s">
        <v>631</v>
      </c>
      <c r="P24" s="187" t="s">
        <v>427</v>
      </c>
      <c r="Q24" s="9" t="s">
        <v>230</v>
      </c>
      <c r="R24" s="12" t="s">
        <v>32</v>
      </c>
      <c r="S24" s="14">
        <v>1</v>
      </c>
      <c r="T24" s="14">
        <v>25</v>
      </c>
      <c r="U24" s="68" t="s">
        <v>403</v>
      </c>
      <c r="V24" s="68" t="s">
        <v>632</v>
      </c>
      <c r="W24" s="81" t="s">
        <v>450</v>
      </c>
      <c r="X24" s="16">
        <v>10</v>
      </c>
      <c r="Y24" s="16">
        <v>8</v>
      </c>
      <c r="Z24" s="16">
        <v>1</v>
      </c>
      <c r="AA24" s="16">
        <v>9.5</v>
      </c>
      <c r="AB24" s="17">
        <f>(X24*$AN$5+Y24*$AN$6+Z24*$AN$7+AA24*$AN$8)/$AN$13</f>
        <v>8.6117166212534055</v>
      </c>
      <c r="AC24" s="18">
        <f>IF($AN$15="Y",10*(AB24-$AN$11)/$AN$12, 10*AB24/$AN$10)</f>
        <v>8.181653700018094</v>
      </c>
      <c r="AD24" s="19">
        <f>RANK(AC24,AC:AC,0)</f>
        <v>21</v>
      </c>
      <c r="AE24" s="72">
        <v>41397</v>
      </c>
      <c r="AF24" s="21">
        <f>COUNTIF(AE:AE, "&lt;="&amp;AE24)</f>
        <v>49</v>
      </c>
      <c r="AG24" s="129">
        <v>41546</v>
      </c>
      <c r="AH24" s="21">
        <f>COUNTIF(AG:AG, "&lt;="&amp;AG24)</f>
        <v>80</v>
      </c>
      <c r="AI24" s="21"/>
      <c r="AJ24" s="65" t="s">
        <v>417</v>
      </c>
      <c r="AK24" s="193"/>
      <c r="AL24" s="132" t="s">
        <v>230</v>
      </c>
      <c r="AM24" s="34" t="s">
        <v>83</v>
      </c>
      <c r="AN24" s="39">
        <f>COUNTIF(AC:AC,  "&gt;=3 ")-COUNTIF(AC:AC,"&gt;=4")</f>
        <v>1</v>
      </c>
      <c r="AO24" s="8"/>
      <c r="AP24" s="8"/>
      <c r="AQ24" s="2"/>
      <c r="AR24" s="2"/>
      <c r="AS24" s="1"/>
      <c r="AT24" s="1"/>
      <c r="AU24" s="1"/>
    </row>
    <row r="25" spans="1:47" ht="16.5">
      <c r="A25" s="12"/>
      <c r="B25" s="23"/>
      <c r="C25" s="14"/>
      <c r="D25" s="14"/>
      <c r="E25" s="14"/>
      <c r="F25" s="68"/>
      <c r="G25" s="126"/>
      <c r="H25" s="153"/>
      <c r="I25" s="15"/>
      <c r="J25" s="9"/>
      <c r="K25" s="12" t="s">
        <v>20</v>
      </c>
      <c r="L25" s="14" t="s">
        <v>15</v>
      </c>
      <c r="M25" s="14">
        <v>24</v>
      </c>
      <c r="N25" s="71" t="s">
        <v>406</v>
      </c>
      <c r="O25" s="189" t="s">
        <v>635</v>
      </c>
      <c r="P25" s="188" t="s">
        <v>479</v>
      </c>
      <c r="Q25" s="9" t="s">
        <v>230</v>
      </c>
      <c r="R25" s="12" t="s">
        <v>39</v>
      </c>
      <c r="S25" s="14">
        <v>2</v>
      </c>
      <c r="T25" s="14">
        <v>12</v>
      </c>
      <c r="U25" s="68" t="s">
        <v>403</v>
      </c>
      <c r="V25" s="68" t="s">
        <v>632</v>
      </c>
      <c r="W25" s="108" t="s">
        <v>450</v>
      </c>
      <c r="X25" s="16">
        <v>8.5</v>
      </c>
      <c r="Y25" s="16">
        <v>9</v>
      </c>
      <c r="Z25" s="16">
        <v>4</v>
      </c>
      <c r="AA25" s="16">
        <v>9.5</v>
      </c>
      <c r="AB25" s="17">
        <f>(X25*$AN$5+Y25*$AN$6+Z25*$AN$7+AA25*$AN$8)/$AN$13</f>
        <v>8.591280653950955</v>
      </c>
      <c r="AC25" s="18">
        <f>IF($AN$15="Y",10*(AB25-$AN$11)/$AN$12, 10*AB25/$AN$10)</f>
        <v>8.1545142030034388</v>
      </c>
      <c r="AD25" s="19">
        <f>RANK(AC25,AC:AC,0)</f>
        <v>22</v>
      </c>
      <c r="AE25" s="72">
        <v>41358</v>
      </c>
      <c r="AF25" s="21">
        <f>COUNTIF(AE:AE, "&lt;="&amp;AE25)</f>
        <v>35</v>
      </c>
      <c r="AG25" s="129">
        <v>41359</v>
      </c>
      <c r="AH25" s="21">
        <f>COUNTIF(AG:AG, "&lt;="&amp;AG25)</f>
        <v>32</v>
      </c>
      <c r="AI25" s="21"/>
      <c r="AJ25" s="65" t="s">
        <v>279</v>
      </c>
      <c r="AK25" s="193"/>
      <c r="AL25" s="132" t="s">
        <v>230</v>
      </c>
      <c r="AM25" s="34" t="s">
        <v>86</v>
      </c>
      <c r="AN25" s="39">
        <f>COUNTIF(AC:AC,  "&gt;=2")-COUNTIF(AC:AC,"&gt;=3")</f>
        <v>2</v>
      </c>
      <c r="AO25" s="8"/>
      <c r="AP25" s="8"/>
      <c r="AQ25" s="2"/>
      <c r="AR25" s="2"/>
      <c r="AS25" s="1"/>
      <c r="AT25" s="1"/>
      <c r="AU25" s="1"/>
    </row>
    <row r="26" spans="1:47" ht="16.5">
      <c r="A26" s="12"/>
      <c r="B26" s="13"/>
      <c r="C26" s="14"/>
      <c r="D26" s="14"/>
      <c r="E26" s="14"/>
      <c r="F26" s="68"/>
      <c r="G26" s="126"/>
      <c r="H26" s="153"/>
      <c r="I26" s="15"/>
      <c r="J26" s="9"/>
      <c r="K26" s="12" t="s">
        <v>332</v>
      </c>
      <c r="L26" s="14" t="s">
        <v>15</v>
      </c>
      <c r="M26" s="14">
        <v>12</v>
      </c>
      <c r="N26" s="71" t="s">
        <v>406</v>
      </c>
      <c r="O26" s="189" t="s">
        <v>635</v>
      </c>
      <c r="P26" s="188" t="s">
        <v>641</v>
      </c>
      <c r="Q26" s="9" t="s">
        <v>230</v>
      </c>
      <c r="R26" s="12" t="s">
        <v>65</v>
      </c>
      <c r="S26" s="14">
        <v>1</v>
      </c>
      <c r="T26" s="14">
        <v>13</v>
      </c>
      <c r="U26" s="68" t="s">
        <v>403</v>
      </c>
      <c r="V26" s="68" t="s">
        <v>632</v>
      </c>
      <c r="W26" s="81" t="s">
        <v>448</v>
      </c>
      <c r="X26" s="16">
        <v>9</v>
      </c>
      <c r="Y26" s="16">
        <v>9</v>
      </c>
      <c r="Z26" s="16">
        <v>4.5</v>
      </c>
      <c r="AA26" s="16">
        <v>9</v>
      </c>
      <c r="AB26" s="17">
        <f>(X26*$AN$5+Y26*$AN$6+Z26*$AN$7+AA26*$AN$8)/$AN$13</f>
        <v>8.5831062670299723</v>
      </c>
      <c r="AC26" s="18">
        <f>IF($AN$15="Y",10*(AB26-$AN$11)/$AN$12, 10*AB26/$AN$10)</f>
        <v>8.1436584041975753</v>
      </c>
      <c r="AD26" s="19">
        <f>RANK(AC26,AC:AC,0)</f>
        <v>23</v>
      </c>
      <c r="AE26" s="72">
        <v>41645</v>
      </c>
      <c r="AF26" s="21">
        <f>COUNTIF(AE:AE, "&lt;="&amp;AE26)</f>
        <v>99</v>
      </c>
      <c r="AG26" s="129">
        <v>41645</v>
      </c>
      <c r="AH26" s="21">
        <f>COUNTIF(AG:AG, "&lt;="&amp;AG26)</f>
        <v>95</v>
      </c>
      <c r="AI26" s="21"/>
      <c r="AJ26" s="65" t="s">
        <v>536</v>
      </c>
      <c r="AK26" s="193" t="s">
        <v>535</v>
      </c>
      <c r="AL26" s="132" t="s">
        <v>230</v>
      </c>
      <c r="AM26" s="34" t="s">
        <v>91</v>
      </c>
      <c r="AN26" s="39">
        <f>COUNTIF(AC:AC,  "&gt;=1 ")-COUNTIF(AC:AC,"&gt;=2")</f>
        <v>0</v>
      </c>
      <c r="AO26" s="8"/>
      <c r="AP26" s="8"/>
      <c r="AQ26" s="2"/>
      <c r="AR26" s="2"/>
      <c r="AS26" s="1"/>
      <c r="AT26" s="1"/>
      <c r="AU26" s="1"/>
    </row>
    <row r="27" spans="1:47" ht="16.5">
      <c r="A27" s="12"/>
      <c r="B27" s="3"/>
      <c r="C27" s="3"/>
      <c r="D27" s="3"/>
      <c r="J27" s="9"/>
      <c r="K27" s="12" t="s">
        <v>398</v>
      </c>
      <c r="L27" s="14" t="s">
        <v>15</v>
      </c>
      <c r="M27" s="14">
        <v>16</v>
      </c>
      <c r="N27" s="71" t="s">
        <v>406</v>
      </c>
      <c r="O27" s="190" t="s">
        <v>632</v>
      </c>
      <c r="P27" s="187" t="s">
        <v>448</v>
      </c>
      <c r="Q27" s="9" t="s">
        <v>230</v>
      </c>
      <c r="R27" s="134" t="s">
        <v>272</v>
      </c>
      <c r="S27" s="14">
        <v>2</v>
      </c>
      <c r="T27" s="14">
        <v>25</v>
      </c>
      <c r="U27" s="68" t="s">
        <v>403</v>
      </c>
      <c r="V27" s="68" t="s">
        <v>631</v>
      </c>
      <c r="W27" s="81" t="s">
        <v>452</v>
      </c>
      <c r="X27" s="16">
        <v>9</v>
      </c>
      <c r="Y27" s="16">
        <v>8.5</v>
      </c>
      <c r="Z27" s="16">
        <v>3</v>
      </c>
      <c r="AA27" s="16">
        <v>9.5</v>
      </c>
      <c r="AB27" s="17">
        <f>(X27*$AN$5+Y27*$AN$6+Z27*$AN$7+AA27*$AN$8)/$AN$13</f>
        <v>8.569482288828338</v>
      </c>
      <c r="AC27" s="18">
        <f>IF($AN$15="Y",10*(AB27-$AN$11)/$AN$12, 10*AB27/$AN$10)</f>
        <v>8.1255654061878069</v>
      </c>
      <c r="AD27" s="19">
        <f>RANK(AC27,AC:AC,0)</f>
        <v>24</v>
      </c>
      <c r="AE27" s="72">
        <v>41479</v>
      </c>
      <c r="AF27" s="21">
        <f>COUNTIF(AE:AE, "&lt;="&amp;AE27)</f>
        <v>77</v>
      </c>
      <c r="AG27" s="129">
        <v>41481</v>
      </c>
      <c r="AH27" s="21">
        <f>COUNTIF(AG:AG, "&lt;="&amp;AG27)</f>
        <v>64</v>
      </c>
      <c r="AI27" s="21"/>
      <c r="AJ27" s="65" t="s">
        <v>281</v>
      </c>
      <c r="AK27" s="193" t="s">
        <v>273</v>
      </c>
      <c r="AL27" s="132" t="s">
        <v>230</v>
      </c>
      <c r="AM27" s="36" t="s">
        <v>96</v>
      </c>
      <c r="AN27" s="41">
        <f>COUNTIF(AC:AC,  "&gt;=0 ")-COUNTIF(AC:AC,"&gt;=1")</f>
        <v>2</v>
      </c>
      <c r="AO27" s="8"/>
      <c r="AP27" s="8"/>
      <c r="AQ27" s="2"/>
      <c r="AR27" s="2"/>
      <c r="AS27" s="1"/>
      <c r="AT27" s="1"/>
      <c r="AU27" s="1"/>
    </row>
    <row r="28" spans="1:47" ht="16.5">
      <c r="A28" s="77" t="s">
        <v>627</v>
      </c>
      <c r="B28" s="78">
        <f>(SUM(E4:E27)-SUMIF(B4:B27, J2, E4:E27))-(SUM(D4:D27)-SUMIF(B4:B27, J2, D4:D27))</f>
        <v>21</v>
      </c>
      <c r="C28" s="173" t="s">
        <v>628</v>
      </c>
      <c r="D28" s="174"/>
      <c r="E28" s="174"/>
      <c r="F28" s="174"/>
      <c r="G28" s="175"/>
      <c r="H28" s="151"/>
      <c r="I28" s="112">
        <f>(B28*22)/60</f>
        <v>7.7</v>
      </c>
      <c r="J28" s="9"/>
      <c r="K28" s="12" t="s">
        <v>22</v>
      </c>
      <c r="L28" s="14" t="s">
        <v>15</v>
      </c>
      <c r="M28" s="14">
        <v>12</v>
      </c>
      <c r="N28" s="68" t="s">
        <v>403</v>
      </c>
      <c r="O28" s="189" t="s">
        <v>631</v>
      </c>
      <c r="P28" s="187" t="s">
        <v>480</v>
      </c>
      <c r="Q28" s="9" t="s">
        <v>230</v>
      </c>
      <c r="R28" s="12" t="s">
        <v>224</v>
      </c>
      <c r="S28" s="14">
        <v>2</v>
      </c>
      <c r="T28" s="14">
        <v>24</v>
      </c>
      <c r="U28" s="68" t="s">
        <v>403</v>
      </c>
      <c r="V28" s="68" t="s">
        <v>631</v>
      </c>
      <c r="W28" s="81" t="s">
        <v>471</v>
      </c>
      <c r="X28" s="16">
        <v>9</v>
      </c>
      <c r="Y28" s="16">
        <v>9</v>
      </c>
      <c r="Z28" s="16">
        <v>6.5</v>
      </c>
      <c r="AA28" s="16">
        <v>8.5</v>
      </c>
      <c r="AB28" s="17">
        <f>(X28*$AN$5+Y28*$AN$6+Z28*$AN$7+AA28*$AN$8)/$AN$13</f>
        <v>8.5572207084468666</v>
      </c>
      <c r="AC28" s="18">
        <f>IF($AN$15="Y",10*(AB28-$AN$11)/$AN$12, 10*AB28/$AN$10)</f>
        <v>8.1092817079790134</v>
      </c>
      <c r="AD28" s="19">
        <f>RANK(AC28,AC:AC,0)</f>
        <v>25</v>
      </c>
      <c r="AE28" s="72">
        <v>41395</v>
      </c>
      <c r="AF28" s="21">
        <f>COUNTIF(AE:AE, "&lt;="&amp;AE28)</f>
        <v>48</v>
      </c>
      <c r="AG28" s="129">
        <v>41400</v>
      </c>
      <c r="AH28" s="21">
        <f>COUNTIF(AG:AG, "&lt;="&amp;AG28)</f>
        <v>40</v>
      </c>
      <c r="AI28" s="21"/>
      <c r="AJ28" s="65" t="s">
        <v>232</v>
      </c>
      <c r="AK28" s="193"/>
      <c r="AL28" s="132" t="s">
        <v>230</v>
      </c>
      <c r="AM28" s="8"/>
      <c r="AN28" s="8"/>
      <c r="AO28" s="8"/>
      <c r="AP28" s="8"/>
      <c r="AQ28" s="2"/>
      <c r="AR28" s="2"/>
      <c r="AS28" s="1"/>
      <c r="AT28" s="1"/>
      <c r="AU28" s="1"/>
    </row>
    <row r="29" spans="1:47" ht="16.5">
      <c r="A29" s="79" t="s">
        <v>626</v>
      </c>
      <c r="B29" s="80">
        <f>SUMIF(B$4:B$27, J$2, E$4:E$27)-SUMIF(B$4:B$27, J$2, D$4:D$27)</f>
        <v>18</v>
      </c>
      <c r="C29" s="176" t="s">
        <v>628</v>
      </c>
      <c r="D29" s="177"/>
      <c r="E29" s="177"/>
      <c r="F29" s="177"/>
      <c r="G29" s="178"/>
      <c r="H29" s="152"/>
      <c r="I29" s="113">
        <f>(B29*22)/60</f>
        <v>6.6</v>
      </c>
      <c r="J29" s="9"/>
      <c r="K29" s="12" t="s">
        <v>194</v>
      </c>
      <c r="L29" s="14" t="s">
        <v>15</v>
      </c>
      <c r="M29" s="14">
        <v>27</v>
      </c>
      <c r="N29" s="68" t="s">
        <v>403</v>
      </c>
      <c r="O29" s="189" t="s">
        <v>631</v>
      </c>
      <c r="P29" s="187" t="s">
        <v>429</v>
      </c>
      <c r="Q29" s="9" t="s">
        <v>230</v>
      </c>
      <c r="R29" s="12" t="s">
        <v>126</v>
      </c>
      <c r="S29" s="14">
        <v>1</v>
      </c>
      <c r="T29" s="14">
        <v>22</v>
      </c>
      <c r="U29" s="68" t="s">
        <v>403</v>
      </c>
      <c r="V29" s="68" t="s">
        <v>632</v>
      </c>
      <c r="W29" s="81" t="s">
        <v>450</v>
      </c>
      <c r="X29" s="16">
        <v>8</v>
      </c>
      <c r="Y29" s="16">
        <v>8.5</v>
      </c>
      <c r="Z29" s="16">
        <v>6</v>
      </c>
      <c r="AA29" s="16">
        <v>9.5</v>
      </c>
      <c r="AB29" s="17">
        <f>(X29*$AN$5+Y29*$AN$6+Z29*$AN$7+AA29*$AN$8)/$AN$13</f>
        <v>8.5340599455040866</v>
      </c>
      <c r="AC29" s="18">
        <f>IF($AN$15="Y",10*(AB29-$AN$11)/$AN$12, 10*AB29/$AN$10)</f>
        <v>8.078523611362403</v>
      </c>
      <c r="AD29" s="19">
        <f>RANK(AC29,AC:AC,0)</f>
        <v>26</v>
      </c>
      <c r="AE29" s="72">
        <v>41286</v>
      </c>
      <c r="AF29" s="21">
        <f>COUNTIF(AE:AE, "&lt;="&amp;AE29)</f>
        <v>13</v>
      </c>
      <c r="AG29" s="129">
        <v>41292</v>
      </c>
      <c r="AH29" s="21">
        <f>COUNTIF(AG:AG, "&lt;="&amp;AG29)</f>
        <v>14</v>
      </c>
      <c r="AI29" s="21"/>
      <c r="AJ29" s="65" t="s">
        <v>245</v>
      </c>
      <c r="AK29" s="193"/>
      <c r="AL29" s="132" t="s">
        <v>230</v>
      </c>
      <c r="AM29" s="157" t="s">
        <v>99</v>
      </c>
      <c r="AN29" s="158"/>
      <c r="AO29" s="8"/>
      <c r="AP29" s="8"/>
      <c r="AQ29" s="2"/>
      <c r="AR29" s="2"/>
      <c r="AS29" s="1"/>
      <c r="AT29" s="1"/>
      <c r="AU29" s="1"/>
    </row>
    <row r="30" spans="1:47" ht="16.5">
      <c r="A30" s="167" t="s">
        <v>70</v>
      </c>
      <c r="B30" s="168"/>
      <c r="C30" s="168"/>
      <c r="D30" s="168"/>
      <c r="E30" s="168"/>
      <c r="F30" s="168"/>
      <c r="G30" s="168"/>
      <c r="H30" s="168"/>
      <c r="I30" s="169"/>
      <c r="J30" s="9"/>
      <c r="K30" s="12" t="s">
        <v>67</v>
      </c>
      <c r="L30" s="14" t="s">
        <v>15</v>
      </c>
      <c r="M30" s="14">
        <v>24</v>
      </c>
      <c r="N30" s="68" t="s">
        <v>403</v>
      </c>
      <c r="O30" s="189" t="s">
        <v>632</v>
      </c>
      <c r="P30" s="187" t="s">
        <v>450</v>
      </c>
      <c r="Q30" s="9" t="s">
        <v>230</v>
      </c>
      <c r="R30" s="12" t="s">
        <v>326</v>
      </c>
      <c r="S30" s="14">
        <v>1</v>
      </c>
      <c r="T30" s="14">
        <v>26</v>
      </c>
      <c r="U30" s="68" t="s">
        <v>403</v>
      </c>
      <c r="V30" s="68" t="s">
        <v>632</v>
      </c>
      <c r="W30" s="156" t="s">
        <v>451</v>
      </c>
      <c r="X30" s="16">
        <v>9.5</v>
      </c>
      <c r="Y30" s="16">
        <v>7.5</v>
      </c>
      <c r="Z30" s="16">
        <v>5</v>
      </c>
      <c r="AA30" s="16">
        <v>9</v>
      </c>
      <c r="AB30" s="17">
        <f>(X30*$AN$5+Y30*$AN$6+Z30*$AN$7+AA30*$AN$8)/$AN$13</f>
        <v>8.5286103542234333</v>
      </c>
      <c r="AC30" s="18">
        <f>IF($AN$15="Y",10*(AB30-$AN$11)/$AN$12, 10*AB30/$AN$10)</f>
        <v>8.0712864121584946</v>
      </c>
      <c r="AD30" s="19">
        <f>RANK(AC30,AC:AC,0)</f>
        <v>27</v>
      </c>
      <c r="AE30" s="72">
        <v>41485</v>
      </c>
      <c r="AF30" s="21">
        <f>COUNTIF(AE:AE, "&lt;="&amp;AE30)</f>
        <v>78</v>
      </c>
      <c r="AG30" s="129">
        <v>41491</v>
      </c>
      <c r="AH30" s="21">
        <f>COUNTIF(AG:AG, "&lt;="&amp;AG30)</f>
        <v>66</v>
      </c>
      <c r="AI30" s="21"/>
      <c r="AJ30" s="65" t="s">
        <v>327</v>
      </c>
      <c r="AK30" s="193" t="s">
        <v>388</v>
      </c>
      <c r="AL30" s="132" t="s">
        <v>230</v>
      </c>
      <c r="AM30" s="42" t="s">
        <v>101</v>
      </c>
      <c r="AN30" s="43">
        <f>AVERAGE(AC:AC)</f>
        <v>6.895001368983479</v>
      </c>
      <c r="AO30" s="8"/>
      <c r="AP30" s="8"/>
      <c r="AQ30" s="2"/>
      <c r="AR30" s="2"/>
      <c r="AS30" s="1"/>
      <c r="AT30" s="1"/>
      <c r="AU30" s="1"/>
    </row>
    <row r="31" spans="1:47" ht="16.5">
      <c r="A31" s="11" t="s">
        <v>4</v>
      </c>
      <c r="B31" s="11" t="s">
        <v>228</v>
      </c>
      <c r="C31" s="11" t="s">
        <v>510</v>
      </c>
      <c r="D31" s="161" t="s">
        <v>72</v>
      </c>
      <c r="E31" s="162"/>
      <c r="F31" s="162"/>
      <c r="G31" s="162"/>
      <c r="H31" s="162"/>
      <c r="I31" s="163"/>
      <c r="J31" s="9" t="s">
        <v>230</v>
      </c>
      <c r="K31" s="12" t="s">
        <v>396</v>
      </c>
      <c r="L31" s="14" t="s">
        <v>15</v>
      </c>
      <c r="M31" s="14">
        <v>12</v>
      </c>
      <c r="N31" s="68" t="s">
        <v>406</v>
      </c>
      <c r="O31" s="189" t="s">
        <v>631</v>
      </c>
      <c r="P31" s="187" t="s">
        <v>461</v>
      </c>
      <c r="Q31" s="9" t="s">
        <v>230</v>
      </c>
      <c r="R31" s="12" t="s">
        <v>63</v>
      </c>
      <c r="S31" s="14">
        <v>1</v>
      </c>
      <c r="T31" s="14">
        <v>15</v>
      </c>
      <c r="U31" s="68" t="s">
        <v>403</v>
      </c>
      <c r="V31" s="68" t="s">
        <v>632</v>
      </c>
      <c r="W31" s="81" t="s">
        <v>450</v>
      </c>
      <c r="X31" s="16">
        <v>8.5</v>
      </c>
      <c r="Y31" s="16">
        <v>9.5</v>
      </c>
      <c r="Z31" s="16">
        <v>4.5</v>
      </c>
      <c r="AA31" s="16">
        <v>9</v>
      </c>
      <c r="AB31" s="17">
        <f>(X31*$AN$5+Y31*$AN$6+Z31*$AN$7+AA31*$AN$8)/$AN$13</f>
        <v>8.5122615803814714</v>
      </c>
      <c r="AC31" s="18">
        <f>IF($AN$15="Y",10*(AB31-$AN$11)/$AN$12, 10*AB31/$AN$10)</f>
        <v>8.0495748145467712</v>
      </c>
      <c r="AD31" s="19">
        <f>RANK(AC31,AC:AC,0)</f>
        <v>28</v>
      </c>
      <c r="AE31" s="72">
        <v>41304</v>
      </c>
      <c r="AF31" s="21">
        <f>COUNTIF(AE:AE, "&lt;="&amp;AE31)</f>
        <v>23</v>
      </c>
      <c r="AG31" s="129">
        <v>41312</v>
      </c>
      <c r="AH31" s="21">
        <f>COUNTIF(AG:AG, "&lt;="&amp;AG31)</f>
        <v>19</v>
      </c>
      <c r="AI31" s="21"/>
      <c r="AJ31" s="65" t="s">
        <v>286</v>
      </c>
      <c r="AK31" s="193" t="s">
        <v>64</v>
      </c>
      <c r="AL31" s="132" t="s">
        <v>230</v>
      </c>
      <c r="AM31" s="42" t="s">
        <v>103</v>
      </c>
      <c r="AN31" s="43">
        <f>QUARTILE(AC:AC, 0)</f>
        <v>0</v>
      </c>
      <c r="AO31" s="8"/>
      <c r="AP31" s="8"/>
      <c r="AQ31" s="2"/>
      <c r="AR31" s="2"/>
      <c r="AS31" s="1"/>
      <c r="AT31" s="1"/>
      <c r="AU31" s="1"/>
    </row>
    <row r="32" spans="1:47" ht="16.5">
      <c r="A32" s="12" t="s">
        <v>76</v>
      </c>
      <c r="B32" s="23">
        <v>15</v>
      </c>
      <c r="C32" s="14">
        <v>580</v>
      </c>
      <c r="D32" s="159" t="s">
        <v>77</v>
      </c>
      <c r="E32" s="159"/>
      <c r="F32" s="159"/>
      <c r="G32" s="159"/>
      <c r="H32" s="159"/>
      <c r="I32" s="160"/>
      <c r="J32" s="9" t="s">
        <v>230</v>
      </c>
      <c r="K32" s="12" t="s">
        <v>637</v>
      </c>
      <c r="L32" s="14" t="s">
        <v>15</v>
      </c>
      <c r="M32" s="14">
        <v>13</v>
      </c>
      <c r="N32" s="71" t="s">
        <v>406</v>
      </c>
      <c r="O32" s="190" t="s">
        <v>632</v>
      </c>
      <c r="P32" s="187" t="s">
        <v>429</v>
      </c>
      <c r="Q32" s="9" t="s">
        <v>230</v>
      </c>
      <c r="R32" s="12" t="s">
        <v>28</v>
      </c>
      <c r="S32" s="14">
        <v>1</v>
      </c>
      <c r="T32" s="14">
        <v>13</v>
      </c>
      <c r="U32" s="68" t="s">
        <v>403</v>
      </c>
      <c r="V32" s="68" t="s">
        <v>632</v>
      </c>
      <c r="W32" s="81" t="s">
        <v>450</v>
      </c>
      <c r="X32" s="16">
        <v>8</v>
      </c>
      <c r="Y32" s="16">
        <v>9.5</v>
      </c>
      <c r="Z32" s="16">
        <v>5</v>
      </c>
      <c r="AA32" s="16">
        <v>9</v>
      </c>
      <c r="AB32" s="17">
        <f>(X32*$AN$5+Y32*$AN$6+Z32*$AN$7+AA32*$AN$8)/$AN$13</f>
        <v>8.4019073569482288</v>
      </c>
      <c r="AC32" s="18">
        <f>IF($AN$15="Y",10*(AB32-$AN$11)/$AN$12, 10*AB32/$AN$10)</f>
        <v>7.9030215306676324</v>
      </c>
      <c r="AD32" s="19">
        <f>RANK(AC32,AC:AC,0)</f>
        <v>29</v>
      </c>
      <c r="AE32" s="72">
        <v>41370</v>
      </c>
      <c r="AF32" s="21">
        <f>COUNTIF(AE:AE, "&lt;="&amp;AE32)</f>
        <v>41</v>
      </c>
      <c r="AG32" s="129">
        <v>41454</v>
      </c>
      <c r="AH32" s="21">
        <f>COUNTIF(AG:AG, "&lt;="&amp;AG32)</f>
        <v>54</v>
      </c>
      <c r="AI32" s="21"/>
      <c r="AJ32" s="65" t="s">
        <v>282</v>
      </c>
      <c r="AK32" s="193" t="s">
        <v>624</v>
      </c>
      <c r="AL32" s="132" t="s">
        <v>230</v>
      </c>
      <c r="AM32" s="44" t="s">
        <v>105</v>
      </c>
      <c r="AN32" s="45">
        <f>QUARTILE(AC:AC, 1)</f>
        <v>6.0430613352632525</v>
      </c>
      <c r="AO32" s="8"/>
      <c r="AP32" s="8"/>
      <c r="AQ32" s="2"/>
      <c r="AR32" s="2"/>
      <c r="AS32" s="1"/>
      <c r="AT32" s="1"/>
      <c r="AU32" s="1"/>
    </row>
    <row r="33" spans="1:47" ht="16.5">
      <c r="A33" s="12" t="s">
        <v>79</v>
      </c>
      <c r="B33" s="23">
        <v>9</v>
      </c>
      <c r="C33" s="14">
        <v>178</v>
      </c>
      <c r="D33" s="159" t="s">
        <v>80</v>
      </c>
      <c r="E33" s="159"/>
      <c r="F33" s="159"/>
      <c r="G33" s="159"/>
      <c r="H33" s="159"/>
      <c r="I33" s="160"/>
      <c r="J33" s="9"/>
      <c r="K33" s="12" t="s">
        <v>599</v>
      </c>
      <c r="L33" s="14" t="s">
        <v>15</v>
      </c>
      <c r="M33" s="14">
        <v>12</v>
      </c>
      <c r="N33" s="68" t="s">
        <v>406</v>
      </c>
      <c r="O33" s="189" t="s">
        <v>631</v>
      </c>
      <c r="P33" s="187" t="s">
        <v>468</v>
      </c>
      <c r="Q33" s="9" t="s">
        <v>230</v>
      </c>
      <c r="R33" s="12" t="s">
        <v>50</v>
      </c>
      <c r="S33" s="14">
        <v>1</v>
      </c>
      <c r="T33" s="14">
        <v>17</v>
      </c>
      <c r="U33" s="68" t="s">
        <v>403</v>
      </c>
      <c r="V33" s="68" t="s">
        <v>632</v>
      </c>
      <c r="W33" s="81" t="s">
        <v>642</v>
      </c>
      <c r="X33" s="16">
        <v>8.5</v>
      </c>
      <c r="Y33" s="16">
        <v>9</v>
      </c>
      <c r="Z33" s="16">
        <v>4</v>
      </c>
      <c r="AA33" s="16">
        <v>9</v>
      </c>
      <c r="AB33" s="17">
        <f>(X33*$AN$5+Y33*$AN$6+Z33*$AN$7+AA33*$AN$8)/$AN$13</f>
        <v>8.3801089918256135</v>
      </c>
      <c r="AC33" s="18">
        <f>IF($AN$15="Y",10*(AB33-$AN$11)/$AN$12, 10*AB33/$AN$10)</f>
        <v>7.8740727338520013</v>
      </c>
      <c r="AD33" s="19">
        <f>RANK(AC33,AC:AC,0)</f>
        <v>30</v>
      </c>
      <c r="AE33" s="72">
        <v>41328</v>
      </c>
      <c r="AF33" s="21">
        <f>COUNTIF(AE:AE, "&lt;="&amp;AE33)</f>
        <v>26</v>
      </c>
      <c r="AG33" s="129">
        <v>41329</v>
      </c>
      <c r="AH33" s="21">
        <f>COUNTIF(AG:AG, "&lt;="&amp;AG33)</f>
        <v>22</v>
      </c>
      <c r="AI33" s="21"/>
      <c r="AJ33" s="65" t="s">
        <v>280</v>
      </c>
      <c r="AK33" s="193"/>
      <c r="AL33" s="132" t="s">
        <v>230</v>
      </c>
      <c r="AM33" s="44" t="s">
        <v>108</v>
      </c>
      <c r="AN33" s="45">
        <f>QUARTILE(AC:AC, 2)</f>
        <v>7.1141668174416512</v>
      </c>
      <c r="AO33" s="8"/>
      <c r="AP33" s="8"/>
      <c r="AQ33" s="2"/>
      <c r="AR33" s="2"/>
      <c r="AS33" s="1"/>
      <c r="AT33" s="1"/>
      <c r="AU33" s="1"/>
    </row>
    <row r="34" spans="1:47" ht="16.5">
      <c r="A34" s="12" t="s">
        <v>84</v>
      </c>
      <c r="B34" s="23">
        <v>1</v>
      </c>
      <c r="C34" s="14">
        <v>12</v>
      </c>
      <c r="D34" s="159" t="s">
        <v>77</v>
      </c>
      <c r="E34" s="159"/>
      <c r="F34" s="159"/>
      <c r="G34" s="159"/>
      <c r="H34" s="159"/>
      <c r="I34" s="160"/>
      <c r="J34" s="9"/>
      <c r="K34" s="12" t="s">
        <v>489</v>
      </c>
      <c r="L34" s="14" t="s">
        <v>15</v>
      </c>
      <c r="M34" s="14">
        <v>26</v>
      </c>
      <c r="N34" s="68" t="s">
        <v>403</v>
      </c>
      <c r="O34" s="189" t="s">
        <v>635</v>
      </c>
      <c r="P34" s="187" t="s">
        <v>490</v>
      </c>
      <c r="Q34" s="9" t="s">
        <v>230</v>
      </c>
      <c r="R34" s="12" t="s">
        <v>200</v>
      </c>
      <c r="S34" s="14">
        <v>2</v>
      </c>
      <c r="T34" s="14">
        <v>24</v>
      </c>
      <c r="U34" s="68" t="s">
        <v>403</v>
      </c>
      <c r="V34" s="68" t="s">
        <v>632</v>
      </c>
      <c r="W34" s="81" t="s">
        <v>450</v>
      </c>
      <c r="X34" s="16">
        <v>9</v>
      </c>
      <c r="Y34" s="16">
        <v>8</v>
      </c>
      <c r="Z34" s="16">
        <v>4</v>
      </c>
      <c r="AA34" s="16">
        <v>9</v>
      </c>
      <c r="AB34" s="17">
        <f>(X34*$AN$5+Y34*$AN$6+Z34*$AN$7+AA34*$AN$8)/$AN$13</f>
        <v>8.3651226158038163</v>
      </c>
      <c r="AC34" s="18">
        <f>IF($AN$15="Y",10*(AB34-$AN$11)/$AN$12, 10*AB34/$AN$10)</f>
        <v>7.8541704360412545</v>
      </c>
      <c r="AD34" s="19">
        <f>RANK(AC34,AC:AC,0)</f>
        <v>31</v>
      </c>
      <c r="AE34" s="72">
        <v>41468</v>
      </c>
      <c r="AF34" s="21">
        <f>COUNTIF(AE:AE, "&lt;="&amp;AE34)</f>
        <v>73</v>
      </c>
      <c r="AG34" s="129">
        <v>41470</v>
      </c>
      <c r="AH34" s="21">
        <f>COUNTIF(AG:AG, "&lt;="&amp;AG34)</f>
        <v>62</v>
      </c>
      <c r="AI34" s="21"/>
      <c r="AJ34" s="65" t="s">
        <v>283</v>
      </c>
      <c r="AK34" s="193" t="s">
        <v>270</v>
      </c>
      <c r="AL34" s="132" t="s">
        <v>230</v>
      </c>
      <c r="AM34" s="44" t="s">
        <v>110</v>
      </c>
      <c r="AN34" s="45">
        <f>QUARTILE(AC:AC, 3)</f>
        <v>7.9030215306676324</v>
      </c>
      <c r="AO34" s="8"/>
      <c r="AP34" s="8"/>
      <c r="AQ34" s="2"/>
      <c r="AR34" s="2"/>
      <c r="AS34" s="1"/>
      <c r="AT34" s="1"/>
      <c r="AU34" s="1"/>
    </row>
    <row r="35" spans="1:47" ht="16.5">
      <c r="A35" s="12" t="s">
        <v>87</v>
      </c>
      <c r="B35" s="23">
        <v>4</v>
      </c>
      <c r="C35" s="14">
        <v>175</v>
      </c>
      <c r="D35" s="159" t="s">
        <v>88</v>
      </c>
      <c r="E35" s="159"/>
      <c r="F35" s="159"/>
      <c r="G35" s="159"/>
      <c r="H35" s="159"/>
      <c r="I35" s="160"/>
      <c r="J35" s="9"/>
      <c r="K35" s="12" t="s">
        <v>26</v>
      </c>
      <c r="L35" s="14" t="s">
        <v>15</v>
      </c>
      <c r="M35" s="14">
        <v>23</v>
      </c>
      <c r="N35" s="68" t="s">
        <v>403</v>
      </c>
      <c r="O35" s="189" t="s">
        <v>631</v>
      </c>
      <c r="P35" s="187" t="s">
        <v>640</v>
      </c>
      <c r="Q35" s="9" t="s">
        <v>230</v>
      </c>
      <c r="R35" s="12" t="s">
        <v>259</v>
      </c>
      <c r="S35" s="14">
        <v>1</v>
      </c>
      <c r="T35" s="14">
        <v>13</v>
      </c>
      <c r="U35" s="68" t="s">
        <v>403</v>
      </c>
      <c r="V35" s="68" t="s">
        <v>633</v>
      </c>
      <c r="W35" s="81" t="s">
        <v>452</v>
      </c>
      <c r="X35" s="16">
        <v>8</v>
      </c>
      <c r="Y35" s="16">
        <v>9</v>
      </c>
      <c r="Z35" s="16">
        <v>5.5</v>
      </c>
      <c r="AA35" s="16">
        <v>9</v>
      </c>
      <c r="AB35" s="17">
        <f>(X35*$AN$5+Y35*$AN$6+Z35*$AN$7+AA35*$AN$8)/$AN$13</f>
        <v>8.362397820163487</v>
      </c>
      <c r="AC35" s="18">
        <f>IF($AN$15="Y",10*(AB35-$AN$11)/$AN$12, 10*AB35/$AN$10)</f>
        <v>7.8505518364392977</v>
      </c>
      <c r="AD35" s="19">
        <f>RANK(AC35,AC:AC,0)</f>
        <v>32</v>
      </c>
      <c r="AE35" s="72">
        <v>41461</v>
      </c>
      <c r="AF35" s="21">
        <f>COUNTIF(AE:AE, "&lt;="&amp;AE35)</f>
        <v>67</v>
      </c>
      <c r="AG35" s="129">
        <v>41543</v>
      </c>
      <c r="AH35" s="21">
        <f>COUNTIF(AG:AG, "&lt;="&amp;AG35)</f>
        <v>77</v>
      </c>
      <c r="AI35" s="21"/>
      <c r="AJ35" s="65" t="s">
        <v>413</v>
      </c>
      <c r="AK35" s="193" t="s">
        <v>414</v>
      </c>
      <c r="AL35" s="132" t="s">
        <v>230</v>
      </c>
      <c r="AM35" s="46" t="s">
        <v>111</v>
      </c>
      <c r="AN35" s="47">
        <f>QUARTILE(AC:AC, 4)</f>
        <v>10</v>
      </c>
      <c r="AO35" s="8"/>
      <c r="AP35" s="8"/>
      <c r="AQ35" s="2"/>
      <c r="AR35" s="2"/>
      <c r="AS35" s="1"/>
      <c r="AT35" s="1"/>
      <c r="AU35" s="1"/>
    </row>
    <row r="36" spans="1:47" ht="16.5">
      <c r="A36" s="12" t="s">
        <v>92</v>
      </c>
      <c r="B36" s="23">
        <v>1</v>
      </c>
      <c r="C36" s="14">
        <v>13</v>
      </c>
      <c r="D36" s="159" t="s">
        <v>93</v>
      </c>
      <c r="E36" s="159"/>
      <c r="F36" s="159"/>
      <c r="G36" s="159"/>
      <c r="H36" s="159"/>
      <c r="I36" s="160"/>
      <c r="J36" s="9"/>
      <c r="K36" s="12" t="s">
        <v>333</v>
      </c>
      <c r="L36" s="14" t="s">
        <v>321</v>
      </c>
      <c r="M36" s="14">
        <v>11</v>
      </c>
      <c r="N36" s="68" t="s">
        <v>403</v>
      </c>
      <c r="O36" s="189" t="s">
        <v>631</v>
      </c>
      <c r="P36" s="187" t="s">
        <v>481</v>
      </c>
      <c r="Q36" s="9" t="s">
        <v>230</v>
      </c>
      <c r="R36" s="12" t="s">
        <v>416</v>
      </c>
      <c r="S36" s="14">
        <v>2</v>
      </c>
      <c r="T36" s="14">
        <v>16</v>
      </c>
      <c r="U36" s="68" t="s">
        <v>403</v>
      </c>
      <c r="V36" s="68" t="s">
        <v>632</v>
      </c>
      <c r="W36" s="81" t="s">
        <v>450</v>
      </c>
      <c r="X36" s="16">
        <v>8.5</v>
      </c>
      <c r="Y36" s="16">
        <v>8</v>
      </c>
      <c r="Z36" s="16">
        <v>5.5</v>
      </c>
      <c r="AA36" s="16">
        <v>9</v>
      </c>
      <c r="AB36" s="17">
        <f>(X36*$AN$5+Y36*$AN$6+Z36*$AN$7+AA36*$AN$8)/$AN$13</f>
        <v>8.3474114441416898</v>
      </c>
      <c r="AC36" s="18">
        <f>IF($AN$15="Y",10*(AB36-$AN$11)/$AN$12, 10*AB36/$AN$10)</f>
        <v>7.8306495386285526</v>
      </c>
      <c r="AD36" s="19">
        <f>RANK(AC36,AC:AC,0)</f>
        <v>33</v>
      </c>
      <c r="AE36" s="72">
        <v>41370</v>
      </c>
      <c r="AF36" s="21">
        <f>COUNTIF(AE:AE, "&lt;="&amp;AE36)</f>
        <v>41</v>
      </c>
      <c r="AG36" s="129">
        <v>41512</v>
      </c>
      <c r="AH36" s="21">
        <f>COUNTIF(AG:AG, "&lt;="&amp;AG36)</f>
        <v>69</v>
      </c>
      <c r="AI36" s="21"/>
      <c r="AJ36" s="65" t="s">
        <v>317</v>
      </c>
      <c r="AK36" s="193"/>
      <c r="AL36" s="132" t="s">
        <v>230</v>
      </c>
      <c r="AM36" s="44" t="s">
        <v>43</v>
      </c>
      <c r="AN36" s="45">
        <f>AN35-AN31</f>
        <v>10</v>
      </c>
      <c r="AO36" s="8"/>
      <c r="AP36" s="8"/>
      <c r="AQ36" s="2"/>
      <c r="AR36" s="2"/>
      <c r="AS36" s="1"/>
      <c r="AT36" s="1"/>
      <c r="AU36" s="1"/>
    </row>
    <row r="37" spans="1:47" ht="16.5">
      <c r="A37" s="12" t="s">
        <v>313</v>
      </c>
      <c r="B37" s="23">
        <v>1</v>
      </c>
      <c r="C37" s="14">
        <v>3</v>
      </c>
      <c r="D37" s="159" t="s">
        <v>315</v>
      </c>
      <c r="E37" s="159"/>
      <c r="F37" s="159"/>
      <c r="G37" s="159"/>
      <c r="H37" s="159"/>
      <c r="I37" s="160"/>
      <c r="J37" s="9"/>
      <c r="K37" s="12" t="s">
        <v>334</v>
      </c>
      <c r="L37" s="14" t="s">
        <v>321</v>
      </c>
      <c r="M37" s="14">
        <v>12</v>
      </c>
      <c r="N37" s="68" t="s">
        <v>403</v>
      </c>
      <c r="O37" s="189" t="s">
        <v>631</v>
      </c>
      <c r="P37" s="187" t="s">
        <v>463</v>
      </c>
      <c r="Q37" s="9" t="s">
        <v>230</v>
      </c>
      <c r="R37" s="12" t="s">
        <v>644</v>
      </c>
      <c r="S37" s="14">
        <v>2</v>
      </c>
      <c r="T37" s="14">
        <v>24</v>
      </c>
      <c r="U37" s="68" t="s">
        <v>403</v>
      </c>
      <c r="V37" s="68" t="s">
        <v>632</v>
      </c>
      <c r="W37" s="81" t="s">
        <v>450</v>
      </c>
      <c r="X37" s="16">
        <v>8.5</v>
      </c>
      <c r="Y37" s="16">
        <v>8.5</v>
      </c>
      <c r="Z37" s="16">
        <v>4.5</v>
      </c>
      <c r="AA37" s="16">
        <v>9</v>
      </c>
      <c r="AB37" s="17">
        <f>(X37*$AN$5+Y37*$AN$6+Z37*$AN$7+AA37*$AN$8)/$AN$13</f>
        <v>8.3405994550408717</v>
      </c>
      <c r="AC37" s="18">
        <f>IF($AN$15="Y",10*(AB37-$AN$11)/$AN$12, 10*AB37/$AN$10)</f>
        <v>7.8216030396236667</v>
      </c>
      <c r="AD37" s="19">
        <f>RANK(AC37,AC:AC,0)</f>
        <v>34</v>
      </c>
      <c r="AE37" s="72">
        <v>41473</v>
      </c>
      <c r="AF37" s="21">
        <f>COUNTIF(AE:AE, "&lt;="&amp;AE37)</f>
        <v>75</v>
      </c>
      <c r="AG37" s="129">
        <v>41546</v>
      </c>
      <c r="AH37" s="21">
        <f>COUNTIF(AG:AG, "&lt;="&amp;AG37)</f>
        <v>80</v>
      </c>
      <c r="AI37" s="21"/>
      <c r="AJ37" s="65" t="s">
        <v>283</v>
      </c>
      <c r="AK37" s="193"/>
      <c r="AL37" s="132" t="s">
        <v>230</v>
      </c>
      <c r="AM37" s="44" t="s">
        <v>114</v>
      </c>
      <c r="AN37" s="45">
        <f>AN34-AN32</f>
        <v>1.8599601954043798</v>
      </c>
      <c r="AO37" s="8"/>
      <c r="AP37" s="8"/>
      <c r="AQ37" s="2"/>
      <c r="AR37" s="2"/>
      <c r="AS37" s="1"/>
      <c r="AT37" s="1"/>
      <c r="AU37" s="1"/>
    </row>
    <row r="38" spans="1:47" ht="16.5">
      <c r="A38" s="12" t="s">
        <v>431</v>
      </c>
      <c r="B38" s="23">
        <v>1</v>
      </c>
      <c r="C38" s="14">
        <v>3</v>
      </c>
      <c r="D38" s="159" t="s">
        <v>440</v>
      </c>
      <c r="E38" s="159"/>
      <c r="F38" s="159"/>
      <c r="G38" s="159"/>
      <c r="H38" s="159"/>
      <c r="I38" s="160"/>
      <c r="J38" s="9"/>
      <c r="K38" s="12" t="s">
        <v>399</v>
      </c>
      <c r="L38" s="14" t="s">
        <v>15</v>
      </c>
      <c r="M38" s="14">
        <v>12</v>
      </c>
      <c r="N38" s="68" t="s">
        <v>406</v>
      </c>
      <c r="O38" s="189" t="s">
        <v>632</v>
      </c>
      <c r="P38" s="187" t="s">
        <v>450</v>
      </c>
      <c r="Q38" s="9" t="s">
        <v>230</v>
      </c>
      <c r="R38" s="12" t="s">
        <v>531</v>
      </c>
      <c r="S38" s="14">
        <v>1</v>
      </c>
      <c r="T38" s="14">
        <v>12</v>
      </c>
      <c r="U38" s="68" t="s">
        <v>406</v>
      </c>
      <c r="V38" s="68" t="s">
        <v>631</v>
      </c>
      <c r="W38" s="81" t="s">
        <v>429</v>
      </c>
      <c r="X38" s="16">
        <v>9</v>
      </c>
      <c r="Y38" s="16">
        <v>8.5</v>
      </c>
      <c r="Z38" s="16">
        <v>5</v>
      </c>
      <c r="AA38" s="16">
        <v>8.5</v>
      </c>
      <c r="AB38" s="17">
        <f>(X38*$AN$5+Y38*$AN$6+Z38*$AN$7+AA38*$AN$8)/$AN$13</f>
        <v>8.3324250681198908</v>
      </c>
      <c r="AC38" s="18">
        <f>IF($AN$15="Y",10*(AB38-$AN$11)/$AN$12, 10*AB38/$AN$10)</f>
        <v>7.8107472408178031</v>
      </c>
      <c r="AD38" s="19">
        <f>RANK(AC38,AC:AC,0)</f>
        <v>35</v>
      </c>
      <c r="AE38" s="72">
        <v>41647</v>
      </c>
      <c r="AF38" s="21">
        <f>COUNTIF(AE:AE, "&lt;="&amp;AE38)</f>
        <v>102</v>
      </c>
      <c r="AG38" s="129">
        <v>41726</v>
      </c>
      <c r="AH38" s="21">
        <f>COUNTIF(AG:AG, "&lt;="&amp;AG38)</f>
        <v>101</v>
      </c>
      <c r="AI38" s="21"/>
      <c r="AJ38" s="65" t="s">
        <v>555</v>
      </c>
      <c r="AK38" s="193"/>
      <c r="AL38" s="132" t="s">
        <v>230</v>
      </c>
      <c r="AM38" s="46" t="s">
        <v>116</v>
      </c>
      <c r="AN38" s="47">
        <f>STDEV(AC:AC)</f>
        <v>1.5919411866189701</v>
      </c>
      <c r="AO38" s="8"/>
      <c r="AP38" s="8"/>
      <c r="AQ38" s="2"/>
      <c r="AR38" s="2"/>
      <c r="AS38" s="1"/>
      <c r="AT38" s="1"/>
      <c r="AU38" s="1"/>
    </row>
    <row r="39" spans="1:47" ht="16.5">
      <c r="A39" s="12"/>
      <c r="B39" s="23"/>
      <c r="C39" s="14"/>
      <c r="D39" s="159"/>
      <c r="E39" s="159"/>
      <c r="F39" s="159"/>
      <c r="G39" s="159"/>
      <c r="H39" s="159"/>
      <c r="I39" s="160"/>
      <c r="J39" s="9"/>
      <c r="K39" s="12" t="s">
        <v>29</v>
      </c>
      <c r="L39" s="14" t="s">
        <v>15</v>
      </c>
      <c r="M39" s="14">
        <v>13</v>
      </c>
      <c r="N39" s="68" t="s">
        <v>403</v>
      </c>
      <c r="O39" s="189" t="s">
        <v>631</v>
      </c>
      <c r="P39" s="187" t="s">
        <v>452</v>
      </c>
      <c r="Q39" s="9" t="s">
        <v>230</v>
      </c>
      <c r="R39" s="134" t="s">
        <v>432</v>
      </c>
      <c r="S39" s="14">
        <v>1</v>
      </c>
      <c r="T39" s="14">
        <v>12</v>
      </c>
      <c r="U39" s="68" t="s">
        <v>406</v>
      </c>
      <c r="V39" s="68" t="s">
        <v>631</v>
      </c>
      <c r="W39" s="81" t="s">
        <v>452</v>
      </c>
      <c r="X39" s="16">
        <v>8.5</v>
      </c>
      <c r="Y39" s="16">
        <v>8.5</v>
      </c>
      <c r="Z39" s="16">
        <v>6.5</v>
      </c>
      <c r="AA39" s="16">
        <v>8.5</v>
      </c>
      <c r="AB39" s="17">
        <f>(X39*$AN$5+Y39*$AN$6+Z39*$AN$7+AA39*$AN$8)/$AN$13</f>
        <v>8.314713896457766</v>
      </c>
      <c r="AC39" s="18">
        <f>IF($AN$15="Y",10*(AB39-$AN$11)/$AN$12, 10*AB39/$AN$10)</f>
        <v>7.7872263434051039</v>
      </c>
      <c r="AD39" s="19">
        <f>RANK(AC39,AC:AC,0)</f>
        <v>36</v>
      </c>
      <c r="AE39" s="72">
        <v>41555</v>
      </c>
      <c r="AF39" s="21">
        <f>COUNTIF(AE:AE, "&lt;="&amp;AE39)</f>
        <v>91</v>
      </c>
      <c r="AG39" s="129">
        <v>41631</v>
      </c>
      <c r="AH39" s="21">
        <f>COUNTIF(AG:AG, "&lt;="&amp;AG39)</f>
        <v>86</v>
      </c>
      <c r="AI39" s="21"/>
      <c r="AJ39" s="65" t="s">
        <v>508</v>
      </c>
      <c r="AK39" s="193" t="s">
        <v>509</v>
      </c>
      <c r="AL39" s="132" t="s">
        <v>230</v>
      </c>
      <c r="AM39" s="44" t="s">
        <v>215</v>
      </c>
      <c r="AN39" s="39">
        <f>SUM(T:T)+SUM(C32:C200)+SUM(D4:D27)</f>
        <v>3104</v>
      </c>
      <c r="AO39" s="8"/>
      <c r="AP39" s="8"/>
      <c r="AQ39" s="2"/>
      <c r="AR39" s="2"/>
      <c r="AS39" s="1"/>
      <c r="AT39" s="1"/>
      <c r="AU39" s="1"/>
    </row>
    <row r="40" spans="1:47" ht="16.5">
      <c r="A40" s="12"/>
      <c r="B40" s="23"/>
      <c r="C40" s="14"/>
      <c r="D40" s="159"/>
      <c r="E40" s="159"/>
      <c r="F40" s="159"/>
      <c r="G40" s="159"/>
      <c r="H40" s="159"/>
      <c r="I40" s="160"/>
      <c r="J40" s="9"/>
      <c r="K40" s="12" t="s">
        <v>560</v>
      </c>
      <c r="L40" s="14" t="s">
        <v>15</v>
      </c>
      <c r="M40" s="14">
        <v>22</v>
      </c>
      <c r="N40" s="68" t="s">
        <v>406</v>
      </c>
      <c r="O40" s="189" t="s">
        <v>632</v>
      </c>
      <c r="P40" s="187" t="s">
        <v>462</v>
      </c>
      <c r="Q40" s="9" t="s">
        <v>230</v>
      </c>
      <c r="R40" s="12" t="s">
        <v>222</v>
      </c>
      <c r="S40" s="14">
        <v>1</v>
      </c>
      <c r="T40" s="14">
        <v>24</v>
      </c>
      <c r="U40" s="68" t="s">
        <v>403</v>
      </c>
      <c r="V40" s="68" t="s">
        <v>632</v>
      </c>
      <c r="W40" s="81" t="s">
        <v>450</v>
      </c>
      <c r="X40" s="16">
        <v>8.5</v>
      </c>
      <c r="Y40" s="16">
        <v>8</v>
      </c>
      <c r="Z40" s="16">
        <v>5</v>
      </c>
      <c r="AA40" s="16">
        <v>9</v>
      </c>
      <c r="AB40" s="17">
        <f>(X40*$AN$5+Y40*$AN$6+Z40*$AN$7+AA40*$AN$8)/$AN$13</f>
        <v>8.30108991825613</v>
      </c>
      <c r="AC40" s="18">
        <f>IF($AN$15="Y",10*(AB40-$AN$11)/$AN$12, 10*AB40/$AN$10)</f>
        <v>7.769133345395332</v>
      </c>
      <c r="AD40" s="19">
        <f>RANK(AC40,AC:AC,0)</f>
        <v>37</v>
      </c>
      <c r="AE40" s="72">
        <v>41261</v>
      </c>
      <c r="AF40" s="21">
        <f>COUNTIF(AE:AE, "&lt;="&amp;AE40)</f>
        <v>10</v>
      </c>
      <c r="AG40" s="129">
        <v>41359</v>
      </c>
      <c r="AH40" s="21">
        <f>COUNTIF(AG:AG, "&lt;="&amp;AG40)</f>
        <v>32</v>
      </c>
      <c r="AI40" s="21"/>
      <c r="AJ40" s="65" t="s">
        <v>243</v>
      </c>
      <c r="AK40" s="191"/>
      <c r="AL40" s="132" t="s">
        <v>230</v>
      </c>
      <c r="AM40" s="44" t="s">
        <v>213</v>
      </c>
      <c r="AN40" s="39">
        <f>AN39*24</f>
        <v>74496</v>
      </c>
      <c r="AO40" s="8"/>
      <c r="AP40" s="8"/>
      <c r="AQ40" s="2"/>
      <c r="AR40" s="2"/>
      <c r="AS40" s="1"/>
      <c r="AT40" s="1"/>
      <c r="AU40" s="1"/>
    </row>
    <row r="41" spans="1:47" ht="16.5">
      <c r="A41" s="12"/>
      <c r="B41" s="23"/>
      <c r="C41" s="14"/>
      <c r="D41" s="159"/>
      <c r="E41" s="159"/>
      <c r="F41" s="159"/>
      <c r="G41" s="159"/>
      <c r="H41" s="159"/>
      <c r="I41" s="160"/>
      <c r="J41" s="9"/>
      <c r="K41" s="12" t="s">
        <v>324</v>
      </c>
      <c r="L41" s="14" t="s">
        <v>321</v>
      </c>
      <c r="M41" s="14">
        <v>13</v>
      </c>
      <c r="N41" s="68" t="s">
        <v>403</v>
      </c>
      <c r="O41" s="189" t="s">
        <v>632</v>
      </c>
      <c r="P41" s="187" t="s">
        <v>450</v>
      </c>
      <c r="Q41" s="9" t="s">
        <v>230</v>
      </c>
      <c r="R41" s="12" t="s">
        <v>318</v>
      </c>
      <c r="S41" s="14">
        <v>2</v>
      </c>
      <c r="T41" s="14">
        <v>12</v>
      </c>
      <c r="U41" s="68" t="s">
        <v>403</v>
      </c>
      <c r="V41" s="68" t="s">
        <v>631</v>
      </c>
      <c r="W41" s="81" t="s">
        <v>461</v>
      </c>
      <c r="X41" s="16">
        <v>9</v>
      </c>
      <c r="Y41" s="16">
        <v>8</v>
      </c>
      <c r="Z41" s="16">
        <v>5.5</v>
      </c>
      <c r="AA41" s="16">
        <v>8.5</v>
      </c>
      <c r="AB41" s="17">
        <f>(X41*$AN$5+Y41*$AN$6+Z41*$AN$7+AA41*$AN$8)/$AN$13</f>
        <v>8.2929155313351508</v>
      </c>
      <c r="AC41" s="18">
        <f>IF($AN$15="Y",10*(AB41-$AN$11)/$AN$12, 10*AB41/$AN$10)</f>
        <v>7.758277546589472</v>
      </c>
      <c r="AD41" s="19">
        <f>RANK(AC41,AC:AC,0)</f>
        <v>38</v>
      </c>
      <c r="AE41" s="72">
        <v>41633</v>
      </c>
      <c r="AF41" s="21">
        <f>COUNTIF(AE:AE, "&lt;="&amp;AE41)</f>
        <v>96</v>
      </c>
      <c r="AG41" s="129">
        <v>41635</v>
      </c>
      <c r="AH41" s="21">
        <f>COUNTIF(AG:AG, "&lt;="&amp;AG41)</f>
        <v>91</v>
      </c>
      <c r="AI41" s="21"/>
      <c r="AJ41" s="65" t="s">
        <v>519</v>
      </c>
      <c r="AK41" s="193" t="s">
        <v>520</v>
      </c>
      <c r="AL41" s="132" t="s">
        <v>230</v>
      </c>
      <c r="AM41" s="44" t="s">
        <v>214</v>
      </c>
      <c r="AN41" s="45">
        <f>AN40/60</f>
        <v>1241.5999999999999</v>
      </c>
      <c r="AO41" s="8"/>
      <c r="AP41" s="8"/>
      <c r="AQ41" s="2"/>
      <c r="AR41" s="2"/>
      <c r="AS41" s="1"/>
      <c r="AT41" s="1"/>
      <c r="AU41" s="1"/>
    </row>
    <row r="42" spans="1:47" ht="16.5">
      <c r="A42" s="12"/>
      <c r="B42" s="23"/>
      <c r="C42" s="14"/>
      <c r="D42" s="159"/>
      <c r="E42" s="159"/>
      <c r="F42" s="159"/>
      <c r="G42" s="159"/>
      <c r="H42" s="159"/>
      <c r="I42" s="160"/>
      <c r="J42" s="9"/>
      <c r="K42" s="12" t="s">
        <v>94</v>
      </c>
      <c r="L42" s="14" t="s">
        <v>15</v>
      </c>
      <c r="M42" s="14">
        <v>25</v>
      </c>
      <c r="N42" s="71" t="s">
        <v>406</v>
      </c>
      <c r="O42" s="190" t="s">
        <v>631</v>
      </c>
      <c r="P42" s="187" t="s">
        <v>427</v>
      </c>
      <c r="Q42" s="9" t="s">
        <v>230</v>
      </c>
      <c r="R42" s="12" t="s">
        <v>527</v>
      </c>
      <c r="S42" s="14">
        <v>2</v>
      </c>
      <c r="T42" s="14">
        <v>26</v>
      </c>
      <c r="U42" s="68" t="s">
        <v>403</v>
      </c>
      <c r="V42" s="68" t="s">
        <v>631</v>
      </c>
      <c r="W42" s="81" t="s">
        <v>452</v>
      </c>
      <c r="X42" s="16">
        <v>9</v>
      </c>
      <c r="Y42" s="16">
        <v>8</v>
      </c>
      <c r="Z42" s="16">
        <v>5.5</v>
      </c>
      <c r="AA42" s="16">
        <v>8.5</v>
      </c>
      <c r="AB42" s="17">
        <f>(X42*$AN$5+Y42*$AN$6+Z42*$AN$7+AA42*$AN$8)/$AN$13</f>
        <v>8.2929155313351508</v>
      </c>
      <c r="AC42" s="18">
        <f>IF($AN$15="Y",10*(AB42-$AN$11)/$AN$12, 10*AB42/$AN$10)</f>
        <v>7.758277546589472</v>
      </c>
      <c r="AD42" s="19">
        <f>RANK(AC42,AC:AC,0)</f>
        <v>38</v>
      </c>
      <c r="AE42" s="72">
        <v>41461</v>
      </c>
      <c r="AF42" s="21">
        <f>COUNTIF(AE:AE, "&lt;="&amp;AE42)</f>
        <v>67</v>
      </c>
      <c r="AG42" s="129">
        <v>41638</v>
      </c>
      <c r="AH42" s="21">
        <f>COUNTIF(AG:AG, "&lt;="&amp;AG42)</f>
        <v>93</v>
      </c>
      <c r="AI42" s="21"/>
      <c r="AJ42" s="65" t="s">
        <v>286</v>
      </c>
      <c r="AK42" s="193" t="s">
        <v>528</v>
      </c>
      <c r="AL42" s="132" t="s">
        <v>230</v>
      </c>
      <c r="AM42" s="46" t="s">
        <v>212</v>
      </c>
      <c r="AN42" s="47">
        <f>AN41/24</f>
        <v>51.733333333333327</v>
      </c>
      <c r="AO42" s="8"/>
      <c r="AP42" s="8"/>
      <c r="AQ42" s="2"/>
      <c r="AR42" s="2"/>
      <c r="AS42" s="1"/>
      <c r="AT42" s="1"/>
      <c r="AU42" s="1"/>
    </row>
    <row r="43" spans="1:47" ht="16.5">
      <c r="A43" s="12"/>
      <c r="B43" s="23"/>
      <c r="C43" s="14"/>
      <c r="D43" s="159"/>
      <c r="E43" s="159"/>
      <c r="F43" s="159"/>
      <c r="G43" s="159"/>
      <c r="H43" s="159"/>
      <c r="I43" s="160"/>
      <c r="J43" s="9"/>
      <c r="K43" s="12" t="s">
        <v>335</v>
      </c>
      <c r="L43" s="14" t="s">
        <v>321</v>
      </c>
      <c r="M43" s="14">
        <v>12</v>
      </c>
      <c r="N43" s="68" t="s">
        <v>403</v>
      </c>
      <c r="O43" s="189" t="s">
        <v>632</v>
      </c>
      <c r="P43" s="187" t="s">
        <v>482</v>
      </c>
      <c r="Q43" s="9" t="s">
        <v>230</v>
      </c>
      <c r="R43" s="12" t="s">
        <v>418</v>
      </c>
      <c r="S43" s="14">
        <v>1</v>
      </c>
      <c r="T43" s="14">
        <v>12</v>
      </c>
      <c r="U43" s="68" t="s">
        <v>406</v>
      </c>
      <c r="V43" s="68" t="s">
        <v>631</v>
      </c>
      <c r="W43" s="88" t="s">
        <v>427</v>
      </c>
      <c r="X43" s="16">
        <v>8.5</v>
      </c>
      <c r="Y43" s="16">
        <v>8.5</v>
      </c>
      <c r="Z43" s="16">
        <v>6</v>
      </c>
      <c r="AA43" s="16">
        <v>8.5</v>
      </c>
      <c r="AB43" s="17">
        <f>(X43*$AN$5+Y43*$AN$6+Z43*$AN$7+AA43*$AN$8)/$AN$13</f>
        <v>8.2683923705722062</v>
      </c>
      <c r="AC43" s="18">
        <f>IF($AN$15="Y",10*(AB43-$AN$11)/$AN$12, 10*AB43/$AN$10)</f>
        <v>7.7257101501718832</v>
      </c>
      <c r="AD43" s="19">
        <f>RANK(AC43,AC:AC,0)</f>
        <v>40</v>
      </c>
      <c r="AE43" s="72">
        <v>41550</v>
      </c>
      <c r="AF43" s="21">
        <f>COUNTIF(AE:AE, "&lt;="&amp;AE43)</f>
        <v>85</v>
      </c>
      <c r="AG43" s="129">
        <v>41628</v>
      </c>
      <c r="AH43" s="21">
        <f>COUNTIF(AG:AG, "&lt;="&amp;AG43)</f>
        <v>85</v>
      </c>
      <c r="AI43" s="21"/>
      <c r="AJ43" s="65" t="s">
        <v>500</v>
      </c>
      <c r="AK43" s="193" t="s">
        <v>625</v>
      </c>
      <c r="AL43" s="132" t="s">
        <v>230</v>
      </c>
      <c r="AM43" s="98" t="s">
        <v>542</v>
      </c>
      <c r="AN43" s="97">
        <f>MAX(AH:AH)</f>
        <v>113</v>
      </c>
      <c r="AO43" s="8"/>
      <c r="AP43" s="8"/>
      <c r="AQ43" s="2"/>
      <c r="AR43" s="2"/>
      <c r="AS43" s="1"/>
      <c r="AT43" s="1"/>
      <c r="AU43" s="1"/>
    </row>
    <row r="44" spans="1:47" ht="16.5">
      <c r="A44" s="12"/>
      <c r="B44" s="23"/>
      <c r="C44" s="14"/>
      <c r="D44" s="159"/>
      <c r="E44" s="159"/>
      <c r="F44" s="159"/>
      <c r="G44" s="159"/>
      <c r="H44" s="159"/>
      <c r="I44" s="160"/>
      <c r="J44" s="9"/>
      <c r="K44" s="12" t="s">
        <v>191</v>
      </c>
      <c r="L44" s="14" t="s">
        <v>15</v>
      </c>
      <c r="M44" s="14">
        <v>26</v>
      </c>
      <c r="N44" s="68" t="s">
        <v>403</v>
      </c>
      <c r="O44" s="189" t="s">
        <v>635</v>
      </c>
      <c r="P44" s="187" t="s">
        <v>483</v>
      </c>
      <c r="Q44" s="9" t="s">
        <v>230</v>
      </c>
      <c r="R44" s="12" t="s">
        <v>643</v>
      </c>
      <c r="S44" s="14">
        <v>1</v>
      </c>
      <c r="T44" s="14">
        <v>24</v>
      </c>
      <c r="U44" s="68" t="s">
        <v>403</v>
      </c>
      <c r="V44" s="68" t="s">
        <v>632</v>
      </c>
      <c r="W44" s="81" t="s">
        <v>458</v>
      </c>
      <c r="X44" s="16">
        <v>7.5</v>
      </c>
      <c r="Y44" s="16">
        <v>9</v>
      </c>
      <c r="Z44" s="16">
        <v>6</v>
      </c>
      <c r="AA44" s="16">
        <v>9</v>
      </c>
      <c r="AB44" s="17">
        <f>(X44*$AN$5+Y44*$AN$6+Z44*$AN$7+AA44*$AN$8)/$AN$13</f>
        <v>8.2520435967302461</v>
      </c>
      <c r="AC44" s="18">
        <f>IF($AN$15="Y",10*(AB44-$AN$11)/$AN$12, 10*AB44/$AN$10)</f>
        <v>7.7039985525601606</v>
      </c>
      <c r="AD44" s="19">
        <f>RANK(AC44,AC:AC,0)</f>
        <v>41</v>
      </c>
      <c r="AE44" s="72">
        <v>41436</v>
      </c>
      <c r="AF44" s="21">
        <f>COUNTIF(AE:AE, "&lt;="&amp;AE44)</f>
        <v>55</v>
      </c>
      <c r="AG44" s="129">
        <v>41438</v>
      </c>
      <c r="AH44" s="21">
        <f>COUNTIF(AG:AG, "&lt;="&amp;AG44)</f>
        <v>46</v>
      </c>
      <c r="AI44" s="21"/>
      <c r="AJ44" s="65" t="s">
        <v>283</v>
      </c>
      <c r="AK44" s="191"/>
      <c r="AL44" s="132" t="s">
        <v>230</v>
      </c>
      <c r="AM44" s="8"/>
      <c r="AN44" s="8"/>
      <c r="AO44" s="8"/>
      <c r="AP44" s="8"/>
      <c r="AQ44" s="2"/>
      <c r="AR44" s="2"/>
      <c r="AS44" s="1"/>
      <c r="AT44" s="1"/>
      <c r="AU44" s="1"/>
    </row>
    <row r="45" spans="1:47" ht="16.5">
      <c r="A45" s="12"/>
      <c r="B45" s="23"/>
      <c r="C45" s="14"/>
      <c r="D45" s="159"/>
      <c r="E45" s="159"/>
      <c r="F45" s="159"/>
      <c r="G45" s="159"/>
      <c r="H45" s="159"/>
      <c r="I45" s="160"/>
      <c r="J45" s="9"/>
      <c r="K45" s="12" t="s">
        <v>38</v>
      </c>
      <c r="L45" s="14" t="s">
        <v>15</v>
      </c>
      <c r="M45" s="14">
        <v>12</v>
      </c>
      <c r="N45" s="68" t="s">
        <v>403</v>
      </c>
      <c r="O45" s="189" t="s">
        <v>632</v>
      </c>
      <c r="P45" s="187" t="s">
        <v>484</v>
      </c>
      <c r="Q45" s="9" t="s">
        <v>230</v>
      </c>
      <c r="R45" s="12" t="s">
        <v>226</v>
      </c>
      <c r="S45" s="14">
        <v>1</v>
      </c>
      <c r="T45" s="14">
        <v>22</v>
      </c>
      <c r="U45" s="68" t="s">
        <v>403</v>
      </c>
      <c r="V45" s="68" t="s">
        <v>632</v>
      </c>
      <c r="W45" s="92" t="s">
        <v>450</v>
      </c>
      <c r="X45" s="16">
        <v>9</v>
      </c>
      <c r="Y45" s="16">
        <v>8</v>
      </c>
      <c r="Z45" s="16">
        <v>5</v>
      </c>
      <c r="AA45" s="16">
        <v>8.5</v>
      </c>
      <c r="AB45" s="17">
        <f>(X45*$AN$5+Y45*$AN$6+Z45*$AN$7+AA45*$AN$8)/$AN$13</f>
        <v>8.246594005449591</v>
      </c>
      <c r="AC45" s="18">
        <f>IF($AN$15="Y",10*(AB45-$AN$11)/$AN$12, 10*AB45/$AN$10)</f>
        <v>7.6967613533562513</v>
      </c>
      <c r="AD45" s="19">
        <f>RANK(AC45,AC:AC,0)</f>
        <v>42</v>
      </c>
      <c r="AE45" s="72">
        <v>41424</v>
      </c>
      <c r="AF45" s="21">
        <f>COUNTIF(AE:AE, "&lt;="&amp;AE45)</f>
        <v>52</v>
      </c>
      <c r="AG45" s="129">
        <v>41430</v>
      </c>
      <c r="AH45" s="21">
        <f>COUNTIF(AG:AG, "&lt;="&amp;AG45)</f>
        <v>43</v>
      </c>
      <c r="AI45" s="21"/>
      <c r="AJ45" s="65" t="s">
        <v>284</v>
      </c>
      <c r="AK45" s="193" t="s">
        <v>172</v>
      </c>
      <c r="AL45" s="132" t="s">
        <v>230</v>
      </c>
      <c r="AM45" s="157" t="s">
        <v>543</v>
      </c>
      <c r="AN45" s="158"/>
      <c r="AO45" s="8"/>
      <c r="AP45" s="8"/>
      <c r="AQ45" s="2"/>
      <c r="AR45" s="2"/>
      <c r="AS45" s="1"/>
      <c r="AT45" s="1"/>
      <c r="AU45" s="1"/>
    </row>
    <row r="46" spans="1:47" ht="16.5">
      <c r="A46" s="12"/>
      <c r="B46" s="23"/>
      <c r="C46" s="14"/>
      <c r="D46" s="159"/>
      <c r="E46" s="159"/>
      <c r="F46" s="159"/>
      <c r="G46" s="159"/>
      <c r="H46" s="159"/>
      <c r="I46" s="160"/>
      <c r="J46" s="9"/>
      <c r="K46" s="12" t="s">
        <v>336</v>
      </c>
      <c r="L46" s="14" t="s">
        <v>321</v>
      </c>
      <c r="M46" s="14">
        <v>12</v>
      </c>
      <c r="N46" s="68" t="s">
        <v>403</v>
      </c>
      <c r="O46" s="189" t="s">
        <v>632</v>
      </c>
      <c r="P46" s="187" t="s">
        <v>484</v>
      </c>
      <c r="Q46" s="9" t="s">
        <v>230</v>
      </c>
      <c r="R46" s="12" t="s">
        <v>24</v>
      </c>
      <c r="S46" s="14">
        <v>1</v>
      </c>
      <c r="T46" s="14">
        <v>13</v>
      </c>
      <c r="U46" s="68" t="s">
        <v>403</v>
      </c>
      <c r="V46" s="68" t="s">
        <v>632</v>
      </c>
      <c r="W46" s="81" t="s">
        <v>429</v>
      </c>
      <c r="X46" s="16">
        <v>8</v>
      </c>
      <c r="Y46" s="16">
        <v>8.5</v>
      </c>
      <c r="Z46" s="16">
        <v>5</v>
      </c>
      <c r="AA46" s="16">
        <v>9</v>
      </c>
      <c r="AB46" s="17">
        <f>(X46*$AN$5+Y46*$AN$6+Z46*$AN$7+AA46*$AN$8)/$AN$13</f>
        <v>8.2302452316076291</v>
      </c>
      <c r="AC46" s="18">
        <f>IF($AN$15="Y",10*(AB46-$AN$11)/$AN$12, 10*AB46/$AN$10)</f>
        <v>7.675049755744527</v>
      </c>
      <c r="AD46" s="19">
        <f>RANK(AC46,AC:AC,0)</f>
        <v>43</v>
      </c>
      <c r="AE46" s="72">
        <v>41371</v>
      </c>
      <c r="AF46" s="21">
        <f>COUNTIF(AE:AE, "&lt;="&amp;AE46)</f>
        <v>44</v>
      </c>
      <c r="AG46" s="129">
        <v>41452</v>
      </c>
      <c r="AH46" s="21">
        <f>COUNTIF(AG:AG, "&lt;="&amp;AG46)</f>
        <v>51</v>
      </c>
      <c r="AI46" s="21"/>
      <c r="AJ46" s="65" t="s">
        <v>288</v>
      </c>
      <c r="AK46" s="193"/>
      <c r="AL46" s="132" t="s">
        <v>230</v>
      </c>
      <c r="AM46" s="42" t="s">
        <v>450</v>
      </c>
      <c r="AN46" s="99">
        <f>COUNTIF(W:W, "Coalgirls")</f>
        <v>25</v>
      </c>
      <c r="AO46" s="8"/>
      <c r="AP46" s="8"/>
      <c r="AQ46" s="2"/>
      <c r="AR46" s="2"/>
      <c r="AS46" s="1"/>
      <c r="AT46" s="1"/>
      <c r="AU46" s="1"/>
    </row>
    <row r="47" spans="1:47" ht="16.5">
      <c r="A47" s="12"/>
      <c r="B47" s="23"/>
      <c r="C47" s="14"/>
      <c r="D47" s="159"/>
      <c r="E47" s="159"/>
      <c r="F47" s="159"/>
      <c r="G47" s="159"/>
      <c r="H47" s="159"/>
      <c r="I47" s="160"/>
      <c r="J47" s="9"/>
      <c r="K47" s="12" t="s">
        <v>42</v>
      </c>
      <c r="L47" s="14" t="s">
        <v>15</v>
      </c>
      <c r="M47" s="14">
        <v>12</v>
      </c>
      <c r="N47" s="68" t="s">
        <v>403</v>
      </c>
      <c r="O47" s="189" t="s">
        <v>632</v>
      </c>
      <c r="P47" s="187" t="s">
        <v>458</v>
      </c>
      <c r="Q47" s="9" t="s">
        <v>230</v>
      </c>
      <c r="R47" s="12" t="s">
        <v>227</v>
      </c>
      <c r="S47" s="14">
        <v>1</v>
      </c>
      <c r="T47" s="14">
        <v>24</v>
      </c>
      <c r="U47" s="68" t="s">
        <v>403</v>
      </c>
      <c r="V47" s="68" t="s">
        <v>632</v>
      </c>
      <c r="W47" s="81" t="s">
        <v>450</v>
      </c>
      <c r="X47" s="16">
        <v>8.5</v>
      </c>
      <c r="Y47" s="16">
        <v>7.5</v>
      </c>
      <c r="Z47" s="16">
        <v>5</v>
      </c>
      <c r="AA47" s="16">
        <v>9</v>
      </c>
      <c r="AB47" s="17">
        <f>(X47*$AN$5+Y47*$AN$6+Z47*$AN$7+AA47*$AN$8)/$AN$13</f>
        <v>8.2152588555858301</v>
      </c>
      <c r="AC47" s="18">
        <f>IF($AN$15="Y",10*(AB47-$AN$11)/$AN$12, 10*AB47/$AN$10)</f>
        <v>7.6551474579337793</v>
      </c>
      <c r="AD47" s="19">
        <f>RANK(AC47,AC:AC,0)</f>
        <v>44</v>
      </c>
      <c r="AE47" s="72">
        <v>41431</v>
      </c>
      <c r="AF47" s="21">
        <f>COUNTIF(AE:AE, "&lt;="&amp;AE47)</f>
        <v>54</v>
      </c>
      <c r="AG47" s="129">
        <v>41436</v>
      </c>
      <c r="AH47" s="21">
        <f>COUNTIF(AG:AG, "&lt;="&amp;AG47)</f>
        <v>45</v>
      </c>
      <c r="AI47" s="21"/>
      <c r="AJ47" s="65" t="s">
        <v>283</v>
      </c>
      <c r="AK47" s="193"/>
      <c r="AL47" s="132" t="s">
        <v>230</v>
      </c>
      <c r="AM47" s="44" t="s">
        <v>452</v>
      </c>
      <c r="AN47" s="100">
        <f>COUNTIF(W:W, "HorribleSubs")</f>
        <v>23</v>
      </c>
      <c r="AO47" s="8"/>
      <c r="AP47" s="8"/>
      <c r="AQ47" s="2"/>
      <c r="AR47" s="2"/>
      <c r="AS47" s="1"/>
      <c r="AT47" s="1"/>
      <c r="AU47" s="1"/>
    </row>
    <row r="48" spans="1:47" ht="16.5">
      <c r="A48" s="12"/>
      <c r="B48" s="23"/>
      <c r="C48" s="14"/>
      <c r="D48" s="159"/>
      <c r="E48" s="159"/>
      <c r="F48" s="159"/>
      <c r="G48" s="159"/>
      <c r="H48" s="159"/>
      <c r="I48" s="160"/>
      <c r="J48" s="9"/>
      <c r="K48" s="12" t="s">
        <v>563</v>
      </c>
      <c r="L48" s="14" t="s">
        <v>15</v>
      </c>
      <c r="M48" s="14">
        <v>13</v>
      </c>
      <c r="N48" s="68" t="s">
        <v>406</v>
      </c>
      <c r="O48" s="189" t="s">
        <v>631</v>
      </c>
      <c r="P48" s="187" t="s">
        <v>540</v>
      </c>
      <c r="Q48" s="9" t="s">
        <v>230</v>
      </c>
      <c r="R48" s="12" t="s">
        <v>221</v>
      </c>
      <c r="S48" s="14">
        <v>2</v>
      </c>
      <c r="T48" s="14">
        <v>24</v>
      </c>
      <c r="U48" s="68" t="s">
        <v>403</v>
      </c>
      <c r="V48" s="68" t="s">
        <v>632</v>
      </c>
      <c r="W48" s="88" t="s">
        <v>458</v>
      </c>
      <c r="X48" s="16">
        <v>6.5</v>
      </c>
      <c r="Y48" s="16">
        <v>7.5</v>
      </c>
      <c r="Z48" s="16">
        <v>9</v>
      </c>
      <c r="AA48" s="16">
        <v>9.5</v>
      </c>
      <c r="AB48" s="17">
        <f>(X48*$AN$5+Y48*$AN$6+Z48*$AN$7+AA48*$AN$8)/$AN$13</f>
        <v>8.1702997275204368</v>
      </c>
      <c r="AC48" s="18">
        <f>IF($AN$15="Y",10*(AB48-$AN$11)/$AN$12, 10*AB48/$AN$10)</f>
        <v>7.5954405645015397</v>
      </c>
      <c r="AD48" s="19">
        <f>RANK(AC48,AC:AC,0)</f>
        <v>45</v>
      </c>
      <c r="AE48" s="72">
        <v>41338</v>
      </c>
      <c r="AF48" s="21">
        <f>COUNTIF(AE:AE, "&lt;="&amp;AE48)</f>
        <v>29</v>
      </c>
      <c r="AG48" s="129">
        <v>41340</v>
      </c>
      <c r="AH48" s="21">
        <f>COUNTIF(AG:AG, "&lt;="&amp;AG48)</f>
        <v>24</v>
      </c>
      <c r="AI48" s="21"/>
      <c r="AJ48" s="65" t="s">
        <v>249</v>
      </c>
      <c r="AK48" s="193" t="s">
        <v>68</v>
      </c>
      <c r="AL48" s="132" t="s">
        <v>230</v>
      </c>
      <c r="AM48" s="44" t="s">
        <v>429</v>
      </c>
      <c r="AN48" s="100">
        <f>COUNTIF(W:W,"FFF")+COUNTIF(W:W,"FTW")</f>
        <v>11</v>
      </c>
      <c r="AO48" s="8"/>
      <c r="AP48" s="8"/>
      <c r="AQ48" s="2"/>
      <c r="AR48" s="2"/>
      <c r="AS48" s="1"/>
      <c r="AT48" s="1"/>
      <c r="AU48" s="1"/>
    </row>
    <row r="49" spans="1:58" ht="16.5">
      <c r="A49" s="12"/>
      <c r="B49" s="23"/>
      <c r="C49" s="14"/>
      <c r="D49" s="159"/>
      <c r="E49" s="159"/>
      <c r="F49" s="159"/>
      <c r="G49" s="159"/>
      <c r="H49" s="159"/>
      <c r="I49" s="160"/>
      <c r="J49" s="9"/>
      <c r="K49" s="12" t="s">
        <v>485</v>
      </c>
      <c r="L49" s="14" t="s">
        <v>15</v>
      </c>
      <c r="M49" s="14">
        <v>11</v>
      </c>
      <c r="N49" s="68" t="s">
        <v>403</v>
      </c>
      <c r="O49" s="189" t="s">
        <v>632</v>
      </c>
      <c r="P49" s="187" t="s">
        <v>486</v>
      </c>
      <c r="Q49" s="9" t="s">
        <v>230</v>
      </c>
      <c r="R49" s="12" t="s">
        <v>199</v>
      </c>
      <c r="S49" s="14">
        <v>1</v>
      </c>
      <c r="T49" s="14">
        <v>13</v>
      </c>
      <c r="U49" s="68" t="s">
        <v>403</v>
      </c>
      <c r="V49" s="68" t="s">
        <v>631</v>
      </c>
      <c r="W49" s="81" t="s">
        <v>460</v>
      </c>
      <c r="X49" s="16">
        <v>7</v>
      </c>
      <c r="Y49" s="16">
        <v>8.5</v>
      </c>
      <c r="Z49" s="16">
        <v>10</v>
      </c>
      <c r="AA49" s="16">
        <v>8.5</v>
      </c>
      <c r="AB49" s="17">
        <f>(X49*$AN$5+Y49*$AN$6+Z49*$AN$7+AA49*$AN$8)/$AN$13</f>
        <v>8.1689373297002721</v>
      </c>
      <c r="AC49" s="18">
        <f>IF($AN$15="Y",10*(AB49-$AN$11)/$AN$12, 10*AB49/$AN$10)</f>
        <v>7.5936312647005604</v>
      </c>
      <c r="AD49" s="19">
        <f>RANK(AC49,AC:AC,0)</f>
        <v>46</v>
      </c>
      <c r="AE49" s="72">
        <v>41378</v>
      </c>
      <c r="AF49" s="21">
        <f>COUNTIF(AE:AE, "&lt;="&amp;AE49)</f>
        <v>45</v>
      </c>
      <c r="AG49" s="129">
        <v>41454</v>
      </c>
      <c r="AH49" s="21">
        <f>COUNTIF(AG:AG, "&lt;="&amp;AG49)</f>
        <v>54</v>
      </c>
      <c r="AI49" s="21"/>
      <c r="AJ49" s="65" t="s">
        <v>292</v>
      </c>
      <c r="AK49" s="191"/>
      <c r="AL49" s="132" t="s">
        <v>230</v>
      </c>
      <c r="AM49" s="44" t="s">
        <v>448</v>
      </c>
      <c r="AN49" s="100">
        <f>COUNTIF(W:W, "Doki")</f>
        <v>12</v>
      </c>
      <c r="AO49" s="8"/>
      <c r="AP49" s="8"/>
      <c r="AQ49" s="2"/>
      <c r="AR49" s="2"/>
      <c r="AS49" s="1"/>
      <c r="AT49" s="1"/>
      <c r="AU49" s="1"/>
    </row>
    <row r="50" spans="1:58" ht="16.5">
      <c r="A50" s="12"/>
      <c r="B50" s="23"/>
      <c r="C50" s="14"/>
      <c r="D50" s="159"/>
      <c r="E50" s="159"/>
      <c r="F50" s="159"/>
      <c r="G50" s="159"/>
      <c r="H50" s="159"/>
      <c r="I50" s="160"/>
      <c r="J50" s="9"/>
      <c r="K50" s="12" t="s">
        <v>402</v>
      </c>
      <c r="L50" s="14" t="s">
        <v>15</v>
      </c>
      <c r="M50" s="14">
        <v>24</v>
      </c>
      <c r="N50" s="68" t="s">
        <v>403</v>
      </c>
      <c r="O50" s="189" t="s">
        <v>635</v>
      </c>
      <c r="P50" s="187" t="s">
        <v>487</v>
      </c>
      <c r="Q50" s="9" t="s">
        <v>230</v>
      </c>
      <c r="R50" s="12" t="s">
        <v>210</v>
      </c>
      <c r="S50" s="14">
        <v>1</v>
      </c>
      <c r="T50" s="14">
        <v>14</v>
      </c>
      <c r="U50" s="68" t="s">
        <v>403</v>
      </c>
      <c r="V50" s="68" t="s">
        <v>632</v>
      </c>
      <c r="W50" s="81" t="s">
        <v>450</v>
      </c>
      <c r="X50" s="16">
        <v>8.5</v>
      </c>
      <c r="Y50" s="16">
        <v>8</v>
      </c>
      <c r="Z50" s="16">
        <v>3.5</v>
      </c>
      <c r="AA50" s="16">
        <v>9</v>
      </c>
      <c r="AB50" s="17">
        <f>(X50*$AN$5+Y50*$AN$6+Z50*$AN$7+AA50*$AN$8)/$AN$13</f>
        <v>8.162125340599454</v>
      </c>
      <c r="AC50" s="18">
        <f>IF($AN$15="Y",10*(AB50-$AN$11)/$AN$12, 10*AB50/$AN$10)</f>
        <v>7.5845847656956744</v>
      </c>
      <c r="AD50" s="19">
        <f>RANK(AC50,AC:AC,0)</f>
        <v>47</v>
      </c>
      <c r="AE50" s="72">
        <v>41245</v>
      </c>
      <c r="AF50" s="21">
        <f>COUNTIF(AE:AE, "&lt;="&amp;AE50)</f>
        <v>5</v>
      </c>
      <c r="AG50" s="129">
        <v>41250</v>
      </c>
      <c r="AH50" s="21">
        <f>COUNTIF(AG:AG, "&lt;="&amp;AG50)</f>
        <v>5</v>
      </c>
      <c r="AI50" s="21"/>
      <c r="AJ50" s="65" t="s">
        <v>319</v>
      </c>
      <c r="AK50" s="193" t="s">
        <v>60</v>
      </c>
      <c r="AL50" s="132" t="s">
        <v>230</v>
      </c>
      <c r="AM50" s="44" t="s">
        <v>427</v>
      </c>
      <c r="AN50" s="100">
        <f>COUNTIF(W:W,"UTW*")+COUNTIF(W:W,"FTW")+COUNTIF(W:W,"URW")</f>
        <v>6</v>
      </c>
      <c r="AO50" s="8"/>
      <c r="AP50" s="8"/>
      <c r="AQ50" s="2"/>
      <c r="AR50" s="2"/>
      <c r="AS50" s="1"/>
      <c r="AT50" s="1"/>
      <c r="AU50" s="1"/>
    </row>
    <row r="51" spans="1:58" ht="16.5">
      <c r="A51" s="12"/>
      <c r="B51" s="23"/>
      <c r="C51" s="14"/>
      <c r="D51" s="159"/>
      <c r="E51" s="159"/>
      <c r="F51" s="159"/>
      <c r="G51" s="159"/>
      <c r="H51" s="159"/>
      <c r="I51" s="160"/>
      <c r="J51" s="9"/>
      <c r="K51" s="12" t="s">
        <v>441</v>
      </c>
      <c r="L51" s="14" t="s">
        <v>15</v>
      </c>
      <c r="M51" s="14">
        <v>26</v>
      </c>
      <c r="N51" s="71" t="s">
        <v>406</v>
      </c>
      <c r="O51" s="190" t="s">
        <v>632</v>
      </c>
      <c r="P51" s="187" t="s">
        <v>450</v>
      </c>
      <c r="Q51" s="9" t="s">
        <v>230</v>
      </c>
      <c r="R51" s="12" t="s">
        <v>74</v>
      </c>
      <c r="S51" s="14">
        <v>1</v>
      </c>
      <c r="T51" s="14">
        <v>12</v>
      </c>
      <c r="U51" s="68" t="s">
        <v>403</v>
      </c>
      <c r="V51" s="68" t="s">
        <v>632</v>
      </c>
      <c r="W51" s="92" t="s">
        <v>448</v>
      </c>
      <c r="X51" s="16">
        <v>9</v>
      </c>
      <c r="Y51" s="16">
        <v>7.5</v>
      </c>
      <c r="Z51" s="16">
        <v>5</v>
      </c>
      <c r="AA51" s="16">
        <v>8.5</v>
      </c>
      <c r="AB51" s="17">
        <f>(X51*$AN$5+Y51*$AN$6+Z51*$AN$7+AA51*$AN$8)/$AN$13</f>
        <v>8.1607629427792912</v>
      </c>
      <c r="AC51" s="18">
        <f>IF($AN$15="Y",10*(AB51-$AN$11)/$AN$12, 10*AB51/$AN$10)</f>
        <v>7.5827754658946995</v>
      </c>
      <c r="AD51" s="19">
        <f>RANK(AC51,AC:AC,0)</f>
        <v>48</v>
      </c>
      <c r="AE51" s="72">
        <v>41255</v>
      </c>
      <c r="AF51" s="21">
        <f>COUNTIF(AE:AE, "&lt;="&amp;AE51)</f>
        <v>9</v>
      </c>
      <c r="AG51" s="129">
        <v>41256</v>
      </c>
      <c r="AH51" s="21">
        <f>COUNTIF(AG:AG, "&lt;="&amp;AG51)</f>
        <v>6</v>
      </c>
      <c r="AI51" s="21"/>
      <c r="AJ51" s="65" t="s">
        <v>287</v>
      </c>
      <c r="AK51" s="193"/>
      <c r="AL51" s="132" t="s">
        <v>230</v>
      </c>
      <c r="AM51" s="44" t="s">
        <v>458</v>
      </c>
      <c r="AN51" s="100">
        <f>COUNTIF(W:W, "Elysium")</f>
        <v>6</v>
      </c>
      <c r="AO51" s="8"/>
      <c r="AP51" s="8"/>
      <c r="AQ51" s="2"/>
      <c r="AR51" s="2"/>
      <c r="AS51" s="1"/>
      <c r="AT51" s="1"/>
      <c r="AU51" s="1"/>
    </row>
    <row r="52" spans="1:58" ht="16.5">
      <c r="A52" s="12"/>
      <c r="B52" s="23"/>
      <c r="C52" s="14"/>
      <c r="D52" s="159"/>
      <c r="E52" s="159"/>
      <c r="F52" s="159"/>
      <c r="G52" s="159"/>
      <c r="H52" s="159"/>
      <c r="I52" s="160"/>
      <c r="J52" s="9"/>
      <c r="K52" s="12" t="s">
        <v>561</v>
      </c>
      <c r="L52" s="14" t="s">
        <v>15</v>
      </c>
      <c r="M52" s="14">
        <v>13</v>
      </c>
      <c r="N52" s="68" t="s">
        <v>406</v>
      </c>
      <c r="O52" s="189" t="s">
        <v>632</v>
      </c>
      <c r="P52" s="187" t="s">
        <v>448</v>
      </c>
      <c r="Q52" s="9" t="s">
        <v>230</v>
      </c>
      <c r="R52" s="12" t="s">
        <v>58</v>
      </c>
      <c r="S52" s="14">
        <v>1</v>
      </c>
      <c r="T52" s="14">
        <v>12</v>
      </c>
      <c r="U52" s="68" t="s">
        <v>403</v>
      </c>
      <c r="V52" s="68" t="s">
        <v>632</v>
      </c>
      <c r="W52" s="81" t="s">
        <v>456</v>
      </c>
      <c r="X52" s="16">
        <v>9</v>
      </c>
      <c r="Y52" s="16">
        <v>8.5</v>
      </c>
      <c r="Z52" s="16">
        <v>3</v>
      </c>
      <c r="AA52" s="16">
        <v>8.5</v>
      </c>
      <c r="AB52" s="17">
        <f>(X52*$AN$5+Y52*$AN$6+Z52*$AN$7+AA52*$AN$8)/$AN$13</f>
        <v>8.1471389645776568</v>
      </c>
      <c r="AC52" s="18">
        <f>IF($AN$15="Y",10*(AB52-$AN$11)/$AN$12, 10*AB52/$AN$10)</f>
        <v>7.5646824678849294</v>
      </c>
      <c r="AD52" s="19">
        <f>RANK(AC52,AC:AC,0)</f>
        <v>49</v>
      </c>
      <c r="AE52" s="72">
        <v>41411</v>
      </c>
      <c r="AF52" s="21">
        <f>COUNTIF(AE:AE, "&lt;="&amp;AE52)</f>
        <v>51</v>
      </c>
      <c r="AG52" s="129">
        <v>41413</v>
      </c>
      <c r="AH52" s="21">
        <f>COUNTIF(AG:AG, "&lt;="&amp;AG52)</f>
        <v>42</v>
      </c>
      <c r="AI52" s="21"/>
      <c r="AJ52" s="65" t="s">
        <v>285</v>
      </c>
      <c r="AK52" s="193"/>
      <c r="AL52" s="132" t="s">
        <v>230</v>
      </c>
      <c r="AM52" s="44" t="s">
        <v>461</v>
      </c>
      <c r="AN52" s="100">
        <f>COUNTIF(W:W,"Mazui")+COUNTIF(W:W,"Mazui*")</f>
        <v>4</v>
      </c>
      <c r="AO52" s="8"/>
      <c r="AP52" s="8"/>
      <c r="AQ52" s="2"/>
      <c r="AR52" s="2"/>
      <c r="AS52" s="1"/>
      <c r="AT52" s="1"/>
      <c r="AU52" s="1"/>
      <c r="BF52" s="155" t="s">
        <v>621</v>
      </c>
    </row>
    <row r="53" spans="1:58" ht="16.5">
      <c r="A53" s="12"/>
      <c r="B53" s="23"/>
      <c r="C53" s="14"/>
      <c r="D53" s="159"/>
      <c r="E53" s="159"/>
      <c r="F53" s="159"/>
      <c r="G53" s="159"/>
      <c r="H53" s="159"/>
      <c r="I53" s="160"/>
      <c r="J53" s="9"/>
      <c r="K53" s="12" t="s">
        <v>562</v>
      </c>
      <c r="L53" s="14" t="s">
        <v>15</v>
      </c>
      <c r="M53" s="14">
        <v>12</v>
      </c>
      <c r="N53" s="68" t="s">
        <v>406</v>
      </c>
      <c r="O53" s="189" t="s">
        <v>632</v>
      </c>
      <c r="P53" s="187" t="s">
        <v>448</v>
      </c>
      <c r="Q53" s="9" t="s">
        <v>230</v>
      </c>
      <c r="R53" s="12" t="s">
        <v>106</v>
      </c>
      <c r="S53" s="14">
        <v>1</v>
      </c>
      <c r="T53" s="14">
        <v>13</v>
      </c>
      <c r="U53" s="68" t="s">
        <v>403</v>
      </c>
      <c r="V53" s="68" t="s">
        <v>632</v>
      </c>
      <c r="W53" s="81" t="s">
        <v>447</v>
      </c>
      <c r="X53" s="16">
        <v>5</v>
      </c>
      <c r="Y53" s="16">
        <v>9</v>
      </c>
      <c r="Z53" s="16">
        <v>10</v>
      </c>
      <c r="AA53" s="16">
        <v>9.5</v>
      </c>
      <c r="AB53" s="17">
        <f>(X53*$AN$5+Y53*$AN$6+Z53*$AN$7+AA53*$AN$8)/$AN$13</f>
        <v>8.0504087193460503</v>
      </c>
      <c r="AC53" s="18">
        <f>IF($AN$15="Y",10*(AB53-$AN$11)/$AN$12, 10*AB53/$AN$10)</f>
        <v>7.4362221820155625</v>
      </c>
      <c r="AD53" s="19">
        <f>RANK(AC53,AC:AC,0)</f>
        <v>50</v>
      </c>
      <c r="AE53" s="72">
        <v>41316</v>
      </c>
      <c r="AF53" s="21">
        <f>COUNTIF(AE:AE, "&lt;="&amp;AE53)</f>
        <v>25</v>
      </c>
      <c r="AG53" s="129">
        <v>41316</v>
      </c>
      <c r="AH53" s="21">
        <f>COUNTIF(AG:AG, "&lt;="&amp;AG53)</f>
        <v>20</v>
      </c>
      <c r="AI53" s="21"/>
      <c r="AJ53" s="65" t="s">
        <v>306</v>
      </c>
      <c r="AK53" s="193" t="s">
        <v>107</v>
      </c>
      <c r="AL53" s="132" t="s">
        <v>230</v>
      </c>
      <c r="AM53" s="44" t="s">
        <v>460</v>
      </c>
      <c r="AN53" s="100">
        <f>COUNTIF(W:W,"rori")+COUNTIF(W:W,"URW")</f>
        <v>2</v>
      </c>
      <c r="AO53" s="8"/>
      <c r="AP53" s="8"/>
      <c r="AQ53" s="2"/>
      <c r="AR53" s="2"/>
      <c r="AS53" s="1"/>
      <c r="AT53" s="1"/>
      <c r="AU53" s="1"/>
    </row>
    <row r="54" spans="1:58" ht="16.5">
      <c r="A54" s="12"/>
      <c r="B54" s="23"/>
      <c r="C54" s="14"/>
      <c r="D54" s="159"/>
      <c r="E54" s="159"/>
      <c r="F54" s="159"/>
      <c r="G54" s="159"/>
      <c r="H54" s="159"/>
      <c r="I54" s="160"/>
      <c r="J54" s="9"/>
      <c r="K54" s="12" t="s">
        <v>639</v>
      </c>
      <c r="L54" s="14" t="s">
        <v>15</v>
      </c>
      <c r="M54" s="14">
        <v>12</v>
      </c>
      <c r="N54" s="68" t="s">
        <v>406</v>
      </c>
      <c r="O54" s="189" t="s">
        <v>632</v>
      </c>
      <c r="P54" s="187" t="s">
        <v>448</v>
      </c>
      <c r="Q54" s="9" t="s">
        <v>230</v>
      </c>
      <c r="R54" s="12" t="s">
        <v>423</v>
      </c>
      <c r="S54" s="14">
        <v>1</v>
      </c>
      <c r="T54" s="14">
        <v>22</v>
      </c>
      <c r="U54" s="68" t="s">
        <v>406</v>
      </c>
      <c r="V54" s="68" t="s">
        <v>631</v>
      </c>
      <c r="W54" s="81" t="s">
        <v>452</v>
      </c>
      <c r="X54" s="16">
        <v>8.5</v>
      </c>
      <c r="Y54" s="16">
        <v>8</v>
      </c>
      <c r="Z54" s="16">
        <v>4</v>
      </c>
      <c r="AA54" s="16">
        <v>8.5</v>
      </c>
      <c r="AB54" s="17">
        <f>(X54*$AN$5+Y54*$AN$6+Z54*$AN$7+AA54*$AN$8)/$AN$13</f>
        <v>7.9972752043596724</v>
      </c>
      <c r="AC54" s="18">
        <f>IF($AN$15="Y",10*(AB54-$AN$11)/$AN$12, 10*AB54/$AN$10)</f>
        <v>7.3656594897774568</v>
      </c>
      <c r="AD54" s="19">
        <f>RANK(AC54,AC:AC,0)</f>
        <v>51</v>
      </c>
      <c r="AE54" s="72">
        <v>41562</v>
      </c>
      <c r="AF54" s="21">
        <f>COUNTIF(AE:AE, "&lt;="&amp;AE54)</f>
        <v>94</v>
      </c>
      <c r="AG54" s="129">
        <v>41728</v>
      </c>
      <c r="AH54" s="21">
        <f>COUNTIF(AG:AG, "&lt;="&amp;AG54)</f>
        <v>102</v>
      </c>
      <c r="AI54" s="21"/>
      <c r="AJ54" s="65" t="s">
        <v>557</v>
      </c>
      <c r="AK54" s="193" t="s">
        <v>558</v>
      </c>
      <c r="AL54" s="132" t="s">
        <v>230</v>
      </c>
      <c r="AM54" s="98" t="s">
        <v>544</v>
      </c>
      <c r="AN54" s="97">
        <f>AN43-(SUM(AN46:AN53)-(COUNTIF(W:W,"URW")+COUNTIF(W:W,"FTW")+COUNTIF(W:W,"UTW-Mazui")))</f>
        <v>28</v>
      </c>
      <c r="AO54" s="8"/>
      <c r="AP54" s="8"/>
      <c r="AQ54" s="2"/>
      <c r="AR54" s="2"/>
      <c r="AS54" s="1"/>
      <c r="AT54" s="1"/>
      <c r="AU54" s="1"/>
    </row>
    <row r="55" spans="1:58" ht="16.5">
      <c r="A55" s="12"/>
      <c r="B55" s="23"/>
      <c r="C55" s="14"/>
      <c r="D55" s="159"/>
      <c r="E55" s="159"/>
      <c r="F55" s="159"/>
      <c r="G55" s="159"/>
      <c r="H55" s="159"/>
      <c r="I55" s="160"/>
      <c r="J55" s="9"/>
      <c r="K55" s="12" t="s">
        <v>638</v>
      </c>
      <c r="L55" s="14" t="s">
        <v>15</v>
      </c>
      <c r="M55" s="14">
        <v>12</v>
      </c>
      <c r="N55" s="68" t="s">
        <v>406</v>
      </c>
      <c r="O55" s="189" t="s">
        <v>632</v>
      </c>
      <c r="P55" s="187" t="s">
        <v>448</v>
      </c>
      <c r="Q55" s="9" t="s">
        <v>230</v>
      </c>
      <c r="R55" s="12" t="s">
        <v>529</v>
      </c>
      <c r="S55" s="14">
        <v>1</v>
      </c>
      <c r="T55" s="14">
        <v>12</v>
      </c>
      <c r="U55" s="68" t="s">
        <v>406</v>
      </c>
      <c r="V55" s="68" t="s">
        <v>631</v>
      </c>
      <c r="W55" s="81" t="s">
        <v>452</v>
      </c>
      <c r="X55" s="16">
        <v>4</v>
      </c>
      <c r="Y55" s="16">
        <v>9.5</v>
      </c>
      <c r="Z55" s="16">
        <v>9.5</v>
      </c>
      <c r="AA55" s="16">
        <v>10</v>
      </c>
      <c r="AB55" s="17">
        <f>(X55*$AN$5+Y55*$AN$6+Z55*$AN$7+AA55*$AN$8)/$AN$13</f>
        <v>7.9877384196185295</v>
      </c>
      <c r="AC55" s="18">
        <f>IF($AN$15="Y",10*(AB55-$AN$11)/$AN$12, 10*AB55/$AN$10)</f>
        <v>7.3529943911706184</v>
      </c>
      <c r="AD55" s="19">
        <f>RANK(AC55,AC:AC,0)</f>
        <v>52</v>
      </c>
      <c r="AE55" s="72">
        <v>41638</v>
      </c>
      <c r="AF55" s="21">
        <f>COUNTIF(AE:AE, "&lt;="&amp;AE55)</f>
        <v>98</v>
      </c>
      <c r="AG55" s="129">
        <v>41641</v>
      </c>
      <c r="AH55" s="21">
        <f>COUNTIF(AG:AG, "&lt;="&amp;AG55)</f>
        <v>94</v>
      </c>
      <c r="AI55" s="21"/>
      <c r="AJ55" s="65" t="s">
        <v>530</v>
      </c>
      <c r="AK55" s="193"/>
      <c r="AL55" s="132" t="s">
        <v>230</v>
      </c>
      <c r="AM55" s="8"/>
      <c r="AN55" s="8"/>
      <c r="AO55" s="8"/>
      <c r="AP55" s="8"/>
      <c r="AQ55" s="2"/>
      <c r="AR55" s="2"/>
      <c r="AS55" s="1"/>
      <c r="AT55" s="1"/>
      <c r="AU55" s="1"/>
    </row>
    <row r="56" spans="1:58" ht="16.5">
      <c r="A56" s="12"/>
      <c r="B56" s="23"/>
      <c r="C56" s="14"/>
      <c r="D56" s="159"/>
      <c r="E56" s="159"/>
      <c r="F56" s="159"/>
      <c r="G56" s="159"/>
      <c r="H56" s="159"/>
      <c r="I56" s="160"/>
      <c r="J56" s="9"/>
      <c r="K56" s="12" t="s">
        <v>545</v>
      </c>
      <c r="L56" s="14" t="s">
        <v>49</v>
      </c>
      <c r="M56" s="14">
        <v>70</v>
      </c>
      <c r="N56" s="71" t="s">
        <v>190</v>
      </c>
      <c r="O56" s="71" t="s">
        <v>190</v>
      </c>
      <c r="P56" s="188" t="s">
        <v>190</v>
      </c>
      <c r="Q56" s="9" t="s">
        <v>230</v>
      </c>
      <c r="R56" s="12" t="s">
        <v>268</v>
      </c>
      <c r="S56" s="14">
        <v>1</v>
      </c>
      <c r="T56" s="14">
        <v>13</v>
      </c>
      <c r="U56" s="68" t="s">
        <v>403</v>
      </c>
      <c r="V56" s="68" t="s">
        <v>632</v>
      </c>
      <c r="W56" s="81" t="s">
        <v>450</v>
      </c>
      <c r="X56" s="16">
        <v>8</v>
      </c>
      <c r="Y56" s="16">
        <v>6.5</v>
      </c>
      <c r="Z56" s="16">
        <v>6</v>
      </c>
      <c r="AA56" s="16">
        <v>9</v>
      </c>
      <c r="AB56" s="17">
        <f>(X56*$AN$5+Y56*$AN$6+Z56*$AN$7+AA56*$AN$8)/$AN$13</f>
        <v>7.9795640326975468</v>
      </c>
      <c r="AC56" s="18">
        <f>IF($AN$15="Y",10*(AB56-$AN$11)/$AN$12, 10*AB56/$AN$10)</f>
        <v>7.3421385923647531</v>
      </c>
      <c r="AD56" s="19">
        <f>RANK(AC56,AC:AC,0)</f>
        <v>53</v>
      </c>
      <c r="AE56" s="72">
        <v>41316</v>
      </c>
      <c r="AF56" s="21">
        <f>COUNTIF(AE:AE, "&lt;="&amp;AE56)</f>
        <v>25</v>
      </c>
      <c r="AG56" s="129">
        <v>41323</v>
      </c>
      <c r="AH56" s="21">
        <f>COUNTIF(AG:AG, "&lt;="&amp;AG56)</f>
        <v>21</v>
      </c>
      <c r="AI56" s="21"/>
      <c r="AJ56" s="65" t="s">
        <v>291</v>
      </c>
      <c r="AK56" s="193"/>
      <c r="AL56" s="132" t="s">
        <v>230</v>
      </c>
      <c r="AM56" s="157" t="s">
        <v>645</v>
      </c>
      <c r="AN56" s="158"/>
      <c r="AO56" s="8"/>
      <c r="AP56" s="8"/>
      <c r="AQ56" s="2"/>
      <c r="AR56" s="2"/>
      <c r="AS56" s="1"/>
      <c r="AT56" s="1"/>
      <c r="AU56" s="1"/>
    </row>
    <row r="57" spans="1:58" ht="16.5">
      <c r="A57" s="12"/>
      <c r="B57" s="23"/>
      <c r="C57" s="14"/>
      <c r="D57" s="159"/>
      <c r="E57" s="159"/>
      <c r="F57" s="159"/>
      <c r="G57" s="159"/>
      <c r="H57" s="159"/>
      <c r="I57" s="160"/>
      <c r="J57" s="9"/>
      <c r="K57" s="12" t="s">
        <v>337</v>
      </c>
      <c r="L57" s="14" t="s">
        <v>338</v>
      </c>
      <c r="M57" s="14">
        <v>12</v>
      </c>
      <c r="N57" s="71" t="s">
        <v>190</v>
      </c>
      <c r="O57" s="68" t="s">
        <v>190</v>
      </c>
      <c r="P57" s="187" t="s">
        <v>190</v>
      </c>
      <c r="Q57" s="9" t="s">
        <v>230</v>
      </c>
      <c r="R57" s="12" t="s">
        <v>189</v>
      </c>
      <c r="S57" s="14">
        <v>1</v>
      </c>
      <c r="T57" s="14">
        <v>12</v>
      </c>
      <c r="U57" s="68" t="s">
        <v>403</v>
      </c>
      <c r="V57" s="68" t="s">
        <v>632</v>
      </c>
      <c r="W57" s="81" t="s">
        <v>450</v>
      </c>
      <c r="X57" s="16">
        <v>7.5</v>
      </c>
      <c r="Y57" s="16">
        <v>7.5</v>
      </c>
      <c r="Z57" s="16">
        <v>9.5</v>
      </c>
      <c r="AA57" s="16">
        <v>8</v>
      </c>
      <c r="AB57" s="17">
        <f>(X57*$AN$5+Y57*$AN$6+Z57*$AN$7+AA57*$AN$8)/$AN$13</f>
        <v>7.8964577656675745</v>
      </c>
      <c r="AC57" s="18">
        <f>IF($AN$15="Y",10*(AB57-$AN$11)/$AN$12, 10*AB57/$AN$10)</f>
        <v>7.2317713045051555</v>
      </c>
      <c r="AD57" s="19">
        <f>RANK(AC57,AC:AC,0)</f>
        <v>54</v>
      </c>
      <c r="AE57" s="72">
        <v>41453</v>
      </c>
      <c r="AF57" s="21">
        <f>COUNTIF(AE:AE, "&lt;="&amp;AE57)</f>
        <v>61</v>
      </c>
      <c r="AG57" s="129">
        <v>41456</v>
      </c>
      <c r="AH57" s="21">
        <f>COUNTIF(AG:AG, "&lt;="&amp;AG57)</f>
        <v>57</v>
      </c>
      <c r="AI57" s="21"/>
      <c r="AJ57" s="65" t="s">
        <v>247</v>
      </c>
      <c r="AK57" s="193"/>
      <c r="AL57" s="132" t="s">
        <v>230</v>
      </c>
      <c r="AM57" s="42" t="s">
        <v>632</v>
      </c>
      <c r="AN57" s="99">
        <f>COUNTIF(V:V,AM57) + COUNTIF(O:O,AM57)</f>
        <v>85</v>
      </c>
      <c r="AO57" s="8"/>
      <c r="AP57" s="8"/>
      <c r="AQ57" s="2"/>
      <c r="AR57" s="2"/>
      <c r="AS57" s="1"/>
      <c r="AT57" s="1"/>
      <c r="AU57" s="1"/>
    </row>
    <row r="58" spans="1:58" ht="16.5">
      <c r="A58" s="12"/>
      <c r="B58" s="23"/>
      <c r="C58" s="14"/>
      <c r="D58" s="159"/>
      <c r="E58" s="159"/>
      <c r="F58" s="159"/>
      <c r="G58" s="159"/>
      <c r="H58" s="159"/>
      <c r="I58" s="160"/>
      <c r="J58" s="9"/>
      <c r="K58" s="12" t="s">
        <v>609</v>
      </c>
      <c r="L58" s="14" t="s">
        <v>325</v>
      </c>
      <c r="M58" s="14">
        <v>13</v>
      </c>
      <c r="N58" s="71" t="s">
        <v>190</v>
      </c>
      <c r="O58" s="68" t="s">
        <v>190</v>
      </c>
      <c r="P58" s="187" t="s">
        <v>190</v>
      </c>
      <c r="Q58" s="9" t="s">
        <v>230</v>
      </c>
      <c r="R58" s="12" t="s">
        <v>514</v>
      </c>
      <c r="S58" s="14">
        <v>1</v>
      </c>
      <c r="T58" s="14">
        <v>12</v>
      </c>
      <c r="U58" s="68" t="s">
        <v>406</v>
      </c>
      <c r="V58" s="68" t="s">
        <v>631</v>
      </c>
      <c r="W58" s="150" t="s">
        <v>448</v>
      </c>
      <c r="X58" s="16">
        <v>6.5</v>
      </c>
      <c r="Y58" s="16">
        <v>8</v>
      </c>
      <c r="Z58" s="16">
        <v>9</v>
      </c>
      <c r="AA58" s="16">
        <v>8.5</v>
      </c>
      <c r="AB58" s="17">
        <f>(X58*$AN$5+Y58*$AN$6+Z58*$AN$7+AA58*$AN$8)/$AN$13</f>
        <v>7.8337874659400546</v>
      </c>
      <c r="AC58" s="18">
        <f>IF($AN$15="Y",10*(AB58-$AN$11)/$AN$12, 10*AB58/$AN$10)</f>
        <v>7.1485435136602131</v>
      </c>
      <c r="AD58" s="19">
        <f>RANK(AC58,AC:AC,0)</f>
        <v>55</v>
      </c>
      <c r="AE58" s="72">
        <v>41650</v>
      </c>
      <c r="AF58" s="21">
        <f>COUNTIF(AE:AE, "&lt;="&amp;AE58)</f>
        <v>109</v>
      </c>
      <c r="AG58" s="129">
        <v>41733</v>
      </c>
      <c r="AH58" s="21">
        <f>COUNTIF(AG:AG, "&lt;="&amp;AG58)</f>
        <v>105</v>
      </c>
      <c r="AI58" s="21"/>
      <c r="AJ58" s="65" t="s">
        <v>564</v>
      </c>
      <c r="AK58" s="193"/>
      <c r="AL58" s="132" t="s">
        <v>230</v>
      </c>
      <c r="AM58" s="44" t="s">
        <v>631</v>
      </c>
      <c r="AN58" s="100">
        <f t="shared" ref="AN58:AN60" si="0">COUNTIF(V:V,AM58) + COUNTIF(O:O,AM58)</f>
        <v>60</v>
      </c>
      <c r="AO58" s="8"/>
      <c r="AP58" s="8"/>
      <c r="AQ58" s="2"/>
      <c r="AR58" s="2"/>
      <c r="AS58" s="1"/>
      <c r="AT58" s="1"/>
      <c r="AU58" s="1"/>
    </row>
    <row r="59" spans="1:58" ht="16.5">
      <c r="A59" s="12"/>
      <c r="B59" s="23"/>
      <c r="C59" s="14"/>
      <c r="D59" s="159"/>
      <c r="E59" s="159"/>
      <c r="F59" s="159"/>
      <c r="G59" s="159"/>
      <c r="H59" s="159"/>
      <c r="I59" s="160"/>
      <c r="J59" s="9"/>
      <c r="K59" s="12" t="s">
        <v>610</v>
      </c>
      <c r="L59" s="14" t="s">
        <v>338</v>
      </c>
      <c r="M59" s="14">
        <v>12</v>
      </c>
      <c r="N59" s="71" t="s">
        <v>190</v>
      </c>
      <c r="O59" s="68" t="s">
        <v>190</v>
      </c>
      <c r="P59" s="187" t="s">
        <v>190</v>
      </c>
      <c r="Q59" s="9" t="s">
        <v>230</v>
      </c>
      <c r="R59" s="12" t="s">
        <v>253</v>
      </c>
      <c r="S59" s="14">
        <v>2</v>
      </c>
      <c r="T59" s="14">
        <v>12</v>
      </c>
      <c r="U59" s="68" t="s">
        <v>403</v>
      </c>
      <c r="V59" s="68" t="s">
        <v>631</v>
      </c>
      <c r="W59" s="81" t="s">
        <v>648</v>
      </c>
      <c r="X59" s="16">
        <v>7</v>
      </c>
      <c r="Y59" s="16">
        <v>8</v>
      </c>
      <c r="Z59" s="16">
        <v>9.5</v>
      </c>
      <c r="AA59" s="16">
        <v>8</v>
      </c>
      <c r="AB59" s="17">
        <f>(X59*$AN$5+Y59*$AN$6+Z59*$AN$7+AA59*$AN$8)/$AN$13</f>
        <v>7.8256130790190737</v>
      </c>
      <c r="AC59" s="18">
        <f>IF($AN$15="Y",10*(AB59-$AN$11)/$AN$12, 10*AB59/$AN$10)</f>
        <v>7.1376877148543505</v>
      </c>
      <c r="AD59" s="19">
        <f>RANK(AC59,AC:AC,0)</f>
        <v>56</v>
      </c>
      <c r="AE59" s="72">
        <v>41468</v>
      </c>
      <c r="AF59" s="21">
        <f>COUNTIF(AE:AE, "&lt;="&amp;AE59)</f>
        <v>73</v>
      </c>
      <c r="AG59" s="129">
        <v>41589</v>
      </c>
      <c r="AH59" s="21">
        <f>COUNTIF(AG:AG, "&lt;="&amp;AG59)</f>
        <v>83</v>
      </c>
      <c r="AI59" s="21"/>
      <c r="AJ59" s="65" t="s">
        <v>247</v>
      </c>
      <c r="AK59" s="193"/>
      <c r="AL59" s="132" t="s">
        <v>230</v>
      </c>
      <c r="AM59" s="44" t="s">
        <v>635</v>
      </c>
      <c r="AN59" s="100">
        <f t="shared" si="0"/>
        <v>9</v>
      </c>
      <c r="AO59" s="8"/>
      <c r="AP59" s="8"/>
      <c r="AQ59" s="2"/>
      <c r="AR59" s="2"/>
      <c r="AS59" s="1"/>
      <c r="AT59" s="1"/>
      <c r="AU59" s="1"/>
    </row>
    <row r="60" spans="1:58" ht="16.5">
      <c r="A60" s="12"/>
      <c r="B60" s="23"/>
      <c r="C60" s="14"/>
      <c r="D60" s="159"/>
      <c r="E60" s="159"/>
      <c r="F60" s="159"/>
      <c r="G60" s="159"/>
      <c r="H60" s="159"/>
      <c r="I60" s="160"/>
      <c r="J60" s="9"/>
      <c r="K60" s="12" t="s">
        <v>502</v>
      </c>
      <c r="L60" s="14" t="s">
        <v>49</v>
      </c>
      <c r="M60" s="14">
        <v>13</v>
      </c>
      <c r="N60" s="71" t="s">
        <v>190</v>
      </c>
      <c r="O60" s="68" t="s">
        <v>190</v>
      </c>
      <c r="P60" s="187" t="s">
        <v>190</v>
      </c>
      <c r="Q60" s="9" t="s">
        <v>230</v>
      </c>
      <c r="R60" s="12" t="s">
        <v>202</v>
      </c>
      <c r="S60" s="14">
        <v>1</v>
      </c>
      <c r="T60" s="14">
        <v>16</v>
      </c>
      <c r="U60" s="68" t="s">
        <v>403</v>
      </c>
      <c r="V60" s="68" t="s">
        <v>632</v>
      </c>
      <c r="W60" s="81" t="s">
        <v>450</v>
      </c>
      <c r="X60" s="16">
        <v>8</v>
      </c>
      <c r="Y60" s="16">
        <v>8.5</v>
      </c>
      <c r="Z60" s="16">
        <v>5</v>
      </c>
      <c r="AA60" s="16">
        <v>8</v>
      </c>
      <c r="AB60" s="17">
        <f>(X60*$AN$5+Y60*$AN$6+Z60*$AN$7+AA60*$AN$8)/$AN$13</f>
        <v>7.8079019073569489</v>
      </c>
      <c r="AC60" s="18">
        <f>IF($AN$15="Y",10*(AB60-$AN$11)/$AN$12, 10*AB60/$AN$10)</f>
        <v>7.1141668174416512</v>
      </c>
      <c r="AD60" s="19">
        <f>RANK(AC60,AC:AC,0)</f>
        <v>57</v>
      </c>
      <c r="AE60" s="72">
        <v>41360</v>
      </c>
      <c r="AF60" s="21">
        <f>COUNTIF(AE:AE, "&lt;="&amp;AE60)</f>
        <v>36</v>
      </c>
      <c r="AG60" s="129">
        <v>41363</v>
      </c>
      <c r="AH60" s="21">
        <f>COUNTIF(AG:AG, "&lt;="&amp;AG60)</f>
        <v>34</v>
      </c>
      <c r="AI60" s="21"/>
      <c r="AJ60" s="65" t="s">
        <v>293</v>
      </c>
      <c r="AK60" s="193" t="s">
        <v>208</v>
      </c>
      <c r="AL60" s="132" t="s">
        <v>230</v>
      </c>
      <c r="AM60" s="44" t="s">
        <v>633</v>
      </c>
      <c r="AN60" s="154">
        <f t="shared" si="0"/>
        <v>9</v>
      </c>
      <c r="AO60" s="8"/>
      <c r="AP60" s="8"/>
      <c r="AQ60" s="8"/>
      <c r="AR60" s="8"/>
      <c r="AS60" s="8"/>
      <c r="AT60" s="8"/>
      <c r="AU60" s="8"/>
      <c r="AV60" s="8"/>
      <c r="AW60" s="8"/>
      <c r="AY60" s="8"/>
    </row>
    <row r="61" spans="1:58" ht="16.5">
      <c r="A61" s="12"/>
      <c r="B61" s="23"/>
      <c r="C61" s="14"/>
      <c r="D61" s="159"/>
      <c r="E61" s="159"/>
      <c r="F61" s="159"/>
      <c r="G61" s="159"/>
      <c r="H61" s="159"/>
      <c r="I61" s="160"/>
      <c r="J61" s="9"/>
      <c r="K61" s="12" t="s">
        <v>570</v>
      </c>
      <c r="L61" s="14" t="s">
        <v>49</v>
      </c>
      <c r="M61" s="64" t="s">
        <v>190</v>
      </c>
      <c r="N61" s="71" t="s">
        <v>190</v>
      </c>
      <c r="O61" s="68" t="s">
        <v>190</v>
      </c>
      <c r="P61" s="187" t="s">
        <v>190</v>
      </c>
      <c r="Q61" s="9" t="s">
        <v>230</v>
      </c>
      <c r="R61" s="12" t="s">
        <v>255</v>
      </c>
      <c r="S61" s="14">
        <v>1</v>
      </c>
      <c r="T61" s="14">
        <v>12</v>
      </c>
      <c r="U61" s="68" t="s">
        <v>403</v>
      </c>
      <c r="V61" s="68" t="s">
        <v>631</v>
      </c>
      <c r="W61" s="81" t="s">
        <v>452</v>
      </c>
      <c r="X61" s="16">
        <v>8.5</v>
      </c>
      <c r="Y61" s="16">
        <v>7.5</v>
      </c>
      <c r="Z61" s="16">
        <v>2.5</v>
      </c>
      <c r="AA61" s="16">
        <v>8.5</v>
      </c>
      <c r="AB61" s="17">
        <f>(X61*$AN$5+Y61*$AN$6+Z61*$AN$7+AA61*$AN$8)/$AN$13</f>
        <v>7.7724795640326976</v>
      </c>
      <c r="AC61" s="18">
        <f>IF($AN$15="Y",10*(AB61-$AN$11)/$AN$12, 10*AB61/$AN$10)</f>
        <v>7.0671250226162465</v>
      </c>
      <c r="AD61" s="19">
        <f>RANK(AC61,AC:AC,0)</f>
        <v>58</v>
      </c>
      <c r="AE61" s="72">
        <v>41459</v>
      </c>
      <c r="AF61" s="21">
        <f>COUNTIF(AE:AE, "&lt;="&amp;AE61)</f>
        <v>64</v>
      </c>
      <c r="AG61" s="129">
        <v>41543</v>
      </c>
      <c r="AH61" s="21">
        <f>COUNTIF(AG:AG, "&lt;="&amp;AG61)</f>
        <v>77</v>
      </c>
      <c r="AI61" s="21"/>
      <c r="AJ61" s="65" t="s">
        <v>409</v>
      </c>
      <c r="AK61" s="193" t="s">
        <v>608</v>
      </c>
      <c r="AL61" s="132" t="s">
        <v>230</v>
      </c>
      <c r="AM61" s="98" t="s">
        <v>646</v>
      </c>
      <c r="AN61" s="97">
        <f>AN43-SUM(AN57:AN60)+COUNTIF(O:O, NOT(""))+COUNTA(O:O)-1</f>
        <v>12</v>
      </c>
      <c r="AO61" s="8"/>
      <c r="AP61" s="8"/>
      <c r="AQ61" s="8"/>
      <c r="AR61" s="8"/>
      <c r="AS61" s="8"/>
      <c r="AT61" s="8"/>
      <c r="AU61" s="8"/>
      <c r="AV61" s="8"/>
      <c r="AW61" s="8"/>
      <c r="AY61" s="8"/>
    </row>
    <row r="62" spans="1:58" ht="16.5">
      <c r="A62" s="12"/>
      <c r="B62" s="23"/>
      <c r="C62" s="14"/>
      <c r="D62" s="159"/>
      <c r="E62" s="159"/>
      <c r="F62" s="159"/>
      <c r="G62" s="159"/>
      <c r="H62" s="159"/>
      <c r="I62" s="160"/>
      <c r="J62" s="9"/>
      <c r="K62" s="12" t="s">
        <v>567</v>
      </c>
      <c r="L62" s="14" t="s">
        <v>49</v>
      </c>
      <c r="M62" s="14">
        <v>12</v>
      </c>
      <c r="N62" s="71" t="s">
        <v>190</v>
      </c>
      <c r="O62" s="68" t="s">
        <v>190</v>
      </c>
      <c r="P62" s="187" t="s">
        <v>190</v>
      </c>
      <c r="Q62" s="9" t="s">
        <v>230</v>
      </c>
      <c r="R62" s="12" t="s">
        <v>220</v>
      </c>
      <c r="S62" s="14">
        <v>1</v>
      </c>
      <c r="T62" s="14">
        <v>24</v>
      </c>
      <c r="U62" s="68" t="s">
        <v>403</v>
      </c>
      <c r="V62" s="68" t="s">
        <v>632</v>
      </c>
      <c r="W62" s="89" t="s">
        <v>448</v>
      </c>
      <c r="X62" s="16">
        <v>4</v>
      </c>
      <c r="Y62" s="16">
        <v>9</v>
      </c>
      <c r="Z62" s="16">
        <v>10</v>
      </c>
      <c r="AA62" s="16">
        <v>9.5</v>
      </c>
      <c r="AB62" s="17">
        <f>(X62*$AN$5+Y62*$AN$6+Z62*$AN$7+AA62*$AN$8)/$AN$13</f>
        <v>7.7370572207084471</v>
      </c>
      <c r="AC62" s="18">
        <f>IF($AN$15="Y",10*(AB62-$AN$11)/$AN$12, 10*AB62/$AN$10)</f>
        <v>7.0200832277908463</v>
      </c>
      <c r="AD62" s="19">
        <f>RANK(AC62,AC:AC,0)</f>
        <v>59</v>
      </c>
      <c r="AE62" s="72">
        <v>41300</v>
      </c>
      <c r="AF62" s="21">
        <f>COUNTIF(AE:AE, "&lt;="&amp;AE62)</f>
        <v>21</v>
      </c>
      <c r="AG62" s="129">
        <v>41302</v>
      </c>
      <c r="AH62" s="21">
        <f>COUNTIF(AG:AG, "&lt;="&amp;AG62)</f>
        <v>18</v>
      </c>
      <c r="AI62" s="21"/>
      <c r="AJ62" s="65" t="s">
        <v>305</v>
      </c>
      <c r="AK62" s="193" t="s">
        <v>109</v>
      </c>
      <c r="AL62" s="132" t="s">
        <v>230</v>
      </c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Y62" s="8"/>
    </row>
    <row r="63" spans="1:58" ht="16.5">
      <c r="A63" s="12"/>
      <c r="B63" s="23"/>
      <c r="C63" s="14"/>
      <c r="D63" s="159"/>
      <c r="E63" s="159"/>
      <c r="F63" s="159"/>
      <c r="G63" s="159"/>
      <c r="H63" s="159"/>
      <c r="I63" s="160"/>
      <c r="J63" s="9"/>
      <c r="K63" s="12" t="s">
        <v>81</v>
      </c>
      <c r="L63" s="14" t="s">
        <v>49</v>
      </c>
      <c r="M63" s="14">
        <v>64</v>
      </c>
      <c r="N63" s="71" t="s">
        <v>190</v>
      </c>
      <c r="O63" s="68" t="s">
        <v>190</v>
      </c>
      <c r="P63" s="187" t="s">
        <v>190</v>
      </c>
      <c r="Q63" s="9" t="s">
        <v>230</v>
      </c>
      <c r="R63" s="12" t="s">
        <v>419</v>
      </c>
      <c r="S63" s="14">
        <v>1</v>
      </c>
      <c r="T63" s="14">
        <v>24</v>
      </c>
      <c r="U63" s="68" t="s">
        <v>406</v>
      </c>
      <c r="V63" s="68" t="s">
        <v>631</v>
      </c>
      <c r="W63" s="150" t="s">
        <v>429</v>
      </c>
      <c r="X63" s="16">
        <v>8</v>
      </c>
      <c r="Y63" s="16">
        <v>8</v>
      </c>
      <c r="Z63" s="16">
        <v>5</v>
      </c>
      <c r="AA63" s="16">
        <v>8</v>
      </c>
      <c r="AB63" s="17">
        <f>(X63*$AN$5+Y63*$AN$6+Z63*$AN$7+AA63*$AN$8)/$AN$13</f>
        <v>7.7220708446866473</v>
      </c>
      <c r="AC63" s="18">
        <f>IF($AN$15="Y",10*(AB63-$AN$11)/$AN$12, 10*AB63/$AN$10)</f>
        <v>7.0001809299800959</v>
      </c>
      <c r="AD63" s="19">
        <f>RANK(AC63,AC:AC,0)</f>
        <v>60</v>
      </c>
      <c r="AE63" s="72">
        <v>41555</v>
      </c>
      <c r="AF63" s="21">
        <f>COUNTIF(AE:AE, "&lt;="&amp;AE63)</f>
        <v>91</v>
      </c>
      <c r="AG63" s="129">
        <v>41748</v>
      </c>
      <c r="AH63" s="21">
        <f>COUNTIF(AG:AG, "&lt;="&amp;AG63)</f>
        <v>110</v>
      </c>
      <c r="AI63" s="21"/>
      <c r="AJ63" s="65" t="s">
        <v>586</v>
      </c>
      <c r="AK63" s="193"/>
      <c r="AL63" s="132" t="s">
        <v>230</v>
      </c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Y63" s="8"/>
    </row>
    <row r="64" spans="1:58" ht="16.5">
      <c r="A64" s="12"/>
      <c r="B64" s="23"/>
      <c r="C64" s="14"/>
      <c r="D64" s="159"/>
      <c r="E64" s="159"/>
      <c r="F64" s="159"/>
      <c r="G64" s="159"/>
      <c r="H64" s="159"/>
      <c r="I64" s="160"/>
      <c r="J64" s="9"/>
      <c r="K64" s="12" t="s">
        <v>89</v>
      </c>
      <c r="L64" s="14" t="s">
        <v>49</v>
      </c>
      <c r="M64" s="14">
        <v>24</v>
      </c>
      <c r="N64" s="71" t="s">
        <v>190</v>
      </c>
      <c r="O64" s="68" t="s">
        <v>190</v>
      </c>
      <c r="P64" s="187" t="s">
        <v>190</v>
      </c>
      <c r="Q64" s="9" t="s">
        <v>230</v>
      </c>
      <c r="R64" s="12" t="s">
        <v>168</v>
      </c>
      <c r="S64" s="14">
        <v>1</v>
      </c>
      <c r="T64" s="14">
        <v>13</v>
      </c>
      <c r="U64" s="68" t="s">
        <v>403</v>
      </c>
      <c r="V64" s="68" t="s">
        <v>632</v>
      </c>
      <c r="W64" s="81" t="s">
        <v>463</v>
      </c>
      <c r="X64" s="16">
        <v>6</v>
      </c>
      <c r="Y64" s="16">
        <v>7</v>
      </c>
      <c r="Z64" s="16">
        <v>9</v>
      </c>
      <c r="AA64" s="16">
        <v>9</v>
      </c>
      <c r="AB64" s="17">
        <f>(X64*$AN$5+Y64*$AN$6+Z64*$AN$7+AA64*$AN$8)/$AN$13</f>
        <v>7.7166212534059948</v>
      </c>
      <c r="AC64" s="18">
        <f>IF($AN$15="Y",10*(AB64-$AN$11)/$AN$12, 10*AB64/$AN$10)</f>
        <v>6.992943730776191</v>
      </c>
      <c r="AD64" s="19">
        <f>RANK(AC64,AC:AC,0)</f>
        <v>61</v>
      </c>
      <c r="AE64" s="72">
        <v>41337</v>
      </c>
      <c r="AF64" s="21">
        <f>COUNTIF(AE:AE, "&lt;="&amp;AE64)</f>
        <v>28</v>
      </c>
      <c r="AG64" s="129">
        <v>41338</v>
      </c>
      <c r="AH64" s="21">
        <f>COUNTIF(AG:AG, "&lt;="&amp;AG64)</f>
        <v>23</v>
      </c>
      <c r="AI64" s="21"/>
      <c r="AJ64" s="65" t="s">
        <v>249</v>
      </c>
      <c r="AK64" s="193" t="s">
        <v>207</v>
      </c>
      <c r="AL64" s="132" t="s">
        <v>230</v>
      </c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Y64" s="8"/>
    </row>
    <row r="65" spans="1:51" ht="16.5">
      <c r="A65" s="12"/>
      <c r="B65" s="23"/>
      <c r="C65" s="14"/>
      <c r="D65" s="159"/>
      <c r="E65" s="159"/>
      <c r="F65" s="159"/>
      <c r="G65" s="159"/>
      <c r="H65" s="159"/>
      <c r="I65" s="160"/>
      <c r="J65" s="9"/>
      <c r="K65" s="12" t="s">
        <v>339</v>
      </c>
      <c r="L65" s="14" t="s">
        <v>325</v>
      </c>
      <c r="M65" s="14">
        <v>12</v>
      </c>
      <c r="N65" s="71" t="s">
        <v>190</v>
      </c>
      <c r="O65" s="68" t="s">
        <v>190</v>
      </c>
      <c r="P65" s="187" t="s">
        <v>190</v>
      </c>
      <c r="Q65" s="9" t="s">
        <v>230</v>
      </c>
      <c r="R65" s="12" t="s">
        <v>97</v>
      </c>
      <c r="S65" s="14">
        <v>2</v>
      </c>
      <c r="T65" s="14">
        <v>13</v>
      </c>
      <c r="U65" s="68" t="s">
        <v>403</v>
      </c>
      <c r="V65" s="68" t="s">
        <v>632</v>
      </c>
      <c r="W65" s="90" t="s">
        <v>649</v>
      </c>
      <c r="X65" s="16">
        <v>7</v>
      </c>
      <c r="Y65" s="16">
        <v>8</v>
      </c>
      <c r="Z65" s="16">
        <v>3.5</v>
      </c>
      <c r="AA65" s="16">
        <v>9</v>
      </c>
      <c r="AB65" s="17">
        <f>(X65*$AN$5+Y65*$AN$6+Z65*$AN$7+AA65*$AN$8)/$AN$13</f>
        <v>7.692098092643052</v>
      </c>
      <c r="AC65" s="18">
        <f>IF($AN$15="Y",10*(AB65-$AN$11)/$AN$12, 10*AB65/$AN$10)</f>
        <v>6.960376334358604</v>
      </c>
      <c r="AD65" s="19">
        <f>RANK(AC65,AC:AC,0)</f>
        <v>62</v>
      </c>
      <c r="AE65" s="72">
        <v>41354</v>
      </c>
      <c r="AF65" s="21">
        <f>COUNTIF(AE:AE, "&lt;="&amp;AE65)</f>
        <v>32</v>
      </c>
      <c r="AG65" s="129">
        <v>41355</v>
      </c>
      <c r="AH65" s="21">
        <f>COUNTIF(AG:AG, "&lt;="&amp;AG65)</f>
        <v>29</v>
      </c>
      <c r="AI65" s="21"/>
      <c r="AJ65" s="65" t="s">
        <v>494</v>
      </c>
      <c r="AK65" s="193"/>
      <c r="AL65" s="132" t="s">
        <v>230</v>
      </c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</row>
    <row r="66" spans="1:51" ht="16.5">
      <c r="A66" s="12"/>
      <c r="B66" s="23"/>
      <c r="C66" s="14"/>
      <c r="D66" s="159"/>
      <c r="E66" s="159"/>
      <c r="F66" s="159"/>
      <c r="G66" s="159"/>
      <c r="H66" s="159"/>
      <c r="I66" s="160"/>
      <c r="J66" s="9"/>
      <c r="K66" s="12"/>
      <c r="L66" s="14"/>
      <c r="M66" s="14"/>
      <c r="N66" s="68"/>
      <c r="O66" s="68"/>
      <c r="P66" s="149"/>
      <c r="Q66" s="9" t="s">
        <v>230</v>
      </c>
      <c r="R66" s="12" t="s">
        <v>223</v>
      </c>
      <c r="S66" s="14">
        <v>1</v>
      </c>
      <c r="T66" s="14">
        <v>26</v>
      </c>
      <c r="U66" s="68" t="s">
        <v>403</v>
      </c>
      <c r="V66" s="68" t="s">
        <v>632</v>
      </c>
      <c r="W66" s="150" t="s">
        <v>450</v>
      </c>
      <c r="X66" s="16">
        <v>6.5</v>
      </c>
      <c r="Y66" s="16">
        <v>8.5</v>
      </c>
      <c r="Z66" s="16">
        <v>6.5</v>
      </c>
      <c r="AA66" s="16">
        <v>8.5</v>
      </c>
      <c r="AB66" s="17">
        <f>(X66*$AN$5+Y66*$AN$6+Z66*$AN$7+AA66*$AN$8)/$AN$13</f>
        <v>7.6880108991825615</v>
      </c>
      <c r="AC66" s="18">
        <f>IF($AN$15="Y",10*(AB66-$AN$11)/$AN$12, 10*AB66/$AN$10)</f>
        <v>6.9549484349556732</v>
      </c>
      <c r="AD66" s="19">
        <f>RANK(AC66,AC:AC,0)</f>
        <v>63</v>
      </c>
      <c r="AE66" s="72">
        <v>41394</v>
      </c>
      <c r="AF66" s="21">
        <f>COUNTIF(AE:AE, "&lt;="&amp;AE66)</f>
        <v>47</v>
      </c>
      <c r="AG66" s="129">
        <v>41397</v>
      </c>
      <c r="AH66" s="21">
        <f>COUNTIF(AG:AG, "&lt;="&amp;AG66)</f>
        <v>39</v>
      </c>
      <c r="AI66" s="21"/>
      <c r="AJ66" s="65" t="s">
        <v>294</v>
      </c>
      <c r="AK66" s="193" t="s">
        <v>82</v>
      </c>
      <c r="AL66" s="132" t="s">
        <v>230</v>
      </c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Y66" s="8"/>
    </row>
    <row r="67" spans="1:51" ht="16.5">
      <c r="A67" s="12"/>
      <c r="B67" s="23"/>
      <c r="C67" s="14"/>
      <c r="D67" s="159"/>
      <c r="E67" s="159"/>
      <c r="F67" s="159"/>
      <c r="G67" s="159"/>
      <c r="H67" s="159"/>
      <c r="I67" s="160"/>
      <c r="J67" s="9"/>
      <c r="K67" s="12"/>
      <c r="L67" s="14"/>
      <c r="M67" s="14"/>
      <c r="N67" s="68"/>
      <c r="O67" s="68"/>
      <c r="P67" s="149"/>
      <c r="Q67" s="9" t="s">
        <v>230</v>
      </c>
      <c r="R67" s="12" t="s">
        <v>90</v>
      </c>
      <c r="S67" s="14">
        <v>1</v>
      </c>
      <c r="T67" s="14">
        <v>13</v>
      </c>
      <c r="U67" s="68" t="s">
        <v>403</v>
      </c>
      <c r="V67" s="68" t="s">
        <v>632</v>
      </c>
      <c r="W67" s="90" t="s">
        <v>450</v>
      </c>
      <c r="X67" s="16">
        <v>7</v>
      </c>
      <c r="Y67" s="16">
        <v>8</v>
      </c>
      <c r="Z67" s="16">
        <v>5.5</v>
      </c>
      <c r="AA67" s="16">
        <v>8.5</v>
      </c>
      <c r="AB67" s="17">
        <f>(X67*$AN$5+Y67*$AN$6+Z67*$AN$7+AA67*$AN$8)/$AN$13</f>
        <v>7.6662125340599463</v>
      </c>
      <c r="AC67" s="18">
        <f>IF($AN$15="Y",10*(AB67-$AN$11)/$AN$12, 10*AB67/$AN$10)</f>
        <v>6.9259996381400413</v>
      </c>
      <c r="AD67" s="19">
        <f>RANK(AC67,AC:AC,0)</f>
        <v>64</v>
      </c>
      <c r="AE67" s="72">
        <v>41363</v>
      </c>
      <c r="AF67" s="21">
        <f>COUNTIF(AE:AE, "&lt;="&amp;AE67)</f>
        <v>37</v>
      </c>
      <c r="AG67" s="129">
        <v>41364</v>
      </c>
      <c r="AH67" s="21">
        <f>COUNTIF(AG:AG, "&lt;="&amp;AG67)</f>
        <v>35</v>
      </c>
      <c r="AI67" s="21"/>
      <c r="AJ67" s="65" t="s">
        <v>320</v>
      </c>
      <c r="AK67" s="193"/>
      <c r="AL67" s="132" t="s">
        <v>230</v>
      </c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Y67" s="8"/>
    </row>
    <row r="68" spans="1:51" ht="16.5">
      <c r="A68" s="12"/>
      <c r="B68" s="23"/>
      <c r="C68" s="14"/>
      <c r="D68" s="159"/>
      <c r="E68" s="159"/>
      <c r="F68" s="159"/>
      <c r="G68" s="159"/>
      <c r="H68" s="159"/>
      <c r="I68" s="160"/>
      <c r="J68" s="9"/>
      <c r="K68" s="12"/>
      <c r="L68" s="14"/>
      <c r="M68" s="14"/>
      <c r="N68" s="68"/>
      <c r="O68" s="68"/>
      <c r="P68" s="149"/>
      <c r="Q68" s="9" t="s">
        <v>230</v>
      </c>
      <c r="R68" s="12" t="s">
        <v>518</v>
      </c>
      <c r="S68" s="14">
        <v>1</v>
      </c>
      <c r="T68" s="14">
        <v>10</v>
      </c>
      <c r="U68" s="68" t="s">
        <v>406</v>
      </c>
      <c r="V68" s="68" t="s">
        <v>631</v>
      </c>
      <c r="W68" s="91" t="s">
        <v>540</v>
      </c>
      <c r="X68" s="16">
        <v>7.5</v>
      </c>
      <c r="Y68" s="16">
        <v>8</v>
      </c>
      <c r="Z68" s="16">
        <v>6</v>
      </c>
      <c r="AA68" s="16">
        <v>8</v>
      </c>
      <c r="AB68" s="17">
        <f>(X68*$AN$5+Y68*$AN$6+Z68*$AN$7+AA68*$AN$8)/$AN$13</f>
        <v>7.6580381471389636</v>
      </c>
      <c r="AC68" s="18">
        <f>IF($AN$15="Y",10*(AB68-$AN$11)/$AN$12, 10*AB68/$AN$10)</f>
        <v>6.9151438393341769</v>
      </c>
      <c r="AD68" s="19">
        <f>RANK(AC68,AC:AC,0)</f>
        <v>65</v>
      </c>
      <c r="AE68" s="72">
        <v>41661</v>
      </c>
      <c r="AF68" s="21">
        <f>COUNTIF(AE:AE, "&lt;="&amp;AE68)</f>
        <v>110</v>
      </c>
      <c r="AG68" s="129">
        <v>41722</v>
      </c>
      <c r="AH68" s="21">
        <f>COUNTIF(AG:AG, "&lt;="&amp;AG68)</f>
        <v>99</v>
      </c>
      <c r="AI68" s="21"/>
      <c r="AJ68" s="65" t="s">
        <v>554</v>
      </c>
      <c r="AK68" s="191"/>
      <c r="AL68" s="132" t="s">
        <v>230</v>
      </c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Y68" s="8"/>
    </row>
    <row r="69" spans="1:51" ht="16.5">
      <c r="A69" s="12"/>
      <c r="B69" s="23"/>
      <c r="C69" s="14"/>
      <c r="D69" s="159"/>
      <c r="E69" s="159"/>
      <c r="F69" s="159"/>
      <c r="G69" s="159"/>
      <c r="H69" s="159"/>
      <c r="I69" s="160"/>
      <c r="J69" s="9"/>
      <c r="K69" s="12"/>
      <c r="L69" s="14"/>
      <c r="M69" s="14"/>
      <c r="N69" s="68"/>
      <c r="O69" s="68"/>
      <c r="P69" s="149"/>
      <c r="Q69" s="9" t="s">
        <v>230</v>
      </c>
      <c r="R69" s="12" t="s">
        <v>85</v>
      </c>
      <c r="S69" s="14">
        <v>1</v>
      </c>
      <c r="T69" s="14">
        <v>12</v>
      </c>
      <c r="U69" s="68" t="s">
        <v>403</v>
      </c>
      <c r="V69" s="68" t="s">
        <v>631</v>
      </c>
      <c r="W69" s="92" t="s">
        <v>453</v>
      </c>
      <c r="X69" s="16">
        <v>8</v>
      </c>
      <c r="Y69" s="16">
        <v>7</v>
      </c>
      <c r="Z69" s="16">
        <v>6</v>
      </c>
      <c r="AA69" s="16">
        <v>8</v>
      </c>
      <c r="AB69" s="17">
        <f>(X69*$AN$5+Y69*$AN$6+Z69*$AN$7+AA69*$AN$8)/$AN$13</f>
        <v>7.6430517711171655</v>
      </c>
      <c r="AC69" s="18">
        <f>IF($AN$15="Y",10*(AB69-$AN$11)/$AN$12, 10*AB69/$AN$10)</f>
        <v>6.8952415415234292</v>
      </c>
      <c r="AD69" s="19">
        <f>RANK(AC69,AC:AC,0)</f>
        <v>66</v>
      </c>
      <c r="AE69" s="72">
        <v>41251</v>
      </c>
      <c r="AF69" s="21">
        <f>COUNTIF(AE:AE, "&lt;="&amp;AE69)</f>
        <v>7</v>
      </c>
      <c r="AG69" s="129">
        <v>41263</v>
      </c>
      <c r="AH69" s="21">
        <f>COUNTIF(AG:AG, "&lt;="&amp;AG69)</f>
        <v>7</v>
      </c>
      <c r="AI69" s="21"/>
      <c r="AJ69" s="65" t="s">
        <v>309</v>
      </c>
      <c r="AK69" s="193"/>
      <c r="AL69" s="132" t="s">
        <v>230</v>
      </c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Y69" s="8"/>
    </row>
    <row r="70" spans="1:51" ht="16.5">
      <c r="A70" s="12"/>
      <c r="B70" s="23"/>
      <c r="C70" s="14"/>
      <c r="D70" s="159"/>
      <c r="E70" s="159"/>
      <c r="F70" s="159"/>
      <c r="G70" s="159"/>
      <c r="H70" s="159"/>
      <c r="I70" s="160"/>
      <c r="J70" s="9"/>
      <c r="K70" s="12"/>
      <c r="L70" s="14"/>
      <c r="M70" s="14"/>
      <c r="N70" s="68"/>
      <c r="O70" s="68"/>
      <c r="P70" s="149"/>
      <c r="Q70" s="9" t="s">
        <v>230</v>
      </c>
      <c r="R70" s="12" t="s">
        <v>513</v>
      </c>
      <c r="S70" s="14">
        <v>2</v>
      </c>
      <c r="T70" s="14">
        <v>12</v>
      </c>
      <c r="U70" s="68" t="s">
        <v>403</v>
      </c>
      <c r="V70" s="68" t="s">
        <v>631</v>
      </c>
      <c r="W70" s="92" t="s">
        <v>476</v>
      </c>
      <c r="X70" s="16">
        <v>8</v>
      </c>
      <c r="Y70" s="16">
        <v>8</v>
      </c>
      <c r="Z70" s="16">
        <v>6</v>
      </c>
      <c r="AA70" s="16">
        <v>7.5</v>
      </c>
      <c r="AB70" s="17">
        <f>(X70*$AN$5+Y70*$AN$6+Z70*$AN$7+AA70*$AN$8)/$AN$13</f>
        <v>7.6035422343324246</v>
      </c>
      <c r="AC70" s="18">
        <f>IF($AN$15="Y",10*(AB70-$AN$11)/$AN$12, 10*AB70/$AN$10)</f>
        <v>6.8427718472950962</v>
      </c>
      <c r="AD70" s="19">
        <f>RANK(AC70,AC:AC,0)</f>
        <v>67</v>
      </c>
      <c r="AE70" s="72">
        <v>41648</v>
      </c>
      <c r="AF70" s="21">
        <f>COUNTIF(AE:AE, "&lt;="&amp;AE70)</f>
        <v>105</v>
      </c>
      <c r="AG70" s="129">
        <v>41730</v>
      </c>
      <c r="AH70" s="21">
        <f>COUNTIF(AG:AG, "&lt;="&amp;AG70)</f>
        <v>103</v>
      </c>
      <c r="AI70" s="21"/>
      <c r="AJ70" s="65" t="s">
        <v>559</v>
      </c>
      <c r="AK70" s="193"/>
      <c r="AL70" s="132" t="s">
        <v>230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Y70" s="8"/>
    </row>
    <row r="71" spans="1:51" ht="16.5">
      <c r="A71" s="12"/>
      <c r="B71" s="23"/>
      <c r="C71" s="14"/>
      <c r="D71" s="159"/>
      <c r="E71" s="159"/>
      <c r="F71" s="159"/>
      <c r="G71" s="159"/>
      <c r="H71" s="159"/>
      <c r="I71" s="160"/>
      <c r="J71" s="9"/>
      <c r="K71" s="12"/>
      <c r="L71" s="14"/>
      <c r="M71" s="14"/>
      <c r="N71" s="68"/>
      <c r="O71" s="68"/>
      <c r="P71" s="149"/>
      <c r="Q71" s="9" t="s">
        <v>230</v>
      </c>
      <c r="R71" s="12" t="s">
        <v>45</v>
      </c>
      <c r="S71" s="14">
        <v>1</v>
      </c>
      <c r="T71" s="14">
        <v>12</v>
      </c>
      <c r="U71" s="68" t="s">
        <v>403</v>
      </c>
      <c r="V71" s="68" t="s">
        <v>632</v>
      </c>
      <c r="W71" s="81" t="s">
        <v>450</v>
      </c>
      <c r="X71" s="16">
        <v>7</v>
      </c>
      <c r="Y71" s="16">
        <v>8</v>
      </c>
      <c r="Z71" s="16">
        <v>7</v>
      </c>
      <c r="AA71" s="16">
        <v>8</v>
      </c>
      <c r="AB71" s="17">
        <f>(X71*$AN$5+Y71*$AN$6+Z71*$AN$7+AA71*$AN$8)/$AN$13</f>
        <v>7.5940054495912808</v>
      </c>
      <c r="AC71" s="18">
        <f>IF($AN$15="Y",10*(AB71-$AN$11)/$AN$12, 10*AB71/$AN$10)</f>
        <v>6.8301067486882578</v>
      </c>
      <c r="AD71" s="19">
        <f>RANK(AC71,AC:AC,0)</f>
        <v>68</v>
      </c>
      <c r="AE71" s="72">
        <v>41457</v>
      </c>
      <c r="AF71" s="21">
        <f>COUNTIF(AE:AE, "&lt;="&amp;AE71)</f>
        <v>63</v>
      </c>
      <c r="AG71" s="129">
        <v>41463</v>
      </c>
      <c r="AH71" s="21">
        <f>COUNTIF(AG:AG, "&lt;="&amp;AG71)</f>
        <v>59</v>
      </c>
      <c r="AI71" s="21"/>
      <c r="AJ71" s="65" t="s">
        <v>246</v>
      </c>
      <c r="AK71" s="193"/>
      <c r="AL71" s="132" t="s">
        <v>230</v>
      </c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Y71" s="8"/>
    </row>
    <row r="72" spans="1:51" ht="16.5">
      <c r="A72" s="12"/>
      <c r="B72" s="23"/>
      <c r="C72" s="14"/>
      <c r="D72" s="159"/>
      <c r="E72" s="159"/>
      <c r="F72" s="159"/>
      <c r="G72" s="159"/>
      <c r="H72" s="159"/>
      <c r="I72" s="160"/>
      <c r="J72" s="9"/>
      <c r="K72" s="12"/>
      <c r="L72" s="14"/>
      <c r="M72" s="14"/>
      <c r="N72" s="68"/>
      <c r="O72" s="68"/>
      <c r="P72" s="149"/>
      <c r="Q72" s="9" t="s">
        <v>230</v>
      </c>
      <c r="R72" s="12" t="s">
        <v>516</v>
      </c>
      <c r="S72" s="14">
        <v>1</v>
      </c>
      <c r="T72" s="14">
        <v>12</v>
      </c>
      <c r="U72" s="68" t="s">
        <v>406</v>
      </c>
      <c r="V72" s="68" t="s">
        <v>631</v>
      </c>
      <c r="W72" s="81" t="s">
        <v>540</v>
      </c>
      <c r="X72" s="16">
        <v>7.5</v>
      </c>
      <c r="Y72" s="16">
        <v>8</v>
      </c>
      <c r="Z72" s="16">
        <v>5</v>
      </c>
      <c r="AA72" s="16">
        <v>8</v>
      </c>
      <c r="AB72" s="17">
        <f>(X72*$AN$5+Y72*$AN$6+Z72*$AN$7+AA72*$AN$8)/$AN$13</f>
        <v>7.5653950953678475</v>
      </c>
      <c r="AC72" s="18">
        <f>IF($AN$15="Y",10*(AB72-$AN$11)/$AN$12, 10*AB72/$AN$10)</f>
        <v>6.7921114528677409</v>
      </c>
      <c r="AD72" s="19">
        <f>RANK(AC72,AC:AC,0)</f>
        <v>69</v>
      </c>
      <c r="AE72" s="72">
        <v>41648</v>
      </c>
      <c r="AF72" s="21">
        <f>COUNTIF(AE:AE, "&lt;="&amp;AE72)</f>
        <v>105</v>
      </c>
      <c r="AG72" s="129">
        <v>41746</v>
      </c>
      <c r="AH72" s="21">
        <f>COUNTIF(AG:AG, "&lt;="&amp;AG72)</f>
        <v>109</v>
      </c>
      <c r="AI72" s="21"/>
      <c r="AJ72" s="65" t="s">
        <v>583</v>
      </c>
      <c r="AK72" s="193"/>
      <c r="AL72" s="132" t="s">
        <v>230</v>
      </c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Y72" s="8"/>
    </row>
    <row r="73" spans="1:51" ht="16.5">
      <c r="A73" s="12"/>
      <c r="B73" s="23"/>
      <c r="C73" s="14"/>
      <c r="D73" s="159"/>
      <c r="E73" s="159"/>
      <c r="F73" s="159"/>
      <c r="G73" s="159"/>
      <c r="H73" s="159"/>
      <c r="I73" s="160"/>
      <c r="J73" s="9"/>
      <c r="K73" s="12"/>
      <c r="L73" s="14"/>
      <c r="M73" s="14"/>
      <c r="N73" s="68"/>
      <c r="O73" s="68"/>
      <c r="P73" s="149"/>
      <c r="Q73" s="9" t="s">
        <v>230</v>
      </c>
      <c r="R73" s="12" t="s">
        <v>256</v>
      </c>
      <c r="S73" s="14">
        <v>1</v>
      </c>
      <c r="T73" s="14">
        <v>13</v>
      </c>
      <c r="U73" s="68" t="s">
        <v>403</v>
      </c>
      <c r="V73" s="68" t="s">
        <v>631</v>
      </c>
      <c r="W73" s="81" t="s">
        <v>429</v>
      </c>
      <c r="X73" s="16">
        <v>8</v>
      </c>
      <c r="Y73" s="16">
        <v>8</v>
      </c>
      <c r="Z73" s="16">
        <v>5.5</v>
      </c>
      <c r="AA73" s="16">
        <v>7.5</v>
      </c>
      <c r="AB73" s="17">
        <f>(X73*$AN$5+Y73*$AN$6+Z73*$AN$7+AA73*$AN$8)/$AN$13</f>
        <v>7.5572207084468666</v>
      </c>
      <c r="AC73" s="18">
        <f>IF($AN$15="Y",10*(AB73-$AN$11)/$AN$12, 10*AB73/$AN$10)</f>
        <v>6.7812556540618791</v>
      </c>
      <c r="AD73" s="19">
        <f>RANK(AC73,AC:AC,0)</f>
        <v>70</v>
      </c>
      <c r="AE73" s="72">
        <v>41461</v>
      </c>
      <c r="AF73" s="21">
        <f>COUNTIF(AE:AE, "&lt;="&amp;AE73)</f>
        <v>67</v>
      </c>
      <c r="AG73" s="129">
        <v>41546</v>
      </c>
      <c r="AH73" s="21">
        <f>COUNTIF(AG:AG, "&lt;="&amp;AG73)</f>
        <v>80</v>
      </c>
      <c r="AI73" s="21"/>
      <c r="AJ73" s="65" t="s">
        <v>493</v>
      </c>
      <c r="AK73" s="193"/>
      <c r="AL73" s="132" t="s">
        <v>230</v>
      </c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Y73" s="8"/>
    </row>
    <row r="74" spans="1:51" ht="16.5">
      <c r="A74" s="12"/>
      <c r="B74" s="23"/>
      <c r="C74" s="14"/>
      <c r="D74" s="159"/>
      <c r="E74" s="159"/>
      <c r="F74" s="159"/>
      <c r="G74" s="159"/>
      <c r="H74" s="159"/>
      <c r="I74" s="160"/>
      <c r="J74" s="9"/>
      <c r="K74" s="12"/>
      <c r="L74" s="14"/>
      <c r="M74" s="14"/>
      <c r="N74" s="68"/>
      <c r="O74" s="68"/>
      <c r="P74" s="149"/>
      <c r="Q74" s="9" t="s">
        <v>230</v>
      </c>
      <c r="R74" s="12" t="s">
        <v>420</v>
      </c>
      <c r="S74" s="14">
        <v>1</v>
      </c>
      <c r="T74" s="14">
        <v>13</v>
      </c>
      <c r="U74" s="68" t="s">
        <v>406</v>
      </c>
      <c r="V74" s="68" t="s">
        <v>633</v>
      </c>
      <c r="W74" s="81" t="s">
        <v>452</v>
      </c>
      <c r="X74" s="16">
        <v>8.5</v>
      </c>
      <c r="Y74" s="16">
        <v>7.5</v>
      </c>
      <c r="Z74" s="16">
        <v>2</v>
      </c>
      <c r="AA74" s="16">
        <v>8</v>
      </c>
      <c r="AB74" s="17">
        <f>(X74*$AN$5+Y74*$AN$6+Z74*$AN$7+AA74*$AN$8)/$AN$13</f>
        <v>7.5149863760217981</v>
      </c>
      <c r="AC74" s="18">
        <f>IF($AN$15="Y",10*(AB74-$AN$11)/$AN$12, 10*AB74/$AN$10)</f>
        <v>6.7251673602315893</v>
      </c>
      <c r="AD74" s="19">
        <f>RANK(AC74,AC:AC,0)</f>
        <v>71</v>
      </c>
      <c r="AE74" s="72">
        <v>41555</v>
      </c>
      <c r="AF74" s="21">
        <f>COUNTIF(AE:AE, "&lt;="&amp;AE74)</f>
        <v>91</v>
      </c>
      <c r="AG74" s="129">
        <v>41634</v>
      </c>
      <c r="AH74" s="21">
        <f>COUNTIF(AG:AG, "&lt;="&amp;AG74)</f>
        <v>90</v>
      </c>
      <c r="AI74" s="21"/>
      <c r="AJ74" s="197" t="s">
        <v>506</v>
      </c>
      <c r="AK74" s="193" t="s">
        <v>507</v>
      </c>
      <c r="AL74" s="132" t="s">
        <v>230</v>
      </c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Y74" s="8"/>
    </row>
    <row r="75" spans="1:51" ht="16.5">
      <c r="A75" s="12"/>
      <c r="B75" s="23"/>
      <c r="C75" s="14"/>
      <c r="D75" s="159"/>
      <c r="E75" s="159"/>
      <c r="F75" s="159"/>
      <c r="G75" s="159"/>
      <c r="H75" s="159"/>
      <c r="I75" s="160"/>
      <c r="J75" s="9"/>
      <c r="K75" s="12"/>
      <c r="L75" s="14"/>
      <c r="M75" s="14"/>
      <c r="N75" s="68"/>
      <c r="O75" s="68"/>
      <c r="P75" s="149"/>
      <c r="Q75" s="9" t="s">
        <v>230</v>
      </c>
      <c r="R75" s="12" t="s">
        <v>102</v>
      </c>
      <c r="S75" s="14">
        <v>1</v>
      </c>
      <c r="T75" s="14">
        <v>13</v>
      </c>
      <c r="U75" s="68" t="s">
        <v>403</v>
      </c>
      <c r="V75" s="68" t="s">
        <v>632</v>
      </c>
      <c r="W75" s="81" t="s">
        <v>458</v>
      </c>
      <c r="X75" s="16">
        <v>6.5</v>
      </c>
      <c r="Y75" s="16">
        <v>7.5</v>
      </c>
      <c r="Z75" s="16">
        <v>4</v>
      </c>
      <c r="AA75" s="16">
        <v>9</v>
      </c>
      <c r="AB75" s="17">
        <f>(X75*$AN$5+Y75*$AN$6+Z75*$AN$7+AA75*$AN$8)/$AN$13</f>
        <v>7.4959128065395095</v>
      </c>
      <c r="AC75" s="18">
        <f>IF($AN$15="Y",10*(AB75-$AN$11)/$AN$12, 10*AB75/$AN$10)</f>
        <v>6.6998371630179125</v>
      </c>
      <c r="AD75" s="19">
        <f>RANK(AC75,AC:AC,0)</f>
        <v>72</v>
      </c>
      <c r="AE75" s="72">
        <v>41347</v>
      </c>
      <c r="AF75" s="21">
        <f>COUNTIF(AE:AE, "&lt;="&amp;AE75)</f>
        <v>31</v>
      </c>
      <c r="AG75" s="129">
        <v>41354</v>
      </c>
      <c r="AH75" s="21">
        <f>COUNTIF(AG:AG, "&lt;="&amp;AG75)</f>
        <v>28</v>
      </c>
      <c r="AI75" s="21"/>
      <c r="AJ75" s="206" t="s">
        <v>494</v>
      </c>
      <c r="AK75" s="193"/>
      <c r="AL75" s="132" t="s">
        <v>230</v>
      </c>
      <c r="AM75" s="8"/>
      <c r="AN75" s="8"/>
      <c r="AO75" s="8"/>
      <c r="AP75" s="8"/>
      <c r="AQ75" s="2"/>
      <c r="AR75" s="2"/>
      <c r="AS75" s="1"/>
      <c r="AT75" s="1"/>
      <c r="AU75" s="1"/>
    </row>
    <row r="76" spans="1:51" ht="16.5">
      <c r="A76" s="12"/>
      <c r="B76" s="23"/>
      <c r="C76" s="14"/>
      <c r="D76" s="159"/>
      <c r="E76" s="159"/>
      <c r="F76" s="159"/>
      <c r="G76" s="159"/>
      <c r="H76" s="159"/>
      <c r="I76" s="160"/>
      <c r="J76" s="9"/>
      <c r="K76" s="12"/>
      <c r="L76" s="14"/>
      <c r="M76" s="14"/>
      <c r="N76" s="68"/>
      <c r="O76" s="68"/>
      <c r="P76" s="149"/>
      <c r="Q76" s="9" t="s">
        <v>230</v>
      </c>
      <c r="R76" s="12" t="s">
        <v>173</v>
      </c>
      <c r="S76" s="14">
        <v>1</v>
      </c>
      <c r="T76" s="14">
        <v>12</v>
      </c>
      <c r="U76" s="68" t="s">
        <v>403</v>
      </c>
      <c r="V76" s="68" t="s">
        <v>631</v>
      </c>
      <c r="W76" s="93" t="s">
        <v>452</v>
      </c>
      <c r="X76" s="16">
        <v>7</v>
      </c>
      <c r="Y76" s="16">
        <v>7.5</v>
      </c>
      <c r="Z76" s="16">
        <v>6.5</v>
      </c>
      <c r="AA76" s="16">
        <v>8</v>
      </c>
      <c r="AB76" s="17">
        <f>(X76*$AN$5+Y76*$AN$6+Z76*$AN$7+AA76*$AN$8)/$AN$13</f>
        <v>7.461852861035422</v>
      </c>
      <c r="AC76" s="18">
        <f>IF($AN$15="Y",10*(AB76-$AN$11)/$AN$12, 10*AB76/$AN$10)</f>
        <v>6.6546046679934854</v>
      </c>
      <c r="AD76" s="19">
        <f>RANK(AC76,AC:AC,0)</f>
        <v>73</v>
      </c>
      <c r="AE76" s="72">
        <v>41430</v>
      </c>
      <c r="AF76" s="21">
        <f>COUNTIF(AE:AE, "&lt;="&amp;AE76)</f>
        <v>53</v>
      </c>
      <c r="AG76" s="129">
        <v>41431</v>
      </c>
      <c r="AH76" s="21">
        <f>COUNTIF(AG:AG, "&lt;="&amp;AG76)</f>
        <v>44</v>
      </c>
      <c r="AI76" s="21"/>
      <c r="AJ76" s="198" t="s">
        <v>495</v>
      </c>
      <c r="AK76" s="193" t="s">
        <v>174</v>
      </c>
      <c r="AL76" s="132" t="s">
        <v>230</v>
      </c>
      <c r="AM76" s="8"/>
      <c r="AN76" s="8"/>
      <c r="AO76" s="8"/>
      <c r="AP76" s="8"/>
      <c r="AQ76" s="2"/>
      <c r="AR76" s="2"/>
      <c r="AS76" s="1"/>
      <c r="AT76" s="1"/>
      <c r="AU76" s="1"/>
    </row>
    <row r="77" spans="1:51" ht="16.5">
      <c r="A77" s="12"/>
      <c r="B77" s="23"/>
      <c r="C77" s="14"/>
      <c r="D77" s="159"/>
      <c r="E77" s="159"/>
      <c r="F77" s="159"/>
      <c r="G77" s="159"/>
      <c r="H77" s="159"/>
      <c r="I77" s="160"/>
      <c r="J77" s="9"/>
      <c r="K77" s="12"/>
      <c r="L77" s="14"/>
      <c r="M77" s="14"/>
      <c r="N77" s="68"/>
      <c r="O77" s="68"/>
      <c r="P77" s="149"/>
      <c r="Q77" s="9" t="s">
        <v>230</v>
      </c>
      <c r="R77" s="12" t="s">
        <v>184</v>
      </c>
      <c r="S77" s="14">
        <v>1</v>
      </c>
      <c r="T77" s="14">
        <v>13</v>
      </c>
      <c r="U77" s="68" t="s">
        <v>403</v>
      </c>
      <c r="V77" s="68" t="s">
        <v>631</v>
      </c>
      <c r="W77" s="94" t="s">
        <v>455</v>
      </c>
      <c r="X77" s="16">
        <v>8</v>
      </c>
      <c r="Y77" s="16">
        <v>7.5</v>
      </c>
      <c r="Z77" s="16">
        <v>5</v>
      </c>
      <c r="AA77" s="16">
        <v>7.5</v>
      </c>
      <c r="AB77" s="17">
        <f>(X77*$AN$5+Y77*$AN$6+Z77*$AN$7+AA77*$AN$8)/$AN$13</f>
        <v>7.4250681198910087</v>
      </c>
      <c r="AC77" s="18">
        <f>IF($AN$15="Y",10*(AB77-$AN$11)/$AN$12, 10*AB77/$AN$10)</f>
        <v>6.6057535733671084</v>
      </c>
      <c r="AD77" s="19">
        <f>RANK(AC77,AC:AC,0)</f>
        <v>74</v>
      </c>
      <c r="AE77" s="201">
        <v>41453</v>
      </c>
      <c r="AF77" s="21">
        <f>COUNTIF(AE:AE, "&lt;="&amp;AE77)</f>
        <v>61</v>
      </c>
      <c r="AG77" s="129">
        <v>41457</v>
      </c>
      <c r="AH77" s="21">
        <f>COUNTIF(AG:AG, "&lt;="&amp;AG77)</f>
        <v>58</v>
      </c>
      <c r="AI77" s="196"/>
      <c r="AJ77" s="65" t="s">
        <v>308</v>
      </c>
      <c r="AK77" s="193" t="s">
        <v>216</v>
      </c>
      <c r="AL77" s="132" t="s">
        <v>230</v>
      </c>
      <c r="AM77" s="8"/>
      <c r="AN77" s="8"/>
      <c r="AO77" s="8"/>
      <c r="AP77" s="8"/>
      <c r="AQ77" s="2"/>
      <c r="AR77" s="2"/>
      <c r="AS77" s="1"/>
      <c r="AT77" s="1"/>
      <c r="AU77" s="1"/>
    </row>
    <row r="78" spans="1:51" ht="16.5">
      <c r="A78" s="12"/>
      <c r="B78" s="23"/>
      <c r="C78" s="14"/>
      <c r="D78" s="159"/>
      <c r="E78" s="159"/>
      <c r="F78" s="159"/>
      <c r="G78" s="159"/>
      <c r="H78" s="159"/>
      <c r="I78" s="160"/>
      <c r="J78" s="9"/>
      <c r="K78" s="12"/>
      <c r="L78" s="14"/>
      <c r="M78" s="14"/>
      <c r="N78" s="68"/>
      <c r="O78" s="68"/>
      <c r="P78" s="149"/>
      <c r="Q78" s="9" t="s">
        <v>230</v>
      </c>
      <c r="R78" s="12" t="s">
        <v>533</v>
      </c>
      <c r="S78" s="14">
        <v>1</v>
      </c>
      <c r="T78" s="14">
        <v>21</v>
      </c>
      <c r="U78" s="68" t="s">
        <v>406</v>
      </c>
      <c r="V78" s="68" t="s">
        <v>631</v>
      </c>
      <c r="W78" s="95" t="s">
        <v>540</v>
      </c>
      <c r="X78" s="16">
        <v>5</v>
      </c>
      <c r="Y78" s="16">
        <v>9</v>
      </c>
      <c r="Z78" s="16">
        <v>5</v>
      </c>
      <c r="AA78" s="16">
        <v>9</v>
      </c>
      <c r="AB78" s="17">
        <f>(X78*$AN$5+Y78*$AN$6+Z78*$AN$7+AA78*$AN$8)/$AN$13</f>
        <v>7.3760217983651231</v>
      </c>
      <c r="AC78" s="18">
        <f>IF($AN$15="Y",10*(AB78-$AN$11)/$AN$12, 10*AB78/$AN$10)</f>
        <v>6.5406187805319354</v>
      </c>
      <c r="AD78" s="19">
        <f>RANK(AC78,AC:AC,0)</f>
        <v>75</v>
      </c>
      <c r="AE78" s="205">
        <v>41648</v>
      </c>
      <c r="AF78" s="21">
        <f>COUNTIF(AE:AE, "&lt;="&amp;AE78)</f>
        <v>105</v>
      </c>
      <c r="AG78" s="129">
        <v>41785</v>
      </c>
      <c r="AH78" s="21">
        <f>COUNTIF(AG:AG, "&lt;="&amp;AG78)</f>
        <v>113</v>
      </c>
      <c r="AI78" s="195"/>
      <c r="AJ78" s="65" t="s">
        <v>618</v>
      </c>
      <c r="AK78" s="193"/>
      <c r="AL78" s="132" t="s">
        <v>230</v>
      </c>
      <c r="AM78" s="8"/>
      <c r="AN78" s="8"/>
      <c r="AO78" s="8"/>
      <c r="AP78" s="8"/>
      <c r="AQ78" s="2"/>
      <c r="AR78" s="2"/>
      <c r="AS78" s="1"/>
      <c r="AT78" s="1"/>
      <c r="AU78" s="1"/>
    </row>
    <row r="79" spans="1:51" ht="16.5">
      <c r="A79" s="12"/>
      <c r="B79" s="23"/>
      <c r="C79" s="14"/>
      <c r="D79" s="159"/>
      <c r="E79" s="159"/>
      <c r="F79" s="159"/>
      <c r="G79" s="159"/>
      <c r="H79" s="159"/>
      <c r="I79" s="160"/>
      <c r="J79" s="9"/>
      <c r="K79" s="12"/>
      <c r="L79" s="14"/>
      <c r="M79" s="14"/>
      <c r="N79" s="68"/>
      <c r="O79" s="68"/>
      <c r="P79" s="149"/>
      <c r="Q79" s="9" t="s">
        <v>230</v>
      </c>
      <c r="R79" s="12" t="s">
        <v>464</v>
      </c>
      <c r="S79" s="14">
        <v>1</v>
      </c>
      <c r="T79" s="14">
        <v>8</v>
      </c>
      <c r="U79" s="68" t="s">
        <v>403</v>
      </c>
      <c r="V79" s="68" t="s">
        <v>632</v>
      </c>
      <c r="W79" s="96" t="s">
        <v>451</v>
      </c>
      <c r="X79" s="16">
        <v>7.5</v>
      </c>
      <c r="Y79" s="16">
        <v>7.5</v>
      </c>
      <c r="Z79" s="16">
        <v>3.5</v>
      </c>
      <c r="AA79" s="16">
        <v>8</v>
      </c>
      <c r="AB79" s="17">
        <f>(X79*$AN$5+Y79*$AN$6+Z79*$AN$7+AA79*$AN$8)/$AN$13</f>
        <v>7.3405994550408717</v>
      </c>
      <c r="AC79" s="18">
        <f>IF($AN$15="Y",10*(AB79-$AN$11)/$AN$12, 10*AB79/$AN$10)</f>
        <v>6.4935769857065324</v>
      </c>
      <c r="AD79" s="19">
        <f>RANK(AC79,AC:AC,0)</f>
        <v>76</v>
      </c>
      <c r="AE79" s="72">
        <v>41541</v>
      </c>
      <c r="AF79" s="21">
        <f>COUNTIF(AE:AE, "&lt;="&amp;AE79)</f>
        <v>83</v>
      </c>
      <c r="AG79" s="129">
        <v>41541</v>
      </c>
      <c r="AH79" s="21">
        <f>COUNTIF(AG:AG, "&lt;="&amp;AG79)</f>
        <v>73</v>
      </c>
      <c r="AI79" s="21"/>
      <c r="AJ79" s="65" t="s">
        <v>408</v>
      </c>
      <c r="AK79" s="193"/>
      <c r="AL79" s="132" t="s">
        <v>230</v>
      </c>
      <c r="AM79" s="8"/>
      <c r="AN79" s="8"/>
      <c r="AO79" s="8"/>
      <c r="AP79" s="8"/>
      <c r="AQ79" s="2"/>
      <c r="AR79" s="2"/>
      <c r="AS79" s="1"/>
      <c r="AT79" s="1"/>
      <c r="AU79" s="1"/>
    </row>
    <row r="80" spans="1:51" ht="16.5">
      <c r="A80" s="12"/>
      <c r="B80" s="23"/>
      <c r="C80" s="14"/>
      <c r="D80" s="159"/>
      <c r="E80" s="159"/>
      <c r="F80" s="159"/>
      <c r="G80" s="159"/>
      <c r="H80" s="159"/>
      <c r="I80" s="160"/>
      <c r="J80" s="9"/>
      <c r="K80" s="12"/>
      <c r="L80" s="14"/>
      <c r="M80" s="14"/>
      <c r="N80" s="68"/>
      <c r="O80" s="68"/>
      <c r="P80" s="149"/>
      <c r="Q80" s="9" t="s">
        <v>230</v>
      </c>
      <c r="R80" s="12" t="s">
        <v>386</v>
      </c>
      <c r="S80" s="14">
        <v>1</v>
      </c>
      <c r="T80" s="14">
        <v>13</v>
      </c>
      <c r="U80" s="68" t="s">
        <v>403</v>
      </c>
      <c r="V80" s="68" t="s">
        <v>635</v>
      </c>
      <c r="W80" s="106" t="s">
        <v>473</v>
      </c>
      <c r="X80" s="16">
        <v>7</v>
      </c>
      <c r="Y80" s="16">
        <v>7</v>
      </c>
      <c r="Z80" s="16">
        <v>7.5</v>
      </c>
      <c r="AA80" s="16">
        <v>7.5</v>
      </c>
      <c r="AB80" s="17">
        <f>(X80*$AN$5+Y80*$AN$6+Z80*$AN$7+AA80*$AN$8)/$AN$13</f>
        <v>7.2574931880108986</v>
      </c>
      <c r="AC80" s="18">
        <f>IF($AN$15="Y",10*(AB80-$AN$11)/$AN$12, 10*AB80/$AN$10)</f>
        <v>6.3832096978469322</v>
      </c>
      <c r="AD80" s="19">
        <f>RANK(AC80,AC:AC,0)</f>
        <v>77</v>
      </c>
      <c r="AE80" s="72">
        <v>41496</v>
      </c>
      <c r="AF80" s="21">
        <f>COUNTIF(AE:AE, "&lt;="&amp;AE80)</f>
        <v>80</v>
      </c>
      <c r="AG80" s="129">
        <v>41512</v>
      </c>
      <c r="AH80" s="21">
        <f>COUNTIF(AG:AG, "&lt;="&amp;AG80)</f>
        <v>69</v>
      </c>
      <c r="AI80" s="21"/>
      <c r="AJ80" s="65" t="s">
        <v>387</v>
      </c>
      <c r="AK80" s="193" t="s">
        <v>622</v>
      </c>
      <c r="AL80" s="132" t="s">
        <v>230</v>
      </c>
      <c r="AM80" s="8"/>
      <c r="AN80" s="8"/>
      <c r="AO80" s="8"/>
      <c r="AP80" s="8"/>
      <c r="AQ80" s="2"/>
      <c r="AR80" s="2"/>
      <c r="AS80" s="1"/>
      <c r="AT80" s="1"/>
      <c r="AU80" s="1"/>
      <c r="AX80" s="8"/>
    </row>
    <row r="81" spans="1:50" ht="16.5">
      <c r="A81" s="12"/>
      <c r="B81" s="23"/>
      <c r="C81" s="14"/>
      <c r="D81" s="159"/>
      <c r="E81" s="159"/>
      <c r="F81" s="159"/>
      <c r="G81" s="159"/>
      <c r="H81" s="159"/>
      <c r="I81" s="160"/>
      <c r="J81" s="9"/>
      <c r="K81" s="12"/>
      <c r="L81" s="14"/>
      <c r="M81" s="14"/>
      <c r="N81" s="68"/>
      <c r="O81" s="68"/>
      <c r="P81" s="149"/>
      <c r="Q81" s="9" t="s">
        <v>230</v>
      </c>
      <c r="R81" s="12" t="s">
        <v>254</v>
      </c>
      <c r="S81" s="14">
        <v>1</v>
      </c>
      <c r="T81" s="14">
        <v>12</v>
      </c>
      <c r="U81" s="68" t="s">
        <v>403</v>
      </c>
      <c r="V81" s="68" t="s">
        <v>633</v>
      </c>
      <c r="W81" s="81" t="s">
        <v>452</v>
      </c>
      <c r="X81" s="16">
        <v>7</v>
      </c>
      <c r="Y81" s="16">
        <v>7.5</v>
      </c>
      <c r="Z81" s="16">
        <v>3.5</v>
      </c>
      <c r="AA81" s="16">
        <v>8</v>
      </c>
      <c r="AB81" s="17">
        <f>(X81*$AN$5+Y81*$AN$6+Z81*$AN$7+AA81*$AN$8)/$AN$13</f>
        <v>7.1839237057220702</v>
      </c>
      <c r="AC81" s="18">
        <f>IF($AN$15="Y",10*(AB81-$AN$11)/$AN$12, 10*AB81/$AN$10)</f>
        <v>6.285507508594173</v>
      </c>
      <c r="AD81" s="19">
        <f>RANK(AC81,AC:AC,0)</f>
        <v>78</v>
      </c>
      <c r="AE81" s="72">
        <v>41465</v>
      </c>
      <c r="AF81" s="21">
        <f>COUNTIF(AE:AE, "&lt;="&amp;AE81)</f>
        <v>71</v>
      </c>
      <c r="AG81" s="129">
        <v>41543</v>
      </c>
      <c r="AH81" s="21">
        <f>COUNTIF(AG:AG, "&lt;="&amp;AG81)</f>
        <v>77</v>
      </c>
      <c r="AI81" s="21"/>
      <c r="AJ81" s="65" t="s">
        <v>411</v>
      </c>
      <c r="AK81" s="193" t="s">
        <v>410</v>
      </c>
      <c r="AL81" s="132" t="s">
        <v>230</v>
      </c>
      <c r="AM81" s="8"/>
      <c r="AN81" s="8"/>
      <c r="AO81" s="8"/>
      <c r="AP81" s="8"/>
      <c r="AQ81" s="2"/>
      <c r="AR81" s="2"/>
      <c r="AS81" s="1"/>
      <c r="AT81" s="1"/>
      <c r="AU81" s="1"/>
      <c r="AX81" s="8"/>
    </row>
    <row r="82" spans="1:50" ht="16.5">
      <c r="A82" s="12"/>
      <c r="B82" s="23"/>
      <c r="C82" s="14"/>
      <c r="D82" s="159"/>
      <c r="E82" s="159"/>
      <c r="F82" s="159"/>
      <c r="G82" s="159"/>
      <c r="H82" s="159"/>
      <c r="I82" s="160"/>
      <c r="J82" s="9"/>
      <c r="K82" s="12"/>
      <c r="L82" s="14"/>
      <c r="M82" s="14"/>
      <c r="N82" s="68"/>
      <c r="O82" s="68"/>
      <c r="P82" s="149"/>
      <c r="Q82" s="9" t="s">
        <v>230</v>
      </c>
      <c r="R82" s="12" t="s">
        <v>459</v>
      </c>
      <c r="S82" s="14">
        <v>1</v>
      </c>
      <c r="T82" s="14">
        <v>28</v>
      </c>
      <c r="U82" s="68" t="s">
        <v>403</v>
      </c>
      <c r="V82" s="68" t="s">
        <v>632</v>
      </c>
      <c r="W82" s="81" t="s">
        <v>458</v>
      </c>
      <c r="X82" s="16">
        <v>7.5</v>
      </c>
      <c r="Y82" s="16">
        <v>7.5</v>
      </c>
      <c r="Z82" s="16">
        <v>4</v>
      </c>
      <c r="AA82" s="16">
        <v>7.5</v>
      </c>
      <c r="AB82" s="17">
        <f>(X82*$AN$5+Y82*$AN$6+Z82*$AN$7+AA82*$AN$8)/$AN$13</f>
        <v>7.1757493188010901</v>
      </c>
      <c r="AC82" s="18">
        <f>IF($AN$15="Y",10*(AB82-$AN$11)/$AN$12, 10*AB82/$AN$10)</f>
        <v>6.2746517097883121</v>
      </c>
      <c r="AD82" s="19">
        <f>RANK(AC82,AC:AC,0)</f>
        <v>79</v>
      </c>
      <c r="AE82" s="72">
        <v>41330</v>
      </c>
      <c r="AF82" s="21">
        <f>COUNTIF(AE:AE, "&lt;="&amp;AE82)</f>
        <v>27</v>
      </c>
      <c r="AG82" s="129">
        <v>41346</v>
      </c>
      <c r="AH82" s="21">
        <f>COUNTIF(AG:AG, "&lt;="&amp;AG82)</f>
        <v>25</v>
      </c>
      <c r="AI82" s="21"/>
      <c r="AJ82" s="65" t="s">
        <v>295</v>
      </c>
      <c r="AK82" s="193" t="s">
        <v>100</v>
      </c>
      <c r="AL82" s="132" t="s">
        <v>230</v>
      </c>
      <c r="AM82" s="8"/>
      <c r="AN82" s="8"/>
      <c r="AO82" s="8"/>
      <c r="AP82" s="8"/>
      <c r="AQ82" s="2"/>
      <c r="AR82" s="2"/>
      <c r="AS82" s="1"/>
      <c r="AT82" s="1"/>
      <c r="AU82" s="1"/>
      <c r="AX82" s="8"/>
    </row>
    <row r="83" spans="1:50" ht="16.5">
      <c r="A83" s="12"/>
      <c r="B83" s="23"/>
      <c r="C83" s="14"/>
      <c r="D83" s="159"/>
      <c r="E83" s="159"/>
      <c r="F83" s="159"/>
      <c r="G83" s="159"/>
      <c r="H83" s="159"/>
      <c r="I83" s="160"/>
      <c r="J83" s="9"/>
      <c r="K83" s="12"/>
      <c r="L83" s="14"/>
      <c r="M83" s="14"/>
      <c r="N83" s="68"/>
      <c r="O83" s="68"/>
      <c r="P83" s="149"/>
      <c r="Q83" s="9" t="s">
        <v>230</v>
      </c>
      <c r="R83" s="12" t="s">
        <v>206</v>
      </c>
      <c r="S83" s="14">
        <v>1</v>
      </c>
      <c r="T83" s="14">
        <v>12</v>
      </c>
      <c r="U83" s="68" t="s">
        <v>403</v>
      </c>
      <c r="V83" s="68" t="s">
        <v>631</v>
      </c>
      <c r="W83" s="106" t="s">
        <v>452</v>
      </c>
      <c r="X83" s="16">
        <v>6.5</v>
      </c>
      <c r="Y83" s="16">
        <v>7.5</v>
      </c>
      <c r="Z83" s="16">
        <v>5</v>
      </c>
      <c r="AA83" s="16">
        <v>8</v>
      </c>
      <c r="AB83" s="17">
        <f>(X83*$AN$5+Y83*$AN$6+Z83*$AN$7+AA83*$AN$8)/$AN$13</f>
        <v>7.1662125340599445</v>
      </c>
      <c r="AC83" s="18">
        <f>IF($AN$15="Y",10*(AB83-$AN$11)/$AN$12, 10*AB83/$AN$10)</f>
        <v>6.2619866111814719</v>
      </c>
      <c r="AD83" s="19">
        <f>RANK(AC83,AC:AC,0)</f>
        <v>80</v>
      </c>
      <c r="AE83" s="72">
        <v>41456</v>
      </c>
      <c r="AF83" s="21">
        <f>COUNTIF(AE:AE, "&lt;="&amp;AE83)</f>
        <v>62</v>
      </c>
      <c r="AG83" s="129">
        <v>41535</v>
      </c>
      <c r="AH83" s="21">
        <f>COUNTIF(AG:AG, "&lt;="&amp;AG83)</f>
        <v>71</v>
      </c>
      <c r="AI83" s="21"/>
      <c r="AJ83" s="65" t="s">
        <v>395</v>
      </c>
      <c r="AK83" s="193"/>
      <c r="AL83" s="132" t="s">
        <v>230</v>
      </c>
      <c r="AM83" s="8"/>
      <c r="AN83" s="8"/>
      <c r="AO83" s="8"/>
      <c r="AP83" s="8"/>
      <c r="AQ83" s="2"/>
      <c r="AR83" s="2"/>
      <c r="AS83" s="1"/>
      <c r="AT83" s="1"/>
      <c r="AU83" s="1"/>
      <c r="AX83" s="8"/>
    </row>
    <row r="84" spans="1:50" ht="16.5">
      <c r="A84" s="12"/>
      <c r="B84" s="23"/>
      <c r="C84" s="14"/>
      <c r="D84" s="159"/>
      <c r="E84" s="159"/>
      <c r="F84" s="159"/>
      <c r="G84" s="159"/>
      <c r="H84" s="159"/>
      <c r="I84" s="160"/>
      <c r="J84" s="9"/>
      <c r="K84" s="12"/>
      <c r="L84" s="14"/>
      <c r="M84" s="14"/>
      <c r="N84" s="68"/>
      <c r="O84" s="68"/>
      <c r="P84" s="82"/>
      <c r="Q84" s="9" t="s">
        <v>230</v>
      </c>
      <c r="R84" s="12" t="s">
        <v>252</v>
      </c>
      <c r="S84" s="14">
        <v>1</v>
      </c>
      <c r="T84" s="14">
        <v>12</v>
      </c>
      <c r="U84" s="68" t="s">
        <v>403</v>
      </c>
      <c r="V84" s="68" t="s">
        <v>632</v>
      </c>
      <c r="W84" s="107" t="s">
        <v>448</v>
      </c>
      <c r="X84" s="16">
        <v>3.5</v>
      </c>
      <c r="Y84" s="16">
        <v>8</v>
      </c>
      <c r="Z84" s="16">
        <v>9.5</v>
      </c>
      <c r="AA84" s="16">
        <v>9</v>
      </c>
      <c r="AB84" s="17">
        <f>(X84*$AN$5+Y84*$AN$6+Z84*$AN$7+AA84*$AN$8)/$AN$13</f>
        <v>7.1512261580381473</v>
      </c>
      <c r="AC84" s="18">
        <f>IF($AN$15="Y",10*(AB84-$AN$11)/$AN$12, 10*AB84/$AN$10)</f>
        <v>6.2420843133707269</v>
      </c>
      <c r="AD84" s="19">
        <f>RANK(AC84,AC:AC,0)</f>
        <v>81</v>
      </c>
      <c r="AE84" s="72">
        <v>41462</v>
      </c>
      <c r="AF84" s="21">
        <f>COUNTIF(AE:AE, "&lt;="&amp;AE84)</f>
        <v>68</v>
      </c>
      <c r="AG84" s="129">
        <v>41538</v>
      </c>
      <c r="AH84" s="21">
        <f>COUNTIF(AG:AG, "&lt;="&amp;AG84)</f>
        <v>72</v>
      </c>
      <c r="AI84" s="21"/>
      <c r="AJ84" s="65" t="s">
        <v>397</v>
      </c>
      <c r="AK84" s="193"/>
      <c r="AL84" s="132" t="s">
        <v>230</v>
      </c>
      <c r="AM84" s="8"/>
      <c r="AN84" s="8"/>
      <c r="AO84" s="8"/>
      <c r="AP84" s="8"/>
      <c r="AQ84" s="2"/>
      <c r="AR84" s="2"/>
      <c r="AS84" s="1"/>
      <c r="AT84" s="1"/>
      <c r="AU84" s="1"/>
      <c r="AX84" s="8"/>
    </row>
    <row r="85" spans="1:50" ht="16.5">
      <c r="A85" s="12"/>
      <c r="B85" s="23"/>
      <c r="C85" s="14"/>
      <c r="D85" s="159"/>
      <c r="E85" s="159"/>
      <c r="F85" s="159"/>
      <c r="G85" s="159"/>
      <c r="H85" s="159"/>
      <c r="I85" s="160"/>
      <c r="J85" s="9"/>
      <c r="K85" s="12"/>
      <c r="L85" s="14"/>
      <c r="M85" s="14"/>
      <c r="N85" s="68"/>
      <c r="O85" s="68"/>
      <c r="P85" s="82"/>
      <c r="Q85" s="9" t="s">
        <v>230</v>
      </c>
      <c r="R85" s="12" t="s">
        <v>537</v>
      </c>
      <c r="S85" s="14">
        <v>1</v>
      </c>
      <c r="T85" s="14">
        <v>12</v>
      </c>
      <c r="U85" s="68" t="s">
        <v>406</v>
      </c>
      <c r="V85" s="68" t="s">
        <v>631</v>
      </c>
      <c r="W85" s="107" t="s">
        <v>429</v>
      </c>
      <c r="X85" s="16">
        <v>7.5</v>
      </c>
      <c r="Y85" s="16">
        <v>7.5</v>
      </c>
      <c r="Z85" s="16">
        <v>3.5</v>
      </c>
      <c r="AA85" s="16">
        <v>7.5</v>
      </c>
      <c r="AB85" s="17">
        <f>(X85*$AN$5+Y85*$AN$6+Z85*$AN$7+AA85*$AN$8)/$AN$13</f>
        <v>7.1294277929155312</v>
      </c>
      <c r="AC85" s="18">
        <f>IF($AN$15="Y",10*(AB85-$AN$11)/$AN$12, 10*AB85/$AN$10)</f>
        <v>6.2131355165550914</v>
      </c>
      <c r="AD85" s="19">
        <f>RANK(AC85,AC:AC,0)</f>
        <v>82</v>
      </c>
      <c r="AE85" s="72">
        <v>41650</v>
      </c>
      <c r="AF85" s="21">
        <f>COUNTIF(AE:AE, "&lt;="&amp;AE85)</f>
        <v>109</v>
      </c>
      <c r="AG85" s="129">
        <v>41749</v>
      </c>
      <c r="AH85" s="21">
        <f>COUNTIF(AG:AG, "&lt;="&amp;AG85)</f>
        <v>111</v>
      </c>
      <c r="AI85" s="21"/>
      <c r="AJ85" s="65" t="s">
        <v>591</v>
      </c>
      <c r="AK85" s="193"/>
      <c r="AL85" s="132" t="s">
        <v>230</v>
      </c>
      <c r="AM85" s="8"/>
      <c r="AN85" s="8"/>
      <c r="AO85" s="8"/>
      <c r="AP85" s="8"/>
      <c r="AQ85" s="2"/>
      <c r="AR85" s="2"/>
      <c r="AS85" s="1"/>
      <c r="AT85" s="1"/>
      <c r="AU85" s="1"/>
    </row>
    <row r="86" spans="1:50" ht="16.5">
      <c r="A86" s="12"/>
      <c r="B86" s="23"/>
      <c r="C86" s="14"/>
      <c r="D86" s="159"/>
      <c r="E86" s="159"/>
      <c r="F86" s="159"/>
      <c r="G86" s="159"/>
      <c r="H86" s="159"/>
      <c r="I86" s="160"/>
      <c r="J86" s="9"/>
      <c r="K86" s="12"/>
      <c r="L86" s="14"/>
      <c r="M86" s="14"/>
      <c r="N86" s="68"/>
      <c r="O86" s="68"/>
      <c r="P86" s="82"/>
      <c r="Q86" s="9" t="s">
        <v>230</v>
      </c>
      <c r="R86" s="12" t="s">
        <v>104</v>
      </c>
      <c r="S86" s="14">
        <v>2</v>
      </c>
      <c r="T86" s="14">
        <v>11</v>
      </c>
      <c r="U86" s="68" t="s">
        <v>403</v>
      </c>
      <c r="V86" s="68" t="s">
        <v>632</v>
      </c>
      <c r="W86" s="108" t="s">
        <v>450</v>
      </c>
      <c r="X86" s="16">
        <v>7</v>
      </c>
      <c r="Y86" s="16">
        <v>7.5</v>
      </c>
      <c r="Z86" s="16">
        <v>4.5</v>
      </c>
      <c r="AA86" s="16">
        <v>7.5</v>
      </c>
      <c r="AB86" s="17">
        <f>(X86*$AN$5+Y86*$AN$6+Z86*$AN$7+AA86*$AN$8)/$AN$13</f>
        <v>7.0653950953678475</v>
      </c>
      <c r="AC86" s="18">
        <f>IF($AN$15="Y",10*(AB86-$AN$11)/$AN$12, 10*AB86/$AN$10)</f>
        <v>6.1280984259091742</v>
      </c>
      <c r="AD86" s="19">
        <f>RANK(AC86,AC:AC,0)</f>
        <v>83</v>
      </c>
      <c r="AE86" s="72">
        <v>41345</v>
      </c>
      <c r="AF86" s="21">
        <f>COUNTIF(AE:AE, "&lt;="&amp;AE86)</f>
        <v>30</v>
      </c>
      <c r="AG86" s="129">
        <v>41350</v>
      </c>
      <c r="AH86" s="21">
        <f>COUNTIF(AG:AG, "&lt;="&amp;AG86)</f>
        <v>26</v>
      </c>
      <c r="AI86" s="21"/>
      <c r="AJ86" s="197" t="s">
        <v>286</v>
      </c>
      <c r="AK86" s="193"/>
      <c r="AL86" s="132" t="s">
        <v>230</v>
      </c>
      <c r="AM86" s="8"/>
      <c r="AN86" s="8"/>
      <c r="AO86" s="8"/>
      <c r="AP86" s="8"/>
      <c r="AQ86" s="2"/>
      <c r="AR86" s="2"/>
      <c r="AS86" s="1"/>
      <c r="AT86" s="1"/>
      <c r="AU86" s="1"/>
    </row>
    <row r="87" spans="1:50" ht="16.5">
      <c r="A87" s="12"/>
      <c r="B87" s="23"/>
      <c r="C87" s="14"/>
      <c r="D87" s="159"/>
      <c r="E87" s="159"/>
      <c r="F87" s="159"/>
      <c r="G87" s="159"/>
      <c r="H87" s="159"/>
      <c r="I87" s="160"/>
      <c r="J87" s="9"/>
      <c r="K87" s="12"/>
      <c r="L87" s="14"/>
      <c r="M87" s="14"/>
      <c r="N87" s="68"/>
      <c r="O87" s="68"/>
      <c r="P87" s="82"/>
      <c r="Q87" s="9" t="s">
        <v>230</v>
      </c>
      <c r="R87" s="12" t="s">
        <v>95</v>
      </c>
      <c r="S87" s="14">
        <v>1</v>
      </c>
      <c r="T87" s="14">
        <v>13</v>
      </c>
      <c r="U87" s="68" t="s">
        <v>403</v>
      </c>
      <c r="V87" s="68" t="s">
        <v>631</v>
      </c>
      <c r="W87" s="118" t="s">
        <v>457</v>
      </c>
      <c r="X87" s="16">
        <v>6</v>
      </c>
      <c r="Y87" s="16">
        <v>7</v>
      </c>
      <c r="Z87" s="16">
        <v>6</v>
      </c>
      <c r="AA87" s="16">
        <v>8</v>
      </c>
      <c r="AB87" s="17">
        <f>(X87*$AN$5+Y87*$AN$6+Z87*$AN$7+AA87*$AN$8)/$AN$13</f>
        <v>7.0163487738419619</v>
      </c>
      <c r="AC87" s="18">
        <f>IF($AN$15="Y",10*(AB87-$AN$11)/$AN$12, 10*AB87/$AN$10)</f>
        <v>6.0629636330740011</v>
      </c>
      <c r="AD87" s="19">
        <f>RANK(AC87,AC:AC,0)</f>
        <v>84</v>
      </c>
      <c r="AE87" s="72">
        <v>41365</v>
      </c>
      <c r="AF87" s="21">
        <f>COUNTIF(AE:AE, "&lt;="&amp;AE87)</f>
        <v>38</v>
      </c>
      <c r="AG87" s="129">
        <v>41369</v>
      </c>
      <c r="AH87" s="21">
        <f>COUNTIF(AG:AG, "&lt;="&amp;AG87)</f>
        <v>37</v>
      </c>
      <c r="AI87" s="21"/>
      <c r="AJ87" s="206" t="s">
        <v>290</v>
      </c>
      <c r="AK87" s="193"/>
      <c r="AL87" s="132" t="s">
        <v>230</v>
      </c>
      <c r="AM87" s="8"/>
      <c r="AN87" s="8"/>
      <c r="AO87" s="8"/>
      <c r="AP87" s="8"/>
      <c r="AQ87" s="2"/>
      <c r="AR87" s="2"/>
      <c r="AS87" s="1"/>
      <c r="AT87" s="1"/>
      <c r="AU87" s="1"/>
    </row>
    <row r="88" spans="1:50" ht="16.5">
      <c r="A88" s="12"/>
      <c r="B88" s="23"/>
      <c r="C88" s="14"/>
      <c r="D88" s="159"/>
      <c r="E88" s="159"/>
      <c r="F88" s="159"/>
      <c r="G88" s="159"/>
      <c r="H88" s="159"/>
      <c r="I88" s="160"/>
      <c r="J88" s="9"/>
      <c r="K88" s="12"/>
      <c r="L88" s="14"/>
      <c r="M88" s="14"/>
      <c r="N88" s="68"/>
      <c r="O88" s="68"/>
      <c r="P88" s="82"/>
      <c r="Q88" s="9" t="s">
        <v>230</v>
      </c>
      <c r="R88" s="12" t="s">
        <v>515</v>
      </c>
      <c r="S88" s="14">
        <v>1</v>
      </c>
      <c r="T88" s="14">
        <v>12</v>
      </c>
      <c r="U88" s="68" t="s">
        <v>406</v>
      </c>
      <c r="V88" s="68" t="s">
        <v>631</v>
      </c>
      <c r="W88" s="127" t="s">
        <v>429</v>
      </c>
      <c r="X88" s="16">
        <v>6.5</v>
      </c>
      <c r="Y88" s="16">
        <v>9</v>
      </c>
      <c r="Z88" s="16">
        <v>5</v>
      </c>
      <c r="AA88" s="16">
        <v>7</v>
      </c>
      <c r="AB88" s="17">
        <f>(X88*$AN$5+Y88*$AN$6+Z88*$AN$7+AA88*$AN$8)/$AN$13</f>
        <v>7.0013623978201638</v>
      </c>
      <c r="AC88" s="18">
        <f>IF($AN$15="Y",10*(AB88-$AN$11)/$AN$12, 10*AB88/$AN$10)</f>
        <v>6.0430613352632525</v>
      </c>
      <c r="AD88" s="19">
        <f>RANK(AC88,AC:AC,0)</f>
        <v>85</v>
      </c>
      <c r="AE88" s="72">
        <v>41650</v>
      </c>
      <c r="AF88" s="21">
        <f>COUNTIF(AE:AE, "&lt;="&amp;AE88)</f>
        <v>109</v>
      </c>
      <c r="AG88" s="129">
        <v>41745</v>
      </c>
      <c r="AH88" s="21">
        <f>COUNTIF(AG:AG, "&lt;="&amp;AG88)</f>
        <v>107</v>
      </c>
      <c r="AI88" s="21"/>
      <c r="AJ88" s="197" t="s">
        <v>568</v>
      </c>
      <c r="AK88" s="193" t="s">
        <v>569</v>
      </c>
      <c r="AL88" s="132" t="s">
        <v>230</v>
      </c>
      <c r="AM88" s="8"/>
      <c r="AN88" s="8"/>
      <c r="AO88" s="8"/>
      <c r="AP88" s="8"/>
      <c r="AQ88" s="2"/>
      <c r="AR88" s="2"/>
      <c r="AS88" s="1"/>
      <c r="AT88" s="1"/>
      <c r="AU88" s="1"/>
    </row>
    <row r="89" spans="1:50" ht="16.5">
      <c r="A89" s="12"/>
      <c r="B89" s="23"/>
      <c r="C89" s="14"/>
      <c r="D89" s="159"/>
      <c r="E89" s="159"/>
      <c r="F89" s="159"/>
      <c r="G89" s="159"/>
      <c r="H89" s="159"/>
      <c r="I89" s="160"/>
      <c r="J89" s="9"/>
      <c r="K89" s="12"/>
      <c r="L89" s="14"/>
      <c r="M89" s="14"/>
      <c r="N89" s="68"/>
      <c r="O89" s="68"/>
      <c r="P89" s="82"/>
      <c r="Q89" s="9" t="s">
        <v>230</v>
      </c>
      <c r="R89" s="12" t="s">
        <v>517</v>
      </c>
      <c r="S89" s="14">
        <v>1</v>
      </c>
      <c r="T89" s="14">
        <v>13</v>
      </c>
      <c r="U89" s="199" t="s">
        <v>406</v>
      </c>
      <c r="V89" s="199" t="s">
        <v>633</v>
      </c>
      <c r="W89" s="203" t="s">
        <v>452</v>
      </c>
      <c r="X89" s="16">
        <v>5</v>
      </c>
      <c r="Y89" s="16">
        <v>7</v>
      </c>
      <c r="Z89" s="16">
        <v>4</v>
      </c>
      <c r="AA89" s="16">
        <v>9</v>
      </c>
      <c r="AB89" s="17">
        <f>(X89*$AN$5+Y89*$AN$6+Z89*$AN$7+AA89*$AN$8)/$AN$13</f>
        <v>6.9400544959128068</v>
      </c>
      <c r="AC89" s="18">
        <f>IF($AN$15="Y",10*(AB89-$AN$11)/$AN$12, 10*AB89/$AN$10)</f>
        <v>5.9616428442192859</v>
      </c>
      <c r="AD89" s="19">
        <f>RANK(AC89,AC:AC,0)</f>
        <v>86</v>
      </c>
      <c r="AE89" s="72">
        <v>41650</v>
      </c>
      <c r="AF89" s="21">
        <f>COUNTIF(AE:AE, "&lt;="&amp;AE89)</f>
        <v>109</v>
      </c>
      <c r="AG89" s="129">
        <v>41744</v>
      </c>
      <c r="AH89" s="21">
        <f>COUNTIF(AG:AG, "&lt;="&amp;AG89)</f>
        <v>106</v>
      </c>
      <c r="AI89" s="21"/>
      <c r="AJ89" s="65" t="s">
        <v>566</v>
      </c>
      <c r="AK89" s="193"/>
      <c r="AL89" s="132" t="s">
        <v>230</v>
      </c>
      <c r="AM89" s="8"/>
      <c r="AN89" s="8"/>
      <c r="AO89" s="8"/>
      <c r="AP89" s="8"/>
      <c r="AQ89" s="2"/>
      <c r="AR89" s="2"/>
      <c r="AS89" s="1"/>
      <c r="AT89" s="1"/>
      <c r="AU89" s="1"/>
    </row>
    <row r="90" spans="1:50" ht="16.5">
      <c r="A90" s="12"/>
      <c r="B90" s="23"/>
      <c r="C90" s="14"/>
      <c r="D90" s="159"/>
      <c r="E90" s="159"/>
      <c r="F90" s="159"/>
      <c r="G90" s="159"/>
      <c r="H90" s="159"/>
      <c r="I90" s="160"/>
      <c r="J90" s="9"/>
      <c r="K90" s="12"/>
      <c r="L90" s="14"/>
      <c r="M90" s="14"/>
      <c r="N90" s="68"/>
      <c r="O90" s="68"/>
      <c r="P90" s="82"/>
      <c r="Q90" s="9" t="s">
        <v>230</v>
      </c>
      <c r="R90" s="12" t="s">
        <v>113</v>
      </c>
      <c r="S90" s="14">
        <v>5</v>
      </c>
      <c r="T90" s="14">
        <v>220</v>
      </c>
      <c r="U90" s="200" t="s">
        <v>190</v>
      </c>
      <c r="V90" s="200" t="s">
        <v>190</v>
      </c>
      <c r="W90" s="204" t="s">
        <v>634</v>
      </c>
      <c r="X90" s="16">
        <v>7.5</v>
      </c>
      <c r="Y90" s="16">
        <v>8</v>
      </c>
      <c r="Z90" s="16">
        <v>0.5</v>
      </c>
      <c r="AA90" s="16">
        <v>7.5</v>
      </c>
      <c r="AB90" s="17">
        <f>(X90*$AN$5+Y90*$AN$6+Z90*$AN$7+AA90*$AN$8)/$AN$13</f>
        <v>6.9373297002724801</v>
      </c>
      <c r="AC90" s="18">
        <f>IF($AN$15="Y",10*(AB90-$AN$11)/$AN$12, 10*AB90/$AN$10)</f>
        <v>5.9580242446173335</v>
      </c>
      <c r="AD90" s="19">
        <f>RANK(AC90,AC:AC,0)</f>
        <v>87</v>
      </c>
      <c r="AE90" s="72">
        <v>41088</v>
      </c>
      <c r="AF90" s="21">
        <f>COUNTIF(AE:AE, "&lt;="&amp;AE90)</f>
        <v>2</v>
      </c>
      <c r="AG90" s="129">
        <v>41108</v>
      </c>
      <c r="AH90" s="21">
        <f>COUNTIF(AG:AG, "&lt;="&amp;AG90)</f>
        <v>2</v>
      </c>
      <c r="AI90" s="21"/>
      <c r="AJ90" s="65" t="s">
        <v>307</v>
      </c>
      <c r="AK90" s="193" t="s">
        <v>469</v>
      </c>
      <c r="AL90" s="132" t="s">
        <v>230</v>
      </c>
      <c r="AM90" s="8"/>
      <c r="AN90" s="8"/>
      <c r="AO90" s="8"/>
      <c r="AP90" s="8"/>
      <c r="AQ90" s="2"/>
      <c r="AR90" s="2"/>
      <c r="AS90" s="1"/>
      <c r="AT90" s="1"/>
      <c r="AU90" s="1"/>
    </row>
    <row r="91" spans="1:50" ht="16.5">
      <c r="A91" s="12"/>
      <c r="B91" s="23"/>
      <c r="C91" s="14"/>
      <c r="D91" s="159"/>
      <c r="E91" s="159"/>
      <c r="F91" s="159"/>
      <c r="G91" s="159"/>
      <c r="H91" s="159"/>
      <c r="I91" s="160"/>
      <c r="J91" s="9"/>
      <c r="K91" s="12"/>
      <c r="L91" s="14"/>
      <c r="M91" s="14"/>
      <c r="N91" s="68"/>
      <c r="O91" s="68"/>
      <c r="P91" s="82"/>
      <c r="Q91" s="9" t="s">
        <v>230</v>
      </c>
      <c r="R91" s="12" t="s">
        <v>251</v>
      </c>
      <c r="S91" s="14">
        <v>1</v>
      </c>
      <c r="T91" s="14">
        <v>12</v>
      </c>
      <c r="U91" s="68" t="s">
        <v>403</v>
      </c>
      <c r="V91" s="68" t="s">
        <v>632</v>
      </c>
      <c r="W91" s="90" t="s">
        <v>456</v>
      </c>
      <c r="X91" s="16">
        <v>4</v>
      </c>
      <c r="Y91" s="16">
        <v>8</v>
      </c>
      <c r="Z91" s="16">
        <v>3</v>
      </c>
      <c r="AA91" s="16">
        <v>9.5</v>
      </c>
      <c r="AB91" s="17">
        <f>(X91*$AN$5+Y91*$AN$6+Z91*$AN$7+AA91*$AN$8)/$AN$13</f>
        <v>6.9168937329700269</v>
      </c>
      <c r="AC91" s="18">
        <f>IF($AN$15="Y",10*(AB91-$AN$11)/$AN$12, 10*AB91/$AN$10)</f>
        <v>5.9308847476026765</v>
      </c>
      <c r="AD91" s="19">
        <f>RANK(AC91,AC:AC,0)</f>
        <v>88</v>
      </c>
      <c r="AE91" s="72">
        <v>41443</v>
      </c>
      <c r="AF91" s="21">
        <f>COUNTIF(AE:AE, "&lt;="&amp;AE91)</f>
        <v>56</v>
      </c>
      <c r="AG91" s="129">
        <v>41444</v>
      </c>
      <c r="AH91" s="21">
        <f>COUNTIF(AG:AG, "&lt;="&amp;AG91)</f>
        <v>47</v>
      </c>
      <c r="AI91" s="21"/>
      <c r="AJ91" s="65" t="s">
        <v>298</v>
      </c>
      <c r="AK91" s="193"/>
      <c r="AL91" s="132" t="s">
        <v>230</v>
      </c>
      <c r="AM91" s="8"/>
      <c r="AN91" s="8"/>
      <c r="AO91" s="8"/>
      <c r="AP91" s="8"/>
      <c r="AQ91" s="2"/>
      <c r="AR91" s="2"/>
      <c r="AS91" s="1"/>
      <c r="AT91" s="1"/>
      <c r="AU91" s="1"/>
    </row>
    <row r="92" spans="1:50" ht="16.5">
      <c r="A92" s="12"/>
      <c r="B92" s="23"/>
      <c r="C92" s="14"/>
      <c r="D92" s="159"/>
      <c r="E92" s="159"/>
      <c r="F92" s="159"/>
      <c r="G92" s="159"/>
      <c r="H92" s="159"/>
      <c r="I92" s="160"/>
      <c r="J92" s="9"/>
      <c r="K92" s="12"/>
      <c r="L92" s="14"/>
      <c r="M92" s="14"/>
      <c r="N92" s="68"/>
      <c r="O92" s="68"/>
      <c r="P92" s="82"/>
      <c r="Q92" s="9" t="s">
        <v>230</v>
      </c>
      <c r="R92" s="192" t="s">
        <v>211</v>
      </c>
      <c r="S92" s="14">
        <v>2</v>
      </c>
      <c r="T92" s="14">
        <v>11</v>
      </c>
      <c r="U92" s="68" t="s">
        <v>403</v>
      </c>
      <c r="V92" s="68" t="s">
        <v>632</v>
      </c>
      <c r="W92" s="114" t="s">
        <v>450</v>
      </c>
      <c r="X92" s="16">
        <v>6.5</v>
      </c>
      <c r="Y92" s="16">
        <v>7</v>
      </c>
      <c r="Z92" s="16">
        <v>7.5</v>
      </c>
      <c r="AA92" s="16">
        <v>7</v>
      </c>
      <c r="AB92" s="17">
        <f>(X92*$AN$5+Y92*$AN$6+Z92*$AN$7+AA92*$AN$8)/$AN$13</f>
        <v>6.8896457765667574</v>
      </c>
      <c r="AC92" s="18">
        <f>IF($AN$15="Y",10*(AB92-$AN$11)/$AN$12, 10*AB92/$AN$10)</f>
        <v>5.8946987515831379</v>
      </c>
      <c r="AD92" s="19">
        <f>RANK(AC92,AC:AC,0)</f>
        <v>89</v>
      </c>
      <c r="AE92" s="72">
        <v>41250</v>
      </c>
      <c r="AF92" s="21">
        <f>COUNTIF(AE:AE, "&lt;="&amp;AE92)</f>
        <v>6</v>
      </c>
      <c r="AG92" s="129">
        <v>41265</v>
      </c>
      <c r="AH92" s="21">
        <f>COUNTIF(AG:AG, "&lt;="&amp;AG92)</f>
        <v>9</v>
      </c>
      <c r="AI92" s="21"/>
      <c r="AJ92" s="65" t="s">
        <v>316</v>
      </c>
      <c r="AK92" s="193" t="s">
        <v>60</v>
      </c>
      <c r="AL92" s="132" t="s">
        <v>230</v>
      </c>
      <c r="AM92" s="8"/>
      <c r="AN92" s="8"/>
      <c r="AO92" s="8"/>
      <c r="AP92" s="8"/>
      <c r="AQ92" s="2"/>
      <c r="AR92" s="2"/>
      <c r="AS92" s="1"/>
      <c r="AT92" s="1"/>
      <c r="AU92" s="1"/>
    </row>
    <row r="93" spans="1:50" ht="16.5">
      <c r="A93" s="12"/>
      <c r="B93" s="23"/>
      <c r="C93" s="14"/>
      <c r="D93" s="159"/>
      <c r="E93" s="159"/>
      <c r="F93" s="159"/>
      <c r="G93" s="159"/>
      <c r="H93" s="159"/>
      <c r="I93" s="160"/>
      <c r="J93" s="9"/>
      <c r="K93" s="12"/>
      <c r="L93" s="14"/>
      <c r="M93" s="14"/>
      <c r="N93" s="68"/>
      <c r="O93" s="68"/>
      <c r="P93" s="82"/>
      <c r="Q93" s="9" t="s">
        <v>230</v>
      </c>
      <c r="R93" s="207" t="s">
        <v>260</v>
      </c>
      <c r="S93" s="14">
        <v>1</v>
      </c>
      <c r="T93" s="14">
        <v>12</v>
      </c>
      <c r="U93" s="68" t="s">
        <v>403</v>
      </c>
      <c r="V93" s="68" t="s">
        <v>631</v>
      </c>
      <c r="W93" s="92" t="s">
        <v>476</v>
      </c>
      <c r="X93" s="16">
        <v>6.5</v>
      </c>
      <c r="Y93" s="16">
        <v>7</v>
      </c>
      <c r="Z93" s="16">
        <v>4.5</v>
      </c>
      <c r="AA93" s="16">
        <v>7.5</v>
      </c>
      <c r="AB93" s="17">
        <f>(X93*$AN$5+Y93*$AN$6+Z93*$AN$7+AA93*$AN$8)/$AN$13</f>
        <v>6.8228882833787461</v>
      </c>
      <c r="AC93" s="18">
        <f>IF($AN$15="Y",10*(AB93-$AN$11)/$AN$12, 10*AB93/$AN$10)</f>
        <v>5.806043061335262</v>
      </c>
      <c r="AD93" s="19">
        <f>RANK(AC93,AC:AC,0)</f>
        <v>90</v>
      </c>
      <c r="AE93" s="72">
        <v>41464</v>
      </c>
      <c r="AF93" s="21">
        <f>COUNTIF(AE:AE, "&lt;="&amp;AE93)</f>
        <v>69</v>
      </c>
      <c r="AG93" s="129">
        <v>41543</v>
      </c>
      <c r="AH93" s="21">
        <f>COUNTIF(AG:AG, "&lt;="&amp;AG93)</f>
        <v>77</v>
      </c>
      <c r="AI93" s="21"/>
      <c r="AJ93" s="65" t="s">
        <v>412</v>
      </c>
      <c r="AK93" s="193"/>
      <c r="AL93" s="132" t="s">
        <v>230</v>
      </c>
      <c r="AM93" s="8"/>
      <c r="AN93" s="8"/>
      <c r="AO93" s="8"/>
      <c r="AP93" s="8"/>
      <c r="AQ93" s="2"/>
      <c r="AR93" s="2"/>
      <c r="AS93" s="1"/>
      <c r="AT93" s="1"/>
      <c r="AU93" s="1"/>
    </row>
    <row r="94" spans="1:50" ht="16.5">
      <c r="A94" s="12"/>
      <c r="B94" s="23"/>
      <c r="C94" s="14"/>
      <c r="D94" s="159"/>
      <c r="E94" s="159"/>
      <c r="F94" s="159"/>
      <c r="G94" s="159"/>
      <c r="H94" s="159"/>
      <c r="I94" s="160"/>
      <c r="J94" s="9"/>
      <c r="K94" s="12"/>
      <c r="L94" s="14"/>
      <c r="M94" s="14"/>
      <c r="N94" s="68"/>
      <c r="O94" s="68"/>
      <c r="P94" s="82"/>
      <c r="Q94" s="9" t="s">
        <v>230</v>
      </c>
      <c r="R94" s="12" t="s">
        <v>19</v>
      </c>
      <c r="S94" s="14">
        <v>1</v>
      </c>
      <c r="T94" s="14">
        <v>12</v>
      </c>
      <c r="U94" s="68" t="s">
        <v>403</v>
      </c>
      <c r="V94" s="68" t="s">
        <v>631</v>
      </c>
      <c r="W94" s="114" t="s">
        <v>452</v>
      </c>
      <c r="X94" s="16">
        <v>7</v>
      </c>
      <c r="Y94" s="16">
        <v>6</v>
      </c>
      <c r="Z94" s="16">
        <v>4.5</v>
      </c>
      <c r="AA94" s="16">
        <v>7.5</v>
      </c>
      <c r="AB94" s="17">
        <f>(X94*$AN$5+Y94*$AN$6+Z94*$AN$7+AA94*$AN$8)/$AN$13</f>
        <v>6.807901907356948</v>
      </c>
      <c r="AC94" s="18">
        <f>IF($AN$15="Y",10*(AB94-$AN$11)/$AN$12, 10*AB94/$AN$10)</f>
        <v>5.786140763524517</v>
      </c>
      <c r="AD94" s="19">
        <f>RANK(AC94,AC:AC,0)</f>
        <v>91</v>
      </c>
      <c r="AE94" s="72">
        <v>41379</v>
      </c>
      <c r="AF94" s="21">
        <f>COUNTIF(AE:AE, "&lt;="&amp;AE94)</f>
        <v>46</v>
      </c>
      <c r="AG94" s="129">
        <v>41464</v>
      </c>
      <c r="AH94" s="21">
        <f>COUNTIF(AG:AG, "&lt;="&amp;AG94)</f>
        <v>60</v>
      </c>
      <c r="AI94" s="21"/>
      <c r="AJ94" s="65" t="s">
        <v>310</v>
      </c>
      <c r="AK94" s="193" t="s">
        <v>267</v>
      </c>
      <c r="AL94" s="132" t="s">
        <v>230</v>
      </c>
      <c r="AM94" s="8"/>
      <c r="AN94" s="8"/>
      <c r="AO94" s="8"/>
      <c r="AP94" s="8"/>
      <c r="AQ94" s="2"/>
      <c r="AR94" s="2"/>
      <c r="AS94" s="1"/>
      <c r="AT94" s="1"/>
      <c r="AU94" s="1"/>
    </row>
    <row r="95" spans="1:50" ht="16.5">
      <c r="A95" s="12"/>
      <c r="B95" s="23"/>
      <c r="C95" s="14"/>
      <c r="D95" s="159"/>
      <c r="E95" s="159"/>
      <c r="F95" s="159"/>
      <c r="G95" s="159"/>
      <c r="H95" s="159"/>
      <c r="I95" s="160"/>
      <c r="J95" s="9"/>
      <c r="K95" s="12"/>
      <c r="L95" s="14"/>
      <c r="M95" s="14"/>
      <c r="N95" s="68"/>
      <c r="O95" s="68"/>
      <c r="P95" s="82"/>
      <c r="Q95" s="9" t="s">
        <v>230</v>
      </c>
      <c r="R95" s="12" t="s">
        <v>186</v>
      </c>
      <c r="S95" s="14">
        <v>1</v>
      </c>
      <c r="T95" s="14">
        <v>13</v>
      </c>
      <c r="U95" s="68" t="s">
        <v>403</v>
      </c>
      <c r="V95" s="68" t="s">
        <v>631</v>
      </c>
      <c r="W95" s="94" t="s">
        <v>452</v>
      </c>
      <c r="X95" s="16">
        <v>6.5</v>
      </c>
      <c r="Y95" s="16">
        <v>7</v>
      </c>
      <c r="Z95" s="16">
        <v>6.5</v>
      </c>
      <c r="AA95" s="16">
        <v>7</v>
      </c>
      <c r="AB95" s="17">
        <f>(X95*$AN$5+Y95*$AN$6+Z95*$AN$7+AA95*$AN$8)/$AN$13</f>
        <v>6.7970027247956404</v>
      </c>
      <c r="AC95" s="18">
        <f>IF($AN$15="Y",10*(AB95-$AN$11)/$AN$12, 10*AB95/$AN$10)</f>
        <v>5.7716663651166993</v>
      </c>
      <c r="AD95" s="19">
        <f>RANK(AC95,AC:AC,0)</f>
        <v>92</v>
      </c>
      <c r="AE95" s="72">
        <v>41371</v>
      </c>
      <c r="AF95" s="21">
        <f>COUNTIF(AE:AE, "&lt;="&amp;AE95)</f>
        <v>44</v>
      </c>
      <c r="AG95" s="129">
        <v>41453</v>
      </c>
      <c r="AH95" s="21">
        <f>COUNTIF(AG:AG, "&lt;="&amp;AG95)</f>
        <v>52</v>
      </c>
      <c r="AI95" s="21"/>
      <c r="AJ95" s="65" t="s">
        <v>296</v>
      </c>
      <c r="AK95" s="193"/>
      <c r="AL95" s="132" t="s">
        <v>230</v>
      </c>
      <c r="AM95" s="8"/>
      <c r="AN95" s="8"/>
      <c r="AO95" s="8"/>
      <c r="AP95" s="8"/>
      <c r="AQ95" s="2"/>
      <c r="AR95" s="2"/>
      <c r="AS95" s="1"/>
      <c r="AT95" s="1"/>
      <c r="AU95" s="1"/>
    </row>
    <row r="96" spans="1:50" ht="16.5">
      <c r="A96" s="12"/>
      <c r="B96" s="23"/>
      <c r="C96" s="14"/>
      <c r="D96" s="159"/>
      <c r="E96" s="159"/>
      <c r="F96" s="159"/>
      <c r="G96" s="159"/>
      <c r="H96" s="159"/>
      <c r="I96" s="160"/>
      <c r="J96" s="9"/>
      <c r="K96" s="12"/>
      <c r="L96" s="14"/>
      <c r="M96" s="14"/>
      <c r="N96" s="68"/>
      <c r="O96" s="68"/>
      <c r="P96" s="82"/>
      <c r="Q96" s="9" t="s">
        <v>230</v>
      </c>
      <c r="R96" s="12" t="s">
        <v>196</v>
      </c>
      <c r="S96" s="14">
        <v>1</v>
      </c>
      <c r="T96" s="14">
        <v>12</v>
      </c>
      <c r="U96" s="68" t="s">
        <v>403</v>
      </c>
      <c r="V96" s="68" t="s">
        <v>632</v>
      </c>
      <c r="W96" s="95" t="s">
        <v>462</v>
      </c>
      <c r="X96" s="16">
        <v>4</v>
      </c>
      <c r="Y96" s="16">
        <v>7</v>
      </c>
      <c r="Z96" s="16">
        <v>8</v>
      </c>
      <c r="AA96" s="16">
        <v>8.5</v>
      </c>
      <c r="AB96" s="17">
        <f>(X96*$AN$5+Y96*$AN$6+Z96*$AN$7+AA96*$AN$8)/$AN$13</f>
        <v>6.7861035422343328</v>
      </c>
      <c r="AC96" s="18">
        <f>IF($AN$15="Y",10*(AB96-$AN$11)/$AN$12, 10*AB96/$AN$10)</f>
        <v>5.7571919667088842</v>
      </c>
      <c r="AD96" s="19">
        <f>RANK(AC96,AC:AC,0)</f>
        <v>93</v>
      </c>
      <c r="AE96" s="72">
        <v>41449</v>
      </c>
      <c r="AF96" s="21">
        <f>COUNTIF(AE:AE, "&lt;="&amp;AE96)</f>
        <v>58</v>
      </c>
      <c r="AG96" s="129">
        <v>41451</v>
      </c>
      <c r="AH96" s="21">
        <f>COUNTIF(AG:AG, "&lt;="&amp;AG96)</f>
        <v>49</v>
      </c>
      <c r="AI96" s="21"/>
      <c r="AJ96" s="65" t="s">
        <v>300</v>
      </c>
      <c r="AK96" s="193"/>
      <c r="AL96" s="132" t="s">
        <v>230</v>
      </c>
      <c r="AM96" s="8"/>
      <c r="AN96" s="8"/>
      <c r="AO96" s="8"/>
      <c r="AP96" s="8"/>
      <c r="AQ96" s="2"/>
      <c r="AR96" s="2"/>
      <c r="AS96" s="1"/>
      <c r="AT96" s="1"/>
      <c r="AU96" s="1"/>
    </row>
    <row r="97" spans="1:47" ht="16.5">
      <c r="A97" s="12"/>
      <c r="B97" s="23"/>
      <c r="C97" s="14"/>
      <c r="D97" s="159"/>
      <c r="E97" s="159"/>
      <c r="F97" s="159"/>
      <c r="G97" s="159"/>
      <c r="H97" s="159"/>
      <c r="I97" s="160"/>
      <c r="J97" s="9"/>
      <c r="K97" s="12"/>
      <c r="L97" s="14"/>
      <c r="M97" s="14"/>
      <c r="N97" s="68"/>
      <c r="O97" s="68"/>
      <c r="P97" s="82"/>
      <c r="Q97" s="9" t="s">
        <v>230</v>
      </c>
      <c r="R97" s="12" t="s">
        <v>219</v>
      </c>
      <c r="S97" s="14">
        <v>1</v>
      </c>
      <c r="T97" s="14">
        <v>26</v>
      </c>
      <c r="U97" s="68" t="s">
        <v>403</v>
      </c>
      <c r="V97" s="68" t="s">
        <v>632</v>
      </c>
      <c r="W97" s="96" t="s">
        <v>448</v>
      </c>
      <c r="X97" s="16">
        <v>2</v>
      </c>
      <c r="Y97" s="16">
        <v>8.5</v>
      </c>
      <c r="Z97" s="16">
        <v>7</v>
      </c>
      <c r="AA97" s="16">
        <v>9.5</v>
      </c>
      <c r="AB97" s="17">
        <f>(X97*$AN$5+Y97*$AN$6+Z97*$AN$7+AA97*$AN$8)/$AN$13</f>
        <v>6.746594005449591</v>
      </c>
      <c r="AC97" s="18">
        <f>IF($AN$15="Y",10*(AB97-$AN$11)/$AN$12, 10*AB97/$AN$10)</f>
        <v>5.7047222724805504</v>
      </c>
      <c r="AD97" s="19">
        <f>RANK(AC97,AC:AC,0)</f>
        <v>94</v>
      </c>
      <c r="AE97" s="72">
        <v>41291</v>
      </c>
      <c r="AF97" s="21">
        <f>COUNTIF(AE:AE, "&lt;="&amp;AE97)</f>
        <v>17</v>
      </c>
      <c r="AG97" s="129">
        <v>41298</v>
      </c>
      <c r="AH97" s="21">
        <f>COUNTIF(AG:AG, "&lt;="&amp;AG97)</f>
        <v>16</v>
      </c>
      <c r="AI97" s="21"/>
      <c r="AJ97" s="65" t="s">
        <v>302</v>
      </c>
      <c r="AK97" s="193" t="s">
        <v>118</v>
      </c>
      <c r="AL97" s="132" t="s">
        <v>230</v>
      </c>
      <c r="AM97" s="8"/>
      <c r="AN97" s="8"/>
      <c r="AO97" s="8"/>
      <c r="AP97" s="8"/>
      <c r="AQ97" s="2"/>
      <c r="AR97" s="2"/>
      <c r="AS97" s="1"/>
      <c r="AT97" s="1"/>
      <c r="AU97" s="1"/>
    </row>
    <row r="98" spans="1:47" ht="16.5">
      <c r="A98" s="12"/>
      <c r="B98" s="23"/>
      <c r="C98" s="14"/>
      <c r="D98" s="159"/>
      <c r="E98" s="159"/>
      <c r="F98" s="159"/>
      <c r="G98" s="159"/>
      <c r="H98" s="159"/>
      <c r="I98" s="160"/>
      <c r="J98" s="9"/>
      <c r="K98" s="12"/>
      <c r="L98" s="14"/>
      <c r="M98" s="14"/>
      <c r="N98" s="68"/>
      <c r="O98" s="68"/>
      <c r="P98" s="82"/>
      <c r="Q98" s="9" t="s">
        <v>230</v>
      </c>
      <c r="R98" s="12" t="s">
        <v>274</v>
      </c>
      <c r="S98" s="14">
        <v>1</v>
      </c>
      <c r="T98" s="14">
        <v>13</v>
      </c>
      <c r="U98" s="68" t="s">
        <v>403</v>
      </c>
      <c r="V98" s="68" t="s">
        <v>632</v>
      </c>
      <c r="W98" s="101" t="s">
        <v>589</v>
      </c>
      <c r="X98" s="16">
        <v>5.5</v>
      </c>
      <c r="Y98" s="16">
        <v>7</v>
      </c>
      <c r="Z98" s="16">
        <v>4.5</v>
      </c>
      <c r="AA98" s="16">
        <v>8</v>
      </c>
      <c r="AB98" s="17">
        <f>(X98*$AN$5+Y98*$AN$6+Z98*$AN$7+AA98*$AN$8)/$AN$13</f>
        <v>6.7207084468664853</v>
      </c>
      <c r="AC98" s="18">
        <f>IF($AN$15="Y",10*(AB98-$AN$11)/$AN$12, 10*AB98/$AN$10)</f>
        <v>5.6703455762619877</v>
      </c>
      <c r="AD98" s="19">
        <f>RANK(AC98,AC:AC,0)</f>
        <v>95</v>
      </c>
      <c r="AE98" s="72">
        <v>41470</v>
      </c>
      <c r="AF98" s="21">
        <f>COUNTIF(AE:AE, "&lt;="&amp;AE98)</f>
        <v>74</v>
      </c>
      <c r="AG98" s="129">
        <v>41482</v>
      </c>
      <c r="AH98" s="21">
        <f>COUNTIF(AG:AG, "&lt;="&amp;AG98)</f>
        <v>65</v>
      </c>
      <c r="AI98" s="21"/>
      <c r="AJ98" s="65" t="s">
        <v>304</v>
      </c>
      <c r="AK98" s="193" t="s">
        <v>275</v>
      </c>
      <c r="AL98" s="132" t="s">
        <v>230</v>
      </c>
      <c r="AM98" s="8"/>
      <c r="AN98" s="8"/>
      <c r="AO98" s="8"/>
      <c r="AP98" s="8"/>
      <c r="AQ98" s="2"/>
      <c r="AR98" s="2"/>
      <c r="AS98" s="1"/>
      <c r="AT98" s="1"/>
      <c r="AU98" s="1"/>
    </row>
    <row r="99" spans="1:47" ht="16.5">
      <c r="A99" s="12"/>
      <c r="B99" s="23"/>
      <c r="C99" s="14"/>
      <c r="D99" s="159"/>
      <c r="E99" s="159"/>
      <c r="F99" s="159"/>
      <c r="G99" s="159"/>
      <c r="H99" s="159"/>
      <c r="I99" s="160"/>
      <c r="J99" s="9"/>
      <c r="K99" s="12"/>
      <c r="L99" s="14"/>
      <c r="M99" s="14"/>
      <c r="N99" s="68"/>
      <c r="O99" s="68"/>
      <c r="P99" s="82"/>
      <c r="Q99" s="9" t="s">
        <v>230</v>
      </c>
      <c r="R99" s="12" t="s">
        <v>269</v>
      </c>
      <c r="S99" s="14">
        <v>1</v>
      </c>
      <c r="T99" s="14">
        <v>4</v>
      </c>
      <c r="U99" s="68" t="s">
        <v>403</v>
      </c>
      <c r="V99" s="68" t="s">
        <v>631</v>
      </c>
      <c r="W99" s="106" t="s">
        <v>466</v>
      </c>
      <c r="X99" s="16">
        <v>7</v>
      </c>
      <c r="Y99" s="16">
        <v>6.5</v>
      </c>
      <c r="Z99" s="16">
        <v>2.5</v>
      </c>
      <c r="AA99" s="16">
        <v>7.5</v>
      </c>
      <c r="AB99" s="17">
        <f>(X99*$AN$5+Y99*$AN$6+Z99*$AN$7+AA99*$AN$8)/$AN$13</f>
        <v>6.708446866485013</v>
      </c>
      <c r="AC99" s="18">
        <f>IF($AN$15="Y",10*(AB99-$AN$11)/$AN$12, 10*AB99/$AN$10)</f>
        <v>5.6540618780531915</v>
      </c>
      <c r="AD99" s="19">
        <f>RANK(AC99,AC:AC,0)</f>
        <v>96</v>
      </c>
      <c r="AE99" s="72">
        <v>41465</v>
      </c>
      <c r="AF99" s="21">
        <f>COUNTIF(AE:AE, "&lt;="&amp;AE99)</f>
        <v>71</v>
      </c>
      <c r="AG99" s="129">
        <v>41465</v>
      </c>
      <c r="AH99" s="21">
        <f>COUNTIF(AG:AG, "&lt;="&amp;AG99)</f>
        <v>61</v>
      </c>
      <c r="AI99" s="21"/>
      <c r="AJ99" s="65" t="s">
        <v>286</v>
      </c>
      <c r="AK99" s="193" t="s">
        <v>606</v>
      </c>
      <c r="AL99" s="132" t="s">
        <v>230</v>
      </c>
      <c r="AM99" s="8"/>
      <c r="AN99" s="8"/>
      <c r="AO99" s="8"/>
      <c r="AP99" s="8"/>
      <c r="AQ99" s="2"/>
      <c r="AR99" s="2"/>
      <c r="AS99" s="1"/>
      <c r="AT99" s="1"/>
      <c r="AU99" s="1"/>
    </row>
    <row r="100" spans="1:47" ht="16.5">
      <c r="A100" s="12"/>
      <c r="B100" s="23"/>
      <c r="C100" s="14"/>
      <c r="D100" s="159"/>
      <c r="E100" s="159"/>
      <c r="F100" s="159"/>
      <c r="G100" s="159"/>
      <c r="H100" s="159"/>
      <c r="I100" s="160"/>
      <c r="J100" s="9"/>
      <c r="K100" s="12"/>
      <c r="L100" s="14"/>
      <c r="M100" s="14"/>
      <c r="N100" s="68"/>
      <c r="O100" s="68"/>
      <c r="P100" s="82"/>
      <c r="Q100" s="9" t="s">
        <v>230</v>
      </c>
      <c r="R100" s="12" t="s">
        <v>14</v>
      </c>
      <c r="S100" s="14">
        <v>2</v>
      </c>
      <c r="T100" s="14">
        <v>12</v>
      </c>
      <c r="U100" s="68" t="s">
        <v>403</v>
      </c>
      <c r="V100" s="68" t="s">
        <v>632</v>
      </c>
      <c r="W100" s="81" t="s">
        <v>451</v>
      </c>
      <c r="X100" s="16">
        <v>5.5</v>
      </c>
      <c r="Y100" s="16">
        <v>7</v>
      </c>
      <c r="Z100" s="16">
        <v>6.5</v>
      </c>
      <c r="AA100" s="16">
        <v>7.5</v>
      </c>
      <c r="AB100" s="17">
        <f>(X100*$AN$5+Y100*$AN$6+Z100*$AN$7+AA100*$AN$8)/$AN$13</f>
        <v>6.6948228882833787</v>
      </c>
      <c r="AC100" s="18">
        <f>IF($AN$15="Y",10*(AB100-$AN$11)/$AN$12, 10*AB100/$AN$10)</f>
        <v>5.6359688800434222</v>
      </c>
      <c r="AD100" s="19">
        <f>RANK(AC100,AC:AC,0)</f>
        <v>97</v>
      </c>
      <c r="AE100" s="72">
        <v>41371</v>
      </c>
      <c r="AF100" s="21">
        <f>COUNTIF(AE:AE, "&lt;="&amp;AE100)</f>
        <v>44</v>
      </c>
      <c r="AG100" s="129">
        <v>41455</v>
      </c>
      <c r="AH100" s="21">
        <f>COUNTIF(AG:AG, "&lt;="&amp;AG100)</f>
        <v>56</v>
      </c>
      <c r="AI100" s="21"/>
      <c r="AJ100" s="65" t="s">
        <v>290</v>
      </c>
      <c r="AK100" s="193"/>
      <c r="AL100" s="132" t="s">
        <v>230</v>
      </c>
      <c r="AM100" s="8"/>
      <c r="AN100" s="8"/>
      <c r="AO100" s="8"/>
      <c r="AP100" s="8"/>
      <c r="AQ100" s="2"/>
      <c r="AR100" s="2"/>
      <c r="AS100" s="1"/>
      <c r="AT100" s="1"/>
      <c r="AU100" s="1"/>
    </row>
    <row r="101" spans="1:47" ht="16.5">
      <c r="A101" s="12"/>
      <c r="B101" s="23"/>
      <c r="C101" s="14"/>
      <c r="D101" s="159"/>
      <c r="E101" s="159"/>
      <c r="F101" s="159"/>
      <c r="G101" s="159"/>
      <c r="H101" s="159"/>
      <c r="I101" s="160"/>
      <c r="J101" s="9"/>
      <c r="K101" s="12"/>
      <c r="L101" s="14"/>
      <c r="M101" s="14"/>
      <c r="N101" s="68"/>
      <c r="O101" s="68"/>
      <c r="P101" s="82"/>
      <c r="Q101" s="9" t="s">
        <v>230</v>
      </c>
      <c r="R101" s="12" t="s">
        <v>115</v>
      </c>
      <c r="S101" s="14">
        <v>1</v>
      </c>
      <c r="T101" s="14">
        <v>12</v>
      </c>
      <c r="U101" s="68" t="s">
        <v>403</v>
      </c>
      <c r="V101" s="68" t="s">
        <v>632</v>
      </c>
      <c r="W101" s="81" t="s">
        <v>429</v>
      </c>
      <c r="X101" s="16">
        <v>3</v>
      </c>
      <c r="Y101" s="16">
        <v>8</v>
      </c>
      <c r="Z101" s="16">
        <v>9</v>
      </c>
      <c r="AA101" s="16">
        <v>8</v>
      </c>
      <c r="AB101" s="17">
        <f>(X101*$AN$5+Y101*$AN$6+Z101*$AN$7+AA101*$AN$8)/$AN$13</f>
        <v>6.5258855585831075</v>
      </c>
      <c r="AC101" s="18">
        <f>IF($AN$15="Y",10*(AB101-$AN$11)/$AN$12, 10*AB101/$AN$10)</f>
        <v>5.4116157047222737</v>
      </c>
      <c r="AD101" s="19">
        <f>RANK(AC101,AC:AC,0)</f>
        <v>98</v>
      </c>
      <c r="AE101" s="72">
        <v>41288</v>
      </c>
      <c r="AF101" s="21">
        <f>COUNTIF(AE:AE, "&lt;="&amp;AE101)</f>
        <v>14</v>
      </c>
      <c r="AG101" s="129">
        <v>41288</v>
      </c>
      <c r="AH101" s="21">
        <f>COUNTIF(AG:AG, "&lt;="&amp;AG101)</f>
        <v>12</v>
      </c>
      <c r="AI101" s="21"/>
      <c r="AJ101" s="65" t="s">
        <v>303</v>
      </c>
      <c r="AK101" s="193"/>
      <c r="AL101" s="132" t="s">
        <v>230</v>
      </c>
      <c r="AM101" s="8"/>
      <c r="AN101" s="8"/>
      <c r="AO101" s="8"/>
      <c r="AP101" s="8"/>
      <c r="AQ101" s="2"/>
      <c r="AR101" s="2"/>
      <c r="AS101" s="1"/>
      <c r="AT101" s="1"/>
      <c r="AU101" s="1"/>
    </row>
    <row r="102" spans="1:47" ht="16.5">
      <c r="A102" s="12"/>
      <c r="B102" s="23"/>
      <c r="C102" s="14"/>
      <c r="D102" s="159"/>
      <c r="E102" s="159"/>
      <c r="F102" s="159"/>
      <c r="G102" s="159"/>
      <c r="H102" s="159"/>
      <c r="I102" s="160"/>
      <c r="J102" s="9"/>
      <c r="K102" s="12"/>
      <c r="L102" s="14"/>
      <c r="M102" s="14"/>
      <c r="N102" s="68"/>
      <c r="O102" s="68"/>
      <c r="P102" s="82"/>
      <c r="Q102" s="9" t="s">
        <v>230</v>
      </c>
      <c r="R102" s="12" t="s">
        <v>541</v>
      </c>
      <c r="S102" s="14">
        <v>1</v>
      </c>
      <c r="T102" s="14">
        <v>12</v>
      </c>
      <c r="U102" s="68" t="s">
        <v>406</v>
      </c>
      <c r="V102" s="68" t="s">
        <v>633</v>
      </c>
      <c r="W102" s="106" t="s">
        <v>452</v>
      </c>
      <c r="X102" s="16">
        <v>5.5</v>
      </c>
      <c r="Y102" s="16">
        <v>7</v>
      </c>
      <c r="Z102" s="16">
        <v>4.5</v>
      </c>
      <c r="AA102" s="16">
        <v>7.5</v>
      </c>
      <c r="AB102" s="17">
        <f>(X102*$AN$5+Y102*$AN$6+Z102*$AN$7+AA102*$AN$8)/$AN$13</f>
        <v>6.5095367847411447</v>
      </c>
      <c r="AC102" s="18">
        <f>IF($AN$15="Y",10*(AB102-$AN$11)/$AN$12, 10*AB102/$AN$10)</f>
        <v>5.3899041071105476</v>
      </c>
      <c r="AD102" s="19">
        <f>RANK(AC102,AC:AC,0)</f>
        <v>99</v>
      </c>
      <c r="AE102" s="72">
        <v>41647</v>
      </c>
      <c r="AF102" s="21">
        <f>COUNTIF(AE:AE, "&lt;="&amp;AE102)</f>
        <v>102</v>
      </c>
      <c r="AG102" s="129">
        <v>41733</v>
      </c>
      <c r="AH102" s="21">
        <f>COUNTIF(AG:AG, "&lt;="&amp;AG102)</f>
        <v>105</v>
      </c>
      <c r="AI102" s="21"/>
      <c r="AJ102" s="65" t="s">
        <v>565</v>
      </c>
      <c r="AK102" s="193"/>
      <c r="AL102" s="132" t="s">
        <v>230</v>
      </c>
      <c r="AM102" s="8"/>
      <c r="AN102" s="8"/>
      <c r="AO102" s="8"/>
      <c r="AP102" s="8"/>
      <c r="AQ102" s="2"/>
      <c r="AR102" s="2"/>
      <c r="AS102" s="1"/>
      <c r="AT102" s="1"/>
      <c r="AU102" s="1"/>
    </row>
    <row r="103" spans="1:47" ht="16.5">
      <c r="A103" s="12"/>
      <c r="B103" s="23"/>
      <c r="C103" s="14"/>
      <c r="D103" s="159"/>
      <c r="E103" s="159"/>
      <c r="F103" s="159"/>
      <c r="G103" s="159"/>
      <c r="H103" s="159"/>
      <c r="I103" s="160"/>
      <c r="J103" s="9"/>
      <c r="K103" s="12"/>
      <c r="L103" s="14"/>
      <c r="M103" s="14"/>
      <c r="N103" s="68"/>
      <c r="O103" s="68"/>
      <c r="P103" s="82"/>
      <c r="Q103" s="9" t="s">
        <v>230</v>
      </c>
      <c r="R103" s="12" t="s">
        <v>112</v>
      </c>
      <c r="S103" s="14">
        <v>2</v>
      </c>
      <c r="T103" s="14">
        <v>12</v>
      </c>
      <c r="U103" s="68" t="s">
        <v>403</v>
      </c>
      <c r="V103" s="68" t="s">
        <v>632</v>
      </c>
      <c r="W103" s="107" t="s">
        <v>429</v>
      </c>
      <c r="X103" s="16">
        <v>3.5</v>
      </c>
      <c r="Y103" s="16">
        <v>8</v>
      </c>
      <c r="Z103" s="16">
        <v>9</v>
      </c>
      <c r="AA103" s="16">
        <v>7.5</v>
      </c>
      <c r="AB103" s="17">
        <f>(X103*$AN$5+Y103*$AN$6+Z103*$AN$7+AA103*$AN$8)/$AN$13</f>
        <v>6.4713896457765667</v>
      </c>
      <c r="AC103" s="18">
        <f>IF($AN$15="Y",10*(AB103-$AN$11)/$AN$12, 10*AB103/$AN$10)</f>
        <v>5.3392437126831922</v>
      </c>
      <c r="AD103" s="19">
        <f>RANK(AC103,AC:AC,0)</f>
        <v>100</v>
      </c>
      <c r="AE103" s="72">
        <v>41289</v>
      </c>
      <c r="AF103" s="21">
        <f>COUNTIF(AE:AE, "&lt;="&amp;AE103)</f>
        <v>15</v>
      </c>
      <c r="AG103" s="129">
        <v>41289</v>
      </c>
      <c r="AH103" s="21">
        <f>COUNTIF(AG:AG, "&lt;="&amp;AG103)</f>
        <v>13</v>
      </c>
      <c r="AI103" s="21"/>
      <c r="AJ103" s="65" t="s">
        <v>303</v>
      </c>
      <c r="AK103" s="193"/>
      <c r="AL103" s="132" t="s">
        <v>230</v>
      </c>
      <c r="AM103" s="8"/>
      <c r="AN103" s="8"/>
      <c r="AO103" s="8"/>
      <c r="AP103" s="8"/>
      <c r="AQ103" s="2"/>
      <c r="AR103" s="2"/>
      <c r="AS103" s="1"/>
      <c r="AT103" s="1"/>
      <c r="AU103" s="1"/>
    </row>
    <row r="104" spans="1:47" ht="16.5">
      <c r="A104" s="12"/>
      <c r="B104" s="23"/>
      <c r="C104" s="14"/>
      <c r="D104" s="159"/>
      <c r="E104" s="159"/>
      <c r="F104" s="159"/>
      <c r="G104" s="159"/>
      <c r="H104" s="159"/>
      <c r="I104" s="160"/>
      <c r="J104" s="9"/>
      <c r="K104" s="12"/>
      <c r="L104" s="14"/>
      <c r="M104" s="14"/>
      <c r="N104" s="68"/>
      <c r="O104" s="68"/>
      <c r="P104" s="82"/>
      <c r="Q104" s="9" t="s">
        <v>230</v>
      </c>
      <c r="R104" s="12" t="s">
        <v>187</v>
      </c>
      <c r="S104" s="14">
        <v>1</v>
      </c>
      <c r="T104" s="14">
        <v>26</v>
      </c>
      <c r="U104" s="68" t="s">
        <v>403</v>
      </c>
      <c r="V104" s="68" t="s">
        <v>635</v>
      </c>
      <c r="W104" s="107" t="s">
        <v>470</v>
      </c>
      <c r="X104" s="16">
        <v>4</v>
      </c>
      <c r="Y104" s="16">
        <v>8</v>
      </c>
      <c r="Z104" s="16">
        <v>0</v>
      </c>
      <c r="AA104" s="16">
        <v>9</v>
      </c>
      <c r="AB104" s="17">
        <f>(X104*$AN$5+Y104*$AN$6+Z104*$AN$7+AA104*$AN$8)/$AN$13</f>
        <v>6.4277929155313362</v>
      </c>
      <c r="AC104" s="18">
        <f>IF($AN$15="Y",10*(AB104-$AN$11)/$AN$12, 10*AB104/$AN$10)</f>
        <v>5.2813461190519284</v>
      </c>
      <c r="AD104" s="19">
        <f>RANK(AC104,AC:AC,0)</f>
        <v>101</v>
      </c>
      <c r="AE104" s="72">
        <v>41450</v>
      </c>
      <c r="AF104" s="21">
        <f>COUNTIF(AE:AE, "&lt;="&amp;AE104)</f>
        <v>59</v>
      </c>
      <c r="AG104" s="129">
        <v>41452</v>
      </c>
      <c r="AH104" s="21">
        <f>COUNTIF(AG:AG, "&lt;="&amp;AG104)</f>
        <v>51</v>
      </c>
      <c r="AI104" s="21"/>
      <c r="AJ104" s="65" t="s">
        <v>297</v>
      </c>
      <c r="AK104" s="193" t="s">
        <v>188</v>
      </c>
      <c r="AL104" s="132" t="s">
        <v>230</v>
      </c>
      <c r="AM104" s="8"/>
      <c r="AN104" s="8"/>
      <c r="AO104" s="8"/>
      <c r="AP104" s="8"/>
      <c r="AQ104" s="2"/>
      <c r="AR104" s="2"/>
      <c r="AS104" s="1"/>
      <c r="AT104" s="1"/>
      <c r="AU104" s="1"/>
    </row>
    <row r="105" spans="1:47" ht="16.5">
      <c r="A105" s="12"/>
      <c r="B105" s="23"/>
      <c r="C105" s="14"/>
      <c r="D105" s="159"/>
      <c r="E105" s="159"/>
      <c r="F105" s="159"/>
      <c r="G105" s="159"/>
      <c r="H105" s="159"/>
      <c r="I105" s="160"/>
      <c r="J105" s="9"/>
      <c r="K105" s="12"/>
      <c r="L105" s="14"/>
      <c r="M105" s="14"/>
      <c r="N105" s="68"/>
      <c r="O105" s="68"/>
      <c r="P105" s="82"/>
      <c r="Q105" s="9" t="s">
        <v>230</v>
      </c>
      <c r="R105" s="12" t="s">
        <v>117</v>
      </c>
      <c r="S105" s="14">
        <v>1</v>
      </c>
      <c r="T105" s="14">
        <v>12</v>
      </c>
      <c r="U105" s="68" t="s">
        <v>403</v>
      </c>
      <c r="V105" s="68" t="s">
        <v>631</v>
      </c>
      <c r="W105" s="108" t="s">
        <v>429</v>
      </c>
      <c r="X105" s="16">
        <v>6.5</v>
      </c>
      <c r="Y105" s="16">
        <v>7</v>
      </c>
      <c r="Z105" s="16">
        <v>4.5</v>
      </c>
      <c r="AA105" s="16">
        <v>6.5</v>
      </c>
      <c r="AB105" s="17">
        <f>(X105*$AN$5+Y105*$AN$6+Z105*$AN$7+AA105*$AN$8)/$AN$13</f>
        <v>6.4005449591280659</v>
      </c>
      <c r="AC105" s="18">
        <f>IF($AN$15="Y",10*(AB105-$AN$11)/$AN$12, 10*AB105/$AN$10)</f>
        <v>5.2451601230323863</v>
      </c>
      <c r="AD105" s="19">
        <f>RANK(AC105,AC:AC,0)</f>
        <v>102</v>
      </c>
      <c r="AE105" s="72">
        <v>41292</v>
      </c>
      <c r="AF105" s="21">
        <f>COUNTIF(AE:AE, "&lt;="&amp;AE105)</f>
        <v>18</v>
      </c>
      <c r="AG105" s="129">
        <v>41369</v>
      </c>
      <c r="AH105" s="21">
        <f>COUNTIF(AG:AG, "&lt;="&amp;AG105)</f>
        <v>37</v>
      </c>
      <c r="AI105" s="21"/>
      <c r="AJ105" s="65" t="s">
        <v>311</v>
      </c>
      <c r="AK105" s="193"/>
      <c r="AL105" s="132" t="s">
        <v>230</v>
      </c>
      <c r="AM105" s="8"/>
      <c r="AN105" s="8"/>
      <c r="AO105" s="8"/>
      <c r="AP105" s="8"/>
      <c r="AQ105" s="2"/>
      <c r="AR105" s="2"/>
      <c r="AS105" s="1"/>
      <c r="AT105" s="1"/>
      <c r="AU105" s="1"/>
    </row>
    <row r="106" spans="1:47" ht="16.5">
      <c r="A106" s="12"/>
      <c r="B106" s="23"/>
      <c r="C106" s="14"/>
      <c r="D106" s="159"/>
      <c r="E106" s="159"/>
      <c r="F106" s="159"/>
      <c r="G106" s="159"/>
      <c r="H106" s="159"/>
      <c r="I106" s="160"/>
      <c r="J106" s="9"/>
      <c r="K106" s="12"/>
      <c r="L106" s="14"/>
      <c r="M106" s="14"/>
      <c r="N106" s="68"/>
      <c r="O106" s="68"/>
      <c r="P106" s="82"/>
      <c r="Q106" s="9" t="s">
        <v>230</v>
      </c>
      <c r="R106" s="12" t="s">
        <v>426</v>
      </c>
      <c r="S106" s="14">
        <v>1</v>
      </c>
      <c r="T106" s="14">
        <v>13</v>
      </c>
      <c r="U106" s="68" t="s">
        <v>406</v>
      </c>
      <c r="V106" s="68" t="s">
        <v>633</v>
      </c>
      <c r="W106" s="108" t="s">
        <v>452</v>
      </c>
      <c r="X106" s="16">
        <v>5</v>
      </c>
      <c r="Y106" s="16">
        <v>7.5</v>
      </c>
      <c r="Z106" s="16">
        <v>7.5</v>
      </c>
      <c r="AA106" s="16">
        <v>6.5</v>
      </c>
      <c r="AB106" s="17">
        <f>(X106*$AN$5+Y106*$AN$6+Z106*$AN$7+AA106*$AN$8)/$AN$13</f>
        <v>6.2942779291553137</v>
      </c>
      <c r="AC106" s="18">
        <f>IF($AN$15="Y",10*(AB106-$AN$11)/$AN$12, 10*AB106/$AN$10)</f>
        <v>5.1040347385561784</v>
      </c>
      <c r="AD106" s="19">
        <f>RANK(AC106,AC:AC,0)</f>
        <v>103</v>
      </c>
      <c r="AE106" s="72">
        <v>41550</v>
      </c>
      <c r="AF106" s="21">
        <f>COUNTIF(AE:AE, "&lt;="&amp;AE106)</f>
        <v>85</v>
      </c>
      <c r="AG106" s="129">
        <v>41634</v>
      </c>
      <c r="AH106" s="21">
        <f>COUNTIF(AG:AG, "&lt;="&amp;AG106)</f>
        <v>90</v>
      </c>
      <c r="AI106" s="21"/>
      <c r="AJ106" s="65" t="s">
        <v>426</v>
      </c>
      <c r="AK106" s="193" t="s">
        <v>505</v>
      </c>
      <c r="AL106" s="132" t="s">
        <v>230</v>
      </c>
      <c r="AM106" s="8"/>
      <c r="AN106" s="8"/>
      <c r="AO106" s="8"/>
      <c r="AP106" s="8"/>
      <c r="AQ106" s="2"/>
      <c r="AR106" s="2"/>
      <c r="AS106" s="1"/>
      <c r="AT106" s="1"/>
      <c r="AU106" s="1"/>
    </row>
    <row r="107" spans="1:47" ht="16.5">
      <c r="A107" s="12"/>
      <c r="B107" s="23"/>
      <c r="C107" s="14"/>
      <c r="D107" s="159"/>
      <c r="E107" s="159"/>
      <c r="F107" s="159"/>
      <c r="G107" s="159"/>
      <c r="H107" s="159"/>
      <c r="I107" s="160"/>
      <c r="J107" s="9"/>
      <c r="K107" s="12"/>
      <c r="L107" s="14"/>
      <c r="M107" s="14"/>
      <c r="N107" s="68"/>
      <c r="O107" s="68"/>
      <c r="P107" s="82"/>
      <c r="Q107" s="9" t="s">
        <v>230</v>
      </c>
      <c r="R107" s="12" t="s">
        <v>120</v>
      </c>
      <c r="S107" s="14">
        <v>2</v>
      </c>
      <c r="T107" s="14">
        <v>12</v>
      </c>
      <c r="U107" s="68" t="s">
        <v>403</v>
      </c>
      <c r="V107" s="68" t="s">
        <v>632</v>
      </c>
      <c r="W107" s="109" t="s">
        <v>448</v>
      </c>
      <c r="X107" s="16">
        <v>2</v>
      </c>
      <c r="Y107" s="16">
        <v>7.5</v>
      </c>
      <c r="Z107" s="16">
        <v>10</v>
      </c>
      <c r="AA107" s="16">
        <v>8</v>
      </c>
      <c r="AB107" s="17">
        <f>(X107*$AN$5+Y107*$AN$6+Z107*$AN$7+AA107*$AN$8)/$AN$13</f>
        <v>6.2193460490463224</v>
      </c>
      <c r="AC107" s="18">
        <f>IF($AN$15="Y",10*(AB107-$AN$11)/$AN$12, 10*AB107/$AN$10)</f>
        <v>5.0045232495024434</v>
      </c>
      <c r="AD107" s="19">
        <f>RANK(AC107,AC:AC,0)</f>
        <v>104</v>
      </c>
      <c r="AE107" s="72">
        <v>41229</v>
      </c>
      <c r="AF107" s="21">
        <f>COUNTIF(AE:AE, "&lt;="&amp;AE107)</f>
        <v>4</v>
      </c>
      <c r="AG107" s="129">
        <v>41230</v>
      </c>
      <c r="AH107" s="21">
        <f>COUNTIF(AG:AG, "&lt;="&amp;AG107)</f>
        <v>4</v>
      </c>
      <c r="AI107" s="21"/>
      <c r="AJ107" s="65" t="s">
        <v>289</v>
      </c>
      <c r="AK107" s="193"/>
      <c r="AL107" s="132" t="s">
        <v>230</v>
      </c>
      <c r="AM107" s="8"/>
      <c r="AN107" s="8"/>
      <c r="AO107" s="8"/>
      <c r="AP107" s="8"/>
      <c r="AQ107" s="2"/>
      <c r="AR107" s="2"/>
      <c r="AS107" s="1"/>
      <c r="AT107" s="1"/>
      <c r="AU107" s="1"/>
    </row>
    <row r="108" spans="1:47" ht="16.5">
      <c r="A108" s="12"/>
      <c r="B108" s="23"/>
      <c r="C108" s="14"/>
      <c r="D108" s="159"/>
      <c r="E108" s="159"/>
      <c r="F108" s="159"/>
      <c r="G108" s="159"/>
      <c r="H108" s="159"/>
      <c r="I108" s="160"/>
      <c r="J108" s="9"/>
      <c r="K108" s="12"/>
      <c r="L108" s="14"/>
      <c r="M108" s="14"/>
      <c r="N108" s="68"/>
      <c r="O108" s="68"/>
      <c r="P108" s="82"/>
      <c r="Q108" s="9" t="s">
        <v>230</v>
      </c>
      <c r="R108" s="12" t="s">
        <v>119</v>
      </c>
      <c r="S108" s="14">
        <v>1</v>
      </c>
      <c r="T108" s="14">
        <v>12</v>
      </c>
      <c r="U108" s="68" t="s">
        <v>403</v>
      </c>
      <c r="V108" s="68" t="s">
        <v>632</v>
      </c>
      <c r="W108" s="120" t="s">
        <v>448</v>
      </c>
      <c r="X108" s="16">
        <v>2</v>
      </c>
      <c r="Y108" s="16">
        <v>7.5</v>
      </c>
      <c r="Z108" s="16">
        <v>9.5</v>
      </c>
      <c r="AA108" s="16">
        <v>8</v>
      </c>
      <c r="AB108" s="17">
        <f>(X108*$AN$5+Y108*$AN$6+Z108*$AN$7+AA108*$AN$8)/$AN$13</f>
        <v>6.1730245231607634</v>
      </c>
      <c r="AC108" s="18">
        <f>IF($AN$15="Y",10*(AB108-$AN$11)/$AN$12, 10*AB108/$AN$10)</f>
        <v>4.9430070562692245</v>
      </c>
      <c r="AD108" s="19">
        <f>RANK(AC108,AC:AC,0)</f>
        <v>105</v>
      </c>
      <c r="AE108" s="72">
        <v>41228</v>
      </c>
      <c r="AF108" s="21">
        <f>COUNTIF(AE:AE, "&lt;="&amp;AE108)</f>
        <v>3</v>
      </c>
      <c r="AG108" s="129">
        <v>41229</v>
      </c>
      <c r="AH108" s="21">
        <f>COUNTIF(AG:AG, "&lt;="&amp;AG108)</f>
        <v>3</v>
      </c>
      <c r="AI108" s="21"/>
      <c r="AJ108" s="65" t="s">
        <v>289</v>
      </c>
      <c r="AK108" s="193"/>
      <c r="AL108" s="132" t="s">
        <v>230</v>
      </c>
      <c r="AM108" s="8"/>
      <c r="AN108" s="8"/>
      <c r="AO108" s="8"/>
      <c r="AP108" s="8"/>
      <c r="AQ108" s="2"/>
      <c r="AR108" s="2"/>
      <c r="AS108" s="1"/>
      <c r="AT108" s="1"/>
      <c r="AU108" s="1"/>
    </row>
    <row r="109" spans="1:47" ht="16.5">
      <c r="A109" s="12"/>
      <c r="B109" s="23"/>
      <c r="C109" s="14"/>
      <c r="D109" s="159"/>
      <c r="E109" s="159"/>
      <c r="F109" s="159"/>
      <c r="G109" s="159"/>
      <c r="H109" s="159"/>
      <c r="I109" s="160"/>
      <c r="J109" s="9"/>
      <c r="K109" s="12"/>
      <c r="L109" s="14"/>
      <c r="M109" s="14"/>
      <c r="N109" s="68"/>
      <c r="O109" s="68"/>
      <c r="P109" s="82"/>
      <c r="Q109" s="9" t="s">
        <v>230</v>
      </c>
      <c r="R109" s="134" t="s">
        <v>433</v>
      </c>
      <c r="S109" s="14">
        <v>1</v>
      </c>
      <c r="T109" s="14">
        <v>10</v>
      </c>
      <c r="U109" s="68" t="s">
        <v>406</v>
      </c>
      <c r="V109" s="68" t="s">
        <v>631</v>
      </c>
      <c r="W109" s="81" t="s">
        <v>452</v>
      </c>
      <c r="X109" s="16">
        <v>6</v>
      </c>
      <c r="Y109" s="16">
        <v>5.5</v>
      </c>
      <c r="Z109" s="16">
        <v>7.5</v>
      </c>
      <c r="AA109" s="16">
        <v>6</v>
      </c>
      <c r="AB109" s="17">
        <f>(X109*$AN$5+Y109*$AN$6+Z109*$AN$7+AA109*$AN$8)/$AN$13</f>
        <v>6.0531335149863761</v>
      </c>
      <c r="AC109" s="18">
        <f>IF($AN$15="Y",10*(AB109-$AN$11)/$AN$12, 10*AB109/$AN$10)</f>
        <v>4.7837886737832456</v>
      </c>
      <c r="AD109" s="19">
        <f>RANK(AC109,AC:AC,0)</f>
        <v>106</v>
      </c>
      <c r="AE109" s="72">
        <v>41560</v>
      </c>
      <c r="AF109" s="21">
        <f>COUNTIF(AE:AE, "&lt;="&amp;AE109)</f>
        <v>92</v>
      </c>
      <c r="AG109" s="129">
        <v>41618</v>
      </c>
      <c r="AH109" s="21">
        <f>COUNTIF(AG:AG, "&lt;="&amp;AG109)</f>
        <v>84</v>
      </c>
      <c r="AI109" s="21"/>
      <c r="AJ109" s="65" t="s">
        <v>499</v>
      </c>
      <c r="AK109" s="193"/>
      <c r="AL109" s="132" t="s">
        <v>230</v>
      </c>
      <c r="AM109" s="8"/>
      <c r="AN109" s="8"/>
      <c r="AO109" s="8"/>
      <c r="AP109" s="8"/>
      <c r="AQ109" s="2"/>
      <c r="AR109" s="2"/>
      <c r="AS109" s="1"/>
      <c r="AT109" s="1"/>
      <c r="AU109" s="1"/>
    </row>
    <row r="110" spans="1:47" ht="16.5">
      <c r="A110" s="12"/>
      <c r="B110" s="23"/>
      <c r="C110" s="14"/>
      <c r="D110" s="159"/>
      <c r="E110" s="159"/>
      <c r="F110" s="159"/>
      <c r="G110" s="159"/>
      <c r="H110" s="159"/>
      <c r="I110" s="160"/>
      <c r="J110" s="9"/>
      <c r="K110" s="12"/>
      <c r="L110" s="14"/>
      <c r="M110" s="14"/>
      <c r="N110" s="68"/>
      <c r="O110" s="68"/>
      <c r="P110" s="82"/>
      <c r="Q110" s="9" t="s">
        <v>230</v>
      </c>
      <c r="R110" s="12" t="s">
        <v>197</v>
      </c>
      <c r="S110" s="14">
        <v>1</v>
      </c>
      <c r="T110" s="14">
        <v>13</v>
      </c>
      <c r="U110" s="68" t="s">
        <v>403</v>
      </c>
      <c r="V110" s="68" t="s">
        <v>633</v>
      </c>
      <c r="W110" s="110" t="s">
        <v>452</v>
      </c>
      <c r="X110" s="16">
        <v>3</v>
      </c>
      <c r="Y110" s="16">
        <v>6.5</v>
      </c>
      <c r="Z110" s="16">
        <v>6.5</v>
      </c>
      <c r="AA110" s="16">
        <v>7.5</v>
      </c>
      <c r="AB110" s="17">
        <f>(X110*$AN$5+Y110*$AN$6+Z110*$AN$7+AA110*$AN$8)/$AN$13</f>
        <v>5.8256130790190737</v>
      </c>
      <c r="AC110" s="18">
        <f>IF($AN$15="Y",10*(AB110-$AN$11)/$AN$12, 10*AB110/$AN$10)</f>
        <v>4.4816356070200829</v>
      </c>
      <c r="AD110" s="19">
        <f>RANK(AC110,AC:AC,0)</f>
        <v>107</v>
      </c>
      <c r="AE110" s="72">
        <v>41448</v>
      </c>
      <c r="AF110" s="21">
        <f>COUNTIF(AE:AE, "&lt;="&amp;AE110)</f>
        <v>57</v>
      </c>
      <c r="AG110" s="129">
        <v>41455</v>
      </c>
      <c r="AH110" s="21">
        <f>COUNTIF(AG:AG, "&lt;="&amp;AG110)</f>
        <v>56</v>
      </c>
      <c r="AI110" s="21"/>
      <c r="AJ110" s="65" t="s">
        <v>299</v>
      </c>
      <c r="AK110" s="193" t="s">
        <v>201</v>
      </c>
      <c r="AL110" s="132" t="s">
        <v>230</v>
      </c>
      <c r="AM110" s="8"/>
      <c r="AN110" s="8"/>
      <c r="AO110" s="8"/>
      <c r="AP110" s="8"/>
      <c r="AQ110" s="2"/>
      <c r="AR110" s="2"/>
      <c r="AS110" s="1"/>
      <c r="AT110" s="1"/>
      <c r="AU110" s="1"/>
    </row>
    <row r="111" spans="1:47" ht="16.5">
      <c r="A111" s="12"/>
      <c r="B111" s="23"/>
      <c r="C111" s="14"/>
      <c r="D111" s="159"/>
      <c r="E111" s="159"/>
      <c r="F111" s="159"/>
      <c r="G111" s="159"/>
      <c r="H111" s="159"/>
      <c r="I111" s="160"/>
      <c r="J111" s="9"/>
      <c r="K111" s="12"/>
      <c r="L111" s="14"/>
      <c r="M111" s="14"/>
      <c r="N111" s="68"/>
      <c r="O111" s="68"/>
      <c r="P111" s="82"/>
      <c r="Q111" s="9" t="s">
        <v>230</v>
      </c>
      <c r="R111" s="12" t="s">
        <v>121</v>
      </c>
      <c r="S111" s="14">
        <v>1</v>
      </c>
      <c r="T111" s="14">
        <v>12</v>
      </c>
      <c r="U111" s="68" t="s">
        <v>403</v>
      </c>
      <c r="V111" s="68" t="s">
        <v>631</v>
      </c>
      <c r="W111" s="111" t="s">
        <v>461</v>
      </c>
      <c r="X111" s="16">
        <v>5.5</v>
      </c>
      <c r="Y111" s="16">
        <v>5.5</v>
      </c>
      <c r="Z111" s="16">
        <v>5</v>
      </c>
      <c r="AA111" s="16">
        <v>6</v>
      </c>
      <c r="AB111" s="17">
        <f>(X111*$AN$5+Y111*$AN$6+Z111*$AN$7+AA111*$AN$8)/$AN$13</f>
        <v>5.6648501362397816</v>
      </c>
      <c r="AC111" s="18">
        <f>IF($AN$15="Y",10*(AB111-$AN$11)/$AN$12, 10*AB111/$AN$10)</f>
        <v>4.2681382305047935</v>
      </c>
      <c r="AD111" s="19">
        <f>RANK(AC111,AC:AC,0)</f>
        <v>108</v>
      </c>
      <c r="AE111" s="72">
        <v>41302</v>
      </c>
      <c r="AF111" s="21">
        <f>COUNTIF(AE:AE, "&lt;="&amp;AE111)</f>
        <v>22</v>
      </c>
      <c r="AG111" s="129">
        <v>41360</v>
      </c>
      <c r="AH111" s="21">
        <f>COUNTIF(AG:AG, "&lt;="&amp;AG111)</f>
        <v>33</v>
      </c>
      <c r="AI111" s="21"/>
      <c r="AJ111" s="65" t="s">
        <v>301</v>
      </c>
      <c r="AK111" s="193"/>
      <c r="AL111" s="132" t="s">
        <v>230</v>
      </c>
      <c r="AM111" s="8"/>
      <c r="AN111" s="8"/>
      <c r="AO111" s="8"/>
      <c r="AP111" s="8"/>
      <c r="AQ111" s="2"/>
      <c r="AR111" s="2"/>
      <c r="AS111" s="1"/>
      <c r="AT111" s="1"/>
      <c r="AU111" s="1"/>
    </row>
    <row r="112" spans="1:47" ht="16.5">
      <c r="A112" s="12"/>
      <c r="B112" s="23"/>
      <c r="C112" s="14"/>
      <c r="D112" s="159"/>
      <c r="E112" s="159"/>
      <c r="F112" s="159"/>
      <c r="G112" s="159"/>
      <c r="H112" s="159"/>
      <c r="I112" s="160"/>
      <c r="J112" s="9"/>
      <c r="K112" s="12"/>
      <c r="L112" s="14"/>
      <c r="M112" s="14"/>
      <c r="N112" s="68"/>
      <c r="O112" s="68"/>
      <c r="P112" s="82"/>
      <c r="Q112" s="9" t="s">
        <v>230</v>
      </c>
      <c r="R112" s="12" t="s">
        <v>264</v>
      </c>
      <c r="S112" s="14">
        <v>1</v>
      </c>
      <c r="T112" s="14">
        <v>10</v>
      </c>
      <c r="U112" s="68" t="s">
        <v>403</v>
      </c>
      <c r="V112" s="68" t="s">
        <v>631</v>
      </c>
      <c r="W112" s="81" t="s">
        <v>465</v>
      </c>
      <c r="X112" s="16">
        <v>2.5</v>
      </c>
      <c r="Y112" s="16">
        <v>7.5</v>
      </c>
      <c r="Z112" s="16">
        <v>5.5</v>
      </c>
      <c r="AA112" s="16">
        <v>6</v>
      </c>
      <c r="AB112" s="17">
        <f>(X112*$AN$5+Y112*$AN$6+Z112*$AN$7+AA112*$AN$8)/$AN$13</f>
        <v>5.1144414168937331</v>
      </c>
      <c r="AC112" s="18">
        <f>IF($AN$15="Y",10*(AB112-$AN$11)/$AN$12, 10*AB112/$AN$10)</f>
        <v>3.5371811109100779</v>
      </c>
      <c r="AD112" s="19">
        <f>RANK(AC112,AC:AC,0)</f>
        <v>109</v>
      </c>
      <c r="AE112" s="72">
        <v>41488</v>
      </c>
      <c r="AF112" s="21">
        <f>COUNTIF(AE:AE, "&lt;="&amp;AE112)</f>
        <v>79</v>
      </c>
      <c r="AG112" s="129">
        <v>41492</v>
      </c>
      <c r="AH112" s="21">
        <f>COUNTIF(AG:AG, "&lt;="&amp;AG112)</f>
        <v>67</v>
      </c>
      <c r="AI112" s="21"/>
      <c r="AJ112" s="197" t="s">
        <v>340</v>
      </c>
      <c r="AK112" s="193" t="s">
        <v>623</v>
      </c>
      <c r="AL112" s="132" t="s">
        <v>230</v>
      </c>
      <c r="AM112" s="8"/>
      <c r="AN112" s="8"/>
      <c r="AO112" s="8"/>
      <c r="AP112" s="8"/>
      <c r="AQ112" s="2"/>
      <c r="AR112" s="2"/>
      <c r="AS112" s="1"/>
      <c r="AT112" s="1"/>
      <c r="AU112" s="1"/>
    </row>
    <row r="113" spans="1:47" ht="16.5">
      <c r="A113" s="12"/>
      <c r="B113" s="23"/>
      <c r="C113" s="14"/>
      <c r="D113" s="159"/>
      <c r="E113" s="159"/>
      <c r="F113" s="159"/>
      <c r="G113" s="159"/>
      <c r="H113" s="159"/>
      <c r="I113" s="160"/>
      <c r="J113" s="9"/>
      <c r="K113" s="12"/>
      <c r="L113" s="14"/>
      <c r="M113" s="14"/>
      <c r="N113" s="68"/>
      <c r="O113" s="68"/>
      <c r="P113" s="82"/>
      <c r="Q113" s="9" t="s">
        <v>230</v>
      </c>
      <c r="R113" s="12" t="s">
        <v>122</v>
      </c>
      <c r="S113" s="14">
        <v>1</v>
      </c>
      <c r="T113" s="14">
        <v>13</v>
      </c>
      <c r="U113" s="68" t="s">
        <v>403</v>
      </c>
      <c r="V113" s="68" t="s">
        <v>631</v>
      </c>
      <c r="W113" s="118" t="s">
        <v>467</v>
      </c>
      <c r="X113" s="16">
        <v>3.5</v>
      </c>
      <c r="Y113" s="16">
        <v>5.5</v>
      </c>
      <c r="Z113" s="16">
        <v>6</v>
      </c>
      <c r="AA113" s="16">
        <v>5</v>
      </c>
      <c r="AB113" s="17">
        <f>(X113*$AN$5+Y113*$AN$6+Z113*$AN$7+AA113*$AN$8)/$AN$13</f>
        <v>4.7084468664850139</v>
      </c>
      <c r="AC113" s="18">
        <f>IF($AN$15="Y",10*(AB113-$AN$11)/$AN$12, 10*AB113/$AN$10)</f>
        <v>2.9980097702189252</v>
      </c>
      <c r="AD113" s="19">
        <f>RANK(AC113,AC:AC,0)</f>
        <v>110</v>
      </c>
      <c r="AE113" s="72">
        <v>40674</v>
      </c>
      <c r="AF113" s="21">
        <f>COUNTIF(AE:AE, "&lt;="&amp;AE113)</f>
        <v>1</v>
      </c>
      <c r="AG113" s="129">
        <v>40675</v>
      </c>
      <c r="AH113" s="21">
        <f>COUNTIF(AG:AG, "&lt;="&amp;AG113)</f>
        <v>1</v>
      </c>
      <c r="AI113" s="21"/>
      <c r="AJ113" s="198" t="s">
        <v>190</v>
      </c>
      <c r="AK113" s="193"/>
      <c r="AL113" s="132" t="s">
        <v>230</v>
      </c>
      <c r="AM113" s="8"/>
      <c r="AN113" s="8"/>
      <c r="AO113" s="8"/>
      <c r="AP113" s="8"/>
      <c r="AQ113" s="2"/>
      <c r="AR113" s="2"/>
      <c r="AS113" s="1"/>
      <c r="AT113" s="1"/>
      <c r="AU113" s="1"/>
    </row>
    <row r="114" spans="1:47" ht="16.5">
      <c r="A114" s="12"/>
      <c r="B114" s="23"/>
      <c r="C114" s="14"/>
      <c r="D114" s="159"/>
      <c r="E114" s="159"/>
      <c r="F114" s="159"/>
      <c r="G114" s="159"/>
      <c r="H114" s="159"/>
      <c r="I114" s="160"/>
      <c r="J114" s="9"/>
      <c r="K114" s="12"/>
      <c r="L114" s="14"/>
      <c r="M114" s="14"/>
      <c r="N114" s="68"/>
      <c r="O114" s="68"/>
      <c r="P114" s="82"/>
      <c r="Q114" s="9" t="s">
        <v>230</v>
      </c>
      <c r="R114" s="12" t="s">
        <v>546</v>
      </c>
      <c r="S114" s="14">
        <v>1</v>
      </c>
      <c r="T114" s="14">
        <v>26</v>
      </c>
      <c r="U114" s="199" t="s">
        <v>406</v>
      </c>
      <c r="V114" s="199" t="s">
        <v>631</v>
      </c>
      <c r="W114" s="203" t="s">
        <v>454</v>
      </c>
      <c r="X114" s="16">
        <v>1.5</v>
      </c>
      <c r="Y114" s="16">
        <v>5</v>
      </c>
      <c r="Z114" s="16">
        <v>4</v>
      </c>
      <c r="AA114" s="16">
        <v>6.5</v>
      </c>
      <c r="AB114" s="17">
        <f>(X114*$AN$5+Y114*$AN$6+Z114*$AN$7+AA114*$AN$8)/$AN$13</f>
        <v>4.4441416893732981</v>
      </c>
      <c r="AC114" s="18">
        <f>IF($AN$15="Y",10*(AB114-$AN$11)/$AN$12, 10*AB114/$AN$10)</f>
        <v>2.6470056088293843</v>
      </c>
      <c r="AD114" s="19">
        <f>RANK(AC114,AC:AC,0)</f>
        <v>111</v>
      </c>
      <c r="AE114" s="72">
        <v>41705</v>
      </c>
      <c r="AF114" s="21">
        <f>COUNTIF(AE:AE, "&lt;="&amp;AE114)</f>
        <v>111</v>
      </c>
      <c r="AG114" s="129">
        <v>41705</v>
      </c>
      <c r="AH114" s="21">
        <f>COUNTIF(AG:AG, "&lt;="&amp;AG114)</f>
        <v>97</v>
      </c>
      <c r="AI114" s="21"/>
      <c r="AJ114" s="65" t="s">
        <v>547</v>
      </c>
      <c r="AK114" s="193" t="s">
        <v>548</v>
      </c>
      <c r="AL114" s="132" t="s">
        <v>230</v>
      </c>
      <c r="AM114" s="8"/>
      <c r="AN114" s="8"/>
      <c r="AO114" s="8"/>
      <c r="AP114" s="8"/>
      <c r="AQ114" s="2"/>
      <c r="AR114" s="2"/>
      <c r="AS114" s="1"/>
      <c r="AT114" s="1"/>
      <c r="AU114" s="1"/>
    </row>
    <row r="115" spans="1:47" ht="16.5">
      <c r="A115" s="12"/>
      <c r="B115" s="23"/>
      <c r="C115" s="14"/>
      <c r="D115" s="159"/>
      <c r="E115" s="159"/>
      <c r="F115" s="159"/>
      <c r="G115" s="159"/>
      <c r="H115" s="159"/>
      <c r="I115" s="160"/>
      <c r="J115" s="9"/>
      <c r="K115" s="12"/>
      <c r="L115" s="14"/>
      <c r="M115" s="14"/>
      <c r="N115" s="68"/>
      <c r="O115" s="68"/>
      <c r="P115" s="82"/>
      <c r="Q115" s="9" t="s">
        <v>230</v>
      </c>
      <c r="R115" s="12" t="s">
        <v>123</v>
      </c>
      <c r="S115" s="14">
        <v>1</v>
      </c>
      <c r="T115" s="14">
        <v>12</v>
      </c>
      <c r="U115" s="200" t="s">
        <v>190</v>
      </c>
      <c r="V115" s="200" t="s">
        <v>190</v>
      </c>
      <c r="W115" s="204" t="s">
        <v>634</v>
      </c>
      <c r="X115" s="16">
        <v>3</v>
      </c>
      <c r="Y115" s="16">
        <v>2</v>
      </c>
      <c r="Z115" s="16">
        <v>5</v>
      </c>
      <c r="AA115" s="16">
        <v>3</v>
      </c>
      <c r="AB115" s="17">
        <f>(X115*$AN$5+Y115*$AN$6+Z115*$AN$7+AA115*$AN$8)/$AN$13</f>
        <v>3.0136239782016352</v>
      </c>
      <c r="AC115" s="18">
        <f>IF($AN$15="Y",10*(AB115-$AN$11)/$AN$12, 10*AB115/$AN$10)</f>
        <v>0.74724081780351004</v>
      </c>
      <c r="AD115" s="19">
        <f>RANK(AC115,AC:AC,0)</f>
        <v>112</v>
      </c>
      <c r="AE115" s="72">
        <v>41254</v>
      </c>
      <c r="AF115" s="21">
        <f>COUNTIF(AE:AE, "&lt;="&amp;AE115)</f>
        <v>8</v>
      </c>
      <c r="AG115" s="129">
        <v>41264</v>
      </c>
      <c r="AH115" s="21">
        <f>COUNTIF(AG:AG, "&lt;="&amp;AG115)</f>
        <v>8</v>
      </c>
      <c r="AI115" s="21"/>
      <c r="AJ115" s="65" t="s">
        <v>312</v>
      </c>
      <c r="AK115" s="193"/>
      <c r="AL115" s="132" t="s">
        <v>230</v>
      </c>
      <c r="AM115" s="9"/>
      <c r="AN115" s="9"/>
      <c r="AO115" s="9"/>
      <c r="AP115" s="9"/>
    </row>
    <row r="116" spans="1:47" ht="16.5">
      <c r="A116" s="12"/>
      <c r="B116" s="23"/>
      <c r="C116" s="14"/>
      <c r="D116" s="159"/>
      <c r="E116" s="159"/>
      <c r="F116" s="159"/>
      <c r="G116" s="159"/>
      <c r="H116" s="159"/>
      <c r="I116" s="160"/>
      <c r="J116" s="9"/>
      <c r="K116" s="12"/>
      <c r="L116" s="14"/>
      <c r="M116" s="14"/>
      <c r="N116" s="68"/>
      <c r="O116" s="68"/>
      <c r="P116" s="82"/>
      <c r="Q116" s="9" t="s">
        <v>230</v>
      </c>
      <c r="R116" s="12" t="s">
        <v>21</v>
      </c>
      <c r="S116" s="14">
        <v>1</v>
      </c>
      <c r="T116" s="14">
        <v>12</v>
      </c>
      <c r="U116" s="68" t="s">
        <v>403</v>
      </c>
      <c r="V116" s="68" t="s">
        <v>631</v>
      </c>
      <c r="W116" s="81" t="s">
        <v>454</v>
      </c>
      <c r="X116" s="16">
        <v>1.5</v>
      </c>
      <c r="Y116" s="16">
        <v>2</v>
      </c>
      <c r="Z116" s="16">
        <v>4</v>
      </c>
      <c r="AA116" s="16">
        <v>3</v>
      </c>
      <c r="AB116" s="17">
        <f>(X116*$AN$5+Y116*$AN$6+Z116*$AN$7+AA116*$AN$8)/$AN$13</f>
        <v>2.4509536784741148</v>
      </c>
      <c r="AC116" s="194">
        <f>IF($AN$15="Y",10*(AB116-$AN$11)/$AN$12, 10*AB116/$AN$10)</f>
        <v>0</v>
      </c>
      <c r="AD116" s="19">
        <f>RANK(AC116,AC:AC,0)</f>
        <v>113</v>
      </c>
      <c r="AE116" s="72">
        <v>41355</v>
      </c>
      <c r="AF116" s="21">
        <f>COUNTIF(AE:AE, "&lt;="&amp;AE116)</f>
        <v>33</v>
      </c>
      <c r="AG116" s="129">
        <v>41451</v>
      </c>
      <c r="AH116" s="21">
        <f>COUNTIF(AG:AG, "&lt;="&amp;AG116)</f>
        <v>49</v>
      </c>
      <c r="AI116" s="21"/>
      <c r="AJ116" s="197" t="s">
        <v>190</v>
      </c>
      <c r="AK116" s="193" t="s">
        <v>195</v>
      </c>
      <c r="AL116" s="132" t="s">
        <v>230</v>
      </c>
      <c r="AM116" s="9"/>
      <c r="AN116" s="9"/>
      <c r="AO116" s="9"/>
      <c r="AP116" s="9"/>
    </row>
    <row r="117" spans="1:47" ht="16.5">
      <c r="A117" s="12"/>
      <c r="B117" s="23"/>
      <c r="C117" s="14"/>
      <c r="D117" s="159"/>
      <c r="E117" s="159"/>
      <c r="F117" s="159"/>
      <c r="G117" s="159"/>
      <c r="H117" s="159"/>
      <c r="I117" s="160"/>
      <c r="J117" s="9"/>
      <c r="K117" s="12"/>
      <c r="L117" s="14"/>
      <c r="M117" s="14"/>
      <c r="N117" s="68"/>
      <c r="O117" s="68"/>
      <c r="P117" s="82"/>
      <c r="Q117" s="9" t="s">
        <v>230</v>
      </c>
      <c r="R117" s="12"/>
      <c r="S117" s="14"/>
      <c r="T117" s="14"/>
      <c r="U117" s="68"/>
      <c r="V117" s="68"/>
      <c r="W117" s="81"/>
      <c r="X117" s="16"/>
      <c r="Y117" s="16"/>
      <c r="Z117" s="16"/>
      <c r="AA117" s="16"/>
      <c r="AB117" s="17"/>
      <c r="AC117" s="18"/>
      <c r="AD117" s="48"/>
      <c r="AE117" s="72"/>
      <c r="AF117" s="21"/>
      <c r="AG117" s="129"/>
      <c r="AH117" s="20"/>
      <c r="AI117" s="20"/>
      <c r="AJ117" s="65"/>
      <c r="AK117" s="193"/>
      <c r="AL117" s="132" t="s">
        <v>230</v>
      </c>
      <c r="AM117" s="9"/>
      <c r="AN117" s="9"/>
      <c r="AO117" s="9"/>
      <c r="AP117" s="9"/>
    </row>
    <row r="118" spans="1:47" ht="16.5">
      <c r="A118" s="12"/>
      <c r="B118" s="23"/>
      <c r="C118" s="14"/>
      <c r="D118" s="159"/>
      <c r="E118" s="159"/>
      <c r="F118" s="159"/>
      <c r="G118" s="159"/>
      <c r="H118" s="159"/>
      <c r="I118" s="160"/>
      <c r="J118" s="9"/>
      <c r="K118" s="12"/>
      <c r="L118" s="14"/>
      <c r="M118" s="14"/>
      <c r="N118" s="68"/>
      <c r="O118" s="68"/>
      <c r="P118" s="82"/>
      <c r="Q118" s="9" t="s">
        <v>230</v>
      </c>
      <c r="R118" s="12"/>
      <c r="S118" s="14"/>
      <c r="T118" s="14"/>
      <c r="U118" s="68"/>
      <c r="V118" s="68"/>
      <c r="W118" s="81"/>
      <c r="X118" s="16"/>
      <c r="Y118" s="16"/>
      <c r="Z118" s="16"/>
      <c r="AA118" s="16"/>
      <c r="AB118" s="17"/>
      <c r="AC118" s="18"/>
      <c r="AD118" s="48"/>
      <c r="AE118" s="72"/>
      <c r="AF118" s="21"/>
      <c r="AG118" s="129"/>
      <c r="AH118" s="20"/>
      <c r="AI118" s="20"/>
      <c r="AJ118" s="65"/>
      <c r="AK118" s="193"/>
      <c r="AL118" s="132" t="s">
        <v>230</v>
      </c>
      <c r="AM118" s="9"/>
      <c r="AN118" s="9"/>
      <c r="AO118" s="9"/>
      <c r="AP118" s="9"/>
    </row>
    <row r="119" spans="1:47" ht="16.5">
      <c r="A119" s="12"/>
      <c r="B119" s="23"/>
      <c r="C119" s="14"/>
      <c r="D119" s="159"/>
      <c r="E119" s="159"/>
      <c r="F119" s="159"/>
      <c r="G119" s="159"/>
      <c r="H119" s="159"/>
      <c r="I119" s="160"/>
      <c r="J119" s="9"/>
      <c r="K119" s="12"/>
      <c r="L119" s="14"/>
      <c r="M119" s="14"/>
      <c r="N119" s="68"/>
      <c r="O119" s="68"/>
      <c r="P119" s="82"/>
      <c r="Q119" s="9" t="s">
        <v>230</v>
      </c>
      <c r="R119" s="12"/>
      <c r="S119" s="14"/>
      <c r="T119" s="14"/>
      <c r="U119" s="68"/>
      <c r="V119" s="68"/>
      <c r="W119" s="81"/>
      <c r="X119" s="16"/>
      <c r="Y119" s="16"/>
      <c r="Z119" s="16"/>
      <c r="AA119" s="16"/>
      <c r="AB119" s="17"/>
      <c r="AC119" s="18"/>
      <c r="AD119" s="48"/>
      <c r="AE119" s="72"/>
      <c r="AF119" s="21"/>
      <c r="AG119" s="129"/>
      <c r="AH119" s="20"/>
      <c r="AI119" s="20"/>
      <c r="AJ119" s="65"/>
      <c r="AK119" s="193"/>
      <c r="AL119" s="132" t="s">
        <v>230</v>
      </c>
      <c r="AM119" s="9"/>
      <c r="AN119" s="9"/>
      <c r="AO119" s="9"/>
      <c r="AP119" s="9"/>
    </row>
    <row r="120" spans="1:47" ht="16.5">
      <c r="A120" s="12"/>
      <c r="B120" s="23"/>
      <c r="C120" s="14"/>
      <c r="D120" s="159"/>
      <c r="E120" s="159"/>
      <c r="F120" s="159"/>
      <c r="G120" s="159"/>
      <c r="H120" s="159"/>
      <c r="I120" s="160"/>
      <c r="J120" s="9"/>
      <c r="K120" s="12"/>
      <c r="L120" s="14"/>
      <c r="M120" s="14"/>
      <c r="N120" s="68"/>
      <c r="O120" s="68"/>
      <c r="P120" s="82"/>
      <c r="Q120" s="9" t="s">
        <v>230</v>
      </c>
      <c r="R120" s="12"/>
      <c r="S120" s="14"/>
      <c r="T120" s="14"/>
      <c r="U120" s="68"/>
      <c r="V120" s="68"/>
      <c r="W120" s="81"/>
      <c r="X120" s="16"/>
      <c r="Y120" s="16"/>
      <c r="Z120" s="16"/>
      <c r="AA120" s="16"/>
      <c r="AB120" s="17"/>
      <c r="AC120" s="18"/>
      <c r="AD120" s="48"/>
      <c r="AE120" s="72"/>
      <c r="AF120" s="21"/>
      <c r="AG120" s="129"/>
      <c r="AH120" s="20"/>
      <c r="AI120" s="20"/>
      <c r="AJ120" s="65"/>
      <c r="AK120" s="193"/>
      <c r="AL120" s="132" t="s">
        <v>230</v>
      </c>
      <c r="AM120" s="9"/>
      <c r="AN120" s="9"/>
      <c r="AO120" s="9"/>
      <c r="AP120" s="9"/>
    </row>
    <row r="121" spans="1:47" ht="16.5">
      <c r="A121" s="12"/>
      <c r="B121" s="23"/>
      <c r="C121" s="14"/>
      <c r="D121" s="159"/>
      <c r="E121" s="159"/>
      <c r="F121" s="159"/>
      <c r="G121" s="159"/>
      <c r="H121" s="159"/>
      <c r="I121" s="160"/>
      <c r="J121" s="9"/>
      <c r="K121" s="12"/>
      <c r="L121" s="14"/>
      <c r="M121" s="14"/>
      <c r="N121" s="68"/>
      <c r="O121" s="68"/>
      <c r="P121" s="82"/>
      <c r="Q121" s="9" t="s">
        <v>230</v>
      </c>
      <c r="R121" s="12"/>
      <c r="S121" s="14"/>
      <c r="T121" s="14"/>
      <c r="U121" s="68"/>
      <c r="V121" s="68"/>
      <c r="W121" s="81"/>
      <c r="X121" s="16"/>
      <c r="Y121" s="16"/>
      <c r="Z121" s="16"/>
      <c r="AA121" s="16"/>
      <c r="AB121" s="17"/>
      <c r="AC121" s="18"/>
      <c r="AD121" s="48"/>
      <c r="AE121" s="72"/>
      <c r="AF121" s="21"/>
      <c r="AG121" s="129"/>
      <c r="AH121" s="20"/>
      <c r="AI121" s="20"/>
      <c r="AJ121" s="65"/>
      <c r="AK121" s="193"/>
      <c r="AL121" s="132" t="s">
        <v>230</v>
      </c>
      <c r="AM121" s="9"/>
      <c r="AN121" s="9"/>
      <c r="AO121" s="9"/>
      <c r="AP121" s="9"/>
    </row>
    <row r="122" spans="1:47" ht="16.5">
      <c r="A122" s="12"/>
      <c r="B122" s="23"/>
      <c r="C122" s="14"/>
      <c r="D122" s="159"/>
      <c r="E122" s="159"/>
      <c r="F122" s="159"/>
      <c r="G122" s="159"/>
      <c r="H122" s="159"/>
      <c r="I122" s="160"/>
      <c r="J122" s="9"/>
      <c r="K122" s="12"/>
      <c r="L122" s="14"/>
      <c r="M122" s="14"/>
      <c r="N122" s="68"/>
      <c r="O122" s="68"/>
      <c r="P122" s="82"/>
      <c r="Q122" s="9" t="s">
        <v>230</v>
      </c>
      <c r="R122" s="12"/>
      <c r="S122" s="14"/>
      <c r="T122" s="14"/>
      <c r="U122" s="68"/>
      <c r="V122" s="68"/>
      <c r="W122" s="81"/>
      <c r="X122" s="16"/>
      <c r="Y122" s="16"/>
      <c r="Z122" s="16"/>
      <c r="AA122" s="16"/>
      <c r="AB122" s="17"/>
      <c r="AC122" s="18"/>
      <c r="AD122" s="48"/>
      <c r="AE122" s="72"/>
      <c r="AF122" s="21"/>
      <c r="AG122" s="129"/>
      <c r="AH122" s="20"/>
      <c r="AI122" s="20"/>
      <c r="AJ122" s="65"/>
      <c r="AK122" s="193"/>
      <c r="AL122" s="132" t="s">
        <v>230</v>
      </c>
      <c r="AM122" s="9"/>
      <c r="AN122" s="9"/>
      <c r="AO122" s="9"/>
      <c r="AP122" s="9"/>
    </row>
    <row r="123" spans="1:47" ht="16.5">
      <c r="A123" s="12"/>
      <c r="B123" s="23"/>
      <c r="C123" s="14"/>
      <c r="D123" s="159"/>
      <c r="E123" s="159"/>
      <c r="F123" s="159"/>
      <c r="G123" s="159"/>
      <c r="H123" s="159"/>
      <c r="I123" s="160"/>
      <c r="J123" s="9"/>
      <c r="K123" s="12"/>
      <c r="L123" s="14"/>
      <c r="M123" s="14"/>
      <c r="N123" s="68"/>
      <c r="O123" s="68"/>
      <c r="P123" s="82"/>
      <c r="Q123" s="9" t="s">
        <v>230</v>
      </c>
      <c r="R123" s="12"/>
      <c r="S123" s="14"/>
      <c r="T123" s="14"/>
      <c r="U123" s="68"/>
      <c r="V123" s="68"/>
      <c r="W123" s="81"/>
      <c r="X123" s="16"/>
      <c r="Y123" s="16"/>
      <c r="Z123" s="16"/>
      <c r="AA123" s="16"/>
      <c r="AB123" s="17"/>
      <c r="AC123" s="18"/>
      <c r="AD123" s="48"/>
      <c r="AE123" s="72"/>
      <c r="AF123" s="21"/>
      <c r="AG123" s="129"/>
      <c r="AH123" s="20"/>
      <c r="AI123" s="20"/>
      <c r="AJ123" s="65"/>
      <c r="AK123" s="193"/>
      <c r="AL123" s="132" t="s">
        <v>230</v>
      </c>
      <c r="AM123" s="9"/>
      <c r="AN123" s="9"/>
      <c r="AO123" s="9"/>
      <c r="AP123" s="9"/>
    </row>
    <row r="124" spans="1:47" ht="16.5">
      <c r="A124" s="12"/>
      <c r="B124" s="23"/>
      <c r="C124" s="14"/>
      <c r="D124" s="159"/>
      <c r="E124" s="159"/>
      <c r="F124" s="159"/>
      <c r="G124" s="159"/>
      <c r="H124" s="159"/>
      <c r="I124" s="160"/>
      <c r="J124" s="9"/>
      <c r="K124" s="12"/>
      <c r="L124" s="14"/>
      <c r="M124" s="14"/>
      <c r="N124" s="68"/>
      <c r="O124" s="68"/>
      <c r="P124" s="82"/>
      <c r="Q124" s="9" t="s">
        <v>230</v>
      </c>
      <c r="R124" s="12"/>
      <c r="S124" s="14"/>
      <c r="T124" s="14"/>
      <c r="U124" s="68"/>
      <c r="V124" s="68"/>
      <c r="W124" s="81"/>
      <c r="X124" s="16"/>
      <c r="Y124" s="16"/>
      <c r="Z124" s="16"/>
      <c r="AA124" s="16"/>
      <c r="AB124" s="17"/>
      <c r="AC124" s="18"/>
      <c r="AD124" s="48"/>
      <c r="AE124" s="72"/>
      <c r="AF124" s="21"/>
      <c r="AG124" s="129"/>
      <c r="AH124" s="20"/>
      <c r="AI124" s="20"/>
      <c r="AJ124" s="65"/>
      <c r="AK124" s="193"/>
      <c r="AL124" s="132" t="s">
        <v>230</v>
      </c>
      <c r="AM124" s="9"/>
      <c r="AN124" s="9"/>
      <c r="AO124" s="9"/>
      <c r="AP124" s="9"/>
    </row>
    <row r="125" spans="1:47" ht="16.5">
      <c r="A125" s="12"/>
      <c r="B125" s="23"/>
      <c r="C125" s="14"/>
      <c r="D125" s="159"/>
      <c r="E125" s="159"/>
      <c r="F125" s="159"/>
      <c r="G125" s="159"/>
      <c r="H125" s="159"/>
      <c r="I125" s="160"/>
      <c r="J125" s="9"/>
      <c r="K125" s="12"/>
      <c r="L125" s="14"/>
      <c r="M125" s="14"/>
      <c r="N125" s="68"/>
      <c r="O125" s="68"/>
      <c r="P125" s="82"/>
      <c r="Q125" s="9" t="s">
        <v>230</v>
      </c>
      <c r="R125" s="12"/>
      <c r="S125" s="14"/>
      <c r="T125" s="14"/>
      <c r="U125" s="68"/>
      <c r="V125" s="68"/>
      <c r="W125" s="81"/>
      <c r="X125" s="16"/>
      <c r="Y125" s="16"/>
      <c r="Z125" s="16"/>
      <c r="AA125" s="16"/>
      <c r="AB125" s="17"/>
      <c r="AC125" s="18"/>
      <c r="AD125" s="48"/>
      <c r="AE125" s="72"/>
      <c r="AF125" s="21"/>
      <c r="AG125" s="129"/>
      <c r="AH125" s="20"/>
      <c r="AI125" s="20"/>
      <c r="AJ125" s="65"/>
      <c r="AK125" s="193"/>
      <c r="AL125" s="132" t="s">
        <v>230</v>
      </c>
      <c r="AM125" s="9"/>
      <c r="AN125" s="9"/>
      <c r="AO125" s="9"/>
      <c r="AP125" s="9"/>
    </row>
    <row r="126" spans="1:47" ht="16.5">
      <c r="A126" s="12"/>
      <c r="B126" s="23"/>
      <c r="C126" s="14"/>
      <c r="D126" s="159"/>
      <c r="E126" s="159"/>
      <c r="F126" s="159"/>
      <c r="G126" s="159"/>
      <c r="H126" s="159"/>
      <c r="I126" s="160"/>
      <c r="J126" s="9"/>
      <c r="K126" s="12"/>
      <c r="L126" s="14"/>
      <c r="M126" s="14"/>
      <c r="N126" s="68"/>
      <c r="O126" s="68"/>
      <c r="P126" s="82"/>
      <c r="Q126" s="9" t="s">
        <v>230</v>
      </c>
      <c r="R126" s="12"/>
      <c r="S126" s="14"/>
      <c r="T126" s="14"/>
      <c r="U126" s="68"/>
      <c r="V126" s="68"/>
      <c r="W126" s="81"/>
      <c r="X126" s="16"/>
      <c r="Y126" s="16"/>
      <c r="Z126" s="16"/>
      <c r="AA126" s="16"/>
      <c r="AB126" s="17"/>
      <c r="AC126" s="18"/>
      <c r="AD126" s="48"/>
      <c r="AE126" s="72"/>
      <c r="AF126" s="21"/>
      <c r="AG126" s="129"/>
      <c r="AH126" s="20"/>
      <c r="AI126" s="20"/>
      <c r="AJ126" s="65"/>
      <c r="AK126" s="193"/>
      <c r="AL126" s="132" t="s">
        <v>230</v>
      </c>
      <c r="AM126" s="9"/>
      <c r="AN126" s="9"/>
      <c r="AO126" s="9"/>
      <c r="AP126" s="9"/>
    </row>
    <row r="127" spans="1:47" ht="16.5">
      <c r="A127" s="12"/>
      <c r="B127" s="23"/>
      <c r="C127" s="14"/>
      <c r="D127" s="159"/>
      <c r="E127" s="159"/>
      <c r="F127" s="159"/>
      <c r="G127" s="159"/>
      <c r="H127" s="159"/>
      <c r="I127" s="160"/>
      <c r="J127" s="9"/>
      <c r="K127" s="12"/>
      <c r="L127" s="14"/>
      <c r="M127" s="14"/>
      <c r="N127" s="68"/>
      <c r="O127" s="68"/>
      <c r="P127" s="82"/>
      <c r="Q127" s="9" t="s">
        <v>230</v>
      </c>
      <c r="R127" s="12"/>
      <c r="S127" s="14"/>
      <c r="T127" s="14"/>
      <c r="U127" s="68"/>
      <c r="V127" s="68"/>
      <c r="W127" s="81"/>
      <c r="X127" s="16"/>
      <c r="Y127" s="16"/>
      <c r="Z127" s="16"/>
      <c r="AA127" s="16"/>
      <c r="AB127" s="17"/>
      <c r="AC127" s="18"/>
      <c r="AD127" s="48"/>
      <c r="AE127" s="72"/>
      <c r="AF127" s="21"/>
      <c r="AG127" s="129"/>
      <c r="AH127" s="20"/>
      <c r="AI127" s="20"/>
      <c r="AJ127" s="65"/>
      <c r="AK127" s="193"/>
      <c r="AL127" s="132" t="s">
        <v>230</v>
      </c>
      <c r="AM127" s="9"/>
      <c r="AN127" s="9"/>
      <c r="AO127" s="9"/>
      <c r="AP127" s="9"/>
    </row>
    <row r="128" spans="1:47" ht="16.5">
      <c r="A128" s="12"/>
      <c r="B128" s="23"/>
      <c r="C128" s="14"/>
      <c r="D128" s="159"/>
      <c r="E128" s="159"/>
      <c r="F128" s="159"/>
      <c r="G128" s="159"/>
      <c r="H128" s="159"/>
      <c r="I128" s="160"/>
      <c r="J128" s="9"/>
      <c r="K128" s="12"/>
      <c r="L128" s="14"/>
      <c r="M128" s="14"/>
      <c r="N128" s="68"/>
      <c r="O128" s="68"/>
      <c r="P128" s="82"/>
      <c r="Q128" s="9" t="s">
        <v>230</v>
      </c>
      <c r="R128" s="12"/>
      <c r="S128" s="14"/>
      <c r="T128" s="14"/>
      <c r="U128" s="68"/>
      <c r="V128" s="68"/>
      <c r="W128" s="81"/>
      <c r="X128" s="16"/>
      <c r="Y128" s="16"/>
      <c r="Z128" s="16"/>
      <c r="AA128" s="16"/>
      <c r="AB128" s="17"/>
      <c r="AC128" s="18"/>
      <c r="AD128" s="48"/>
      <c r="AE128" s="72"/>
      <c r="AF128" s="21"/>
      <c r="AG128" s="129"/>
      <c r="AH128" s="20"/>
      <c r="AI128" s="20"/>
      <c r="AJ128" s="65"/>
      <c r="AK128" s="193"/>
      <c r="AL128" s="132" t="s">
        <v>230</v>
      </c>
      <c r="AM128" s="9"/>
      <c r="AN128" s="9"/>
      <c r="AO128" s="9"/>
      <c r="AP128" s="9"/>
    </row>
    <row r="129" spans="1:42" ht="16.5">
      <c r="A129" s="12"/>
      <c r="B129" s="23"/>
      <c r="C129" s="14"/>
      <c r="D129" s="159"/>
      <c r="E129" s="159"/>
      <c r="F129" s="159"/>
      <c r="G129" s="159"/>
      <c r="H129" s="159"/>
      <c r="I129" s="160"/>
      <c r="J129" s="9"/>
      <c r="K129" s="12"/>
      <c r="L129" s="14"/>
      <c r="M129" s="14"/>
      <c r="N129" s="68"/>
      <c r="O129" s="68"/>
      <c r="P129" s="82"/>
      <c r="Q129" s="9" t="s">
        <v>230</v>
      </c>
      <c r="R129" s="12"/>
      <c r="S129" s="14"/>
      <c r="T129" s="14"/>
      <c r="U129" s="68"/>
      <c r="V129" s="68"/>
      <c r="W129" s="81"/>
      <c r="X129" s="16"/>
      <c r="Y129" s="16"/>
      <c r="Z129" s="16"/>
      <c r="AA129" s="16"/>
      <c r="AB129" s="17"/>
      <c r="AC129" s="18"/>
      <c r="AD129" s="48"/>
      <c r="AE129" s="72"/>
      <c r="AF129" s="21"/>
      <c r="AG129" s="129"/>
      <c r="AH129" s="20"/>
      <c r="AI129" s="20"/>
      <c r="AJ129" s="65"/>
      <c r="AK129" s="193"/>
      <c r="AL129" s="132" t="s">
        <v>230</v>
      </c>
      <c r="AM129" s="9"/>
      <c r="AN129" s="9"/>
      <c r="AO129" s="9"/>
      <c r="AP129" s="9"/>
    </row>
    <row r="130" spans="1:42" ht="16.5">
      <c r="A130" s="12"/>
      <c r="B130" s="23"/>
      <c r="C130" s="14"/>
      <c r="D130" s="159"/>
      <c r="E130" s="159"/>
      <c r="F130" s="159"/>
      <c r="G130" s="159"/>
      <c r="H130" s="159"/>
      <c r="I130" s="160"/>
      <c r="J130" s="9"/>
      <c r="K130" s="12"/>
      <c r="L130" s="14"/>
      <c r="M130" s="14"/>
      <c r="N130" s="68"/>
      <c r="O130" s="68"/>
      <c r="P130" s="82"/>
      <c r="Q130" s="9" t="s">
        <v>230</v>
      </c>
      <c r="R130" s="12"/>
      <c r="S130" s="14"/>
      <c r="T130" s="14"/>
      <c r="U130" s="68"/>
      <c r="V130" s="68"/>
      <c r="W130" s="81"/>
      <c r="X130" s="16"/>
      <c r="Y130" s="16"/>
      <c r="Z130" s="16"/>
      <c r="AA130" s="16"/>
      <c r="AB130" s="17"/>
      <c r="AC130" s="18"/>
      <c r="AD130" s="48"/>
      <c r="AE130" s="72"/>
      <c r="AF130" s="21"/>
      <c r="AG130" s="129"/>
      <c r="AH130" s="20"/>
      <c r="AI130" s="20"/>
      <c r="AJ130" s="65"/>
      <c r="AK130" s="193"/>
      <c r="AL130" s="132" t="s">
        <v>230</v>
      </c>
      <c r="AM130" s="9"/>
      <c r="AN130" s="9"/>
      <c r="AO130" s="9"/>
      <c r="AP130" s="9"/>
    </row>
    <row r="131" spans="1:42" ht="16.5">
      <c r="A131" s="12"/>
      <c r="B131" s="23"/>
      <c r="C131" s="14"/>
      <c r="D131" s="159"/>
      <c r="E131" s="159"/>
      <c r="F131" s="159"/>
      <c r="G131" s="159"/>
      <c r="H131" s="159"/>
      <c r="I131" s="160"/>
      <c r="J131" s="9"/>
      <c r="K131" s="12"/>
      <c r="L131" s="14"/>
      <c r="M131" s="14"/>
      <c r="N131" s="68"/>
      <c r="O131" s="68"/>
      <c r="P131" s="82"/>
      <c r="Q131" s="9" t="s">
        <v>230</v>
      </c>
      <c r="R131" s="12"/>
      <c r="S131" s="14"/>
      <c r="T131" s="14"/>
      <c r="U131" s="68"/>
      <c r="V131" s="68"/>
      <c r="W131" s="81"/>
      <c r="X131" s="16"/>
      <c r="Y131" s="16"/>
      <c r="Z131" s="16"/>
      <c r="AA131" s="16"/>
      <c r="AB131" s="17"/>
      <c r="AC131" s="18"/>
      <c r="AD131" s="48"/>
      <c r="AE131" s="72"/>
      <c r="AF131" s="21"/>
      <c r="AG131" s="129"/>
      <c r="AH131" s="20"/>
      <c r="AI131" s="20"/>
      <c r="AJ131" s="65"/>
      <c r="AK131" s="193"/>
      <c r="AL131" s="132" t="s">
        <v>230</v>
      </c>
      <c r="AM131" s="9"/>
      <c r="AN131" s="9"/>
      <c r="AO131" s="9"/>
      <c r="AP131" s="9"/>
    </row>
    <row r="132" spans="1:42" ht="16.5">
      <c r="A132" s="12"/>
      <c r="B132" s="23"/>
      <c r="C132" s="14"/>
      <c r="D132" s="159"/>
      <c r="E132" s="159"/>
      <c r="F132" s="159"/>
      <c r="G132" s="159"/>
      <c r="H132" s="159"/>
      <c r="I132" s="160"/>
      <c r="J132" s="9"/>
      <c r="K132" s="12"/>
      <c r="L132" s="14"/>
      <c r="M132" s="14"/>
      <c r="N132" s="68"/>
      <c r="O132" s="68"/>
      <c r="P132" s="82"/>
      <c r="Q132" s="9" t="s">
        <v>230</v>
      </c>
      <c r="R132" s="12"/>
      <c r="S132" s="14"/>
      <c r="T132" s="14"/>
      <c r="U132" s="68"/>
      <c r="V132" s="68"/>
      <c r="W132" s="81"/>
      <c r="X132" s="16"/>
      <c r="Y132" s="16"/>
      <c r="Z132" s="16"/>
      <c r="AA132" s="16"/>
      <c r="AB132" s="17"/>
      <c r="AC132" s="18"/>
      <c r="AD132" s="48"/>
      <c r="AE132" s="72"/>
      <c r="AF132" s="21"/>
      <c r="AG132" s="129"/>
      <c r="AH132" s="20"/>
      <c r="AI132" s="20"/>
      <c r="AJ132" s="65"/>
      <c r="AK132" s="193"/>
      <c r="AL132" s="132" t="s">
        <v>230</v>
      </c>
      <c r="AM132" s="9"/>
      <c r="AN132" s="9"/>
      <c r="AO132" s="9"/>
      <c r="AP132" s="9"/>
    </row>
    <row r="133" spans="1:42" ht="16.5">
      <c r="A133" s="12"/>
      <c r="B133" s="23"/>
      <c r="C133" s="14"/>
      <c r="D133" s="159"/>
      <c r="E133" s="159"/>
      <c r="F133" s="159"/>
      <c r="G133" s="159"/>
      <c r="H133" s="159"/>
      <c r="I133" s="160"/>
      <c r="J133" s="9"/>
      <c r="K133" s="12"/>
      <c r="L133" s="14"/>
      <c r="M133" s="14"/>
      <c r="N133" s="68"/>
      <c r="O133" s="68"/>
      <c r="P133" s="82"/>
      <c r="Q133" s="9" t="s">
        <v>230</v>
      </c>
      <c r="R133" s="12"/>
      <c r="S133" s="14"/>
      <c r="T133" s="14"/>
      <c r="U133" s="68"/>
      <c r="V133" s="68"/>
      <c r="W133" s="81"/>
      <c r="X133" s="16"/>
      <c r="Y133" s="16"/>
      <c r="Z133" s="16"/>
      <c r="AA133" s="16"/>
      <c r="AB133" s="17"/>
      <c r="AC133" s="18"/>
      <c r="AD133" s="48"/>
      <c r="AE133" s="72"/>
      <c r="AF133" s="21"/>
      <c r="AG133" s="129"/>
      <c r="AH133" s="20"/>
      <c r="AI133" s="20"/>
      <c r="AJ133" s="65"/>
      <c r="AK133" s="193"/>
      <c r="AL133" s="132" t="s">
        <v>230</v>
      </c>
      <c r="AM133" s="9"/>
      <c r="AN133" s="9"/>
      <c r="AO133" s="9"/>
      <c r="AP133" s="9"/>
    </row>
    <row r="134" spans="1:42" ht="16.5">
      <c r="A134" s="12"/>
      <c r="B134" s="23"/>
      <c r="C134" s="14"/>
      <c r="D134" s="159"/>
      <c r="E134" s="159"/>
      <c r="F134" s="159"/>
      <c r="G134" s="159"/>
      <c r="H134" s="159"/>
      <c r="I134" s="160"/>
      <c r="J134" s="9"/>
      <c r="K134" s="12"/>
      <c r="L134" s="14"/>
      <c r="M134" s="14"/>
      <c r="N134" s="68"/>
      <c r="O134" s="68"/>
      <c r="P134" s="82"/>
      <c r="Q134" s="9" t="s">
        <v>230</v>
      </c>
      <c r="R134" s="12"/>
      <c r="S134" s="14"/>
      <c r="T134" s="14"/>
      <c r="U134" s="68"/>
      <c r="V134" s="68"/>
      <c r="W134" s="81"/>
      <c r="X134" s="16"/>
      <c r="Y134" s="16"/>
      <c r="Z134" s="16"/>
      <c r="AA134" s="16"/>
      <c r="AB134" s="17"/>
      <c r="AC134" s="18"/>
      <c r="AD134" s="48"/>
      <c r="AE134" s="72"/>
      <c r="AF134" s="21"/>
      <c r="AG134" s="129"/>
      <c r="AH134" s="20"/>
      <c r="AI134" s="20"/>
      <c r="AJ134" s="65"/>
      <c r="AK134" s="193"/>
      <c r="AL134" s="132" t="s">
        <v>230</v>
      </c>
      <c r="AM134" s="9"/>
      <c r="AN134" s="9"/>
      <c r="AO134" s="9"/>
      <c r="AP134" s="9"/>
    </row>
    <row r="135" spans="1:42" ht="16.5">
      <c r="A135" s="12"/>
      <c r="B135" s="23"/>
      <c r="C135" s="14"/>
      <c r="D135" s="159"/>
      <c r="E135" s="159"/>
      <c r="F135" s="159"/>
      <c r="G135" s="159"/>
      <c r="H135" s="159"/>
      <c r="I135" s="160"/>
      <c r="J135" s="9"/>
      <c r="K135" s="12"/>
      <c r="L135" s="14"/>
      <c r="M135" s="14"/>
      <c r="N135" s="68"/>
      <c r="O135" s="68"/>
      <c r="P135" s="82"/>
      <c r="Q135" s="9" t="s">
        <v>230</v>
      </c>
      <c r="R135" s="12"/>
      <c r="S135" s="14"/>
      <c r="T135" s="14"/>
      <c r="U135" s="68"/>
      <c r="V135" s="68"/>
      <c r="W135" s="81"/>
      <c r="X135" s="16"/>
      <c r="Y135" s="16"/>
      <c r="Z135" s="16"/>
      <c r="AA135" s="16"/>
      <c r="AB135" s="17"/>
      <c r="AC135" s="18"/>
      <c r="AD135" s="48"/>
      <c r="AE135" s="72"/>
      <c r="AF135" s="21"/>
      <c r="AG135" s="129"/>
      <c r="AH135" s="20"/>
      <c r="AI135" s="20"/>
      <c r="AJ135" s="65"/>
      <c r="AK135" s="193"/>
      <c r="AL135" s="132" t="s">
        <v>230</v>
      </c>
      <c r="AM135" s="9"/>
      <c r="AN135" s="9"/>
      <c r="AO135" s="9"/>
      <c r="AP135" s="9"/>
    </row>
    <row r="136" spans="1:42" ht="16.5">
      <c r="A136" s="12"/>
      <c r="B136" s="23"/>
      <c r="C136" s="14"/>
      <c r="D136" s="159"/>
      <c r="E136" s="159"/>
      <c r="F136" s="159"/>
      <c r="G136" s="159"/>
      <c r="H136" s="159"/>
      <c r="I136" s="160"/>
      <c r="J136" s="9"/>
      <c r="K136" s="12"/>
      <c r="L136" s="14"/>
      <c r="M136" s="14"/>
      <c r="N136" s="68"/>
      <c r="O136" s="68"/>
      <c r="P136" s="82"/>
      <c r="Q136" s="9" t="s">
        <v>230</v>
      </c>
      <c r="R136" s="12"/>
      <c r="S136" s="14"/>
      <c r="T136" s="14"/>
      <c r="U136" s="68"/>
      <c r="V136" s="68"/>
      <c r="W136" s="81"/>
      <c r="X136" s="16"/>
      <c r="Y136" s="16"/>
      <c r="Z136" s="16"/>
      <c r="AA136" s="16"/>
      <c r="AB136" s="17"/>
      <c r="AC136" s="18"/>
      <c r="AD136" s="48"/>
      <c r="AE136" s="72"/>
      <c r="AF136" s="21"/>
      <c r="AG136" s="129"/>
      <c r="AH136" s="20"/>
      <c r="AI136" s="20"/>
      <c r="AJ136" s="65"/>
      <c r="AK136" s="193"/>
      <c r="AL136" s="132" t="s">
        <v>230</v>
      </c>
      <c r="AM136" s="9"/>
      <c r="AN136" s="9"/>
      <c r="AO136" s="9"/>
      <c r="AP136" s="9"/>
    </row>
    <row r="137" spans="1:42" ht="16.5">
      <c r="A137" s="12"/>
      <c r="B137" s="23"/>
      <c r="C137" s="14"/>
      <c r="D137" s="159"/>
      <c r="E137" s="159"/>
      <c r="F137" s="159"/>
      <c r="G137" s="159"/>
      <c r="H137" s="159"/>
      <c r="I137" s="160"/>
      <c r="J137" s="9"/>
      <c r="K137" s="12"/>
      <c r="L137" s="14"/>
      <c r="M137" s="14"/>
      <c r="N137" s="68"/>
      <c r="O137" s="68"/>
      <c r="P137" s="82"/>
      <c r="Q137" s="9" t="s">
        <v>230</v>
      </c>
      <c r="R137" s="12"/>
      <c r="S137" s="14"/>
      <c r="T137" s="14"/>
      <c r="U137" s="68"/>
      <c r="V137" s="68"/>
      <c r="W137" s="81"/>
      <c r="X137" s="16"/>
      <c r="Y137" s="16"/>
      <c r="Z137" s="16"/>
      <c r="AA137" s="16"/>
      <c r="AB137" s="17"/>
      <c r="AC137" s="18"/>
      <c r="AD137" s="48"/>
      <c r="AE137" s="72"/>
      <c r="AF137" s="21"/>
      <c r="AG137" s="129"/>
      <c r="AH137" s="20"/>
      <c r="AI137" s="20"/>
      <c r="AJ137" s="65"/>
      <c r="AK137" s="193"/>
      <c r="AL137" s="132" t="s">
        <v>230</v>
      </c>
      <c r="AM137" s="9"/>
      <c r="AN137" s="9"/>
      <c r="AO137" s="9"/>
      <c r="AP137" s="9"/>
    </row>
    <row r="138" spans="1:42" ht="16.5">
      <c r="A138" s="12"/>
      <c r="B138" s="23"/>
      <c r="C138" s="14"/>
      <c r="D138" s="159"/>
      <c r="E138" s="159"/>
      <c r="F138" s="159"/>
      <c r="G138" s="159"/>
      <c r="H138" s="159"/>
      <c r="I138" s="160"/>
      <c r="J138" s="9"/>
      <c r="K138" s="12"/>
      <c r="L138" s="14"/>
      <c r="M138" s="14"/>
      <c r="N138" s="68"/>
      <c r="O138" s="68"/>
      <c r="P138" s="82"/>
      <c r="Q138" s="9" t="s">
        <v>230</v>
      </c>
      <c r="R138" s="12"/>
      <c r="S138" s="14"/>
      <c r="T138" s="14"/>
      <c r="U138" s="68"/>
      <c r="V138" s="68"/>
      <c r="W138" s="81"/>
      <c r="X138" s="16"/>
      <c r="Y138" s="16"/>
      <c r="Z138" s="16"/>
      <c r="AA138" s="16"/>
      <c r="AB138" s="17"/>
      <c r="AC138" s="18"/>
      <c r="AD138" s="48"/>
      <c r="AE138" s="72"/>
      <c r="AF138" s="21"/>
      <c r="AG138" s="129"/>
      <c r="AH138" s="20"/>
      <c r="AI138" s="20"/>
      <c r="AJ138" s="65"/>
      <c r="AK138" s="193"/>
      <c r="AL138" s="132" t="s">
        <v>230</v>
      </c>
      <c r="AM138" s="9"/>
      <c r="AN138" s="9"/>
      <c r="AO138" s="9"/>
      <c r="AP138" s="9"/>
    </row>
    <row r="139" spans="1:42" ht="16.5">
      <c r="A139" s="12"/>
      <c r="B139" s="23"/>
      <c r="C139" s="14"/>
      <c r="D139" s="159"/>
      <c r="E139" s="159"/>
      <c r="F139" s="159"/>
      <c r="G139" s="159"/>
      <c r="H139" s="159"/>
      <c r="I139" s="160"/>
      <c r="J139" s="9"/>
      <c r="K139" s="12"/>
      <c r="L139" s="14"/>
      <c r="M139" s="14"/>
      <c r="N139" s="68"/>
      <c r="O139" s="68"/>
      <c r="P139" s="82"/>
      <c r="Q139" s="9" t="s">
        <v>230</v>
      </c>
      <c r="R139" s="12"/>
      <c r="S139" s="14"/>
      <c r="T139" s="14"/>
      <c r="U139" s="68"/>
      <c r="V139" s="68"/>
      <c r="W139" s="81"/>
      <c r="X139" s="16"/>
      <c r="Y139" s="16"/>
      <c r="Z139" s="16"/>
      <c r="AA139" s="16"/>
      <c r="AB139" s="17"/>
      <c r="AC139" s="18"/>
      <c r="AD139" s="48"/>
      <c r="AE139" s="72"/>
      <c r="AF139" s="21"/>
      <c r="AG139" s="129"/>
      <c r="AH139" s="20"/>
      <c r="AI139" s="20"/>
      <c r="AJ139" s="65"/>
      <c r="AK139" s="193"/>
      <c r="AL139" s="132" t="s">
        <v>230</v>
      </c>
      <c r="AM139" s="9"/>
      <c r="AN139" s="9"/>
      <c r="AO139" s="9"/>
      <c r="AP139" s="9"/>
    </row>
    <row r="140" spans="1:42" ht="16.5">
      <c r="A140" s="12"/>
      <c r="B140" s="23"/>
      <c r="C140" s="14"/>
      <c r="D140" s="159"/>
      <c r="E140" s="159"/>
      <c r="F140" s="159"/>
      <c r="G140" s="159"/>
      <c r="H140" s="159"/>
      <c r="I140" s="160"/>
      <c r="J140" s="9"/>
      <c r="K140" s="12"/>
      <c r="L140" s="14"/>
      <c r="M140" s="14"/>
      <c r="N140" s="68"/>
      <c r="O140" s="68"/>
      <c r="P140" s="82"/>
      <c r="Q140" s="9" t="s">
        <v>230</v>
      </c>
      <c r="R140" s="12"/>
      <c r="S140" s="14"/>
      <c r="T140" s="14"/>
      <c r="U140" s="68"/>
      <c r="V140" s="68"/>
      <c r="W140" s="81"/>
      <c r="X140" s="16"/>
      <c r="Y140" s="16"/>
      <c r="Z140" s="16"/>
      <c r="AA140" s="16"/>
      <c r="AB140" s="17"/>
      <c r="AC140" s="18"/>
      <c r="AD140" s="48"/>
      <c r="AE140" s="72"/>
      <c r="AF140" s="21"/>
      <c r="AG140" s="129"/>
      <c r="AH140" s="20"/>
      <c r="AI140" s="20"/>
      <c r="AJ140" s="65"/>
      <c r="AK140" s="135"/>
      <c r="AL140" s="132" t="s">
        <v>230</v>
      </c>
      <c r="AM140" s="9"/>
      <c r="AN140" s="9"/>
      <c r="AO140" s="9"/>
      <c r="AP140" s="9"/>
    </row>
    <row r="141" spans="1:42" ht="16.5">
      <c r="A141" s="12"/>
      <c r="B141" s="23"/>
      <c r="C141" s="14"/>
      <c r="D141" s="159"/>
      <c r="E141" s="159"/>
      <c r="F141" s="159"/>
      <c r="G141" s="159"/>
      <c r="H141" s="159"/>
      <c r="I141" s="160"/>
      <c r="J141" s="9"/>
      <c r="K141" s="12"/>
      <c r="L141" s="14"/>
      <c r="M141" s="14"/>
      <c r="N141" s="68"/>
      <c r="O141" s="68"/>
      <c r="P141" s="82"/>
      <c r="Q141" s="9" t="s">
        <v>230</v>
      </c>
      <c r="R141" s="12"/>
      <c r="S141" s="14"/>
      <c r="T141" s="14"/>
      <c r="U141" s="68"/>
      <c r="V141" s="68"/>
      <c r="W141" s="81"/>
      <c r="X141" s="16"/>
      <c r="Y141" s="16"/>
      <c r="Z141" s="16"/>
      <c r="AA141" s="16"/>
      <c r="AB141" s="17"/>
      <c r="AC141" s="18"/>
      <c r="AD141" s="48"/>
      <c r="AE141" s="72"/>
      <c r="AF141" s="21"/>
      <c r="AG141" s="129"/>
      <c r="AH141" s="20"/>
      <c r="AI141" s="20"/>
      <c r="AJ141" s="65"/>
      <c r="AK141" s="135"/>
      <c r="AL141" s="132" t="s">
        <v>230</v>
      </c>
      <c r="AM141" s="9"/>
      <c r="AN141" s="9"/>
      <c r="AO141" s="9"/>
      <c r="AP141" s="9"/>
    </row>
    <row r="142" spans="1:42" ht="16.5">
      <c r="A142" s="12"/>
      <c r="B142" s="23"/>
      <c r="C142" s="14"/>
      <c r="D142" s="159"/>
      <c r="E142" s="159"/>
      <c r="F142" s="159"/>
      <c r="G142" s="159"/>
      <c r="H142" s="159"/>
      <c r="I142" s="160"/>
      <c r="J142" s="9"/>
      <c r="K142" s="12"/>
      <c r="L142" s="14"/>
      <c r="M142" s="14"/>
      <c r="N142" s="68"/>
      <c r="O142" s="68"/>
      <c r="P142" s="82"/>
      <c r="Q142" s="9" t="s">
        <v>230</v>
      </c>
      <c r="R142" s="12"/>
      <c r="S142" s="14"/>
      <c r="T142" s="14"/>
      <c r="U142" s="68"/>
      <c r="V142" s="68"/>
      <c r="W142" s="81"/>
      <c r="X142" s="16"/>
      <c r="Y142" s="16"/>
      <c r="Z142" s="16"/>
      <c r="AA142" s="16"/>
      <c r="AB142" s="17"/>
      <c r="AC142" s="18"/>
      <c r="AD142" s="48"/>
      <c r="AE142" s="72"/>
      <c r="AF142" s="21"/>
      <c r="AG142" s="129"/>
      <c r="AH142" s="20"/>
      <c r="AI142" s="20"/>
      <c r="AJ142" s="65"/>
      <c r="AK142" s="135"/>
      <c r="AL142" s="132" t="s">
        <v>230</v>
      </c>
      <c r="AM142" s="9"/>
      <c r="AN142" s="9"/>
      <c r="AO142" s="9"/>
      <c r="AP142" s="9"/>
    </row>
    <row r="143" spans="1:42" ht="16.5">
      <c r="A143" s="12"/>
      <c r="B143" s="23"/>
      <c r="C143" s="14"/>
      <c r="D143" s="159"/>
      <c r="E143" s="159"/>
      <c r="F143" s="159"/>
      <c r="G143" s="159"/>
      <c r="H143" s="159"/>
      <c r="I143" s="160"/>
      <c r="J143" s="9"/>
      <c r="K143" s="12"/>
      <c r="L143" s="14"/>
      <c r="M143" s="14"/>
      <c r="N143" s="68"/>
      <c r="O143" s="68"/>
      <c r="P143" s="82"/>
      <c r="Q143" s="9" t="s">
        <v>230</v>
      </c>
      <c r="R143" s="12"/>
      <c r="S143" s="14"/>
      <c r="T143" s="14"/>
      <c r="U143" s="68"/>
      <c r="V143" s="68"/>
      <c r="W143" s="81"/>
      <c r="X143" s="16"/>
      <c r="Y143" s="16"/>
      <c r="Z143" s="16"/>
      <c r="AA143" s="16"/>
      <c r="AB143" s="17"/>
      <c r="AC143" s="18"/>
      <c r="AD143" s="48"/>
      <c r="AE143" s="72"/>
      <c r="AF143" s="21"/>
      <c r="AG143" s="129"/>
      <c r="AH143" s="20"/>
      <c r="AI143" s="20"/>
      <c r="AJ143" s="65"/>
      <c r="AK143" s="135"/>
      <c r="AL143" s="132" t="s">
        <v>230</v>
      </c>
      <c r="AM143" s="9"/>
      <c r="AN143" s="9"/>
      <c r="AO143" s="9"/>
      <c r="AP143" s="9"/>
    </row>
    <row r="144" spans="1:42" ht="16.5">
      <c r="A144" s="12"/>
      <c r="B144" s="23"/>
      <c r="C144" s="14"/>
      <c r="D144" s="159"/>
      <c r="E144" s="159"/>
      <c r="F144" s="159"/>
      <c r="G144" s="159"/>
      <c r="H144" s="159"/>
      <c r="I144" s="160"/>
      <c r="J144" s="9"/>
      <c r="K144" s="12"/>
      <c r="L144" s="14"/>
      <c r="M144" s="14"/>
      <c r="N144" s="68"/>
      <c r="O144" s="68"/>
      <c r="P144" s="82"/>
      <c r="Q144" s="9" t="s">
        <v>230</v>
      </c>
      <c r="R144" s="12"/>
      <c r="S144" s="14"/>
      <c r="T144" s="14"/>
      <c r="U144" s="68"/>
      <c r="V144" s="68"/>
      <c r="W144" s="81"/>
      <c r="X144" s="16"/>
      <c r="Y144" s="16"/>
      <c r="Z144" s="16"/>
      <c r="AA144" s="16"/>
      <c r="AB144" s="17"/>
      <c r="AC144" s="18"/>
      <c r="AD144" s="48"/>
      <c r="AE144" s="72"/>
      <c r="AF144" s="21"/>
      <c r="AG144" s="129"/>
      <c r="AH144" s="20"/>
      <c r="AI144" s="20"/>
      <c r="AJ144" s="65"/>
      <c r="AK144" s="135"/>
      <c r="AL144" s="132" t="s">
        <v>230</v>
      </c>
      <c r="AM144" s="9"/>
      <c r="AN144" s="9"/>
      <c r="AO144" s="9"/>
      <c r="AP144" s="9"/>
    </row>
    <row r="145" spans="1:42" ht="16.5">
      <c r="A145" s="12"/>
      <c r="B145" s="23"/>
      <c r="C145" s="14"/>
      <c r="D145" s="159"/>
      <c r="E145" s="159"/>
      <c r="F145" s="159"/>
      <c r="G145" s="159"/>
      <c r="H145" s="159"/>
      <c r="I145" s="160"/>
      <c r="J145" s="9"/>
      <c r="K145" s="12"/>
      <c r="L145" s="14"/>
      <c r="M145" s="14"/>
      <c r="N145" s="68"/>
      <c r="O145" s="68"/>
      <c r="P145" s="82"/>
      <c r="Q145" s="9" t="s">
        <v>230</v>
      </c>
      <c r="R145" s="12"/>
      <c r="S145" s="14"/>
      <c r="T145" s="14"/>
      <c r="U145" s="68"/>
      <c r="V145" s="68"/>
      <c r="W145" s="81"/>
      <c r="X145" s="16"/>
      <c r="Y145" s="16"/>
      <c r="Z145" s="16"/>
      <c r="AA145" s="16"/>
      <c r="AB145" s="17"/>
      <c r="AC145" s="18"/>
      <c r="AD145" s="48"/>
      <c r="AE145" s="72"/>
      <c r="AF145" s="21"/>
      <c r="AG145" s="129"/>
      <c r="AH145" s="20"/>
      <c r="AI145" s="20"/>
      <c r="AJ145" s="65"/>
      <c r="AK145" s="135"/>
      <c r="AL145" s="132" t="s">
        <v>230</v>
      </c>
      <c r="AM145" s="9"/>
      <c r="AN145" s="9"/>
      <c r="AO145" s="9"/>
      <c r="AP145" s="9"/>
    </row>
    <row r="146" spans="1:42" ht="16.5">
      <c r="A146" s="12"/>
      <c r="B146" s="23"/>
      <c r="C146" s="14"/>
      <c r="D146" s="159"/>
      <c r="E146" s="159"/>
      <c r="F146" s="159"/>
      <c r="G146" s="159"/>
      <c r="H146" s="159"/>
      <c r="I146" s="160"/>
      <c r="J146" s="9"/>
      <c r="K146" s="12"/>
      <c r="L146" s="14"/>
      <c r="M146" s="14"/>
      <c r="N146" s="68"/>
      <c r="O146" s="68"/>
      <c r="P146" s="82"/>
      <c r="Q146" s="9" t="s">
        <v>230</v>
      </c>
      <c r="R146" s="12"/>
      <c r="S146" s="14"/>
      <c r="T146" s="14"/>
      <c r="U146" s="68"/>
      <c r="V146" s="68"/>
      <c r="W146" s="81"/>
      <c r="X146" s="16"/>
      <c r="Y146" s="16"/>
      <c r="Z146" s="16"/>
      <c r="AA146" s="16"/>
      <c r="AB146" s="17"/>
      <c r="AC146" s="18"/>
      <c r="AD146" s="48"/>
      <c r="AE146" s="72"/>
      <c r="AF146" s="21"/>
      <c r="AG146" s="129"/>
      <c r="AH146" s="20"/>
      <c r="AI146" s="20"/>
      <c r="AJ146" s="65"/>
      <c r="AK146" s="135"/>
      <c r="AL146" s="132" t="s">
        <v>230</v>
      </c>
      <c r="AM146" s="9"/>
      <c r="AN146" s="9"/>
      <c r="AO146" s="9"/>
      <c r="AP146" s="9"/>
    </row>
    <row r="147" spans="1:42" ht="16.5">
      <c r="A147" s="12"/>
      <c r="B147" s="23"/>
      <c r="C147" s="14"/>
      <c r="D147" s="159"/>
      <c r="E147" s="159"/>
      <c r="F147" s="159"/>
      <c r="G147" s="159"/>
      <c r="H147" s="159"/>
      <c r="I147" s="160"/>
      <c r="J147" s="9"/>
      <c r="K147" s="12"/>
      <c r="L147" s="14"/>
      <c r="M147" s="14"/>
      <c r="N147" s="68"/>
      <c r="O147" s="68"/>
      <c r="P147" s="82"/>
      <c r="Q147" s="9" t="s">
        <v>230</v>
      </c>
      <c r="R147" s="12"/>
      <c r="S147" s="14"/>
      <c r="T147" s="14"/>
      <c r="U147" s="68"/>
      <c r="V147" s="68"/>
      <c r="W147" s="81"/>
      <c r="X147" s="16"/>
      <c r="Y147" s="16"/>
      <c r="Z147" s="16"/>
      <c r="AA147" s="16"/>
      <c r="AB147" s="17"/>
      <c r="AC147" s="18"/>
      <c r="AD147" s="48"/>
      <c r="AE147" s="72"/>
      <c r="AF147" s="21"/>
      <c r="AG147" s="129"/>
      <c r="AH147" s="20"/>
      <c r="AI147" s="20"/>
      <c r="AJ147" s="65"/>
      <c r="AK147" s="135"/>
      <c r="AL147" s="132" t="s">
        <v>230</v>
      </c>
      <c r="AM147" s="9"/>
      <c r="AN147" s="9"/>
      <c r="AO147" s="9"/>
      <c r="AP147" s="9"/>
    </row>
    <row r="148" spans="1:42" ht="16.5">
      <c r="A148" s="12"/>
      <c r="B148" s="23"/>
      <c r="C148" s="14"/>
      <c r="D148" s="159"/>
      <c r="E148" s="159"/>
      <c r="F148" s="159"/>
      <c r="G148" s="159"/>
      <c r="H148" s="159"/>
      <c r="I148" s="160"/>
      <c r="J148" s="9"/>
      <c r="K148" s="12"/>
      <c r="L148" s="14"/>
      <c r="M148" s="14"/>
      <c r="N148" s="68"/>
      <c r="O148" s="68"/>
      <c r="P148" s="82"/>
      <c r="Q148" s="9" t="s">
        <v>230</v>
      </c>
      <c r="R148" s="12"/>
      <c r="S148" s="14"/>
      <c r="T148" s="14"/>
      <c r="U148" s="68"/>
      <c r="V148" s="68"/>
      <c r="W148" s="81"/>
      <c r="X148" s="16"/>
      <c r="Y148" s="16"/>
      <c r="Z148" s="16"/>
      <c r="AA148" s="16"/>
      <c r="AB148" s="17"/>
      <c r="AC148" s="18"/>
      <c r="AD148" s="48"/>
      <c r="AE148" s="72"/>
      <c r="AF148" s="21"/>
      <c r="AG148" s="129"/>
      <c r="AH148" s="20"/>
      <c r="AI148" s="20"/>
      <c r="AJ148" s="65"/>
      <c r="AK148" s="135"/>
      <c r="AL148" s="132" t="s">
        <v>230</v>
      </c>
      <c r="AM148" s="9"/>
      <c r="AN148" s="9"/>
      <c r="AO148" s="9"/>
      <c r="AP148" s="9"/>
    </row>
    <row r="149" spans="1:42" ht="16.5">
      <c r="A149" s="12"/>
      <c r="B149" s="23"/>
      <c r="C149" s="14"/>
      <c r="D149" s="159"/>
      <c r="E149" s="159"/>
      <c r="F149" s="159"/>
      <c r="G149" s="159"/>
      <c r="H149" s="159"/>
      <c r="I149" s="160"/>
      <c r="J149" s="9"/>
      <c r="K149" s="12"/>
      <c r="L149" s="14"/>
      <c r="M149" s="14"/>
      <c r="N149" s="68"/>
      <c r="O149" s="68"/>
      <c r="P149" s="82"/>
      <c r="Q149" s="9" t="s">
        <v>230</v>
      </c>
      <c r="R149" s="12"/>
      <c r="S149" s="14"/>
      <c r="T149" s="14"/>
      <c r="U149" s="68"/>
      <c r="V149" s="68"/>
      <c r="W149" s="81"/>
      <c r="X149" s="16"/>
      <c r="Y149" s="16"/>
      <c r="Z149" s="16"/>
      <c r="AA149" s="16"/>
      <c r="AB149" s="17"/>
      <c r="AC149" s="18"/>
      <c r="AD149" s="48"/>
      <c r="AE149" s="72"/>
      <c r="AF149" s="21"/>
      <c r="AG149" s="73"/>
      <c r="AH149" s="20"/>
      <c r="AI149" s="20"/>
      <c r="AJ149" s="65"/>
      <c r="AK149" s="135"/>
      <c r="AL149" s="132" t="s">
        <v>230</v>
      </c>
      <c r="AM149" s="9"/>
      <c r="AN149" s="9"/>
      <c r="AO149" s="9"/>
      <c r="AP149" s="9"/>
    </row>
    <row r="150" spans="1:42" ht="16.5">
      <c r="A150" s="12"/>
      <c r="B150" s="23"/>
      <c r="C150" s="14"/>
      <c r="D150" s="159"/>
      <c r="E150" s="159"/>
      <c r="F150" s="159"/>
      <c r="G150" s="159"/>
      <c r="H150" s="159"/>
      <c r="I150" s="160"/>
      <c r="J150" s="9"/>
      <c r="K150" s="12"/>
      <c r="L150" s="14"/>
      <c r="M150" s="14"/>
      <c r="N150" s="68"/>
      <c r="O150" s="68"/>
      <c r="P150" s="82"/>
      <c r="Q150" s="9" t="s">
        <v>230</v>
      </c>
      <c r="R150" s="12"/>
      <c r="S150" s="14"/>
      <c r="T150" s="14"/>
      <c r="U150" s="68"/>
      <c r="V150" s="68"/>
      <c r="W150" s="81"/>
      <c r="X150" s="16"/>
      <c r="Y150" s="16"/>
      <c r="Z150" s="16"/>
      <c r="AA150" s="16"/>
      <c r="AB150" s="17"/>
      <c r="AC150" s="18"/>
      <c r="AD150" s="48"/>
      <c r="AE150" s="72"/>
      <c r="AF150" s="21"/>
      <c r="AG150" s="73"/>
      <c r="AH150" s="20"/>
      <c r="AI150" s="20"/>
      <c r="AJ150" s="65"/>
      <c r="AK150" s="135"/>
      <c r="AL150" s="132" t="s">
        <v>230</v>
      </c>
      <c r="AM150" s="9"/>
      <c r="AN150" s="9"/>
      <c r="AO150" s="9"/>
      <c r="AP150" s="9"/>
    </row>
    <row r="151" spans="1:42" ht="16.5">
      <c r="A151" s="12"/>
      <c r="B151" s="23"/>
      <c r="C151" s="14"/>
      <c r="D151" s="159"/>
      <c r="E151" s="159"/>
      <c r="F151" s="159"/>
      <c r="G151" s="159"/>
      <c r="H151" s="159"/>
      <c r="I151" s="160"/>
      <c r="J151" s="9"/>
      <c r="K151" s="12"/>
      <c r="L151" s="14"/>
      <c r="M151" s="14"/>
      <c r="N151" s="68"/>
      <c r="O151" s="68"/>
      <c r="P151" s="82"/>
      <c r="Q151" s="9" t="s">
        <v>230</v>
      </c>
      <c r="R151" s="12"/>
      <c r="S151" s="14"/>
      <c r="T151" s="14"/>
      <c r="U151" s="68"/>
      <c r="V151" s="68"/>
      <c r="W151" s="81"/>
      <c r="X151" s="16"/>
      <c r="Y151" s="16"/>
      <c r="Z151" s="16"/>
      <c r="AA151" s="16"/>
      <c r="AB151" s="17"/>
      <c r="AC151" s="18"/>
      <c r="AD151" s="48"/>
      <c r="AE151" s="72"/>
      <c r="AF151" s="21"/>
      <c r="AG151" s="73"/>
      <c r="AH151" s="20"/>
      <c r="AI151" s="20"/>
      <c r="AJ151" s="65"/>
      <c r="AK151" s="135"/>
    </row>
    <row r="152" spans="1:42" ht="16.5">
      <c r="A152" s="12"/>
      <c r="B152" s="23"/>
      <c r="C152" s="14"/>
      <c r="D152" s="159"/>
      <c r="E152" s="159"/>
      <c r="F152" s="159"/>
      <c r="G152" s="159"/>
      <c r="H152" s="159"/>
      <c r="I152" s="160"/>
      <c r="J152" s="9"/>
      <c r="K152" s="12"/>
      <c r="L152" s="14"/>
      <c r="M152" s="14"/>
      <c r="N152" s="68"/>
      <c r="O152" s="68"/>
      <c r="P152" s="82"/>
      <c r="Q152" s="9" t="s">
        <v>230</v>
      </c>
      <c r="R152" s="12"/>
      <c r="S152" s="14"/>
      <c r="T152" s="14"/>
      <c r="U152" s="68"/>
      <c r="V152" s="68"/>
      <c r="W152" s="81"/>
      <c r="X152" s="16"/>
      <c r="Y152" s="16"/>
      <c r="Z152" s="16"/>
      <c r="AA152" s="16"/>
      <c r="AB152" s="17"/>
      <c r="AC152" s="18"/>
      <c r="AD152" s="48"/>
      <c r="AE152" s="72"/>
      <c r="AF152" s="21"/>
      <c r="AG152" s="73"/>
      <c r="AH152" s="20"/>
      <c r="AI152" s="20"/>
      <c r="AJ152" s="65"/>
      <c r="AK152" s="135"/>
    </row>
    <row r="153" spans="1:42" ht="16.5">
      <c r="A153" s="12"/>
      <c r="B153" s="23"/>
      <c r="C153" s="14"/>
      <c r="D153" s="159"/>
      <c r="E153" s="159"/>
      <c r="F153" s="159"/>
      <c r="G153" s="159"/>
      <c r="H153" s="159"/>
      <c r="I153" s="160"/>
      <c r="J153" s="9"/>
      <c r="K153" s="12"/>
      <c r="L153" s="14"/>
      <c r="M153" s="14"/>
      <c r="N153" s="68"/>
      <c r="O153" s="68"/>
      <c r="P153" s="82"/>
      <c r="Q153" s="9" t="s">
        <v>230</v>
      </c>
      <c r="R153" s="12"/>
      <c r="S153" s="14"/>
      <c r="T153" s="14"/>
      <c r="U153" s="68"/>
      <c r="V153" s="68"/>
      <c r="W153" s="81"/>
      <c r="X153" s="16"/>
      <c r="Y153" s="16"/>
      <c r="Z153" s="16"/>
      <c r="AA153" s="16"/>
      <c r="AB153" s="17"/>
      <c r="AC153" s="18"/>
      <c r="AD153" s="48"/>
      <c r="AE153" s="72"/>
      <c r="AF153" s="21"/>
      <c r="AG153" s="73"/>
      <c r="AH153" s="20"/>
      <c r="AI153" s="20"/>
      <c r="AJ153" s="65"/>
      <c r="AK153" s="135"/>
    </row>
    <row r="154" spans="1:42" ht="16.5">
      <c r="A154" s="12"/>
      <c r="B154" s="23"/>
      <c r="C154" s="14"/>
      <c r="D154" s="159"/>
      <c r="E154" s="159"/>
      <c r="F154" s="159"/>
      <c r="G154" s="159"/>
      <c r="H154" s="159"/>
      <c r="I154" s="160"/>
      <c r="J154" s="9"/>
      <c r="K154" s="12"/>
      <c r="L154" s="14"/>
      <c r="M154" s="14"/>
      <c r="N154" s="68"/>
      <c r="O154" s="68"/>
      <c r="P154" s="82"/>
      <c r="Q154" s="9" t="s">
        <v>230</v>
      </c>
      <c r="R154" s="12"/>
      <c r="S154" s="14"/>
      <c r="T154" s="14"/>
      <c r="U154" s="68"/>
      <c r="V154" s="68"/>
      <c r="W154" s="81"/>
      <c r="X154" s="16"/>
      <c r="Y154" s="16"/>
      <c r="Z154" s="16"/>
      <c r="AA154" s="16"/>
      <c r="AB154" s="17"/>
      <c r="AC154" s="18"/>
      <c r="AD154" s="48"/>
      <c r="AE154" s="72"/>
      <c r="AF154" s="21"/>
      <c r="AG154" s="73"/>
      <c r="AH154" s="20"/>
      <c r="AI154" s="20"/>
      <c r="AJ154" s="65"/>
      <c r="AK154" s="135"/>
    </row>
    <row r="155" spans="1:42" ht="16.5">
      <c r="A155" s="12"/>
      <c r="B155" s="23"/>
      <c r="C155" s="14"/>
      <c r="D155" s="159"/>
      <c r="E155" s="159"/>
      <c r="F155" s="159"/>
      <c r="G155" s="159"/>
      <c r="H155" s="159"/>
      <c r="I155" s="160"/>
      <c r="J155" s="9"/>
      <c r="K155" s="12"/>
      <c r="L155" s="14"/>
      <c r="M155" s="14"/>
      <c r="N155" s="68"/>
      <c r="O155" s="68"/>
      <c r="P155" s="82"/>
      <c r="Q155" s="9" t="s">
        <v>230</v>
      </c>
      <c r="R155" s="12"/>
      <c r="S155" s="14"/>
      <c r="T155" s="14"/>
      <c r="U155" s="68"/>
      <c r="V155" s="68"/>
      <c r="W155" s="81"/>
      <c r="X155" s="16"/>
      <c r="Y155" s="16"/>
      <c r="Z155" s="16"/>
      <c r="AA155" s="16"/>
      <c r="AB155" s="17"/>
      <c r="AC155" s="18"/>
      <c r="AD155" s="48"/>
      <c r="AE155" s="72"/>
      <c r="AF155" s="21"/>
      <c r="AG155" s="73"/>
      <c r="AH155" s="20"/>
      <c r="AI155" s="20"/>
      <c r="AJ155" s="65"/>
      <c r="AK155" s="135"/>
    </row>
    <row r="156" spans="1:42" ht="16.5">
      <c r="A156" s="12"/>
      <c r="B156" s="23"/>
      <c r="C156" s="14"/>
      <c r="D156" s="159"/>
      <c r="E156" s="159"/>
      <c r="F156" s="159"/>
      <c r="G156" s="159"/>
      <c r="H156" s="159"/>
      <c r="I156" s="160"/>
      <c r="J156" s="9"/>
      <c r="K156" s="12"/>
      <c r="L156" s="14"/>
      <c r="M156" s="14"/>
      <c r="N156" s="68"/>
      <c r="O156" s="68"/>
      <c r="P156" s="82"/>
      <c r="Q156" s="9" t="s">
        <v>230</v>
      </c>
      <c r="R156" s="12"/>
      <c r="S156" s="14"/>
      <c r="T156" s="14"/>
      <c r="U156" s="68"/>
      <c r="V156" s="68"/>
      <c r="W156" s="81"/>
      <c r="X156" s="16"/>
      <c r="Y156" s="16"/>
      <c r="Z156" s="16"/>
      <c r="AA156" s="16"/>
      <c r="AB156" s="17"/>
      <c r="AC156" s="18"/>
      <c r="AD156" s="48"/>
      <c r="AE156" s="72"/>
      <c r="AF156" s="21"/>
      <c r="AG156" s="73"/>
      <c r="AH156" s="20"/>
      <c r="AI156" s="20"/>
      <c r="AJ156" s="65"/>
      <c r="AK156" s="135"/>
    </row>
    <row r="157" spans="1:42" ht="16.5">
      <c r="A157" s="12"/>
      <c r="B157" s="23"/>
      <c r="C157" s="14"/>
      <c r="D157" s="159"/>
      <c r="E157" s="159"/>
      <c r="F157" s="159"/>
      <c r="G157" s="159"/>
      <c r="H157" s="159"/>
      <c r="I157" s="160"/>
      <c r="J157" s="9"/>
      <c r="K157" s="12"/>
      <c r="L157" s="14"/>
      <c r="M157" s="14"/>
      <c r="N157" s="68"/>
      <c r="O157" s="68"/>
      <c r="P157" s="82"/>
      <c r="Q157" s="9" t="s">
        <v>230</v>
      </c>
      <c r="R157" s="12"/>
      <c r="S157" s="14"/>
      <c r="T157" s="14"/>
      <c r="U157" s="68"/>
      <c r="V157" s="68"/>
      <c r="W157" s="81"/>
      <c r="X157" s="16"/>
      <c r="Y157" s="16"/>
      <c r="Z157" s="16"/>
      <c r="AA157" s="16"/>
      <c r="AB157" s="17"/>
      <c r="AC157" s="18"/>
      <c r="AD157" s="48"/>
      <c r="AE157" s="72"/>
      <c r="AF157" s="21"/>
      <c r="AG157" s="73"/>
      <c r="AH157" s="20"/>
      <c r="AI157" s="20"/>
      <c r="AJ157" s="65"/>
      <c r="AK157" s="135"/>
    </row>
    <row r="158" spans="1:42" ht="16.5">
      <c r="A158" s="12"/>
      <c r="B158" s="23"/>
      <c r="C158" s="14"/>
      <c r="D158" s="159"/>
      <c r="E158" s="159"/>
      <c r="F158" s="159"/>
      <c r="G158" s="159"/>
      <c r="H158" s="159"/>
      <c r="I158" s="160"/>
      <c r="J158" s="9"/>
      <c r="K158" s="12"/>
      <c r="L158" s="14"/>
      <c r="M158" s="14"/>
      <c r="N158" s="68"/>
      <c r="O158" s="68"/>
      <c r="P158" s="82"/>
      <c r="Q158" s="9" t="s">
        <v>230</v>
      </c>
      <c r="R158" s="12"/>
      <c r="S158" s="14"/>
      <c r="T158" s="14"/>
      <c r="U158" s="68"/>
      <c r="V158" s="68"/>
      <c r="W158" s="81"/>
      <c r="X158" s="16"/>
      <c r="Y158" s="16"/>
      <c r="Z158" s="16"/>
      <c r="AA158" s="16"/>
      <c r="AB158" s="17"/>
      <c r="AC158" s="18"/>
      <c r="AD158" s="48"/>
      <c r="AE158" s="72"/>
      <c r="AF158" s="21"/>
      <c r="AG158" s="73"/>
      <c r="AH158" s="20"/>
      <c r="AI158" s="20"/>
      <c r="AJ158" s="65"/>
      <c r="AK158" s="135"/>
    </row>
    <row r="159" spans="1:42" ht="16.5">
      <c r="A159" s="12"/>
      <c r="B159" s="23"/>
      <c r="C159" s="14"/>
      <c r="D159" s="159"/>
      <c r="E159" s="159"/>
      <c r="F159" s="159"/>
      <c r="G159" s="159"/>
      <c r="H159" s="159"/>
      <c r="I159" s="160"/>
      <c r="J159" s="9"/>
      <c r="K159" s="12"/>
      <c r="L159" s="14"/>
      <c r="M159" s="14"/>
      <c r="N159" s="68"/>
      <c r="O159" s="68"/>
      <c r="P159" s="82"/>
      <c r="Q159" s="9" t="s">
        <v>230</v>
      </c>
      <c r="R159" s="12"/>
      <c r="S159" s="14"/>
      <c r="T159" s="14"/>
      <c r="U159" s="68"/>
      <c r="V159" s="68"/>
      <c r="W159" s="81"/>
      <c r="X159" s="16"/>
      <c r="Y159" s="16"/>
      <c r="Z159" s="16"/>
      <c r="AA159" s="16"/>
      <c r="AB159" s="17"/>
      <c r="AC159" s="18"/>
      <c r="AD159" s="48"/>
      <c r="AE159" s="72"/>
      <c r="AF159" s="21"/>
      <c r="AG159" s="73"/>
      <c r="AH159" s="20"/>
      <c r="AI159" s="20"/>
      <c r="AJ159" s="65"/>
      <c r="AK159" s="135"/>
    </row>
    <row r="160" spans="1:42" ht="16.5">
      <c r="A160" s="12"/>
      <c r="B160" s="23"/>
      <c r="C160" s="14"/>
      <c r="D160" s="159"/>
      <c r="E160" s="159"/>
      <c r="F160" s="159"/>
      <c r="G160" s="159"/>
      <c r="H160" s="159"/>
      <c r="I160" s="160"/>
      <c r="J160" s="9"/>
      <c r="K160" s="12"/>
      <c r="L160" s="14"/>
      <c r="M160" s="14"/>
      <c r="N160" s="68"/>
      <c r="O160" s="68"/>
      <c r="P160" s="82"/>
      <c r="Q160" s="9" t="s">
        <v>230</v>
      </c>
      <c r="R160" s="12"/>
      <c r="S160" s="14"/>
      <c r="T160" s="14"/>
      <c r="U160" s="68"/>
      <c r="V160" s="68"/>
      <c r="W160" s="81"/>
      <c r="X160" s="16"/>
      <c r="Y160" s="16"/>
      <c r="Z160" s="16"/>
      <c r="AA160" s="16"/>
      <c r="AB160" s="17"/>
      <c r="AC160" s="18"/>
      <c r="AD160" s="48"/>
      <c r="AE160" s="72"/>
      <c r="AF160" s="21"/>
      <c r="AG160" s="73"/>
      <c r="AH160" s="20"/>
      <c r="AI160" s="20"/>
      <c r="AJ160" s="65"/>
      <c r="AK160" s="135"/>
    </row>
    <row r="161" spans="1:37" ht="16.5">
      <c r="A161" s="12"/>
      <c r="B161" s="23"/>
      <c r="C161" s="14"/>
      <c r="D161" s="159"/>
      <c r="E161" s="159"/>
      <c r="F161" s="159"/>
      <c r="G161" s="159"/>
      <c r="H161" s="159"/>
      <c r="I161" s="160"/>
      <c r="J161" s="9"/>
      <c r="K161" s="12"/>
      <c r="L161" s="14"/>
      <c r="M161" s="14"/>
      <c r="N161" s="68"/>
      <c r="O161" s="68"/>
      <c r="P161" s="82"/>
      <c r="Q161" s="9" t="s">
        <v>230</v>
      </c>
      <c r="R161" s="12"/>
      <c r="S161" s="14"/>
      <c r="T161" s="14"/>
      <c r="U161" s="68"/>
      <c r="V161" s="68"/>
      <c r="W161" s="81"/>
      <c r="X161" s="16"/>
      <c r="Y161" s="16"/>
      <c r="Z161" s="16"/>
      <c r="AA161" s="16"/>
      <c r="AB161" s="17"/>
      <c r="AC161" s="18"/>
      <c r="AD161" s="48"/>
      <c r="AE161" s="72"/>
      <c r="AF161" s="21"/>
      <c r="AG161" s="73"/>
      <c r="AH161" s="20"/>
      <c r="AI161" s="20"/>
      <c r="AJ161" s="65"/>
      <c r="AK161" s="135"/>
    </row>
    <row r="162" spans="1:37" ht="16.5">
      <c r="A162" s="12"/>
      <c r="B162" s="23"/>
      <c r="C162" s="14"/>
      <c r="D162" s="159"/>
      <c r="E162" s="159"/>
      <c r="F162" s="159"/>
      <c r="G162" s="159"/>
      <c r="H162" s="159"/>
      <c r="I162" s="160"/>
      <c r="J162" s="9"/>
      <c r="K162" s="12"/>
      <c r="L162" s="14"/>
      <c r="M162" s="14"/>
      <c r="N162" s="68"/>
      <c r="O162" s="68"/>
      <c r="P162" s="82"/>
      <c r="Q162" s="9" t="s">
        <v>230</v>
      </c>
      <c r="R162" s="12"/>
      <c r="S162" s="14"/>
      <c r="T162" s="14"/>
      <c r="U162" s="68"/>
      <c r="V162" s="68"/>
      <c r="W162" s="81"/>
      <c r="X162" s="16"/>
      <c r="Y162" s="16"/>
      <c r="Z162" s="16"/>
      <c r="AA162" s="16"/>
      <c r="AB162" s="17"/>
      <c r="AC162" s="18"/>
      <c r="AD162" s="48"/>
      <c r="AE162" s="72"/>
      <c r="AF162" s="21"/>
      <c r="AG162" s="73"/>
      <c r="AH162" s="20"/>
      <c r="AI162" s="20"/>
      <c r="AJ162" s="65"/>
      <c r="AK162" s="135"/>
    </row>
    <row r="163" spans="1:37" ht="16.5">
      <c r="A163" s="12"/>
      <c r="B163" s="23"/>
      <c r="C163" s="14"/>
      <c r="D163" s="159"/>
      <c r="E163" s="159"/>
      <c r="F163" s="159"/>
      <c r="G163" s="159"/>
      <c r="H163" s="159"/>
      <c r="I163" s="160"/>
      <c r="J163" s="9"/>
      <c r="K163" s="12"/>
      <c r="L163" s="14"/>
      <c r="M163" s="14"/>
      <c r="N163" s="68"/>
      <c r="O163" s="68"/>
      <c r="P163" s="82"/>
      <c r="Q163" s="9" t="s">
        <v>230</v>
      </c>
      <c r="R163" s="12"/>
      <c r="S163" s="14"/>
      <c r="T163" s="14"/>
      <c r="U163" s="68"/>
      <c r="V163" s="68"/>
      <c r="W163" s="81"/>
      <c r="X163" s="16"/>
      <c r="Y163" s="16"/>
      <c r="Z163" s="16"/>
      <c r="AA163" s="16"/>
      <c r="AB163" s="17"/>
      <c r="AC163" s="18"/>
      <c r="AD163" s="48"/>
      <c r="AE163" s="72"/>
      <c r="AF163" s="21"/>
      <c r="AG163" s="73"/>
      <c r="AH163" s="20"/>
      <c r="AI163" s="20"/>
      <c r="AJ163" s="65"/>
      <c r="AK163" s="135"/>
    </row>
    <row r="164" spans="1:37" ht="16.5">
      <c r="A164" s="12"/>
      <c r="B164" s="23"/>
      <c r="C164" s="14"/>
      <c r="D164" s="159"/>
      <c r="E164" s="159"/>
      <c r="F164" s="159"/>
      <c r="G164" s="159"/>
      <c r="H164" s="159"/>
      <c r="I164" s="160"/>
      <c r="J164" s="9"/>
      <c r="K164" s="12"/>
      <c r="L164" s="14"/>
      <c r="M164" s="14"/>
      <c r="N164" s="68"/>
      <c r="O164" s="68"/>
      <c r="P164" s="82"/>
      <c r="Q164" s="9" t="s">
        <v>230</v>
      </c>
      <c r="R164" s="12"/>
      <c r="S164" s="14"/>
      <c r="T164" s="14"/>
      <c r="U164" s="68"/>
      <c r="V164" s="68"/>
      <c r="W164" s="81"/>
      <c r="X164" s="16"/>
      <c r="Y164" s="16"/>
      <c r="Z164" s="16"/>
      <c r="AA164" s="16"/>
      <c r="AB164" s="17"/>
      <c r="AC164" s="18"/>
      <c r="AD164" s="48"/>
      <c r="AE164" s="72"/>
      <c r="AF164" s="21"/>
      <c r="AG164" s="73"/>
      <c r="AH164" s="20"/>
      <c r="AI164" s="20"/>
      <c r="AJ164" s="65"/>
      <c r="AK164" s="135"/>
    </row>
    <row r="165" spans="1:37" ht="16.5">
      <c r="A165" s="12"/>
      <c r="B165" s="23"/>
      <c r="C165" s="14"/>
      <c r="D165" s="159"/>
      <c r="E165" s="159"/>
      <c r="F165" s="159"/>
      <c r="G165" s="159"/>
      <c r="H165" s="159"/>
      <c r="I165" s="160"/>
      <c r="J165" s="9"/>
      <c r="K165" s="12"/>
      <c r="L165" s="14"/>
      <c r="M165" s="14"/>
      <c r="N165" s="68"/>
      <c r="O165" s="68"/>
      <c r="P165" s="82"/>
      <c r="Q165" s="9" t="s">
        <v>230</v>
      </c>
      <c r="R165" s="12"/>
      <c r="S165" s="14"/>
      <c r="T165" s="14"/>
      <c r="U165" s="68"/>
      <c r="V165" s="68"/>
      <c r="W165" s="81"/>
      <c r="X165" s="16"/>
      <c r="Y165" s="16"/>
      <c r="Z165" s="16"/>
      <c r="AA165" s="16"/>
      <c r="AB165" s="17"/>
      <c r="AC165" s="18"/>
      <c r="AD165" s="48"/>
      <c r="AE165" s="72"/>
      <c r="AF165" s="21"/>
      <c r="AG165" s="73"/>
      <c r="AH165" s="20"/>
      <c r="AI165" s="20"/>
      <c r="AJ165" s="65"/>
      <c r="AK165" s="135"/>
    </row>
    <row r="166" spans="1:37" ht="16.5">
      <c r="A166" s="12"/>
      <c r="B166" s="23"/>
      <c r="C166" s="14"/>
      <c r="D166" s="159"/>
      <c r="E166" s="159"/>
      <c r="F166" s="159"/>
      <c r="G166" s="159"/>
      <c r="H166" s="159"/>
      <c r="I166" s="160"/>
      <c r="J166" s="9"/>
      <c r="K166" s="12"/>
      <c r="L166" s="14"/>
      <c r="M166" s="14"/>
      <c r="N166" s="68"/>
      <c r="O166" s="68"/>
      <c r="P166" s="82"/>
      <c r="Q166" s="9" t="s">
        <v>230</v>
      </c>
      <c r="R166" s="12"/>
      <c r="S166" s="14"/>
      <c r="T166" s="14"/>
      <c r="U166" s="68"/>
      <c r="V166" s="68"/>
      <c r="W166" s="81"/>
      <c r="X166" s="16"/>
      <c r="Y166" s="16"/>
      <c r="Z166" s="16"/>
      <c r="AA166" s="16"/>
      <c r="AB166" s="17"/>
      <c r="AC166" s="18"/>
      <c r="AD166" s="48"/>
      <c r="AE166" s="72"/>
      <c r="AF166" s="21"/>
      <c r="AG166" s="73"/>
      <c r="AH166" s="20"/>
      <c r="AI166" s="20"/>
      <c r="AJ166" s="65"/>
      <c r="AK166" s="135"/>
    </row>
    <row r="167" spans="1:37" ht="16.5">
      <c r="A167" s="12"/>
      <c r="B167" s="23"/>
      <c r="C167" s="14"/>
      <c r="D167" s="159"/>
      <c r="E167" s="159"/>
      <c r="F167" s="159"/>
      <c r="G167" s="159"/>
      <c r="H167" s="159"/>
      <c r="I167" s="160"/>
      <c r="J167" s="9"/>
      <c r="K167" s="12"/>
      <c r="L167" s="14"/>
      <c r="M167" s="14"/>
      <c r="N167" s="68"/>
      <c r="O167" s="68"/>
      <c r="P167" s="82"/>
      <c r="Q167" s="9" t="s">
        <v>230</v>
      </c>
      <c r="R167" s="12"/>
      <c r="S167" s="14"/>
      <c r="T167" s="14"/>
      <c r="U167" s="68"/>
      <c r="V167" s="68"/>
      <c r="W167" s="81"/>
      <c r="X167" s="16"/>
      <c r="Y167" s="16"/>
      <c r="Z167" s="16"/>
      <c r="AA167" s="16"/>
      <c r="AB167" s="17"/>
      <c r="AC167" s="18"/>
      <c r="AD167" s="48"/>
      <c r="AE167" s="72"/>
      <c r="AF167" s="21"/>
      <c r="AG167" s="73"/>
      <c r="AH167" s="20"/>
      <c r="AI167" s="20"/>
      <c r="AJ167" s="65"/>
      <c r="AK167" s="135"/>
    </row>
    <row r="168" spans="1:37" ht="16.5">
      <c r="A168" s="12"/>
      <c r="B168" s="23"/>
      <c r="C168" s="14"/>
      <c r="D168" s="159"/>
      <c r="E168" s="159"/>
      <c r="F168" s="159"/>
      <c r="G168" s="159"/>
      <c r="H168" s="159"/>
      <c r="I168" s="160"/>
      <c r="J168" s="9"/>
      <c r="K168" s="12"/>
      <c r="L168" s="14"/>
      <c r="M168" s="14"/>
      <c r="N168" s="68"/>
      <c r="O168" s="68"/>
      <c r="P168" s="82"/>
      <c r="Q168" s="9" t="s">
        <v>230</v>
      </c>
      <c r="R168" s="12"/>
      <c r="S168" s="14"/>
      <c r="T168" s="14"/>
      <c r="U168" s="68"/>
      <c r="V168" s="68"/>
      <c r="W168" s="81"/>
      <c r="X168" s="16"/>
      <c r="Y168" s="16"/>
      <c r="Z168" s="16"/>
      <c r="AA168" s="16"/>
      <c r="AB168" s="17"/>
      <c r="AC168" s="18"/>
      <c r="AD168" s="48"/>
      <c r="AE168" s="72"/>
      <c r="AF168" s="21"/>
      <c r="AG168" s="73"/>
      <c r="AH168" s="20"/>
      <c r="AI168" s="20"/>
      <c r="AJ168" s="65"/>
      <c r="AK168" s="135"/>
    </row>
    <row r="169" spans="1:37" ht="16.5">
      <c r="A169" s="12"/>
      <c r="B169" s="23"/>
      <c r="C169" s="14"/>
      <c r="D169" s="159"/>
      <c r="E169" s="159"/>
      <c r="F169" s="159"/>
      <c r="G169" s="159"/>
      <c r="H169" s="159"/>
      <c r="I169" s="160"/>
      <c r="J169" s="9"/>
      <c r="K169" s="12"/>
      <c r="L169" s="14"/>
      <c r="M169" s="14"/>
      <c r="N169" s="68"/>
      <c r="O169" s="68"/>
      <c r="P169" s="82"/>
      <c r="Q169" s="9" t="s">
        <v>230</v>
      </c>
      <c r="R169" s="12"/>
      <c r="S169" s="14"/>
      <c r="T169" s="14"/>
      <c r="U169" s="68"/>
      <c r="V169" s="68"/>
      <c r="W169" s="81"/>
      <c r="X169" s="16"/>
      <c r="Y169" s="16"/>
      <c r="Z169" s="16"/>
      <c r="AA169" s="16"/>
      <c r="AB169" s="17"/>
      <c r="AC169" s="18"/>
      <c r="AD169" s="48"/>
      <c r="AE169" s="72"/>
      <c r="AF169" s="21"/>
      <c r="AG169" s="73"/>
      <c r="AH169" s="20"/>
      <c r="AI169" s="20"/>
      <c r="AJ169" s="65"/>
      <c r="AK169" s="135"/>
    </row>
    <row r="170" spans="1:37" ht="16.5">
      <c r="A170" s="12"/>
      <c r="B170" s="23"/>
      <c r="C170" s="14"/>
      <c r="D170" s="159"/>
      <c r="E170" s="159"/>
      <c r="F170" s="159"/>
      <c r="G170" s="159"/>
      <c r="H170" s="159"/>
      <c r="I170" s="160"/>
      <c r="J170" s="9"/>
      <c r="K170" s="12"/>
      <c r="L170" s="14"/>
      <c r="M170" s="14"/>
      <c r="N170" s="68"/>
      <c r="O170" s="68"/>
      <c r="P170" s="82"/>
      <c r="Q170" s="9" t="s">
        <v>230</v>
      </c>
      <c r="R170" s="12"/>
      <c r="S170" s="14"/>
      <c r="T170" s="14"/>
      <c r="U170" s="68"/>
      <c r="V170" s="68"/>
      <c r="W170" s="81"/>
      <c r="X170" s="16"/>
      <c r="Y170" s="16"/>
      <c r="Z170" s="16"/>
      <c r="AA170" s="16"/>
      <c r="AB170" s="17"/>
      <c r="AC170" s="18"/>
      <c r="AD170" s="48"/>
      <c r="AE170" s="72"/>
      <c r="AF170" s="21"/>
      <c r="AG170" s="73"/>
      <c r="AH170" s="20"/>
      <c r="AI170" s="20"/>
      <c r="AJ170" s="65"/>
      <c r="AK170" s="135"/>
    </row>
    <row r="171" spans="1:37" ht="16.5">
      <c r="A171" s="12"/>
      <c r="B171" s="23"/>
      <c r="C171" s="14"/>
      <c r="D171" s="159"/>
      <c r="E171" s="159"/>
      <c r="F171" s="159"/>
      <c r="G171" s="159"/>
      <c r="H171" s="159"/>
      <c r="I171" s="160"/>
      <c r="J171" s="9"/>
      <c r="K171" s="12"/>
      <c r="L171" s="14"/>
      <c r="M171" s="14"/>
      <c r="N171" s="68"/>
      <c r="O171" s="68"/>
      <c r="P171" s="82"/>
      <c r="Q171" s="9" t="s">
        <v>230</v>
      </c>
      <c r="R171" s="12"/>
      <c r="S171" s="14"/>
      <c r="T171" s="14"/>
      <c r="U171" s="68"/>
      <c r="V171" s="68"/>
      <c r="W171" s="81"/>
      <c r="X171" s="16"/>
      <c r="Y171" s="16"/>
      <c r="Z171" s="16"/>
      <c r="AA171" s="16"/>
      <c r="AB171" s="17"/>
      <c r="AC171" s="18"/>
      <c r="AD171" s="48"/>
      <c r="AE171" s="72"/>
      <c r="AF171" s="21"/>
      <c r="AG171" s="73"/>
      <c r="AH171" s="20"/>
      <c r="AI171" s="20"/>
      <c r="AJ171" s="65"/>
      <c r="AK171" s="135"/>
    </row>
    <row r="172" spans="1:37" ht="16.5">
      <c r="A172" s="12"/>
      <c r="B172" s="23"/>
      <c r="C172" s="14"/>
      <c r="D172" s="159"/>
      <c r="E172" s="159"/>
      <c r="F172" s="159"/>
      <c r="G172" s="159"/>
      <c r="H172" s="159"/>
      <c r="I172" s="160"/>
      <c r="J172" s="9"/>
      <c r="K172" s="12"/>
      <c r="L172" s="14"/>
      <c r="M172" s="14"/>
      <c r="N172" s="68"/>
      <c r="O172" s="68"/>
      <c r="P172" s="82"/>
      <c r="Q172" s="9" t="s">
        <v>230</v>
      </c>
      <c r="R172" s="12"/>
      <c r="S172" s="14"/>
      <c r="T172" s="14"/>
      <c r="U172" s="68"/>
      <c r="V172" s="68"/>
      <c r="W172" s="81"/>
      <c r="X172" s="16"/>
      <c r="Y172" s="16"/>
      <c r="Z172" s="16"/>
      <c r="AA172" s="16"/>
      <c r="AB172" s="17"/>
      <c r="AC172" s="18"/>
      <c r="AD172" s="48"/>
      <c r="AE172" s="72"/>
      <c r="AF172" s="21"/>
      <c r="AG172" s="73"/>
      <c r="AH172" s="20"/>
      <c r="AI172" s="20"/>
      <c r="AJ172" s="65"/>
      <c r="AK172" s="135"/>
    </row>
    <row r="173" spans="1:37" ht="16.5">
      <c r="A173" s="12"/>
      <c r="B173" s="23"/>
      <c r="C173" s="14"/>
      <c r="D173" s="159"/>
      <c r="E173" s="159"/>
      <c r="F173" s="159"/>
      <c r="G173" s="159"/>
      <c r="H173" s="159"/>
      <c r="I173" s="160"/>
      <c r="J173" s="9"/>
      <c r="K173" s="12"/>
      <c r="L173" s="14"/>
      <c r="M173" s="14"/>
      <c r="N173" s="68"/>
      <c r="O173" s="68"/>
      <c r="P173" s="82"/>
      <c r="Q173" s="9" t="s">
        <v>230</v>
      </c>
      <c r="R173" s="12"/>
      <c r="S173" s="14"/>
      <c r="T173" s="14"/>
      <c r="U173" s="68"/>
      <c r="V173" s="68"/>
      <c r="W173" s="81"/>
      <c r="X173" s="16"/>
      <c r="Y173" s="16"/>
      <c r="Z173" s="16"/>
      <c r="AA173" s="16"/>
      <c r="AB173" s="17"/>
      <c r="AC173" s="18"/>
      <c r="AD173" s="48"/>
      <c r="AE173" s="72"/>
      <c r="AF173" s="21"/>
      <c r="AG173" s="73"/>
      <c r="AH173" s="20"/>
      <c r="AI173" s="20"/>
      <c r="AJ173" s="65"/>
      <c r="AK173" s="135"/>
    </row>
    <row r="174" spans="1:37" ht="16.5">
      <c r="A174" s="12"/>
      <c r="B174" s="23"/>
      <c r="C174" s="14"/>
      <c r="D174" s="159"/>
      <c r="E174" s="159"/>
      <c r="F174" s="159"/>
      <c r="G174" s="159"/>
      <c r="H174" s="159"/>
      <c r="I174" s="160"/>
      <c r="J174" s="9"/>
      <c r="K174" s="12"/>
      <c r="L174" s="14"/>
      <c r="M174" s="14"/>
      <c r="N174" s="68"/>
      <c r="O174" s="68"/>
      <c r="P174" s="82"/>
      <c r="Q174" s="9" t="s">
        <v>230</v>
      </c>
      <c r="R174" s="12"/>
      <c r="S174" s="14"/>
      <c r="T174" s="14"/>
      <c r="U174" s="68"/>
      <c r="V174" s="68"/>
      <c r="W174" s="81"/>
      <c r="X174" s="16"/>
      <c r="Y174" s="16"/>
      <c r="Z174" s="16"/>
      <c r="AA174" s="16"/>
      <c r="AB174" s="17"/>
      <c r="AC174" s="18"/>
      <c r="AD174" s="48"/>
      <c r="AE174" s="72"/>
      <c r="AF174" s="21"/>
      <c r="AG174" s="73"/>
      <c r="AH174" s="20"/>
      <c r="AI174" s="20"/>
      <c r="AJ174" s="65"/>
      <c r="AK174" s="135"/>
    </row>
    <row r="175" spans="1:37" ht="16.5">
      <c r="A175" s="12"/>
      <c r="B175" s="23"/>
      <c r="C175" s="14"/>
      <c r="D175" s="159"/>
      <c r="E175" s="159"/>
      <c r="F175" s="159"/>
      <c r="G175" s="159"/>
      <c r="H175" s="159"/>
      <c r="I175" s="160"/>
      <c r="J175" s="9"/>
      <c r="K175" s="12"/>
      <c r="L175" s="14"/>
      <c r="M175" s="14"/>
      <c r="N175" s="68"/>
      <c r="O175" s="68"/>
      <c r="P175" s="82"/>
      <c r="Q175" s="9" t="s">
        <v>230</v>
      </c>
      <c r="R175" s="12"/>
      <c r="S175" s="14"/>
      <c r="T175" s="14"/>
      <c r="U175" s="68"/>
      <c r="V175" s="68"/>
      <c r="W175" s="81"/>
      <c r="X175" s="16"/>
      <c r="Y175" s="16"/>
      <c r="Z175" s="16"/>
      <c r="AA175" s="16"/>
      <c r="AB175" s="17"/>
      <c r="AC175" s="18"/>
      <c r="AD175" s="48"/>
      <c r="AE175" s="72"/>
      <c r="AF175" s="21"/>
      <c r="AG175" s="73"/>
      <c r="AH175" s="20"/>
      <c r="AI175" s="20"/>
      <c r="AJ175" s="65"/>
      <c r="AK175" s="135"/>
    </row>
    <row r="176" spans="1:37" ht="16.5">
      <c r="A176" s="12"/>
      <c r="B176" s="23"/>
      <c r="C176" s="14"/>
      <c r="D176" s="159"/>
      <c r="E176" s="159"/>
      <c r="F176" s="159"/>
      <c r="G176" s="159"/>
      <c r="H176" s="159"/>
      <c r="I176" s="160"/>
      <c r="J176" s="9"/>
      <c r="K176" s="12"/>
      <c r="L176" s="14"/>
      <c r="M176" s="14"/>
      <c r="N176" s="68"/>
      <c r="O176" s="68"/>
      <c r="P176" s="82"/>
      <c r="Q176" s="9" t="s">
        <v>230</v>
      </c>
      <c r="R176" s="12"/>
      <c r="S176" s="14"/>
      <c r="T176" s="14"/>
      <c r="U176" s="68"/>
      <c r="V176" s="68"/>
      <c r="W176" s="81"/>
      <c r="X176" s="16"/>
      <c r="Y176" s="16"/>
      <c r="Z176" s="16"/>
      <c r="AA176" s="16"/>
      <c r="AB176" s="17"/>
      <c r="AC176" s="18"/>
      <c r="AD176" s="48"/>
      <c r="AE176" s="72"/>
      <c r="AF176" s="21"/>
      <c r="AG176" s="73"/>
      <c r="AH176" s="20"/>
      <c r="AI176" s="20"/>
      <c r="AJ176" s="65"/>
      <c r="AK176" s="135"/>
    </row>
    <row r="177" spans="1:37" ht="16.5">
      <c r="A177" s="12"/>
      <c r="B177" s="23"/>
      <c r="C177" s="14"/>
      <c r="D177" s="159"/>
      <c r="E177" s="159"/>
      <c r="F177" s="159"/>
      <c r="G177" s="159"/>
      <c r="H177" s="159"/>
      <c r="I177" s="160"/>
      <c r="J177" s="9"/>
      <c r="K177" s="12"/>
      <c r="L177" s="14"/>
      <c r="M177" s="14"/>
      <c r="N177" s="68"/>
      <c r="O177" s="68"/>
      <c r="P177" s="82"/>
      <c r="Q177" s="9" t="s">
        <v>230</v>
      </c>
      <c r="R177" s="12"/>
      <c r="S177" s="14"/>
      <c r="T177" s="14"/>
      <c r="U177" s="68"/>
      <c r="V177" s="68"/>
      <c r="W177" s="81"/>
      <c r="X177" s="16"/>
      <c r="Y177" s="16"/>
      <c r="Z177" s="16"/>
      <c r="AA177" s="16"/>
      <c r="AB177" s="17"/>
      <c r="AC177" s="18"/>
      <c r="AD177" s="48"/>
      <c r="AE177" s="72"/>
      <c r="AF177" s="21"/>
      <c r="AG177" s="73"/>
      <c r="AH177" s="20"/>
      <c r="AI177" s="20"/>
      <c r="AJ177" s="65"/>
      <c r="AK177" s="135"/>
    </row>
    <row r="178" spans="1:37" ht="16.5">
      <c r="A178" s="12"/>
      <c r="B178" s="23"/>
      <c r="C178" s="14"/>
      <c r="D178" s="159"/>
      <c r="E178" s="159"/>
      <c r="F178" s="159"/>
      <c r="G178" s="159"/>
      <c r="H178" s="159"/>
      <c r="I178" s="160"/>
      <c r="J178" s="9"/>
      <c r="K178" s="12"/>
      <c r="L178" s="14"/>
      <c r="M178" s="14"/>
      <c r="N178" s="68"/>
      <c r="O178" s="68"/>
      <c r="P178" s="82"/>
      <c r="Q178" s="9" t="s">
        <v>230</v>
      </c>
      <c r="R178" s="12"/>
      <c r="S178" s="14"/>
      <c r="T178" s="14"/>
      <c r="U178" s="68"/>
      <c r="V178" s="68"/>
      <c r="W178" s="81"/>
      <c r="X178" s="16"/>
      <c r="Y178" s="16"/>
      <c r="Z178" s="16"/>
      <c r="AA178" s="16"/>
      <c r="AB178" s="17"/>
      <c r="AC178" s="18"/>
      <c r="AD178" s="48"/>
      <c r="AE178" s="72"/>
      <c r="AF178" s="21"/>
      <c r="AG178" s="73"/>
      <c r="AH178" s="20"/>
      <c r="AI178" s="20"/>
      <c r="AJ178" s="65"/>
      <c r="AK178" s="135"/>
    </row>
    <row r="179" spans="1:37" ht="16.5">
      <c r="A179" s="12"/>
      <c r="B179" s="23"/>
      <c r="C179" s="14"/>
      <c r="D179" s="159"/>
      <c r="E179" s="159"/>
      <c r="F179" s="159"/>
      <c r="G179" s="159"/>
      <c r="H179" s="159"/>
      <c r="I179" s="160"/>
      <c r="J179" s="9"/>
      <c r="K179" s="12"/>
      <c r="L179" s="14"/>
      <c r="M179" s="14"/>
      <c r="N179" s="68"/>
      <c r="O179" s="68"/>
      <c r="P179" s="82"/>
      <c r="Q179" s="9" t="s">
        <v>230</v>
      </c>
      <c r="R179" s="12"/>
      <c r="S179" s="14"/>
      <c r="T179" s="14"/>
      <c r="U179" s="68"/>
      <c r="V179" s="68"/>
      <c r="W179" s="81"/>
      <c r="X179" s="16"/>
      <c r="Y179" s="16"/>
      <c r="Z179" s="16"/>
      <c r="AA179" s="16"/>
      <c r="AB179" s="17"/>
      <c r="AC179" s="18"/>
      <c r="AD179" s="48"/>
      <c r="AE179" s="72"/>
      <c r="AF179" s="21"/>
      <c r="AG179" s="73"/>
      <c r="AH179" s="20"/>
      <c r="AI179" s="20"/>
      <c r="AJ179" s="65"/>
      <c r="AK179" s="135"/>
    </row>
    <row r="180" spans="1:37" ht="16.5">
      <c r="A180" s="12"/>
      <c r="B180" s="23"/>
      <c r="C180" s="14"/>
      <c r="D180" s="159"/>
      <c r="E180" s="159"/>
      <c r="F180" s="159"/>
      <c r="G180" s="159"/>
      <c r="H180" s="159"/>
      <c r="I180" s="160"/>
      <c r="J180" s="9"/>
      <c r="K180" s="12"/>
      <c r="L180" s="14"/>
      <c r="M180" s="14"/>
      <c r="N180" s="68"/>
      <c r="O180" s="68"/>
      <c r="P180" s="82"/>
      <c r="Q180" s="9" t="s">
        <v>230</v>
      </c>
      <c r="R180" s="12"/>
      <c r="S180" s="14"/>
      <c r="T180" s="14"/>
      <c r="U180" s="68"/>
      <c r="V180" s="68"/>
      <c r="W180" s="81"/>
      <c r="X180" s="16"/>
      <c r="Y180" s="16"/>
      <c r="Z180" s="16"/>
      <c r="AA180" s="16"/>
      <c r="AB180" s="17"/>
      <c r="AC180" s="18"/>
      <c r="AD180" s="48"/>
      <c r="AE180" s="72"/>
      <c r="AF180" s="21"/>
      <c r="AG180" s="73"/>
      <c r="AH180" s="20"/>
      <c r="AI180" s="20"/>
      <c r="AJ180" s="65"/>
      <c r="AK180" s="135"/>
    </row>
    <row r="181" spans="1:37" ht="16.5">
      <c r="A181" s="12"/>
      <c r="B181" s="23"/>
      <c r="C181" s="14"/>
      <c r="D181" s="159"/>
      <c r="E181" s="159"/>
      <c r="F181" s="159"/>
      <c r="G181" s="159"/>
      <c r="H181" s="159"/>
      <c r="I181" s="160"/>
      <c r="J181" s="9"/>
      <c r="K181" s="12"/>
      <c r="L181" s="14"/>
      <c r="M181" s="14"/>
      <c r="N181" s="68"/>
      <c r="O181" s="68"/>
      <c r="P181" s="82"/>
      <c r="Q181" s="9" t="s">
        <v>230</v>
      </c>
      <c r="R181" s="12"/>
      <c r="S181" s="14"/>
      <c r="T181" s="14"/>
      <c r="U181" s="68"/>
      <c r="V181" s="68"/>
      <c r="W181" s="81"/>
      <c r="X181" s="16"/>
      <c r="Y181" s="16"/>
      <c r="Z181" s="16"/>
      <c r="AA181" s="16"/>
      <c r="AB181" s="17"/>
      <c r="AC181" s="18"/>
      <c r="AD181" s="48"/>
      <c r="AE181" s="72"/>
      <c r="AF181" s="21"/>
      <c r="AG181" s="73"/>
      <c r="AH181" s="20"/>
      <c r="AI181" s="20"/>
      <c r="AJ181" s="65"/>
      <c r="AK181" s="135"/>
    </row>
    <row r="182" spans="1:37" ht="16.5">
      <c r="A182" s="12"/>
      <c r="B182" s="23"/>
      <c r="C182" s="14"/>
      <c r="D182" s="159"/>
      <c r="E182" s="159"/>
      <c r="F182" s="159"/>
      <c r="G182" s="159"/>
      <c r="H182" s="159"/>
      <c r="I182" s="160"/>
      <c r="J182" s="9"/>
      <c r="K182" s="12"/>
      <c r="L182" s="14"/>
      <c r="M182" s="14"/>
      <c r="N182" s="68"/>
      <c r="O182" s="68"/>
      <c r="P182" s="82"/>
      <c r="Q182" s="9" t="s">
        <v>230</v>
      </c>
      <c r="R182" s="12"/>
      <c r="S182" s="14"/>
      <c r="T182" s="14"/>
      <c r="U182" s="68"/>
      <c r="V182" s="68"/>
      <c r="W182" s="81"/>
      <c r="X182" s="16"/>
      <c r="Y182" s="16"/>
      <c r="Z182" s="16"/>
      <c r="AA182" s="16"/>
      <c r="AB182" s="17"/>
      <c r="AC182" s="18"/>
      <c r="AD182" s="48"/>
      <c r="AE182" s="72"/>
      <c r="AF182" s="21"/>
      <c r="AG182" s="73"/>
      <c r="AH182" s="20"/>
      <c r="AI182" s="20"/>
      <c r="AJ182" s="65"/>
      <c r="AK182" s="135"/>
    </row>
    <row r="183" spans="1:37" ht="16.5">
      <c r="A183" s="12"/>
      <c r="B183" s="23"/>
      <c r="C183" s="14"/>
      <c r="D183" s="159"/>
      <c r="E183" s="159"/>
      <c r="F183" s="159"/>
      <c r="G183" s="159"/>
      <c r="H183" s="159"/>
      <c r="I183" s="160"/>
      <c r="J183" s="9"/>
      <c r="K183" s="12"/>
      <c r="L183" s="14"/>
      <c r="M183" s="14"/>
      <c r="N183" s="68"/>
      <c r="O183" s="68"/>
      <c r="P183" s="82"/>
      <c r="Q183" s="9" t="s">
        <v>230</v>
      </c>
      <c r="R183" s="12"/>
      <c r="S183" s="14"/>
      <c r="T183" s="14"/>
      <c r="U183" s="68"/>
      <c r="V183" s="68"/>
      <c r="W183" s="81"/>
      <c r="X183" s="16"/>
      <c r="Y183" s="16"/>
      <c r="Z183" s="16"/>
      <c r="AA183" s="16"/>
      <c r="AB183" s="17"/>
      <c r="AC183" s="18"/>
      <c r="AD183" s="48"/>
      <c r="AE183" s="72"/>
      <c r="AF183" s="21"/>
      <c r="AG183" s="73"/>
      <c r="AH183" s="20"/>
      <c r="AI183" s="20"/>
      <c r="AJ183" s="65"/>
      <c r="AK183" s="135"/>
    </row>
    <row r="184" spans="1:37" ht="16.5">
      <c r="A184" s="12"/>
      <c r="B184" s="23"/>
      <c r="C184" s="14"/>
      <c r="D184" s="159"/>
      <c r="E184" s="159"/>
      <c r="F184" s="159"/>
      <c r="G184" s="159"/>
      <c r="H184" s="159"/>
      <c r="I184" s="160"/>
      <c r="J184" s="9"/>
      <c r="K184" s="12"/>
      <c r="L184" s="14"/>
      <c r="M184" s="14"/>
      <c r="N184" s="68"/>
      <c r="O184" s="68"/>
      <c r="P184" s="82"/>
      <c r="Q184" s="9" t="s">
        <v>230</v>
      </c>
      <c r="R184" s="12"/>
      <c r="S184" s="14"/>
      <c r="T184" s="14"/>
      <c r="U184" s="68"/>
      <c r="V184" s="68"/>
      <c r="W184" s="81"/>
      <c r="X184" s="16"/>
      <c r="Y184" s="16"/>
      <c r="Z184" s="16"/>
      <c r="AA184" s="16"/>
      <c r="AB184" s="17"/>
      <c r="AC184" s="18"/>
      <c r="AD184" s="48"/>
      <c r="AE184" s="72"/>
      <c r="AF184" s="21"/>
      <c r="AG184" s="73"/>
      <c r="AH184" s="20"/>
      <c r="AI184" s="20"/>
      <c r="AJ184" s="65"/>
      <c r="AK184" s="135"/>
    </row>
    <row r="185" spans="1:37" ht="16.5">
      <c r="A185" s="12"/>
      <c r="B185" s="23"/>
      <c r="C185" s="14"/>
      <c r="D185" s="159"/>
      <c r="E185" s="159"/>
      <c r="F185" s="159"/>
      <c r="G185" s="159"/>
      <c r="H185" s="159"/>
      <c r="I185" s="160"/>
      <c r="J185" s="9"/>
      <c r="K185" s="12"/>
      <c r="L185" s="14"/>
      <c r="M185" s="14"/>
      <c r="N185" s="68"/>
      <c r="O185" s="68"/>
      <c r="P185" s="82"/>
      <c r="Q185" s="9" t="s">
        <v>230</v>
      </c>
      <c r="R185" s="12"/>
      <c r="S185" s="14"/>
      <c r="T185" s="14"/>
      <c r="U185" s="68"/>
      <c r="V185" s="68"/>
      <c r="W185" s="81"/>
      <c r="X185" s="16"/>
      <c r="Y185" s="16"/>
      <c r="Z185" s="16"/>
      <c r="AA185" s="16"/>
      <c r="AB185" s="17"/>
      <c r="AC185" s="18"/>
      <c r="AD185" s="48"/>
      <c r="AE185" s="72"/>
      <c r="AF185" s="21"/>
      <c r="AG185" s="73"/>
      <c r="AH185" s="20"/>
      <c r="AI185" s="20"/>
      <c r="AJ185" s="65"/>
      <c r="AK185" s="135"/>
    </row>
    <row r="186" spans="1:37" ht="16.5">
      <c r="A186" s="12"/>
      <c r="B186" s="23"/>
      <c r="C186" s="14"/>
      <c r="D186" s="159"/>
      <c r="E186" s="159"/>
      <c r="F186" s="159"/>
      <c r="G186" s="159"/>
      <c r="H186" s="159"/>
      <c r="I186" s="160"/>
      <c r="J186" s="9"/>
      <c r="K186" s="12"/>
      <c r="L186" s="14"/>
      <c r="M186" s="14"/>
      <c r="N186" s="68"/>
      <c r="O186" s="68"/>
      <c r="P186" s="82"/>
      <c r="Q186" s="9" t="s">
        <v>230</v>
      </c>
      <c r="R186" s="12"/>
      <c r="S186" s="14"/>
      <c r="T186" s="14"/>
      <c r="U186" s="68"/>
      <c r="V186" s="68"/>
      <c r="W186" s="81"/>
      <c r="X186" s="16"/>
      <c r="Y186" s="16"/>
      <c r="Z186" s="16"/>
      <c r="AA186" s="16"/>
      <c r="AB186" s="17"/>
      <c r="AC186" s="18"/>
      <c r="AD186" s="48"/>
      <c r="AE186" s="72"/>
      <c r="AF186" s="21"/>
      <c r="AG186" s="73"/>
      <c r="AH186" s="20"/>
      <c r="AI186" s="20"/>
      <c r="AJ186" s="65"/>
      <c r="AK186" s="135"/>
    </row>
    <row r="187" spans="1:37" ht="16.5">
      <c r="A187" s="12"/>
      <c r="B187" s="23"/>
      <c r="C187" s="14"/>
      <c r="D187" s="159"/>
      <c r="E187" s="159"/>
      <c r="F187" s="159"/>
      <c r="G187" s="159"/>
      <c r="H187" s="159"/>
      <c r="I187" s="160"/>
      <c r="J187" s="9"/>
      <c r="K187" s="12"/>
      <c r="L187" s="14"/>
      <c r="M187" s="14"/>
      <c r="N187" s="68"/>
      <c r="O187" s="68"/>
      <c r="P187" s="82"/>
      <c r="Q187" s="9" t="s">
        <v>230</v>
      </c>
      <c r="R187" s="12"/>
      <c r="S187" s="14"/>
      <c r="T187" s="14"/>
      <c r="U187" s="68"/>
      <c r="V187" s="68"/>
      <c r="W187" s="81"/>
      <c r="X187" s="16"/>
      <c r="Y187" s="16"/>
      <c r="Z187" s="16"/>
      <c r="AA187" s="16"/>
      <c r="AB187" s="17"/>
      <c r="AC187" s="18"/>
      <c r="AD187" s="48"/>
      <c r="AE187" s="72"/>
      <c r="AF187" s="21"/>
      <c r="AG187" s="73"/>
      <c r="AH187" s="20"/>
      <c r="AI187" s="20"/>
      <c r="AJ187" s="65"/>
      <c r="AK187" s="135"/>
    </row>
    <row r="188" spans="1:37" ht="16.5">
      <c r="A188" s="12"/>
      <c r="B188" s="23"/>
      <c r="C188" s="14"/>
      <c r="D188" s="159"/>
      <c r="E188" s="159"/>
      <c r="F188" s="159"/>
      <c r="G188" s="159"/>
      <c r="H188" s="159"/>
      <c r="I188" s="160"/>
      <c r="J188" s="9"/>
      <c r="K188" s="12"/>
      <c r="L188" s="14"/>
      <c r="M188" s="14"/>
      <c r="N188" s="68"/>
      <c r="O188" s="68"/>
      <c r="P188" s="82"/>
      <c r="Q188" s="9" t="s">
        <v>230</v>
      </c>
      <c r="R188" s="12"/>
      <c r="S188" s="14"/>
      <c r="T188" s="14"/>
      <c r="U188" s="68"/>
      <c r="V188" s="68"/>
      <c r="W188" s="81"/>
      <c r="X188" s="16"/>
      <c r="Y188" s="16"/>
      <c r="Z188" s="16"/>
      <c r="AA188" s="16"/>
      <c r="AB188" s="17"/>
      <c r="AC188" s="18"/>
      <c r="AD188" s="48"/>
      <c r="AE188" s="72"/>
      <c r="AF188" s="21"/>
      <c r="AG188" s="73"/>
      <c r="AH188" s="20"/>
      <c r="AI188" s="20"/>
      <c r="AJ188" s="65"/>
      <c r="AK188" s="135"/>
    </row>
    <row r="189" spans="1:37" ht="16.5">
      <c r="A189" s="12"/>
      <c r="B189" s="23"/>
      <c r="C189" s="14"/>
      <c r="D189" s="159"/>
      <c r="E189" s="159"/>
      <c r="F189" s="159"/>
      <c r="G189" s="159"/>
      <c r="H189" s="159"/>
      <c r="I189" s="160"/>
      <c r="J189" s="9"/>
      <c r="K189" s="12"/>
      <c r="L189" s="14"/>
      <c r="M189" s="14"/>
      <c r="N189" s="68"/>
      <c r="O189" s="68"/>
      <c r="P189" s="82"/>
      <c r="Q189" s="9" t="s">
        <v>230</v>
      </c>
      <c r="R189" s="12"/>
      <c r="S189" s="14"/>
      <c r="T189" s="14"/>
      <c r="U189" s="68"/>
      <c r="V189" s="68"/>
      <c r="W189" s="81"/>
      <c r="X189" s="16"/>
      <c r="Y189" s="16"/>
      <c r="Z189" s="16"/>
      <c r="AA189" s="16"/>
      <c r="AB189" s="17"/>
      <c r="AC189" s="18"/>
      <c r="AD189" s="48"/>
      <c r="AE189" s="72"/>
      <c r="AF189" s="21"/>
      <c r="AG189" s="73"/>
      <c r="AH189" s="20"/>
      <c r="AI189" s="20"/>
      <c r="AJ189" s="65"/>
      <c r="AK189" s="135"/>
    </row>
    <row r="190" spans="1:37" ht="16.5">
      <c r="A190" s="12"/>
      <c r="B190" s="23"/>
      <c r="C190" s="14"/>
      <c r="D190" s="159"/>
      <c r="E190" s="159"/>
      <c r="F190" s="159"/>
      <c r="G190" s="159"/>
      <c r="H190" s="159"/>
      <c r="I190" s="160"/>
      <c r="J190" s="9"/>
      <c r="K190" s="12"/>
      <c r="L190" s="14"/>
      <c r="M190" s="14"/>
      <c r="N190" s="68"/>
      <c r="O190" s="68"/>
      <c r="P190" s="82"/>
      <c r="Q190" s="9" t="s">
        <v>230</v>
      </c>
      <c r="R190" s="12"/>
      <c r="S190" s="14"/>
      <c r="T190" s="14"/>
      <c r="U190" s="68"/>
      <c r="V190" s="68"/>
      <c r="W190" s="81"/>
      <c r="X190" s="16"/>
      <c r="Y190" s="16"/>
      <c r="Z190" s="16"/>
      <c r="AA190" s="16"/>
      <c r="AB190" s="17"/>
      <c r="AC190" s="18"/>
      <c r="AD190" s="48"/>
      <c r="AE190" s="72"/>
      <c r="AF190" s="21"/>
      <c r="AG190" s="73"/>
      <c r="AH190" s="20"/>
      <c r="AI190" s="20"/>
      <c r="AJ190" s="65"/>
      <c r="AK190" s="135"/>
    </row>
    <row r="191" spans="1:37" ht="16.5">
      <c r="A191" s="12"/>
      <c r="B191" s="23"/>
      <c r="C191" s="14"/>
      <c r="D191" s="159"/>
      <c r="E191" s="159"/>
      <c r="F191" s="159"/>
      <c r="G191" s="159"/>
      <c r="H191" s="159"/>
      <c r="I191" s="160"/>
      <c r="J191" s="9"/>
      <c r="K191" s="12"/>
      <c r="L191" s="14"/>
      <c r="M191" s="14"/>
      <c r="N191" s="68"/>
      <c r="O191" s="68"/>
      <c r="P191" s="82"/>
      <c r="Q191" s="9" t="s">
        <v>230</v>
      </c>
      <c r="R191" s="12"/>
      <c r="S191" s="14"/>
      <c r="T191" s="14"/>
      <c r="U191" s="68"/>
      <c r="V191" s="68"/>
      <c r="W191" s="81"/>
      <c r="X191" s="16"/>
      <c r="Y191" s="16"/>
      <c r="Z191" s="16"/>
      <c r="AA191" s="16"/>
      <c r="AB191" s="17"/>
      <c r="AC191" s="18"/>
      <c r="AD191" s="48"/>
      <c r="AE191" s="72"/>
      <c r="AF191" s="21"/>
      <c r="AG191" s="73"/>
      <c r="AH191" s="20"/>
      <c r="AI191" s="20"/>
      <c r="AJ191" s="65"/>
      <c r="AK191" s="135"/>
    </row>
    <row r="192" spans="1:37" ht="16.5">
      <c r="A192" s="12"/>
      <c r="B192" s="23"/>
      <c r="C192" s="14"/>
      <c r="D192" s="159"/>
      <c r="E192" s="159"/>
      <c r="F192" s="159"/>
      <c r="G192" s="159"/>
      <c r="H192" s="159"/>
      <c r="I192" s="160"/>
      <c r="J192" s="9"/>
      <c r="K192" s="12"/>
      <c r="L192" s="14"/>
      <c r="M192" s="14"/>
      <c r="N192" s="68"/>
      <c r="O192" s="68"/>
      <c r="P192" s="82"/>
      <c r="Q192" s="9" t="s">
        <v>230</v>
      </c>
      <c r="R192" s="12"/>
      <c r="S192" s="14"/>
      <c r="T192" s="14"/>
      <c r="U192" s="68"/>
      <c r="V192" s="68"/>
      <c r="W192" s="81"/>
      <c r="X192" s="16"/>
      <c r="Y192" s="16"/>
      <c r="Z192" s="16"/>
      <c r="AA192" s="16"/>
      <c r="AB192" s="17"/>
      <c r="AC192" s="18"/>
      <c r="AD192" s="48"/>
      <c r="AE192" s="72"/>
      <c r="AF192" s="21"/>
      <c r="AG192" s="73"/>
      <c r="AH192" s="20"/>
      <c r="AI192" s="20"/>
      <c r="AJ192" s="65"/>
      <c r="AK192" s="135"/>
    </row>
    <row r="193" spans="1:37" ht="16.5">
      <c r="A193" s="12"/>
      <c r="B193" s="23"/>
      <c r="C193" s="14"/>
      <c r="D193" s="159"/>
      <c r="E193" s="159"/>
      <c r="F193" s="159"/>
      <c r="G193" s="159"/>
      <c r="H193" s="159"/>
      <c r="I193" s="160"/>
      <c r="J193" s="9"/>
      <c r="K193" s="12"/>
      <c r="L193" s="14"/>
      <c r="M193" s="14"/>
      <c r="N193" s="68"/>
      <c r="O193" s="68"/>
      <c r="P193" s="82"/>
      <c r="Q193" s="9" t="s">
        <v>230</v>
      </c>
      <c r="R193" s="12"/>
      <c r="S193" s="14"/>
      <c r="T193" s="14"/>
      <c r="U193" s="68"/>
      <c r="V193" s="68"/>
      <c r="W193" s="81"/>
      <c r="X193" s="16"/>
      <c r="Y193" s="16"/>
      <c r="Z193" s="16"/>
      <c r="AA193" s="16"/>
      <c r="AB193" s="17"/>
      <c r="AC193" s="18"/>
      <c r="AD193" s="48"/>
      <c r="AE193" s="72"/>
      <c r="AF193" s="21"/>
      <c r="AG193" s="73"/>
      <c r="AH193" s="20"/>
      <c r="AI193" s="20"/>
      <c r="AJ193" s="65"/>
      <c r="AK193" s="135"/>
    </row>
    <row r="194" spans="1:37" ht="16.5">
      <c r="A194" s="12"/>
      <c r="B194" s="23"/>
      <c r="C194" s="14"/>
      <c r="D194" s="159"/>
      <c r="E194" s="159"/>
      <c r="F194" s="159"/>
      <c r="G194" s="159"/>
      <c r="H194" s="159"/>
      <c r="I194" s="160"/>
      <c r="J194" s="9"/>
      <c r="K194" s="12"/>
      <c r="L194" s="14"/>
      <c r="M194" s="14"/>
      <c r="N194" s="68"/>
      <c r="O194" s="68"/>
      <c r="P194" s="82"/>
      <c r="Q194" s="9" t="s">
        <v>230</v>
      </c>
      <c r="R194" s="12"/>
      <c r="S194" s="14"/>
      <c r="T194" s="14"/>
      <c r="U194" s="68"/>
      <c r="V194" s="68"/>
      <c r="W194" s="81"/>
      <c r="X194" s="16"/>
      <c r="Y194" s="16"/>
      <c r="Z194" s="16"/>
      <c r="AA194" s="16"/>
      <c r="AB194" s="17"/>
      <c r="AC194" s="18"/>
      <c r="AD194" s="48"/>
      <c r="AE194" s="72"/>
      <c r="AF194" s="21"/>
      <c r="AG194" s="73"/>
      <c r="AH194" s="20"/>
      <c r="AI194" s="20"/>
      <c r="AJ194" s="65"/>
      <c r="AK194" s="135"/>
    </row>
    <row r="195" spans="1:37" ht="16.5">
      <c r="A195" s="12"/>
      <c r="B195" s="23"/>
      <c r="C195" s="14"/>
      <c r="D195" s="159"/>
      <c r="E195" s="159"/>
      <c r="F195" s="159"/>
      <c r="G195" s="159"/>
      <c r="H195" s="159"/>
      <c r="I195" s="160"/>
      <c r="J195" s="9"/>
      <c r="K195" s="12"/>
      <c r="L195" s="14"/>
      <c r="M195" s="14"/>
      <c r="N195" s="68"/>
      <c r="O195" s="68"/>
      <c r="P195" s="82"/>
      <c r="Q195" s="9" t="s">
        <v>230</v>
      </c>
      <c r="R195" s="12"/>
      <c r="S195" s="14"/>
      <c r="T195" s="14"/>
      <c r="U195" s="68"/>
      <c r="V195" s="68"/>
      <c r="W195" s="81"/>
      <c r="X195" s="16"/>
      <c r="Y195" s="16"/>
      <c r="Z195" s="16"/>
      <c r="AA195" s="16"/>
      <c r="AB195" s="17"/>
      <c r="AC195" s="18"/>
      <c r="AD195" s="48"/>
      <c r="AE195" s="72"/>
      <c r="AF195" s="21"/>
      <c r="AG195" s="73"/>
      <c r="AH195" s="20"/>
      <c r="AI195" s="20"/>
      <c r="AJ195" s="65"/>
      <c r="AK195" s="135"/>
    </row>
    <row r="196" spans="1:37" ht="16.5">
      <c r="A196" s="12"/>
      <c r="B196" s="23"/>
      <c r="C196" s="14"/>
      <c r="D196" s="159"/>
      <c r="E196" s="159"/>
      <c r="F196" s="159"/>
      <c r="G196" s="159"/>
      <c r="H196" s="159"/>
      <c r="I196" s="160"/>
      <c r="J196" s="9"/>
      <c r="K196" s="12"/>
      <c r="L196" s="14"/>
      <c r="M196" s="14"/>
      <c r="N196" s="68"/>
      <c r="O196" s="68"/>
      <c r="P196" s="82"/>
      <c r="Q196" s="9" t="s">
        <v>230</v>
      </c>
      <c r="R196" s="12"/>
      <c r="S196" s="14"/>
      <c r="T196" s="14"/>
      <c r="U196" s="68"/>
      <c r="V196" s="68"/>
      <c r="W196" s="81"/>
      <c r="X196" s="16"/>
      <c r="Y196" s="16"/>
      <c r="Z196" s="16"/>
      <c r="AA196" s="16"/>
      <c r="AB196" s="17"/>
      <c r="AC196" s="18"/>
      <c r="AD196" s="48"/>
      <c r="AE196" s="72"/>
      <c r="AF196" s="21"/>
      <c r="AG196" s="73"/>
      <c r="AH196" s="20"/>
      <c r="AI196" s="20"/>
      <c r="AJ196" s="65"/>
      <c r="AK196" s="135"/>
    </row>
    <row r="197" spans="1:37" ht="16.5">
      <c r="A197" s="12"/>
      <c r="B197" s="23"/>
      <c r="C197" s="14"/>
      <c r="D197" s="159"/>
      <c r="E197" s="159"/>
      <c r="F197" s="159"/>
      <c r="G197" s="159"/>
      <c r="H197" s="159"/>
      <c r="I197" s="160"/>
      <c r="J197" s="9"/>
      <c r="K197" s="12"/>
      <c r="L197" s="14"/>
      <c r="M197" s="14"/>
      <c r="N197" s="68"/>
      <c r="O197" s="68"/>
      <c r="P197" s="82"/>
      <c r="Q197" s="9" t="s">
        <v>230</v>
      </c>
      <c r="R197" s="12"/>
      <c r="S197" s="14"/>
      <c r="T197" s="14"/>
      <c r="U197" s="68"/>
      <c r="V197" s="68"/>
      <c r="W197" s="81"/>
      <c r="X197" s="16"/>
      <c r="Y197" s="16"/>
      <c r="Z197" s="16"/>
      <c r="AA197" s="16"/>
      <c r="AB197" s="17"/>
      <c r="AC197" s="18"/>
      <c r="AD197" s="48"/>
      <c r="AE197" s="72"/>
      <c r="AF197" s="21"/>
      <c r="AG197" s="73"/>
      <c r="AH197" s="20"/>
      <c r="AI197" s="20"/>
      <c r="AJ197" s="65"/>
      <c r="AK197" s="135"/>
    </row>
    <row r="198" spans="1:37" ht="16.5">
      <c r="A198" s="12"/>
      <c r="B198" s="23"/>
      <c r="C198" s="14"/>
      <c r="D198" s="159"/>
      <c r="E198" s="159"/>
      <c r="F198" s="159"/>
      <c r="G198" s="159"/>
      <c r="H198" s="159"/>
      <c r="I198" s="160"/>
      <c r="J198" s="9"/>
      <c r="K198" s="12"/>
      <c r="L198" s="14"/>
      <c r="M198" s="14"/>
      <c r="N198" s="68"/>
      <c r="O198" s="68"/>
      <c r="P198" s="82"/>
      <c r="Q198" s="9" t="s">
        <v>230</v>
      </c>
      <c r="R198" s="12"/>
      <c r="S198" s="14"/>
      <c r="T198" s="14"/>
      <c r="U198" s="68"/>
      <c r="V198" s="68"/>
      <c r="W198" s="81"/>
      <c r="X198" s="16"/>
      <c r="Y198" s="16"/>
      <c r="Z198" s="16"/>
      <c r="AA198" s="16"/>
      <c r="AB198" s="17"/>
      <c r="AC198" s="18"/>
      <c r="AD198" s="48"/>
      <c r="AE198" s="72"/>
      <c r="AF198" s="21"/>
      <c r="AG198" s="73"/>
      <c r="AH198" s="20"/>
      <c r="AI198" s="20"/>
      <c r="AJ198" s="65"/>
      <c r="AK198" s="15"/>
    </row>
    <row r="199" spans="1:37" ht="16.5">
      <c r="A199" s="12"/>
      <c r="B199" s="23"/>
      <c r="C199" s="14"/>
      <c r="D199" s="159"/>
      <c r="E199" s="159"/>
      <c r="F199" s="159"/>
      <c r="G199" s="159"/>
      <c r="H199" s="159"/>
      <c r="I199" s="160"/>
      <c r="J199" s="9"/>
      <c r="K199" s="12"/>
      <c r="L199" s="14"/>
      <c r="M199" s="14"/>
      <c r="N199" s="68"/>
      <c r="O199" s="68"/>
      <c r="P199" s="82"/>
      <c r="Q199" s="9" t="s">
        <v>230</v>
      </c>
      <c r="R199" s="12"/>
      <c r="S199" s="14"/>
      <c r="T199" s="14"/>
      <c r="U199" s="68"/>
      <c r="V199" s="68"/>
      <c r="W199" s="81"/>
      <c r="X199" s="16"/>
      <c r="Y199" s="16"/>
      <c r="Z199" s="16"/>
      <c r="AA199" s="16"/>
      <c r="AB199" s="17"/>
      <c r="AC199" s="18"/>
      <c r="AD199" s="48"/>
      <c r="AE199" s="72"/>
      <c r="AF199" s="21"/>
      <c r="AG199" s="73"/>
      <c r="AH199" s="20"/>
      <c r="AI199" s="20"/>
      <c r="AJ199" s="65"/>
      <c r="AK199" s="15"/>
    </row>
    <row r="200" spans="1:37" ht="16.5">
      <c r="A200" s="12"/>
      <c r="B200" s="23"/>
      <c r="C200" s="14"/>
      <c r="D200" s="159"/>
      <c r="E200" s="159"/>
      <c r="F200" s="159"/>
      <c r="G200" s="159"/>
      <c r="H200" s="159"/>
      <c r="I200" s="160"/>
      <c r="J200" s="9"/>
      <c r="K200" s="12"/>
      <c r="L200" s="14"/>
      <c r="M200" s="14"/>
      <c r="N200" s="68"/>
      <c r="O200" s="68"/>
      <c r="P200" s="82"/>
      <c r="Q200" s="9" t="s">
        <v>230</v>
      </c>
      <c r="R200" s="12"/>
      <c r="S200" s="14"/>
      <c r="T200" s="14"/>
      <c r="U200" s="68"/>
      <c r="V200" s="68"/>
      <c r="W200" s="81"/>
      <c r="X200" s="16"/>
      <c r="Y200" s="16"/>
      <c r="Z200" s="16"/>
      <c r="AA200" s="16"/>
      <c r="AB200" s="17"/>
      <c r="AC200" s="18"/>
      <c r="AD200" s="48"/>
      <c r="AE200" s="72"/>
      <c r="AF200" s="21"/>
      <c r="AG200" s="73"/>
      <c r="AH200" s="20"/>
      <c r="AI200" s="20"/>
      <c r="AJ200" s="65"/>
      <c r="AK200" s="15"/>
    </row>
    <row r="201" spans="1:37" ht="16.5">
      <c r="A201" s="12"/>
      <c r="B201" s="23"/>
      <c r="C201" s="14"/>
      <c r="D201" s="159"/>
      <c r="E201" s="159"/>
      <c r="F201" s="159"/>
      <c r="G201" s="159"/>
      <c r="H201" s="159"/>
      <c r="I201" s="160"/>
      <c r="J201" s="9"/>
      <c r="K201" s="12"/>
      <c r="L201" s="14"/>
      <c r="M201" s="14"/>
      <c r="N201" s="68"/>
      <c r="O201" s="68"/>
      <c r="P201" s="82"/>
      <c r="Q201" s="9" t="s">
        <v>230</v>
      </c>
      <c r="R201" s="12"/>
      <c r="S201" s="14"/>
      <c r="T201" s="14"/>
      <c r="U201" s="68"/>
      <c r="V201" s="68"/>
      <c r="W201" s="81"/>
      <c r="X201" s="16"/>
      <c r="Y201" s="16"/>
      <c r="Z201" s="16"/>
      <c r="AA201" s="16"/>
      <c r="AB201" s="17"/>
      <c r="AC201" s="18"/>
      <c r="AD201" s="48"/>
      <c r="AE201" s="72"/>
      <c r="AF201" s="21"/>
      <c r="AG201" s="73"/>
      <c r="AH201" s="20"/>
      <c r="AI201" s="20"/>
      <c r="AJ201" s="65"/>
      <c r="AK201" s="15"/>
    </row>
    <row r="202" spans="1:37" ht="16.5">
      <c r="A202" s="12"/>
      <c r="B202" s="23"/>
      <c r="C202" s="14"/>
      <c r="D202" s="159"/>
      <c r="E202" s="159"/>
      <c r="F202" s="159"/>
      <c r="G202" s="159"/>
      <c r="H202" s="159"/>
      <c r="I202" s="160"/>
      <c r="J202" s="9"/>
      <c r="K202" s="12"/>
      <c r="L202" s="14"/>
      <c r="M202" s="14"/>
      <c r="N202" s="68"/>
      <c r="O202" s="68"/>
      <c r="P202" s="82"/>
      <c r="Q202" s="9" t="s">
        <v>230</v>
      </c>
      <c r="R202" s="12"/>
      <c r="S202" s="14"/>
      <c r="T202" s="14"/>
      <c r="U202" s="68"/>
      <c r="V202" s="68"/>
      <c r="W202" s="81"/>
      <c r="X202" s="16"/>
      <c r="Y202" s="16"/>
      <c r="Z202" s="16"/>
      <c r="AA202" s="16"/>
      <c r="AB202" s="17"/>
      <c r="AC202" s="18"/>
      <c r="AD202" s="48"/>
      <c r="AE202" s="72"/>
      <c r="AF202" s="21"/>
      <c r="AG202" s="73"/>
      <c r="AH202" s="20"/>
      <c r="AI202" s="20"/>
      <c r="AJ202" s="65"/>
      <c r="AK202" s="15"/>
    </row>
    <row r="203" spans="1:37" ht="16.5">
      <c r="A203" s="12"/>
      <c r="B203" s="23"/>
      <c r="C203" s="14"/>
      <c r="D203" s="159"/>
      <c r="E203" s="159"/>
      <c r="F203" s="159"/>
      <c r="G203" s="159"/>
      <c r="H203" s="159"/>
      <c r="I203" s="160"/>
      <c r="J203" s="9"/>
      <c r="K203" s="12"/>
      <c r="L203" s="14"/>
      <c r="M203" s="14"/>
      <c r="N203" s="68"/>
      <c r="O203" s="68"/>
      <c r="P203" s="82"/>
      <c r="Q203" s="9" t="s">
        <v>230</v>
      </c>
      <c r="R203" s="12"/>
      <c r="S203" s="14"/>
      <c r="T203" s="14"/>
      <c r="U203" s="68"/>
      <c r="V203" s="68"/>
      <c r="W203" s="81"/>
      <c r="X203" s="16"/>
      <c r="Y203" s="16"/>
      <c r="Z203" s="16"/>
      <c r="AA203" s="16"/>
      <c r="AB203" s="17"/>
      <c r="AC203" s="18"/>
      <c r="AD203" s="48"/>
      <c r="AE203" s="72"/>
      <c r="AF203" s="21"/>
      <c r="AG203" s="73"/>
      <c r="AH203" s="20"/>
      <c r="AI203" s="20"/>
      <c r="AJ203" s="65"/>
      <c r="AK203" s="15"/>
    </row>
    <row r="204" spans="1:37" ht="16.5">
      <c r="A204" s="12"/>
      <c r="B204" s="23"/>
      <c r="C204" s="14"/>
      <c r="D204" s="159"/>
      <c r="E204" s="159"/>
      <c r="F204" s="159"/>
      <c r="G204" s="159"/>
      <c r="H204" s="159"/>
      <c r="I204" s="160"/>
      <c r="J204" s="9"/>
      <c r="K204" s="12"/>
      <c r="L204" s="14"/>
      <c r="M204" s="14"/>
      <c r="N204" s="68"/>
      <c r="O204" s="68"/>
      <c r="P204" s="82"/>
      <c r="Q204" s="9" t="s">
        <v>230</v>
      </c>
      <c r="R204" s="12"/>
      <c r="S204" s="14"/>
      <c r="T204" s="14"/>
      <c r="U204" s="68"/>
      <c r="V204" s="68"/>
      <c r="W204" s="81"/>
      <c r="X204" s="16"/>
      <c r="Y204" s="16"/>
      <c r="Z204" s="16"/>
      <c r="AA204" s="16"/>
      <c r="AB204" s="17"/>
      <c r="AC204" s="18"/>
      <c r="AD204" s="48"/>
      <c r="AE204" s="72"/>
      <c r="AF204" s="21"/>
      <c r="AG204" s="73"/>
      <c r="AH204" s="20"/>
      <c r="AI204" s="20"/>
      <c r="AJ204" s="65"/>
      <c r="AK204" s="15"/>
    </row>
    <row r="205" spans="1:37" ht="16.5">
      <c r="A205" s="12"/>
      <c r="B205" s="23"/>
      <c r="C205" s="14"/>
      <c r="D205" s="159"/>
      <c r="E205" s="159"/>
      <c r="F205" s="159"/>
      <c r="G205" s="159"/>
      <c r="H205" s="159"/>
      <c r="I205" s="160"/>
      <c r="J205" s="9"/>
      <c r="K205" s="12"/>
      <c r="L205" s="14"/>
      <c r="M205" s="14"/>
      <c r="N205" s="68"/>
      <c r="O205" s="68"/>
      <c r="P205" s="82"/>
      <c r="Q205" s="9" t="s">
        <v>230</v>
      </c>
      <c r="R205" s="12"/>
      <c r="S205" s="14"/>
      <c r="T205" s="14"/>
      <c r="U205" s="68"/>
      <c r="V205" s="68"/>
      <c r="W205" s="81"/>
      <c r="X205" s="16"/>
      <c r="Y205" s="16"/>
      <c r="Z205" s="16"/>
      <c r="AA205" s="16"/>
      <c r="AB205" s="17"/>
      <c r="AC205" s="18"/>
      <c r="AD205" s="48"/>
      <c r="AE205" s="72"/>
      <c r="AF205" s="21"/>
      <c r="AG205" s="73"/>
      <c r="AH205" s="20"/>
      <c r="AI205" s="20"/>
      <c r="AJ205" s="65"/>
      <c r="AK205" s="15"/>
    </row>
    <row r="206" spans="1:37" ht="16.5">
      <c r="A206" s="12"/>
      <c r="B206" s="23"/>
      <c r="C206" s="14"/>
      <c r="D206" s="159"/>
      <c r="E206" s="159"/>
      <c r="F206" s="159"/>
      <c r="G206" s="159"/>
      <c r="H206" s="159"/>
      <c r="I206" s="160"/>
      <c r="J206" s="9"/>
      <c r="K206" s="12"/>
      <c r="L206" s="14"/>
      <c r="M206" s="14"/>
      <c r="N206" s="68"/>
      <c r="O206" s="68"/>
      <c r="P206" s="82"/>
      <c r="Q206" s="9" t="s">
        <v>230</v>
      </c>
      <c r="R206" s="12"/>
      <c r="S206" s="14"/>
      <c r="T206" s="14"/>
      <c r="U206" s="68"/>
      <c r="V206" s="68"/>
      <c r="W206" s="81"/>
      <c r="X206" s="16"/>
      <c r="Y206" s="16"/>
      <c r="Z206" s="16"/>
      <c r="AA206" s="16"/>
      <c r="AB206" s="17"/>
      <c r="AC206" s="18"/>
      <c r="AD206" s="48"/>
      <c r="AE206" s="72"/>
      <c r="AF206" s="21"/>
      <c r="AG206" s="73"/>
      <c r="AH206" s="20"/>
      <c r="AI206" s="20"/>
      <c r="AJ206" s="65"/>
      <c r="AK206" s="15"/>
    </row>
    <row r="207" spans="1:37" ht="16.5">
      <c r="A207" s="12"/>
      <c r="B207" s="23"/>
      <c r="C207" s="14"/>
      <c r="D207" s="159"/>
      <c r="E207" s="159"/>
      <c r="F207" s="159"/>
      <c r="G207" s="159"/>
      <c r="H207" s="159"/>
      <c r="I207" s="160"/>
      <c r="J207" s="9"/>
      <c r="K207" s="12"/>
      <c r="L207" s="14"/>
      <c r="M207" s="14"/>
      <c r="N207" s="68"/>
      <c r="O207" s="68"/>
      <c r="P207" s="82"/>
      <c r="Q207" s="9" t="s">
        <v>230</v>
      </c>
      <c r="R207" s="12"/>
      <c r="S207" s="14"/>
      <c r="T207" s="14"/>
      <c r="U207" s="68"/>
      <c r="V207" s="68"/>
      <c r="W207" s="81"/>
      <c r="X207" s="16"/>
      <c r="Y207" s="16"/>
      <c r="Z207" s="16"/>
      <c r="AA207" s="16"/>
      <c r="AB207" s="17"/>
      <c r="AC207" s="18"/>
      <c r="AD207" s="48"/>
      <c r="AE207" s="72"/>
      <c r="AF207" s="21"/>
      <c r="AG207" s="73"/>
      <c r="AH207" s="20"/>
      <c r="AI207" s="20"/>
      <c r="AJ207" s="65"/>
      <c r="AK207" s="15"/>
    </row>
    <row r="208" spans="1:37" ht="16.5">
      <c r="A208" s="12"/>
      <c r="B208" s="23"/>
      <c r="C208" s="14"/>
      <c r="D208" s="159"/>
      <c r="E208" s="159"/>
      <c r="F208" s="159"/>
      <c r="G208" s="159"/>
      <c r="H208" s="159"/>
      <c r="I208" s="160"/>
      <c r="J208" s="9"/>
      <c r="K208" s="12"/>
      <c r="L208" s="14"/>
      <c r="M208" s="14"/>
      <c r="N208" s="68"/>
      <c r="O208" s="68"/>
      <c r="P208" s="82"/>
      <c r="Q208" s="9" t="s">
        <v>230</v>
      </c>
      <c r="R208" s="12"/>
      <c r="S208" s="14"/>
      <c r="T208" s="14"/>
      <c r="U208" s="68"/>
      <c r="V208" s="68"/>
      <c r="W208" s="81"/>
      <c r="X208" s="16"/>
      <c r="Y208" s="16"/>
      <c r="Z208" s="16"/>
      <c r="AA208" s="16"/>
      <c r="AB208" s="17"/>
      <c r="AC208" s="18"/>
      <c r="AD208" s="48"/>
      <c r="AE208" s="72"/>
      <c r="AF208" s="21"/>
      <c r="AG208" s="73"/>
      <c r="AH208" s="20"/>
      <c r="AI208" s="20"/>
      <c r="AJ208" s="65"/>
      <c r="AK208" s="15"/>
    </row>
    <row r="209" spans="1:37" ht="16.5">
      <c r="A209" s="12"/>
      <c r="B209" s="23"/>
      <c r="C209" s="14"/>
      <c r="D209" s="159"/>
      <c r="E209" s="159"/>
      <c r="F209" s="159"/>
      <c r="G209" s="159"/>
      <c r="H209" s="159"/>
      <c r="I209" s="160"/>
      <c r="J209" s="9"/>
      <c r="K209" s="12"/>
      <c r="L209" s="14"/>
      <c r="M209" s="14"/>
      <c r="N209" s="68"/>
      <c r="O209" s="68"/>
      <c r="P209" s="82"/>
      <c r="Q209" s="9" t="s">
        <v>230</v>
      </c>
      <c r="R209" s="12"/>
      <c r="S209" s="14"/>
      <c r="T209" s="14"/>
      <c r="U209" s="68"/>
      <c r="V209" s="68"/>
      <c r="W209" s="81"/>
      <c r="X209" s="16"/>
      <c r="Y209" s="16"/>
      <c r="Z209" s="16"/>
      <c r="AA209" s="16"/>
      <c r="AB209" s="17"/>
      <c r="AC209" s="18"/>
      <c r="AD209" s="48"/>
      <c r="AE209" s="72"/>
      <c r="AF209" s="21"/>
      <c r="AG209" s="73"/>
      <c r="AH209" s="20"/>
      <c r="AI209" s="20"/>
      <c r="AJ209" s="65"/>
      <c r="AK209" s="15"/>
    </row>
    <row r="210" spans="1:37" ht="16.5">
      <c r="A210" s="12"/>
      <c r="B210" s="23"/>
      <c r="C210" s="14"/>
      <c r="D210" s="159"/>
      <c r="E210" s="159"/>
      <c r="F210" s="159"/>
      <c r="G210" s="159"/>
      <c r="H210" s="159"/>
      <c r="I210" s="160"/>
      <c r="J210" s="9"/>
      <c r="K210" s="12"/>
      <c r="L210" s="14"/>
      <c r="M210" s="14"/>
      <c r="N210" s="68"/>
      <c r="O210" s="68"/>
      <c r="P210" s="82"/>
      <c r="Q210" s="9" t="s">
        <v>230</v>
      </c>
      <c r="R210" s="12"/>
      <c r="S210" s="14"/>
      <c r="T210" s="14"/>
      <c r="U210" s="68"/>
      <c r="V210" s="68"/>
      <c r="W210" s="81"/>
      <c r="X210" s="16"/>
      <c r="Y210" s="16"/>
      <c r="Z210" s="16"/>
      <c r="AA210" s="16"/>
      <c r="AB210" s="17"/>
      <c r="AC210" s="18"/>
      <c r="AD210" s="48"/>
      <c r="AE210" s="72"/>
      <c r="AF210" s="21"/>
      <c r="AG210" s="73"/>
      <c r="AH210" s="20"/>
      <c r="AI210" s="20"/>
      <c r="AJ210" s="65"/>
      <c r="AK210" s="15"/>
    </row>
    <row r="211" spans="1:37" ht="16.5">
      <c r="A211" s="12"/>
      <c r="B211" s="23"/>
      <c r="C211" s="14"/>
      <c r="D211" s="159"/>
      <c r="E211" s="159"/>
      <c r="F211" s="159"/>
      <c r="G211" s="159"/>
      <c r="H211" s="159"/>
      <c r="I211" s="160"/>
      <c r="J211" s="9"/>
      <c r="K211" s="12"/>
      <c r="L211" s="14"/>
      <c r="M211" s="14"/>
      <c r="N211" s="68"/>
      <c r="O211" s="68"/>
      <c r="P211" s="82"/>
      <c r="Q211" s="9" t="s">
        <v>230</v>
      </c>
      <c r="R211" s="12"/>
      <c r="S211" s="14"/>
      <c r="T211" s="14"/>
      <c r="U211" s="68"/>
      <c r="V211" s="68"/>
      <c r="W211" s="81"/>
      <c r="X211" s="16"/>
      <c r="Y211" s="16"/>
      <c r="Z211" s="16"/>
      <c r="AA211" s="16"/>
      <c r="AB211" s="17"/>
      <c r="AC211" s="18"/>
      <c r="AD211" s="48"/>
      <c r="AE211" s="72"/>
      <c r="AF211" s="21"/>
      <c r="AG211" s="73"/>
      <c r="AH211" s="20"/>
      <c r="AI211" s="20"/>
      <c r="AJ211" s="65"/>
      <c r="AK211" s="15"/>
    </row>
    <row r="212" spans="1:37" ht="16.5">
      <c r="A212" s="12"/>
      <c r="B212" s="23"/>
      <c r="C212" s="14"/>
      <c r="D212" s="159"/>
      <c r="E212" s="159"/>
      <c r="F212" s="159"/>
      <c r="G212" s="159"/>
      <c r="H212" s="159"/>
      <c r="I212" s="160"/>
      <c r="J212" s="9"/>
      <c r="K212" s="12"/>
      <c r="L212" s="14"/>
      <c r="M212" s="14"/>
      <c r="N212" s="68"/>
      <c r="O212" s="68"/>
      <c r="P212" s="82"/>
      <c r="Q212" s="9" t="s">
        <v>230</v>
      </c>
      <c r="R212" s="12"/>
      <c r="S212" s="14"/>
      <c r="T212" s="14"/>
      <c r="U212" s="68"/>
      <c r="V212" s="68"/>
      <c r="W212" s="81"/>
      <c r="X212" s="16"/>
      <c r="Y212" s="16"/>
      <c r="Z212" s="16"/>
      <c r="AA212" s="16"/>
      <c r="AB212" s="17"/>
      <c r="AC212" s="18"/>
      <c r="AD212" s="48"/>
      <c r="AE212" s="72"/>
      <c r="AF212" s="21"/>
      <c r="AG212" s="73"/>
      <c r="AH212" s="20"/>
      <c r="AI212" s="20"/>
      <c r="AJ212" s="65"/>
      <c r="AK212" s="15"/>
    </row>
    <row r="213" spans="1:37" ht="16.5">
      <c r="A213" s="12"/>
      <c r="B213" s="23"/>
      <c r="C213" s="14"/>
      <c r="D213" s="159"/>
      <c r="E213" s="159"/>
      <c r="F213" s="159"/>
      <c r="G213" s="159"/>
      <c r="H213" s="159"/>
      <c r="I213" s="160"/>
      <c r="J213" s="9"/>
      <c r="K213" s="12"/>
      <c r="L213" s="14"/>
      <c r="M213" s="14"/>
      <c r="N213" s="68"/>
      <c r="O213" s="68"/>
      <c r="P213" s="82"/>
      <c r="Q213" s="9" t="s">
        <v>230</v>
      </c>
      <c r="R213" s="12"/>
      <c r="S213" s="14"/>
      <c r="T213" s="14"/>
      <c r="U213" s="68"/>
      <c r="V213" s="68"/>
      <c r="W213" s="81"/>
      <c r="X213" s="16"/>
      <c r="Y213" s="16"/>
      <c r="Z213" s="16"/>
      <c r="AA213" s="16"/>
      <c r="AB213" s="17"/>
      <c r="AC213" s="18"/>
      <c r="AD213" s="48"/>
      <c r="AE213" s="72"/>
      <c r="AF213" s="21"/>
      <c r="AG213" s="73"/>
      <c r="AH213" s="20"/>
      <c r="AI213" s="20"/>
      <c r="AJ213" s="65"/>
      <c r="AK213" s="15"/>
    </row>
    <row r="214" spans="1:37" ht="16.5">
      <c r="A214" s="12"/>
      <c r="B214" s="23"/>
      <c r="C214" s="14"/>
      <c r="D214" s="159"/>
      <c r="E214" s="159"/>
      <c r="F214" s="159"/>
      <c r="G214" s="159"/>
      <c r="H214" s="159"/>
      <c r="I214" s="160"/>
      <c r="J214" s="9"/>
      <c r="K214" s="12"/>
      <c r="L214" s="14"/>
      <c r="M214" s="14"/>
      <c r="N214" s="68"/>
      <c r="O214" s="68"/>
      <c r="P214" s="82"/>
      <c r="Q214" s="9" t="s">
        <v>230</v>
      </c>
      <c r="R214" s="12"/>
      <c r="S214" s="14"/>
      <c r="T214" s="14"/>
      <c r="U214" s="68"/>
      <c r="V214" s="68"/>
      <c r="W214" s="81"/>
      <c r="X214" s="16"/>
      <c r="Y214" s="16"/>
      <c r="Z214" s="16"/>
      <c r="AA214" s="16"/>
      <c r="AB214" s="17"/>
      <c r="AC214" s="18"/>
      <c r="AD214" s="48"/>
      <c r="AE214" s="72"/>
      <c r="AF214" s="21"/>
      <c r="AG214" s="73"/>
      <c r="AH214" s="20"/>
      <c r="AI214" s="20"/>
      <c r="AJ214" s="65"/>
      <c r="AK214" s="15"/>
    </row>
    <row r="215" spans="1:37" ht="16.5">
      <c r="A215" s="12"/>
      <c r="B215" s="23"/>
      <c r="C215" s="14"/>
      <c r="D215" s="159"/>
      <c r="E215" s="159"/>
      <c r="F215" s="159"/>
      <c r="G215" s="159"/>
      <c r="H215" s="159"/>
      <c r="I215" s="160"/>
      <c r="J215" s="9"/>
      <c r="K215" s="12"/>
      <c r="L215" s="14"/>
      <c r="M215" s="14"/>
      <c r="N215" s="68"/>
      <c r="O215" s="68"/>
      <c r="P215" s="82"/>
      <c r="Q215" s="9" t="s">
        <v>230</v>
      </c>
      <c r="R215" s="12"/>
      <c r="S215" s="14"/>
      <c r="T215" s="14"/>
      <c r="U215" s="68"/>
      <c r="V215" s="68"/>
      <c r="W215" s="81"/>
      <c r="X215" s="16"/>
      <c r="Y215" s="16"/>
      <c r="Z215" s="16"/>
      <c r="AA215" s="16"/>
      <c r="AB215" s="17"/>
      <c r="AC215" s="18"/>
      <c r="AD215" s="48"/>
      <c r="AE215" s="72"/>
      <c r="AF215" s="21"/>
      <c r="AG215" s="73"/>
      <c r="AH215" s="20"/>
      <c r="AI215" s="20"/>
      <c r="AJ215" s="65"/>
      <c r="AK215" s="15"/>
    </row>
    <row r="216" spans="1:37" ht="16.5">
      <c r="A216" s="12"/>
      <c r="B216" s="23"/>
      <c r="C216" s="14"/>
      <c r="D216" s="159"/>
      <c r="E216" s="159"/>
      <c r="F216" s="159"/>
      <c r="G216" s="159"/>
      <c r="H216" s="159"/>
      <c r="I216" s="160"/>
      <c r="J216" s="9"/>
      <c r="K216" s="12"/>
      <c r="L216" s="14"/>
      <c r="M216" s="14"/>
      <c r="N216" s="68"/>
      <c r="O216" s="68"/>
      <c r="P216" s="82"/>
      <c r="Q216" s="9" t="s">
        <v>230</v>
      </c>
      <c r="R216" s="12"/>
      <c r="S216" s="14"/>
      <c r="T216" s="14"/>
      <c r="U216" s="68"/>
      <c r="V216" s="68"/>
      <c r="W216" s="81"/>
      <c r="X216" s="16"/>
      <c r="Y216" s="16"/>
      <c r="Z216" s="16"/>
      <c r="AA216" s="16"/>
      <c r="AB216" s="17"/>
      <c r="AC216" s="18"/>
      <c r="AD216" s="48"/>
      <c r="AE216" s="72"/>
      <c r="AF216" s="21"/>
      <c r="AG216" s="73"/>
      <c r="AH216" s="20"/>
      <c r="AI216" s="20"/>
      <c r="AJ216" s="65"/>
      <c r="AK216" s="15"/>
    </row>
    <row r="217" spans="1:37" ht="16.5">
      <c r="A217" s="12"/>
      <c r="B217" s="23"/>
      <c r="C217" s="14"/>
      <c r="D217" s="159"/>
      <c r="E217" s="159"/>
      <c r="F217" s="159"/>
      <c r="G217" s="159"/>
      <c r="H217" s="159"/>
      <c r="I217" s="160"/>
      <c r="J217" s="9"/>
      <c r="K217" s="12"/>
      <c r="L217" s="14"/>
      <c r="M217" s="14"/>
      <c r="N217" s="68"/>
      <c r="O217" s="68"/>
      <c r="P217" s="82"/>
      <c r="Q217" s="9" t="s">
        <v>230</v>
      </c>
      <c r="R217" s="12"/>
      <c r="S217" s="14"/>
      <c r="T217" s="14"/>
      <c r="U217" s="68"/>
      <c r="V217" s="68"/>
      <c r="W217" s="81"/>
      <c r="X217" s="16"/>
      <c r="Y217" s="16"/>
      <c r="Z217" s="16"/>
      <c r="AA217" s="16"/>
      <c r="AB217" s="17"/>
      <c r="AC217" s="18"/>
      <c r="AD217" s="48"/>
      <c r="AE217" s="72"/>
      <c r="AF217" s="21"/>
      <c r="AG217" s="73"/>
      <c r="AH217" s="20"/>
      <c r="AI217" s="20"/>
      <c r="AJ217" s="65"/>
      <c r="AK217" s="15"/>
    </row>
    <row r="218" spans="1:37" ht="16.5">
      <c r="A218" s="12"/>
      <c r="B218" s="23"/>
      <c r="C218" s="14"/>
      <c r="D218" s="159"/>
      <c r="E218" s="159"/>
      <c r="F218" s="159"/>
      <c r="G218" s="159"/>
      <c r="H218" s="159"/>
      <c r="I218" s="160"/>
      <c r="J218" s="9"/>
      <c r="K218" s="12"/>
      <c r="L218" s="14"/>
      <c r="M218" s="14"/>
      <c r="N218" s="68"/>
      <c r="O218" s="68"/>
      <c r="P218" s="82"/>
      <c r="Q218" s="9" t="s">
        <v>230</v>
      </c>
      <c r="R218" s="12"/>
      <c r="S218" s="14"/>
      <c r="T218" s="14"/>
      <c r="U218" s="68"/>
      <c r="V218" s="68"/>
      <c r="W218" s="81"/>
      <c r="X218" s="16"/>
      <c r="Y218" s="16"/>
      <c r="Z218" s="16"/>
      <c r="AA218" s="16"/>
      <c r="AB218" s="17"/>
      <c r="AC218" s="18"/>
      <c r="AD218" s="48"/>
      <c r="AE218" s="72"/>
      <c r="AF218" s="21"/>
      <c r="AG218" s="73"/>
      <c r="AH218" s="20"/>
      <c r="AI218" s="20"/>
      <c r="AJ218" s="65"/>
      <c r="AK218" s="15"/>
    </row>
    <row r="219" spans="1:37" ht="16.5">
      <c r="A219" s="12"/>
      <c r="B219" s="23"/>
      <c r="C219" s="14"/>
      <c r="D219" s="159"/>
      <c r="E219" s="159"/>
      <c r="F219" s="159"/>
      <c r="G219" s="159"/>
      <c r="H219" s="159"/>
      <c r="I219" s="160"/>
      <c r="J219" s="9"/>
      <c r="K219" s="12"/>
      <c r="L219" s="14"/>
      <c r="M219" s="14"/>
      <c r="N219" s="68"/>
      <c r="O219" s="68"/>
      <c r="P219" s="82"/>
      <c r="Q219" s="9" t="s">
        <v>230</v>
      </c>
      <c r="R219" s="12"/>
      <c r="S219" s="14"/>
      <c r="T219" s="14"/>
      <c r="U219" s="68"/>
      <c r="V219" s="68"/>
      <c r="W219" s="81"/>
      <c r="X219" s="16"/>
      <c r="Y219" s="16"/>
      <c r="Z219" s="16"/>
      <c r="AA219" s="16"/>
      <c r="AB219" s="17"/>
      <c r="AC219" s="18"/>
      <c r="AD219" s="48"/>
      <c r="AE219" s="72"/>
      <c r="AF219" s="21"/>
      <c r="AG219" s="73"/>
      <c r="AH219" s="20"/>
      <c r="AI219" s="20"/>
      <c r="AJ219" s="65"/>
      <c r="AK219" s="15"/>
    </row>
    <row r="220" spans="1:37" ht="16.5">
      <c r="A220" s="12"/>
      <c r="B220" s="23"/>
      <c r="C220" s="14"/>
      <c r="D220" s="159"/>
      <c r="E220" s="159"/>
      <c r="F220" s="159"/>
      <c r="G220" s="159"/>
      <c r="H220" s="159"/>
      <c r="I220" s="160"/>
      <c r="J220" s="9"/>
      <c r="K220" s="12"/>
      <c r="L220" s="14"/>
      <c r="M220" s="14"/>
      <c r="N220" s="68"/>
      <c r="O220" s="68"/>
      <c r="P220" s="82"/>
      <c r="Q220" s="9" t="s">
        <v>230</v>
      </c>
      <c r="R220" s="12"/>
      <c r="S220" s="14"/>
      <c r="T220" s="14"/>
      <c r="U220" s="68"/>
      <c r="V220" s="68"/>
      <c r="W220" s="81"/>
      <c r="X220" s="16"/>
      <c r="Y220" s="16"/>
      <c r="Z220" s="16"/>
      <c r="AA220" s="16"/>
      <c r="AB220" s="17"/>
      <c r="AC220" s="18"/>
      <c r="AD220" s="48"/>
      <c r="AE220" s="72"/>
      <c r="AF220" s="21"/>
      <c r="AG220" s="73"/>
      <c r="AH220" s="20"/>
      <c r="AI220" s="20"/>
      <c r="AJ220" s="65"/>
      <c r="AK220" s="15"/>
    </row>
    <row r="221" spans="1:37" ht="16.5">
      <c r="A221" s="12"/>
      <c r="B221" s="23"/>
      <c r="C221" s="14"/>
      <c r="D221" s="159"/>
      <c r="E221" s="159"/>
      <c r="F221" s="159"/>
      <c r="G221" s="159"/>
      <c r="H221" s="159"/>
      <c r="I221" s="160"/>
      <c r="J221" s="9"/>
      <c r="K221" s="12"/>
      <c r="L221" s="14"/>
      <c r="M221" s="14"/>
      <c r="N221" s="68"/>
      <c r="O221" s="68"/>
      <c r="P221" s="82"/>
      <c r="Q221" s="9" t="s">
        <v>230</v>
      </c>
      <c r="R221" s="12"/>
      <c r="S221" s="14"/>
      <c r="T221" s="14"/>
      <c r="U221" s="68"/>
      <c r="V221" s="68"/>
      <c r="W221" s="81"/>
      <c r="X221" s="16"/>
      <c r="Y221" s="16"/>
      <c r="Z221" s="16"/>
      <c r="AA221" s="16"/>
      <c r="AB221" s="17"/>
      <c r="AC221" s="18"/>
      <c r="AD221" s="48"/>
      <c r="AE221" s="72"/>
      <c r="AF221" s="21"/>
      <c r="AG221" s="73"/>
      <c r="AH221" s="20"/>
      <c r="AI221" s="20"/>
      <c r="AJ221" s="65"/>
      <c r="AK221" s="15"/>
    </row>
    <row r="222" spans="1:37" ht="16.5">
      <c r="A222" s="12"/>
      <c r="B222" s="23"/>
      <c r="C222" s="14"/>
      <c r="D222" s="159"/>
      <c r="E222" s="159"/>
      <c r="F222" s="159"/>
      <c r="G222" s="159"/>
      <c r="H222" s="159"/>
      <c r="I222" s="160"/>
      <c r="J222" s="9"/>
      <c r="K222" s="12"/>
      <c r="L222" s="14"/>
      <c r="M222" s="14"/>
      <c r="N222" s="68"/>
      <c r="O222" s="68"/>
      <c r="P222" s="82"/>
      <c r="Q222" s="9" t="s">
        <v>230</v>
      </c>
      <c r="R222" s="12"/>
      <c r="S222" s="14"/>
      <c r="T222" s="14"/>
      <c r="U222" s="68"/>
      <c r="V222" s="68"/>
      <c r="W222" s="81"/>
      <c r="X222" s="16"/>
      <c r="Y222" s="16"/>
      <c r="Z222" s="16"/>
      <c r="AA222" s="16"/>
      <c r="AB222" s="17"/>
      <c r="AC222" s="18"/>
      <c r="AD222" s="48"/>
      <c r="AE222" s="72"/>
      <c r="AF222" s="21"/>
      <c r="AG222" s="73"/>
      <c r="AH222" s="20"/>
      <c r="AI222" s="20"/>
      <c r="AJ222" s="65"/>
      <c r="AK222" s="15"/>
    </row>
    <row r="223" spans="1:37" ht="16.5">
      <c r="A223" s="12"/>
      <c r="B223" s="23"/>
      <c r="C223" s="14"/>
      <c r="D223" s="159"/>
      <c r="E223" s="159"/>
      <c r="F223" s="159"/>
      <c r="G223" s="159"/>
      <c r="H223" s="159"/>
      <c r="I223" s="160"/>
      <c r="J223" s="9"/>
      <c r="K223" s="12"/>
      <c r="L223" s="14"/>
      <c r="M223" s="14"/>
      <c r="N223" s="68"/>
      <c r="O223" s="68"/>
      <c r="P223" s="82"/>
      <c r="Q223" s="9" t="s">
        <v>230</v>
      </c>
      <c r="R223" s="12"/>
      <c r="S223" s="14"/>
      <c r="T223" s="14"/>
      <c r="U223" s="68"/>
      <c r="V223" s="68"/>
      <c r="W223" s="81"/>
      <c r="X223" s="16"/>
      <c r="Y223" s="16"/>
      <c r="Z223" s="16"/>
      <c r="AA223" s="16"/>
      <c r="AB223" s="17"/>
      <c r="AC223" s="18"/>
      <c r="AD223" s="48"/>
      <c r="AE223" s="72"/>
      <c r="AF223" s="21"/>
      <c r="AG223" s="73"/>
      <c r="AH223" s="20"/>
      <c r="AI223" s="20"/>
      <c r="AJ223" s="65"/>
      <c r="AK223" s="15"/>
    </row>
    <row r="224" spans="1:37" ht="16.5">
      <c r="A224" s="12"/>
      <c r="B224" s="23"/>
      <c r="C224" s="14"/>
      <c r="D224" s="159"/>
      <c r="E224" s="159"/>
      <c r="F224" s="159"/>
      <c r="G224" s="159"/>
      <c r="H224" s="159"/>
      <c r="I224" s="160"/>
      <c r="J224" s="9"/>
      <c r="K224" s="12"/>
      <c r="L224" s="14"/>
      <c r="M224" s="14"/>
      <c r="N224" s="68"/>
      <c r="O224" s="68"/>
      <c r="P224" s="82"/>
      <c r="Q224" s="9" t="s">
        <v>230</v>
      </c>
      <c r="R224" s="12"/>
      <c r="S224" s="14"/>
      <c r="T224" s="14"/>
      <c r="U224" s="68"/>
      <c r="V224" s="68"/>
      <c r="W224" s="81"/>
      <c r="X224" s="16"/>
      <c r="Y224" s="16"/>
      <c r="Z224" s="16"/>
      <c r="AA224" s="16"/>
      <c r="AB224" s="17"/>
      <c r="AC224" s="18"/>
      <c r="AD224" s="48"/>
      <c r="AE224" s="72"/>
      <c r="AF224" s="21"/>
      <c r="AG224" s="73"/>
      <c r="AH224" s="20"/>
      <c r="AI224" s="20"/>
      <c r="AJ224" s="65"/>
      <c r="AK224" s="15"/>
    </row>
    <row r="225" spans="1:37" ht="16.5">
      <c r="A225" s="12"/>
      <c r="B225" s="23"/>
      <c r="C225" s="14"/>
      <c r="D225" s="159"/>
      <c r="E225" s="159"/>
      <c r="F225" s="159"/>
      <c r="G225" s="159"/>
      <c r="H225" s="159"/>
      <c r="I225" s="160"/>
      <c r="J225" s="9"/>
      <c r="K225" s="12"/>
      <c r="L225" s="14"/>
      <c r="M225" s="14"/>
      <c r="N225" s="68"/>
      <c r="O225" s="68"/>
      <c r="P225" s="82"/>
      <c r="Q225" s="9" t="s">
        <v>230</v>
      </c>
      <c r="R225" s="12"/>
      <c r="S225" s="14"/>
      <c r="T225" s="14"/>
      <c r="U225" s="68"/>
      <c r="V225" s="68"/>
      <c r="W225" s="81"/>
      <c r="X225" s="16"/>
      <c r="Y225" s="16"/>
      <c r="Z225" s="16"/>
      <c r="AA225" s="16"/>
      <c r="AB225" s="17"/>
      <c r="AC225" s="18"/>
      <c r="AD225" s="48"/>
      <c r="AE225" s="72"/>
      <c r="AF225" s="21"/>
      <c r="AG225" s="73"/>
      <c r="AH225" s="20"/>
      <c r="AI225" s="20"/>
      <c r="AJ225" s="65"/>
      <c r="AK225" s="15"/>
    </row>
    <row r="226" spans="1:37" ht="16.5">
      <c r="A226" s="12"/>
      <c r="B226" s="23"/>
      <c r="C226" s="14"/>
      <c r="D226" s="159"/>
      <c r="E226" s="159"/>
      <c r="F226" s="159"/>
      <c r="G226" s="159"/>
      <c r="H226" s="159"/>
      <c r="I226" s="160"/>
      <c r="J226" s="9"/>
      <c r="K226" s="12"/>
      <c r="L226" s="14"/>
      <c r="M226" s="14"/>
      <c r="N226" s="68"/>
      <c r="O226" s="68"/>
      <c r="P226" s="82"/>
      <c r="Q226" s="9" t="s">
        <v>230</v>
      </c>
      <c r="R226" s="12"/>
      <c r="S226" s="14"/>
      <c r="T226" s="14"/>
      <c r="U226" s="68"/>
      <c r="V226" s="68"/>
      <c r="W226" s="81"/>
      <c r="X226" s="16"/>
      <c r="Y226" s="16"/>
      <c r="Z226" s="16"/>
      <c r="AA226" s="16"/>
      <c r="AB226" s="17"/>
      <c r="AC226" s="18"/>
      <c r="AD226" s="48"/>
      <c r="AE226" s="72"/>
      <c r="AF226" s="21"/>
      <c r="AG226" s="73"/>
      <c r="AH226" s="20"/>
      <c r="AI226" s="20"/>
      <c r="AJ226" s="65"/>
      <c r="AK226" s="15"/>
    </row>
    <row r="227" spans="1:37" ht="16.5">
      <c r="A227" s="12"/>
      <c r="B227" s="23"/>
      <c r="C227" s="14"/>
      <c r="D227" s="159"/>
      <c r="E227" s="159"/>
      <c r="F227" s="159"/>
      <c r="G227" s="159"/>
      <c r="H227" s="159"/>
      <c r="I227" s="160"/>
      <c r="J227" s="9"/>
      <c r="K227" s="12"/>
      <c r="L227" s="14"/>
      <c r="M227" s="14"/>
      <c r="N227" s="68"/>
      <c r="O227" s="68"/>
      <c r="P227" s="82"/>
      <c r="Q227" s="9" t="s">
        <v>230</v>
      </c>
      <c r="R227" s="12"/>
      <c r="S227" s="14"/>
      <c r="T227" s="14"/>
      <c r="U227" s="68"/>
      <c r="V227" s="68"/>
      <c r="W227" s="81"/>
      <c r="X227" s="16"/>
      <c r="Y227" s="16"/>
      <c r="Z227" s="16"/>
      <c r="AA227" s="16"/>
      <c r="AB227" s="17"/>
      <c r="AC227" s="18"/>
      <c r="AD227" s="48"/>
      <c r="AE227" s="72"/>
      <c r="AF227" s="21"/>
      <c r="AG227" s="73"/>
      <c r="AH227" s="20"/>
      <c r="AI227" s="20"/>
      <c r="AJ227" s="65"/>
      <c r="AK227" s="15"/>
    </row>
    <row r="228" spans="1:37" ht="16.5">
      <c r="A228" s="12"/>
      <c r="B228" s="23"/>
      <c r="C228" s="14"/>
      <c r="D228" s="159"/>
      <c r="E228" s="159"/>
      <c r="F228" s="159"/>
      <c r="G228" s="159"/>
      <c r="H228" s="159"/>
      <c r="I228" s="160"/>
      <c r="J228" s="9"/>
      <c r="K228" s="12"/>
      <c r="L228" s="14"/>
      <c r="M228" s="14"/>
      <c r="N228" s="68"/>
      <c r="O228" s="68"/>
      <c r="P228" s="82"/>
      <c r="Q228" s="9" t="s">
        <v>230</v>
      </c>
      <c r="R228" s="12"/>
      <c r="S228" s="14"/>
      <c r="T228" s="14"/>
      <c r="U228" s="68"/>
      <c r="V228" s="68"/>
      <c r="W228" s="81"/>
      <c r="X228" s="16"/>
      <c r="Y228" s="16"/>
      <c r="Z228" s="16"/>
      <c r="AA228" s="16"/>
      <c r="AB228" s="17"/>
      <c r="AC228" s="18"/>
      <c r="AD228" s="48"/>
      <c r="AE228" s="72"/>
      <c r="AF228" s="21"/>
      <c r="AG228" s="73"/>
      <c r="AH228" s="20"/>
      <c r="AI228" s="20"/>
      <c r="AJ228" s="65"/>
      <c r="AK228" s="15"/>
    </row>
    <row r="229" spans="1:37" ht="16.5">
      <c r="A229" s="12"/>
      <c r="B229" s="23"/>
      <c r="C229" s="14"/>
      <c r="D229" s="159"/>
      <c r="E229" s="159"/>
      <c r="F229" s="159"/>
      <c r="G229" s="159"/>
      <c r="H229" s="159"/>
      <c r="I229" s="160"/>
      <c r="J229" s="9"/>
      <c r="K229" s="12"/>
      <c r="L229" s="14"/>
      <c r="M229" s="14"/>
      <c r="N229" s="68"/>
      <c r="O229" s="68"/>
      <c r="P229" s="82"/>
      <c r="Q229" s="9" t="s">
        <v>230</v>
      </c>
      <c r="R229" s="12"/>
      <c r="S229" s="14"/>
      <c r="T229" s="14"/>
      <c r="U229" s="68"/>
      <c r="V229" s="68"/>
      <c r="W229" s="81"/>
      <c r="X229" s="16"/>
      <c r="Y229" s="16"/>
      <c r="Z229" s="16"/>
      <c r="AA229" s="16"/>
      <c r="AB229" s="17"/>
      <c r="AC229" s="18"/>
      <c r="AD229" s="48"/>
      <c r="AE229" s="72"/>
      <c r="AF229" s="21"/>
      <c r="AG229" s="73"/>
      <c r="AH229" s="20"/>
      <c r="AI229" s="20"/>
      <c r="AJ229" s="65"/>
      <c r="AK229" s="15"/>
    </row>
    <row r="230" spans="1:37" ht="16.5">
      <c r="A230" s="12"/>
      <c r="B230" s="23"/>
      <c r="C230" s="14"/>
      <c r="D230" s="159"/>
      <c r="E230" s="159"/>
      <c r="F230" s="159"/>
      <c r="G230" s="159"/>
      <c r="H230" s="159"/>
      <c r="I230" s="160"/>
      <c r="J230" s="9"/>
      <c r="K230" s="12"/>
      <c r="L230" s="14"/>
      <c r="M230" s="14"/>
      <c r="N230" s="68"/>
      <c r="O230" s="68"/>
      <c r="P230" s="82"/>
      <c r="Q230" s="9" t="s">
        <v>230</v>
      </c>
      <c r="R230" s="12"/>
      <c r="S230" s="14"/>
      <c r="T230" s="14"/>
      <c r="U230" s="68"/>
      <c r="V230" s="68"/>
      <c r="W230" s="81"/>
      <c r="X230" s="16"/>
      <c r="Y230" s="16"/>
      <c r="Z230" s="16"/>
      <c r="AA230" s="16"/>
      <c r="AB230" s="17"/>
      <c r="AC230" s="18"/>
      <c r="AD230" s="48"/>
      <c r="AE230" s="72"/>
      <c r="AF230" s="21"/>
      <c r="AG230" s="73"/>
      <c r="AH230" s="20"/>
      <c r="AI230" s="20"/>
      <c r="AJ230" s="65"/>
      <c r="AK230" s="15"/>
    </row>
    <row r="231" spans="1:37" ht="16.5">
      <c r="A231" s="12"/>
      <c r="B231" s="23"/>
      <c r="C231" s="14"/>
      <c r="D231" s="159"/>
      <c r="E231" s="159"/>
      <c r="F231" s="159"/>
      <c r="G231" s="159"/>
      <c r="H231" s="159"/>
      <c r="I231" s="160"/>
      <c r="J231" s="9"/>
      <c r="K231" s="12"/>
      <c r="L231" s="14"/>
      <c r="M231" s="14"/>
      <c r="N231" s="68"/>
      <c r="O231" s="68"/>
      <c r="P231" s="82"/>
      <c r="Q231" s="9" t="s">
        <v>230</v>
      </c>
      <c r="R231" s="12"/>
      <c r="S231" s="14"/>
      <c r="T231" s="14"/>
      <c r="U231" s="68"/>
      <c r="V231" s="68"/>
      <c r="W231" s="81"/>
      <c r="X231" s="16"/>
      <c r="Y231" s="16"/>
      <c r="Z231" s="16"/>
      <c r="AA231" s="16"/>
      <c r="AB231" s="17"/>
      <c r="AC231" s="18"/>
      <c r="AD231" s="48"/>
      <c r="AE231" s="72"/>
      <c r="AF231" s="21"/>
      <c r="AG231" s="73"/>
      <c r="AH231" s="20"/>
      <c r="AI231" s="20"/>
      <c r="AJ231" s="65"/>
      <c r="AK231" s="15"/>
    </row>
    <row r="232" spans="1:37" ht="16.5">
      <c r="A232" s="12"/>
      <c r="B232" s="23"/>
      <c r="C232" s="14"/>
      <c r="D232" s="159"/>
      <c r="E232" s="159"/>
      <c r="F232" s="159"/>
      <c r="G232" s="159"/>
      <c r="H232" s="159"/>
      <c r="I232" s="160"/>
      <c r="J232" s="9"/>
      <c r="K232" s="12"/>
      <c r="L232" s="14"/>
      <c r="M232" s="14"/>
      <c r="N232" s="68"/>
      <c r="O232" s="68"/>
      <c r="P232" s="82"/>
      <c r="Q232" s="9" t="s">
        <v>230</v>
      </c>
      <c r="R232" s="12"/>
      <c r="S232" s="14"/>
      <c r="T232" s="14"/>
      <c r="U232" s="68"/>
      <c r="V232" s="68"/>
      <c r="W232" s="81"/>
      <c r="X232" s="16"/>
      <c r="Y232" s="16"/>
      <c r="Z232" s="16"/>
      <c r="AA232" s="16"/>
      <c r="AB232" s="17"/>
      <c r="AC232" s="18"/>
      <c r="AD232" s="48"/>
      <c r="AE232" s="72"/>
      <c r="AF232" s="21"/>
      <c r="AG232" s="73"/>
      <c r="AH232" s="20"/>
      <c r="AI232" s="20"/>
      <c r="AJ232" s="65"/>
      <c r="AK232" s="15"/>
    </row>
    <row r="233" spans="1:37" ht="16.5">
      <c r="A233" s="12"/>
      <c r="B233" s="23"/>
      <c r="C233" s="14"/>
      <c r="D233" s="159"/>
      <c r="E233" s="159"/>
      <c r="F233" s="159"/>
      <c r="G233" s="159"/>
      <c r="H233" s="159"/>
      <c r="I233" s="160"/>
      <c r="J233" s="9"/>
      <c r="K233" s="12"/>
      <c r="L233" s="14"/>
      <c r="M233" s="14"/>
      <c r="N233" s="68"/>
      <c r="O233" s="68"/>
      <c r="P233" s="82"/>
      <c r="Q233" s="9" t="s">
        <v>230</v>
      </c>
      <c r="R233" s="12"/>
      <c r="S233" s="14"/>
      <c r="T233" s="14"/>
      <c r="U233" s="68"/>
      <c r="V233" s="68"/>
      <c r="W233" s="81"/>
      <c r="X233" s="16"/>
      <c r="Y233" s="16"/>
      <c r="Z233" s="16"/>
      <c r="AA233" s="16"/>
      <c r="AB233" s="17"/>
      <c r="AC233" s="18"/>
      <c r="AD233" s="48"/>
      <c r="AE233" s="72"/>
      <c r="AF233" s="21"/>
      <c r="AG233" s="73"/>
      <c r="AH233" s="20"/>
      <c r="AI233" s="20"/>
      <c r="AJ233" s="65"/>
      <c r="AK233" s="15"/>
    </row>
    <row r="234" spans="1:37" ht="16.5">
      <c r="A234" s="12"/>
      <c r="B234" s="23"/>
      <c r="C234" s="14"/>
      <c r="D234" s="159"/>
      <c r="E234" s="159"/>
      <c r="F234" s="159"/>
      <c r="G234" s="159"/>
      <c r="H234" s="159"/>
      <c r="I234" s="160"/>
      <c r="J234" s="9"/>
      <c r="K234" s="12"/>
      <c r="L234" s="14"/>
      <c r="M234" s="14"/>
      <c r="N234" s="68"/>
      <c r="O234" s="68"/>
      <c r="P234" s="82"/>
      <c r="Q234" s="9" t="s">
        <v>230</v>
      </c>
      <c r="R234" s="12"/>
      <c r="S234" s="14"/>
      <c r="T234" s="14"/>
      <c r="U234" s="68"/>
      <c r="V234" s="68"/>
      <c r="W234" s="81"/>
      <c r="X234" s="16"/>
      <c r="Y234" s="16"/>
      <c r="Z234" s="16"/>
      <c r="AA234" s="16"/>
      <c r="AB234" s="17"/>
      <c r="AC234" s="18"/>
      <c r="AD234" s="48"/>
      <c r="AE234" s="72"/>
      <c r="AF234" s="21"/>
      <c r="AG234" s="73"/>
      <c r="AH234" s="20"/>
      <c r="AI234" s="20"/>
      <c r="AJ234" s="65"/>
      <c r="AK234" s="15"/>
    </row>
    <row r="235" spans="1:37" ht="16.5">
      <c r="A235" s="12"/>
      <c r="B235" s="23"/>
      <c r="C235" s="14"/>
      <c r="D235" s="159"/>
      <c r="E235" s="159"/>
      <c r="F235" s="159"/>
      <c r="G235" s="159"/>
      <c r="H235" s="159"/>
      <c r="I235" s="160"/>
      <c r="J235" s="9"/>
      <c r="K235" s="12"/>
      <c r="L235" s="14"/>
      <c r="M235" s="14"/>
      <c r="N235" s="68"/>
      <c r="O235" s="68"/>
      <c r="P235" s="82"/>
      <c r="Q235" s="9" t="s">
        <v>230</v>
      </c>
      <c r="R235" s="12"/>
      <c r="S235" s="14"/>
      <c r="T235" s="14"/>
      <c r="U235" s="68"/>
      <c r="V235" s="68"/>
      <c r="W235" s="81"/>
      <c r="X235" s="16"/>
      <c r="Y235" s="16"/>
      <c r="Z235" s="16"/>
      <c r="AA235" s="16"/>
      <c r="AB235" s="17"/>
      <c r="AC235" s="18"/>
      <c r="AD235" s="48"/>
      <c r="AE235" s="72"/>
      <c r="AF235" s="21"/>
      <c r="AG235" s="73"/>
      <c r="AH235" s="20"/>
      <c r="AI235" s="20"/>
      <c r="AJ235" s="65"/>
      <c r="AK235" s="15"/>
    </row>
    <row r="236" spans="1:37" ht="16.5">
      <c r="A236" s="12"/>
      <c r="B236" s="23"/>
      <c r="C236" s="14"/>
      <c r="D236" s="159"/>
      <c r="E236" s="159"/>
      <c r="F236" s="159"/>
      <c r="G236" s="159"/>
      <c r="H236" s="159"/>
      <c r="I236" s="160"/>
      <c r="J236" s="9"/>
      <c r="K236" s="12"/>
      <c r="L236" s="14"/>
      <c r="M236" s="14"/>
      <c r="N236" s="68"/>
      <c r="O236" s="68"/>
      <c r="P236" s="82"/>
      <c r="Q236" s="9" t="s">
        <v>230</v>
      </c>
      <c r="R236" s="12"/>
      <c r="S236" s="14"/>
      <c r="T236" s="14"/>
      <c r="U236" s="68"/>
      <c r="V236" s="68"/>
      <c r="W236" s="81"/>
      <c r="X236" s="16"/>
      <c r="Y236" s="16"/>
      <c r="Z236" s="16"/>
      <c r="AA236" s="16"/>
      <c r="AB236" s="17"/>
      <c r="AC236" s="18"/>
      <c r="AD236" s="48"/>
      <c r="AE236" s="72"/>
      <c r="AF236" s="21"/>
      <c r="AG236" s="73"/>
      <c r="AH236" s="20"/>
      <c r="AI236" s="20"/>
      <c r="AJ236" s="65"/>
      <c r="AK236" s="15"/>
    </row>
    <row r="237" spans="1:37" ht="16.5">
      <c r="A237" s="12"/>
      <c r="B237" s="23"/>
      <c r="C237" s="14"/>
      <c r="D237" s="159"/>
      <c r="E237" s="159"/>
      <c r="F237" s="159"/>
      <c r="G237" s="159"/>
      <c r="H237" s="159"/>
      <c r="I237" s="160"/>
      <c r="J237" s="9"/>
      <c r="K237" s="12"/>
      <c r="L237" s="14"/>
      <c r="M237" s="14"/>
      <c r="N237" s="68"/>
      <c r="O237" s="68"/>
      <c r="P237" s="82"/>
      <c r="Q237" s="9" t="s">
        <v>230</v>
      </c>
      <c r="R237" s="12"/>
      <c r="S237" s="14"/>
      <c r="T237" s="14"/>
      <c r="U237" s="68"/>
      <c r="V237" s="68"/>
      <c r="W237" s="81"/>
      <c r="X237" s="16"/>
      <c r="Y237" s="16"/>
      <c r="Z237" s="16"/>
      <c r="AA237" s="16"/>
      <c r="AB237" s="17"/>
      <c r="AC237" s="18"/>
      <c r="AD237" s="48"/>
      <c r="AE237" s="72"/>
      <c r="AF237" s="21"/>
      <c r="AG237" s="73"/>
      <c r="AH237" s="20"/>
      <c r="AI237" s="20"/>
      <c r="AJ237" s="65"/>
      <c r="AK237" s="15"/>
    </row>
    <row r="238" spans="1:37" ht="16.5">
      <c r="A238" s="12"/>
      <c r="B238" s="23"/>
      <c r="C238" s="14"/>
      <c r="D238" s="159"/>
      <c r="E238" s="159"/>
      <c r="F238" s="159"/>
      <c r="G238" s="159"/>
      <c r="H238" s="159"/>
      <c r="I238" s="160"/>
      <c r="J238" s="9"/>
      <c r="K238" s="12"/>
      <c r="L238" s="14"/>
      <c r="M238" s="14"/>
      <c r="N238" s="68"/>
      <c r="O238" s="68"/>
      <c r="P238" s="82"/>
      <c r="Q238" s="9" t="s">
        <v>230</v>
      </c>
      <c r="R238" s="12"/>
      <c r="S238" s="14"/>
      <c r="T238" s="14"/>
      <c r="U238" s="68"/>
      <c r="V238" s="68"/>
      <c r="W238" s="81"/>
      <c r="X238" s="16"/>
      <c r="Y238" s="16"/>
      <c r="Z238" s="16"/>
      <c r="AA238" s="16"/>
      <c r="AB238" s="17"/>
      <c r="AC238" s="18"/>
      <c r="AD238" s="48"/>
      <c r="AE238" s="72"/>
      <c r="AF238" s="21"/>
      <c r="AG238" s="73"/>
      <c r="AH238" s="20"/>
      <c r="AI238" s="20"/>
      <c r="AJ238" s="65"/>
      <c r="AK238" s="15"/>
    </row>
    <row r="239" spans="1:37" ht="16.5">
      <c r="A239" s="12"/>
      <c r="B239" s="23"/>
      <c r="C239" s="14"/>
      <c r="D239" s="159"/>
      <c r="E239" s="159"/>
      <c r="F239" s="159"/>
      <c r="G239" s="159"/>
      <c r="H239" s="159"/>
      <c r="I239" s="160"/>
      <c r="J239" s="9"/>
      <c r="K239" s="12"/>
      <c r="L239" s="14"/>
      <c r="M239" s="14"/>
      <c r="N239" s="68"/>
      <c r="O239" s="68"/>
      <c r="P239" s="82"/>
      <c r="Q239" s="9" t="s">
        <v>230</v>
      </c>
      <c r="R239" s="12"/>
      <c r="S239" s="14"/>
      <c r="T239" s="14"/>
      <c r="U239" s="68"/>
      <c r="V239" s="68"/>
      <c r="W239" s="81"/>
      <c r="X239" s="16"/>
      <c r="Y239" s="16"/>
      <c r="Z239" s="16"/>
      <c r="AA239" s="16"/>
      <c r="AB239" s="17"/>
      <c r="AC239" s="18"/>
      <c r="AD239" s="48"/>
      <c r="AE239" s="72"/>
      <c r="AF239" s="21"/>
      <c r="AG239" s="73"/>
      <c r="AH239" s="20"/>
      <c r="AI239" s="20"/>
      <c r="AJ239" s="65"/>
      <c r="AK239" s="15"/>
    </row>
    <row r="240" spans="1:37" ht="16.5">
      <c r="A240" s="12"/>
      <c r="B240" s="23"/>
      <c r="C240" s="14"/>
      <c r="D240" s="159"/>
      <c r="E240" s="159"/>
      <c r="F240" s="159"/>
      <c r="G240" s="159"/>
      <c r="H240" s="159"/>
      <c r="I240" s="160"/>
      <c r="J240" s="9"/>
      <c r="K240" s="12"/>
      <c r="L240" s="14"/>
      <c r="M240" s="14"/>
      <c r="N240" s="68"/>
      <c r="O240" s="68"/>
      <c r="P240" s="82"/>
      <c r="Q240" s="9" t="s">
        <v>230</v>
      </c>
      <c r="R240" s="12"/>
      <c r="S240" s="14"/>
      <c r="T240" s="14"/>
      <c r="U240" s="68"/>
      <c r="V240" s="68"/>
      <c r="W240" s="81"/>
      <c r="X240" s="16"/>
      <c r="Y240" s="16"/>
      <c r="Z240" s="16"/>
      <c r="AA240" s="16"/>
      <c r="AB240" s="17"/>
      <c r="AC240" s="18"/>
      <c r="AD240" s="48"/>
      <c r="AE240" s="72"/>
      <c r="AF240" s="21"/>
      <c r="AG240" s="73"/>
      <c r="AH240" s="20"/>
      <c r="AI240" s="20"/>
      <c r="AJ240" s="65"/>
      <c r="AK240" s="15"/>
    </row>
    <row r="241" spans="1:37" ht="16.5">
      <c r="A241" s="12"/>
      <c r="B241" s="23"/>
      <c r="C241" s="14"/>
      <c r="D241" s="159"/>
      <c r="E241" s="159"/>
      <c r="F241" s="159"/>
      <c r="G241" s="159"/>
      <c r="H241" s="159"/>
      <c r="I241" s="160"/>
      <c r="J241" s="9"/>
      <c r="K241" s="12"/>
      <c r="L241" s="14"/>
      <c r="M241" s="14"/>
      <c r="N241" s="68"/>
      <c r="O241" s="68"/>
      <c r="P241" s="82"/>
      <c r="Q241" s="9" t="s">
        <v>230</v>
      </c>
      <c r="R241" s="12"/>
      <c r="S241" s="14"/>
      <c r="T241" s="14"/>
      <c r="U241" s="68"/>
      <c r="V241" s="68"/>
      <c r="W241" s="81"/>
      <c r="X241" s="16"/>
      <c r="Y241" s="16"/>
      <c r="Z241" s="16"/>
      <c r="AA241" s="16"/>
      <c r="AB241" s="17"/>
      <c r="AC241" s="18"/>
      <c r="AD241" s="48"/>
      <c r="AE241" s="72"/>
      <c r="AF241" s="21"/>
      <c r="AG241" s="73"/>
      <c r="AH241" s="20"/>
      <c r="AI241" s="20"/>
      <c r="AJ241" s="65"/>
      <c r="AK241" s="15"/>
    </row>
    <row r="242" spans="1:37" ht="16.5">
      <c r="A242" s="12"/>
      <c r="B242" s="23"/>
      <c r="C242" s="14"/>
      <c r="D242" s="159"/>
      <c r="E242" s="159"/>
      <c r="F242" s="159"/>
      <c r="G242" s="159"/>
      <c r="H242" s="159"/>
      <c r="I242" s="160"/>
      <c r="J242" s="9"/>
      <c r="K242" s="12"/>
      <c r="L242" s="14"/>
      <c r="M242" s="14"/>
      <c r="N242" s="68"/>
      <c r="O242" s="68"/>
      <c r="P242" s="82"/>
      <c r="Q242" s="9" t="s">
        <v>230</v>
      </c>
      <c r="R242" s="12"/>
      <c r="S242" s="14"/>
      <c r="T242" s="14"/>
      <c r="U242" s="68"/>
      <c r="V242" s="68"/>
      <c r="W242" s="81"/>
      <c r="X242" s="16"/>
      <c r="Y242" s="16"/>
      <c r="Z242" s="16"/>
      <c r="AA242" s="16"/>
      <c r="AB242" s="17"/>
      <c r="AC242" s="18"/>
      <c r="AD242" s="48"/>
      <c r="AE242" s="72"/>
      <c r="AF242" s="21"/>
      <c r="AG242" s="73"/>
      <c r="AH242" s="20"/>
      <c r="AI242" s="20"/>
      <c r="AJ242" s="65"/>
      <c r="AK242" s="15"/>
    </row>
    <row r="243" spans="1:37" ht="16.5">
      <c r="A243" s="12"/>
      <c r="B243" s="23"/>
      <c r="C243" s="14"/>
      <c r="D243" s="159"/>
      <c r="E243" s="159"/>
      <c r="F243" s="159"/>
      <c r="G243" s="159"/>
      <c r="H243" s="159"/>
      <c r="I243" s="160"/>
      <c r="J243" s="9"/>
      <c r="K243" s="12"/>
      <c r="L243" s="14"/>
      <c r="M243" s="14"/>
      <c r="N243" s="68"/>
      <c r="O243" s="68"/>
      <c r="P243" s="82"/>
      <c r="Q243" s="9" t="s">
        <v>230</v>
      </c>
      <c r="R243" s="12"/>
      <c r="S243" s="14"/>
      <c r="T243" s="14"/>
      <c r="U243" s="68"/>
      <c r="V243" s="68"/>
      <c r="W243" s="81"/>
      <c r="X243" s="16"/>
      <c r="Y243" s="16"/>
      <c r="Z243" s="16"/>
      <c r="AA243" s="16"/>
      <c r="AB243" s="17"/>
      <c r="AC243" s="18"/>
      <c r="AD243" s="48"/>
      <c r="AE243" s="72"/>
      <c r="AF243" s="21"/>
      <c r="AG243" s="73"/>
      <c r="AH243" s="20"/>
      <c r="AI243" s="20"/>
      <c r="AJ243" s="65"/>
      <c r="AK243" s="15"/>
    </row>
    <row r="244" spans="1:37" ht="16.5">
      <c r="A244" s="12"/>
      <c r="B244" s="23"/>
      <c r="C244" s="14"/>
      <c r="D244" s="159"/>
      <c r="E244" s="159"/>
      <c r="F244" s="159"/>
      <c r="G244" s="159"/>
      <c r="H244" s="159"/>
      <c r="I244" s="160"/>
      <c r="J244" s="9"/>
      <c r="K244" s="12"/>
      <c r="L244" s="14"/>
      <c r="M244" s="14"/>
      <c r="N244" s="68"/>
      <c r="O244" s="68"/>
      <c r="P244" s="82"/>
      <c r="Q244" s="9" t="s">
        <v>230</v>
      </c>
      <c r="R244" s="12"/>
      <c r="S244" s="14"/>
      <c r="T244" s="14"/>
      <c r="U244" s="68"/>
      <c r="V244" s="68"/>
      <c r="W244" s="81"/>
      <c r="X244" s="16"/>
      <c r="Y244" s="16"/>
      <c r="Z244" s="16"/>
      <c r="AA244" s="16"/>
      <c r="AB244" s="17"/>
      <c r="AC244" s="18"/>
      <c r="AD244" s="48"/>
      <c r="AE244" s="72"/>
      <c r="AF244" s="21"/>
      <c r="AG244" s="73"/>
      <c r="AH244" s="20"/>
      <c r="AI244" s="20"/>
      <c r="AJ244" s="65"/>
      <c r="AK244" s="15"/>
    </row>
    <row r="245" spans="1:37" ht="16.5">
      <c r="A245" s="12"/>
      <c r="B245" s="23"/>
      <c r="C245" s="14"/>
      <c r="D245" s="159"/>
      <c r="E245" s="159"/>
      <c r="F245" s="159"/>
      <c r="G245" s="159"/>
      <c r="H245" s="159"/>
      <c r="I245" s="160"/>
      <c r="J245" s="9"/>
      <c r="K245" s="12"/>
      <c r="L245" s="14"/>
      <c r="M245" s="14"/>
      <c r="N245" s="68"/>
      <c r="O245" s="68"/>
      <c r="P245" s="82"/>
      <c r="Q245" s="9" t="s">
        <v>230</v>
      </c>
      <c r="R245" s="12"/>
      <c r="S245" s="14"/>
      <c r="T245" s="14"/>
      <c r="U245" s="68"/>
      <c r="V245" s="68"/>
      <c r="W245" s="81"/>
      <c r="X245" s="16"/>
      <c r="Y245" s="16"/>
      <c r="Z245" s="16"/>
      <c r="AA245" s="16"/>
      <c r="AB245" s="17"/>
      <c r="AC245" s="18"/>
      <c r="AD245" s="48"/>
      <c r="AE245" s="72"/>
      <c r="AF245" s="21"/>
      <c r="AG245" s="73"/>
      <c r="AH245" s="20"/>
      <c r="AI245" s="20"/>
      <c r="AJ245" s="65"/>
      <c r="AK245" s="15"/>
    </row>
    <row r="246" spans="1:37" ht="16.5">
      <c r="A246" s="12"/>
      <c r="B246" s="23"/>
      <c r="C246" s="14"/>
      <c r="D246" s="159"/>
      <c r="E246" s="159"/>
      <c r="F246" s="159"/>
      <c r="G246" s="159"/>
      <c r="H246" s="159"/>
      <c r="I246" s="160"/>
      <c r="J246" s="9"/>
      <c r="K246" s="12"/>
      <c r="L246" s="14"/>
      <c r="M246" s="14"/>
      <c r="N246" s="68"/>
      <c r="O246" s="68"/>
      <c r="P246" s="82"/>
      <c r="Q246" s="9" t="s">
        <v>230</v>
      </c>
      <c r="R246" s="12"/>
      <c r="S246" s="14"/>
      <c r="T246" s="14"/>
      <c r="U246" s="68"/>
      <c r="V246" s="68"/>
      <c r="W246" s="81"/>
      <c r="X246" s="16"/>
      <c r="Y246" s="16"/>
      <c r="Z246" s="16"/>
      <c r="AA246" s="16"/>
      <c r="AB246" s="17"/>
      <c r="AC246" s="18"/>
      <c r="AD246" s="48"/>
      <c r="AE246" s="72"/>
      <c r="AF246" s="21"/>
      <c r="AG246" s="73"/>
      <c r="AH246" s="20"/>
      <c r="AI246" s="20"/>
      <c r="AJ246" s="65"/>
      <c r="AK246" s="15"/>
    </row>
    <row r="247" spans="1:37" ht="16.5">
      <c r="A247" s="12"/>
      <c r="B247" s="23"/>
      <c r="C247" s="14"/>
      <c r="D247" s="159"/>
      <c r="E247" s="159"/>
      <c r="F247" s="159"/>
      <c r="G247" s="159"/>
      <c r="H247" s="159"/>
      <c r="I247" s="160"/>
      <c r="J247" s="9"/>
      <c r="K247" s="12"/>
      <c r="L247" s="14"/>
      <c r="M247" s="14"/>
      <c r="N247" s="68"/>
      <c r="O247" s="68"/>
      <c r="P247" s="82"/>
      <c r="Q247" s="9" t="s">
        <v>230</v>
      </c>
      <c r="R247" s="12"/>
      <c r="S247" s="14"/>
      <c r="T247" s="14"/>
      <c r="U247" s="68"/>
      <c r="V247" s="68"/>
      <c r="W247" s="81"/>
      <c r="X247" s="16"/>
      <c r="Y247" s="16"/>
      <c r="Z247" s="16"/>
      <c r="AA247" s="16"/>
      <c r="AB247" s="17"/>
      <c r="AC247" s="18"/>
      <c r="AD247" s="48"/>
      <c r="AE247" s="72"/>
      <c r="AF247" s="21"/>
      <c r="AG247" s="73"/>
      <c r="AH247" s="20"/>
      <c r="AI247" s="20"/>
      <c r="AJ247" s="65"/>
      <c r="AK247" s="15"/>
    </row>
    <row r="248" spans="1:37" ht="16.5">
      <c r="A248" s="12"/>
      <c r="B248" s="23"/>
      <c r="C248" s="14"/>
      <c r="D248" s="159"/>
      <c r="E248" s="159"/>
      <c r="F248" s="159"/>
      <c r="G248" s="159"/>
      <c r="H248" s="159"/>
      <c r="I248" s="160"/>
      <c r="J248" s="9"/>
      <c r="K248" s="12"/>
      <c r="L248" s="14"/>
      <c r="M248" s="14"/>
      <c r="N248" s="68"/>
      <c r="O248" s="68"/>
      <c r="P248" s="82"/>
      <c r="Q248" s="9" t="s">
        <v>230</v>
      </c>
      <c r="R248" s="12"/>
      <c r="S248" s="14"/>
      <c r="T248" s="14"/>
      <c r="U248" s="68"/>
      <c r="V248" s="68"/>
      <c r="W248" s="81"/>
      <c r="X248" s="16"/>
      <c r="Y248" s="16"/>
      <c r="Z248" s="16"/>
      <c r="AA248" s="16"/>
      <c r="AB248" s="17"/>
      <c r="AC248" s="18"/>
      <c r="AD248" s="48"/>
      <c r="AE248" s="72"/>
      <c r="AF248" s="21"/>
      <c r="AG248" s="73"/>
      <c r="AH248" s="20"/>
      <c r="AI248" s="20"/>
      <c r="AJ248" s="65"/>
      <c r="AK248" s="15"/>
    </row>
    <row r="249" spans="1:37" ht="16.5">
      <c r="A249" s="12"/>
      <c r="B249" s="23"/>
      <c r="C249" s="14"/>
      <c r="D249" s="159"/>
      <c r="E249" s="159"/>
      <c r="F249" s="159"/>
      <c r="G249" s="159"/>
      <c r="H249" s="159"/>
      <c r="I249" s="160"/>
      <c r="J249" s="9"/>
      <c r="K249" s="12"/>
      <c r="L249" s="14"/>
      <c r="M249" s="14"/>
      <c r="N249" s="68"/>
      <c r="O249" s="68"/>
      <c r="P249" s="82"/>
      <c r="Q249" s="9" t="s">
        <v>230</v>
      </c>
      <c r="R249" s="12"/>
      <c r="S249" s="14"/>
      <c r="T249" s="14"/>
      <c r="U249" s="68"/>
      <c r="V249" s="68"/>
      <c r="W249" s="81"/>
      <c r="X249" s="16"/>
      <c r="Y249" s="16"/>
      <c r="Z249" s="16"/>
      <c r="AA249" s="16"/>
      <c r="AB249" s="17"/>
      <c r="AC249" s="18"/>
      <c r="AD249" s="48"/>
      <c r="AE249" s="72"/>
      <c r="AF249" s="21"/>
      <c r="AG249" s="73"/>
      <c r="AH249" s="20"/>
      <c r="AI249" s="20"/>
      <c r="AJ249" s="65"/>
      <c r="AK249" s="15"/>
    </row>
    <row r="250" spans="1:37" ht="16.5">
      <c r="A250" s="12"/>
      <c r="B250" s="23"/>
      <c r="C250" s="14"/>
      <c r="D250" s="159"/>
      <c r="E250" s="159"/>
      <c r="F250" s="159"/>
      <c r="G250" s="159"/>
      <c r="H250" s="159"/>
      <c r="I250" s="160"/>
      <c r="J250" s="9"/>
      <c r="K250" s="12"/>
      <c r="L250" s="14"/>
      <c r="M250" s="14"/>
      <c r="N250" s="68"/>
      <c r="O250" s="68"/>
      <c r="P250" s="82"/>
      <c r="Q250" s="9" t="s">
        <v>230</v>
      </c>
      <c r="R250" s="12"/>
      <c r="S250" s="14"/>
      <c r="T250" s="14"/>
      <c r="U250" s="68"/>
      <c r="V250" s="68"/>
      <c r="W250" s="81"/>
      <c r="X250" s="16"/>
      <c r="Y250" s="16"/>
      <c r="Z250" s="16"/>
      <c r="AA250" s="16"/>
      <c r="AB250" s="17"/>
      <c r="AC250" s="18"/>
      <c r="AD250" s="48"/>
      <c r="AE250" s="72"/>
      <c r="AF250" s="21"/>
      <c r="AG250" s="73"/>
      <c r="AH250" s="20"/>
      <c r="AI250" s="20"/>
      <c r="AJ250" s="65"/>
      <c r="AK250" s="15"/>
    </row>
    <row r="251" spans="1:37" ht="16.5">
      <c r="A251" s="12"/>
      <c r="B251" s="23"/>
      <c r="C251" s="14"/>
      <c r="D251" s="159"/>
      <c r="E251" s="159"/>
      <c r="F251" s="159"/>
      <c r="G251" s="159"/>
      <c r="H251" s="159"/>
      <c r="I251" s="160"/>
      <c r="J251" s="9"/>
      <c r="K251" s="12"/>
      <c r="L251" s="14"/>
      <c r="M251" s="14"/>
      <c r="N251" s="68"/>
      <c r="O251" s="68"/>
      <c r="P251" s="82"/>
      <c r="Q251" s="9" t="s">
        <v>230</v>
      </c>
      <c r="R251" s="12"/>
      <c r="S251" s="14"/>
      <c r="T251" s="14"/>
      <c r="U251" s="68"/>
      <c r="V251" s="68"/>
      <c r="W251" s="81"/>
      <c r="X251" s="16"/>
      <c r="Y251" s="16"/>
      <c r="Z251" s="16"/>
      <c r="AA251" s="16"/>
      <c r="AB251" s="17"/>
      <c r="AC251" s="18"/>
      <c r="AD251" s="48"/>
      <c r="AE251" s="72"/>
      <c r="AF251" s="21"/>
      <c r="AG251" s="73"/>
      <c r="AH251" s="20"/>
      <c r="AI251" s="20"/>
      <c r="AJ251" s="65"/>
      <c r="AK251" s="15"/>
    </row>
    <row r="252" spans="1:37" ht="16.5">
      <c r="A252" s="12"/>
      <c r="B252" s="23"/>
      <c r="C252" s="14"/>
      <c r="D252" s="159"/>
      <c r="E252" s="159"/>
      <c r="F252" s="159"/>
      <c r="G252" s="159"/>
      <c r="H252" s="159"/>
      <c r="I252" s="160"/>
      <c r="J252" s="9"/>
      <c r="K252" s="12"/>
      <c r="L252" s="14"/>
      <c r="M252" s="14"/>
      <c r="N252" s="68"/>
      <c r="O252" s="68"/>
      <c r="P252" s="82"/>
      <c r="Q252" s="9" t="s">
        <v>230</v>
      </c>
      <c r="R252" s="12"/>
      <c r="S252" s="14"/>
      <c r="T252" s="14"/>
      <c r="U252" s="68"/>
      <c r="V252" s="68"/>
      <c r="W252" s="81"/>
      <c r="X252" s="16"/>
      <c r="Y252" s="16"/>
      <c r="Z252" s="16"/>
      <c r="AA252" s="16"/>
      <c r="AB252" s="17"/>
      <c r="AC252" s="18"/>
      <c r="AD252" s="48"/>
      <c r="AE252" s="72"/>
      <c r="AF252" s="21"/>
      <c r="AG252" s="73"/>
      <c r="AH252" s="20"/>
      <c r="AI252" s="20"/>
      <c r="AJ252" s="65"/>
      <c r="AK252" s="15"/>
    </row>
    <row r="253" spans="1:37" ht="16.5">
      <c r="A253" s="12"/>
      <c r="B253" s="23"/>
      <c r="C253" s="14"/>
      <c r="D253" s="159"/>
      <c r="E253" s="159"/>
      <c r="F253" s="159"/>
      <c r="G253" s="159"/>
      <c r="H253" s="159"/>
      <c r="I253" s="160"/>
      <c r="J253" s="9"/>
      <c r="K253" s="12"/>
      <c r="L253" s="14"/>
      <c r="M253" s="14"/>
      <c r="N253" s="68"/>
      <c r="O253" s="68"/>
      <c r="P253" s="82"/>
      <c r="Q253" s="9" t="s">
        <v>230</v>
      </c>
      <c r="R253" s="12"/>
      <c r="S253" s="14"/>
      <c r="T253" s="14"/>
      <c r="U253" s="68"/>
      <c r="V253" s="68"/>
      <c r="W253" s="81"/>
      <c r="X253" s="16"/>
      <c r="Y253" s="16"/>
      <c r="Z253" s="16"/>
      <c r="AA253" s="16"/>
      <c r="AB253" s="17"/>
      <c r="AC253" s="18"/>
      <c r="AD253" s="48"/>
      <c r="AE253" s="72"/>
      <c r="AF253" s="21"/>
      <c r="AG253" s="73"/>
      <c r="AH253" s="20"/>
      <c r="AI253" s="20"/>
      <c r="AJ253" s="65"/>
      <c r="AK253" s="15"/>
    </row>
    <row r="254" spans="1:37" ht="16.5">
      <c r="A254" s="12"/>
      <c r="B254" s="23"/>
      <c r="C254" s="14"/>
      <c r="D254" s="159"/>
      <c r="E254" s="159"/>
      <c r="F254" s="159"/>
      <c r="G254" s="159"/>
      <c r="H254" s="159"/>
      <c r="I254" s="160"/>
      <c r="J254" s="9"/>
      <c r="K254" s="12"/>
      <c r="L254" s="14"/>
      <c r="M254" s="14"/>
      <c r="N254" s="68"/>
      <c r="O254" s="68"/>
      <c r="P254" s="82"/>
      <c r="Q254" s="9" t="s">
        <v>230</v>
      </c>
      <c r="R254" s="12"/>
      <c r="S254" s="14"/>
      <c r="T254" s="14"/>
      <c r="U254" s="68"/>
      <c r="V254" s="68"/>
      <c r="W254" s="81"/>
      <c r="X254" s="16"/>
      <c r="Y254" s="16"/>
      <c r="Z254" s="16"/>
      <c r="AA254" s="16"/>
      <c r="AB254" s="17"/>
      <c r="AC254" s="18"/>
      <c r="AD254" s="48"/>
      <c r="AE254" s="72"/>
      <c r="AF254" s="21"/>
      <c r="AG254" s="73"/>
      <c r="AH254" s="20"/>
      <c r="AI254" s="20"/>
      <c r="AJ254" s="65"/>
      <c r="AK254" s="15"/>
    </row>
    <row r="255" spans="1:37" ht="16.5">
      <c r="A255" s="12"/>
      <c r="B255" s="23"/>
      <c r="C255" s="14"/>
      <c r="D255" s="159"/>
      <c r="E255" s="159"/>
      <c r="F255" s="159"/>
      <c r="G255" s="159"/>
      <c r="H255" s="159"/>
      <c r="I255" s="160"/>
      <c r="J255" s="9"/>
      <c r="K255" s="12"/>
      <c r="L255" s="14"/>
      <c r="M255" s="14"/>
      <c r="N255" s="68"/>
      <c r="O255" s="68"/>
      <c r="P255" s="82"/>
      <c r="Q255" s="9" t="s">
        <v>230</v>
      </c>
      <c r="R255" s="12"/>
      <c r="S255" s="14"/>
      <c r="T255" s="14"/>
      <c r="U255" s="68"/>
      <c r="V255" s="68"/>
      <c r="W255" s="81"/>
      <c r="X255" s="16"/>
      <c r="Y255" s="16"/>
      <c r="Z255" s="16"/>
      <c r="AA255" s="16"/>
      <c r="AB255" s="17"/>
      <c r="AC255" s="18"/>
      <c r="AD255" s="48"/>
      <c r="AE255" s="72"/>
      <c r="AF255" s="21"/>
      <c r="AG255" s="73"/>
      <c r="AH255" s="20"/>
      <c r="AI255" s="20"/>
      <c r="AJ255" s="65"/>
      <c r="AK255" s="15"/>
    </row>
    <row r="256" spans="1:37" ht="16.5">
      <c r="A256" s="12"/>
      <c r="B256" s="23"/>
      <c r="C256" s="14"/>
      <c r="D256" s="159"/>
      <c r="E256" s="159"/>
      <c r="F256" s="159"/>
      <c r="G256" s="159"/>
      <c r="H256" s="159"/>
      <c r="I256" s="160"/>
      <c r="J256" s="9"/>
      <c r="K256" s="12"/>
      <c r="L256" s="14"/>
      <c r="M256" s="14"/>
      <c r="N256" s="68"/>
      <c r="O256" s="68"/>
      <c r="P256" s="82"/>
      <c r="Q256" s="9" t="s">
        <v>230</v>
      </c>
      <c r="R256" s="12"/>
      <c r="S256" s="14"/>
      <c r="T256" s="14"/>
      <c r="U256" s="68"/>
      <c r="V256" s="68"/>
      <c r="W256" s="81"/>
      <c r="X256" s="16"/>
      <c r="Y256" s="16"/>
      <c r="Z256" s="16"/>
      <c r="AA256" s="16"/>
      <c r="AB256" s="17"/>
      <c r="AC256" s="18"/>
      <c r="AD256" s="48"/>
      <c r="AE256" s="72"/>
      <c r="AF256" s="21"/>
      <c r="AG256" s="73"/>
      <c r="AH256" s="20"/>
      <c r="AI256" s="20"/>
      <c r="AJ256" s="65"/>
      <c r="AK256" s="15"/>
    </row>
    <row r="257" spans="1:37" ht="16.5">
      <c r="A257" s="12"/>
      <c r="B257" s="23"/>
      <c r="C257" s="14"/>
      <c r="D257" s="159"/>
      <c r="E257" s="159"/>
      <c r="F257" s="159"/>
      <c r="G257" s="159"/>
      <c r="H257" s="159"/>
      <c r="I257" s="160"/>
      <c r="J257" s="9"/>
      <c r="K257" s="12"/>
      <c r="L257" s="14"/>
      <c r="M257" s="14"/>
      <c r="N257" s="68"/>
      <c r="O257" s="68"/>
      <c r="P257" s="82"/>
      <c r="Q257" s="9" t="s">
        <v>230</v>
      </c>
      <c r="R257" s="12"/>
      <c r="S257" s="14"/>
      <c r="T257" s="14"/>
      <c r="U257" s="68"/>
      <c r="V257" s="68"/>
      <c r="W257" s="81"/>
      <c r="X257" s="16"/>
      <c r="Y257" s="16"/>
      <c r="Z257" s="16"/>
      <c r="AA257" s="16"/>
      <c r="AB257" s="17"/>
      <c r="AC257" s="18"/>
      <c r="AD257" s="48"/>
      <c r="AE257" s="72"/>
      <c r="AF257" s="21"/>
      <c r="AG257" s="73"/>
      <c r="AH257" s="20"/>
      <c r="AI257" s="20"/>
      <c r="AJ257" s="65"/>
      <c r="AK257" s="15"/>
    </row>
    <row r="258" spans="1:37" ht="16.5">
      <c r="A258" s="12"/>
      <c r="B258" s="23"/>
      <c r="C258" s="14"/>
      <c r="D258" s="159"/>
      <c r="E258" s="159"/>
      <c r="F258" s="159"/>
      <c r="G258" s="159"/>
      <c r="H258" s="159"/>
      <c r="I258" s="160"/>
      <c r="J258" s="9"/>
      <c r="K258" s="12"/>
      <c r="L258" s="14"/>
      <c r="M258" s="14"/>
      <c r="N258" s="68"/>
      <c r="O258" s="68"/>
      <c r="P258" s="82"/>
      <c r="Q258" s="9" t="s">
        <v>230</v>
      </c>
      <c r="R258" s="12"/>
      <c r="S258" s="14"/>
      <c r="T258" s="14"/>
      <c r="U258" s="68"/>
      <c r="V258" s="68"/>
      <c r="W258" s="81"/>
      <c r="X258" s="16"/>
      <c r="Y258" s="16"/>
      <c r="Z258" s="16"/>
      <c r="AA258" s="16"/>
      <c r="AB258" s="17"/>
      <c r="AC258" s="18"/>
      <c r="AD258" s="48"/>
      <c r="AE258" s="72"/>
      <c r="AF258" s="21"/>
      <c r="AG258" s="73"/>
      <c r="AH258" s="20"/>
      <c r="AI258" s="20"/>
      <c r="AJ258" s="65"/>
      <c r="AK258" s="15"/>
    </row>
    <row r="259" spans="1:37" ht="16.5">
      <c r="A259" s="12"/>
      <c r="B259" s="23"/>
      <c r="C259" s="14"/>
      <c r="D259" s="159"/>
      <c r="E259" s="159"/>
      <c r="F259" s="159"/>
      <c r="G259" s="159"/>
      <c r="H259" s="159"/>
      <c r="I259" s="160"/>
      <c r="J259" s="9"/>
      <c r="K259" s="12"/>
      <c r="L259" s="14"/>
      <c r="M259" s="14"/>
      <c r="N259" s="68"/>
      <c r="O259" s="68"/>
      <c r="P259" s="82"/>
      <c r="Q259" s="9" t="s">
        <v>230</v>
      </c>
      <c r="R259" s="12"/>
      <c r="S259" s="14"/>
      <c r="T259" s="14"/>
      <c r="U259" s="68"/>
      <c r="V259" s="68"/>
      <c r="W259" s="81"/>
      <c r="X259" s="16"/>
      <c r="Y259" s="16"/>
      <c r="Z259" s="16"/>
      <c r="AA259" s="16"/>
      <c r="AB259" s="17"/>
      <c r="AC259" s="18"/>
      <c r="AD259" s="48"/>
      <c r="AE259" s="72"/>
      <c r="AF259" s="21"/>
      <c r="AG259" s="73"/>
      <c r="AH259" s="20"/>
      <c r="AI259" s="20"/>
      <c r="AJ259" s="65"/>
      <c r="AK259" s="15"/>
    </row>
    <row r="260" spans="1:37" ht="16.5">
      <c r="A260" s="12"/>
      <c r="B260" s="23"/>
      <c r="C260" s="14"/>
      <c r="D260" s="159"/>
      <c r="E260" s="159"/>
      <c r="F260" s="159"/>
      <c r="G260" s="159"/>
      <c r="H260" s="159"/>
      <c r="I260" s="160"/>
      <c r="J260" s="9"/>
      <c r="K260" s="12"/>
      <c r="L260" s="14"/>
      <c r="M260" s="14"/>
      <c r="N260" s="68"/>
      <c r="O260" s="68"/>
      <c r="P260" s="82"/>
      <c r="Q260" s="9" t="s">
        <v>230</v>
      </c>
      <c r="R260" s="12"/>
      <c r="S260" s="14"/>
      <c r="T260" s="14"/>
      <c r="U260" s="68"/>
      <c r="V260" s="68"/>
      <c r="W260" s="81"/>
      <c r="X260" s="16"/>
      <c r="Y260" s="16"/>
      <c r="Z260" s="16"/>
      <c r="AA260" s="16"/>
      <c r="AB260" s="17"/>
      <c r="AC260" s="18"/>
      <c r="AD260" s="48"/>
      <c r="AE260" s="72"/>
      <c r="AF260" s="21"/>
      <c r="AG260" s="73"/>
      <c r="AH260" s="20"/>
      <c r="AI260" s="20"/>
      <c r="AJ260" s="65"/>
      <c r="AK260" s="15"/>
    </row>
    <row r="261" spans="1:37" ht="16.5">
      <c r="A261" s="12"/>
      <c r="B261" s="23"/>
      <c r="C261" s="14"/>
      <c r="D261" s="159"/>
      <c r="E261" s="159"/>
      <c r="F261" s="159"/>
      <c r="G261" s="159"/>
      <c r="H261" s="159"/>
      <c r="I261" s="160"/>
      <c r="J261" s="9"/>
      <c r="K261" s="12"/>
      <c r="L261" s="14"/>
      <c r="M261" s="14"/>
      <c r="N261" s="68"/>
      <c r="O261" s="68"/>
      <c r="P261" s="82"/>
      <c r="Q261" s="9" t="s">
        <v>230</v>
      </c>
      <c r="R261" s="12"/>
      <c r="S261" s="14"/>
      <c r="T261" s="14"/>
      <c r="U261" s="68"/>
      <c r="V261" s="68"/>
      <c r="W261" s="81"/>
      <c r="X261" s="16"/>
      <c r="Y261" s="16"/>
      <c r="Z261" s="16"/>
      <c r="AA261" s="16"/>
      <c r="AB261" s="17"/>
      <c r="AC261" s="18"/>
      <c r="AD261" s="48"/>
      <c r="AE261" s="72"/>
      <c r="AF261" s="21"/>
      <c r="AG261" s="73"/>
      <c r="AH261" s="20"/>
      <c r="AI261" s="20"/>
      <c r="AJ261" s="65"/>
      <c r="AK261" s="15"/>
    </row>
    <row r="262" spans="1:37" ht="16.5">
      <c r="A262" s="12"/>
      <c r="B262" s="23"/>
      <c r="C262" s="14"/>
      <c r="D262" s="159"/>
      <c r="E262" s="159"/>
      <c r="F262" s="159"/>
      <c r="G262" s="159"/>
      <c r="H262" s="159"/>
      <c r="I262" s="160"/>
      <c r="J262" s="9"/>
      <c r="K262" s="12"/>
      <c r="L262" s="14"/>
      <c r="M262" s="14"/>
      <c r="N262" s="68"/>
      <c r="O262" s="68"/>
      <c r="P262" s="82"/>
      <c r="Q262" s="9" t="s">
        <v>230</v>
      </c>
      <c r="R262" s="12"/>
      <c r="S262" s="14"/>
      <c r="T262" s="14"/>
      <c r="U262" s="68"/>
      <c r="V262" s="68"/>
      <c r="W262" s="81"/>
      <c r="X262" s="16"/>
      <c r="Y262" s="16"/>
      <c r="Z262" s="16"/>
      <c r="AA262" s="16"/>
      <c r="AB262" s="17"/>
      <c r="AC262" s="18"/>
      <c r="AD262" s="48"/>
      <c r="AE262" s="72"/>
      <c r="AF262" s="21"/>
      <c r="AG262" s="73"/>
      <c r="AH262" s="20"/>
      <c r="AI262" s="20"/>
      <c r="AJ262" s="65"/>
      <c r="AK262" s="15"/>
    </row>
    <row r="263" spans="1:37" ht="16.5">
      <c r="A263" s="12"/>
      <c r="B263" s="23"/>
      <c r="C263" s="14"/>
      <c r="D263" s="159"/>
      <c r="E263" s="159"/>
      <c r="F263" s="159"/>
      <c r="G263" s="159"/>
      <c r="H263" s="159"/>
      <c r="I263" s="160"/>
      <c r="J263" s="9"/>
      <c r="K263" s="12"/>
      <c r="L263" s="14"/>
      <c r="M263" s="14"/>
      <c r="N263" s="68"/>
      <c r="O263" s="68"/>
      <c r="P263" s="82"/>
      <c r="Q263" s="9" t="s">
        <v>230</v>
      </c>
      <c r="R263" s="12"/>
      <c r="S263" s="14"/>
      <c r="T263" s="14"/>
      <c r="U263" s="68"/>
      <c r="V263" s="68"/>
      <c r="W263" s="81"/>
      <c r="X263" s="16"/>
      <c r="Y263" s="16"/>
      <c r="Z263" s="16"/>
      <c r="AA263" s="16"/>
      <c r="AB263" s="17"/>
      <c r="AC263" s="18"/>
      <c r="AD263" s="48"/>
      <c r="AE263" s="72"/>
      <c r="AF263" s="21"/>
      <c r="AG263" s="73"/>
      <c r="AH263" s="20"/>
      <c r="AI263" s="20"/>
      <c r="AJ263" s="65"/>
      <c r="AK263" s="15"/>
    </row>
    <row r="264" spans="1:37" ht="16.5">
      <c r="A264" s="12"/>
      <c r="B264" s="23"/>
      <c r="C264" s="14"/>
      <c r="D264" s="159"/>
      <c r="E264" s="159"/>
      <c r="F264" s="159"/>
      <c r="G264" s="159"/>
      <c r="H264" s="159"/>
      <c r="I264" s="160"/>
      <c r="J264" s="9"/>
      <c r="K264" s="12"/>
      <c r="L264" s="14"/>
      <c r="M264" s="14"/>
      <c r="N264" s="68"/>
      <c r="O264" s="68"/>
      <c r="P264" s="82"/>
      <c r="Q264" s="9" t="s">
        <v>230</v>
      </c>
      <c r="R264" s="12"/>
      <c r="S264" s="14"/>
      <c r="T264" s="14"/>
      <c r="U264" s="68"/>
      <c r="V264" s="68"/>
      <c r="W264" s="81"/>
      <c r="X264" s="16"/>
      <c r="Y264" s="16"/>
      <c r="Z264" s="16"/>
      <c r="AA264" s="16"/>
      <c r="AB264" s="17"/>
      <c r="AC264" s="18"/>
      <c r="AD264" s="48"/>
      <c r="AE264" s="72"/>
      <c r="AF264" s="21"/>
      <c r="AG264" s="73"/>
      <c r="AH264" s="20"/>
      <c r="AI264" s="20"/>
      <c r="AJ264" s="65"/>
      <c r="AK264" s="15"/>
    </row>
    <row r="265" spans="1:37" ht="16.5">
      <c r="A265" s="12"/>
      <c r="B265" s="23"/>
      <c r="C265" s="14"/>
      <c r="D265" s="159"/>
      <c r="E265" s="159"/>
      <c r="F265" s="159"/>
      <c r="G265" s="159"/>
      <c r="H265" s="159"/>
      <c r="I265" s="160"/>
      <c r="J265" s="9"/>
      <c r="K265" s="12"/>
      <c r="L265" s="14"/>
      <c r="M265" s="14"/>
      <c r="N265" s="68"/>
      <c r="O265" s="68"/>
      <c r="P265" s="82"/>
      <c r="Q265" s="9" t="s">
        <v>230</v>
      </c>
      <c r="R265" s="12"/>
      <c r="S265" s="14"/>
      <c r="T265" s="14"/>
      <c r="U265" s="68"/>
      <c r="V265" s="68"/>
      <c r="W265" s="81"/>
      <c r="X265" s="16"/>
      <c r="Y265" s="16"/>
      <c r="Z265" s="16"/>
      <c r="AA265" s="16"/>
      <c r="AB265" s="17"/>
      <c r="AC265" s="18"/>
      <c r="AD265" s="48"/>
      <c r="AE265" s="72"/>
      <c r="AF265" s="21"/>
      <c r="AG265" s="73"/>
      <c r="AH265" s="20"/>
      <c r="AI265" s="20"/>
      <c r="AJ265" s="65"/>
      <c r="AK265" s="15"/>
    </row>
    <row r="266" spans="1:37" ht="16.5">
      <c r="A266" s="12"/>
      <c r="B266" s="23"/>
      <c r="C266" s="14"/>
      <c r="D266" s="159"/>
      <c r="E266" s="159"/>
      <c r="F266" s="159"/>
      <c r="G266" s="159"/>
      <c r="H266" s="159"/>
      <c r="I266" s="160"/>
      <c r="J266" s="9"/>
      <c r="K266" s="12"/>
      <c r="L266" s="14"/>
      <c r="M266" s="14"/>
      <c r="N266" s="68"/>
      <c r="O266" s="68"/>
      <c r="P266" s="82"/>
      <c r="Q266" s="9" t="s">
        <v>230</v>
      </c>
      <c r="R266" s="12"/>
      <c r="S266" s="14"/>
      <c r="T266" s="14"/>
      <c r="U266" s="68"/>
      <c r="V266" s="68"/>
      <c r="W266" s="81"/>
      <c r="X266" s="16"/>
      <c r="Y266" s="16"/>
      <c r="Z266" s="16"/>
      <c r="AA266" s="16"/>
      <c r="AB266" s="17"/>
      <c r="AC266" s="18"/>
      <c r="AD266" s="48"/>
      <c r="AE266" s="72"/>
      <c r="AF266" s="21"/>
      <c r="AG266" s="73"/>
      <c r="AH266" s="20"/>
      <c r="AI266" s="20"/>
      <c r="AJ266" s="65"/>
      <c r="AK266" s="15"/>
    </row>
    <row r="267" spans="1:37" ht="16.5">
      <c r="A267" s="12"/>
      <c r="B267" s="23"/>
      <c r="C267" s="14"/>
      <c r="D267" s="159"/>
      <c r="E267" s="159"/>
      <c r="F267" s="159"/>
      <c r="G267" s="159"/>
      <c r="H267" s="159"/>
      <c r="I267" s="160"/>
      <c r="J267" s="9"/>
      <c r="K267" s="12"/>
      <c r="L267" s="14"/>
      <c r="M267" s="14"/>
      <c r="N267" s="68"/>
      <c r="O267" s="68"/>
      <c r="P267" s="82"/>
      <c r="Q267" s="9" t="s">
        <v>230</v>
      </c>
      <c r="R267" s="12"/>
      <c r="S267" s="14"/>
      <c r="T267" s="14"/>
      <c r="U267" s="68"/>
      <c r="V267" s="68"/>
      <c r="W267" s="81"/>
      <c r="X267" s="16"/>
      <c r="Y267" s="16"/>
      <c r="Z267" s="16"/>
      <c r="AA267" s="16"/>
      <c r="AB267" s="17"/>
      <c r="AC267" s="18"/>
      <c r="AD267" s="48"/>
      <c r="AE267" s="72"/>
      <c r="AF267" s="21"/>
      <c r="AG267" s="73"/>
      <c r="AH267" s="20"/>
      <c r="AI267" s="20"/>
      <c r="AJ267" s="65"/>
      <c r="AK267" s="15"/>
    </row>
    <row r="268" spans="1:37" ht="16.5">
      <c r="A268" s="12"/>
      <c r="B268" s="23"/>
      <c r="C268" s="14"/>
      <c r="D268" s="159"/>
      <c r="E268" s="159"/>
      <c r="F268" s="159"/>
      <c r="G268" s="159"/>
      <c r="H268" s="159"/>
      <c r="I268" s="160"/>
      <c r="J268" s="9"/>
      <c r="K268" s="12"/>
      <c r="L268" s="14"/>
      <c r="M268" s="14"/>
      <c r="N268" s="68"/>
      <c r="O268" s="68"/>
      <c r="P268" s="82"/>
      <c r="Q268" s="9" t="s">
        <v>230</v>
      </c>
      <c r="R268" s="12"/>
      <c r="S268" s="14"/>
      <c r="T268" s="14"/>
      <c r="U268" s="68"/>
      <c r="V268" s="68"/>
      <c r="W268" s="81"/>
      <c r="X268" s="16"/>
      <c r="Y268" s="16"/>
      <c r="Z268" s="16"/>
      <c r="AA268" s="16"/>
      <c r="AB268" s="17"/>
      <c r="AC268" s="18"/>
      <c r="AD268" s="48"/>
      <c r="AE268" s="72"/>
      <c r="AF268" s="21"/>
      <c r="AG268" s="73"/>
      <c r="AH268" s="20"/>
      <c r="AI268" s="20"/>
      <c r="AJ268" s="65"/>
      <c r="AK268" s="15"/>
    </row>
    <row r="269" spans="1:37" ht="16.5">
      <c r="A269" s="12"/>
      <c r="B269" s="23"/>
      <c r="C269" s="14"/>
      <c r="D269" s="159"/>
      <c r="E269" s="159"/>
      <c r="F269" s="159"/>
      <c r="G269" s="159"/>
      <c r="H269" s="159"/>
      <c r="I269" s="160"/>
      <c r="J269" s="9"/>
      <c r="K269" s="12"/>
      <c r="L269" s="14"/>
      <c r="M269" s="14"/>
      <c r="N269" s="68"/>
      <c r="O269" s="68"/>
      <c r="P269" s="82"/>
      <c r="Q269" s="9" t="s">
        <v>230</v>
      </c>
      <c r="R269" s="12"/>
      <c r="S269" s="14"/>
      <c r="T269" s="14"/>
      <c r="U269" s="68"/>
      <c r="V269" s="68"/>
      <c r="W269" s="81"/>
      <c r="X269" s="16"/>
      <c r="Y269" s="16"/>
      <c r="Z269" s="16"/>
      <c r="AA269" s="16"/>
      <c r="AB269" s="17"/>
      <c r="AC269" s="18"/>
      <c r="AD269" s="48"/>
      <c r="AE269" s="72"/>
      <c r="AF269" s="21"/>
      <c r="AG269" s="73"/>
      <c r="AH269" s="20"/>
      <c r="AI269" s="20"/>
      <c r="AJ269" s="65"/>
      <c r="AK269" s="15"/>
    </row>
    <row r="270" spans="1:37" ht="16.5">
      <c r="A270" s="12"/>
      <c r="B270" s="23"/>
      <c r="C270" s="14"/>
      <c r="D270" s="159"/>
      <c r="E270" s="159"/>
      <c r="F270" s="159"/>
      <c r="G270" s="159"/>
      <c r="H270" s="159"/>
      <c r="I270" s="160"/>
      <c r="J270" s="9"/>
      <c r="K270" s="12"/>
      <c r="L270" s="14"/>
      <c r="M270" s="14"/>
      <c r="N270" s="68"/>
      <c r="O270" s="68"/>
      <c r="P270" s="82"/>
      <c r="Q270" s="9" t="s">
        <v>230</v>
      </c>
      <c r="R270" s="12"/>
      <c r="S270" s="14"/>
      <c r="T270" s="14"/>
      <c r="U270" s="68"/>
      <c r="V270" s="68"/>
      <c r="W270" s="81"/>
      <c r="X270" s="16"/>
      <c r="Y270" s="16"/>
      <c r="Z270" s="16"/>
      <c r="AA270" s="16"/>
      <c r="AB270" s="17"/>
      <c r="AC270" s="18"/>
      <c r="AD270" s="48"/>
      <c r="AE270" s="72"/>
      <c r="AF270" s="21"/>
      <c r="AG270" s="73"/>
      <c r="AH270" s="20"/>
      <c r="AI270" s="20"/>
      <c r="AJ270" s="65"/>
      <c r="AK270" s="15"/>
    </row>
    <row r="271" spans="1:37" ht="16.5">
      <c r="A271" s="12"/>
      <c r="B271" s="23"/>
      <c r="C271" s="14"/>
      <c r="D271" s="159"/>
      <c r="E271" s="159"/>
      <c r="F271" s="159"/>
      <c r="G271" s="159"/>
      <c r="H271" s="159"/>
      <c r="I271" s="160"/>
      <c r="J271" s="9"/>
      <c r="K271" s="12"/>
      <c r="L271" s="14"/>
      <c r="M271" s="14"/>
      <c r="N271" s="68"/>
      <c r="O271" s="68"/>
      <c r="P271" s="82"/>
      <c r="Q271" s="9" t="s">
        <v>230</v>
      </c>
      <c r="R271" s="12"/>
      <c r="S271" s="14"/>
      <c r="T271" s="14"/>
      <c r="U271" s="68"/>
      <c r="V271" s="68"/>
      <c r="W271" s="81"/>
      <c r="X271" s="16"/>
      <c r="Y271" s="16"/>
      <c r="Z271" s="16"/>
      <c r="AA271" s="16"/>
      <c r="AB271" s="17"/>
      <c r="AC271" s="18"/>
      <c r="AD271" s="48"/>
      <c r="AE271" s="72"/>
      <c r="AF271" s="21"/>
      <c r="AG271" s="73"/>
      <c r="AH271" s="20"/>
      <c r="AI271" s="20"/>
      <c r="AJ271" s="65"/>
      <c r="AK271" s="15"/>
    </row>
    <row r="272" spans="1:37" ht="16.5">
      <c r="A272" s="12"/>
      <c r="B272" s="23"/>
      <c r="C272" s="14"/>
      <c r="D272" s="159"/>
      <c r="E272" s="159"/>
      <c r="F272" s="159"/>
      <c r="G272" s="159"/>
      <c r="H272" s="159"/>
      <c r="I272" s="160"/>
      <c r="J272" s="9"/>
      <c r="K272" s="12"/>
      <c r="L272" s="14"/>
      <c r="M272" s="14"/>
      <c r="N272" s="68"/>
      <c r="O272" s="68"/>
      <c r="P272" s="82"/>
      <c r="Q272" s="9" t="s">
        <v>230</v>
      </c>
      <c r="R272" s="12"/>
      <c r="S272" s="14"/>
      <c r="T272" s="14"/>
      <c r="U272" s="68"/>
      <c r="V272" s="68"/>
      <c r="W272" s="81"/>
      <c r="X272" s="16"/>
      <c r="Y272" s="16"/>
      <c r="Z272" s="16"/>
      <c r="AA272" s="16"/>
      <c r="AB272" s="17"/>
      <c r="AC272" s="18"/>
      <c r="AD272" s="48"/>
      <c r="AE272" s="72"/>
      <c r="AF272" s="21"/>
      <c r="AG272" s="73"/>
      <c r="AH272" s="20"/>
      <c r="AI272" s="20"/>
      <c r="AJ272" s="65"/>
      <c r="AK272" s="15"/>
    </row>
    <row r="273" spans="1:37" ht="16.5">
      <c r="A273" s="12"/>
      <c r="B273" s="23"/>
      <c r="C273" s="14"/>
      <c r="D273" s="159"/>
      <c r="E273" s="159"/>
      <c r="F273" s="159"/>
      <c r="G273" s="159"/>
      <c r="H273" s="159"/>
      <c r="I273" s="160"/>
      <c r="J273" s="9"/>
      <c r="K273" s="12"/>
      <c r="L273" s="14"/>
      <c r="M273" s="14"/>
      <c r="N273" s="68"/>
      <c r="O273" s="68"/>
      <c r="P273" s="82"/>
      <c r="Q273" s="9" t="s">
        <v>230</v>
      </c>
      <c r="R273" s="12"/>
      <c r="S273" s="14"/>
      <c r="T273" s="14"/>
      <c r="U273" s="68"/>
      <c r="V273" s="68"/>
      <c r="W273" s="81"/>
      <c r="X273" s="16"/>
      <c r="Y273" s="16"/>
      <c r="Z273" s="16"/>
      <c r="AA273" s="16"/>
      <c r="AB273" s="17"/>
      <c r="AC273" s="18"/>
      <c r="AD273" s="48"/>
      <c r="AE273" s="72"/>
      <c r="AF273" s="21"/>
      <c r="AG273" s="73"/>
      <c r="AH273" s="20"/>
      <c r="AI273" s="20"/>
      <c r="AJ273" s="65"/>
      <c r="AK273" s="15"/>
    </row>
    <row r="274" spans="1:37" ht="16.5">
      <c r="A274" s="12"/>
      <c r="B274" s="23"/>
      <c r="C274" s="14"/>
      <c r="D274" s="159"/>
      <c r="E274" s="159"/>
      <c r="F274" s="159"/>
      <c r="G274" s="159"/>
      <c r="H274" s="159"/>
      <c r="I274" s="160"/>
      <c r="J274" s="9"/>
      <c r="K274" s="12"/>
      <c r="L274" s="14"/>
      <c r="M274" s="14"/>
      <c r="N274" s="68"/>
      <c r="O274" s="68"/>
      <c r="P274" s="82"/>
      <c r="Q274" s="9" t="s">
        <v>230</v>
      </c>
      <c r="R274" s="12"/>
      <c r="S274" s="14"/>
      <c r="T274" s="14"/>
      <c r="U274" s="68"/>
      <c r="V274" s="68"/>
      <c r="W274" s="81"/>
      <c r="X274" s="16"/>
      <c r="Y274" s="16"/>
      <c r="Z274" s="16"/>
      <c r="AA274" s="16"/>
      <c r="AB274" s="17"/>
      <c r="AC274" s="18"/>
      <c r="AD274" s="48"/>
      <c r="AE274" s="72"/>
      <c r="AF274" s="21"/>
      <c r="AG274" s="73"/>
      <c r="AH274" s="20"/>
      <c r="AI274" s="20"/>
      <c r="AJ274" s="65"/>
      <c r="AK274" s="15"/>
    </row>
    <row r="275" spans="1:37" ht="16.5">
      <c r="A275" s="12"/>
      <c r="B275" s="23"/>
      <c r="C275" s="14"/>
      <c r="D275" s="159"/>
      <c r="E275" s="159"/>
      <c r="F275" s="159"/>
      <c r="G275" s="159"/>
      <c r="H275" s="159"/>
      <c r="I275" s="160"/>
      <c r="J275" s="9"/>
      <c r="K275" s="12"/>
      <c r="L275" s="14"/>
      <c r="M275" s="14"/>
      <c r="N275" s="68"/>
      <c r="O275" s="68"/>
      <c r="P275" s="82"/>
      <c r="Q275" s="9" t="s">
        <v>230</v>
      </c>
      <c r="R275" s="12"/>
      <c r="S275" s="14"/>
      <c r="T275" s="14"/>
      <c r="U275" s="68"/>
      <c r="V275" s="68"/>
      <c r="W275" s="81"/>
      <c r="X275" s="16"/>
      <c r="Y275" s="16"/>
      <c r="Z275" s="16"/>
      <c r="AA275" s="16"/>
      <c r="AB275" s="17"/>
      <c r="AC275" s="18"/>
      <c r="AD275" s="48"/>
      <c r="AE275" s="72"/>
      <c r="AF275" s="21"/>
      <c r="AG275" s="73"/>
      <c r="AH275" s="20"/>
      <c r="AI275" s="20"/>
      <c r="AJ275" s="65"/>
      <c r="AK275" s="15"/>
    </row>
    <row r="276" spans="1:37" ht="16.5">
      <c r="A276" s="12"/>
      <c r="B276" s="23"/>
      <c r="C276" s="14"/>
      <c r="D276" s="159"/>
      <c r="E276" s="159"/>
      <c r="F276" s="159"/>
      <c r="G276" s="159"/>
      <c r="H276" s="159"/>
      <c r="I276" s="160"/>
      <c r="J276" s="9"/>
      <c r="K276" s="12"/>
      <c r="L276" s="14"/>
      <c r="M276" s="14"/>
      <c r="N276" s="68"/>
      <c r="O276" s="68"/>
      <c r="P276" s="82"/>
      <c r="Q276" s="9" t="s">
        <v>230</v>
      </c>
      <c r="R276" s="12"/>
      <c r="S276" s="14"/>
      <c r="T276" s="14"/>
      <c r="U276" s="68"/>
      <c r="V276" s="68"/>
      <c r="W276" s="81"/>
      <c r="X276" s="16"/>
      <c r="Y276" s="16"/>
      <c r="Z276" s="16"/>
      <c r="AA276" s="16"/>
      <c r="AB276" s="17"/>
      <c r="AC276" s="18"/>
      <c r="AD276" s="48"/>
      <c r="AE276" s="72"/>
      <c r="AF276" s="21"/>
      <c r="AG276" s="73"/>
      <c r="AH276" s="20"/>
      <c r="AI276" s="20"/>
      <c r="AJ276" s="65"/>
      <c r="AK276" s="15"/>
    </row>
    <row r="277" spans="1:37" ht="16.5">
      <c r="A277" s="12"/>
      <c r="B277" s="23"/>
      <c r="C277" s="14"/>
      <c r="D277" s="159"/>
      <c r="E277" s="159"/>
      <c r="F277" s="159"/>
      <c r="G277" s="159"/>
      <c r="H277" s="159"/>
      <c r="I277" s="160"/>
      <c r="J277" s="9"/>
      <c r="K277" s="12"/>
      <c r="L277" s="14"/>
      <c r="M277" s="14"/>
      <c r="N277" s="68"/>
      <c r="O277" s="68"/>
      <c r="P277" s="82"/>
      <c r="Q277" s="9" t="s">
        <v>230</v>
      </c>
      <c r="R277" s="12"/>
      <c r="S277" s="14"/>
      <c r="T277" s="14"/>
      <c r="U277" s="68"/>
      <c r="V277" s="68"/>
      <c r="W277" s="81"/>
      <c r="X277" s="16"/>
      <c r="Y277" s="16"/>
      <c r="Z277" s="16"/>
      <c r="AA277" s="16"/>
      <c r="AB277" s="17"/>
      <c r="AC277" s="18"/>
      <c r="AD277" s="48"/>
      <c r="AE277" s="72"/>
      <c r="AF277" s="21"/>
      <c r="AG277" s="73"/>
      <c r="AH277" s="20"/>
      <c r="AI277" s="20"/>
      <c r="AJ277" s="65"/>
      <c r="AK277" s="15"/>
    </row>
    <row r="278" spans="1:37" ht="16.5">
      <c r="A278" s="12"/>
      <c r="B278" s="23"/>
      <c r="C278" s="14"/>
      <c r="D278" s="159"/>
      <c r="E278" s="159"/>
      <c r="F278" s="159"/>
      <c r="G278" s="159"/>
      <c r="H278" s="159"/>
      <c r="I278" s="160"/>
      <c r="J278" s="9"/>
      <c r="K278" s="12"/>
      <c r="L278" s="14"/>
      <c r="M278" s="14"/>
      <c r="N278" s="68"/>
      <c r="O278" s="68"/>
      <c r="P278" s="82"/>
      <c r="Q278" s="9" t="s">
        <v>230</v>
      </c>
      <c r="R278" s="12"/>
      <c r="S278" s="14"/>
      <c r="T278" s="14"/>
      <c r="U278" s="68"/>
      <c r="V278" s="68"/>
      <c r="W278" s="81"/>
      <c r="X278" s="16"/>
      <c r="Y278" s="16"/>
      <c r="Z278" s="16"/>
      <c r="AA278" s="16"/>
      <c r="AB278" s="17"/>
      <c r="AC278" s="18"/>
      <c r="AD278" s="48"/>
      <c r="AE278" s="72"/>
      <c r="AF278" s="21"/>
      <c r="AG278" s="73"/>
      <c r="AH278" s="20"/>
      <c r="AI278" s="20"/>
      <c r="AJ278" s="65"/>
      <c r="AK278" s="15"/>
    </row>
    <row r="279" spans="1:37" ht="16.5">
      <c r="A279" s="12"/>
      <c r="B279" s="23"/>
      <c r="C279" s="14"/>
      <c r="D279" s="159"/>
      <c r="E279" s="159"/>
      <c r="F279" s="159"/>
      <c r="G279" s="159"/>
      <c r="H279" s="159"/>
      <c r="I279" s="160"/>
      <c r="J279" s="9"/>
      <c r="K279" s="12"/>
      <c r="L279" s="14"/>
      <c r="M279" s="14"/>
      <c r="N279" s="68"/>
      <c r="O279" s="68"/>
      <c r="P279" s="82"/>
      <c r="Q279" s="9" t="s">
        <v>230</v>
      </c>
      <c r="R279" s="12"/>
      <c r="S279" s="14"/>
      <c r="T279" s="14"/>
      <c r="U279" s="68"/>
      <c r="V279" s="68"/>
      <c r="W279" s="81"/>
      <c r="X279" s="16"/>
      <c r="Y279" s="16"/>
      <c r="Z279" s="16"/>
      <c r="AA279" s="16"/>
      <c r="AB279" s="17"/>
      <c r="AC279" s="18"/>
      <c r="AD279" s="48"/>
      <c r="AE279" s="72"/>
      <c r="AF279" s="21"/>
      <c r="AG279" s="73"/>
      <c r="AH279" s="20"/>
      <c r="AI279" s="20"/>
      <c r="AJ279" s="65"/>
      <c r="AK279" s="15"/>
    </row>
    <row r="280" spans="1:37" ht="16.5">
      <c r="A280" s="12"/>
      <c r="B280" s="23"/>
      <c r="C280" s="14"/>
      <c r="D280" s="159"/>
      <c r="E280" s="159"/>
      <c r="F280" s="159"/>
      <c r="G280" s="159"/>
      <c r="H280" s="159"/>
      <c r="I280" s="160"/>
      <c r="J280" s="9"/>
      <c r="K280" s="12"/>
      <c r="L280" s="14"/>
      <c r="M280" s="14"/>
      <c r="N280" s="68"/>
      <c r="O280" s="68"/>
      <c r="P280" s="82"/>
      <c r="Q280" s="9" t="s">
        <v>230</v>
      </c>
      <c r="R280" s="12"/>
      <c r="S280" s="14"/>
      <c r="T280" s="14"/>
      <c r="U280" s="68"/>
      <c r="V280" s="68"/>
      <c r="W280" s="81"/>
      <c r="X280" s="16"/>
      <c r="Y280" s="16"/>
      <c r="Z280" s="16"/>
      <c r="AA280" s="16"/>
      <c r="AB280" s="17"/>
      <c r="AC280" s="18"/>
      <c r="AD280" s="48"/>
      <c r="AE280" s="72"/>
      <c r="AF280" s="21"/>
      <c r="AG280" s="73"/>
      <c r="AH280" s="20"/>
      <c r="AI280" s="20"/>
      <c r="AJ280" s="65"/>
      <c r="AK280" s="15"/>
    </row>
    <row r="281" spans="1:37" ht="16.5">
      <c r="A281" s="12"/>
      <c r="B281" s="23"/>
      <c r="C281" s="14"/>
      <c r="D281" s="159"/>
      <c r="E281" s="159"/>
      <c r="F281" s="159"/>
      <c r="G281" s="159"/>
      <c r="H281" s="159"/>
      <c r="I281" s="160"/>
      <c r="J281" s="9"/>
      <c r="K281" s="12"/>
      <c r="L281" s="14"/>
      <c r="M281" s="14"/>
      <c r="N281" s="68"/>
      <c r="O281" s="68"/>
      <c r="P281" s="82"/>
      <c r="Q281" s="9" t="s">
        <v>230</v>
      </c>
      <c r="R281" s="12"/>
      <c r="S281" s="14"/>
      <c r="T281" s="14"/>
      <c r="U281" s="68"/>
      <c r="V281" s="68"/>
      <c r="W281" s="81"/>
      <c r="X281" s="16"/>
      <c r="Y281" s="16"/>
      <c r="Z281" s="16"/>
      <c r="AA281" s="16"/>
      <c r="AB281" s="17"/>
      <c r="AC281" s="18"/>
      <c r="AD281" s="48"/>
      <c r="AE281" s="72"/>
      <c r="AF281" s="21"/>
      <c r="AG281" s="73"/>
      <c r="AH281" s="20"/>
      <c r="AI281" s="20"/>
      <c r="AJ281" s="65"/>
      <c r="AK281" s="15"/>
    </row>
    <row r="282" spans="1:37" ht="16.5">
      <c r="A282" s="12"/>
      <c r="B282" s="23"/>
      <c r="C282" s="14"/>
      <c r="D282" s="159"/>
      <c r="E282" s="159"/>
      <c r="F282" s="159"/>
      <c r="G282" s="159"/>
      <c r="H282" s="159"/>
      <c r="I282" s="160"/>
      <c r="J282" s="9"/>
      <c r="K282" s="12"/>
      <c r="L282" s="14"/>
      <c r="M282" s="14"/>
      <c r="N282" s="68"/>
      <c r="O282" s="68"/>
      <c r="P282" s="82"/>
      <c r="Q282" s="9" t="s">
        <v>230</v>
      </c>
      <c r="R282" s="12"/>
      <c r="S282" s="14"/>
      <c r="T282" s="14"/>
      <c r="U282" s="68"/>
      <c r="V282" s="68"/>
      <c r="W282" s="81"/>
      <c r="X282" s="16"/>
      <c r="Y282" s="16"/>
      <c r="Z282" s="16"/>
      <c r="AA282" s="16"/>
      <c r="AB282" s="17"/>
      <c r="AC282" s="18"/>
      <c r="AD282" s="48"/>
      <c r="AE282" s="72"/>
      <c r="AF282" s="21"/>
      <c r="AG282" s="73"/>
      <c r="AH282" s="20"/>
      <c r="AI282" s="20"/>
      <c r="AJ282" s="65"/>
      <c r="AK282" s="15"/>
    </row>
    <row r="283" spans="1:37" ht="16.5">
      <c r="A283" s="12"/>
      <c r="B283" s="23"/>
      <c r="C283" s="14"/>
      <c r="D283" s="159"/>
      <c r="E283" s="159"/>
      <c r="F283" s="159"/>
      <c r="G283" s="159"/>
      <c r="H283" s="159"/>
      <c r="I283" s="160"/>
      <c r="J283" s="9"/>
      <c r="K283" s="12"/>
      <c r="L283" s="14"/>
      <c r="M283" s="14"/>
      <c r="N283" s="68"/>
      <c r="O283" s="68"/>
      <c r="P283" s="82"/>
      <c r="Q283" s="9" t="s">
        <v>230</v>
      </c>
      <c r="R283" s="12"/>
      <c r="S283" s="14"/>
      <c r="T283" s="14"/>
      <c r="U283" s="68"/>
      <c r="V283" s="68"/>
      <c r="W283" s="81"/>
      <c r="X283" s="16"/>
      <c r="Y283" s="16"/>
      <c r="Z283" s="16"/>
      <c r="AA283" s="16"/>
      <c r="AB283" s="17"/>
      <c r="AC283" s="18"/>
      <c r="AD283" s="48"/>
      <c r="AE283" s="72"/>
      <c r="AF283" s="21"/>
      <c r="AG283" s="73"/>
      <c r="AH283" s="20"/>
      <c r="AI283" s="20"/>
      <c r="AJ283" s="65"/>
      <c r="AK283" s="15"/>
    </row>
    <row r="284" spans="1:37" ht="16.5">
      <c r="A284" s="12"/>
      <c r="B284" s="23"/>
      <c r="C284" s="14"/>
      <c r="D284" s="159"/>
      <c r="E284" s="159"/>
      <c r="F284" s="159"/>
      <c r="G284" s="159"/>
      <c r="H284" s="159"/>
      <c r="I284" s="160"/>
      <c r="J284" s="9"/>
      <c r="K284" s="12"/>
      <c r="L284" s="14"/>
      <c r="M284" s="14"/>
      <c r="N284" s="68"/>
      <c r="O284" s="68"/>
      <c r="P284" s="82"/>
      <c r="Q284" s="9" t="s">
        <v>230</v>
      </c>
      <c r="R284" s="12"/>
      <c r="S284" s="14"/>
      <c r="T284" s="14"/>
      <c r="U284" s="68"/>
      <c r="V284" s="68"/>
      <c r="W284" s="81"/>
      <c r="X284" s="16"/>
      <c r="Y284" s="16"/>
      <c r="Z284" s="16"/>
      <c r="AA284" s="16"/>
      <c r="AB284" s="17"/>
      <c r="AC284" s="18"/>
      <c r="AD284" s="48"/>
      <c r="AE284" s="72"/>
      <c r="AF284" s="21"/>
      <c r="AG284" s="73"/>
      <c r="AH284" s="20"/>
      <c r="AI284" s="20"/>
      <c r="AJ284" s="65"/>
      <c r="AK284" s="15"/>
    </row>
    <row r="285" spans="1:37" ht="16.5">
      <c r="A285" s="12"/>
      <c r="B285" s="23"/>
      <c r="C285" s="14"/>
      <c r="D285" s="159"/>
      <c r="E285" s="159"/>
      <c r="F285" s="159"/>
      <c r="G285" s="159"/>
      <c r="H285" s="159"/>
      <c r="I285" s="160"/>
      <c r="J285" s="9"/>
      <c r="K285" s="12"/>
      <c r="L285" s="14"/>
      <c r="M285" s="14"/>
      <c r="N285" s="68"/>
      <c r="O285" s="68"/>
      <c r="P285" s="82"/>
      <c r="Q285" s="9" t="s">
        <v>230</v>
      </c>
      <c r="R285" s="12"/>
      <c r="S285" s="14"/>
      <c r="T285" s="14"/>
      <c r="U285" s="68"/>
      <c r="V285" s="68"/>
      <c r="W285" s="81"/>
      <c r="X285" s="16"/>
      <c r="Y285" s="16"/>
      <c r="Z285" s="16"/>
      <c r="AA285" s="16"/>
      <c r="AB285" s="17"/>
      <c r="AC285" s="18"/>
      <c r="AD285" s="48"/>
      <c r="AE285" s="72"/>
      <c r="AF285" s="21"/>
      <c r="AG285" s="73"/>
      <c r="AH285" s="20"/>
      <c r="AI285" s="20"/>
      <c r="AJ285" s="65"/>
      <c r="AK285" s="15"/>
    </row>
    <row r="286" spans="1:37" ht="16.5">
      <c r="A286" s="12"/>
      <c r="B286" s="23"/>
      <c r="C286" s="14"/>
      <c r="D286" s="159"/>
      <c r="E286" s="159"/>
      <c r="F286" s="159"/>
      <c r="G286" s="159"/>
      <c r="H286" s="159"/>
      <c r="I286" s="160"/>
      <c r="J286" s="9"/>
      <c r="K286" s="12"/>
      <c r="L286" s="14"/>
      <c r="M286" s="14"/>
      <c r="N286" s="68"/>
      <c r="O286" s="68"/>
      <c r="P286" s="82"/>
      <c r="Q286" s="9" t="s">
        <v>230</v>
      </c>
      <c r="R286" s="12"/>
      <c r="S286" s="14"/>
      <c r="T286" s="14"/>
      <c r="U286" s="68"/>
      <c r="V286" s="68"/>
      <c r="W286" s="81"/>
      <c r="X286" s="16"/>
      <c r="Y286" s="16"/>
      <c r="Z286" s="16"/>
      <c r="AA286" s="16"/>
      <c r="AB286" s="17"/>
      <c r="AC286" s="18"/>
      <c r="AD286" s="48"/>
      <c r="AE286" s="72"/>
      <c r="AF286" s="21"/>
      <c r="AG286" s="73"/>
      <c r="AH286" s="20"/>
      <c r="AI286" s="20"/>
      <c r="AJ286" s="65"/>
      <c r="AK286" s="15"/>
    </row>
    <row r="287" spans="1:37" ht="16.5">
      <c r="A287" s="12"/>
      <c r="B287" s="23"/>
      <c r="C287" s="14"/>
      <c r="D287" s="159"/>
      <c r="E287" s="159"/>
      <c r="F287" s="159"/>
      <c r="G287" s="159"/>
      <c r="H287" s="159"/>
      <c r="I287" s="160"/>
      <c r="J287" s="9"/>
      <c r="K287" s="12"/>
      <c r="L287" s="14"/>
      <c r="M287" s="14"/>
      <c r="N287" s="68"/>
      <c r="O287" s="68"/>
      <c r="P287" s="82"/>
      <c r="Q287" s="9" t="s">
        <v>230</v>
      </c>
      <c r="R287" s="12"/>
      <c r="S287" s="14"/>
      <c r="T287" s="14"/>
      <c r="U287" s="68"/>
      <c r="V287" s="68"/>
      <c r="W287" s="81"/>
      <c r="X287" s="16"/>
      <c r="Y287" s="16"/>
      <c r="Z287" s="16"/>
      <c r="AA287" s="16"/>
      <c r="AB287" s="17"/>
      <c r="AC287" s="18"/>
      <c r="AD287" s="48"/>
      <c r="AE287" s="72"/>
      <c r="AF287" s="21"/>
      <c r="AG287" s="73"/>
      <c r="AH287" s="20"/>
      <c r="AI287" s="20"/>
      <c r="AJ287" s="65"/>
      <c r="AK287" s="15"/>
    </row>
    <row r="288" spans="1:37" ht="16.5">
      <c r="A288" s="12"/>
      <c r="B288" s="23"/>
      <c r="C288" s="14"/>
      <c r="D288" s="159"/>
      <c r="E288" s="159"/>
      <c r="F288" s="159"/>
      <c r="G288" s="159"/>
      <c r="H288" s="159"/>
      <c r="I288" s="160"/>
      <c r="J288" s="9"/>
      <c r="K288" s="12"/>
      <c r="L288" s="14"/>
      <c r="M288" s="14"/>
      <c r="N288" s="68"/>
      <c r="O288" s="68"/>
      <c r="P288" s="82"/>
      <c r="Q288" s="9" t="s">
        <v>230</v>
      </c>
      <c r="R288" s="12"/>
      <c r="S288" s="14"/>
      <c r="T288" s="14"/>
      <c r="U288" s="68"/>
      <c r="V288" s="68"/>
      <c r="W288" s="81"/>
      <c r="X288" s="16"/>
      <c r="Y288" s="16"/>
      <c r="Z288" s="16"/>
      <c r="AA288" s="16"/>
      <c r="AB288" s="17"/>
      <c r="AC288" s="18"/>
      <c r="AD288" s="48"/>
      <c r="AE288" s="72"/>
      <c r="AF288" s="21"/>
      <c r="AG288" s="73"/>
      <c r="AH288" s="20"/>
      <c r="AI288" s="20"/>
      <c r="AJ288" s="65"/>
      <c r="AK288" s="15"/>
    </row>
    <row r="289" spans="1:37" ht="16.5">
      <c r="A289" s="12"/>
      <c r="B289" s="23"/>
      <c r="C289" s="14"/>
      <c r="D289" s="159"/>
      <c r="E289" s="159"/>
      <c r="F289" s="159"/>
      <c r="G289" s="159"/>
      <c r="H289" s="159"/>
      <c r="I289" s="160"/>
      <c r="J289" s="9"/>
      <c r="K289" s="12"/>
      <c r="L289" s="14"/>
      <c r="M289" s="14"/>
      <c r="N289" s="68"/>
      <c r="O289" s="68"/>
      <c r="P289" s="82"/>
      <c r="Q289" s="9" t="s">
        <v>230</v>
      </c>
      <c r="R289" s="12"/>
      <c r="S289" s="14"/>
      <c r="T289" s="14"/>
      <c r="U289" s="68"/>
      <c r="V289" s="68"/>
      <c r="W289" s="81"/>
      <c r="X289" s="16"/>
      <c r="Y289" s="16"/>
      <c r="Z289" s="16"/>
      <c r="AA289" s="16"/>
      <c r="AB289" s="17"/>
      <c r="AC289" s="18"/>
      <c r="AD289" s="48"/>
      <c r="AE289" s="72"/>
      <c r="AF289" s="21"/>
      <c r="AG289" s="73"/>
      <c r="AH289" s="20"/>
      <c r="AI289" s="20"/>
      <c r="AJ289" s="65"/>
      <c r="AK289" s="15"/>
    </row>
    <row r="290" spans="1:37" ht="16.5">
      <c r="A290" s="12"/>
      <c r="B290" s="23"/>
      <c r="C290" s="14"/>
      <c r="D290" s="159"/>
      <c r="E290" s="159"/>
      <c r="F290" s="159"/>
      <c r="G290" s="159"/>
      <c r="H290" s="159"/>
      <c r="I290" s="160"/>
      <c r="J290" s="9"/>
      <c r="K290" s="12"/>
      <c r="L290" s="14"/>
      <c r="M290" s="14"/>
      <c r="N290" s="68"/>
      <c r="O290" s="68"/>
      <c r="P290" s="82"/>
      <c r="Q290" s="9" t="s">
        <v>230</v>
      </c>
      <c r="R290" s="12"/>
      <c r="S290" s="14"/>
      <c r="T290" s="14"/>
      <c r="U290" s="68"/>
      <c r="V290" s="68"/>
      <c r="W290" s="81"/>
      <c r="X290" s="16"/>
      <c r="Y290" s="16"/>
      <c r="Z290" s="16"/>
      <c r="AA290" s="16"/>
      <c r="AB290" s="17"/>
      <c r="AC290" s="18"/>
      <c r="AD290" s="48"/>
      <c r="AE290" s="72"/>
      <c r="AF290" s="21"/>
      <c r="AG290" s="73"/>
      <c r="AH290" s="20"/>
      <c r="AI290" s="20"/>
      <c r="AJ290" s="65"/>
      <c r="AK290" s="15"/>
    </row>
    <row r="291" spans="1:37" ht="16.5">
      <c r="A291" s="12"/>
      <c r="B291" s="23"/>
      <c r="C291" s="14"/>
      <c r="D291" s="159"/>
      <c r="E291" s="159"/>
      <c r="F291" s="159"/>
      <c r="G291" s="159"/>
      <c r="H291" s="159"/>
      <c r="I291" s="160"/>
      <c r="J291" s="9"/>
      <c r="K291" s="12"/>
      <c r="L291" s="14"/>
      <c r="M291" s="14"/>
      <c r="N291" s="68"/>
      <c r="O291" s="68"/>
      <c r="P291" s="82"/>
      <c r="Q291" s="9" t="s">
        <v>230</v>
      </c>
      <c r="R291" s="12"/>
      <c r="S291" s="14"/>
      <c r="T291" s="14"/>
      <c r="U291" s="68"/>
      <c r="V291" s="68"/>
      <c r="W291" s="81"/>
      <c r="X291" s="16"/>
      <c r="Y291" s="16"/>
      <c r="Z291" s="16"/>
      <c r="AA291" s="16"/>
      <c r="AB291" s="17"/>
      <c r="AC291" s="18"/>
      <c r="AD291" s="48"/>
      <c r="AE291" s="72"/>
      <c r="AF291" s="21"/>
      <c r="AG291" s="73"/>
      <c r="AH291" s="20"/>
      <c r="AI291" s="20"/>
      <c r="AJ291" s="65"/>
      <c r="AK291" s="15"/>
    </row>
    <row r="292" spans="1:37" ht="16.5">
      <c r="A292" s="12"/>
      <c r="B292" s="23"/>
      <c r="C292" s="14"/>
      <c r="D292" s="159"/>
      <c r="E292" s="159"/>
      <c r="F292" s="159"/>
      <c r="G292" s="159"/>
      <c r="H292" s="159"/>
      <c r="I292" s="160"/>
      <c r="J292" s="9"/>
      <c r="K292" s="12"/>
      <c r="L292" s="14"/>
      <c r="M292" s="14"/>
      <c r="N292" s="68"/>
      <c r="O292" s="68"/>
      <c r="P292" s="82"/>
      <c r="Q292" s="9" t="s">
        <v>230</v>
      </c>
      <c r="R292" s="12"/>
      <c r="S292" s="14"/>
      <c r="T292" s="14"/>
      <c r="U292" s="68"/>
      <c r="V292" s="68"/>
      <c r="W292" s="81"/>
      <c r="X292" s="16"/>
      <c r="Y292" s="16"/>
      <c r="Z292" s="16"/>
      <c r="AA292" s="16"/>
      <c r="AB292" s="17"/>
      <c r="AC292" s="18"/>
      <c r="AD292" s="48"/>
      <c r="AE292" s="72"/>
      <c r="AF292" s="21"/>
      <c r="AG292" s="73"/>
      <c r="AH292" s="20"/>
      <c r="AI292" s="20"/>
      <c r="AJ292" s="65"/>
      <c r="AK292" s="15"/>
    </row>
    <row r="293" spans="1:37" ht="16.5">
      <c r="A293" s="12"/>
      <c r="B293" s="23"/>
      <c r="C293" s="14"/>
      <c r="D293" s="159"/>
      <c r="E293" s="159"/>
      <c r="F293" s="159"/>
      <c r="G293" s="159"/>
      <c r="H293" s="159"/>
      <c r="I293" s="160"/>
      <c r="J293" s="9"/>
      <c r="K293" s="12"/>
      <c r="L293" s="14"/>
      <c r="M293" s="14"/>
      <c r="N293" s="68"/>
      <c r="O293" s="68"/>
      <c r="P293" s="82"/>
      <c r="Q293" s="9" t="s">
        <v>230</v>
      </c>
      <c r="R293" s="12"/>
      <c r="S293" s="14"/>
      <c r="T293" s="14"/>
      <c r="U293" s="68"/>
      <c r="V293" s="68"/>
      <c r="W293" s="81"/>
      <c r="X293" s="16"/>
      <c r="Y293" s="16"/>
      <c r="Z293" s="16"/>
      <c r="AA293" s="16"/>
      <c r="AB293" s="17"/>
      <c r="AC293" s="18"/>
      <c r="AD293" s="48"/>
      <c r="AE293" s="72"/>
      <c r="AF293" s="21"/>
      <c r="AG293" s="73"/>
      <c r="AH293" s="20"/>
      <c r="AI293" s="20"/>
      <c r="AJ293" s="65"/>
      <c r="AK293" s="15"/>
    </row>
    <row r="294" spans="1:37" ht="16.5">
      <c r="A294" s="12"/>
      <c r="B294" s="23"/>
      <c r="C294" s="14"/>
      <c r="D294" s="159"/>
      <c r="E294" s="159"/>
      <c r="F294" s="159"/>
      <c r="G294" s="159"/>
      <c r="H294" s="159"/>
      <c r="I294" s="160"/>
      <c r="J294" s="9"/>
      <c r="K294" s="12"/>
      <c r="L294" s="14"/>
      <c r="M294" s="14"/>
      <c r="N294" s="68"/>
      <c r="O294" s="68"/>
      <c r="P294" s="82"/>
      <c r="Q294" s="9" t="s">
        <v>230</v>
      </c>
      <c r="R294" s="12"/>
      <c r="S294" s="14"/>
      <c r="T294" s="14"/>
      <c r="U294" s="68"/>
      <c r="V294" s="68"/>
      <c r="W294" s="81"/>
      <c r="X294" s="16"/>
      <c r="Y294" s="16"/>
      <c r="Z294" s="16"/>
      <c r="AA294" s="16"/>
      <c r="AB294" s="17"/>
      <c r="AC294" s="18"/>
      <c r="AD294" s="48"/>
      <c r="AE294" s="72"/>
      <c r="AF294" s="21"/>
      <c r="AG294" s="73"/>
      <c r="AH294" s="20"/>
      <c r="AI294" s="20"/>
      <c r="AJ294" s="65"/>
      <c r="AK294" s="15"/>
    </row>
    <row r="295" spans="1:37" ht="16.5">
      <c r="A295" s="12"/>
      <c r="B295" s="23"/>
      <c r="C295" s="14"/>
      <c r="D295" s="159"/>
      <c r="E295" s="159"/>
      <c r="F295" s="159"/>
      <c r="G295" s="159"/>
      <c r="H295" s="159"/>
      <c r="I295" s="160"/>
      <c r="J295" s="9"/>
      <c r="K295" s="12"/>
      <c r="L295" s="14"/>
      <c r="M295" s="14"/>
      <c r="N295" s="68"/>
      <c r="O295" s="68"/>
      <c r="P295" s="82"/>
      <c r="Q295" s="9" t="s">
        <v>230</v>
      </c>
      <c r="R295" s="12"/>
      <c r="S295" s="14"/>
      <c r="T295" s="14"/>
      <c r="U295" s="68"/>
      <c r="V295" s="68"/>
      <c r="W295" s="81"/>
      <c r="X295" s="16"/>
      <c r="Y295" s="16"/>
      <c r="Z295" s="16"/>
      <c r="AA295" s="16"/>
      <c r="AB295" s="17"/>
      <c r="AC295" s="18"/>
      <c r="AD295" s="48"/>
      <c r="AE295" s="72"/>
      <c r="AF295" s="21"/>
      <c r="AG295" s="73"/>
      <c r="AH295" s="20"/>
      <c r="AI295" s="20"/>
      <c r="AJ295" s="65"/>
      <c r="AK295" s="15"/>
    </row>
    <row r="296" spans="1:37" ht="16.5">
      <c r="A296" s="12"/>
      <c r="B296" s="23"/>
      <c r="C296" s="14"/>
      <c r="D296" s="159"/>
      <c r="E296" s="159"/>
      <c r="F296" s="159"/>
      <c r="G296" s="159"/>
      <c r="H296" s="159"/>
      <c r="I296" s="160"/>
      <c r="J296" s="9"/>
      <c r="K296" s="12"/>
      <c r="L296" s="14"/>
      <c r="M296" s="14"/>
      <c r="N296" s="68"/>
      <c r="O296" s="68"/>
      <c r="P296" s="82"/>
      <c r="Q296" s="9" t="s">
        <v>230</v>
      </c>
      <c r="R296" s="12"/>
      <c r="S296" s="14"/>
      <c r="T296" s="14"/>
      <c r="U296" s="68"/>
      <c r="V296" s="68"/>
      <c r="W296" s="81"/>
      <c r="X296" s="16"/>
      <c r="Y296" s="16"/>
      <c r="Z296" s="16"/>
      <c r="AA296" s="16"/>
      <c r="AB296" s="17"/>
      <c r="AC296" s="18"/>
      <c r="AD296" s="48"/>
      <c r="AE296" s="72"/>
      <c r="AF296" s="21"/>
      <c r="AG296" s="73"/>
      <c r="AH296" s="20"/>
      <c r="AI296" s="20"/>
      <c r="AJ296" s="65"/>
      <c r="AK296" s="15"/>
    </row>
    <row r="297" spans="1:37" ht="16.5">
      <c r="A297" s="12"/>
      <c r="B297" s="23"/>
      <c r="C297" s="14"/>
      <c r="D297" s="159"/>
      <c r="E297" s="159"/>
      <c r="F297" s="159"/>
      <c r="G297" s="159"/>
      <c r="H297" s="159"/>
      <c r="I297" s="160"/>
      <c r="J297" s="9"/>
      <c r="K297" s="12"/>
      <c r="L297" s="14"/>
      <c r="M297" s="14"/>
      <c r="N297" s="68"/>
      <c r="O297" s="68"/>
      <c r="P297" s="82"/>
      <c r="Q297" s="9" t="s">
        <v>230</v>
      </c>
      <c r="R297" s="12"/>
      <c r="S297" s="14"/>
      <c r="T297" s="14"/>
      <c r="U297" s="68"/>
      <c r="V297" s="68"/>
      <c r="W297" s="81"/>
      <c r="X297" s="16"/>
      <c r="Y297" s="16"/>
      <c r="Z297" s="16"/>
      <c r="AA297" s="16"/>
      <c r="AB297" s="17"/>
      <c r="AC297" s="18"/>
      <c r="AD297" s="48"/>
      <c r="AE297" s="72"/>
      <c r="AF297" s="21"/>
      <c r="AG297" s="73"/>
      <c r="AH297" s="20"/>
      <c r="AI297" s="20"/>
      <c r="AJ297" s="65"/>
      <c r="AK297" s="15"/>
    </row>
    <row r="298" spans="1:37" ht="16.5">
      <c r="A298" s="12"/>
      <c r="B298" s="23"/>
      <c r="C298" s="14"/>
      <c r="D298" s="159"/>
      <c r="E298" s="159"/>
      <c r="F298" s="159"/>
      <c r="G298" s="159"/>
      <c r="H298" s="159"/>
      <c r="I298" s="160"/>
      <c r="J298" s="9"/>
      <c r="K298" s="12"/>
      <c r="L298" s="14"/>
      <c r="M298" s="14"/>
      <c r="N298" s="68"/>
      <c r="O298" s="68"/>
      <c r="P298" s="82"/>
      <c r="Q298" s="9" t="s">
        <v>230</v>
      </c>
      <c r="R298" s="12"/>
      <c r="S298" s="14"/>
      <c r="T298" s="14"/>
      <c r="U298" s="68"/>
      <c r="V298" s="68"/>
      <c r="W298" s="81"/>
      <c r="X298" s="16"/>
      <c r="Y298" s="16"/>
      <c r="Z298" s="16"/>
      <c r="AA298" s="16"/>
      <c r="AB298" s="17"/>
      <c r="AC298" s="18"/>
      <c r="AD298" s="48"/>
      <c r="AE298" s="72"/>
      <c r="AF298" s="21"/>
      <c r="AG298" s="73"/>
      <c r="AH298" s="20"/>
      <c r="AI298" s="20"/>
      <c r="AJ298" s="65"/>
      <c r="AK298" s="15"/>
    </row>
    <row r="299" spans="1:37" ht="16.5">
      <c r="A299" s="12"/>
      <c r="B299" s="23"/>
      <c r="C299" s="14"/>
      <c r="D299" s="159"/>
      <c r="E299" s="159"/>
      <c r="F299" s="159"/>
      <c r="G299" s="159"/>
      <c r="H299" s="159"/>
      <c r="I299" s="160"/>
      <c r="J299" s="9"/>
      <c r="K299" s="12"/>
      <c r="L299" s="14"/>
      <c r="M299" s="14"/>
      <c r="N299" s="68"/>
      <c r="O299" s="68"/>
      <c r="P299" s="82"/>
      <c r="Q299" s="9" t="s">
        <v>230</v>
      </c>
      <c r="R299" s="12"/>
      <c r="S299" s="14"/>
      <c r="T299" s="14"/>
      <c r="U299" s="68"/>
      <c r="V299" s="68"/>
      <c r="W299" s="81"/>
      <c r="X299" s="16"/>
      <c r="Y299" s="16"/>
      <c r="Z299" s="16"/>
      <c r="AA299" s="16"/>
      <c r="AB299" s="17"/>
      <c r="AC299" s="18"/>
      <c r="AD299" s="48"/>
      <c r="AE299" s="72"/>
      <c r="AF299" s="21"/>
      <c r="AG299" s="73"/>
      <c r="AH299" s="20"/>
      <c r="AI299" s="20"/>
      <c r="AJ299" s="65"/>
      <c r="AK299" s="15"/>
    </row>
    <row r="300" spans="1:37" ht="16.5">
      <c r="A300" s="12"/>
      <c r="B300" s="23"/>
      <c r="C300" s="14"/>
      <c r="D300" s="159"/>
      <c r="E300" s="159"/>
      <c r="F300" s="159"/>
      <c r="G300" s="159"/>
      <c r="H300" s="159"/>
      <c r="I300" s="160"/>
      <c r="J300" s="9"/>
      <c r="K300" s="12"/>
      <c r="L300" s="14"/>
      <c r="M300" s="14"/>
      <c r="N300" s="68"/>
      <c r="O300" s="68"/>
      <c r="P300" s="82"/>
      <c r="Q300" s="9" t="s">
        <v>230</v>
      </c>
      <c r="R300" s="12"/>
      <c r="S300" s="14"/>
      <c r="T300" s="14"/>
      <c r="U300" s="68"/>
      <c r="V300" s="68"/>
      <c r="W300" s="81"/>
      <c r="X300" s="16"/>
      <c r="Y300" s="16"/>
      <c r="Z300" s="16"/>
      <c r="AA300" s="16"/>
      <c r="AB300" s="17"/>
      <c r="AC300" s="18"/>
      <c r="AD300" s="48"/>
      <c r="AE300" s="72"/>
      <c r="AF300" s="21"/>
      <c r="AG300" s="73"/>
      <c r="AH300" s="20"/>
      <c r="AI300" s="20"/>
      <c r="AJ300" s="65"/>
      <c r="AK300" s="15"/>
    </row>
    <row r="301" spans="1:37" ht="16.5">
      <c r="A301" s="12"/>
      <c r="B301" s="23"/>
      <c r="C301" s="14"/>
      <c r="D301" s="159"/>
      <c r="E301" s="159"/>
      <c r="F301" s="159"/>
      <c r="G301" s="159"/>
      <c r="H301" s="159"/>
      <c r="I301" s="160"/>
      <c r="J301" s="9"/>
      <c r="K301" s="12"/>
      <c r="L301" s="14"/>
      <c r="M301" s="14"/>
      <c r="N301" s="68"/>
      <c r="O301" s="68"/>
      <c r="P301" s="82"/>
      <c r="Q301" s="9" t="s">
        <v>230</v>
      </c>
      <c r="R301" s="12"/>
      <c r="S301" s="14"/>
      <c r="T301" s="14"/>
      <c r="U301" s="68"/>
      <c r="V301" s="68"/>
      <c r="W301" s="81"/>
      <c r="X301" s="16"/>
      <c r="Y301" s="16"/>
      <c r="Z301" s="16"/>
      <c r="AA301" s="16"/>
      <c r="AB301" s="17"/>
      <c r="AC301" s="18"/>
      <c r="AD301" s="48"/>
      <c r="AE301" s="72"/>
      <c r="AF301" s="21"/>
      <c r="AG301" s="73"/>
      <c r="AH301" s="20"/>
      <c r="AI301" s="20"/>
      <c r="AJ301" s="65"/>
      <c r="AK301" s="15"/>
    </row>
    <row r="302" spans="1:37" ht="16.5">
      <c r="A302" s="12"/>
      <c r="B302" s="23"/>
      <c r="C302" s="14"/>
      <c r="D302" s="159"/>
      <c r="E302" s="159"/>
      <c r="F302" s="159"/>
      <c r="G302" s="159"/>
      <c r="H302" s="159"/>
      <c r="I302" s="160"/>
      <c r="J302" s="9"/>
      <c r="K302" s="12"/>
      <c r="L302" s="14"/>
      <c r="M302" s="14"/>
      <c r="N302" s="68"/>
      <c r="O302" s="68"/>
      <c r="P302" s="82"/>
      <c r="Q302" s="9" t="s">
        <v>230</v>
      </c>
      <c r="R302" s="12"/>
      <c r="S302" s="14"/>
      <c r="T302" s="14"/>
      <c r="U302" s="68"/>
      <c r="V302" s="68"/>
      <c r="W302" s="81"/>
      <c r="X302" s="16"/>
      <c r="Y302" s="16"/>
      <c r="Z302" s="16"/>
      <c r="AA302" s="16"/>
      <c r="AB302" s="17"/>
      <c r="AC302" s="18"/>
      <c r="AD302" s="48"/>
      <c r="AE302" s="72"/>
      <c r="AF302" s="21"/>
      <c r="AG302" s="73"/>
      <c r="AH302" s="20"/>
      <c r="AI302" s="20"/>
      <c r="AJ302" s="65"/>
      <c r="AK302" s="15"/>
    </row>
    <row r="303" spans="1:37" ht="16.5">
      <c r="A303" s="12"/>
      <c r="B303" s="23"/>
      <c r="C303" s="14"/>
      <c r="D303" s="159"/>
      <c r="E303" s="159"/>
      <c r="F303" s="159"/>
      <c r="G303" s="159"/>
      <c r="H303" s="159"/>
      <c r="I303" s="160"/>
      <c r="J303" s="9"/>
      <c r="K303" s="12"/>
      <c r="L303" s="14"/>
      <c r="M303" s="14"/>
      <c r="N303" s="68"/>
      <c r="O303" s="68"/>
      <c r="P303" s="82"/>
      <c r="Q303" s="9" t="s">
        <v>230</v>
      </c>
      <c r="R303" s="12"/>
      <c r="S303" s="14"/>
      <c r="T303" s="14"/>
      <c r="U303" s="68"/>
      <c r="V303" s="68"/>
      <c r="W303" s="81"/>
      <c r="X303" s="16"/>
      <c r="Y303" s="16"/>
      <c r="Z303" s="16"/>
      <c r="AA303" s="16"/>
      <c r="AB303" s="17"/>
      <c r="AC303" s="18"/>
      <c r="AD303" s="48"/>
      <c r="AE303" s="72"/>
      <c r="AF303" s="21"/>
      <c r="AG303" s="73"/>
      <c r="AH303" s="20"/>
      <c r="AI303" s="20"/>
      <c r="AJ303" s="65"/>
      <c r="AK303" s="15"/>
    </row>
    <row r="304" spans="1:37" ht="16.5">
      <c r="A304" s="12"/>
      <c r="B304" s="23"/>
      <c r="C304" s="14"/>
      <c r="D304" s="159"/>
      <c r="E304" s="159"/>
      <c r="F304" s="159"/>
      <c r="G304" s="159"/>
      <c r="H304" s="159"/>
      <c r="I304" s="160"/>
      <c r="J304" s="9"/>
      <c r="K304" s="12"/>
      <c r="L304" s="14"/>
      <c r="M304" s="14"/>
      <c r="N304" s="68"/>
      <c r="O304" s="68"/>
      <c r="P304" s="82"/>
      <c r="Q304" s="9" t="s">
        <v>230</v>
      </c>
      <c r="R304" s="12"/>
      <c r="S304" s="14"/>
      <c r="T304" s="14"/>
      <c r="U304" s="68"/>
      <c r="V304" s="68"/>
      <c r="W304" s="81"/>
      <c r="X304" s="16"/>
      <c r="Y304" s="16"/>
      <c r="Z304" s="16"/>
      <c r="AA304" s="16"/>
      <c r="AB304" s="17"/>
      <c r="AC304" s="18"/>
      <c r="AD304" s="48"/>
      <c r="AE304" s="72"/>
      <c r="AF304" s="21"/>
      <c r="AG304" s="73"/>
      <c r="AH304" s="20"/>
      <c r="AI304" s="20"/>
      <c r="AJ304" s="65"/>
      <c r="AK304" s="15"/>
    </row>
    <row r="305" spans="1:37" ht="16.5">
      <c r="A305" s="12"/>
      <c r="B305" s="23"/>
      <c r="C305" s="14"/>
      <c r="D305" s="159"/>
      <c r="E305" s="159"/>
      <c r="F305" s="159"/>
      <c r="G305" s="159"/>
      <c r="H305" s="159"/>
      <c r="I305" s="160"/>
      <c r="J305" s="9"/>
      <c r="K305" s="12"/>
      <c r="L305" s="14"/>
      <c r="M305" s="14"/>
      <c r="N305" s="68"/>
      <c r="O305" s="68"/>
      <c r="P305" s="82"/>
      <c r="Q305" s="9" t="s">
        <v>230</v>
      </c>
      <c r="R305" s="12"/>
      <c r="S305" s="14"/>
      <c r="T305" s="14"/>
      <c r="U305" s="68"/>
      <c r="V305" s="68"/>
      <c r="W305" s="81"/>
      <c r="X305" s="16"/>
      <c r="Y305" s="16"/>
      <c r="Z305" s="16"/>
      <c r="AA305" s="16"/>
      <c r="AB305" s="17"/>
      <c r="AC305" s="18"/>
      <c r="AD305" s="48"/>
      <c r="AE305" s="72"/>
      <c r="AF305" s="21"/>
      <c r="AG305" s="73"/>
      <c r="AH305" s="20"/>
      <c r="AI305" s="20"/>
      <c r="AJ305" s="65"/>
      <c r="AK305" s="15"/>
    </row>
    <row r="306" spans="1:37" ht="16.5">
      <c r="A306" s="12"/>
      <c r="B306" s="23"/>
      <c r="C306" s="14"/>
      <c r="D306" s="159"/>
      <c r="E306" s="159"/>
      <c r="F306" s="159"/>
      <c r="G306" s="159"/>
      <c r="H306" s="159"/>
      <c r="I306" s="160"/>
      <c r="J306" s="9"/>
      <c r="K306" s="12"/>
      <c r="L306" s="14"/>
      <c r="M306" s="14"/>
      <c r="N306" s="68"/>
      <c r="O306" s="68"/>
      <c r="P306" s="82"/>
      <c r="Q306" s="9" t="s">
        <v>230</v>
      </c>
      <c r="R306" s="12"/>
      <c r="S306" s="14"/>
      <c r="T306" s="14"/>
      <c r="U306" s="68"/>
      <c r="V306" s="68"/>
      <c r="W306" s="81"/>
      <c r="X306" s="16"/>
      <c r="Y306" s="16"/>
      <c r="Z306" s="16"/>
      <c r="AA306" s="16"/>
      <c r="AB306" s="17"/>
      <c r="AC306" s="18"/>
      <c r="AD306" s="48"/>
      <c r="AE306" s="72"/>
      <c r="AF306" s="21"/>
      <c r="AG306" s="73"/>
      <c r="AH306" s="20"/>
      <c r="AI306" s="20"/>
      <c r="AJ306" s="65"/>
      <c r="AK306" s="15"/>
    </row>
    <row r="307" spans="1:37" ht="16.5">
      <c r="A307" s="12"/>
      <c r="B307" s="23"/>
      <c r="C307" s="14"/>
      <c r="D307" s="159"/>
      <c r="E307" s="159"/>
      <c r="F307" s="159"/>
      <c r="G307" s="159"/>
      <c r="H307" s="159"/>
      <c r="I307" s="160"/>
      <c r="J307" s="9"/>
      <c r="K307" s="12"/>
      <c r="L307" s="14"/>
      <c r="M307" s="14"/>
      <c r="N307" s="68"/>
      <c r="O307" s="68"/>
      <c r="P307" s="82"/>
      <c r="Q307" s="9" t="s">
        <v>230</v>
      </c>
      <c r="R307" s="12"/>
      <c r="S307" s="14"/>
      <c r="T307" s="14"/>
      <c r="U307" s="68"/>
      <c r="V307" s="68"/>
      <c r="W307" s="81"/>
      <c r="X307" s="16"/>
      <c r="Y307" s="16"/>
      <c r="Z307" s="16"/>
      <c r="AA307" s="16"/>
      <c r="AB307" s="17"/>
      <c r="AC307" s="18"/>
      <c r="AD307" s="48"/>
      <c r="AE307" s="72"/>
      <c r="AF307" s="21"/>
      <c r="AG307" s="73"/>
      <c r="AH307" s="20"/>
      <c r="AI307" s="20"/>
      <c r="AJ307" s="65"/>
      <c r="AK307" s="15"/>
    </row>
    <row r="308" spans="1:37" ht="16.5">
      <c r="A308" s="12"/>
      <c r="B308" s="23"/>
      <c r="C308" s="14"/>
      <c r="D308" s="159"/>
      <c r="E308" s="159"/>
      <c r="F308" s="159"/>
      <c r="G308" s="159"/>
      <c r="H308" s="159"/>
      <c r="I308" s="160"/>
      <c r="J308" s="9"/>
      <c r="K308" s="12"/>
      <c r="L308" s="14"/>
      <c r="M308" s="14"/>
      <c r="N308" s="68"/>
      <c r="O308" s="68"/>
      <c r="P308" s="82"/>
      <c r="Q308" s="9" t="s">
        <v>230</v>
      </c>
      <c r="R308" s="12"/>
      <c r="S308" s="14"/>
      <c r="T308" s="14"/>
      <c r="U308" s="68"/>
      <c r="V308" s="68"/>
      <c r="W308" s="81"/>
      <c r="X308" s="16"/>
      <c r="Y308" s="16"/>
      <c r="Z308" s="16"/>
      <c r="AA308" s="16"/>
      <c r="AB308" s="17"/>
      <c r="AC308" s="18"/>
      <c r="AD308" s="48"/>
      <c r="AE308" s="72"/>
      <c r="AF308" s="21"/>
      <c r="AG308" s="73"/>
      <c r="AH308" s="20"/>
      <c r="AI308" s="20"/>
      <c r="AJ308" s="65"/>
      <c r="AK308" s="15"/>
    </row>
    <row r="309" spans="1:37" ht="16.5">
      <c r="A309" s="12"/>
      <c r="B309" s="23"/>
      <c r="C309" s="14"/>
      <c r="D309" s="159"/>
      <c r="E309" s="159"/>
      <c r="F309" s="159"/>
      <c r="G309" s="159"/>
      <c r="H309" s="159"/>
      <c r="I309" s="160"/>
      <c r="J309" s="9"/>
      <c r="K309" s="12"/>
      <c r="L309" s="14"/>
      <c r="M309" s="14"/>
      <c r="N309" s="68"/>
      <c r="O309" s="68"/>
      <c r="P309" s="82"/>
      <c r="Q309" s="9" t="s">
        <v>230</v>
      </c>
      <c r="R309" s="12"/>
      <c r="S309" s="14"/>
      <c r="T309" s="14"/>
      <c r="U309" s="68"/>
      <c r="V309" s="68"/>
      <c r="W309" s="81"/>
      <c r="X309" s="16"/>
      <c r="Y309" s="16"/>
      <c r="Z309" s="16"/>
      <c r="AA309" s="16"/>
      <c r="AB309" s="17"/>
      <c r="AC309" s="18"/>
      <c r="AD309" s="48"/>
      <c r="AE309" s="72"/>
      <c r="AF309" s="21"/>
      <c r="AG309" s="73"/>
      <c r="AH309" s="20"/>
      <c r="AI309" s="20"/>
      <c r="AJ309" s="65"/>
      <c r="AK309" s="15"/>
    </row>
    <row r="310" spans="1:37" ht="16.5">
      <c r="A310" s="12"/>
      <c r="B310" s="23"/>
      <c r="C310" s="14"/>
      <c r="D310" s="159"/>
      <c r="E310" s="159"/>
      <c r="F310" s="159"/>
      <c r="G310" s="159"/>
      <c r="H310" s="159"/>
      <c r="I310" s="160"/>
      <c r="J310" s="9"/>
      <c r="K310" s="12"/>
      <c r="L310" s="14"/>
      <c r="M310" s="14"/>
      <c r="N310" s="68"/>
      <c r="O310" s="68"/>
      <c r="P310" s="82"/>
      <c r="Q310" s="9" t="s">
        <v>230</v>
      </c>
      <c r="R310" s="12"/>
      <c r="S310" s="14"/>
      <c r="T310" s="14"/>
      <c r="U310" s="68"/>
      <c r="V310" s="68"/>
      <c r="W310" s="81"/>
      <c r="X310" s="16"/>
      <c r="Y310" s="16"/>
      <c r="Z310" s="16"/>
      <c r="AA310" s="16"/>
      <c r="AB310" s="17"/>
      <c r="AC310" s="18"/>
      <c r="AD310" s="48"/>
      <c r="AE310" s="72"/>
      <c r="AF310" s="21"/>
      <c r="AG310" s="73"/>
      <c r="AH310" s="20"/>
      <c r="AI310" s="20"/>
      <c r="AJ310" s="65"/>
      <c r="AK310" s="15"/>
    </row>
    <row r="311" spans="1:37" ht="16.5">
      <c r="A311" s="12"/>
      <c r="B311" s="23"/>
      <c r="C311" s="14"/>
      <c r="D311" s="159"/>
      <c r="E311" s="159"/>
      <c r="F311" s="159"/>
      <c r="G311" s="159"/>
      <c r="H311" s="159"/>
      <c r="I311" s="160"/>
      <c r="J311" s="9"/>
      <c r="K311" s="12"/>
      <c r="L311" s="14"/>
      <c r="M311" s="14"/>
      <c r="N311" s="68"/>
      <c r="O311" s="68"/>
      <c r="P311" s="82"/>
      <c r="Q311" s="9" t="s">
        <v>230</v>
      </c>
      <c r="R311" s="12"/>
      <c r="S311" s="14"/>
      <c r="T311" s="14"/>
      <c r="U311" s="68"/>
      <c r="V311" s="68"/>
      <c r="W311" s="81"/>
      <c r="X311" s="16"/>
      <c r="Y311" s="16"/>
      <c r="Z311" s="16"/>
      <c r="AA311" s="16"/>
      <c r="AB311" s="17"/>
      <c r="AC311" s="18"/>
      <c r="AD311" s="48"/>
      <c r="AE311" s="72"/>
      <c r="AF311" s="21"/>
      <c r="AG311" s="73"/>
      <c r="AH311" s="20"/>
      <c r="AI311" s="20"/>
      <c r="AJ311" s="65"/>
      <c r="AK311" s="15"/>
    </row>
    <row r="312" spans="1:37" ht="16.5">
      <c r="A312" s="12"/>
      <c r="B312" s="23"/>
      <c r="C312" s="14"/>
      <c r="D312" s="159"/>
      <c r="E312" s="159"/>
      <c r="F312" s="159"/>
      <c r="G312" s="159"/>
      <c r="H312" s="159"/>
      <c r="I312" s="160"/>
      <c r="J312" s="9"/>
      <c r="K312" s="12"/>
      <c r="L312" s="14"/>
      <c r="M312" s="14"/>
      <c r="N312" s="68"/>
      <c r="O312" s="68"/>
      <c r="P312" s="82"/>
      <c r="Q312" s="9" t="s">
        <v>230</v>
      </c>
      <c r="R312" s="12"/>
      <c r="S312" s="14"/>
      <c r="T312" s="14"/>
      <c r="U312" s="68"/>
      <c r="V312" s="68"/>
      <c r="W312" s="81"/>
      <c r="X312" s="16"/>
      <c r="Y312" s="16"/>
      <c r="Z312" s="16"/>
      <c r="AA312" s="16"/>
      <c r="AB312" s="17"/>
      <c r="AC312" s="18"/>
      <c r="AD312" s="48"/>
      <c r="AE312" s="72"/>
      <c r="AF312" s="21"/>
      <c r="AG312" s="73"/>
      <c r="AH312" s="20"/>
      <c r="AI312" s="20"/>
      <c r="AJ312" s="65"/>
      <c r="AK312" s="15"/>
    </row>
    <row r="313" spans="1:37" ht="16.5">
      <c r="A313" s="12"/>
      <c r="B313" s="23"/>
      <c r="C313" s="14"/>
      <c r="D313" s="159"/>
      <c r="E313" s="159"/>
      <c r="F313" s="159"/>
      <c r="G313" s="159"/>
      <c r="H313" s="159"/>
      <c r="I313" s="160"/>
      <c r="J313" s="9"/>
      <c r="K313" s="12"/>
      <c r="L313" s="14"/>
      <c r="M313" s="14"/>
      <c r="N313" s="68"/>
      <c r="O313" s="68"/>
      <c r="P313" s="82"/>
      <c r="Q313" s="9" t="s">
        <v>230</v>
      </c>
      <c r="R313" s="12"/>
      <c r="S313" s="14"/>
      <c r="T313" s="14"/>
      <c r="U313" s="68"/>
      <c r="V313" s="68"/>
      <c r="W313" s="81"/>
      <c r="X313" s="16"/>
      <c r="Y313" s="16"/>
      <c r="Z313" s="16"/>
      <c r="AA313" s="16"/>
      <c r="AB313" s="17"/>
      <c r="AC313" s="18"/>
      <c r="AD313" s="48"/>
      <c r="AE313" s="72"/>
      <c r="AF313" s="21"/>
      <c r="AG313" s="73"/>
      <c r="AH313" s="20"/>
      <c r="AI313" s="20"/>
      <c r="AJ313" s="65"/>
      <c r="AK313" s="15"/>
    </row>
    <row r="314" spans="1:37" ht="16.5">
      <c r="A314" s="12"/>
      <c r="B314" s="23"/>
      <c r="C314" s="14"/>
      <c r="D314" s="159"/>
      <c r="E314" s="159"/>
      <c r="F314" s="159"/>
      <c r="G314" s="159"/>
      <c r="H314" s="159"/>
      <c r="I314" s="160"/>
      <c r="J314" s="9"/>
      <c r="K314" s="12"/>
      <c r="L314" s="14"/>
      <c r="M314" s="14"/>
      <c r="N314" s="68"/>
      <c r="O314" s="68"/>
      <c r="P314" s="82"/>
      <c r="Q314" s="9" t="s">
        <v>230</v>
      </c>
      <c r="R314" s="12"/>
      <c r="S314" s="14"/>
      <c r="T314" s="14"/>
      <c r="U314" s="68"/>
      <c r="V314" s="68"/>
      <c r="W314" s="81"/>
      <c r="X314" s="16"/>
      <c r="Y314" s="16"/>
      <c r="Z314" s="16"/>
      <c r="AA314" s="16"/>
      <c r="AB314" s="17"/>
      <c r="AC314" s="18"/>
      <c r="AD314" s="48"/>
      <c r="AE314" s="72"/>
      <c r="AF314" s="21"/>
      <c r="AG314" s="73"/>
      <c r="AH314" s="20"/>
      <c r="AI314" s="20"/>
      <c r="AJ314" s="65"/>
      <c r="AK314" s="15"/>
    </row>
    <row r="315" spans="1:37" ht="16.5">
      <c r="A315" s="12"/>
      <c r="B315" s="23"/>
      <c r="C315" s="14"/>
      <c r="D315" s="159"/>
      <c r="E315" s="159"/>
      <c r="F315" s="159"/>
      <c r="G315" s="159"/>
      <c r="H315" s="159"/>
      <c r="I315" s="160"/>
      <c r="J315" s="9"/>
      <c r="K315" s="12"/>
      <c r="L315" s="14"/>
      <c r="M315" s="14"/>
      <c r="N315" s="68"/>
      <c r="O315" s="68"/>
      <c r="P315" s="82"/>
      <c r="Q315" s="9" t="s">
        <v>230</v>
      </c>
      <c r="R315" s="12"/>
      <c r="S315" s="14"/>
      <c r="T315" s="14"/>
      <c r="U315" s="68"/>
      <c r="V315" s="68"/>
      <c r="W315" s="81"/>
      <c r="X315" s="16"/>
      <c r="Y315" s="16"/>
      <c r="Z315" s="16"/>
      <c r="AA315" s="16"/>
      <c r="AB315" s="17"/>
      <c r="AC315" s="18"/>
      <c r="AD315" s="48"/>
      <c r="AE315" s="72"/>
      <c r="AF315" s="21"/>
      <c r="AG315" s="73"/>
      <c r="AH315" s="20"/>
      <c r="AI315" s="20"/>
      <c r="AJ315" s="65"/>
      <c r="AK315" s="15"/>
    </row>
    <row r="316" spans="1:37" ht="16.5">
      <c r="A316" s="12"/>
      <c r="B316" s="23"/>
      <c r="C316" s="14"/>
      <c r="D316" s="159"/>
      <c r="E316" s="159"/>
      <c r="F316" s="159"/>
      <c r="G316" s="159"/>
      <c r="H316" s="159"/>
      <c r="I316" s="160"/>
      <c r="J316" s="9"/>
      <c r="K316" s="12"/>
      <c r="L316" s="14"/>
      <c r="M316" s="14"/>
      <c r="N316" s="68"/>
      <c r="O316" s="68"/>
      <c r="P316" s="82"/>
      <c r="Q316" s="9" t="s">
        <v>230</v>
      </c>
      <c r="R316" s="12"/>
      <c r="S316" s="14"/>
      <c r="T316" s="14"/>
      <c r="U316" s="68"/>
      <c r="V316" s="68"/>
      <c r="W316" s="81"/>
      <c r="X316" s="16"/>
      <c r="Y316" s="16"/>
      <c r="Z316" s="16"/>
      <c r="AA316" s="16"/>
      <c r="AB316" s="17"/>
      <c r="AC316" s="18"/>
      <c r="AD316" s="48"/>
      <c r="AE316" s="72"/>
      <c r="AF316" s="21"/>
      <c r="AG316" s="73"/>
      <c r="AH316" s="20"/>
      <c r="AI316" s="20"/>
      <c r="AJ316" s="65"/>
      <c r="AK316" s="15"/>
    </row>
    <row r="317" spans="1:37" ht="16.5">
      <c r="A317" s="12"/>
      <c r="B317" s="23"/>
      <c r="C317" s="14"/>
      <c r="D317" s="159"/>
      <c r="E317" s="159"/>
      <c r="F317" s="159"/>
      <c r="G317" s="159"/>
      <c r="H317" s="159"/>
      <c r="I317" s="160"/>
      <c r="J317" s="9"/>
      <c r="K317" s="12"/>
      <c r="L317" s="14"/>
      <c r="M317" s="14"/>
      <c r="N317" s="68"/>
      <c r="O317" s="68"/>
      <c r="P317" s="82"/>
      <c r="Q317" s="9" t="s">
        <v>230</v>
      </c>
      <c r="R317" s="12"/>
      <c r="S317" s="14"/>
      <c r="T317" s="14"/>
      <c r="U317" s="68"/>
      <c r="V317" s="68"/>
      <c r="W317" s="81"/>
      <c r="X317" s="16"/>
      <c r="Y317" s="16"/>
      <c r="Z317" s="16"/>
      <c r="AA317" s="16"/>
      <c r="AB317" s="17"/>
      <c r="AC317" s="18"/>
      <c r="AD317" s="48"/>
      <c r="AE317" s="72"/>
      <c r="AF317" s="21"/>
      <c r="AG317" s="73"/>
      <c r="AH317" s="20"/>
      <c r="AI317" s="20"/>
      <c r="AJ317" s="65"/>
      <c r="AK317" s="15"/>
    </row>
    <row r="318" spans="1:37" ht="16.5">
      <c r="A318" s="12"/>
      <c r="B318" s="23"/>
      <c r="C318" s="14"/>
      <c r="D318" s="159"/>
      <c r="E318" s="159"/>
      <c r="F318" s="159"/>
      <c r="G318" s="159"/>
      <c r="H318" s="159"/>
      <c r="I318" s="160"/>
      <c r="J318" s="9"/>
      <c r="K318" s="12"/>
      <c r="L318" s="14"/>
      <c r="M318" s="14"/>
      <c r="N318" s="68"/>
      <c r="O318" s="68"/>
      <c r="P318" s="82"/>
      <c r="Q318" s="9" t="s">
        <v>230</v>
      </c>
      <c r="R318" s="12"/>
      <c r="S318" s="14"/>
      <c r="T318" s="14"/>
      <c r="U318" s="68"/>
      <c r="V318" s="68"/>
      <c r="W318" s="81"/>
      <c r="X318" s="16"/>
      <c r="Y318" s="16"/>
      <c r="Z318" s="16"/>
      <c r="AA318" s="16"/>
      <c r="AB318" s="17"/>
      <c r="AC318" s="18"/>
      <c r="AD318" s="48"/>
      <c r="AE318" s="72"/>
      <c r="AF318" s="21"/>
      <c r="AG318" s="73"/>
      <c r="AH318" s="20"/>
      <c r="AI318" s="20"/>
      <c r="AJ318" s="65"/>
      <c r="AK318" s="15"/>
    </row>
    <row r="319" spans="1:37" ht="16.5">
      <c r="A319" s="12"/>
      <c r="B319" s="23"/>
      <c r="C319" s="14"/>
      <c r="D319" s="159"/>
      <c r="E319" s="159"/>
      <c r="F319" s="159"/>
      <c r="G319" s="159"/>
      <c r="H319" s="159"/>
      <c r="I319" s="160"/>
      <c r="J319" s="9"/>
      <c r="K319" s="12"/>
      <c r="L319" s="14"/>
      <c r="M319" s="14"/>
      <c r="N319" s="68"/>
      <c r="O319" s="68"/>
      <c r="P319" s="82"/>
      <c r="Q319" s="9" t="s">
        <v>230</v>
      </c>
      <c r="R319" s="12"/>
      <c r="S319" s="14"/>
      <c r="T319" s="14"/>
      <c r="U319" s="68"/>
      <c r="V319" s="68"/>
      <c r="W319" s="81"/>
      <c r="X319" s="16"/>
      <c r="Y319" s="16"/>
      <c r="Z319" s="16"/>
      <c r="AA319" s="16"/>
      <c r="AB319" s="17"/>
      <c r="AC319" s="18"/>
      <c r="AD319" s="48"/>
      <c r="AE319" s="72"/>
      <c r="AF319" s="21"/>
      <c r="AG319" s="73"/>
      <c r="AH319" s="20"/>
      <c r="AI319" s="20"/>
      <c r="AJ319" s="65"/>
      <c r="AK319" s="15"/>
    </row>
    <row r="320" spans="1:37" ht="16.5">
      <c r="A320" s="12"/>
      <c r="B320" s="23"/>
      <c r="C320" s="14"/>
      <c r="D320" s="159"/>
      <c r="E320" s="159"/>
      <c r="F320" s="159"/>
      <c r="G320" s="159"/>
      <c r="H320" s="159"/>
      <c r="I320" s="160"/>
      <c r="J320" s="9"/>
      <c r="K320" s="12"/>
      <c r="L320" s="14"/>
      <c r="M320" s="14"/>
      <c r="N320" s="68"/>
      <c r="O320" s="68"/>
      <c r="P320" s="82"/>
      <c r="Q320" s="9" t="s">
        <v>230</v>
      </c>
      <c r="R320" s="12"/>
      <c r="S320" s="14"/>
      <c r="T320" s="14"/>
      <c r="U320" s="68"/>
      <c r="V320" s="68"/>
      <c r="W320" s="81"/>
      <c r="X320" s="16"/>
      <c r="Y320" s="16"/>
      <c r="Z320" s="16"/>
      <c r="AA320" s="16"/>
      <c r="AB320" s="17"/>
      <c r="AC320" s="18"/>
      <c r="AD320" s="48"/>
      <c r="AE320" s="72"/>
      <c r="AF320" s="21"/>
      <c r="AG320" s="73"/>
      <c r="AH320" s="20"/>
      <c r="AI320" s="20"/>
      <c r="AJ320" s="65"/>
      <c r="AK320" s="15"/>
    </row>
    <row r="321" spans="1:37" ht="16.5">
      <c r="A321" s="12"/>
      <c r="B321" s="23"/>
      <c r="C321" s="14"/>
      <c r="D321" s="159"/>
      <c r="E321" s="159"/>
      <c r="F321" s="159"/>
      <c r="G321" s="159"/>
      <c r="H321" s="159"/>
      <c r="I321" s="160"/>
      <c r="J321" s="9"/>
      <c r="K321" s="12"/>
      <c r="L321" s="14"/>
      <c r="M321" s="14"/>
      <c r="N321" s="68"/>
      <c r="O321" s="68"/>
      <c r="P321" s="82"/>
      <c r="Q321" s="9" t="s">
        <v>230</v>
      </c>
      <c r="R321" s="12"/>
      <c r="S321" s="14"/>
      <c r="T321" s="14"/>
      <c r="U321" s="68"/>
      <c r="V321" s="68"/>
      <c r="W321" s="81"/>
      <c r="X321" s="16"/>
      <c r="Y321" s="16"/>
      <c r="Z321" s="16"/>
      <c r="AA321" s="16"/>
      <c r="AB321" s="17"/>
      <c r="AC321" s="18"/>
      <c r="AD321" s="48"/>
      <c r="AE321" s="72"/>
      <c r="AF321" s="21"/>
      <c r="AG321" s="73"/>
      <c r="AH321" s="20"/>
      <c r="AI321" s="20"/>
      <c r="AJ321" s="65"/>
      <c r="AK321" s="15"/>
    </row>
    <row r="322" spans="1:37" ht="16.5">
      <c r="A322" s="12"/>
      <c r="B322" s="23"/>
      <c r="C322" s="14"/>
      <c r="D322" s="159"/>
      <c r="E322" s="159"/>
      <c r="F322" s="159"/>
      <c r="G322" s="159"/>
      <c r="H322" s="159"/>
      <c r="I322" s="160"/>
      <c r="J322" s="9"/>
      <c r="K322" s="12"/>
      <c r="L322" s="14"/>
      <c r="M322" s="14"/>
      <c r="N322" s="68"/>
      <c r="O322" s="68"/>
      <c r="P322" s="82"/>
      <c r="Q322" s="9" t="s">
        <v>230</v>
      </c>
      <c r="R322" s="12"/>
      <c r="S322" s="14"/>
      <c r="T322" s="14"/>
      <c r="U322" s="68"/>
      <c r="V322" s="68"/>
      <c r="W322" s="81"/>
      <c r="X322" s="16"/>
      <c r="Y322" s="16"/>
      <c r="Z322" s="16"/>
      <c r="AA322" s="16"/>
      <c r="AB322" s="17"/>
      <c r="AC322" s="18"/>
      <c r="AD322" s="48"/>
      <c r="AE322" s="72"/>
      <c r="AF322" s="21"/>
      <c r="AG322" s="73"/>
      <c r="AH322" s="20"/>
      <c r="AI322" s="20"/>
      <c r="AJ322" s="65"/>
      <c r="AK322" s="15"/>
    </row>
    <row r="323" spans="1:37" ht="16.5">
      <c r="A323" s="12"/>
      <c r="B323" s="23"/>
      <c r="C323" s="14"/>
      <c r="D323" s="159"/>
      <c r="E323" s="159"/>
      <c r="F323" s="159"/>
      <c r="G323" s="159"/>
      <c r="H323" s="159"/>
      <c r="I323" s="160"/>
      <c r="J323" s="9"/>
      <c r="K323" s="12"/>
      <c r="L323" s="14"/>
      <c r="M323" s="14"/>
      <c r="N323" s="68"/>
      <c r="O323" s="68"/>
      <c r="P323" s="82"/>
      <c r="Q323" s="9" t="s">
        <v>230</v>
      </c>
      <c r="R323" s="12"/>
      <c r="S323" s="14"/>
      <c r="T323" s="14"/>
      <c r="U323" s="68"/>
      <c r="V323" s="68"/>
      <c r="W323" s="81"/>
      <c r="X323" s="16"/>
      <c r="Y323" s="16"/>
      <c r="Z323" s="16"/>
      <c r="AA323" s="16"/>
      <c r="AB323" s="17"/>
      <c r="AC323" s="18"/>
      <c r="AD323" s="48"/>
      <c r="AE323" s="72"/>
      <c r="AF323" s="21"/>
      <c r="AG323" s="73"/>
      <c r="AH323" s="20"/>
      <c r="AI323" s="20"/>
      <c r="AJ323" s="65"/>
      <c r="AK323" s="15"/>
    </row>
    <row r="324" spans="1:37" ht="16.5">
      <c r="A324" s="12"/>
      <c r="B324" s="23"/>
      <c r="C324" s="14"/>
      <c r="D324" s="159"/>
      <c r="E324" s="159"/>
      <c r="F324" s="159"/>
      <c r="G324" s="159"/>
      <c r="H324" s="159"/>
      <c r="I324" s="160"/>
      <c r="J324" s="9"/>
      <c r="K324" s="12"/>
      <c r="L324" s="14"/>
      <c r="M324" s="14"/>
      <c r="N324" s="68"/>
      <c r="O324" s="68"/>
      <c r="P324" s="82"/>
      <c r="Q324" s="9" t="s">
        <v>230</v>
      </c>
      <c r="R324" s="12"/>
      <c r="S324" s="14"/>
      <c r="T324" s="14"/>
      <c r="U324" s="68"/>
      <c r="V324" s="68"/>
      <c r="W324" s="81"/>
      <c r="X324" s="16"/>
      <c r="Y324" s="16"/>
      <c r="Z324" s="16"/>
      <c r="AA324" s="16"/>
      <c r="AB324" s="17"/>
      <c r="AC324" s="18"/>
      <c r="AD324" s="48"/>
      <c r="AE324" s="72"/>
      <c r="AF324" s="21"/>
      <c r="AG324" s="73"/>
      <c r="AH324" s="20"/>
      <c r="AI324" s="20"/>
      <c r="AJ324" s="65"/>
      <c r="AK324" s="15"/>
    </row>
    <row r="325" spans="1:37" ht="16.5">
      <c r="A325" s="12"/>
      <c r="B325" s="23"/>
      <c r="C325" s="14"/>
      <c r="D325" s="159"/>
      <c r="E325" s="159"/>
      <c r="F325" s="159"/>
      <c r="G325" s="159"/>
      <c r="H325" s="159"/>
      <c r="I325" s="160"/>
      <c r="J325" s="9"/>
      <c r="K325" s="12"/>
      <c r="L325" s="14"/>
      <c r="M325" s="14"/>
      <c r="N325" s="68"/>
      <c r="O325" s="68"/>
      <c r="P325" s="82"/>
      <c r="Q325" s="9" t="s">
        <v>230</v>
      </c>
      <c r="R325" s="12"/>
      <c r="S325" s="14"/>
      <c r="T325" s="14"/>
      <c r="U325" s="68"/>
      <c r="V325" s="68"/>
      <c r="W325" s="81"/>
      <c r="X325" s="16"/>
      <c r="Y325" s="16"/>
      <c r="Z325" s="16"/>
      <c r="AA325" s="16"/>
      <c r="AB325" s="17"/>
      <c r="AC325" s="18"/>
      <c r="AD325" s="48"/>
      <c r="AE325" s="72"/>
      <c r="AF325" s="21"/>
      <c r="AG325" s="73"/>
      <c r="AH325" s="20"/>
      <c r="AI325" s="20"/>
      <c r="AJ325" s="65"/>
      <c r="AK325" s="15"/>
    </row>
    <row r="326" spans="1:37" ht="16.5">
      <c r="A326" s="12"/>
      <c r="B326" s="23"/>
      <c r="C326" s="14"/>
      <c r="D326" s="159"/>
      <c r="E326" s="159"/>
      <c r="F326" s="159"/>
      <c r="G326" s="159"/>
      <c r="H326" s="159"/>
      <c r="I326" s="160"/>
      <c r="J326" s="9"/>
      <c r="K326" s="12"/>
      <c r="L326" s="14"/>
      <c r="M326" s="14"/>
      <c r="N326" s="68"/>
      <c r="O326" s="68"/>
      <c r="P326" s="82"/>
      <c r="Q326" s="9" t="s">
        <v>230</v>
      </c>
      <c r="R326" s="12"/>
      <c r="S326" s="14"/>
      <c r="T326" s="14"/>
      <c r="U326" s="68"/>
      <c r="V326" s="68"/>
      <c r="W326" s="81"/>
      <c r="X326" s="16"/>
      <c r="Y326" s="16"/>
      <c r="Z326" s="16"/>
      <c r="AA326" s="16"/>
      <c r="AB326" s="17"/>
      <c r="AC326" s="18"/>
      <c r="AD326" s="48"/>
      <c r="AE326" s="72"/>
      <c r="AF326" s="21"/>
      <c r="AG326" s="73"/>
      <c r="AH326" s="20"/>
      <c r="AI326" s="20"/>
      <c r="AJ326" s="65"/>
      <c r="AK326" s="15"/>
    </row>
    <row r="327" spans="1:37" ht="16.5">
      <c r="A327" s="12"/>
      <c r="B327" s="23"/>
      <c r="C327" s="14"/>
      <c r="D327" s="159"/>
      <c r="E327" s="159"/>
      <c r="F327" s="159"/>
      <c r="G327" s="159"/>
      <c r="H327" s="159"/>
      <c r="I327" s="160"/>
      <c r="J327" s="9"/>
      <c r="K327" s="12"/>
      <c r="L327" s="14"/>
      <c r="M327" s="14"/>
      <c r="N327" s="68"/>
      <c r="O327" s="68"/>
      <c r="P327" s="82"/>
      <c r="Q327" s="9" t="s">
        <v>230</v>
      </c>
      <c r="R327" s="12"/>
      <c r="S327" s="14"/>
      <c r="T327" s="14"/>
      <c r="U327" s="68"/>
      <c r="V327" s="68"/>
      <c r="W327" s="81"/>
      <c r="X327" s="16"/>
      <c r="Y327" s="16"/>
      <c r="Z327" s="16"/>
      <c r="AA327" s="16"/>
      <c r="AB327" s="17"/>
      <c r="AC327" s="18"/>
      <c r="AD327" s="48"/>
      <c r="AE327" s="72"/>
      <c r="AF327" s="21"/>
      <c r="AG327" s="73"/>
      <c r="AH327" s="20"/>
      <c r="AI327" s="20"/>
      <c r="AJ327" s="65"/>
      <c r="AK327" s="15"/>
    </row>
    <row r="328" spans="1:37" ht="16.5">
      <c r="A328" s="12"/>
      <c r="B328" s="23"/>
      <c r="C328" s="14"/>
      <c r="D328" s="159"/>
      <c r="E328" s="159"/>
      <c r="F328" s="159"/>
      <c r="G328" s="159"/>
      <c r="H328" s="159"/>
      <c r="I328" s="160"/>
      <c r="J328" s="9"/>
      <c r="K328" s="12"/>
      <c r="L328" s="14"/>
      <c r="M328" s="14"/>
      <c r="N328" s="68"/>
      <c r="O328" s="68"/>
      <c r="P328" s="82"/>
      <c r="Q328" s="9" t="s">
        <v>230</v>
      </c>
      <c r="R328" s="12"/>
      <c r="S328" s="14"/>
      <c r="T328" s="14"/>
      <c r="U328" s="68"/>
      <c r="V328" s="68"/>
      <c r="W328" s="81"/>
      <c r="X328" s="16"/>
      <c r="Y328" s="16"/>
      <c r="Z328" s="16"/>
      <c r="AA328" s="16"/>
      <c r="AB328" s="17"/>
      <c r="AC328" s="18"/>
      <c r="AD328" s="48"/>
      <c r="AE328" s="72"/>
      <c r="AF328" s="21"/>
      <c r="AG328" s="73"/>
      <c r="AH328" s="20"/>
      <c r="AI328" s="20"/>
      <c r="AJ328" s="65"/>
      <c r="AK328" s="15"/>
    </row>
    <row r="329" spans="1:37" ht="16.5">
      <c r="A329" s="12"/>
      <c r="B329" s="23"/>
      <c r="C329" s="14"/>
      <c r="D329" s="159"/>
      <c r="E329" s="159"/>
      <c r="F329" s="159"/>
      <c r="G329" s="159"/>
      <c r="H329" s="159"/>
      <c r="I329" s="160"/>
      <c r="J329" s="9"/>
      <c r="K329" s="12"/>
      <c r="L329" s="14"/>
      <c r="M329" s="14"/>
      <c r="N329" s="68"/>
      <c r="O329" s="68"/>
      <c r="P329" s="82"/>
      <c r="Q329" s="9" t="s">
        <v>230</v>
      </c>
      <c r="R329" s="12"/>
      <c r="S329" s="14"/>
      <c r="T329" s="14"/>
      <c r="U329" s="68"/>
      <c r="V329" s="68"/>
      <c r="W329" s="81"/>
      <c r="X329" s="16"/>
      <c r="Y329" s="16"/>
      <c r="Z329" s="16"/>
      <c r="AA329" s="16"/>
      <c r="AB329" s="17"/>
      <c r="AC329" s="18"/>
      <c r="AD329" s="48"/>
      <c r="AE329" s="72"/>
      <c r="AF329" s="21"/>
      <c r="AG329" s="73"/>
      <c r="AH329" s="20"/>
      <c r="AI329" s="20"/>
      <c r="AJ329" s="65"/>
      <c r="AK329" s="15"/>
    </row>
    <row r="330" spans="1:37" ht="16.5">
      <c r="A330" s="12"/>
      <c r="B330" s="23"/>
      <c r="C330" s="14"/>
      <c r="D330" s="159"/>
      <c r="E330" s="159"/>
      <c r="F330" s="159"/>
      <c r="G330" s="159"/>
      <c r="H330" s="159"/>
      <c r="I330" s="160"/>
      <c r="J330" s="9"/>
      <c r="K330" s="12"/>
      <c r="L330" s="14"/>
      <c r="M330" s="14"/>
      <c r="N330" s="68"/>
      <c r="O330" s="68"/>
      <c r="P330" s="82"/>
      <c r="Q330" s="9" t="s">
        <v>230</v>
      </c>
      <c r="R330" s="12"/>
      <c r="S330" s="14"/>
      <c r="T330" s="14"/>
      <c r="U330" s="68"/>
      <c r="V330" s="68"/>
      <c r="W330" s="81"/>
      <c r="X330" s="16"/>
      <c r="Y330" s="16"/>
      <c r="Z330" s="16"/>
      <c r="AA330" s="16"/>
      <c r="AB330" s="17"/>
      <c r="AC330" s="18"/>
      <c r="AD330" s="48"/>
      <c r="AE330" s="72"/>
      <c r="AF330" s="21"/>
      <c r="AG330" s="73"/>
      <c r="AH330" s="20"/>
      <c r="AI330" s="20"/>
      <c r="AJ330" s="65"/>
      <c r="AK330" s="15"/>
    </row>
    <row r="331" spans="1:37" ht="16.5">
      <c r="A331" s="12"/>
      <c r="B331" s="23"/>
      <c r="C331" s="14"/>
      <c r="D331" s="159"/>
      <c r="E331" s="159"/>
      <c r="F331" s="159"/>
      <c r="G331" s="159"/>
      <c r="H331" s="159"/>
      <c r="I331" s="160"/>
      <c r="J331" s="9"/>
      <c r="K331" s="12"/>
      <c r="L331" s="14"/>
      <c r="M331" s="14"/>
      <c r="N331" s="68"/>
      <c r="O331" s="68"/>
      <c r="P331" s="82"/>
      <c r="Q331" s="9" t="s">
        <v>230</v>
      </c>
      <c r="R331" s="12"/>
      <c r="S331" s="14"/>
      <c r="T331" s="14"/>
      <c r="U331" s="68"/>
      <c r="V331" s="68"/>
      <c r="W331" s="81"/>
      <c r="X331" s="16"/>
      <c r="Y331" s="16"/>
      <c r="Z331" s="16"/>
      <c r="AA331" s="16"/>
      <c r="AB331" s="17"/>
      <c r="AC331" s="18"/>
      <c r="AD331" s="48"/>
      <c r="AE331" s="72"/>
      <c r="AF331" s="21"/>
      <c r="AG331" s="73"/>
      <c r="AH331" s="20"/>
      <c r="AI331" s="20"/>
      <c r="AJ331" s="65"/>
      <c r="AK331" s="15"/>
    </row>
    <row r="332" spans="1:37" ht="16.5">
      <c r="A332" s="12"/>
      <c r="B332" s="23"/>
      <c r="C332" s="14"/>
      <c r="D332" s="159"/>
      <c r="E332" s="159"/>
      <c r="F332" s="159"/>
      <c r="G332" s="159"/>
      <c r="H332" s="159"/>
      <c r="I332" s="160"/>
      <c r="J332" s="9"/>
      <c r="K332" s="12"/>
      <c r="L332" s="14"/>
      <c r="M332" s="14"/>
      <c r="N332" s="68"/>
      <c r="O332" s="68"/>
      <c r="P332" s="82"/>
      <c r="Q332" s="9" t="s">
        <v>230</v>
      </c>
      <c r="R332" s="12"/>
      <c r="S332" s="14"/>
      <c r="T332" s="14"/>
      <c r="U332" s="68"/>
      <c r="V332" s="68"/>
      <c r="W332" s="81"/>
      <c r="X332" s="16"/>
      <c r="Y332" s="16"/>
      <c r="Z332" s="16"/>
      <c r="AA332" s="16"/>
      <c r="AB332" s="17"/>
      <c r="AC332" s="18"/>
      <c r="AD332" s="48"/>
      <c r="AE332" s="72"/>
      <c r="AF332" s="21"/>
      <c r="AG332" s="73"/>
      <c r="AH332" s="20"/>
      <c r="AI332" s="20"/>
      <c r="AJ332" s="65"/>
      <c r="AK332" s="15"/>
    </row>
    <row r="333" spans="1:37" ht="16.5">
      <c r="A333" s="12"/>
      <c r="B333" s="23"/>
      <c r="C333" s="14"/>
      <c r="D333" s="159"/>
      <c r="E333" s="159"/>
      <c r="F333" s="159"/>
      <c r="G333" s="159"/>
      <c r="H333" s="159"/>
      <c r="I333" s="160"/>
      <c r="J333" s="9"/>
      <c r="K333" s="12"/>
      <c r="L333" s="14"/>
      <c r="M333" s="14"/>
      <c r="N333" s="68"/>
      <c r="O333" s="68"/>
      <c r="P333" s="82"/>
      <c r="Q333" s="9" t="s">
        <v>230</v>
      </c>
      <c r="R333" s="12"/>
      <c r="S333" s="14"/>
      <c r="T333" s="14"/>
      <c r="U333" s="68"/>
      <c r="V333" s="68"/>
      <c r="W333" s="81"/>
      <c r="X333" s="16"/>
      <c r="Y333" s="16"/>
      <c r="Z333" s="16"/>
      <c r="AA333" s="16"/>
      <c r="AB333" s="17"/>
      <c r="AC333" s="18"/>
      <c r="AD333" s="48"/>
      <c r="AE333" s="72"/>
      <c r="AF333" s="21"/>
      <c r="AG333" s="73"/>
      <c r="AH333" s="20"/>
      <c r="AI333" s="20"/>
      <c r="AJ333" s="65"/>
      <c r="AK333" s="15"/>
    </row>
    <row r="334" spans="1:37" ht="16.5">
      <c r="A334" s="12"/>
      <c r="B334" s="23"/>
      <c r="C334" s="14"/>
      <c r="D334" s="159"/>
      <c r="E334" s="159"/>
      <c r="F334" s="159"/>
      <c r="G334" s="159"/>
      <c r="H334" s="159"/>
      <c r="I334" s="160"/>
      <c r="J334" s="9"/>
      <c r="K334" s="12"/>
      <c r="L334" s="14"/>
      <c r="M334" s="14"/>
      <c r="N334" s="68"/>
      <c r="O334" s="68"/>
      <c r="P334" s="82"/>
      <c r="Q334" s="9" t="s">
        <v>230</v>
      </c>
      <c r="R334" s="12"/>
      <c r="S334" s="14"/>
      <c r="T334" s="14"/>
      <c r="U334" s="68"/>
      <c r="V334" s="68"/>
      <c r="W334" s="81"/>
      <c r="X334" s="16"/>
      <c r="Y334" s="16"/>
      <c r="Z334" s="16"/>
      <c r="AA334" s="16"/>
      <c r="AB334" s="17"/>
      <c r="AC334" s="18"/>
      <c r="AD334" s="48"/>
      <c r="AE334" s="72"/>
      <c r="AF334" s="21"/>
      <c r="AG334" s="73"/>
      <c r="AH334" s="20"/>
      <c r="AI334" s="20"/>
      <c r="AJ334" s="65"/>
      <c r="AK334" s="15"/>
    </row>
    <row r="335" spans="1:37" ht="16.5">
      <c r="A335" s="12"/>
      <c r="B335" s="23"/>
      <c r="C335" s="14"/>
      <c r="D335" s="159"/>
      <c r="E335" s="159"/>
      <c r="F335" s="159"/>
      <c r="G335" s="159"/>
      <c r="H335" s="159"/>
      <c r="I335" s="160"/>
      <c r="J335" s="9"/>
      <c r="K335" s="12"/>
      <c r="L335" s="14"/>
      <c r="M335" s="14"/>
      <c r="N335" s="68"/>
      <c r="O335" s="68"/>
      <c r="P335" s="82"/>
      <c r="Q335" s="9" t="s">
        <v>230</v>
      </c>
      <c r="R335" s="12"/>
      <c r="S335" s="14"/>
      <c r="T335" s="14"/>
      <c r="U335" s="68"/>
      <c r="V335" s="68"/>
      <c r="W335" s="81"/>
      <c r="X335" s="16"/>
      <c r="Y335" s="16"/>
      <c r="Z335" s="16"/>
      <c r="AA335" s="16"/>
      <c r="AB335" s="17"/>
      <c r="AC335" s="18"/>
      <c r="AD335" s="48"/>
      <c r="AE335" s="72"/>
      <c r="AF335" s="21"/>
      <c r="AG335" s="73"/>
      <c r="AH335" s="20"/>
      <c r="AI335" s="20"/>
      <c r="AJ335" s="65"/>
      <c r="AK335" s="15"/>
    </row>
    <row r="336" spans="1:37" ht="16.5">
      <c r="A336" s="12"/>
      <c r="B336" s="23"/>
      <c r="C336" s="14"/>
      <c r="D336" s="159"/>
      <c r="E336" s="159"/>
      <c r="F336" s="159"/>
      <c r="G336" s="159"/>
      <c r="H336" s="159"/>
      <c r="I336" s="160"/>
      <c r="J336" s="9"/>
      <c r="K336" s="12"/>
      <c r="L336" s="14"/>
      <c r="M336" s="14"/>
      <c r="N336" s="68"/>
      <c r="O336" s="68"/>
      <c r="P336" s="82"/>
      <c r="Q336" s="9" t="s">
        <v>230</v>
      </c>
      <c r="R336" s="12"/>
      <c r="S336" s="14"/>
      <c r="T336" s="14"/>
      <c r="U336" s="68"/>
      <c r="V336" s="68"/>
      <c r="W336" s="81"/>
      <c r="X336" s="16"/>
      <c r="Y336" s="16"/>
      <c r="Z336" s="16"/>
      <c r="AA336" s="16"/>
      <c r="AB336" s="17"/>
      <c r="AC336" s="18"/>
      <c r="AD336" s="48"/>
      <c r="AE336" s="72"/>
      <c r="AF336" s="21"/>
      <c r="AG336" s="73"/>
      <c r="AH336" s="20"/>
      <c r="AI336" s="20"/>
      <c r="AJ336" s="65"/>
      <c r="AK336" s="15"/>
    </row>
    <row r="337" spans="1:37" ht="16.5">
      <c r="A337" s="12"/>
      <c r="B337" s="23"/>
      <c r="C337" s="14"/>
      <c r="D337" s="159"/>
      <c r="E337" s="159"/>
      <c r="F337" s="159"/>
      <c r="G337" s="159"/>
      <c r="H337" s="159"/>
      <c r="I337" s="160"/>
      <c r="J337" s="9"/>
      <c r="K337" s="12"/>
      <c r="L337" s="14"/>
      <c r="M337" s="14"/>
      <c r="N337" s="68"/>
      <c r="O337" s="68"/>
      <c r="P337" s="82"/>
      <c r="Q337" s="9" t="s">
        <v>230</v>
      </c>
      <c r="R337" s="12"/>
      <c r="S337" s="14"/>
      <c r="T337" s="14"/>
      <c r="U337" s="68"/>
      <c r="V337" s="68"/>
      <c r="W337" s="81"/>
      <c r="X337" s="16"/>
      <c r="Y337" s="16"/>
      <c r="Z337" s="16"/>
      <c r="AA337" s="16"/>
      <c r="AB337" s="17"/>
      <c r="AC337" s="18"/>
      <c r="AD337" s="48"/>
      <c r="AE337" s="72"/>
      <c r="AF337" s="21"/>
      <c r="AG337" s="73"/>
      <c r="AH337" s="20"/>
      <c r="AI337" s="20"/>
      <c r="AJ337" s="65"/>
      <c r="AK337" s="15"/>
    </row>
    <row r="338" spans="1:37" ht="16.5">
      <c r="A338" s="12"/>
      <c r="B338" s="23"/>
      <c r="C338" s="14"/>
      <c r="D338" s="159"/>
      <c r="E338" s="159"/>
      <c r="F338" s="159"/>
      <c r="G338" s="159"/>
      <c r="H338" s="159"/>
      <c r="I338" s="160"/>
      <c r="J338" s="9"/>
      <c r="K338" s="12"/>
      <c r="L338" s="14"/>
      <c r="M338" s="14"/>
      <c r="N338" s="68"/>
      <c r="O338" s="68"/>
      <c r="P338" s="82"/>
      <c r="Q338" s="9" t="s">
        <v>230</v>
      </c>
      <c r="R338" s="12"/>
      <c r="S338" s="14"/>
      <c r="T338" s="14"/>
      <c r="U338" s="68"/>
      <c r="V338" s="68"/>
      <c r="W338" s="81"/>
      <c r="X338" s="16"/>
      <c r="Y338" s="16"/>
      <c r="Z338" s="16"/>
      <c r="AA338" s="16"/>
      <c r="AB338" s="17"/>
      <c r="AC338" s="18"/>
      <c r="AD338" s="48"/>
      <c r="AE338" s="72"/>
      <c r="AF338" s="21"/>
      <c r="AG338" s="73"/>
      <c r="AH338" s="20"/>
      <c r="AI338" s="20"/>
      <c r="AJ338" s="65"/>
      <c r="AK338" s="15"/>
    </row>
    <row r="339" spans="1:37" ht="16.5">
      <c r="A339" s="12"/>
      <c r="B339" s="23"/>
      <c r="C339" s="14"/>
      <c r="D339" s="159"/>
      <c r="E339" s="159"/>
      <c r="F339" s="159"/>
      <c r="G339" s="159"/>
      <c r="H339" s="159"/>
      <c r="I339" s="160"/>
      <c r="J339" s="9"/>
      <c r="K339" s="12"/>
      <c r="L339" s="14"/>
      <c r="M339" s="14"/>
      <c r="N339" s="68"/>
      <c r="O339" s="68"/>
      <c r="P339" s="82"/>
      <c r="Q339" s="9" t="s">
        <v>230</v>
      </c>
      <c r="R339" s="12"/>
      <c r="S339" s="14"/>
      <c r="T339" s="14"/>
      <c r="U339" s="68"/>
      <c r="V339" s="68"/>
      <c r="W339" s="81"/>
      <c r="X339" s="16"/>
      <c r="Y339" s="16"/>
      <c r="Z339" s="16"/>
      <c r="AA339" s="16"/>
      <c r="AB339" s="17"/>
      <c r="AC339" s="18"/>
      <c r="AD339" s="48"/>
      <c r="AE339" s="72"/>
      <c r="AF339" s="21"/>
      <c r="AG339" s="73"/>
      <c r="AH339" s="20"/>
      <c r="AI339" s="20"/>
      <c r="AJ339" s="65"/>
      <c r="AK339" s="15"/>
    </row>
    <row r="340" spans="1:37" ht="16.5">
      <c r="A340" s="12"/>
      <c r="B340" s="23"/>
      <c r="C340" s="14"/>
      <c r="D340" s="159"/>
      <c r="E340" s="159"/>
      <c r="F340" s="159"/>
      <c r="G340" s="159"/>
      <c r="H340" s="159"/>
      <c r="I340" s="160"/>
      <c r="J340" s="9"/>
      <c r="K340" s="12"/>
      <c r="L340" s="14"/>
      <c r="M340" s="14"/>
      <c r="N340" s="68"/>
      <c r="O340" s="68"/>
      <c r="P340" s="82"/>
      <c r="Q340" s="9" t="s">
        <v>230</v>
      </c>
      <c r="R340" s="12"/>
      <c r="S340" s="14"/>
      <c r="T340" s="14"/>
      <c r="U340" s="68"/>
      <c r="V340" s="68"/>
      <c r="W340" s="81"/>
      <c r="X340" s="16"/>
      <c r="Y340" s="16"/>
      <c r="Z340" s="16"/>
      <c r="AA340" s="16"/>
      <c r="AB340" s="17"/>
      <c r="AC340" s="18"/>
      <c r="AD340" s="48"/>
      <c r="AE340" s="72"/>
      <c r="AF340" s="21"/>
      <c r="AG340" s="73"/>
      <c r="AH340" s="20"/>
      <c r="AI340" s="20"/>
      <c r="AJ340" s="65"/>
      <c r="AK340" s="15"/>
    </row>
    <row r="341" spans="1:37" ht="16.5">
      <c r="A341" s="12"/>
      <c r="B341" s="23"/>
      <c r="C341" s="14"/>
      <c r="D341" s="159"/>
      <c r="E341" s="159"/>
      <c r="F341" s="159"/>
      <c r="G341" s="159"/>
      <c r="H341" s="159"/>
      <c r="I341" s="160"/>
      <c r="J341" s="9"/>
      <c r="K341" s="12"/>
      <c r="L341" s="14"/>
      <c r="M341" s="14"/>
      <c r="N341" s="68"/>
      <c r="O341" s="68"/>
      <c r="P341" s="82"/>
      <c r="Q341" s="9" t="s">
        <v>230</v>
      </c>
      <c r="R341" s="12"/>
      <c r="S341" s="14"/>
      <c r="T341" s="14"/>
      <c r="U341" s="68"/>
      <c r="V341" s="68"/>
      <c r="W341" s="81"/>
      <c r="X341" s="16"/>
      <c r="Y341" s="16"/>
      <c r="Z341" s="16"/>
      <c r="AA341" s="16"/>
      <c r="AB341" s="17"/>
      <c r="AC341" s="18"/>
      <c r="AD341" s="48"/>
      <c r="AE341" s="72"/>
      <c r="AF341" s="21"/>
      <c r="AG341" s="73"/>
      <c r="AH341" s="20"/>
      <c r="AI341" s="20"/>
      <c r="AJ341" s="65"/>
      <c r="AK341" s="15"/>
    </row>
    <row r="342" spans="1:37" ht="16.5">
      <c r="A342" s="12"/>
      <c r="B342" s="23"/>
      <c r="C342" s="14"/>
      <c r="D342" s="159"/>
      <c r="E342" s="159"/>
      <c r="F342" s="159"/>
      <c r="G342" s="159"/>
      <c r="H342" s="159"/>
      <c r="I342" s="160"/>
      <c r="J342" s="9"/>
      <c r="K342" s="12"/>
      <c r="L342" s="14"/>
      <c r="M342" s="14"/>
      <c r="N342" s="68"/>
      <c r="O342" s="68"/>
      <c r="P342" s="82"/>
      <c r="Q342" s="9" t="s">
        <v>230</v>
      </c>
      <c r="R342" s="12"/>
      <c r="S342" s="14"/>
      <c r="T342" s="14"/>
      <c r="U342" s="68"/>
      <c r="V342" s="68"/>
      <c r="W342" s="81"/>
      <c r="X342" s="16"/>
      <c r="Y342" s="16"/>
      <c r="Z342" s="16"/>
      <c r="AA342" s="16"/>
      <c r="AB342" s="17"/>
      <c r="AC342" s="18"/>
      <c r="AD342" s="48"/>
      <c r="AE342" s="72"/>
      <c r="AF342" s="21"/>
      <c r="AG342" s="73"/>
      <c r="AH342" s="20"/>
      <c r="AI342" s="20"/>
      <c r="AJ342" s="65"/>
      <c r="AK342" s="15"/>
    </row>
    <row r="343" spans="1:37" ht="16.5">
      <c r="A343" s="12"/>
      <c r="B343" s="23"/>
      <c r="C343" s="14"/>
      <c r="D343" s="159"/>
      <c r="E343" s="159"/>
      <c r="F343" s="159"/>
      <c r="G343" s="159"/>
      <c r="H343" s="159"/>
      <c r="I343" s="160"/>
      <c r="J343" s="9"/>
      <c r="K343" s="12"/>
      <c r="L343" s="14"/>
      <c r="M343" s="14"/>
      <c r="N343" s="68"/>
      <c r="O343" s="68"/>
      <c r="P343" s="82"/>
      <c r="Q343" s="9" t="s">
        <v>230</v>
      </c>
      <c r="R343" s="12"/>
      <c r="S343" s="14"/>
      <c r="T343" s="14"/>
      <c r="U343" s="68"/>
      <c r="V343" s="68"/>
      <c r="W343" s="81"/>
      <c r="X343" s="16"/>
      <c r="Y343" s="16"/>
      <c r="Z343" s="16"/>
      <c r="AA343" s="16"/>
      <c r="AB343" s="17"/>
      <c r="AC343" s="18"/>
      <c r="AD343" s="48"/>
      <c r="AE343" s="72"/>
      <c r="AF343" s="21"/>
      <c r="AG343" s="73"/>
      <c r="AH343" s="20"/>
      <c r="AI343" s="20"/>
      <c r="AJ343" s="65"/>
      <c r="AK343" s="15"/>
    </row>
    <row r="344" spans="1:37" ht="16.5">
      <c r="A344" s="12"/>
      <c r="B344" s="23"/>
      <c r="C344" s="14"/>
      <c r="D344" s="159"/>
      <c r="E344" s="159"/>
      <c r="F344" s="159"/>
      <c r="G344" s="159"/>
      <c r="H344" s="159"/>
      <c r="I344" s="160"/>
      <c r="J344" s="9"/>
      <c r="K344" s="12"/>
      <c r="L344" s="14"/>
      <c r="M344" s="14"/>
      <c r="N344" s="68"/>
      <c r="O344" s="68"/>
      <c r="P344" s="82"/>
      <c r="Q344" s="9" t="s">
        <v>230</v>
      </c>
      <c r="R344" s="12"/>
      <c r="S344" s="14"/>
      <c r="T344" s="14"/>
      <c r="U344" s="68"/>
      <c r="V344" s="68"/>
      <c r="W344" s="81"/>
      <c r="X344" s="16"/>
      <c r="Y344" s="16"/>
      <c r="Z344" s="16"/>
      <c r="AA344" s="16"/>
      <c r="AB344" s="17"/>
      <c r="AC344" s="18"/>
      <c r="AD344" s="48"/>
      <c r="AE344" s="72"/>
      <c r="AF344" s="21"/>
      <c r="AG344" s="73"/>
      <c r="AH344" s="20"/>
      <c r="AI344" s="20"/>
      <c r="AJ344" s="65"/>
      <c r="AK344" s="15"/>
    </row>
    <row r="345" spans="1:37" ht="16.5">
      <c r="A345" s="12"/>
      <c r="B345" s="23"/>
      <c r="C345" s="14"/>
      <c r="D345" s="159"/>
      <c r="E345" s="159"/>
      <c r="F345" s="159"/>
      <c r="G345" s="159"/>
      <c r="H345" s="159"/>
      <c r="I345" s="160"/>
      <c r="J345" s="9"/>
      <c r="K345" s="12"/>
      <c r="L345" s="14"/>
      <c r="M345" s="14"/>
      <c r="N345" s="68"/>
      <c r="O345" s="68"/>
      <c r="P345" s="82"/>
      <c r="Q345" s="9" t="s">
        <v>230</v>
      </c>
      <c r="R345" s="12"/>
      <c r="S345" s="14"/>
      <c r="T345" s="14"/>
      <c r="U345" s="68"/>
      <c r="V345" s="68"/>
      <c r="W345" s="81"/>
      <c r="X345" s="16"/>
      <c r="Y345" s="16"/>
      <c r="Z345" s="16"/>
      <c r="AA345" s="16"/>
      <c r="AB345" s="17"/>
      <c r="AC345" s="18"/>
      <c r="AD345" s="48"/>
      <c r="AE345" s="72"/>
      <c r="AF345" s="21"/>
      <c r="AG345" s="73"/>
      <c r="AH345" s="20"/>
      <c r="AI345" s="20"/>
      <c r="AJ345" s="65"/>
      <c r="AK345" s="15"/>
    </row>
    <row r="346" spans="1:37" ht="16.5">
      <c r="A346" s="12"/>
      <c r="B346" s="23"/>
      <c r="C346" s="14"/>
      <c r="D346" s="159"/>
      <c r="E346" s="159"/>
      <c r="F346" s="159"/>
      <c r="G346" s="159"/>
      <c r="H346" s="159"/>
      <c r="I346" s="160"/>
      <c r="J346" s="9"/>
      <c r="K346" s="12"/>
      <c r="L346" s="14"/>
      <c r="M346" s="14"/>
      <c r="N346" s="68"/>
      <c r="O346" s="68"/>
      <c r="P346" s="82"/>
      <c r="Q346" s="9" t="s">
        <v>230</v>
      </c>
      <c r="R346" s="12"/>
      <c r="S346" s="14"/>
      <c r="T346" s="14"/>
      <c r="U346" s="68"/>
      <c r="V346" s="68"/>
      <c r="W346" s="81"/>
      <c r="X346" s="16"/>
      <c r="Y346" s="16"/>
      <c r="Z346" s="16"/>
      <c r="AA346" s="16"/>
      <c r="AB346" s="17"/>
      <c r="AC346" s="18"/>
      <c r="AD346" s="48"/>
      <c r="AE346" s="72"/>
      <c r="AF346" s="21"/>
      <c r="AG346" s="73"/>
      <c r="AH346" s="20"/>
      <c r="AI346" s="20"/>
      <c r="AJ346" s="65"/>
      <c r="AK346" s="15"/>
    </row>
    <row r="347" spans="1:37" ht="16.5">
      <c r="A347" s="12"/>
      <c r="B347" s="23"/>
      <c r="C347" s="14"/>
      <c r="D347" s="159"/>
      <c r="E347" s="159"/>
      <c r="F347" s="159"/>
      <c r="G347" s="159"/>
      <c r="H347" s="159"/>
      <c r="I347" s="160"/>
      <c r="J347" s="9"/>
      <c r="K347" s="12"/>
      <c r="L347" s="14"/>
      <c r="M347" s="14"/>
      <c r="N347" s="68"/>
      <c r="O347" s="68"/>
      <c r="P347" s="82"/>
      <c r="Q347" s="9" t="s">
        <v>230</v>
      </c>
      <c r="R347" s="12"/>
      <c r="S347" s="14"/>
      <c r="T347" s="14"/>
      <c r="U347" s="68"/>
      <c r="V347" s="68"/>
      <c r="W347" s="81"/>
      <c r="X347" s="16"/>
      <c r="Y347" s="16"/>
      <c r="Z347" s="16"/>
      <c r="AA347" s="16"/>
      <c r="AB347" s="17"/>
      <c r="AC347" s="18"/>
      <c r="AD347" s="48"/>
      <c r="AE347" s="72"/>
      <c r="AF347" s="21"/>
      <c r="AG347" s="73"/>
      <c r="AH347" s="20"/>
      <c r="AI347" s="20"/>
      <c r="AJ347" s="65"/>
      <c r="AK347" s="15"/>
    </row>
    <row r="348" spans="1:37" ht="16.5">
      <c r="A348" s="12"/>
      <c r="B348" s="23"/>
      <c r="C348" s="14"/>
      <c r="D348" s="159"/>
      <c r="E348" s="159"/>
      <c r="F348" s="159"/>
      <c r="G348" s="159"/>
      <c r="H348" s="159"/>
      <c r="I348" s="160"/>
      <c r="J348" s="9"/>
      <c r="K348" s="12"/>
      <c r="L348" s="14"/>
      <c r="M348" s="14"/>
      <c r="N348" s="68"/>
      <c r="O348" s="68"/>
      <c r="P348" s="82"/>
      <c r="Q348" s="9" t="s">
        <v>230</v>
      </c>
      <c r="R348" s="12"/>
      <c r="S348" s="14"/>
      <c r="T348" s="14"/>
      <c r="U348" s="68"/>
      <c r="V348" s="68"/>
      <c r="W348" s="81"/>
      <c r="X348" s="16"/>
      <c r="Y348" s="16"/>
      <c r="Z348" s="16"/>
      <c r="AA348" s="16"/>
      <c r="AB348" s="17"/>
      <c r="AC348" s="18"/>
      <c r="AD348" s="48"/>
      <c r="AE348" s="72"/>
      <c r="AF348" s="21"/>
      <c r="AG348" s="73"/>
      <c r="AH348" s="20"/>
      <c r="AI348" s="20"/>
      <c r="AJ348" s="65"/>
      <c r="AK348" s="15"/>
    </row>
    <row r="349" spans="1:37" ht="16.5">
      <c r="A349" s="12"/>
      <c r="B349" s="23"/>
      <c r="C349" s="14"/>
      <c r="D349" s="159"/>
      <c r="E349" s="159"/>
      <c r="F349" s="159"/>
      <c r="G349" s="159"/>
      <c r="H349" s="159"/>
      <c r="I349" s="160"/>
      <c r="J349" s="9"/>
      <c r="K349" s="12"/>
      <c r="L349" s="14"/>
      <c r="M349" s="14"/>
      <c r="N349" s="68"/>
      <c r="O349" s="68"/>
      <c r="P349" s="82"/>
      <c r="Q349" s="9" t="s">
        <v>230</v>
      </c>
      <c r="R349" s="12"/>
      <c r="S349" s="14"/>
      <c r="T349" s="14"/>
      <c r="U349" s="68"/>
      <c r="V349" s="68"/>
      <c r="W349" s="81"/>
      <c r="X349" s="16"/>
      <c r="Y349" s="16"/>
      <c r="Z349" s="16"/>
      <c r="AA349" s="16"/>
      <c r="AB349" s="17"/>
      <c r="AC349" s="18"/>
      <c r="AD349" s="48"/>
      <c r="AE349" s="72"/>
      <c r="AF349" s="21"/>
      <c r="AG349" s="73"/>
      <c r="AH349" s="20"/>
      <c r="AI349" s="20"/>
      <c r="AJ349" s="65"/>
      <c r="AK349" s="15"/>
    </row>
    <row r="350" spans="1:37" ht="16.5">
      <c r="A350" s="12"/>
      <c r="B350" s="23"/>
      <c r="C350" s="14"/>
      <c r="D350" s="159"/>
      <c r="E350" s="159"/>
      <c r="F350" s="159"/>
      <c r="G350" s="159"/>
      <c r="H350" s="159"/>
      <c r="I350" s="160"/>
      <c r="J350" s="9"/>
      <c r="K350" s="12"/>
      <c r="L350" s="14"/>
      <c r="M350" s="14"/>
      <c r="N350" s="68"/>
      <c r="O350" s="68"/>
      <c r="P350" s="82"/>
      <c r="Q350" s="9" t="s">
        <v>230</v>
      </c>
      <c r="R350" s="12"/>
      <c r="S350" s="14"/>
      <c r="T350" s="14"/>
      <c r="U350" s="68"/>
      <c r="V350" s="68"/>
      <c r="W350" s="81"/>
      <c r="X350" s="16"/>
      <c r="Y350" s="16"/>
      <c r="Z350" s="16"/>
      <c r="AA350" s="16"/>
      <c r="AB350" s="17"/>
      <c r="AC350" s="18"/>
      <c r="AD350" s="48"/>
      <c r="AE350" s="72"/>
      <c r="AF350" s="21"/>
      <c r="AG350" s="73"/>
      <c r="AH350" s="20"/>
      <c r="AI350" s="20"/>
      <c r="AJ350" s="65"/>
      <c r="AK350" s="15"/>
    </row>
    <row r="351" spans="1:37" ht="16.5">
      <c r="A351" s="12"/>
      <c r="B351" s="23"/>
      <c r="C351" s="14"/>
      <c r="D351" s="159"/>
      <c r="E351" s="159"/>
      <c r="F351" s="159"/>
      <c r="G351" s="159"/>
      <c r="H351" s="159"/>
      <c r="I351" s="160"/>
      <c r="J351" s="9"/>
      <c r="K351" s="12"/>
      <c r="L351" s="14"/>
      <c r="M351" s="14"/>
      <c r="N351" s="68"/>
      <c r="O351" s="68"/>
      <c r="P351" s="82"/>
      <c r="Q351" s="9" t="s">
        <v>230</v>
      </c>
      <c r="R351" s="12"/>
      <c r="S351" s="14"/>
      <c r="T351" s="14"/>
      <c r="U351" s="68"/>
      <c r="V351" s="68"/>
      <c r="W351" s="81"/>
      <c r="X351" s="16"/>
      <c r="Y351" s="16"/>
      <c r="Z351" s="16"/>
      <c r="AA351" s="16"/>
      <c r="AB351" s="17"/>
      <c r="AC351" s="18"/>
      <c r="AD351" s="48"/>
      <c r="AE351" s="72"/>
      <c r="AF351" s="21"/>
      <c r="AG351" s="73"/>
      <c r="AH351" s="20"/>
      <c r="AI351" s="20"/>
      <c r="AJ351" s="65"/>
      <c r="AK351" s="15"/>
    </row>
    <row r="352" spans="1:37" ht="16.5">
      <c r="A352" s="12"/>
      <c r="B352" s="23"/>
      <c r="C352" s="14"/>
      <c r="D352" s="159"/>
      <c r="E352" s="159"/>
      <c r="F352" s="159"/>
      <c r="G352" s="159"/>
      <c r="H352" s="159"/>
      <c r="I352" s="160"/>
      <c r="J352" s="9"/>
      <c r="K352" s="12"/>
      <c r="L352" s="14"/>
      <c r="M352" s="14"/>
      <c r="N352" s="68"/>
      <c r="O352" s="68"/>
      <c r="P352" s="82"/>
      <c r="Q352" s="9" t="s">
        <v>230</v>
      </c>
      <c r="R352" s="12"/>
      <c r="S352" s="14"/>
      <c r="T352" s="14"/>
      <c r="U352" s="68"/>
      <c r="V352" s="68"/>
      <c r="W352" s="81"/>
      <c r="X352" s="16"/>
      <c r="Y352" s="16"/>
      <c r="Z352" s="16"/>
      <c r="AA352" s="16"/>
      <c r="AB352" s="17"/>
      <c r="AC352" s="18"/>
      <c r="AD352" s="48"/>
      <c r="AE352" s="72"/>
      <c r="AF352" s="21"/>
      <c r="AG352" s="73"/>
      <c r="AH352" s="20"/>
      <c r="AI352" s="20"/>
      <c r="AJ352" s="65"/>
      <c r="AK352" s="15"/>
    </row>
    <row r="353" spans="1:37" ht="16.5">
      <c r="A353" s="12"/>
      <c r="B353" s="23"/>
      <c r="C353" s="14"/>
      <c r="D353" s="159"/>
      <c r="E353" s="159"/>
      <c r="F353" s="159"/>
      <c r="G353" s="159"/>
      <c r="H353" s="159"/>
      <c r="I353" s="160"/>
      <c r="J353" s="9"/>
      <c r="K353" s="12"/>
      <c r="L353" s="14"/>
      <c r="M353" s="14"/>
      <c r="N353" s="68"/>
      <c r="O353" s="68"/>
      <c r="P353" s="82"/>
      <c r="Q353" s="9" t="s">
        <v>230</v>
      </c>
      <c r="R353" s="12"/>
      <c r="S353" s="14"/>
      <c r="T353" s="14"/>
      <c r="U353" s="68"/>
      <c r="V353" s="68"/>
      <c r="W353" s="81"/>
      <c r="X353" s="16"/>
      <c r="Y353" s="16"/>
      <c r="Z353" s="16"/>
      <c r="AA353" s="16"/>
      <c r="AB353" s="17"/>
      <c r="AC353" s="18"/>
      <c r="AD353" s="48"/>
      <c r="AE353" s="72"/>
      <c r="AF353" s="21"/>
      <c r="AG353" s="73"/>
      <c r="AH353" s="20"/>
      <c r="AI353" s="20"/>
      <c r="AJ353" s="65"/>
      <c r="AK353" s="15"/>
    </row>
    <row r="354" spans="1:37" ht="16.5">
      <c r="A354" s="12"/>
      <c r="B354" s="23"/>
      <c r="C354" s="14"/>
      <c r="D354" s="159"/>
      <c r="E354" s="159"/>
      <c r="F354" s="159"/>
      <c r="G354" s="159"/>
      <c r="H354" s="159"/>
      <c r="I354" s="160"/>
      <c r="J354" s="9"/>
      <c r="K354" s="12"/>
      <c r="L354" s="14"/>
      <c r="M354" s="14"/>
      <c r="N354" s="68"/>
      <c r="O354" s="68"/>
      <c r="P354" s="82"/>
      <c r="Q354" s="9" t="s">
        <v>230</v>
      </c>
      <c r="R354" s="12"/>
      <c r="S354" s="14"/>
      <c r="T354" s="14"/>
      <c r="U354" s="68"/>
      <c r="V354" s="68"/>
      <c r="W354" s="81"/>
      <c r="X354" s="16"/>
      <c r="Y354" s="16"/>
      <c r="Z354" s="16"/>
      <c r="AA354" s="16"/>
      <c r="AB354" s="17"/>
      <c r="AC354" s="18"/>
      <c r="AD354" s="48"/>
      <c r="AE354" s="72"/>
      <c r="AF354" s="21"/>
      <c r="AG354" s="73"/>
      <c r="AH354" s="20"/>
      <c r="AI354" s="20"/>
      <c r="AJ354" s="65"/>
      <c r="AK354" s="15"/>
    </row>
    <row r="355" spans="1:37" ht="16.5">
      <c r="A355" s="12"/>
      <c r="B355" s="23"/>
      <c r="C355" s="14"/>
      <c r="D355" s="159"/>
      <c r="E355" s="159"/>
      <c r="F355" s="159"/>
      <c r="G355" s="159"/>
      <c r="H355" s="159"/>
      <c r="I355" s="160"/>
      <c r="J355" s="9"/>
      <c r="K355" s="12"/>
      <c r="L355" s="14"/>
      <c r="M355" s="14"/>
      <c r="N355" s="68"/>
      <c r="O355" s="68"/>
      <c r="P355" s="82"/>
      <c r="Q355" s="9" t="s">
        <v>230</v>
      </c>
      <c r="R355" s="12"/>
      <c r="S355" s="14"/>
      <c r="T355" s="14"/>
      <c r="U355" s="68"/>
      <c r="V355" s="68"/>
      <c r="W355" s="81"/>
      <c r="X355" s="16"/>
      <c r="Y355" s="16"/>
      <c r="Z355" s="16"/>
      <c r="AA355" s="16"/>
      <c r="AB355" s="17"/>
      <c r="AC355" s="18"/>
      <c r="AD355" s="48"/>
      <c r="AE355" s="72"/>
      <c r="AF355" s="21"/>
      <c r="AG355" s="73"/>
      <c r="AH355" s="20"/>
      <c r="AI355" s="20"/>
      <c r="AJ355" s="65"/>
      <c r="AK355" s="15"/>
    </row>
    <row r="356" spans="1:37" ht="16.5">
      <c r="A356" s="12"/>
      <c r="B356" s="23"/>
      <c r="C356" s="14"/>
      <c r="D356" s="159"/>
      <c r="E356" s="159"/>
      <c r="F356" s="159"/>
      <c r="G356" s="159"/>
      <c r="H356" s="159"/>
      <c r="I356" s="160"/>
      <c r="J356" s="9"/>
      <c r="K356" s="12"/>
      <c r="L356" s="14"/>
      <c r="M356" s="14"/>
      <c r="N356" s="68"/>
      <c r="O356" s="68"/>
      <c r="P356" s="82"/>
      <c r="Q356" s="9" t="s">
        <v>230</v>
      </c>
      <c r="R356" s="12"/>
      <c r="S356" s="14"/>
      <c r="T356" s="14"/>
      <c r="U356" s="68"/>
      <c r="V356" s="68"/>
      <c r="W356" s="81"/>
      <c r="X356" s="16"/>
      <c r="Y356" s="16"/>
      <c r="Z356" s="16"/>
      <c r="AA356" s="16"/>
      <c r="AB356" s="17"/>
      <c r="AC356" s="18"/>
      <c r="AD356" s="48"/>
      <c r="AE356" s="72"/>
      <c r="AF356" s="21"/>
      <c r="AG356" s="73"/>
      <c r="AH356" s="20"/>
      <c r="AI356" s="20"/>
      <c r="AJ356" s="65"/>
      <c r="AK356" s="15"/>
    </row>
    <row r="357" spans="1:37" ht="16.5">
      <c r="A357" s="12"/>
      <c r="B357" s="23"/>
      <c r="C357" s="14"/>
      <c r="D357" s="159"/>
      <c r="E357" s="159"/>
      <c r="F357" s="159"/>
      <c r="G357" s="159"/>
      <c r="H357" s="159"/>
      <c r="I357" s="160"/>
      <c r="J357" s="9"/>
      <c r="K357" s="12"/>
      <c r="L357" s="14"/>
      <c r="M357" s="14"/>
      <c r="N357" s="68"/>
      <c r="O357" s="68"/>
      <c r="P357" s="82"/>
      <c r="Q357" s="9" t="s">
        <v>230</v>
      </c>
      <c r="R357" s="12"/>
      <c r="S357" s="14"/>
      <c r="T357" s="14"/>
      <c r="U357" s="68"/>
      <c r="V357" s="68"/>
      <c r="W357" s="81"/>
      <c r="X357" s="16"/>
      <c r="Y357" s="16"/>
      <c r="Z357" s="16"/>
      <c r="AA357" s="16"/>
      <c r="AB357" s="17"/>
      <c r="AC357" s="18"/>
      <c r="AD357" s="48"/>
      <c r="AE357" s="72"/>
      <c r="AF357" s="21"/>
      <c r="AG357" s="73"/>
      <c r="AH357" s="20"/>
      <c r="AI357" s="20"/>
      <c r="AJ357" s="65"/>
      <c r="AK357" s="15"/>
    </row>
    <row r="358" spans="1:37" ht="16.5">
      <c r="A358" s="12"/>
      <c r="B358" s="23"/>
      <c r="C358" s="14"/>
      <c r="D358" s="159"/>
      <c r="E358" s="159"/>
      <c r="F358" s="159"/>
      <c r="G358" s="159"/>
      <c r="H358" s="159"/>
      <c r="I358" s="160"/>
      <c r="J358" s="9"/>
      <c r="K358" s="12"/>
      <c r="L358" s="14"/>
      <c r="M358" s="14"/>
      <c r="N358" s="68"/>
      <c r="O358" s="68"/>
      <c r="P358" s="82"/>
      <c r="Q358" s="9" t="s">
        <v>230</v>
      </c>
      <c r="R358" s="12"/>
      <c r="S358" s="14"/>
      <c r="T358" s="14"/>
      <c r="U358" s="68"/>
      <c r="V358" s="68"/>
      <c r="W358" s="81"/>
      <c r="X358" s="16"/>
      <c r="Y358" s="16"/>
      <c r="Z358" s="16"/>
      <c r="AA358" s="16"/>
      <c r="AB358" s="17"/>
      <c r="AC358" s="18"/>
      <c r="AD358" s="48"/>
      <c r="AE358" s="72"/>
      <c r="AF358" s="21"/>
      <c r="AG358" s="73"/>
      <c r="AH358" s="20"/>
      <c r="AI358" s="20"/>
      <c r="AJ358" s="65"/>
      <c r="AK358" s="15"/>
    </row>
    <row r="359" spans="1:37" ht="16.5">
      <c r="A359" s="12"/>
      <c r="B359" s="23"/>
      <c r="C359" s="14"/>
      <c r="D359" s="159"/>
      <c r="E359" s="159"/>
      <c r="F359" s="159"/>
      <c r="G359" s="159"/>
      <c r="H359" s="159"/>
      <c r="I359" s="160"/>
      <c r="J359" s="9"/>
      <c r="K359" s="12"/>
      <c r="L359" s="14"/>
      <c r="M359" s="14"/>
      <c r="N359" s="68"/>
      <c r="O359" s="68"/>
      <c r="P359" s="82"/>
      <c r="Q359" s="9" t="s">
        <v>230</v>
      </c>
      <c r="R359" s="12"/>
      <c r="S359" s="14"/>
      <c r="T359" s="14"/>
      <c r="U359" s="68"/>
      <c r="V359" s="68"/>
      <c r="W359" s="81"/>
      <c r="X359" s="16"/>
      <c r="Y359" s="16"/>
      <c r="Z359" s="16"/>
      <c r="AA359" s="16"/>
      <c r="AB359" s="17"/>
      <c r="AC359" s="18"/>
      <c r="AD359" s="48"/>
      <c r="AE359" s="72"/>
      <c r="AF359" s="21"/>
      <c r="AG359" s="73"/>
      <c r="AH359" s="20"/>
      <c r="AI359" s="20"/>
      <c r="AJ359" s="65"/>
      <c r="AK359" s="15"/>
    </row>
    <row r="360" spans="1:37" ht="16.5">
      <c r="A360" s="12"/>
      <c r="B360" s="23"/>
      <c r="C360" s="14"/>
      <c r="D360" s="159"/>
      <c r="E360" s="159"/>
      <c r="F360" s="159"/>
      <c r="G360" s="159"/>
      <c r="H360" s="159"/>
      <c r="I360" s="160"/>
      <c r="J360" s="9"/>
      <c r="K360" s="12"/>
      <c r="L360" s="14"/>
      <c r="M360" s="14"/>
      <c r="N360" s="68"/>
      <c r="O360" s="68"/>
      <c r="P360" s="82"/>
      <c r="Q360" s="9" t="s">
        <v>230</v>
      </c>
      <c r="R360" s="12"/>
      <c r="S360" s="14"/>
      <c r="T360" s="14"/>
      <c r="U360" s="68"/>
      <c r="V360" s="68"/>
      <c r="W360" s="81"/>
      <c r="X360" s="16"/>
      <c r="Y360" s="16"/>
      <c r="Z360" s="16"/>
      <c r="AA360" s="16"/>
      <c r="AB360" s="17"/>
      <c r="AC360" s="18"/>
      <c r="AD360" s="48"/>
      <c r="AE360" s="72"/>
      <c r="AF360" s="21"/>
      <c r="AG360" s="73"/>
      <c r="AH360" s="20"/>
      <c r="AI360" s="20"/>
      <c r="AJ360" s="65"/>
      <c r="AK360" s="15"/>
    </row>
    <row r="361" spans="1:37" ht="16.5">
      <c r="A361" s="12"/>
      <c r="B361" s="23"/>
      <c r="C361" s="14"/>
      <c r="D361" s="159"/>
      <c r="E361" s="159"/>
      <c r="F361" s="159"/>
      <c r="G361" s="159"/>
      <c r="H361" s="159"/>
      <c r="I361" s="160"/>
      <c r="J361" s="9"/>
      <c r="K361" s="12"/>
      <c r="L361" s="14"/>
      <c r="M361" s="14"/>
      <c r="N361" s="68"/>
      <c r="O361" s="68"/>
      <c r="P361" s="82"/>
      <c r="Q361" s="9" t="s">
        <v>230</v>
      </c>
      <c r="R361" s="12"/>
      <c r="S361" s="14"/>
      <c r="T361" s="14"/>
      <c r="U361" s="68"/>
      <c r="V361" s="68"/>
      <c r="W361" s="81"/>
      <c r="X361" s="16"/>
      <c r="Y361" s="16"/>
      <c r="Z361" s="16"/>
      <c r="AA361" s="16"/>
      <c r="AB361" s="17"/>
      <c r="AC361" s="18"/>
      <c r="AD361" s="48"/>
      <c r="AE361" s="72"/>
      <c r="AF361" s="21"/>
      <c r="AG361" s="73"/>
      <c r="AH361" s="20"/>
      <c r="AI361" s="20"/>
      <c r="AJ361" s="65"/>
      <c r="AK361" s="15"/>
    </row>
    <row r="362" spans="1:37" ht="16.5">
      <c r="A362" s="12"/>
      <c r="B362" s="23"/>
      <c r="C362" s="14"/>
      <c r="D362" s="159"/>
      <c r="E362" s="159"/>
      <c r="F362" s="159"/>
      <c r="G362" s="159"/>
      <c r="H362" s="159"/>
      <c r="I362" s="160"/>
      <c r="J362" s="9"/>
      <c r="K362" s="12"/>
      <c r="L362" s="14"/>
      <c r="M362" s="14"/>
      <c r="N362" s="68"/>
      <c r="O362" s="68"/>
      <c r="P362" s="82"/>
      <c r="Q362" s="9" t="s">
        <v>230</v>
      </c>
      <c r="R362" s="12"/>
      <c r="S362" s="14"/>
      <c r="T362" s="14"/>
      <c r="U362" s="68"/>
      <c r="V362" s="68"/>
      <c r="W362" s="81"/>
      <c r="X362" s="16"/>
      <c r="Y362" s="16"/>
      <c r="Z362" s="16"/>
      <c r="AA362" s="16"/>
      <c r="AB362" s="17"/>
      <c r="AC362" s="18"/>
      <c r="AD362" s="48"/>
      <c r="AE362" s="72"/>
      <c r="AF362" s="21"/>
      <c r="AG362" s="73"/>
      <c r="AH362" s="20"/>
      <c r="AI362" s="20"/>
      <c r="AJ362" s="65"/>
      <c r="AK362" s="15"/>
    </row>
    <row r="363" spans="1:37" ht="16.5">
      <c r="A363" s="12"/>
      <c r="B363" s="23"/>
      <c r="C363" s="14"/>
      <c r="D363" s="159"/>
      <c r="E363" s="159"/>
      <c r="F363" s="159"/>
      <c r="G363" s="159"/>
      <c r="H363" s="159"/>
      <c r="I363" s="160"/>
      <c r="J363" s="9"/>
      <c r="K363" s="12"/>
      <c r="L363" s="14"/>
      <c r="M363" s="14"/>
      <c r="N363" s="68"/>
      <c r="O363" s="68"/>
      <c r="P363" s="82"/>
      <c r="Q363" s="9" t="s">
        <v>230</v>
      </c>
      <c r="R363" s="12"/>
      <c r="S363" s="14"/>
      <c r="T363" s="14"/>
      <c r="U363" s="68"/>
      <c r="V363" s="68"/>
      <c r="W363" s="81"/>
      <c r="X363" s="16"/>
      <c r="Y363" s="16"/>
      <c r="Z363" s="16"/>
      <c r="AA363" s="16"/>
      <c r="AB363" s="17"/>
      <c r="AC363" s="18"/>
      <c r="AD363" s="48"/>
      <c r="AE363" s="72"/>
      <c r="AF363" s="21"/>
      <c r="AG363" s="73"/>
      <c r="AH363" s="20"/>
      <c r="AI363" s="20"/>
      <c r="AJ363" s="65"/>
      <c r="AK363" s="15"/>
    </row>
    <row r="364" spans="1:37" ht="16.5">
      <c r="A364" s="12"/>
      <c r="B364" s="23"/>
      <c r="C364" s="14"/>
      <c r="D364" s="159"/>
      <c r="E364" s="159"/>
      <c r="F364" s="159"/>
      <c r="G364" s="159"/>
      <c r="H364" s="159"/>
      <c r="I364" s="160"/>
      <c r="J364" s="9"/>
      <c r="K364" s="12"/>
      <c r="L364" s="14"/>
      <c r="M364" s="14"/>
      <c r="N364" s="68"/>
      <c r="O364" s="68"/>
      <c r="P364" s="82"/>
      <c r="Q364" s="9" t="s">
        <v>230</v>
      </c>
      <c r="R364" s="12"/>
      <c r="S364" s="14"/>
      <c r="T364" s="14"/>
      <c r="U364" s="68"/>
      <c r="V364" s="68"/>
      <c r="W364" s="81"/>
      <c r="X364" s="16"/>
      <c r="Y364" s="16"/>
      <c r="Z364" s="16"/>
      <c r="AA364" s="16"/>
      <c r="AB364" s="17"/>
      <c r="AC364" s="18"/>
      <c r="AD364" s="48"/>
      <c r="AE364" s="72"/>
      <c r="AF364" s="21"/>
      <c r="AG364" s="73"/>
      <c r="AH364" s="20"/>
      <c r="AI364" s="20"/>
      <c r="AJ364" s="65"/>
      <c r="AK364" s="15"/>
    </row>
    <row r="365" spans="1:37" ht="16.5">
      <c r="A365" s="12"/>
      <c r="B365" s="23"/>
      <c r="C365" s="14"/>
      <c r="D365" s="159"/>
      <c r="E365" s="159"/>
      <c r="F365" s="159"/>
      <c r="G365" s="159"/>
      <c r="H365" s="159"/>
      <c r="I365" s="160"/>
      <c r="J365" s="9"/>
      <c r="K365" s="12"/>
      <c r="L365" s="14"/>
      <c r="M365" s="14"/>
      <c r="N365" s="68"/>
      <c r="O365" s="68"/>
      <c r="P365" s="82"/>
      <c r="Q365" s="9" t="s">
        <v>230</v>
      </c>
      <c r="R365" s="12"/>
      <c r="S365" s="14"/>
      <c r="T365" s="14"/>
      <c r="U365" s="68"/>
      <c r="V365" s="68"/>
      <c r="W365" s="81"/>
      <c r="X365" s="16"/>
      <c r="Y365" s="16"/>
      <c r="Z365" s="16"/>
      <c r="AA365" s="16"/>
      <c r="AB365" s="17"/>
      <c r="AC365" s="18"/>
      <c r="AD365" s="48"/>
      <c r="AE365" s="72"/>
      <c r="AF365" s="21"/>
      <c r="AG365" s="73"/>
      <c r="AH365" s="20"/>
      <c r="AI365" s="20"/>
      <c r="AJ365" s="65"/>
      <c r="AK365" s="15"/>
    </row>
    <row r="366" spans="1:37" ht="16.5">
      <c r="A366" s="12"/>
      <c r="B366" s="23"/>
      <c r="C366" s="14"/>
      <c r="D366" s="159"/>
      <c r="E366" s="159"/>
      <c r="F366" s="159"/>
      <c r="G366" s="159"/>
      <c r="H366" s="159"/>
      <c r="I366" s="160"/>
      <c r="J366" s="9"/>
      <c r="K366" s="12"/>
      <c r="L366" s="14"/>
      <c r="M366" s="14"/>
      <c r="N366" s="68"/>
      <c r="O366" s="68"/>
      <c r="P366" s="82"/>
      <c r="Q366" s="9" t="s">
        <v>230</v>
      </c>
      <c r="R366" s="12"/>
      <c r="S366" s="14"/>
      <c r="T366" s="14"/>
      <c r="U366" s="68"/>
      <c r="V366" s="68"/>
      <c r="W366" s="81"/>
      <c r="X366" s="16"/>
      <c r="Y366" s="16"/>
      <c r="Z366" s="16"/>
      <c r="AA366" s="16"/>
      <c r="AB366" s="17"/>
      <c r="AC366" s="18"/>
      <c r="AD366" s="48"/>
      <c r="AE366" s="72"/>
      <c r="AF366" s="21"/>
      <c r="AG366" s="73"/>
      <c r="AH366" s="20"/>
      <c r="AI366" s="20"/>
      <c r="AJ366" s="65"/>
      <c r="AK366" s="15"/>
    </row>
    <row r="367" spans="1:37" ht="16.5">
      <c r="A367" s="12"/>
      <c r="B367" s="23"/>
      <c r="C367" s="14"/>
      <c r="D367" s="159"/>
      <c r="E367" s="159"/>
      <c r="F367" s="159"/>
      <c r="G367" s="159"/>
      <c r="H367" s="159"/>
      <c r="I367" s="160"/>
      <c r="J367" s="9"/>
      <c r="K367" s="12"/>
      <c r="L367" s="14"/>
      <c r="M367" s="14"/>
      <c r="N367" s="68"/>
      <c r="O367" s="68"/>
      <c r="P367" s="82"/>
      <c r="Q367" s="9" t="s">
        <v>230</v>
      </c>
      <c r="R367" s="12"/>
      <c r="S367" s="14"/>
      <c r="T367" s="14"/>
      <c r="U367" s="68"/>
      <c r="V367" s="68"/>
      <c r="W367" s="81"/>
      <c r="X367" s="16"/>
      <c r="Y367" s="16"/>
      <c r="Z367" s="16"/>
      <c r="AA367" s="16"/>
      <c r="AB367" s="17"/>
      <c r="AC367" s="18"/>
      <c r="AD367" s="48"/>
      <c r="AE367" s="72"/>
      <c r="AF367" s="21"/>
      <c r="AG367" s="73"/>
      <c r="AH367" s="20"/>
      <c r="AI367" s="20"/>
      <c r="AJ367" s="65"/>
      <c r="AK367" s="15"/>
    </row>
    <row r="368" spans="1:37" ht="16.5">
      <c r="A368" s="12"/>
      <c r="B368" s="23"/>
      <c r="C368" s="14"/>
      <c r="D368" s="159"/>
      <c r="E368" s="159"/>
      <c r="F368" s="159"/>
      <c r="G368" s="159"/>
      <c r="H368" s="159"/>
      <c r="I368" s="160"/>
      <c r="J368" s="9"/>
      <c r="K368" s="12"/>
      <c r="L368" s="14"/>
      <c r="M368" s="14"/>
      <c r="N368" s="68"/>
      <c r="O368" s="68"/>
      <c r="P368" s="82"/>
      <c r="Q368" s="9" t="s">
        <v>230</v>
      </c>
      <c r="R368" s="12"/>
      <c r="S368" s="14"/>
      <c r="T368" s="14"/>
      <c r="U368" s="68"/>
      <c r="V368" s="68"/>
      <c r="W368" s="81"/>
      <c r="X368" s="16"/>
      <c r="Y368" s="16"/>
      <c r="Z368" s="16"/>
      <c r="AA368" s="16"/>
      <c r="AB368" s="17"/>
      <c r="AC368" s="18"/>
      <c r="AD368" s="48"/>
      <c r="AE368" s="72"/>
      <c r="AF368" s="21"/>
      <c r="AG368" s="73"/>
      <c r="AH368" s="20"/>
      <c r="AI368" s="20"/>
      <c r="AJ368" s="65"/>
      <c r="AK368" s="15"/>
    </row>
    <row r="369" spans="1:37" ht="16.5">
      <c r="A369" s="12"/>
      <c r="B369" s="23"/>
      <c r="C369" s="14"/>
      <c r="D369" s="159"/>
      <c r="E369" s="159"/>
      <c r="F369" s="159"/>
      <c r="G369" s="159"/>
      <c r="H369" s="159"/>
      <c r="I369" s="160"/>
      <c r="J369" s="9"/>
      <c r="K369" s="12"/>
      <c r="L369" s="14"/>
      <c r="M369" s="14"/>
      <c r="N369" s="68"/>
      <c r="O369" s="68"/>
      <c r="P369" s="82"/>
      <c r="Q369" s="9" t="s">
        <v>230</v>
      </c>
      <c r="R369" s="12"/>
      <c r="S369" s="14"/>
      <c r="T369" s="14"/>
      <c r="U369" s="68"/>
      <c r="V369" s="68"/>
      <c r="W369" s="81"/>
      <c r="X369" s="16"/>
      <c r="Y369" s="16"/>
      <c r="Z369" s="16"/>
      <c r="AA369" s="16"/>
      <c r="AB369" s="17"/>
      <c r="AC369" s="18"/>
      <c r="AD369" s="48"/>
      <c r="AE369" s="72"/>
      <c r="AF369" s="21"/>
      <c r="AG369" s="73"/>
      <c r="AH369" s="20"/>
      <c r="AI369" s="20"/>
      <c r="AJ369" s="65"/>
      <c r="AK369" s="15"/>
    </row>
    <row r="370" spans="1:37" ht="16.5">
      <c r="A370" s="12"/>
      <c r="B370" s="23"/>
      <c r="C370" s="14"/>
      <c r="D370" s="159"/>
      <c r="E370" s="159"/>
      <c r="F370" s="159"/>
      <c r="G370" s="159"/>
      <c r="H370" s="159"/>
      <c r="I370" s="160"/>
      <c r="J370" s="9"/>
      <c r="K370" s="12"/>
      <c r="L370" s="14"/>
      <c r="M370" s="14"/>
      <c r="N370" s="68"/>
      <c r="O370" s="68"/>
      <c r="P370" s="82"/>
      <c r="Q370" s="9" t="s">
        <v>230</v>
      </c>
      <c r="R370" s="12"/>
      <c r="S370" s="14"/>
      <c r="T370" s="14"/>
      <c r="U370" s="68"/>
      <c r="V370" s="68"/>
      <c r="W370" s="81"/>
      <c r="X370" s="16"/>
      <c r="Y370" s="16"/>
      <c r="Z370" s="16"/>
      <c r="AA370" s="16"/>
      <c r="AB370" s="17"/>
      <c r="AC370" s="18"/>
      <c r="AD370" s="48"/>
      <c r="AE370" s="72"/>
      <c r="AF370" s="21"/>
      <c r="AG370" s="73"/>
      <c r="AH370" s="20"/>
      <c r="AI370" s="20"/>
      <c r="AJ370" s="65"/>
      <c r="AK370" s="15"/>
    </row>
    <row r="371" spans="1:37" ht="16.5">
      <c r="A371" s="12"/>
      <c r="B371" s="23"/>
      <c r="C371" s="14"/>
      <c r="D371" s="159"/>
      <c r="E371" s="159"/>
      <c r="F371" s="159"/>
      <c r="G371" s="159"/>
      <c r="H371" s="159"/>
      <c r="I371" s="160"/>
      <c r="J371" s="9"/>
      <c r="K371" s="12"/>
      <c r="L371" s="14"/>
      <c r="M371" s="14"/>
      <c r="N371" s="68"/>
      <c r="O371" s="68"/>
      <c r="P371" s="82"/>
      <c r="Q371" s="9" t="s">
        <v>230</v>
      </c>
      <c r="R371" s="12"/>
      <c r="S371" s="14"/>
      <c r="T371" s="14"/>
      <c r="U371" s="68"/>
      <c r="V371" s="68"/>
      <c r="W371" s="81"/>
      <c r="X371" s="16"/>
      <c r="Y371" s="16"/>
      <c r="Z371" s="16"/>
      <c r="AA371" s="16"/>
      <c r="AB371" s="17"/>
      <c r="AC371" s="18"/>
      <c r="AD371" s="48"/>
      <c r="AE371" s="72"/>
      <c r="AF371" s="21"/>
      <c r="AG371" s="73"/>
      <c r="AH371" s="20"/>
      <c r="AI371" s="20"/>
      <c r="AJ371" s="65"/>
      <c r="AK371" s="15"/>
    </row>
    <row r="372" spans="1:37" ht="16.5">
      <c r="A372" s="12"/>
      <c r="B372" s="23"/>
      <c r="C372" s="14"/>
      <c r="D372" s="159"/>
      <c r="E372" s="159"/>
      <c r="F372" s="159"/>
      <c r="G372" s="159"/>
      <c r="H372" s="159"/>
      <c r="I372" s="160"/>
      <c r="J372" s="9"/>
      <c r="K372" s="12"/>
      <c r="L372" s="14"/>
      <c r="M372" s="14"/>
      <c r="N372" s="68"/>
      <c r="O372" s="68"/>
      <c r="P372" s="82"/>
      <c r="Q372" s="9" t="s">
        <v>230</v>
      </c>
      <c r="R372" s="12"/>
      <c r="S372" s="14"/>
      <c r="T372" s="14"/>
      <c r="U372" s="68"/>
      <c r="V372" s="68"/>
      <c r="W372" s="81"/>
      <c r="X372" s="16"/>
      <c r="Y372" s="16"/>
      <c r="Z372" s="16"/>
      <c r="AA372" s="16"/>
      <c r="AB372" s="17"/>
      <c r="AC372" s="18"/>
      <c r="AD372" s="48"/>
      <c r="AE372" s="72"/>
      <c r="AF372" s="21"/>
      <c r="AG372" s="73"/>
      <c r="AH372" s="20"/>
      <c r="AI372" s="20"/>
      <c r="AJ372" s="65"/>
      <c r="AK372" s="15"/>
    </row>
    <row r="373" spans="1:37" ht="16.5">
      <c r="A373" s="12"/>
      <c r="B373" s="23"/>
      <c r="C373" s="14"/>
      <c r="D373" s="159"/>
      <c r="E373" s="159"/>
      <c r="F373" s="159"/>
      <c r="G373" s="159"/>
      <c r="H373" s="159"/>
      <c r="I373" s="160"/>
      <c r="J373" s="9"/>
      <c r="K373" s="12"/>
      <c r="L373" s="14"/>
      <c r="M373" s="14"/>
      <c r="N373" s="68"/>
      <c r="O373" s="68"/>
      <c r="P373" s="82"/>
      <c r="Q373" s="9" t="s">
        <v>230</v>
      </c>
      <c r="R373" s="12"/>
      <c r="S373" s="14"/>
      <c r="T373" s="14"/>
      <c r="U373" s="68"/>
      <c r="V373" s="68"/>
      <c r="W373" s="81"/>
      <c r="X373" s="16"/>
      <c r="Y373" s="16"/>
      <c r="Z373" s="16"/>
      <c r="AA373" s="16"/>
      <c r="AB373" s="17"/>
      <c r="AC373" s="18"/>
      <c r="AD373" s="48"/>
      <c r="AE373" s="72"/>
      <c r="AF373" s="21"/>
      <c r="AG373" s="73"/>
      <c r="AH373" s="20"/>
      <c r="AI373" s="20"/>
      <c r="AJ373" s="65"/>
      <c r="AK373" s="15"/>
    </row>
    <row r="374" spans="1:37" ht="16.5">
      <c r="A374" s="12"/>
      <c r="B374" s="23"/>
      <c r="C374" s="14"/>
      <c r="D374" s="159"/>
      <c r="E374" s="159"/>
      <c r="F374" s="159"/>
      <c r="G374" s="159"/>
      <c r="H374" s="159"/>
      <c r="I374" s="160"/>
      <c r="J374" s="9"/>
      <c r="K374" s="12"/>
      <c r="L374" s="14"/>
      <c r="M374" s="14"/>
      <c r="N374" s="68"/>
      <c r="O374" s="68"/>
      <c r="P374" s="82"/>
      <c r="Q374" s="9" t="s">
        <v>230</v>
      </c>
      <c r="R374" s="12"/>
      <c r="S374" s="14"/>
      <c r="T374" s="14"/>
      <c r="U374" s="68"/>
      <c r="V374" s="68"/>
      <c r="W374" s="81"/>
      <c r="X374" s="16"/>
      <c r="Y374" s="16"/>
      <c r="Z374" s="16"/>
      <c r="AA374" s="16"/>
      <c r="AB374" s="17"/>
      <c r="AC374" s="18"/>
      <c r="AD374" s="48"/>
      <c r="AE374" s="72"/>
      <c r="AF374" s="21"/>
      <c r="AG374" s="73"/>
      <c r="AH374" s="20"/>
      <c r="AI374" s="20"/>
      <c r="AJ374" s="65"/>
      <c r="AK374" s="15"/>
    </row>
    <row r="375" spans="1:37" ht="16.5">
      <c r="A375" s="12"/>
      <c r="B375" s="23"/>
      <c r="C375" s="14"/>
      <c r="D375" s="159"/>
      <c r="E375" s="159"/>
      <c r="F375" s="159"/>
      <c r="G375" s="159"/>
      <c r="H375" s="159"/>
      <c r="I375" s="160"/>
      <c r="J375" s="9"/>
      <c r="K375" s="12"/>
      <c r="L375" s="14"/>
      <c r="M375" s="14"/>
      <c r="N375" s="68"/>
      <c r="O375" s="68"/>
      <c r="P375" s="82"/>
      <c r="Q375" s="9" t="s">
        <v>230</v>
      </c>
      <c r="R375" s="12"/>
      <c r="S375" s="14"/>
      <c r="T375" s="14"/>
      <c r="U375" s="68"/>
      <c r="V375" s="68"/>
      <c r="W375" s="81"/>
      <c r="X375" s="16"/>
      <c r="Y375" s="16"/>
      <c r="Z375" s="16"/>
      <c r="AA375" s="16"/>
      <c r="AB375" s="17"/>
      <c r="AC375" s="18"/>
      <c r="AD375" s="48"/>
      <c r="AE375" s="72"/>
      <c r="AF375" s="21"/>
      <c r="AG375" s="73"/>
      <c r="AH375" s="20"/>
      <c r="AI375" s="20"/>
      <c r="AJ375" s="65"/>
      <c r="AK375" s="15"/>
    </row>
    <row r="376" spans="1:37" ht="16.5">
      <c r="A376" s="12"/>
      <c r="B376" s="23"/>
      <c r="C376" s="14"/>
      <c r="D376" s="159"/>
      <c r="E376" s="159"/>
      <c r="F376" s="159"/>
      <c r="G376" s="159"/>
      <c r="H376" s="159"/>
      <c r="I376" s="160"/>
      <c r="J376" s="9"/>
      <c r="K376" s="12"/>
      <c r="L376" s="14"/>
      <c r="M376" s="14"/>
      <c r="N376" s="68"/>
      <c r="O376" s="68"/>
      <c r="P376" s="82"/>
      <c r="Q376" s="9" t="s">
        <v>230</v>
      </c>
      <c r="R376" s="12"/>
      <c r="S376" s="14"/>
      <c r="T376" s="14"/>
      <c r="U376" s="68"/>
      <c r="V376" s="68"/>
      <c r="W376" s="81"/>
      <c r="X376" s="16"/>
      <c r="Y376" s="16"/>
      <c r="Z376" s="16"/>
      <c r="AA376" s="16"/>
      <c r="AB376" s="17"/>
      <c r="AC376" s="18"/>
      <c r="AD376" s="48"/>
      <c r="AE376" s="72"/>
      <c r="AF376" s="21"/>
      <c r="AG376" s="73"/>
      <c r="AH376" s="20"/>
      <c r="AI376" s="20"/>
      <c r="AJ376" s="65"/>
      <c r="AK376" s="15"/>
    </row>
    <row r="377" spans="1:37" ht="16.5">
      <c r="A377" s="12"/>
      <c r="B377" s="23"/>
      <c r="C377" s="14"/>
      <c r="D377" s="159"/>
      <c r="E377" s="159"/>
      <c r="F377" s="159"/>
      <c r="G377" s="159"/>
      <c r="H377" s="159"/>
      <c r="I377" s="160"/>
      <c r="J377" s="9"/>
      <c r="K377" s="12"/>
      <c r="L377" s="14"/>
      <c r="M377" s="14"/>
      <c r="N377" s="68"/>
      <c r="O377" s="68"/>
      <c r="P377" s="82"/>
      <c r="Q377" s="9" t="s">
        <v>230</v>
      </c>
      <c r="R377" s="12"/>
      <c r="S377" s="14"/>
      <c r="T377" s="14"/>
      <c r="U377" s="68"/>
      <c r="V377" s="68"/>
      <c r="W377" s="81"/>
      <c r="X377" s="16"/>
      <c r="Y377" s="16"/>
      <c r="Z377" s="16"/>
      <c r="AA377" s="16"/>
      <c r="AB377" s="17"/>
      <c r="AC377" s="18"/>
      <c r="AD377" s="48"/>
      <c r="AE377" s="72"/>
      <c r="AF377" s="21"/>
      <c r="AG377" s="73"/>
      <c r="AH377" s="20"/>
      <c r="AI377" s="20"/>
      <c r="AJ377" s="65"/>
      <c r="AK377" s="15"/>
    </row>
    <row r="378" spans="1:37" ht="16.5">
      <c r="A378" s="12"/>
      <c r="B378" s="23"/>
      <c r="C378" s="14"/>
      <c r="D378" s="159"/>
      <c r="E378" s="159"/>
      <c r="F378" s="159"/>
      <c r="G378" s="159"/>
      <c r="H378" s="159"/>
      <c r="I378" s="160"/>
      <c r="J378" s="9"/>
      <c r="K378" s="12"/>
      <c r="L378" s="14"/>
      <c r="M378" s="14"/>
      <c r="N378" s="68"/>
      <c r="O378" s="68"/>
      <c r="P378" s="82"/>
      <c r="Q378" s="9" t="s">
        <v>230</v>
      </c>
      <c r="R378" s="12"/>
      <c r="S378" s="14"/>
      <c r="T378" s="14"/>
      <c r="U378" s="68"/>
      <c r="V378" s="68"/>
      <c r="W378" s="81"/>
      <c r="X378" s="16"/>
      <c r="Y378" s="16"/>
      <c r="Z378" s="16"/>
      <c r="AA378" s="16"/>
      <c r="AB378" s="17"/>
      <c r="AC378" s="18"/>
      <c r="AD378" s="48"/>
      <c r="AE378" s="72"/>
      <c r="AF378" s="21"/>
      <c r="AG378" s="73"/>
      <c r="AH378" s="20"/>
      <c r="AI378" s="20"/>
      <c r="AJ378" s="65"/>
      <c r="AK378" s="15"/>
    </row>
    <row r="379" spans="1:37" ht="16.5">
      <c r="A379" s="12"/>
      <c r="B379" s="23"/>
      <c r="C379" s="14"/>
      <c r="D379" s="159"/>
      <c r="E379" s="159"/>
      <c r="F379" s="159"/>
      <c r="G379" s="159"/>
      <c r="H379" s="159"/>
      <c r="I379" s="160"/>
      <c r="J379" s="9"/>
      <c r="K379" s="12"/>
      <c r="L379" s="14"/>
      <c r="M379" s="14"/>
      <c r="N379" s="68"/>
      <c r="O379" s="68"/>
      <c r="P379" s="82"/>
      <c r="Q379" s="9" t="s">
        <v>230</v>
      </c>
      <c r="R379" s="12"/>
      <c r="S379" s="14"/>
      <c r="T379" s="14"/>
      <c r="U379" s="68"/>
      <c r="V379" s="68"/>
      <c r="W379" s="81"/>
      <c r="X379" s="16"/>
      <c r="Y379" s="16"/>
      <c r="Z379" s="16"/>
      <c r="AA379" s="16"/>
      <c r="AB379" s="17"/>
      <c r="AC379" s="18"/>
      <c r="AD379" s="48"/>
      <c r="AE379" s="72"/>
      <c r="AF379" s="21"/>
      <c r="AG379" s="73"/>
      <c r="AH379" s="20"/>
      <c r="AI379" s="20"/>
      <c r="AJ379" s="65"/>
      <c r="AK379" s="15"/>
    </row>
    <row r="380" spans="1:37" ht="16.5">
      <c r="A380" s="12"/>
      <c r="B380" s="23"/>
      <c r="C380" s="14"/>
      <c r="D380" s="159"/>
      <c r="E380" s="159"/>
      <c r="F380" s="159"/>
      <c r="G380" s="159"/>
      <c r="H380" s="159"/>
      <c r="I380" s="160"/>
      <c r="J380" s="9"/>
      <c r="K380" s="12"/>
      <c r="L380" s="14"/>
      <c r="M380" s="14"/>
      <c r="N380" s="68"/>
      <c r="O380" s="68"/>
      <c r="P380" s="82"/>
      <c r="Q380" s="9" t="s">
        <v>230</v>
      </c>
      <c r="R380" s="12"/>
      <c r="S380" s="14"/>
      <c r="T380" s="14"/>
      <c r="U380" s="68"/>
      <c r="V380" s="68"/>
      <c r="W380" s="81"/>
      <c r="X380" s="16"/>
      <c r="Y380" s="16"/>
      <c r="Z380" s="16"/>
      <c r="AA380" s="16"/>
      <c r="AB380" s="17"/>
      <c r="AC380" s="18"/>
      <c r="AD380" s="48"/>
      <c r="AE380" s="72"/>
      <c r="AF380" s="21"/>
      <c r="AG380" s="73"/>
      <c r="AH380" s="20"/>
      <c r="AI380" s="20"/>
      <c r="AJ380" s="65"/>
      <c r="AK380" s="15"/>
    </row>
    <row r="381" spans="1:37" ht="16.5">
      <c r="A381" s="12"/>
      <c r="B381" s="23"/>
      <c r="C381" s="14"/>
      <c r="D381" s="159"/>
      <c r="E381" s="159"/>
      <c r="F381" s="159"/>
      <c r="G381" s="159"/>
      <c r="H381" s="159"/>
      <c r="I381" s="160"/>
      <c r="J381" s="9"/>
      <c r="K381" s="12"/>
      <c r="L381" s="14"/>
      <c r="M381" s="14"/>
      <c r="N381" s="68"/>
      <c r="O381" s="68"/>
      <c r="P381" s="82"/>
      <c r="Q381" s="9" t="s">
        <v>230</v>
      </c>
      <c r="R381" s="12"/>
      <c r="S381" s="14"/>
      <c r="T381" s="14"/>
      <c r="U381" s="68"/>
      <c r="V381" s="68"/>
      <c r="W381" s="81"/>
      <c r="X381" s="16"/>
      <c r="Y381" s="16"/>
      <c r="Z381" s="16"/>
      <c r="AA381" s="16"/>
      <c r="AB381" s="17"/>
      <c r="AC381" s="18"/>
      <c r="AD381" s="48"/>
      <c r="AE381" s="72"/>
      <c r="AF381" s="21"/>
      <c r="AG381" s="73"/>
      <c r="AH381" s="20"/>
      <c r="AI381" s="20"/>
      <c r="AJ381" s="65"/>
      <c r="AK381" s="15"/>
    </row>
    <row r="382" spans="1:37" ht="16.5">
      <c r="A382" s="12"/>
      <c r="B382" s="23"/>
      <c r="C382" s="14"/>
      <c r="D382" s="159"/>
      <c r="E382" s="159"/>
      <c r="F382" s="159"/>
      <c r="G382" s="159"/>
      <c r="H382" s="159"/>
      <c r="I382" s="160"/>
      <c r="J382" s="9"/>
      <c r="K382" s="12"/>
      <c r="L382" s="14"/>
      <c r="M382" s="14"/>
      <c r="N382" s="68"/>
      <c r="O382" s="68"/>
      <c r="P382" s="82"/>
      <c r="Q382" s="9" t="s">
        <v>230</v>
      </c>
      <c r="R382" s="12"/>
      <c r="S382" s="14"/>
      <c r="T382" s="14"/>
      <c r="U382" s="68"/>
      <c r="V382" s="68"/>
      <c r="W382" s="81"/>
      <c r="X382" s="16"/>
      <c r="Y382" s="16"/>
      <c r="Z382" s="16"/>
      <c r="AA382" s="16"/>
      <c r="AB382" s="17"/>
      <c r="AC382" s="18"/>
      <c r="AD382" s="48"/>
      <c r="AE382" s="72"/>
      <c r="AF382" s="21"/>
      <c r="AG382" s="73"/>
      <c r="AH382" s="20"/>
      <c r="AI382" s="20"/>
      <c r="AJ382" s="65"/>
      <c r="AK382" s="15"/>
    </row>
    <row r="383" spans="1:37" ht="16.5">
      <c r="A383" s="12"/>
      <c r="B383" s="23"/>
      <c r="C383" s="14"/>
      <c r="D383" s="159"/>
      <c r="E383" s="159"/>
      <c r="F383" s="159"/>
      <c r="G383" s="159"/>
      <c r="H383" s="159"/>
      <c r="I383" s="160"/>
      <c r="J383" s="9"/>
      <c r="K383" s="12"/>
      <c r="L383" s="14"/>
      <c r="M383" s="14"/>
      <c r="N383" s="68"/>
      <c r="O383" s="68"/>
      <c r="P383" s="82"/>
      <c r="Q383" s="9" t="s">
        <v>230</v>
      </c>
      <c r="R383" s="12"/>
      <c r="S383" s="14"/>
      <c r="T383" s="14"/>
      <c r="U383" s="68"/>
      <c r="V383" s="68"/>
      <c r="W383" s="81"/>
      <c r="X383" s="16"/>
      <c r="Y383" s="16"/>
      <c r="Z383" s="16"/>
      <c r="AA383" s="16"/>
      <c r="AB383" s="17"/>
      <c r="AC383" s="18"/>
      <c r="AD383" s="48"/>
      <c r="AE383" s="72"/>
      <c r="AF383" s="21"/>
      <c r="AG383" s="73"/>
      <c r="AH383" s="20"/>
      <c r="AI383" s="20"/>
      <c r="AJ383" s="65"/>
      <c r="AK383" s="15"/>
    </row>
    <row r="384" spans="1:37" ht="16.5">
      <c r="A384" s="12"/>
      <c r="B384" s="23"/>
      <c r="C384" s="14"/>
      <c r="D384" s="159"/>
      <c r="E384" s="159"/>
      <c r="F384" s="159"/>
      <c r="G384" s="159"/>
      <c r="H384" s="159"/>
      <c r="I384" s="160"/>
      <c r="J384" s="9"/>
      <c r="K384" s="12"/>
      <c r="L384" s="14"/>
      <c r="M384" s="14"/>
      <c r="N384" s="68"/>
      <c r="O384" s="68"/>
      <c r="P384" s="82"/>
      <c r="Q384" s="9" t="s">
        <v>230</v>
      </c>
      <c r="R384" s="12"/>
      <c r="S384" s="14"/>
      <c r="T384" s="14"/>
      <c r="U384" s="68"/>
      <c r="V384" s="68"/>
      <c r="W384" s="81"/>
      <c r="X384" s="16"/>
      <c r="Y384" s="16"/>
      <c r="Z384" s="16"/>
      <c r="AA384" s="16"/>
      <c r="AB384" s="17"/>
      <c r="AC384" s="18"/>
      <c r="AD384" s="48"/>
      <c r="AE384" s="72"/>
      <c r="AF384" s="21"/>
      <c r="AG384" s="73"/>
      <c r="AH384" s="20"/>
      <c r="AI384" s="20"/>
      <c r="AJ384" s="65"/>
      <c r="AK384" s="15"/>
    </row>
    <row r="385" spans="1:37" ht="16.5">
      <c r="A385" s="12"/>
      <c r="B385" s="23"/>
      <c r="C385" s="14"/>
      <c r="D385" s="159"/>
      <c r="E385" s="159"/>
      <c r="F385" s="159"/>
      <c r="G385" s="159"/>
      <c r="H385" s="159"/>
      <c r="I385" s="160"/>
      <c r="J385" s="9"/>
      <c r="K385" s="12"/>
      <c r="L385" s="14"/>
      <c r="M385" s="14"/>
      <c r="N385" s="68"/>
      <c r="O385" s="68"/>
      <c r="P385" s="82"/>
      <c r="Q385" s="9" t="s">
        <v>230</v>
      </c>
      <c r="R385" s="12"/>
      <c r="S385" s="14"/>
      <c r="T385" s="14"/>
      <c r="U385" s="68"/>
      <c r="V385" s="68"/>
      <c r="W385" s="81"/>
      <c r="X385" s="16"/>
      <c r="Y385" s="16"/>
      <c r="Z385" s="16"/>
      <c r="AA385" s="16"/>
      <c r="AB385" s="17"/>
      <c r="AC385" s="18"/>
      <c r="AD385" s="48"/>
      <c r="AE385" s="72"/>
      <c r="AF385" s="21"/>
      <c r="AG385" s="73"/>
      <c r="AH385" s="20"/>
      <c r="AI385" s="20"/>
      <c r="AJ385" s="65"/>
      <c r="AK385" s="15"/>
    </row>
    <row r="386" spans="1:37" ht="16.5">
      <c r="A386" s="12"/>
      <c r="B386" s="23"/>
      <c r="C386" s="14"/>
      <c r="D386" s="159"/>
      <c r="E386" s="159"/>
      <c r="F386" s="159"/>
      <c r="G386" s="159"/>
      <c r="H386" s="159"/>
      <c r="I386" s="160"/>
      <c r="J386" s="9"/>
      <c r="K386" s="12"/>
      <c r="L386" s="14"/>
      <c r="M386" s="14"/>
      <c r="N386" s="68"/>
      <c r="O386" s="68"/>
      <c r="P386" s="82"/>
      <c r="Q386" s="9" t="s">
        <v>230</v>
      </c>
      <c r="R386" s="12"/>
      <c r="S386" s="14"/>
      <c r="T386" s="14"/>
      <c r="U386" s="68"/>
      <c r="V386" s="68"/>
      <c r="W386" s="81"/>
      <c r="X386" s="16"/>
      <c r="Y386" s="16"/>
      <c r="Z386" s="16"/>
      <c r="AA386" s="16"/>
      <c r="AB386" s="17"/>
      <c r="AC386" s="18"/>
      <c r="AD386" s="48"/>
      <c r="AE386" s="72"/>
      <c r="AF386" s="21"/>
      <c r="AG386" s="73"/>
      <c r="AH386" s="20"/>
      <c r="AI386" s="20"/>
      <c r="AJ386" s="65"/>
      <c r="AK386" s="15"/>
    </row>
    <row r="387" spans="1:37" ht="16.5">
      <c r="A387" s="12"/>
      <c r="B387" s="23"/>
      <c r="C387" s="14"/>
      <c r="D387" s="159"/>
      <c r="E387" s="159"/>
      <c r="F387" s="159"/>
      <c r="G387" s="159"/>
      <c r="H387" s="159"/>
      <c r="I387" s="160"/>
      <c r="J387" s="9"/>
      <c r="K387" s="12"/>
      <c r="L387" s="14"/>
      <c r="M387" s="14"/>
      <c r="N387" s="68"/>
      <c r="O387" s="68"/>
      <c r="P387" s="82"/>
      <c r="Q387" s="9" t="s">
        <v>230</v>
      </c>
      <c r="R387" s="12"/>
      <c r="S387" s="14"/>
      <c r="T387" s="14"/>
      <c r="U387" s="68"/>
      <c r="V387" s="68"/>
      <c r="W387" s="81"/>
      <c r="X387" s="16"/>
      <c r="Y387" s="16"/>
      <c r="Z387" s="16"/>
      <c r="AA387" s="16"/>
      <c r="AB387" s="17"/>
      <c r="AC387" s="18"/>
      <c r="AD387" s="48"/>
      <c r="AE387" s="72"/>
      <c r="AF387" s="21"/>
      <c r="AG387" s="73"/>
      <c r="AH387" s="20"/>
      <c r="AI387" s="20"/>
      <c r="AJ387" s="65"/>
      <c r="AK387" s="15"/>
    </row>
    <row r="388" spans="1:37" ht="16.5">
      <c r="A388" s="12"/>
      <c r="B388" s="23"/>
      <c r="C388" s="14"/>
      <c r="D388" s="159"/>
      <c r="E388" s="159"/>
      <c r="F388" s="159"/>
      <c r="G388" s="159"/>
      <c r="H388" s="159"/>
      <c r="I388" s="160"/>
      <c r="J388" s="9"/>
      <c r="K388" s="12"/>
      <c r="L388" s="14"/>
      <c r="M388" s="14"/>
      <c r="N388" s="68"/>
      <c r="O388" s="68"/>
      <c r="P388" s="82"/>
      <c r="Q388" s="9" t="s">
        <v>230</v>
      </c>
      <c r="R388" s="12"/>
      <c r="S388" s="14"/>
      <c r="T388" s="14"/>
      <c r="U388" s="68"/>
      <c r="V388" s="68"/>
      <c r="W388" s="81"/>
      <c r="X388" s="16"/>
      <c r="Y388" s="16"/>
      <c r="Z388" s="16"/>
      <c r="AA388" s="16"/>
      <c r="AB388" s="17"/>
      <c r="AC388" s="18"/>
      <c r="AD388" s="48"/>
      <c r="AE388" s="72"/>
      <c r="AF388" s="21"/>
      <c r="AG388" s="73"/>
      <c r="AH388" s="20"/>
      <c r="AI388" s="20"/>
      <c r="AJ388" s="65"/>
      <c r="AK388" s="15"/>
    </row>
    <row r="389" spans="1:37" ht="16.5">
      <c r="A389" s="12"/>
      <c r="B389" s="23"/>
      <c r="C389" s="14"/>
      <c r="D389" s="159"/>
      <c r="E389" s="159"/>
      <c r="F389" s="159"/>
      <c r="G389" s="159"/>
      <c r="H389" s="159"/>
      <c r="I389" s="160"/>
      <c r="J389" s="9"/>
      <c r="K389" s="12"/>
      <c r="L389" s="14"/>
      <c r="M389" s="14"/>
      <c r="N389" s="68"/>
      <c r="O389" s="68"/>
      <c r="P389" s="82"/>
      <c r="Q389" s="9" t="s">
        <v>230</v>
      </c>
      <c r="R389" s="12"/>
      <c r="S389" s="14"/>
      <c r="T389" s="14"/>
      <c r="U389" s="68"/>
      <c r="V389" s="68"/>
      <c r="W389" s="81"/>
      <c r="X389" s="16"/>
      <c r="Y389" s="16"/>
      <c r="Z389" s="16"/>
      <c r="AA389" s="16"/>
      <c r="AB389" s="17"/>
      <c r="AC389" s="18"/>
      <c r="AD389" s="48"/>
      <c r="AE389" s="72"/>
      <c r="AF389" s="21"/>
      <c r="AG389" s="73"/>
      <c r="AH389" s="20"/>
      <c r="AI389" s="20"/>
      <c r="AJ389" s="65"/>
      <c r="AK389" s="15"/>
    </row>
    <row r="390" spans="1:37" ht="16.5">
      <c r="A390" s="12"/>
      <c r="B390" s="23"/>
      <c r="C390" s="14"/>
      <c r="D390" s="159"/>
      <c r="E390" s="159"/>
      <c r="F390" s="159"/>
      <c r="G390" s="159"/>
      <c r="H390" s="159"/>
      <c r="I390" s="160"/>
      <c r="J390" s="9"/>
      <c r="K390" s="12"/>
      <c r="L390" s="14"/>
      <c r="M390" s="14"/>
      <c r="N390" s="68"/>
      <c r="O390" s="68"/>
      <c r="P390" s="82"/>
      <c r="Q390" s="9" t="s">
        <v>230</v>
      </c>
      <c r="R390" s="12"/>
      <c r="S390" s="14"/>
      <c r="T390" s="14"/>
      <c r="U390" s="68"/>
      <c r="V390" s="68"/>
      <c r="W390" s="81"/>
      <c r="X390" s="16"/>
      <c r="Y390" s="16"/>
      <c r="Z390" s="16"/>
      <c r="AA390" s="16"/>
      <c r="AB390" s="17"/>
      <c r="AC390" s="18"/>
      <c r="AD390" s="48"/>
      <c r="AE390" s="72"/>
      <c r="AF390" s="21"/>
      <c r="AG390" s="73"/>
      <c r="AH390" s="20"/>
      <c r="AI390" s="20"/>
      <c r="AJ390" s="65"/>
      <c r="AK390" s="15"/>
    </row>
    <row r="391" spans="1:37" ht="16.5">
      <c r="A391" s="12"/>
      <c r="B391" s="23"/>
      <c r="C391" s="14"/>
      <c r="D391" s="159"/>
      <c r="E391" s="159"/>
      <c r="F391" s="159"/>
      <c r="G391" s="159"/>
      <c r="H391" s="159"/>
      <c r="I391" s="160"/>
      <c r="J391" s="9"/>
      <c r="K391" s="12"/>
      <c r="L391" s="14"/>
      <c r="M391" s="14"/>
      <c r="N391" s="68"/>
      <c r="O391" s="68"/>
      <c r="P391" s="82"/>
      <c r="Q391" s="9" t="s">
        <v>230</v>
      </c>
      <c r="R391" s="12"/>
      <c r="S391" s="14"/>
      <c r="T391" s="14"/>
      <c r="U391" s="68"/>
      <c r="V391" s="68"/>
      <c r="W391" s="81"/>
      <c r="X391" s="16"/>
      <c r="Y391" s="16"/>
      <c r="Z391" s="16"/>
      <c r="AA391" s="16"/>
      <c r="AB391" s="17"/>
      <c r="AC391" s="18"/>
      <c r="AD391" s="48"/>
      <c r="AE391" s="72"/>
      <c r="AF391" s="21"/>
      <c r="AG391" s="73"/>
      <c r="AH391" s="20"/>
      <c r="AI391" s="20"/>
      <c r="AJ391" s="65"/>
      <c r="AK391" s="15"/>
    </row>
    <row r="392" spans="1:37" ht="16.5">
      <c r="A392" s="12"/>
      <c r="B392" s="23"/>
      <c r="C392" s="14"/>
      <c r="D392" s="159"/>
      <c r="E392" s="159"/>
      <c r="F392" s="159"/>
      <c r="G392" s="159"/>
      <c r="H392" s="159"/>
      <c r="I392" s="160"/>
      <c r="J392" s="9"/>
      <c r="K392" s="12"/>
      <c r="L392" s="14"/>
      <c r="M392" s="14"/>
      <c r="N392" s="68"/>
      <c r="O392" s="68"/>
      <c r="P392" s="82"/>
      <c r="Q392" s="9" t="s">
        <v>230</v>
      </c>
      <c r="R392" s="12"/>
      <c r="S392" s="14"/>
      <c r="T392" s="14"/>
      <c r="U392" s="68"/>
      <c r="V392" s="68"/>
      <c r="W392" s="81"/>
      <c r="X392" s="16"/>
      <c r="Y392" s="16"/>
      <c r="Z392" s="16"/>
      <c r="AA392" s="16"/>
      <c r="AB392" s="17"/>
      <c r="AC392" s="18"/>
      <c r="AD392" s="48"/>
      <c r="AE392" s="72"/>
      <c r="AF392" s="21"/>
      <c r="AG392" s="73"/>
      <c r="AH392" s="20"/>
      <c r="AI392" s="20"/>
      <c r="AJ392" s="65"/>
      <c r="AK392" s="15"/>
    </row>
    <row r="393" spans="1:37" ht="16.5">
      <c r="A393" s="12"/>
      <c r="B393" s="23"/>
      <c r="C393" s="14"/>
      <c r="D393" s="159"/>
      <c r="E393" s="159"/>
      <c r="F393" s="159"/>
      <c r="G393" s="159"/>
      <c r="H393" s="159"/>
      <c r="I393" s="160"/>
      <c r="J393" s="9"/>
      <c r="K393" s="12"/>
      <c r="L393" s="14"/>
      <c r="M393" s="14"/>
      <c r="N393" s="68"/>
      <c r="O393" s="68"/>
      <c r="P393" s="82"/>
      <c r="Q393" s="9" t="s">
        <v>230</v>
      </c>
      <c r="R393" s="12"/>
      <c r="S393" s="14"/>
      <c r="T393" s="14"/>
      <c r="U393" s="68"/>
      <c r="V393" s="68"/>
      <c r="W393" s="81"/>
      <c r="X393" s="16"/>
      <c r="Y393" s="16"/>
      <c r="Z393" s="16"/>
      <c r="AA393" s="16"/>
      <c r="AB393" s="17"/>
      <c r="AC393" s="18"/>
      <c r="AD393" s="48"/>
      <c r="AE393" s="72"/>
      <c r="AF393" s="21"/>
      <c r="AG393" s="73"/>
      <c r="AH393" s="20"/>
      <c r="AI393" s="20"/>
      <c r="AJ393" s="65"/>
      <c r="AK393" s="15"/>
    </row>
    <row r="394" spans="1:37" ht="16.5">
      <c r="A394" s="12"/>
      <c r="B394" s="23"/>
      <c r="C394" s="14"/>
      <c r="D394" s="159"/>
      <c r="E394" s="159"/>
      <c r="F394" s="159"/>
      <c r="G394" s="159"/>
      <c r="H394" s="159"/>
      <c r="I394" s="160"/>
      <c r="J394" s="9"/>
      <c r="K394" s="12"/>
      <c r="L394" s="14"/>
      <c r="M394" s="14"/>
      <c r="N394" s="68"/>
      <c r="O394" s="68"/>
      <c r="P394" s="82"/>
      <c r="Q394" s="9" t="s">
        <v>230</v>
      </c>
      <c r="R394" s="12"/>
      <c r="S394" s="14"/>
      <c r="T394" s="14"/>
      <c r="U394" s="68"/>
      <c r="V394" s="68"/>
      <c r="W394" s="81"/>
      <c r="X394" s="16"/>
      <c r="Y394" s="16"/>
      <c r="Z394" s="16"/>
      <c r="AA394" s="16"/>
      <c r="AB394" s="17"/>
      <c r="AC394" s="18"/>
      <c r="AD394" s="48"/>
      <c r="AE394" s="72"/>
      <c r="AF394" s="21"/>
      <c r="AG394" s="73"/>
      <c r="AH394" s="20"/>
      <c r="AI394" s="20"/>
      <c r="AJ394" s="65"/>
      <c r="AK394" s="15"/>
    </row>
    <row r="395" spans="1:37" ht="16.5">
      <c r="A395" s="12"/>
      <c r="B395" s="23"/>
      <c r="C395" s="14"/>
      <c r="D395" s="159"/>
      <c r="E395" s="159"/>
      <c r="F395" s="159"/>
      <c r="G395" s="159"/>
      <c r="H395" s="159"/>
      <c r="I395" s="160"/>
      <c r="J395" s="9"/>
      <c r="K395" s="12"/>
      <c r="L395" s="14"/>
      <c r="M395" s="14"/>
      <c r="N395" s="68"/>
      <c r="O395" s="68"/>
      <c r="P395" s="82"/>
      <c r="Q395" s="9" t="s">
        <v>230</v>
      </c>
      <c r="R395" s="12"/>
      <c r="S395" s="14"/>
      <c r="T395" s="14"/>
      <c r="U395" s="68"/>
      <c r="V395" s="68"/>
      <c r="W395" s="81"/>
      <c r="X395" s="16"/>
      <c r="Y395" s="16"/>
      <c r="Z395" s="16"/>
      <c r="AA395" s="16"/>
      <c r="AB395" s="17"/>
      <c r="AC395" s="18"/>
      <c r="AD395" s="48"/>
      <c r="AE395" s="72"/>
      <c r="AF395" s="21"/>
      <c r="AG395" s="73"/>
      <c r="AH395" s="20"/>
      <c r="AI395" s="20"/>
      <c r="AJ395" s="65"/>
      <c r="AK395" s="15"/>
    </row>
    <row r="396" spans="1:37" ht="16.5">
      <c r="A396" s="12"/>
      <c r="B396" s="23"/>
      <c r="C396" s="14"/>
      <c r="D396" s="159"/>
      <c r="E396" s="159"/>
      <c r="F396" s="159"/>
      <c r="G396" s="159"/>
      <c r="H396" s="159"/>
      <c r="I396" s="160"/>
      <c r="J396" s="9"/>
      <c r="K396" s="12"/>
      <c r="L396" s="14"/>
      <c r="M396" s="14"/>
      <c r="N396" s="68"/>
      <c r="O396" s="68"/>
      <c r="P396" s="82"/>
      <c r="Q396" s="9"/>
      <c r="R396" s="12"/>
      <c r="S396" s="14"/>
      <c r="T396" s="14"/>
      <c r="U396" s="68"/>
      <c r="V396" s="68"/>
      <c r="W396" s="81"/>
      <c r="X396" s="16"/>
      <c r="Y396" s="16"/>
      <c r="Z396" s="16"/>
      <c r="AA396" s="16"/>
      <c r="AB396" s="17"/>
      <c r="AC396" s="18"/>
      <c r="AD396" s="48"/>
      <c r="AE396" s="72"/>
      <c r="AF396" s="21"/>
      <c r="AG396" s="73"/>
      <c r="AH396" s="20"/>
      <c r="AI396" s="20"/>
      <c r="AJ396" s="65"/>
      <c r="AK396" s="15"/>
    </row>
    <row r="397" spans="1:37" ht="16.5">
      <c r="A397" s="12"/>
      <c r="B397" s="23"/>
      <c r="C397" s="14"/>
      <c r="D397" s="159"/>
      <c r="E397" s="159"/>
      <c r="F397" s="159"/>
      <c r="G397" s="159"/>
      <c r="H397" s="159"/>
      <c r="I397" s="160"/>
      <c r="J397" s="9"/>
      <c r="K397" s="12"/>
      <c r="L397" s="14"/>
      <c r="M397" s="14"/>
      <c r="N397" s="68"/>
      <c r="O397" s="68"/>
      <c r="P397" s="82"/>
      <c r="Q397" s="9"/>
      <c r="R397" s="12"/>
      <c r="S397" s="14"/>
      <c r="T397" s="14"/>
      <c r="U397" s="68"/>
      <c r="V397" s="68"/>
      <c r="W397" s="81"/>
      <c r="X397" s="16"/>
      <c r="Y397" s="16"/>
      <c r="Z397" s="16"/>
      <c r="AA397" s="16"/>
      <c r="AB397" s="17"/>
      <c r="AC397" s="18"/>
      <c r="AD397" s="48"/>
      <c r="AE397" s="72"/>
      <c r="AF397" s="21"/>
      <c r="AG397" s="73"/>
      <c r="AH397" s="20"/>
      <c r="AI397" s="20"/>
      <c r="AJ397" s="65"/>
      <c r="AK397" s="15"/>
    </row>
    <row r="398" spans="1:37" ht="16.5">
      <c r="A398" s="12"/>
      <c r="B398" s="23"/>
      <c r="C398" s="14"/>
      <c r="D398" s="159"/>
      <c r="E398" s="159"/>
      <c r="F398" s="159"/>
      <c r="G398" s="159"/>
      <c r="H398" s="159"/>
      <c r="I398" s="160"/>
      <c r="J398" s="9"/>
      <c r="K398" s="12"/>
      <c r="L398" s="14"/>
      <c r="M398" s="14"/>
      <c r="N398" s="68"/>
      <c r="O398" s="68"/>
      <c r="P398" s="82"/>
      <c r="Q398" s="9"/>
      <c r="R398" s="12"/>
      <c r="S398" s="14"/>
      <c r="T398" s="14"/>
      <c r="U398" s="68"/>
      <c r="V398" s="68"/>
      <c r="W398" s="81"/>
      <c r="X398" s="16"/>
      <c r="Y398" s="16"/>
      <c r="Z398" s="16"/>
      <c r="AA398" s="16"/>
      <c r="AB398" s="17"/>
      <c r="AC398" s="18"/>
      <c r="AD398" s="48"/>
      <c r="AE398" s="72"/>
      <c r="AF398" s="21"/>
      <c r="AG398" s="73"/>
      <c r="AH398" s="20"/>
      <c r="AI398" s="20"/>
      <c r="AJ398" s="65"/>
      <c r="AK398" s="15"/>
    </row>
    <row r="399" spans="1:37" ht="16.5">
      <c r="A399" s="12"/>
      <c r="B399" s="23"/>
      <c r="C399" s="14"/>
      <c r="D399" s="159"/>
      <c r="E399" s="159"/>
      <c r="F399" s="159"/>
      <c r="G399" s="159"/>
      <c r="H399" s="159"/>
      <c r="I399" s="160"/>
      <c r="J399" s="9"/>
      <c r="K399" s="12"/>
      <c r="L399" s="14"/>
      <c r="M399" s="14"/>
      <c r="N399" s="68"/>
      <c r="O399" s="68"/>
      <c r="P399" s="82"/>
      <c r="Q399" s="9"/>
      <c r="R399" s="12"/>
      <c r="S399" s="14"/>
      <c r="T399" s="14"/>
      <c r="U399" s="68"/>
      <c r="V399" s="68"/>
      <c r="W399" s="81"/>
      <c r="X399" s="16"/>
      <c r="Y399" s="16"/>
      <c r="Z399" s="16"/>
      <c r="AA399" s="16"/>
      <c r="AB399" s="17"/>
      <c r="AC399" s="18"/>
      <c r="AD399" s="48"/>
      <c r="AE399" s="72"/>
      <c r="AF399" s="21"/>
      <c r="AG399" s="73"/>
      <c r="AH399" s="20"/>
      <c r="AI399" s="20"/>
      <c r="AJ399" s="65"/>
      <c r="AK399" s="15"/>
    </row>
    <row r="400" spans="1:37" ht="16.5">
      <c r="A400" s="12"/>
      <c r="B400" s="23"/>
      <c r="C400" s="14"/>
      <c r="D400" s="159"/>
      <c r="E400" s="159"/>
      <c r="F400" s="159"/>
      <c r="G400" s="159"/>
      <c r="H400" s="159"/>
      <c r="I400" s="160"/>
      <c r="J400" s="9"/>
      <c r="K400" s="12"/>
      <c r="L400" s="14"/>
      <c r="M400" s="14"/>
      <c r="N400" s="68"/>
      <c r="O400" s="68"/>
      <c r="P400" s="82"/>
      <c r="Q400" s="9"/>
      <c r="R400" s="12"/>
      <c r="S400" s="14"/>
      <c r="T400" s="14"/>
      <c r="U400" s="68"/>
      <c r="V400" s="68"/>
      <c r="W400" s="81"/>
      <c r="X400" s="16"/>
      <c r="Y400" s="16"/>
      <c r="Z400" s="16"/>
      <c r="AA400" s="16"/>
      <c r="AB400" s="17"/>
      <c r="AC400" s="18"/>
      <c r="AD400" s="48"/>
      <c r="AE400" s="72"/>
      <c r="AF400" s="21"/>
      <c r="AG400" s="73"/>
      <c r="AH400" s="20"/>
      <c r="AI400" s="20"/>
      <c r="AJ400" s="65"/>
      <c r="AK400" s="15"/>
    </row>
    <row r="401" spans="14:15">
      <c r="N401" s="69"/>
      <c r="O401" s="69"/>
    </row>
  </sheetData>
  <sortState ref="R4:AK400">
    <sortCondition ref="AD4:AD400"/>
  </sortState>
  <mergeCells count="380">
    <mergeCell ref="D31:I31"/>
    <mergeCell ref="A1:AK1"/>
    <mergeCell ref="AM29:AN29"/>
    <mergeCell ref="K2:P2"/>
    <mergeCell ref="R2:AK2"/>
    <mergeCell ref="A30:I30"/>
    <mergeCell ref="A2:I2"/>
    <mergeCell ref="C28:G28"/>
    <mergeCell ref="C29:G29"/>
    <mergeCell ref="D33:I33"/>
    <mergeCell ref="D34:I34"/>
    <mergeCell ref="D35:I35"/>
    <mergeCell ref="D36:I36"/>
    <mergeCell ref="D37:I37"/>
    <mergeCell ref="D32:I32"/>
    <mergeCell ref="D43:I43"/>
    <mergeCell ref="D44:I44"/>
    <mergeCell ref="D45:I45"/>
    <mergeCell ref="D38:I38"/>
    <mergeCell ref="D39:I39"/>
    <mergeCell ref="D46:I46"/>
    <mergeCell ref="D47:I47"/>
    <mergeCell ref="D40:I40"/>
    <mergeCell ref="D41:I41"/>
    <mergeCell ref="D42:I42"/>
    <mergeCell ref="D53:I53"/>
    <mergeCell ref="D54:I54"/>
    <mergeCell ref="D55:I55"/>
    <mergeCell ref="D56:I56"/>
    <mergeCell ref="D57:I57"/>
    <mergeCell ref="D48:I48"/>
    <mergeCell ref="D49:I49"/>
    <mergeCell ref="D50:I50"/>
    <mergeCell ref="D51:I51"/>
    <mergeCell ref="D52:I52"/>
    <mergeCell ref="D63:I63"/>
    <mergeCell ref="D64:I64"/>
    <mergeCell ref="D65:I65"/>
    <mergeCell ref="D66:I66"/>
    <mergeCell ref="D67:I67"/>
    <mergeCell ref="D58:I58"/>
    <mergeCell ref="D59:I59"/>
    <mergeCell ref="D60:I60"/>
    <mergeCell ref="D61:I61"/>
    <mergeCell ref="D62:I62"/>
    <mergeCell ref="D73:I73"/>
    <mergeCell ref="D74:I74"/>
    <mergeCell ref="D75:I75"/>
    <mergeCell ref="D76:I76"/>
    <mergeCell ref="D77:I77"/>
    <mergeCell ref="D68:I68"/>
    <mergeCell ref="D69:I69"/>
    <mergeCell ref="D70:I70"/>
    <mergeCell ref="D71:I71"/>
    <mergeCell ref="D72:I72"/>
    <mergeCell ref="D83:I83"/>
    <mergeCell ref="D84:I84"/>
    <mergeCell ref="D85:I85"/>
    <mergeCell ref="D86:I86"/>
    <mergeCell ref="D87:I87"/>
    <mergeCell ref="D78:I78"/>
    <mergeCell ref="D79:I79"/>
    <mergeCell ref="D80:I80"/>
    <mergeCell ref="D81:I81"/>
    <mergeCell ref="D82:I82"/>
    <mergeCell ref="D93:I93"/>
    <mergeCell ref="D94:I94"/>
    <mergeCell ref="D95:I95"/>
    <mergeCell ref="D96:I96"/>
    <mergeCell ref="D97:I97"/>
    <mergeCell ref="D88:I88"/>
    <mergeCell ref="D89:I89"/>
    <mergeCell ref="D90:I90"/>
    <mergeCell ref="D91:I91"/>
    <mergeCell ref="D92:I92"/>
    <mergeCell ref="D103:I103"/>
    <mergeCell ref="D104:I104"/>
    <mergeCell ref="D105:I105"/>
    <mergeCell ref="D106:I106"/>
    <mergeCell ref="D107:I107"/>
    <mergeCell ref="D98:I98"/>
    <mergeCell ref="D99:I99"/>
    <mergeCell ref="D100:I100"/>
    <mergeCell ref="D101:I101"/>
    <mergeCell ref="D102:I102"/>
    <mergeCell ref="D113:I113"/>
    <mergeCell ref="D114:I114"/>
    <mergeCell ref="D115:I115"/>
    <mergeCell ref="D116:I116"/>
    <mergeCell ref="D117:I117"/>
    <mergeCell ref="D108:I108"/>
    <mergeCell ref="D109:I109"/>
    <mergeCell ref="D110:I110"/>
    <mergeCell ref="D111:I111"/>
    <mergeCell ref="D112:I112"/>
    <mergeCell ref="D123:I123"/>
    <mergeCell ref="D124:I124"/>
    <mergeCell ref="D125:I125"/>
    <mergeCell ref="D126:I126"/>
    <mergeCell ref="D127:I127"/>
    <mergeCell ref="D118:I118"/>
    <mergeCell ref="D119:I119"/>
    <mergeCell ref="D120:I120"/>
    <mergeCell ref="D121:I121"/>
    <mergeCell ref="D122:I122"/>
    <mergeCell ref="D133:I133"/>
    <mergeCell ref="D134:I134"/>
    <mergeCell ref="D135:I135"/>
    <mergeCell ref="D136:I136"/>
    <mergeCell ref="D137:I137"/>
    <mergeCell ref="D128:I128"/>
    <mergeCell ref="D129:I129"/>
    <mergeCell ref="D130:I130"/>
    <mergeCell ref="D131:I131"/>
    <mergeCell ref="D132:I132"/>
    <mergeCell ref="D148:I148"/>
    <mergeCell ref="D149:I149"/>
    <mergeCell ref="D150:I150"/>
    <mergeCell ref="D143:I143"/>
    <mergeCell ref="D144:I144"/>
    <mergeCell ref="D145:I145"/>
    <mergeCell ref="D146:I146"/>
    <mergeCell ref="D147:I147"/>
    <mergeCell ref="D138:I138"/>
    <mergeCell ref="D139:I139"/>
    <mergeCell ref="D140:I140"/>
    <mergeCell ref="D141:I141"/>
    <mergeCell ref="D142:I142"/>
    <mergeCell ref="D151:I151"/>
    <mergeCell ref="D152:I152"/>
    <mergeCell ref="D153:I153"/>
    <mergeCell ref="D154:I154"/>
    <mergeCell ref="D155:I155"/>
    <mergeCell ref="D156:I156"/>
    <mergeCell ref="D157:I157"/>
    <mergeCell ref="D158:I158"/>
    <mergeCell ref="D159:I159"/>
    <mergeCell ref="D160:I160"/>
    <mergeCell ref="D161:I161"/>
    <mergeCell ref="D162:I162"/>
    <mergeCell ref="D163:I163"/>
    <mergeCell ref="D164:I164"/>
    <mergeCell ref="D165:I165"/>
    <mergeCell ref="D166:I166"/>
    <mergeCell ref="D167:I167"/>
    <mergeCell ref="D168:I168"/>
    <mergeCell ref="D169:I169"/>
    <mergeCell ref="D170:I170"/>
    <mergeCell ref="D171:I171"/>
    <mergeCell ref="D172:I172"/>
    <mergeCell ref="D173:I173"/>
    <mergeCell ref="D174:I174"/>
    <mergeCell ref="D175:I175"/>
    <mergeCell ref="D176:I176"/>
    <mergeCell ref="D177:I177"/>
    <mergeCell ref="D178:I178"/>
    <mergeCell ref="D179:I179"/>
    <mergeCell ref="D180:I180"/>
    <mergeCell ref="D181:I181"/>
    <mergeCell ref="D182:I182"/>
    <mergeCell ref="D183:I183"/>
    <mergeCell ref="D184:I184"/>
    <mergeCell ref="D185:I185"/>
    <mergeCell ref="D186:I186"/>
    <mergeCell ref="D187:I187"/>
    <mergeCell ref="D188:I188"/>
    <mergeCell ref="D189:I189"/>
    <mergeCell ref="D190:I190"/>
    <mergeCell ref="D191:I191"/>
    <mergeCell ref="D192:I192"/>
    <mergeCell ref="D193:I193"/>
    <mergeCell ref="D194:I194"/>
    <mergeCell ref="D195:I195"/>
    <mergeCell ref="D196:I196"/>
    <mergeCell ref="D197:I197"/>
    <mergeCell ref="D198:I198"/>
    <mergeCell ref="D199:I199"/>
    <mergeCell ref="D200:I200"/>
    <mergeCell ref="D201:I201"/>
    <mergeCell ref="D202:I202"/>
    <mergeCell ref="D203:I203"/>
    <mergeCell ref="D204:I204"/>
    <mergeCell ref="D205:I205"/>
    <mergeCell ref="D206:I206"/>
    <mergeCell ref="D207:I207"/>
    <mergeCell ref="D208:I208"/>
    <mergeCell ref="D209:I209"/>
    <mergeCell ref="D210:I210"/>
    <mergeCell ref="D211:I211"/>
    <mergeCell ref="D212:I212"/>
    <mergeCell ref="D213:I213"/>
    <mergeCell ref="D214:I214"/>
    <mergeCell ref="D215:I215"/>
    <mergeCell ref="D216:I216"/>
    <mergeCell ref="D217:I217"/>
    <mergeCell ref="D218:I218"/>
    <mergeCell ref="D219:I219"/>
    <mergeCell ref="D220:I220"/>
    <mergeCell ref="D221:I221"/>
    <mergeCell ref="D222:I222"/>
    <mergeCell ref="D223:I223"/>
    <mergeCell ref="D224:I224"/>
    <mergeCell ref="D225:I225"/>
    <mergeCell ref="D226:I226"/>
    <mergeCell ref="D227:I227"/>
    <mergeCell ref="D228:I228"/>
    <mergeCell ref="D229:I229"/>
    <mergeCell ref="D230:I230"/>
    <mergeCell ref="D231:I231"/>
    <mergeCell ref="D232:I232"/>
    <mergeCell ref="D233:I233"/>
    <mergeCell ref="D234:I234"/>
    <mergeCell ref="D235:I235"/>
    <mergeCell ref="D236:I236"/>
    <mergeCell ref="D237:I237"/>
    <mergeCell ref="D238:I238"/>
    <mergeCell ref="D239:I239"/>
    <mergeCell ref="D240:I240"/>
    <mergeCell ref="D241:I241"/>
    <mergeCell ref="D242:I242"/>
    <mergeCell ref="D243:I243"/>
    <mergeCell ref="D244:I244"/>
    <mergeCell ref="D245:I245"/>
    <mergeCell ref="D246:I246"/>
    <mergeCell ref="D247:I247"/>
    <mergeCell ref="D248:I248"/>
    <mergeCell ref="D249:I249"/>
    <mergeCell ref="D250:I250"/>
    <mergeCell ref="D251:I251"/>
    <mergeCell ref="D252:I252"/>
    <mergeCell ref="D253:I253"/>
    <mergeCell ref="D254:I254"/>
    <mergeCell ref="D255:I255"/>
    <mergeCell ref="D256:I256"/>
    <mergeCell ref="D257:I257"/>
    <mergeCell ref="D258:I258"/>
    <mergeCell ref="D259:I259"/>
    <mergeCell ref="D260:I260"/>
    <mergeCell ref="D261:I261"/>
    <mergeCell ref="D262:I262"/>
    <mergeCell ref="D263:I263"/>
    <mergeCell ref="D264:I264"/>
    <mergeCell ref="D265:I265"/>
    <mergeCell ref="D266:I266"/>
    <mergeCell ref="D267:I267"/>
    <mergeCell ref="D268:I268"/>
    <mergeCell ref="D269:I269"/>
    <mergeCell ref="D270:I270"/>
    <mergeCell ref="D271:I271"/>
    <mergeCell ref="D272:I272"/>
    <mergeCell ref="D273:I273"/>
    <mergeCell ref="D274:I274"/>
    <mergeCell ref="D275:I275"/>
    <mergeCell ref="D276:I276"/>
    <mergeCell ref="D277:I277"/>
    <mergeCell ref="D278:I278"/>
    <mergeCell ref="D279:I279"/>
    <mergeCell ref="D280:I280"/>
    <mergeCell ref="D281:I281"/>
    <mergeCell ref="D282:I282"/>
    <mergeCell ref="D283:I283"/>
    <mergeCell ref="D284:I284"/>
    <mergeCell ref="D285:I285"/>
    <mergeCell ref="D286:I286"/>
    <mergeCell ref="D287:I287"/>
    <mergeCell ref="D288:I288"/>
    <mergeCell ref="D289:I289"/>
    <mergeCell ref="D290:I290"/>
    <mergeCell ref="D291:I291"/>
    <mergeCell ref="D292:I292"/>
    <mergeCell ref="D293:I293"/>
    <mergeCell ref="D294:I294"/>
    <mergeCell ref="D295:I295"/>
    <mergeCell ref="D296:I296"/>
    <mergeCell ref="D297:I297"/>
    <mergeCell ref="D298:I298"/>
    <mergeCell ref="D299:I299"/>
    <mergeCell ref="D300:I300"/>
    <mergeCell ref="D301:I301"/>
    <mergeCell ref="D302:I302"/>
    <mergeCell ref="D303:I303"/>
    <mergeCell ref="D304:I304"/>
    <mergeCell ref="D305:I305"/>
    <mergeCell ref="D306:I306"/>
    <mergeCell ref="D307:I307"/>
    <mergeCell ref="D308:I308"/>
    <mergeCell ref="D309:I309"/>
    <mergeCell ref="D310:I310"/>
    <mergeCell ref="D311:I311"/>
    <mergeCell ref="D312:I312"/>
    <mergeCell ref="D313:I313"/>
    <mergeCell ref="D314:I314"/>
    <mergeCell ref="D315:I315"/>
    <mergeCell ref="D316:I316"/>
    <mergeCell ref="D317:I317"/>
    <mergeCell ref="D318:I318"/>
    <mergeCell ref="D319:I319"/>
    <mergeCell ref="D320:I320"/>
    <mergeCell ref="D321:I321"/>
    <mergeCell ref="D322:I322"/>
    <mergeCell ref="D323:I323"/>
    <mergeCell ref="D324:I324"/>
    <mergeCell ref="D325:I325"/>
    <mergeCell ref="D326:I326"/>
    <mergeCell ref="D327:I327"/>
    <mergeCell ref="D328:I328"/>
    <mergeCell ref="D329:I329"/>
    <mergeCell ref="D330:I330"/>
    <mergeCell ref="D331:I331"/>
    <mergeCell ref="D332:I332"/>
    <mergeCell ref="D333:I333"/>
    <mergeCell ref="D334:I334"/>
    <mergeCell ref="D335:I335"/>
    <mergeCell ref="D336:I336"/>
    <mergeCell ref="D337:I337"/>
    <mergeCell ref="D338:I338"/>
    <mergeCell ref="D339:I339"/>
    <mergeCell ref="D340:I340"/>
    <mergeCell ref="D341:I341"/>
    <mergeCell ref="D342:I342"/>
    <mergeCell ref="D343:I343"/>
    <mergeCell ref="D344:I344"/>
    <mergeCell ref="D345:I345"/>
    <mergeCell ref="D346:I346"/>
    <mergeCell ref="D347:I347"/>
    <mergeCell ref="D348:I348"/>
    <mergeCell ref="D349:I349"/>
    <mergeCell ref="D350:I350"/>
    <mergeCell ref="D351:I351"/>
    <mergeCell ref="D352:I352"/>
    <mergeCell ref="D353:I353"/>
    <mergeCell ref="D354:I354"/>
    <mergeCell ref="D355:I355"/>
    <mergeCell ref="D356:I356"/>
    <mergeCell ref="D357:I357"/>
    <mergeCell ref="D358:I358"/>
    <mergeCell ref="D359:I359"/>
    <mergeCell ref="D360:I360"/>
    <mergeCell ref="D361:I361"/>
    <mergeCell ref="D362:I362"/>
    <mergeCell ref="D363:I363"/>
    <mergeCell ref="D364:I364"/>
    <mergeCell ref="D365:I365"/>
    <mergeCell ref="D366:I366"/>
    <mergeCell ref="D382:I382"/>
    <mergeCell ref="D383:I383"/>
    <mergeCell ref="D384:I384"/>
    <mergeCell ref="D367:I367"/>
    <mergeCell ref="D368:I368"/>
    <mergeCell ref="D369:I369"/>
    <mergeCell ref="D370:I370"/>
    <mergeCell ref="D371:I371"/>
    <mergeCell ref="D372:I372"/>
    <mergeCell ref="D373:I373"/>
    <mergeCell ref="D374:I374"/>
    <mergeCell ref="D375:I375"/>
    <mergeCell ref="AM56:AN56"/>
    <mergeCell ref="AM45:AN45"/>
    <mergeCell ref="D394:I394"/>
    <mergeCell ref="D395:I395"/>
    <mergeCell ref="D396:I396"/>
    <mergeCell ref="D397:I397"/>
    <mergeCell ref="D398:I398"/>
    <mergeCell ref="D399:I399"/>
    <mergeCell ref="D400:I400"/>
    <mergeCell ref="D385:I385"/>
    <mergeCell ref="D386:I386"/>
    <mergeCell ref="D387:I387"/>
    <mergeCell ref="D388:I388"/>
    <mergeCell ref="D389:I389"/>
    <mergeCell ref="D390:I390"/>
    <mergeCell ref="D391:I391"/>
    <mergeCell ref="D392:I392"/>
    <mergeCell ref="D393:I393"/>
    <mergeCell ref="D376:I376"/>
    <mergeCell ref="D377:I377"/>
    <mergeCell ref="D378:I378"/>
    <mergeCell ref="D379:I379"/>
    <mergeCell ref="D380:I380"/>
    <mergeCell ref="D381:I381"/>
  </mergeCells>
  <phoneticPr fontId="6"/>
  <conditionalFormatting sqref="A4:A27">
    <cfRule type="expression" dxfId="12" priority="3">
      <formula>(($E4-$D4)=0)</formula>
    </cfRule>
    <cfRule type="expression" dxfId="11" priority="17">
      <formula>(($E4-$D4)&gt;0)</formula>
    </cfRule>
  </conditionalFormatting>
  <conditionalFormatting sqref="R102">
    <cfRule type="expression" dxfId="10" priority="14">
      <formula>NOT(($E102-$D102)=0)</formula>
    </cfRule>
  </conditionalFormatting>
  <conditionalFormatting sqref="R105">
    <cfRule type="expression" dxfId="9" priority="13">
      <formula>NOT(($E105-$D105)=0)</formula>
    </cfRule>
  </conditionalFormatting>
  <conditionalFormatting sqref="R106">
    <cfRule type="expression" dxfId="8" priority="12">
      <formula>NOT(($E106-$D106)=0)</formula>
    </cfRule>
  </conditionalFormatting>
  <conditionalFormatting sqref="R108">
    <cfRule type="expression" dxfId="7" priority="11">
      <formula>NOT(($E108-$D108)=0)</formula>
    </cfRule>
  </conditionalFormatting>
  <conditionalFormatting sqref="R109">
    <cfRule type="expression" dxfId="6" priority="10">
      <formula>NOT(($E109-$D109)=0)</formula>
    </cfRule>
  </conditionalFormatting>
  <conditionalFormatting sqref="R110">
    <cfRule type="expression" dxfId="5" priority="9">
      <formula>NOT(($E110-$D110)=0)</formula>
    </cfRule>
  </conditionalFormatting>
  <conditionalFormatting sqref="R111">
    <cfRule type="expression" dxfId="4" priority="8">
      <formula>NOT(($E111-$D111)=0)</formula>
    </cfRule>
  </conditionalFormatting>
  <conditionalFormatting sqref="R113">
    <cfRule type="expression" dxfId="3" priority="7">
      <formula>NOT(($E113-$D113)=0)</formula>
    </cfRule>
  </conditionalFormatting>
  <conditionalFormatting sqref="R114">
    <cfRule type="expression" dxfId="2" priority="6">
      <formula>NOT(($E114-$D114)=0)</formula>
    </cfRule>
  </conditionalFormatting>
  <conditionalFormatting sqref="R116">
    <cfRule type="expression" dxfId="1" priority="1">
      <formula>(($E116-$D116)=0)</formula>
    </cfRule>
    <cfRule type="expression" dxfId="0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8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400"/>
  <sheetViews>
    <sheetView showGridLines="0" topLeftCell="A91" zoomScale="85" zoomScaleNormal="85" workbookViewId="0">
      <selection activeCell="Q23" sqref="Q23"/>
    </sheetView>
  </sheetViews>
  <sheetFormatPr defaultRowHeight="15"/>
  <cols>
    <col min="1" max="1" width="49.42578125" style="6" customWidth="1"/>
    <col min="2" max="2" width="4.140625" style="3" bestFit="1" customWidth="1"/>
    <col min="3" max="3" width="5.28515625" style="3" bestFit="1" customWidth="1"/>
    <col min="4" max="4" width="5" style="3" bestFit="1" customWidth="1"/>
    <col min="5" max="5" width="16.28515625" style="3" bestFit="1" customWidth="1"/>
    <col min="6" max="6" width="5.140625" style="3" bestFit="1" customWidth="1"/>
    <col min="7" max="7" width="6.140625" style="3" bestFit="1" customWidth="1"/>
    <col min="8" max="9" width="5.140625" style="3" bestFit="1" customWidth="1"/>
    <col min="10" max="10" width="5.85546875" style="3" bestFit="1" customWidth="1"/>
    <col min="11" max="11" width="9.7109375" style="3" customWidth="1"/>
    <col min="12" max="12" width="6" style="3" bestFit="1" customWidth="1"/>
    <col min="13" max="13" width="14.140625" style="3" bestFit="1" customWidth="1"/>
    <col min="14" max="14" width="5.28515625" style="3" bestFit="1" customWidth="1"/>
    <col min="15" max="15" width="14.140625" style="3" bestFit="1" customWidth="1"/>
    <col min="16" max="16" width="5.28515625" style="3" bestFit="1" customWidth="1"/>
    <col min="17" max="17" width="7.7109375" style="3" bestFit="1" customWidth="1"/>
    <col min="18" max="18" width="23.140625" style="3" bestFit="1" customWidth="1"/>
    <col min="19" max="19" width="99.140625" style="7" bestFit="1" customWidth="1"/>
  </cols>
  <sheetData>
    <row r="1" spans="1:20" ht="16.5">
      <c r="A1" s="167" t="s">
        <v>492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9"/>
    </row>
    <row r="2" spans="1:20" ht="16.5">
      <c r="A2" s="58" t="s">
        <v>4</v>
      </c>
      <c r="B2" s="58" t="s">
        <v>228</v>
      </c>
      <c r="C2" s="58" t="s">
        <v>209</v>
      </c>
      <c r="D2" s="124" t="s">
        <v>404</v>
      </c>
      <c r="E2" s="124" t="s">
        <v>257</v>
      </c>
      <c r="F2" s="58" t="s">
        <v>6</v>
      </c>
      <c r="G2" s="58" t="s">
        <v>7</v>
      </c>
      <c r="H2" s="58" t="s">
        <v>8</v>
      </c>
      <c r="I2" s="58" t="s">
        <v>9</v>
      </c>
      <c r="J2" s="58" t="s">
        <v>10</v>
      </c>
      <c r="K2" s="58" t="s">
        <v>11</v>
      </c>
      <c r="L2" s="58" t="s">
        <v>229</v>
      </c>
      <c r="M2" s="58" t="s">
        <v>611</v>
      </c>
      <c r="N2" s="124" t="s">
        <v>619</v>
      </c>
      <c r="O2" s="124" t="s">
        <v>12</v>
      </c>
      <c r="P2" s="58" t="s">
        <v>620</v>
      </c>
      <c r="Q2" s="58" t="s">
        <v>612</v>
      </c>
      <c r="R2" s="58" t="s">
        <v>276</v>
      </c>
      <c r="S2" s="58" t="s">
        <v>13</v>
      </c>
      <c r="T2" s="8"/>
    </row>
    <row r="3" spans="1:20" ht="16.5">
      <c r="A3" s="12" t="str">
        <f>IF(NOT(Anime!R4=""),Anime!R4,"")</f>
        <v>Inferno Cop</v>
      </c>
      <c r="B3" s="14">
        <f>IF(NOT(Anime!S4=""),Anime!S4,"")</f>
        <v>1</v>
      </c>
      <c r="C3" s="14">
        <f>IF(NOT(Anime!T4=""),Anime!T4,"")</f>
        <v>13</v>
      </c>
      <c r="D3" s="68" t="str">
        <f>IF(NOT(Anime!U4=""),Anime!U4,"")</f>
        <v>A</v>
      </c>
      <c r="E3" s="131" t="str">
        <f>IF(NOT(Anime!W4=""),Anime!W4,"")</f>
        <v>Commie</v>
      </c>
      <c r="F3" s="16">
        <f>IF(NOT(Anime!X4=""),Anime!X4,"")</f>
        <v>11</v>
      </c>
      <c r="G3" s="16">
        <f>IF(NOT(Anime!Y4=""),Anime!Y4,"")</f>
        <v>11</v>
      </c>
      <c r="H3" s="16">
        <f>IF(NOT(Anime!Z4=""),Anime!Z4,"")</f>
        <v>0</v>
      </c>
      <c r="I3" s="16">
        <f>IF(NOT(Anime!AA4=""),Anime!AA4,"")</f>
        <v>11</v>
      </c>
      <c r="J3" s="17">
        <f>IF(NOT(Anime!AB4=""),Anime!AB4,"")</f>
        <v>9.9809264305177106</v>
      </c>
      <c r="K3" s="18">
        <f>IF(NOT(Anime!AC4=""),Anime!AC4,"")</f>
        <v>10</v>
      </c>
      <c r="L3" s="19">
        <f>IF(NOT(Anime!AD4=""),Anime!AD4,"")</f>
        <v>1</v>
      </c>
      <c r="M3" s="72">
        <f>IF(NOT(Anime!AE4=""),Anime!AE4,"")</f>
        <v>41290</v>
      </c>
      <c r="N3" s="21">
        <f>IF(NOT(Anime!AF4=""),Anime!AF4,"")</f>
        <v>16</v>
      </c>
      <c r="O3" s="129">
        <f>IF(NOT(Anime!AG4=""),Anime!AG4,"")</f>
        <v>41352</v>
      </c>
      <c r="P3" s="21">
        <f>IF(NOT(Anime!AH4=""),Anime!AH4,"")</f>
        <v>27</v>
      </c>
      <c r="Q3" s="21" t="str">
        <f>IF(NOT(Anime!AI4=""),Anime!AI4,"")</f>
        <v/>
      </c>
      <c r="R3" s="66" t="str">
        <f>IF(NOT(Anime!AJ4=""),Anime!AJ4,"")</f>
        <v>Inferno Cop</v>
      </c>
      <c r="S3" s="135" t="str">
        <f>IF(NOT(Anime!AK10=""),Anime!AK10,"")</f>
        <v/>
      </c>
    </row>
    <row r="4" spans="1:20" ht="16.5">
      <c r="A4" s="12" t="str">
        <f>IF(NOT(Anime!R5=""),Anime!R5,"")</f>
        <v>Steins;Gate</v>
      </c>
      <c r="B4" s="14">
        <f>IF(NOT(Anime!S5=""),Anime!S5,"")</f>
        <v>1</v>
      </c>
      <c r="C4" s="14">
        <f>IF(NOT(Anime!T5=""),Anime!T5,"")</f>
        <v>25</v>
      </c>
      <c r="D4" s="68" t="str">
        <f>IF(NOT(Anime!U5=""),Anime!U5,"")</f>
        <v>A</v>
      </c>
      <c r="E4" s="131" t="str">
        <f>IF(NOT(Anime!W5=""),Anime!W5,"")</f>
        <v>WhyNot</v>
      </c>
      <c r="F4" s="16">
        <f>IF(NOT(Anime!X5=""),Anime!X5,"")</f>
        <v>10</v>
      </c>
      <c r="G4" s="16">
        <f>IF(NOT(Anime!Y5=""),Anime!Y5,"")</f>
        <v>9.5</v>
      </c>
      <c r="H4" s="16">
        <f>IF(NOT(Anime!Z5=""),Anime!Z5,"")</f>
        <v>4</v>
      </c>
      <c r="I4" s="16">
        <f>IF(NOT(Anime!AA5=""),Anime!AA5,"")</f>
        <v>10</v>
      </c>
      <c r="J4" s="17">
        <f>IF(NOT(Anime!AB5=""),Anime!AB5,"")</f>
        <v>9.3583106267029965</v>
      </c>
      <c r="K4" s="18">
        <f>IF(NOT(Anime!AC5=""),Anime!AC5,"")</f>
        <v>9.173149990953501</v>
      </c>
      <c r="L4" s="19">
        <f>IF(NOT(Anime!AD5=""),Anime!AD5,"")</f>
        <v>2</v>
      </c>
      <c r="M4" s="72">
        <f>IF(NOT(Anime!AE5=""),Anime!AE5,"")</f>
        <v>41270</v>
      </c>
      <c r="N4" s="21">
        <f>IF(NOT(Anime!AF5=""),Anime!AF5,"")</f>
        <v>11</v>
      </c>
      <c r="O4" s="129">
        <f>IF(NOT(Anime!AG5=""),Anime!AG5,"")</f>
        <v>41279</v>
      </c>
      <c r="P4" s="21">
        <f>IF(NOT(Anime!AH5=""),Anime!AH5,"")</f>
        <v>10</v>
      </c>
      <c r="Q4" s="21" t="str">
        <f>IF(NOT(Anime!AI5=""),Anime!AI5,"")</f>
        <v/>
      </c>
      <c r="R4" s="66" t="str">
        <f>IF(NOT(Anime!AJ5=""),Anime!AJ5,"")</f>
        <v>Makise Kurisu</v>
      </c>
      <c r="S4" s="135" t="str">
        <f>IF(NOT(Anime!AK11=""),Anime!AK11,"")</f>
        <v>So many feels</v>
      </c>
    </row>
    <row r="5" spans="1:20" ht="16.5">
      <c r="A5" s="12" t="str">
        <f>IF(NOT(Anime!R6=""),Anime!R6,"")</f>
        <v>Sakamichi no Apollon</v>
      </c>
      <c r="B5" s="14">
        <f>IF(NOT(Anime!S6=""),Anime!S6,"")</f>
        <v>1</v>
      </c>
      <c r="C5" s="14">
        <f>IF(NOT(Anime!T6=""),Anime!T6,"")</f>
        <v>12</v>
      </c>
      <c r="D5" s="68" t="str">
        <f>IF(NOT(Anime!U6=""),Anime!U6,"")</f>
        <v>B</v>
      </c>
      <c r="E5" s="131" t="str">
        <f>IF(NOT(Anime!W6=""),Anime!W6,"")</f>
        <v>HorribleSubs</v>
      </c>
      <c r="F5" s="16">
        <f>IF(NOT(Anime!X6=""),Anime!X6,"")</f>
        <v>9.5</v>
      </c>
      <c r="G5" s="16">
        <f>IF(NOT(Anime!Y6=""),Anime!Y6,"")</f>
        <v>10</v>
      </c>
      <c r="H5" s="16">
        <f>IF(NOT(Anime!Z6=""),Anime!Z6,"")</f>
        <v>3.5</v>
      </c>
      <c r="I5" s="16">
        <f>IF(NOT(Anime!AA6=""),Anime!AA6,"")</f>
        <v>10</v>
      </c>
      <c r="J5" s="17">
        <f>IF(NOT(Anime!AB6=""),Anime!AB6,"")</f>
        <v>9.2411444141689376</v>
      </c>
      <c r="K5" s="18">
        <f>IF(NOT(Anime!AC6=""),Anime!AC6,"")</f>
        <v>9.017550208069478</v>
      </c>
      <c r="L5" s="19">
        <f>IF(NOT(Anime!AD6=""),Anime!AD6,"")</f>
        <v>3</v>
      </c>
      <c r="M5" s="72">
        <f>IF(NOT(Anime!AE6=""),Anime!AE6,"")</f>
        <v>41646</v>
      </c>
      <c r="N5" s="21">
        <f>IF(NOT(Anime!AF6=""),Anime!AF6,"")</f>
        <v>100</v>
      </c>
      <c r="O5" s="129">
        <f>IF(NOT(Anime!AG6=""),Anime!AG6,"")</f>
        <v>41647</v>
      </c>
      <c r="P5" s="21">
        <f>IF(NOT(Anime!AH6=""),Anime!AH6,"")</f>
        <v>96</v>
      </c>
      <c r="Q5" s="21" t="str">
        <f>IF(NOT(Anime!AI6=""),Anime!AI6,"")</f>
        <v/>
      </c>
      <c r="R5" s="66" t="str">
        <f>IF(NOT(Anime!AJ6=""),Anime!AJ6,"")</f>
        <v>Mukae Ritsuko</v>
      </c>
      <c r="S5" s="15" t="str">
        <f>IF(NOT(Anime!AK12=""),Anime!AK12,"")</f>
        <v>Very well thought out world, good design</v>
      </c>
    </row>
    <row r="6" spans="1:20" ht="16.5">
      <c r="A6" s="12" t="str">
        <f>IF(NOT(Anime!R7=""),Anime!R7,"")</f>
        <v>Shakugan no Shana Final</v>
      </c>
      <c r="B6" s="14">
        <f>IF(NOT(Anime!S7=""),Anime!S7,"")</f>
        <v>3</v>
      </c>
      <c r="C6" s="14">
        <f>IF(NOT(Anime!T7=""),Anime!T7,"")</f>
        <v>24</v>
      </c>
      <c r="D6" s="68" t="str">
        <f>IF(NOT(Anime!U7=""),Anime!U7,"")</f>
        <v>A</v>
      </c>
      <c r="E6" s="131" t="str">
        <f>IF(NOT(Anime!W7=""),Anime!W7,"")</f>
        <v>SS-Eclipse</v>
      </c>
      <c r="F6" s="16">
        <f>IF(NOT(Anime!X7=""),Anime!X7,"")</f>
        <v>10</v>
      </c>
      <c r="G6" s="16">
        <f>IF(NOT(Anime!Y7=""),Anime!Y7,"")</f>
        <v>8.5</v>
      </c>
      <c r="H6" s="16">
        <f>IF(NOT(Anime!Z7=""),Anime!Z7,"")</f>
        <v>6</v>
      </c>
      <c r="I6" s="16">
        <f>IF(NOT(Anime!AA7=""),Anime!AA7,"")</f>
        <v>9.5</v>
      </c>
      <c r="J6" s="17">
        <f>IF(NOT(Anime!AB7=""),Anime!AB7,"")</f>
        <v>9.1607629427792912</v>
      </c>
      <c r="K6" s="18">
        <f>IF(NOT(Anime!AC7=""),Anime!AC7,"")</f>
        <v>8.9108015198118338</v>
      </c>
      <c r="L6" s="19">
        <f>IF(NOT(Anime!AD7=""),Anime!AD7,"")</f>
        <v>4</v>
      </c>
      <c r="M6" s="72">
        <f>IF(NOT(Anime!AE7=""),Anime!AE7,"")</f>
        <v>41400</v>
      </c>
      <c r="N6" s="21">
        <f>IF(NOT(Anime!AF7=""),Anime!AF7,"")</f>
        <v>50</v>
      </c>
      <c r="O6" s="129">
        <f>IF(NOT(Anime!AG7=""),Anime!AG7,"")</f>
        <v>41402</v>
      </c>
      <c r="P6" s="21">
        <f>IF(NOT(Anime!AH7=""),Anime!AH7,"")</f>
        <v>41</v>
      </c>
      <c r="Q6" s="21" t="str">
        <f>IF(NOT(Anime!AI7=""),Anime!AI7,"")</f>
        <v/>
      </c>
      <c r="R6" s="66" t="str">
        <f>IF(NOT(Anime!AJ7=""),Anime!AJ7,"")</f>
        <v>Shana</v>
      </c>
      <c r="S6" s="135" t="str">
        <f>IF(NOT(Anime!AK13=""),Anime!AK13,"")</f>
        <v>Shana &gt; Everyone else</v>
      </c>
    </row>
    <row r="7" spans="1:20" ht="16.5">
      <c r="A7" s="12" t="str">
        <f>IF(NOT(Anime!R8=""),Anime!R8,"")</f>
        <v>The Tatami Galaxy</v>
      </c>
      <c r="B7" s="14">
        <f>IF(NOT(Anime!S8=""),Anime!S8,"")</f>
        <v>1</v>
      </c>
      <c r="C7" s="14">
        <f>IF(NOT(Anime!T8=""),Anime!T8,"")</f>
        <v>11</v>
      </c>
      <c r="D7" s="68" t="str">
        <f>IF(NOT(Anime!U8=""),Anime!U8,"")</f>
        <v>B</v>
      </c>
      <c r="E7" s="131" t="str">
        <f>IF(NOT(Anime!W8=""),Anime!W8,"")</f>
        <v>Elysium</v>
      </c>
      <c r="F7" s="16">
        <f>IF(NOT(Anime!X8=""),Anime!X8,"")</f>
        <v>10</v>
      </c>
      <c r="G7" s="16">
        <f>IF(NOT(Anime!Y8=""),Anime!Y8,"")</f>
        <v>9</v>
      </c>
      <c r="H7" s="16">
        <f>IF(NOT(Anime!Z8=""),Anime!Z8,"")</f>
        <v>5</v>
      </c>
      <c r="I7" s="16">
        <f>IF(NOT(Anime!AA8=""),Anime!AA8,"")</f>
        <v>9.5</v>
      </c>
      <c r="J7" s="17">
        <f>IF(NOT(Anime!AB8=""),Anime!AB8,"")</f>
        <v>9.1539509536784731</v>
      </c>
      <c r="K7" s="18">
        <f>IF(NOT(Anime!AC8=""),Anime!AC8,"")</f>
        <v>8.9017550208069469</v>
      </c>
      <c r="L7" s="19">
        <f>IF(NOT(Anime!AD8=""),Anime!AD8,"")</f>
        <v>5</v>
      </c>
      <c r="M7" s="72">
        <f>IF(NOT(Anime!AE8=""),Anime!AE8,"")</f>
        <v>41742</v>
      </c>
      <c r="N7" s="21">
        <f>IF(NOT(Anime!AF8=""),Anime!AF8,"")</f>
        <v>112</v>
      </c>
      <c r="O7" s="129">
        <f>IF(NOT(Anime!AG8=""),Anime!AG8,"")</f>
        <v>41746</v>
      </c>
      <c r="P7" s="21">
        <f>IF(NOT(Anime!AH8=""),Anime!AH8,"")</f>
        <v>109</v>
      </c>
      <c r="Q7" s="21" t="str">
        <f>IF(NOT(Anime!AI8=""),Anime!AI8,"")</f>
        <v/>
      </c>
      <c r="R7" s="66" t="str">
        <f>IF(NOT(Anime!AJ8=""),Anime!AJ8,"")</f>
        <v>Akashi</v>
      </c>
      <c r="S7" s="135" t="str">
        <f>IF(NOT(Anime!AK14=""),Anime!AK14,"")</f>
        <v/>
      </c>
    </row>
    <row r="8" spans="1:20" ht="16.5">
      <c r="A8" s="12" t="str">
        <f>IF(NOT(Anime!R9=""),Anime!R9,"")</f>
        <v>Baccano!</v>
      </c>
      <c r="B8" s="14">
        <f>IF(NOT(Anime!S9=""),Anime!S9,"")</f>
        <v>1</v>
      </c>
      <c r="C8" s="14">
        <f>IF(NOT(Anime!T9=""),Anime!T9,"")</f>
        <v>16</v>
      </c>
      <c r="D8" s="68" t="str">
        <f>IF(NOT(Anime!U9=""),Anime!U9,"")</f>
        <v>A</v>
      </c>
      <c r="E8" s="131" t="str">
        <f>IF(NOT(Anime!W9=""),Anime!W9,"")</f>
        <v>Coalgirls</v>
      </c>
      <c r="F8" s="16">
        <f>IF(NOT(Anime!X9=""),Anime!X9,"")</f>
        <v>10</v>
      </c>
      <c r="G8" s="16">
        <f>IF(NOT(Anime!Y9=""),Anime!Y9,"")</f>
        <v>10</v>
      </c>
      <c r="H8" s="16">
        <f>IF(NOT(Anime!Z9=""),Anime!Z9,"")</f>
        <v>3</v>
      </c>
      <c r="I8" s="16">
        <f>IF(NOT(Anime!AA9=""),Anime!AA9,"")</f>
        <v>9.5</v>
      </c>
      <c r="J8" s="17">
        <f>IF(NOT(Anime!AB9=""),Anime!AB9,"")</f>
        <v>9.1403269754768406</v>
      </c>
      <c r="K8" s="18">
        <f>IF(NOT(Anime!AC9=""),Anime!AC9,"")</f>
        <v>8.8836620227971803</v>
      </c>
      <c r="L8" s="19">
        <f>IF(NOT(Anime!AD9=""),Anime!AD9,"")</f>
        <v>6</v>
      </c>
      <c r="M8" s="72">
        <f>IF(NOT(Anime!AE9=""),Anime!AE9,"")</f>
        <v>41607</v>
      </c>
      <c r="N8" s="21">
        <f>IF(NOT(Anime!AF9=""),Anime!AF9,"")</f>
        <v>95</v>
      </c>
      <c r="O8" s="129">
        <f>IF(NOT(Anime!AG9=""),Anime!AG9,"")</f>
        <v>41634</v>
      </c>
      <c r="P8" s="21">
        <f>IF(NOT(Anime!AH9=""),Anime!AH9,"")</f>
        <v>90</v>
      </c>
      <c r="Q8" s="21" t="str">
        <f>IF(NOT(Anime!AI9=""),Anime!AI9,"")</f>
        <v/>
      </c>
      <c r="R8" s="66" t="str">
        <f>IF(NOT(Anime!AJ9=""),Anime!AJ9,"")</f>
        <v>Rachel</v>
      </c>
      <c r="S8" s="135" t="str">
        <f>IF(NOT(Anime!AK15=""),Anime!AK15,"")</f>
        <v>Really enjoyable to watch, especially with knowledge of Japanese history</v>
      </c>
    </row>
    <row r="9" spans="1:20" ht="16.5">
      <c r="A9" s="12" t="str">
        <f>IF(NOT(Anime!R10=""),Anime!R10,"")</f>
        <v>Durarara!!</v>
      </c>
      <c r="B9" s="14">
        <f>IF(NOT(Anime!S10=""),Anime!S10,"")</f>
        <v>1</v>
      </c>
      <c r="C9" s="14">
        <f>IF(NOT(Anime!T10=""),Anime!T10,"")</f>
        <v>25</v>
      </c>
      <c r="D9" s="68" t="str">
        <f>IF(NOT(Anime!U10=""),Anime!U10,"")</f>
        <v>A</v>
      </c>
      <c r="E9" s="131" t="str">
        <f>IF(NOT(Anime!W10=""),Anime!W10,"")</f>
        <v>Coalgirls</v>
      </c>
      <c r="F9" s="16">
        <f>IF(NOT(Anime!X10=""),Anime!X10,"")</f>
        <v>10</v>
      </c>
      <c r="G9" s="16">
        <f>IF(NOT(Anime!Y10=""),Anime!Y10,"")</f>
        <v>9</v>
      </c>
      <c r="H9" s="16">
        <f>IF(NOT(Anime!Z10=""),Anime!Z10,"")</f>
        <v>4</v>
      </c>
      <c r="I9" s="16">
        <f>IF(NOT(Anime!AA10=""),Anime!AA10,"")</f>
        <v>9.5</v>
      </c>
      <c r="J9" s="17">
        <f>IF(NOT(Anime!AB10=""),Anime!AB10,"")</f>
        <v>9.061307901907357</v>
      </c>
      <c r="K9" s="18">
        <f>IF(NOT(Anime!AC10=""),Anime!AC10,"")</f>
        <v>8.7787226343405109</v>
      </c>
      <c r="L9" s="19">
        <f>IF(NOT(Anime!AD10=""),Anime!AD10,"")</f>
        <v>7</v>
      </c>
      <c r="M9" s="72">
        <f>IF(NOT(Anime!AE10=""),Anime!AE10,"")</f>
        <v>41750</v>
      </c>
      <c r="N9" s="21">
        <f>IF(NOT(Anime!AF10=""),Anime!AF10,"")</f>
        <v>113</v>
      </c>
      <c r="O9" s="129">
        <f>IF(NOT(Anime!AG10=""),Anime!AG10,"")</f>
        <v>41756</v>
      </c>
      <c r="P9" s="21">
        <f>IF(NOT(Anime!AH10=""),Anime!AH10,"")</f>
        <v>112</v>
      </c>
      <c r="Q9" s="21" t="str">
        <f>IF(NOT(Anime!AI10=""),Anime!AI10,"")</f>
        <v/>
      </c>
      <c r="R9" s="66" t="str">
        <f>IF(NOT(Anime!AJ10=""),Anime!AJ10,"")</f>
        <v>Celty Sturluson</v>
      </c>
      <c r="S9" s="135" t="str">
        <f>IF(NOT(Anime!AK16=""),Anime!AK16,"")</f>
        <v/>
      </c>
    </row>
    <row r="10" spans="1:20" ht="16.5">
      <c r="A10" s="12" t="str">
        <f>IF(NOT(Anime!R11=""),Anime!R11,"")</f>
        <v>Clannad ~After Story~</v>
      </c>
      <c r="B10" s="14">
        <f>IF(NOT(Anime!S11=""),Anime!S11,"")</f>
        <v>2</v>
      </c>
      <c r="C10" s="14">
        <f>IF(NOT(Anime!T11=""),Anime!T11,"")</f>
        <v>22</v>
      </c>
      <c r="D10" s="68" t="str">
        <f>IF(NOT(Anime!U11=""),Anime!U11,"")</f>
        <v>A</v>
      </c>
      <c r="E10" s="131" t="str">
        <f>IF(NOT(Anime!W11=""),Anime!W11,"")</f>
        <v>Doki</v>
      </c>
      <c r="F10" s="16">
        <f>IF(NOT(Anime!X11=""),Anime!X11,"")</f>
        <v>9.5</v>
      </c>
      <c r="G10" s="16">
        <f>IF(NOT(Anime!Y11=""),Anime!Y11,"")</f>
        <v>10</v>
      </c>
      <c r="H10" s="16">
        <f>IF(NOT(Anime!Z11=""),Anime!Z11,"")</f>
        <v>6</v>
      </c>
      <c r="I10" s="16">
        <f>IF(NOT(Anime!AA11=""),Anime!AA11,"")</f>
        <v>9</v>
      </c>
      <c r="J10" s="17">
        <f>IF(NOT(Anime!AB11=""),Anime!AB11,"")</f>
        <v>9.0504087193460485</v>
      </c>
      <c r="K10" s="18">
        <f>IF(NOT(Anime!AC11=""),Anime!AC11,"")</f>
        <v>8.7642482359326923</v>
      </c>
      <c r="L10" s="19">
        <f>IF(NOT(Anime!AD11=""),Anime!AD11,"")</f>
        <v>8</v>
      </c>
      <c r="M10" s="72">
        <f>IF(NOT(Anime!AE11=""),Anime!AE11,"")</f>
        <v>41293</v>
      </c>
      <c r="N10" s="21">
        <f>IF(NOT(Anime!AF11=""),Anime!AF11,"")</f>
        <v>19</v>
      </c>
      <c r="O10" s="129">
        <f>IF(NOT(Anime!AG11=""),Anime!AG11,"")</f>
        <v>41294</v>
      </c>
      <c r="P10" s="21">
        <f>IF(NOT(Anime!AH11=""),Anime!AH11,"")</f>
        <v>15</v>
      </c>
      <c r="Q10" s="21" t="str">
        <f>IF(NOT(Anime!AI11=""),Anime!AI11,"")</f>
        <v/>
      </c>
      <c r="R10" s="66" t="str">
        <f>IF(NOT(Anime!AJ11=""),Anime!AJ11,"")</f>
        <v>Fujibayashi Kyou</v>
      </c>
      <c r="S10" s="135" t="str">
        <f>IF(NOT(Anime!AK17=""),Anime!AK17,"")</f>
        <v>DON'T LOSE YOUR WAAAAAAYYYY</v>
      </c>
    </row>
    <row r="11" spans="1:20" ht="16.5">
      <c r="A11" s="12" t="str">
        <f>IF(NOT(Anime!R12=""),Anime!R12,"")</f>
        <v>Log Horizon</v>
      </c>
      <c r="B11" s="14">
        <f>IF(NOT(Anime!S12=""),Anime!S12,"")</f>
        <v>1</v>
      </c>
      <c r="C11" s="14">
        <f>IF(NOT(Anime!T12=""),Anime!T12,"")</f>
        <v>25</v>
      </c>
      <c r="D11" s="68" t="str">
        <f>IF(NOT(Anime!U12=""),Anime!U12,"")</f>
        <v>B</v>
      </c>
      <c r="E11" s="131" t="str">
        <f>IF(NOT(Anime!W12=""),Anime!W12,"")</f>
        <v>HorribleSubs</v>
      </c>
      <c r="F11" s="16">
        <f>IF(NOT(Anime!X12=""),Anime!X12,"")</f>
        <v>9</v>
      </c>
      <c r="G11" s="16">
        <f>IF(NOT(Anime!Y12=""),Anime!Y12,"")</f>
        <v>9</v>
      </c>
      <c r="H11" s="16">
        <f>IF(NOT(Anime!Z12=""),Anime!Z12,"")</f>
        <v>6.5</v>
      </c>
      <c r="I11" s="16">
        <f>IF(NOT(Anime!AA12=""),Anime!AA12,"")</f>
        <v>9.5</v>
      </c>
      <c r="J11" s="17">
        <f>IF(NOT(Anime!AB12=""),Anime!AB12,"")</f>
        <v>8.9795640326975477</v>
      </c>
      <c r="K11" s="18">
        <f>IF(NOT(Anime!AC12=""),Anime!AC12,"")</f>
        <v>8.67016464628189</v>
      </c>
      <c r="L11" s="19">
        <f>IF(NOT(Anime!AD12=""),Anime!AD12,"")</f>
        <v>9</v>
      </c>
      <c r="M11" s="72">
        <f>IF(NOT(Anime!AE12=""),Anime!AE12,"")</f>
        <v>41555</v>
      </c>
      <c r="N11" s="21">
        <f>IF(NOT(Anime!AF12=""),Anime!AF12,"")</f>
        <v>91</v>
      </c>
      <c r="O11" s="129">
        <f>IF(NOT(Anime!AG12=""),Anime!AG12,"")</f>
        <v>41720</v>
      </c>
      <c r="P11" s="21">
        <f>IF(NOT(Anime!AH12=""),Anime!AH12,"")</f>
        <v>98</v>
      </c>
      <c r="Q11" s="21" t="str">
        <f>IF(NOT(Anime!AI12=""),Anime!AI12,"")</f>
        <v/>
      </c>
      <c r="R11" s="66" t="str">
        <f>IF(NOT(Anime!AJ12=""),Anime!AJ12,"")</f>
        <v>Akatsuki</v>
      </c>
      <c r="S11" s="135" t="str">
        <f>IF(NOT(Anime!AK18=""),Anime!AK18,"")</f>
        <v>Not enough angel, not enough beats</v>
      </c>
    </row>
    <row r="12" spans="1:20" ht="16.5">
      <c r="A12" s="12" t="str">
        <f>IF(NOT(Anime!R13=""),Anime!R13,"")</f>
        <v>Shakugan no Shana</v>
      </c>
      <c r="B12" s="14">
        <f>IF(NOT(Anime!S13=""),Anime!S13,"")</f>
        <v>1</v>
      </c>
      <c r="C12" s="14">
        <f>IF(NOT(Anime!T13=""),Anime!T13,"")</f>
        <v>24</v>
      </c>
      <c r="D12" s="68" t="str">
        <f>IF(NOT(Anime!U13=""),Anime!U13,"")</f>
        <v>A</v>
      </c>
      <c r="E12" s="131" t="str">
        <f>IF(NOT(Anime!W13=""),Anime!W13,"")</f>
        <v>Elysium</v>
      </c>
      <c r="F12" s="16">
        <f>IF(NOT(Anime!X13=""),Anime!X13,"")</f>
        <v>9.5</v>
      </c>
      <c r="G12" s="16">
        <f>IF(NOT(Anime!Y13=""),Anime!Y13,"")</f>
        <v>9</v>
      </c>
      <c r="H12" s="16">
        <f>IF(NOT(Anime!Z13=""),Anime!Z13,"")</f>
        <v>6.5</v>
      </c>
      <c r="I12" s="16">
        <f>IF(NOT(Anime!AA13=""),Anime!AA13,"")</f>
        <v>9</v>
      </c>
      <c r="J12" s="17">
        <f>IF(NOT(Anime!AB13=""),Anime!AB13,"")</f>
        <v>8.9250681198910087</v>
      </c>
      <c r="K12" s="18">
        <f>IF(NOT(Anime!AC13=""),Anime!AC13,"")</f>
        <v>8.5977926542428094</v>
      </c>
      <c r="L12" s="19">
        <f>IF(NOT(Anime!AD13=""),Anime!AD13,"")</f>
        <v>10</v>
      </c>
      <c r="M12" s="72">
        <f>IF(NOT(Anime!AE13=""),Anime!AE13,"")</f>
        <v>41369</v>
      </c>
      <c r="N12" s="21">
        <f>IF(NOT(Anime!AF13=""),Anime!AF13,"")</f>
        <v>39</v>
      </c>
      <c r="O12" s="129">
        <f>IF(NOT(Anime!AG13=""),Anime!AG13,"")</f>
        <v>41389</v>
      </c>
      <c r="P12" s="21">
        <f>IF(NOT(Anime!AH13=""),Anime!AH13,"")</f>
        <v>38</v>
      </c>
      <c r="Q12" s="21" t="str">
        <f>IF(NOT(Anime!AI13=""),Anime!AI13,"")</f>
        <v/>
      </c>
      <c r="R12" s="66" t="str">
        <f>IF(NOT(Anime!AJ13=""),Anime!AJ13,"")</f>
        <v>Shana</v>
      </c>
      <c r="S12" s="135" t="str">
        <f>IF(NOT(Anime!AK19=""),Anime!AK19,"")</f>
        <v>OST of the season, very nicely developed plot</v>
      </c>
    </row>
    <row r="13" spans="1:20" ht="16.5">
      <c r="A13" s="12" t="str">
        <f>IF(NOT(Anime!R14=""),Anime!R14,"")</f>
        <v>Spice and Wolf</v>
      </c>
      <c r="B13" s="14">
        <f>IF(NOT(Anime!S14=""),Anime!S14,"")</f>
        <v>1</v>
      </c>
      <c r="C13" s="14">
        <f>IF(NOT(Anime!T14=""),Anime!T14,"")</f>
        <v>13</v>
      </c>
      <c r="D13" s="68" t="str">
        <f>IF(NOT(Anime!U14=""),Anime!U14,"")</f>
        <v>A</v>
      </c>
      <c r="E13" s="131" t="str">
        <f>IF(NOT(Anime!W14=""),Anime!W14,"")</f>
        <v>Coalgirls</v>
      </c>
      <c r="F13" s="16">
        <f>IF(NOT(Anime!X14=""),Anime!X14,"")</f>
        <v>9</v>
      </c>
      <c r="G13" s="16">
        <f>IF(NOT(Anime!Y14=""),Anime!Y14,"")</f>
        <v>9.5</v>
      </c>
      <c r="H13" s="16">
        <f>IF(NOT(Anime!Z14=""),Anime!Z14,"")</f>
        <v>4.5</v>
      </c>
      <c r="I13" s="16">
        <f>IF(NOT(Anime!AA14=""),Anime!AA14,"")</f>
        <v>9.5</v>
      </c>
      <c r="J13" s="17">
        <f>IF(NOT(Anime!AB14=""),Anime!AB14,"")</f>
        <v>8.8801089918256135</v>
      </c>
      <c r="K13" s="18">
        <f>IF(NOT(Anime!AC14=""),Anime!AC14,"")</f>
        <v>8.5380857608105689</v>
      </c>
      <c r="L13" s="19">
        <f>IF(NOT(Anime!AD14=""),Anime!AD14,"")</f>
        <v>11</v>
      </c>
      <c r="M13" s="72">
        <f>IF(NOT(Anime!AE14=""),Anime!AE14,"")</f>
        <v>41357</v>
      </c>
      <c r="N13" s="21">
        <f>IF(NOT(Anime!AF14=""),Anime!AF14,"")</f>
        <v>34</v>
      </c>
      <c r="O13" s="129">
        <f>IF(NOT(Anime!AG14=""),Anime!AG14,"")</f>
        <v>41357</v>
      </c>
      <c r="P13" s="21">
        <f>IF(NOT(Anime!AH14=""),Anime!AH14,"")</f>
        <v>30</v>
      </c>
      <c r="Q13" s="21" t="str">
        <f>IF(NOT(Anime!AI14=""),Anime!AI14,"")</f>
        <v/>
      </c>
      <c r="R13" s="66" t="str">
        <f>IF(NOT(Anime!AJ14=""),Anime!AJ14,"")</f>
        <v>Nora Adrendt</v>
      </c>
      <c r="S13" s="135" t="str">
        <f>IF(NOT(Anime!AK20=""),Anime!AK20,"")</f>
        <v/>
      </c>
    </row>
    <row r="14" spans="1:20" ht="16.5">
      <c r="A14" s="12" t="str">
        <f>IF(NOT(Anime!R15=""),Anime!R15,"")</f>
        <v>Oda Nobuna no Yabou</v>
      </c>
      <c r="B14" s="14">
        <f>IF(NOT(Anime!S15=""),Anime!S15,"")</f>
        <v>1</v>
      </c>
      <c r="C14" s="14">
        <f>IF(NOT(Anime!T15=""),Anime!T15,"")</f>
        <v>12</v>
      </c>
      <c r="D14" s="68" t="str">
        <f>IF(NOT(Anime!U15=""),Anime!U15,"")</f>
        <v>A</v>
      </c>
      <c r="E14" s="131" t="str">
        <f>IF(NOT(Anime!W15=""),Anime!W15,"")</f>
        <v>Doki</v>
      </c>
      <c r="F14" s="16">
        <f>IF(NOT(Anime!X15=""),Anime!X15,"")</f>
        <v>9</v>
      </c>
      <c r="G14" s="16">
        <f>IF(NOT(Anime!Y15=""),Anime!Y15,"")</f>
        <v>9.5</v>
      </c>
      <c r="H14" s="16">
        <f>IF(NOT(Anime!Z15=""),Anime!Z15,"")</f>
        <v>6.5</v>
      </c>
      <c r="I14" s="16">
        <f>IF(NOT(Anime!AA15=""),Anime!AA15,"")</f>
        <v>9</v>
      </c>
      <c r="J14" s="17">
        <f>IF(NOT(Anime!AB15=""),Anime!AB15,"")</f>
        <v>8.8542234332425078</v>
      </c>
      <c r="K14" s="18">
        <f>IF(NOT(Anime!AC15=""),Anime!AC15,"")</f>
        <v>8.5037090645920053</v>
      </c>
      <c r="L14" s="19">
        <f>IF(NOT(Anime!AD15=""),Anime!AD15,"")</f>
        <v>12</v>
      </c>
      <c r="M14" s="72">
        <f>IF(NOT(Anime!AE15=""),Anime!AE15,"")</f>
        <v>41636</v>
      </c>
      <c r="N14" s="21">
        <f>IF(NOT(Anime!AF15=""),Anime!AF15,"")</f>
        <v>97</v>
      </c>
      <c r="O14" s="129">
        <f>IF(NOT(Anime!AG15=""),Anime!AG15,"")</f>
        <v>41636</v>
      </c>
      <c r="P14" s="21">
        <f>IF(NOT(Anime!AH15=""),Anime!AH15,"")</f>
        <v>92</v>
      </c>
      <c r="Q14" s="21" t="str">
        <f>IF(NOT(Anime!AI15=""),Anime!AI15,"")</f>
        <v/>
      </c>
      <c r="R14" s="66" t="str">
        <f>IF(NOT(Anime!AJ15=""),Anime!AJ15,"")</f>
        <v>Takenaka Hanbei</v>
      </c>
      <c r="S14" s="135" t="str">
        <f>IF(NOT(Anime!AK21=""),Anime!AK21,"")</f>
        <v>Drama was a bit forced at the end, but it was nicely done overall</v>
      </c>
    </row>
    <row r="15" spans="1:20" ht="16.5">
      <c r="A15" s="12" t="str">
        <f>IF(NOT(Anime!R16=""),Anime!R16,"")</f>
        <v>White Album 2</v>
      </c>
      <c r="B15" s="14">
        <f>IF(NOT(Anime!S16=""),Anime!S16,"")</f>
        <v>1</v>
      </c>
      <c r="C15" s="14">
        <f>IF(NOT(Anime!T16=""),Anime!T16,"")</f>
        <v>12</v>
      </c>
      <c r="D15" s="68" t="str">
        <f>IF(NOT(Anime!U16=""),Anime!U16,"")</f>
        <v>B</v>
      </c>
      <c r="E15" s="131" t="str">
        <f>IF(NOT(Anime!W16=""),Anime!W16,"")</f>
        <v>UTW</v>
      </c>
      <c r="F15" s="16">
        <f>IF(NOT(Anime!X16=""),Anime!X16,"")</f>
        <v>9</v>
      </c>
      <c r="G15" s="16">
        <f>IF(NOT(Anime!Y16=""),Anime!Y16,"")</f>
        <v>9.5</v>
      </c>
      <c r="H15" s="16">
        <f>IF(NOT(Anime!Z16=""),Anime!Z16,"")</f>
        <v>6</v>
      </c>
      <c r="I15" s="16">
        <f>IF(NOT(Anime!AA16=""),Anime!AA16,"")</f>
        <v>9</v>
      </c>
      <c r="J15" s="17">
        <f>IF(NOT(Anime!AB16=""),Anime!AB16,"")</f>
        <v>8.8079019073569498</v>
      </c>
      <c r="K15" s="18">
        <f>IF(NOT(Anime!AC16=""),Anime!AC16,"")</f>
        <v>8.4421928713587864</v>
      </c>
      <c r="L15" s="19">
        <f>IF(NOT(Anime!AD16=""),Anime!AD16,"")</f>
        <v>13</v>
      </c>
      <c r="M15" s="72">
        <f>IF(NOT(Anime!AE16=""),Anime!AE16,"")</f>
        <v>41553</v>
      </c>
      <c r="N15" s="21">
        <f>IF(NOT(Anime!AF16=""),Anime!AF16,"")</f>
        <v>86</v>
      </c>
      <c r="O15" s="129">
        <f>IF(NOT(Anime!AG16=""),Anime!AG16,"")</f>
        <v>41632</v>
      </c>
      <c r="P15" s="21">
        <f>IF(NOT(Anime!AH16=""),Anime!AH16,"")</f>
        <v>87</v>
      </c>
      <c r="Q15" s="21" t="str">
        <f>IF(NOT(Anime!AI16=""),Anime!AI16,"")</f>
        <v/>
      </c>
      <c r="R15" s="66" t="str">
        <f>IF(NOT(Anime!AJ16=""),Anime!AJ16,"")</f>
        <v>Touma Kazusa</v>
      </c>
      <c r="S15" s="135" t="str">
        <f>IF(NOT(Anime!AK22=""),Anime!AK22,"")</f>
        <v/>
      </c>
    </row>
    <row r="16" spans="1:20" ht="16.5">
      <c r="A16" s="12" t="str">
        <f>IF(NOT(Anime!R17=""),Anime!R17,"")</f>
        <v>Kill la Kill</v>
      </c>
      <c r="B16" s="14">
        <f>IF(NOT(Anime!S17=""),Anime!S17,"")</f>
        <v>1</v>
      </c>
      <c r="C16" s="14">
        <f>IF(NOT(Anime!T17=""),Anime!T17,"")</f>
        <v>24</v>
      </c>
      <c r="D16" s="68" t="str">
        <f>IF(NOT(Anime!U17=""),Anime!U17,"")</f>
        <v>B</v>
      </c>
      <c r="E16" s="131" t="str">
        <f>IF(NOT(Anime!W17=""),Anime!W17,"")</f>
        <v>HorribleSubs</v>
      </c>
      <c r="F16" s="16">
        <f>IF(NOT(Anime!X17=""),Anime!X17,"")</f>
        <v>9</v>
      </c>
      <c r="G16" s="16">
        <f>IF(NOT(Anime!Y17=""),Anime!Y17,"")</f>
        <v>8.5</v>
      </c>
      <c r="H16" s="16">
        <f>IF(NOT(Anime!Z17=""),Anime!Z17,"")</f>
        <v>5</v>
      </c>
      <c r="I16" s="16">
        <f>IF(NOT(Anime!AA17=""),Anime!AA17,"")</f>
        <v>9.5</v>
      </c>
      <c r="J16" s="17">
        <f>IF(NOT(Anime!AB17=""),Anime!AB17,"")</f>
        <v>8.7547683923705737</v>
      </c>
      <c r="K16" s="18">
        <f>IF(NOT(Anime!AC17=""),Anime!AC17,"")</f>
        <v>8.3716301791206824</v>
      </c>
      <c r="L16" s="19">
        <f>IF(NOT(Anime!AD17=""),Anime!AD17,"")</f>
        <v>14</v>
      </c>
      <c r="M16" s="72">
        <f>IF(NOT(Anime!AE17=""),Anime!AE17,"")</f>
        <v>41555</v>
      </c>
      <c r="N16" s="21">
        <f>IF(NOT(Anime!AF17=""),Anime!AF17,"")</f>
        <v>91</v>
      </c>
      <c r="O16" s="129">
        <f>IF(NOT(Anime!AG17=""),Anime!AG17,"")</f>
        <v>41726</v>
      </c>
      <c r="P16" s="21">
        <f>IF(NOT(Anime!AH17=""),Anime!AH17,"")</f>
        <v>101</v>
      </c>
      <c r="Q16" s="21" t="str">
        <f>IF(NOT(Anime!AI17=""),Anime!AI17,"")</f>
        <v/>
      </c>
      <c r="R16" s="66" t="str">
        <f>IF(NOT(Anime!AJ17=""),Anime!AJ17,"")</f>
        <v>Jakuzure Nonon</v>
      </c>
      <c r="S16" s="135" t="str">
        <f>IF(NOT(Anime!AK23=""),Anime!AK23,"")</f>
        <v/>
      </c>
    </row>
    <row r="17" spans="1:19" ht="16.5">
      <c r="A17" s="12" t="str">
        <f>IF(NOT(Anime!R18=""),Anime!R18,"")</f>
        <v>Angel Beats!</v>
      </c>
      <c r="B17" s="14">
        <f>IF(NOT(Anime!S18=""),Anime!S18,"")</f>
        <v>1</v>
      </c>
      <c r="C17" s="14">
        <f>IF(NOT(Anime!T18=""),Anime!T18,"")</f>
        <v>14</v>
      </c>
      <c r="D17" s="68" t="str">
        <f>IF(NOT(Anime!U18=""),Anime!U18,"")</f>
        <v>A</v>
      </c>
      <c r="E17" s="131" t="str">
        <f>IF(NOT(Anime!W18=""),Anime!W18,"")</f>
        <v>Doki</v>
      </c>
      <c r="F17" s="16">
        <f>IF(NOT(Anime!X18=""),Anime!X18,"")</f>
        <v>9</v>
      </c>
      <c r="G17" s="16">
        <f>IF(NOT(Anime!Y18=""),Anime!Y18,"")</f>
        <v>9</v>
      </c>
      <c r="H17" s="16">
        <f>IF(NOT(Anime!Z18=""),Anime!Z18,"")</f>
        <v>4</v>
      </c>
      <c r="I17" s="16">
        <f>IF(NOT(Anime!AA18=""),Anime!AA18,"")</f>
        <v>9.5</v>
      </c>
      <c r="J17" s="17">
        <f>IF(NOT(Anime!AB18=""),Anime!AB18,"")</f>
        <v>8.7479564032697539</v>
      </c>
      <c r="K17" s="18">
        <f>IF(NOT(Anime!AC18=""),Anime!AC18,"")</f>
        <v>8.3625836801157956</v>
      </c>
      <c r="L17" s="19">
        <f>IF(NOT(Anime!AD18=""),Anime!AD18,"")</f>
        <v>15</v>
      </c>
      <c r="M17" s="72">
        <f>IF(NOT(Anime!AE18=""),Anime!AE18,"")</f>
        <v>41295</v>
      </c>
      <c r="N17" s="21">
        <f>IF(NOT(Anime!AF18=""),Anime!AF18,"")</f>
        <v>20</v>
      </c>
      <c r="O17" s="129">
        <f>IF(NOT(Anime!AG18=""),Anime!AG18,"")</f>
        <v>41300</v>
      </c>
      <c r="P17" s="21">
        <f>IF(NOT(Anime!AH18=""),Anime!AH18,"")</f>
        <v>17</v>
      </c>
      <c r="Q17" s="21" t="str">
        <f>IF(NOT(Anime!AI18=""),Anime!AI18,"")</f>
        <v/>
      </c>
      <c r="R17" s="66" t="str">
        <f>IF(NOT(Anime!AJ18=""),Anime!AJ18,"")</f>
        <v>Tachibana Kanade</v>
      </c>
      <c r="S17" s="135" t="str">
        <f>IF(NOT(Anime!AK24=""),Anime!AK24,"")</f>
        <v/>
      </c>
    </row>
    <row r="18" spans="1:19" ht="16.5">
      <c r="A18" s="12" t="str">
        <f>IF(NOT(Anime!R19=""),Anime!R19,"")</f>
        <v>Gatchaman Crowds</v>
      </c>
      <c r="B18" s="14">
        <f>IF(NOT(Anime!S19=""),Anime!S19,"")</f>
        <v>1</v>
      </c>
      <c r="C18" s="14">
        <f>IF(NOT(Anime!T19=""),Anime!T19,"")</f>
        <v>12</v>
      </c>
      <c r="D18" s="68" t="str">
        <f>IF(NOT(Anime!U19=""),Anime!U19,"")</f>
        <v>A</v>
      </c>
      <c r="E18" s="131" t="str">
        <f>IF(NOT(Anime!W19=""),Anime!W19,"")</f>
        <v>HorribleSubs</v>
      </c>
      <c r="F18" s="16">
        <f>IF(NOT(Anime!X19=""),Anime!X19,"")</f>
        <v>9.5</v>
      </c>
      <c r="G18" s="16">
        <f>IF(NOT(Anime!Y19=""),Anime!Y19,"")</f>
        <v>8.5</v>
      </c>
      <c r="H18" s="16">
        <f>IF(NOT(Anime!Z19=""),Anime!Z19,"")</f>
        <v>5.5</v>
      </c>
      <c r="I18" s="16">
        <f>IF(NOT(Anime!AA19=""),Anime!AA19,"")</f>
        <v>9</v>
      </c>
      <c r="J18" s="17">
        <f>IF(NOT(Anime!AB19=""),Anime!AB19,"")</f>
        <v>8.746594005449591</v>
      </c>
      <c r="K18" s="18">
        <f>IF(NOT(Anime!AC19=""),Anime!AC19,"")</f>
        <v>8.3607743803148189</v>
      </c>
      <c r="L18" s="19">
        <f>IF(NOT(Anime!AD19=""),Anime!AD19,"")</f>
        <v>16</v>
      </c>
      <c r="M18" s="72">
        <f>IF(NOT(Anime!AE19=""),Anime!AE19,"")</f>
        <v>41562</v>
      </c>
      <c r="N18" s="21">
        <f>IF(NOT(Anime!AF19=""),Anime!AF19,"")</f>
        <v>94</v>
      </c>
      <c r="O18" s="129">
        <f>IF(NOT(Anime!AG19=""),Anime!AG19,"")</f>
        <v>41574</v>
      </c>
      <c r="P18" s="21">
        <f>IF(NOT(Anime!AH19=""),Anime!AH19,"")</f>
        <v>82</v>
      </c>
      <c r="Q18" s="21" t="str">
        <f>IF(NOT(Anime!AI19=""),Anime!AI19,"")</f>
        <v/>
      </c>
      <c r="R18" s="66" t="str">
        <f>IF(NOT(Anime!AJ19=""),Anime!AJ19,"")</f>
        <v>Utsutsu</v>
      </c>
      <c r="S18" s="135" t="str">
        <f>IF(NOT(Anime!AK25=""),Anime!AK25,"")</f>
        <v/>
      </c>
    </row>
    <row r="19" spans="1:19" ht="16.5">
      <c r="A19" s="12" t="str">
        <f>IF(NOT(Anime!R20=""),Anime!R20,"")</f>
        <v>Chihayafuru</v>
      </c>
      <c r="B19" s="14">
        <f>IF(NOT(Anime!S20=""),Anime!S20,"")</f>
        <v>1</v>
      </c>
      <c r="C19" s="14">
        <f>IF(NOT(Anime!T20=""),Anime!T20,"")</f>
        <v>25</v>
      </c>
      <c r="D19" s="68" t="str">
        <f>IF(NOT(Anime!U20=""),Anime!U20,"")</f>
        <v>A</v>
      </c>
      <c r="E19" s="131" t="str">
        <f>IF(NOT(Anime!W20=""),Anime!W20,"")</f>
        <v>HorribleSubs</v>
      </c>
      <c r="F19" s="16">
        <f>IF(NOT(Anime!X20=""),Anime!X20,"")</f>
        <v>9.5</v>
      </c>
      <c r="G19" s="16">
        <f>IF(NOT(Anime!Y20=""),Anime!Y20,"")</f>
        <v>8.5</v>
      </c>
      <c r="H19" s="16">
        <f>IF(NOT(Anime!Z20=""),Anime!Z20,"")</f>
        <v>3</v>
      </c>
      <c r="I19" s="16">
        <f>IF(NOT(Anime!AA20=""),Anime!AA20,"")</f>
        <v>9.5</v>
      </c>
      <c r="J19" s="17">
        <f>IF(NOT(Anime!AB20=""),Anime!AB20,"")</f>
        <v>8.7261580381471386</v>
      </c>
      <c r="K19" s="18">
        <f>IF(NOT(Anime!AC20=""),Anime!AC20,"")</f>
        <v>8.3336348833001637</v>
      </c>
      <c r="L19" s="19">
        <f>IF(NOT(Anime!AD20=""),Anime!AD20,"")</f>
        <v>17</v>
      </c>
      <c r="M19" s="72">
        <f>IF(NOT(Anime!AE20=""),Anime!AE20,"")</f>
        <v>41477</v>
      </c>
      <c r="N19" s="21">
        <f>IF(NOT(Anime!AF20=""),Anime!AF20,"")</f>
        <v>76</v>
      </c>
      <c r="O19" s="129">
        <f>IF(NOT(Anime!AG20=""),Anime!AG20,"")</f>
        <v>41479</v>
      </c>
      <c r="P19" s="21">
        <f>IF(NOT(Anime!AH20=""),Anime!AH20,"")</f>
        <v>63</v>
      </c>
      <c r="Q19" s="21" t="str">
        <f>IF(NOT(Anime!AI20=""),Anime!AI20,"")</f>
        <v/>
      </c>
      <c r="R19" s="66" t="str">
        <f>IF(NOT(Anime!AJ20=""),Anime!AJ20,"")</f>
        <v>Ayase Chihaya</v>
      </c>
      <c r="S19" s="135" t="str">
        <f>IF(NOT(Anime!AK26=""),Anime!AK26,"")</f>
        <v>Good graphics, good audio, decent plot</v>
      </c>
    </row>
    <row r="20" spans="1:19" ht="16.5">
      <c r="A20" s="12" t="str">
        <f>IF(NOT(Anime!R21=""),Anime!R21,"")</f>
        <v>Ano Hi Mita Hana no Namae wo Bokutachi wa Mada Shiranai</v>
      </c>
      <c r="B20" s="14">
        <f>IF(NOT(Anime!S21=""),Anime!S21,"")</f>
        <v>1</v>
      </c>
      <c r="C20" s="14">
        <f>IF(NOT(Anime!T21=""),Anime!T21,"")</f>
        <v>11</v>
      </c>
      <c r="D20" s="68" t="str">
        <f>IF(NOT(Anime!U21=""),Anime!U21,"")</f>
        <v>A</v>
      </c>
      <c r="E20" s="131" t="str">
        <f>IF(NOT(Anime!W21=""),Anime!W21,"")</f>
        <v>Doki</v>
      </c>
      <c r="F20" s="16">
        <f>IF(NOT(Anime!X21=""),Anime!X21,"")</f>
        <v>9.5</v>
      </c>
      <c r="G20" s="16">
        <f>IF(NOT(Anime!Y21=""),Anime!Y21,"")</f>
        <v>8</v>
      </c>
      <c r="H20" s="16">
        <f>IF(NOT(Anime!Z21=""),Anime!Z21,"")</f>
        <v>6</v>
      </c>
      <c r="I20" s="16">
        <f>IF(NOT(Anime!AA21=""),Anime!AA21,"")</f>
        <v>9</v>
      </c>
      <c r="J20" s="17">
        <f>IF(NOT(Anime!AB21=""),Anime!AB21,"")</f>
        <v>8.7070844686648492</v>
      </c>
      <c r="K20" s="18">
        <f>IF(NOT(Anime!AC21=""),Anime!AC21,"")</f>
        <v>8.3083046860864833</v>
      </c>
      <c r="L20" s="19">
        <f>IF(NOT(Anime!AD21=""),Anime!AD21,"")</f>
        <v>18</v>
      </c>
      <c r="M20" s="72">
        <f>IF(NOT(Anime!AE21=""),Anime!AE21,"")</f>
        <v>41530</v>
      </c>
      <c r="N20" s="21">
        <f>IF(NOT(Anime!AF21=""),Anime!AF21,"")</f>
        <v>81</v>
      </c>
      <c r="O20" s="129">
        <f>IF(NOT(Anime!AG21=""),Anime!AG21,"")</f>
        <v>41532</v>
      </c>
      <c r="P20" s="21">
        <f>IF(NOT(Anime!AH21=""),Anime!AH21,"")</f>
        <v>70</v>
      </c>
      <c r="Q20" s="21" t="str">
        <f>IF(NOT(Anime!AI21=""),Anime!AI21,"")</f>
        <v/>
      </c>
      <c r="R20" s="66" t="str">
        <f>IF(NOT(Anime!AJ21=""),Anime!AJ21,"")</f>
        <v>Tsurumi Chiriko</v>
      </c>
      <c r="S20" s="135" t="str">
        <f>IF(NOT(Anime!AK27=""),Anime!AK27,"")</f>
        <v>A bit slower than the first season, but just as good. Needs a third season</v>
      </c>
    </row>
    <row r="21" spans="1:19" ht="16.5">
      <c r="A21" s="12" t="str">
        <f>IF(NOT(Anime!R22=""),Anime!R22,"")</f>
        <v>Toradora!</v>
      </c>
      <c r="B21" s="14">
        <f>IF(NOT(Anime!S22=""),Anime!S22,"")</f>
        <v>1</v>
      </c>
      <c r="C21" s="14">
        <f>IF(NOT(Anime!T22=""),Anime!T22,"")</f>
        <v>25</v>
      </c>
      <c r="D21" s="68" t="str">
        <f>IF(NOT(Anime!U22=""),Anime!U22,"")</f>
        <v>A</v>
      </c>
      <c r="E21" s="131" t="str">
        <f>IF(NOT(Anime!W22=""),Anime!W22,"")</f>
        <v>Coalgirls</v>
      </c>
      <c r="F21" s="16">
        <f>IF(NOT(Anime!X22=""),Anime!X22,"")</f>
        <v>9</v>
      </c>
      <c r="G21" s="16">
        <f>IF(NOT(Anime!Y22=""),Anime!Y22,"")</f>
        <v>9</v>
      </c>
      <c r="H21" s="16">
        <f>IF(NOT(Anime!Z22=""),Anime!Z22,"")</f>
        <v>5.5</v>
      </c>
      <c r="I21" s="16">
        <f>IF(NOT(Anime!AA22=""),Anime!AA22,"")</f>
        <v>9</v>
      </c>
      <c r="J21" s="17">
        <f>IF(NOT(Anime!AB22=""),Anime!AB22,"")</f>
        <v>8.6757493188010919</v>
      </c>
      <c r="K21" s="18">
        <f>IF(NOT(Anime!AC22=""),Anime!AC22,"")</f>
        <v>8.2666907906640166</v>
      </c>
      <c r="L21" s="19">
        <f>IF(NOT(Anime!AD22=""),Anime!AD22,"")</f>
        <v>19</v>
      </c>
      <c r="M21" s="72">
        <f>IF(NOT(Anime!AE22=""),Anime!AE22,"")</f>
        <v>41280</v>
      </c>
      <c r="N21" s="21">
        <f>IF(NOT(Anime!AF22=""),Anime!AF22,"")</f>
        <v>12</v>
      </c>
      <c r="O21" s="129">
        <f>IF(NOT(Anime!AG22=""),Anime!AG22,"")</f>
        <v>41281</v>
      </c>
      <c r="P21" s="21">
        <f>IF(NOT(Anime!AH22=""),Anime!AH22,"")</f>
        <v>11</v>
      </c>
      <c r="Q21" s="21" t="str">
        <f>IF(NOT(Anime!AI22=""),Anime!AI22,"")</f>
        <v/>
      </c>
      <c r="R21" s="66" t="str">
        <f>IF(NOT(Anime!AJ22=""),Anime!AJ22,"")</f>
        <v>Aisaka Taiga</v>
      </c>
      <c r="S21" s="135" t="str">
        <f>IF(NOT(Anime!AK28=""),Anime!AK28,"")</f>
        <v/>
      </c>
    </row>
    <row r="22" spans="1:19" ht="16.5">
      <c r="A22" s="12" t="str">
        <f>IF(NOT(Anime!R23=""),Anime!R23,"")</f>
        <v>Fate / Stay Night</v>
      </c>
      <c r="B22" s="14">
        <f>IF(NOT(Anime!S23=""),Anime!S23,"")</f>
        <v>1</v>
      </c>
      <c r="C22" s="14">
        <f>IF(NOT(Anime!T23=""),Anime!T23,"")</f>
        <v>24</v>
      </c>
      <c r="D22" s="68" t="str">
        <f>IF(NOT(Anime!U23=""),Anime!U23,"")</f>
        <v>A</v>
      </c>
      <c r="E22" s="131" t="str">
        <f>IF(NOT(Anime!W23=""),Anime!W23,"")</f>
        <v>Coalgirls</v>
      </c>
      <c r="F22" s="16">
        <f>IF(NOT(Anime!X23=""),Anime!X23,"")</f>
        <v>9</v>
      </c>
      <c r="G22" s="16">
        <f>IF(NOT(Anime!Y23=""),Anime!Y23,"")</f>
        <v>9</v>
      </c>
      <c r="H22" s="16">
        <f>IF(NOT(Anime!Z23=""),Anime!Z23,"")</f>
        <v>5</v>
      </c>
      <c r="I22" s="16">
        <f>IF(NOT(Anime!AA23=""),Anime!AA23,"")</f>
        <v>9</v>
      </c>
      <c r="J22" s="17">
        <f>IF(NOT(Anime!AB23=""),Anime!AB23,"")</f>
        <v>8.6294277929155321</v>
      </c>
      <c r="K22" s="18">
        <f>IF(NOT(Anime!AC23=""),Anime!AC23,"")</f>
        <v>8.2051745974307959</v>
      </c>
      <c r="L22" s="19">
        <f>IF(NOT(Anime!AD23=""),Anime!AD23,"")</f>
        <v>20</v>
      </c>
      <c r="M22" s="72">
        <f>IF(NOT(Anime!AE23=""),Anime!AE23,"")</f>
        <v>41537</v>
      </c>
      <c r="N22" s="21">
        <f>IF(NOT(Anime!AF23=""),Anime!AF23,"")</f>
        <v>82</v>
      </c>
      <c r="O22" s="129">
        <f>IF(NOT(Anime!AG23=""),Anime!AG23,"")</f>
        <v>41559</v>
      </c>
      <c r="P22" s="21">
        <f>IF(NOT(Anime!AH23=""),Anime!AH23,"")</f>
        <v>81</v>
      </c>
      <c r="Q22" s="21" t="str">
        <f>IF(NOT(Anime!AI23=""),Anime!AI23,"")</f>
        <v/>
      </c>
      <c r="R22" s="66" t="str">
        <f>IF(NOT(Anime!AJ23=""),Anime!AJ23,"")</f>
        <v>Saber</v>
      </c>
      <c r="S22" s="135" t="str">
        <f>IF(NOT(Anime!AK29=""),Anime!AK29,"")</f>
        <v/>
      </c>
    </row>
    <row r="23" spans="1:19" ht="16.5">
      <c r="A23" s="12" t="str">
        <f>IF(NOT(Anime!R24=""),Anime!R24,"")</f>
        <v>Shigeki no Kyojin</v>
      </c>
      <c r="B23" s="14">
        <f>IF(NOT(Anime!S24=""),Anime!S24,"")</f>
        <v>1</v>
      </c>
      <c r="C23" s="14">
        <f>IF(NOT(Anime!T24=""),Anime!T24,"")</f>
        <v>25</v>
      </c>
      <c r="D23" s="68" t="str">
        <f>IF(NOT(Anime!U24=""),Anime!U24,"")</f>
        <v>A</v>
      </c>
      <c r="E23" s="131" t="str">
        <f>IF(NOT(Anime!W24=""),Anime!W24,"")</f>
        <v>Coalgirls</v>
      </c>
      <c r="F23" s="16">
        <f>IF(NOT(Anime!X24=""),Anime!X24,"")</f>
        <v>10</v>
      </c>
      <c r="G23" s="16">
        <f>IF(NOT(Anime!Y24=""),Anime!Y24,"")</f>
        <v>8</v>
      </c>
      <c r="H23" s="16">
        <f>IF(NOT(Anime!Z24=""),Anime!Z24,"")</f>
        <v>1</v>
      </c>
      <c r="I23" s="16">
        <f>IF(NOT(Anime!AA24=""),Anime!AA24,"")</f>
        <v>9.5</v>
      </c>
      <c r="J23" s="17">
        <f>IF(NOT(Anime!AB24=""),Anime!AB24,"")</f>
        <v>8.6117166212534055</v>
      </c>
      <c r="K23" s="18">
        <f>IF(NOT(Anime!AC24=""),Anime!AC24,"")</f>
        <v>8.181653700018094</v>
      </c>
      <c r="L23" s="19">
        <f>IF(NOT(Anime!AD24=""),Anime!AD24,"")</f>
        <v>21</v>
      </c>
      <c r="M23" s="72">
        <f>IF(NOT(Anime!AE24=""),Anime!AE24,"")</f>
        <v>41397</v>
      </c>
      <c r="N23" s="21">
        <f>IF(NOT(Anime!AF24=""),Anime!AF24,"")</f>
        <v>49</v>
      </c>
      <c r="O23" s="129">
        <f>IF(NOT(Anime!AG24=""),Anime!AG24,"")</f>
        <v>41546</v>
      </c>
      <c r="P23" s="21">
        <f>IF(NOT(Anime!AH24=""),Anime!AH24,"")</f>
        <v>80</v>
      </c>
      <c r="Q23" s="21" t="str">
        <f>IF(NOT(Anime!AI24=""),Anime!AI24,"")</f>
        <v/>
      </c>
      <c r="R23" s="66" t="str">
        <f>IF(NOT(Anime!AJ24=""),Anime!AJ24,"")</f>
        <v>Mikasa Ackerman</v>
      </c>
      <c r="S23" s="135" t="str">
        <f>IF(NOT(Anime!AK30=""),Anime!AK30,"")</f>
        <v>Needs a more ballsy MC</v>
      </c>
    </row>
    <row r="24" spans="1:19" ht="16.5">
      <c r="A24" s="12" t="str">
        <f>IF(NOT(Anime!R25=""),Anime!R25,"")</f>
        <v>Spice and Wolf II</v>
      </c>
      <c r="B24" s="14">
        <f>IF(NOT(Anime!S25=""),Anime!S25,"")</f>
        <v>2</v>
      </c>
      <c r="C24" s="14">
        <f>IF(NOT(Anime!T25=""),Anime!T25,"")</f>
        <v>12</v>
      </c>
      <c r="D24" s="68" t="str">
        <f>IF(NOT(Anime!U25=""),Anime!U25,"")</f>
        <v>A</v>
      </c>
      <c r="E24" s="131" t="str">
        <f>IF(NOT(Anime!W25=""),Anime!W25,"")</f>
        <v>Coalgirls</v>
      </c>
      <c r="F24" s="16">
        <f>IF(NOT(Anime!X25=""),Anime!X25,"")</f>
        <v>8.5</v>
      </c>
      <c r="G24" s="16">
        <f>IF(NOT(Anime!Y25=""),Anime!Y25,"")</f>
        <v>9</v>
      </c>
      <c r="H24" s="16">
        <f>IF(NOT(Anime!Z25=""),Anime!Z25,"")</f>
        <v>4</v>
      </c>
      <c r="I24" s="16">
        <f>IF(NOT(Anime!AA25=""),Anime!AA25,"")</f>
        <v>9.5</v>
      </c>
      <c r="J24" s="17">
        <f>IF(NOT(Anime!AB25=""),Anime!AB25,"")</f>
        <v>8.591280653950955</v>
      </c>
      <c r="K24" s="18">
        <f>IF(NOT(Anime!AC25=""),Anime!AC25,"")</f>
        <v>8.1545142030034388</v>
      </c>
      <c r="L24" s="19">
        <f>IF(NOT(Anime!AD25=""),Anime!AD25,"")</f>
        <v>22</v>
      </c>
      <c r="M24" s="72">
        <f>IF(NOT(Anime!AE25=""),Anime!AE25,"")</f>
        <v>41358</v>
      </c>
      <c r="N24" s="21">
        <f>IF(NOT(Anime!AF25=""),Anime!AF25,"")</f>
        <v>35</v>
      </c>
      <c r="O24" s="129">
        <f>IF(NOT(Anime!AG25=""),Anime!AG25,"")</f>
        <v>41359</v>
      </c>
      <c r="P24" s="21">
        <f>IF(NOT(Anime!AH25=""),Anime!AH25,"")</f>
        <v>32</v>
      </c>
      <c r="Q24" s="21" t="str">
        <f>IF(NOT(Anime!AI25=""),Anime!AI25,"")</f>
        <v/>
      </c>
      <c r="R24" s="66" t="str">
        <f>IF(NOT(Anime!AJ25=""),Anime!AJ25,"")</f>
        <v>Holo</v>
      </c>
      <c r="S24" s="135" t="str">
        <f>IF(NOT(Anime!AK31=""),Anime!AK31,"")</f>
        <v>Worth watching just for the OPs</v>
      </c>
    </row>
    <row r="25" spans="1:19" ht="16.5">
      <c r="A25" s="12" t="str">
        <f>IF(NOT(Anime!R26=""),Anime!R26,"")</f>
        <v>K</v>
      </c>
      <c r="B25" s="14">
        <f>IF(NOT(Anime!S26=""),Anime!S26,"")</f>
        <v>1</v>
      </c>
      <c r="C25" s="14">
        <f>IF(NOT(Anime!T26=""),Anime!T26,"")</f>
        <v>13</v>
      </c>
      <c r="D25" s="68" t="str">
        <f>IF(NOT(Anime!U26=""),Anime!U26,"")</f>
        <v>A</v>
      </c>
      <c r="E25" s="131" t="str">
        <f>IF(NOT(Anime!W26=""),Anime!W26,"")</f>
        <v>Doki</v>
      </c>
      <c r="F25" s="16">
        <f>IF(NOT(Anime!X26=""),Anime!X26,"")</f>
        <v>9</v>
      </c>
      <c r="G25" s="16">
        <f>IF(NOT(Anime!Y26=""),Anime!Y26,"")</f>
        <v>9</v>
      </c>
      <c r="H25" s="16">
        <f>IF(NOT(Anime!Z26=""),Anime!Z26,"")</f>
        <v>4.5</v>
      </c>
      <c r="I25" s="16">
        <f>IF(NOT(Anime!AA26=""),Anime!AA26,"")</f>
        <v>9</v>
      </c>
      <c r="J25" s="17">
        <f>IF(NOT(Anime!AB26=""),Anime!AB26,"")</f>
        <v>8.5831062670299723</v>
      </c>
      <c r="K25" s="18">
        <f>IF(NOT(Anime!AC26=""),Anime!AC26,"")</f>
        <v>8.1436584041975753</v>
      </c>
      <c r="L25" s="19">
        <f>IF(NOT(Anime!AD26=""),Anime!AD26,"")</f>
        <v>23</v>
      </c>
      <c r="M25" s="72">
        <f>IF(NOT(Anime!AE26=""),Anime!AE26,"")</f>
        <v>41645</v>
      </c>
      <c r="N25" s="21">
        <f>IF(NOT(Anime!AF26=""),Anime!AF26,"")</f>
        <v>99</v>
      </c>
      <c r="O25" s="129">
        <f>IF(NOT(Anime!AG26=""),Anime!AG26,"")</f>
        <v>41645</v>
      </c>
      <c r="P25" s="21">
        <f>IF(NOT(Anime!AH26=""),Anime!AH26,"")</f>
        <v>95</v>
      </c>
      <c r="Q25" s="21" t="str">
        <f>IF(NOT(Anime!AI26=""),Anime!AI26,"")</f>
        <v/>
      </c>
      <c r="R25" s="66" t="str">
        <f>IF(NOT(Anime!AJ26=""),Anime!AJ26,"")</f>
        <v>Kushina Anna</v>
      </c>
      <c r="S25" s="135" t="str">
        <f>IF(NOT(Anime!AK32=""),Anime!AK32,"")</f>
        <v>Watch it for 8man</v>
      </c>
    </row>
    <row r="26" spans="1:19" ht="16.5">
      <c r="A26" s="12" t="str">
        <f>IF(NOT(Anime!R27=""),Anime!R27,"")</f>
        <v>Chihayafuru S2</v>
      </c>
      <c r="B26" s="14">
        <f>IF(NOT(Anime!S27=""),Anime!S27,"")</f>
        <v>2</v>
      </c>
      <c r="C26" s="14">
        <f>IF(NOT(Anime!T27=""),Anime!T27,"")</f>
        <v>25</v>
      </c>
      <c r="D26" s="68" t="str">
        <f>IF(NOT(Anime!U27=""),Anime!U27,"")</f>
        <v>A</v>
      </c>
      <c r="E26" s="131" t="str">
        <f>IF(NOT(Anime!W27=""),Anime!W27,"")</f>
        <v>HorribleSubs</v>
      </c>
      <c r="F26" s="16">
        <f>IF(NOT(Anime!X27=""),Anime!X27,"")</f>
        <v>9</v>
      </c>
      <c r="G26" s="16">
        <f>IF(NOT(Anime!Y27=""),Anime!Y27,"")</f>
        <v>8.5</v>
      </c>
      <c r="H26" s="16">
        <f>IF(NOT(Anime!Z27=""),Anime!Z27,"")</f>
        <v>3</v>
      </c>
      <c r="I26" s="16">
        <f>IF(NOT(Anime!AA27=""),Anime!AA27,"")</f>
        <v>9.5</v>
      </c>
      <c r="J26" s="17">
        <f>IF(NOT(Anime!AB27=""),Anime!AB27,"")</f>
        <v>8.569482288828338</v>
      </c>
      <c r="K26" s="18">
        <f>IF(NOT(Anime!AC27=""),Anime!AC27,"")</f>
        <v>8.1255654061878069</v>
      </c>
      <c r="L26" s="19">
        <f>IF(NOT(Anime!AD27=""),Anime!AD27,"")</f>
        <v>24</v>
      </c>
      <c r="M26" s="72">
        <f>IF(NOT(Anime!AE27=""),Anime!AE27,"")</f>
        <v>41479</v>
      </c>
      <c r="N26" s="21">
        <f>IF(NOT(Anime!AF27=""),Anime!AF27,"")</f>
        <v>77</v>
      </c>
      <c r="O26" s="129">
        <f>IF(NOT(Anime!AG27=""),Anime!AG27,"")</f>
        <v>41481</v>
      </c>
      <c r="P26" s="21">
        <f>IF(NOT(Anime!AH27=""),Anime!AH27,"")</f>
        <v>64</v>
      </c>
      <c r="Q26" s="21" t="str">
        <f>IF(NOT(Anime!AI27=""),Anime!AI27,"")</f>
        <v/>
      </c>
      <c r="R26" s="66" t="str">
        <f>IF(NOT(Anime!AJ27=""),Anime!AJ27,"")</f>
        <v>Ayase Chihaya</v>
      </c>
      <c r="S26" s="135" t="str">
        <f>IF(NOT(Anime!AK33=""),Anime!AK33,"")</f>
        <v/>
      </c>
    </row>
    <row r="27" spans="1:19" ht="16.5">
      <c r="A27" s="12" t="str">
        <f>IF(NOT(Anime!R28=""),Anime!R28,"")</f>
        <v>Shakugan no Shana Second</v>
      </c>
      <c r="B27" s="14">
        <f>IF(NOT(Anime!S28=""),Anime!S28,"")</f>
        <v>2</v>
      </c>
      <c r="C27" s="14">
        <f>IF(NOT(Anime!T28=""),Anime!T28,"")</f>
        <v>24</v>
      </c>
      <c r="D27" s="68" t="str">
        <f>IF(NOT(Anime!U28=""),Anime!U28,"")</f>
        <v>A</v>
      </c>
      <c r="E27" s="131" t="str">
        <f>IF(NOT(Anime!W28=""),Anime!W28,"")</f>
        <v>SS-Eclipse</v>
      </c>
      <c r="F27" s="16">
        <f>IF(NOT(Anime!X28=""),Anime!X28,"")</f>
        <v>9</v>
      </c>
      <c r="G27" s="16">
        <f>IF(NOT(Anime!Y28=""),Anime!Y28,"")</f>
        <v>9</v>
      </c>
      <c r="H27" s="16">
        <f>IF(NOT(Anime!Z28=""),Anime!Z28,"")</f>
        <v>6.5</v>
      </c>
      <c r="I27" s="16">
        <f>IF(NOT(Anime!AA28=""),Anime!AA28,"")</f>
        <v>8.5</v>
      </c>
      <c r="J27" s="17">
        <f>IF(NOT(Anime!AB28=""),Anime!AB28,"")</f>
        <v>8.5572207084468666</v>
      </c>
      <c r="K27" s="18">
        <f>IF(NOT(Anime!AC28=""),Anime!AC28,"")</f>
        <v>8.1092817079790134</v>
      </c>
      <c r="L27" s="19">
        <f>IF(NOT(Anime!AD28=""),Anime!AD28,"")</f>
        <v>25</v>
      </c>
      <c r="M27" s="72">
        <f>IF(NOT(Anime!AE28=""),Anime!AE28,"")</f>
        <v>41395</v>
      </c>
      <c r="N27" s="21">
        <f>IF(NOT(Anime!AF28=""),Anime!AF28,"")</f>
        <v>48</v>
      </c>
      <c r="O27" s="129">
        <f>IF(NOT(Anime!AG28=""),Anime!AG28,"")</f>
        <v>41400</v>
      </c>
      <c r="P27" s="21">
        <f>IF(NOT(Anime!AH28=""),Anime!AH28,"")</f>
        <v>40</v>
      </c>
      <c r="Q27" s="21" t="str">
        <f>IF(NOT(Anime!AI28=""),Anime!AI28,"")</f>
        <v/>
      </c>
      <c r="R27" s="66" t="str">
        <f>IF(NOT(Anime!AJ28=""),Anime!AJ28,"")</f>
        <v>Shana</v>
      </c>
      <c r="S27" s="135" t="str">
        <f>IF(NOT(Anime!AK34=""),Anime!AK34,"")</f>
        <v>Finale was a bit anticlimactic. S3 is in order</v>
      </c>
    </row>
    <row r="28" spans="1:19" ht="16.5">
      <c r="A28" s="12" t="str">
        <f>IF(NOT(Anime!R29=""),Anime!R29,"")</f>
        <v>Clannad</v>
      </c>
      <c r="B28" s="14">
        <f>IF(NOT(Anime!S29=""),Anime!S29,"")</f>
        <v>1</v>
      </c>
      <c r="C28" s="14">
        <f>IF(NOT(Anime!T29=""),Anime!T29,"")</f>
        <v>22</v>
      </c>
      <c r="D28" s="68" t="str">
        <f>IF(NOT(Anime!U29=""),Anime!U29,"")</f>
        <v>A</v>
      </c>
      <c r="E28" s="131" t="str">
        <f>IF(NOT(Anime!W29=""),Anime!W29,"")</f>
        <v>Coalgirls</v>
      </c>
      <c r="F28" s="16">
        <f>IF(NOT(Anime!X29=""),Anime!X29,"")</f>
        <v>8</v>
      </c>
      <c r="G28" s="16">
        <f>IF(NOT(Anime!Y29=""),Anime!Y29,"")</f>
        <v>8.5</v>
      </c>
      <c r="H28" s="16">
        <f>IF(NOT(Anime!Z29=""),Anime!Z29,"")</f>
        <v>6</v>
      </c>
      <c r="I28" s="16">
        <f>IF(NOT(Anime!AA29=""),Anime!AA29,"")</f>
        <v>9.5</v>
      </c>
      <c r="J28" s="17">
        <f>IF(NOT(Anime!AB29=""),Anime!AB29,"")</f>
        <v>8.5340599455040866</v>
      </c>
      <c r="K28" s="18">
        <f>IF(NOT(Anime!AC29=""),Anime!AC29,"")</f>
        <v>8.078523611362403</v>
      </c>
      <c r="L28" s="19">
        <f>IF(NOT(Anime!AD29=""),Anime!AD29,"")</f>
        <v>26</v>
      </c>
      <c r="M28" s="72">
        <f>IF(NOT(Anime!AE29=""),Anime!AE29,"")</f>
        <v>41286</v>
      </c>
      <c r="N28" s="21">
        <f>IF(NOT(Anime!AF29=""),Anime!AF29,"")</f>
        <v>13</v>
      </c>
      <c r="O28" s="129">
        <f>IF(NOT(Anime!AG29=""),Anime!AG29,"")</f>
        <v>41292</v>
      </c>
      <c r="P28" s="21">
        <f>IF(NOT(Anime!AH29=""),Anime!AH29,"")</f>
        <v>14</v>
      </c>
      <c r="Q28" s="21" t="str">
        <f>IF(NOT(Anime!AI29=""),Anime!AI29,"")</f>
        <v/>
      </c>
      <c r="R28" s="66" t="str">
        <f>IF(NOT(Anime!AJ29=""),Anime!AJ29,"")</f>
        <v>Fujibayashi Kyou</v>
      </c>
      <c r="S28" s="135" t="str">
        <f>IF(NOT(Anime!AK35=""),Anime!AK35,"")</f>
        <v>Funny, and not a HS drama - 9/10 would watch again</v>
      </c>
    </row>
    <row r="29" spans="1:19" ht="16.5">
      <c r="A29" s="12" t="str">
        <f>IF(NOT(Anime!R30=""),Anime!R30,"")</f>
        <v>Mirai Nikki</v>
      </c>
      <c r="B29" s="14">
        <f>IF(NOT(Anime!S30=""),Anime!S30,"")</f>
        <v>1</v>
      </c>
      <c r="C29" s="14">
        <f>IF(NOT(Anime!T30=""),Anime!T30,"")</f>
        <v>26</v>
      </c>
      <c r="D29" s="68" t="str">
        <f>IF(NOT(Anime!U30=""),Anime!U30,"")</f>
        <v>A</v>
      </c>
      <c r="E29" s="131" t="str">
        <f>IF(NOT(Anime!W30=""),Anime!W30,"")</f>
        <v>Final8</v>
      </c>
      <c r="F29" s="16">
        <f>IF(NOT(Anime!X30=""),Anime!X30,"")</f>
        <v>9.5</v>
      </c>
      <c r="G29" s="16">
        <f>IF(NOT(Anime!Y30=""),Anime!Y30,"")</f>
        <v>7.5</v>
      </c>
      <c r="H29" s="16">
        <f>IF(NOT(Anime!Z30=""),Anime!Z30,"")</f>
        <v>5</v>
      </c>
      <c r="I29" s="16">
        <f>IF(NOT(Anime!AA30=""),Anime!AA30,"")</f>
        <v>9</v>
      </c>
      <c r="J29" s="17">
        <f>IF(NOT(Anime!AB30=""),Anime!AB30,"")</f>
        <v>8.5286103542234333</v>
      </c>
      <c r="K29" s="18">
        <f>IF(NOT(Anime!AC30=""),Anime!AC30,"")</f>
        <v>8.0712864121584946</v>
      </c>
      <c r="L29" s="19">
        <f>IF(NOT(Anime!AD30=""),Anime!AD30,"")</f>
        <v>27</v>
      </c>
      <c r="M29" s="72">
        <f>IF(NOT(Anime!AE30=""),Anime!AE30,"")</f>
        <v>41485</v>
      </c>
      <c r="N29" s="21">
        <f>IF(NOT(Anime!AF30=""),Anime!AF30,"")</f>
        <v>78</v>
      </c>
      <c r="O29" s="129">
        <f>IF(NOT(Anime!AG30=""),Anime!AG30,"")</f>
        <v>41491</v>
      </c>
      <c r="P29" s="21">
        <f>IF(NOT(Anime!AH30=""),Anime!AH30,"")</f>
        <v>66</v>
      </c>
      <c r="Q29" s="21" t="str">
        <f>IF(NOT(Anime!AI30=""),Anime!AI30,"")</f>
        <v/>
      </c>
      <c r="R29" s="66" t="str">
        <f>IF(NOT(Anime!AJ30=""),Anime!AJ30,"")</f>
        <v>Uryuu Minene v2</v>
      </c>
      <c r="S29" s="135" t="str">
        <f>IF(NOT(Anime!AK36=""),Anime!AK36,"")</f>
        <v/>
      </c>
    </row>
    <row r="30" spans="1:19" ht="16.5">
      <c r="A30" s="12" t="str">
        <f>IF(NOT(Anime!R31=""),Anime!R31,"")</f>
        <v>Bakemonogatari</v>
      </c>
      <c r="B30" s="14">
        <f>IF(NOT(Anime!S31=""),Anime!S31,"")</f>
        <v>1</v>
      </c>
      <c r="C30" s="14">
        <f>IF(NOT(Anime!T31=""),Anime!T31,"")</f>
        <v>15</v>
      </c>
      <c r="D30" s="68" t="str">
        <f>IF(NOT(Anime!U31=""),Anime!U31,"")</f>
        <v>A</v>
      </c>
      <c r="E30" s="131" t="str">
        <f>IF(NOT(Anime!W31=""),Anime!W31,"")</f>
        <v>Coalgirls</v>
      </c>
      <c r="F30" s="16">
        <f>IF(NOT(Anime!X31=""),Anime!X31,"")</f>
        <v>8.5</v>
      </c>
      <c r="G30" s="16">
        <f>IF(NOT(Anime!Y31=""),Anime!Y31,"")</f>
        <v>9.5</v>
      </c>
      <c r="H30" s="16">
        <f>IF(NOT(Anime!Z31=""),Anime!Z31,"")</f>
        <v>4.5</v>
      </c>
      <c r="I30" s="16">
        <f>IF(NOT(Anime!AA31=""),Anime!AA31,"")</f>
        <v>9</v>
      </c>
      <c r="J30" s="17">
        <f>IF(NOT(Anime!AB31=""),Anime!AB31,"")</f>
        <v>8.5122615803814714</v>
      </c>
      <c r="K30" s="18">
        <f>IF(NOT(Anime!AC31=""),Anime!AC31,"")</f>
        <v>8.0495748145467712</v>
      </c>
      <c r="L30" s="19">
        <f>IF(NOT(Anime!AD31=""),Anime!AD31,"")</f>
        <v>28</v>
      </c>
      <c r="M30" s="72">
        <f>IF(NOT(Anime!AE31=""),Anime!AE31,"")</f>
        <v>41304</v>
      </c>
      <c r="N30" s="21">
        <f>IF(NOT(Anime!AF31=""),Anime!AF31,"")</f>
        <v>23</v>
      </c>
      <c r="O30" s="129">
        <f>IF(NOT(Anime!AG31=""),Anime!AG31,"")</f>
        <v>41312</v>
      </c>
      <c r="P30" s="21">
        <f>IF(NOT(Anime!AH31=""),Anime!AH31,"")</f>
        <v>19</v>
      </c>
      <c r="Q30" s="21" t="str">
        <f>IF(NOT(Anime!AI31=""),Anime!AI31,"")</f>
        <v/>
      </c>
      <c r="R30" s="66" t="str">
        <f>IF(NOT(Anime!AJ31=""),Anime!AJ31,"")</f>
        <v>Oshino Shinobu</v>
      </c>
      <c r="S30" s="135" t="str">
        <f>IF(NOT(Anime!AK37=""),Anime!AK37,"")</f>
        <v/>
      </c>
    </row>
    <row r="31" spans="1:19" ht="16.5">
      <c r="A31" s="12" t="str">
        <f>IF(NOT(Anime!R32=""),Anime!R32,"")</f>
        <v>Yahari Ore no Seishun Rom Com wa Machigatteiru</v>
      </c>
      <c r="B31" s="14">
        <f>IF(NOT(Anime!S32=""),Anime!S32,"")</f>
        <v>1</v>
      </c>
      <c r="C31" s="14">
        <f>IF(NOT(Anime!T32=""),Anime!T32,"")</f>
        <v>13</v>
      </c>
      <c r="D31" s="68" t="str">
        <f>IF(NOT(Anime!U32=""),Anime!U32,"")</f>
        <v>A</v>
      </c>
      <c r="E31" s="131" t="str">
        <f>IF(NOT(Anime!W32=""),Anime!W32,"")</f>
        <v>Coalgirls</v>
      </c>
      <c r="F31" s="16">
        <f>IF(NOT(Anime!X32=""),Anime!X32,"")</f>
        <v>8</v>
      </c>
      <c r="G31" s="16">
        <f>IF(NOT(Anime!Y32=""),Anime!Y32,"")</f>
        <v>9.5</v>
      </c>
      <c r="H31" s="16">
        <f>IF(NOT(Anime!Z32=""),Anime!Z32,"")</f>
        <v>5</v>
      </c>
      <c r="I31" s="16">
        <f>IF(NOT(Anime!AA32=""),Anime!AA32,"")</f>
        <v>9</v>
      </c>
      <c r="J31" s="17">
        <f>IF(NOT(Anime!AB32=""),Anime!AB32,"")</f>
        <v>8.4019073569482288</v>
      </c>
      <c r="K31" s="18">
        <f>IF(NOT(Anime!AC32=""),Anime!AC32,"")</f>
        <v>7.9030215306676324</v>
      </c>
      <c r="L31" s="19">
        <f>IF(NOT(Anime!AD32=""),Anime!AD32,"")</f>
        <v>29</v>
      </c>
      <c r="M31" s="72">
        <f>IF(NOT(Anime!AE32=""),Anime!AE32,"")</f>
        <v>41370</v>
      </c>
      <c r="N31" s="21">
        <f>IF(NOT(Anime!AF32=""),Anime!AF32,"")</f>
        <v>41</v>
      </c>
      <c r="O31" s="129">
        <f>IF(NOT(Anime!AG32=""),Anime!AG32,"")</f>
        <v>41454</v>
      </c>
      <c r="P31" s="21">
        <f>IF(NOT(Anime!AH32=""),Anime!AH32,"")</f>
        <v>54</v>
      </c>
      <c r="Q31" s="21" t="str">
        <f>IF(NOT(Anime!AI32=""),Anime!AI32,"")</f>
        <v/>
      </c>
      <c r="R31" s="66" t="str">
        <f>IF(NOT(Anime!AJ32=""),Anime!AJ32,"")</f>
        <v>Yukinoshita Yukino</v>
      </c>
      <c r="S31" s="135" t="str">
        <f>IF(NOT(Anime!AK38=""),Anime!AK38,"")</f>
        <v/>
      </c>
    </row>
    <row r="32" spans="1:19" ht="16.5">
      <c r="A32" s="12" t="str">
        <f>IF(NOT(Anime!R33=""),Anime!R33,"")</f>
        <v>Kokoro Connect</v>
      </c>
      <c r="B32" s="14">
        <f>IF(NOT(Anime!S33=""),Anime!S33,"")</f>
        <v>1</v>
      </c>
      <c r="C32" s="14">
        <f>IF(NOT(Anime!T33=""),Anime!T33,"")</f>
        <v>17</v>
      </c>
      <c r="D32" s="68" t="str">
        <f>IF(NOT(Anime!U33=""),Anime!U33,"")</f>
        <v>A</v>
      </c>
      <c r="E32" s="131" t="str">
        <f>IF(NOT(Anime!W33=""),Anime!W33,"")</f>
        <v>Doki-Chihiro</v>
      </c>
      <c r="F32" s="16">
        <f>IF(NOT(Anime!X33=""),Anime!X33,"")</f>
        <v>8.5</v>
      </c>
      <c r="G32" s="16">
        <f>IF(NOT(Anime!Y33=""),Anime!Y33,"")</f>
        <v>9</v>
      </c>
      <c r="H32" s="16">
        <f>IF(NOT(Anime!Z33=""),Anime!Z33,"")</f>
        <v>4</v>
      </c>
      <c r="I32" s="16">
        <f>IF(NOT(Anime!AA33=""),Anime!AA33,"")</f>
        <v>9</v>
      </c>
      <c r="J32" s="17">
        <f>IF(NOT(Anime!AB33=""),Anime!AB33,"")</f>
        <v>8.3801089918256135</v>
      </c>
      <c r="K32" s="18">
        <f>IF(NOT(Anime!AC33=""),Anime!AC33,"")</f>
        <v>7.8740727338520013</v>
      </c>
      <c r="L32" s="19">
        <f>IF(NOT(Anime!AD33=""),Anime!AD33,"")</f>
        <v>30</v>
      </c>
      <c r="M32" s="72">
        <f>IF(NOT(Anime!AE33=""),Anime!AE33,"")</f>
        <v>41328</v>
      </c>
      <c r="N32" s="21">
        <f>IF(NOT(Anime!AF33=""),Anime!AF33,"")</f>
        <v>26</v>
      </c>
      <c r="O32" s="129">
        <f>IF(NOT(Anime!AG33=""),Anime!AG33,"")</f>
        <v>41329</v>
      </c>
      <c r="P32" s="21">
        <f>IF(NOT(Anime!AH33=""),Anime!AH33,"")</f>
        <v>22</v>
      </c>
      <c r="Q32" s="21" t="str">
        <f>IF(NOT(Anime!AI33=""),Anime!AI33,"")</f>
        <v/>
      </c>
      <c r="R32" s="66" t="str">
        <f>IF(NOT(Anime!AJ33=""),Anime!AJ33,"")</f>
        <v>Himeko Inaba</v>
      </c>
      <c r="S32" s="135" t="str">
        <f>IF(NOT(Anime!AK39=""),Anime!AK39,"")</f>
        <v>Super well animated action scenes, and lots of hexagons</v>
      </c>
    </row>
    <row r="33" spans="1:30" ht="16.5">
      <c r="A33" s="12" t="str">
        <f>IF(NOT(Anime!R34=""),Anime!R34,"")</f>
        <v>Toaru Majutsu no Index II</v>
      </c>
      <c r="B33" s="14">
        <f>IF(NOT(Anime!S34=""),Anime!S34,"")</f>
        <v>2</v>
      </c>
      <c r="C33" s="14">
        <f>IF(NOT(Anime!T34=""),Anime!T34,"")</f>
        <v>24</v>
      </c>
      <c r="D33" s="68" t="str">
        <f>IF(NOT(Anime!U34=""),Anime!U34,"")</f>
        <v>A</v>
      </c>
      <c r="E33" s="131" t="str">
        <f>IF(NOT(Anime!W34=""),Anime!W34,"")</f>
        <v>Coalgirls</v>
      </c>
      <c r="F33" s="16">
        <f>IF(NOT(Anime!X34=""),Anime!X34,"")</f>
        <v>9</v>
      </c>
      <c r="G33" s="16">
        <f>IF(NOT(Anime!Y34=""),Anime!Y34,"")</f>
        <v>8</v>
      </c>
      <c r="H33" s="16">
        <f>IF(NOT(Anime!Z34=""),Anime!Z34,"")</f>
        <v>4</v>
      </c>
      <c r="I33" s="16">
        <f>IF(NOT(Anime!AA34=""),Anime!AA34,"")</f>
        <v>9</v>
      </c>
      <c r="J33" s="17">
        <f>IF(NOT(Anime!AB34=""),Anime!AB34,"")</f>
        <v>8.3651226158038163</v>
      </c>
      <c r="K33" s="18">
        <f>IF(NOT(Anime!AC34=""),Anime!AC34,"")</f>
        <v>7.8541704360412545</v>
      </c>
      <c r="L33" s="19">
        <f>IF(NOT(Anime!AD34=""),Anime!AD34,"")</f>
        <v>31</v>
      </c>
      <c r="M33" s="72">
        <f>IF(NOT(Anime!AE34=""),Anime!AE34,"")</f>
        <v>41468</v>
      </c>
      <c r="N33" s="21">
        <f>IF(NOT(Anime!AF34=""),Anime!AF34,"")</f>
        <v>73</v>
      </c>
      <c r="O33" s="129">
        <f>IF(NOT(Anime!AG34=""),Anime!AG34,"")</f>
        <v>41470</v>
      </c>
      <c r="P33" s="21">
        <f>IF(NOT(Anime!AH34=""),Anime!AH34,"")</f>
        <v>62</v>
      </c>
      <c r="Q33" s="21" t="str">
        <f>IF(NOT(Anime!AI34=""),Anime!AI34,"")</f>
        <v/>
      </c>
      <c r="R33" s="66" t="str">
        <f>IF(NOT(Anime!AJ34=""),Anime!AJ34,"")</f>
        <v>Misaka Mikoto</v>
      </c>
      <c r="S33" s="135" t="str">
        <f>IF(NOT(Anime!AK40=""),Anime!AK40,"")</f>
        <v/>
      </c>
    </row>
    <row r="34" spans="1:30" ht="16.5">
      <c r="A34" s="12" t="str">
        <f>IF(NOT(Anime!R35=""),Anime!R35,"")</f>
        <v>Servant x Service</v>
      </c>
      <c r="B34" s="14">
        <f>IF(NOT(Anime!S35=""),Anime!S35,"")</f>
        <v>1</v>
      </c>
      <c r="C34" s="14">
        <f>IF(NOT(Anime!T35=""),Anime!T35,"")</f>
        <v>13</v>
      </c>
      <c r="D34" s="68" t="str">
        <f>IF(NOT(Anime!U35=""),Anime!U35,"")</f>
        <v>A</v>
      </c>
      <c r="E34" s="131" t="str">
        <f>IF(NOT(Anime!W35=""),Anime!W35,"")</f>
        <v>HorribleSubs</v>
      </c>
      <c r="F34" s="16">
        <f>IF(NOT(Anime!X35=""),Anime!X35,"")</f>
        <v>8</v>
      </c>
      <c r="G34" s="16">
        <f>IF(NOT(Anime!Y35=""),Anime!Y35,"")</f>
        <v>9</v>
      </c>
      <c r="H34" s="16">
        <f>IF(NOT(Anime!Z35=""),Anime!Z35,"")</f>
        <v>5.5</v>
      </c>
      <c r="I34" s="16">
        <f>IF(NOT(Anime!AA35=""),Anime!AA35,"")</f>
        <v>9</v>
      </c>
      <c r="J34" s="17">
        <f>IF(NOT(Anime!AB35=""),Anime!AB35,"")</f>
        <v>8.362397820163487</v>
      </c>
      <c r="K34" s="18">
        <f>IF(NOT(Anime!AC35=""),Anime!AC35,"")</f>
        <v>7.8505518364392977</v>
      </c>
      <c r="L34" s="19">
        <f>IF(NOT(Anime!AD35=""),Anime!AD35,"")</f>
        <v>32</v>
      </c>
      <c r="M34" s="72">
        <f>IF(NOT(Anime!AE35=""),Anime!AE35,"")</f>
        <v>41461</v>
      </c>
      <c r="N34" s="21">
        <f>IF(NOT(Anime!AF35=""),Anime!AF35,"")</f>
        <v>67</v>
      </c>
      <c r="O34" s="129">
        <f>IF(NOT(Anime!AG35=""),Anime!AG35,"")</f>
        <v>41543</v>
      </c>
      <c r="P34" s="21">
        <f>IF(NOT(Anime!AH35=""),Anime!AH35,"")</f>
        <v>77</v>
      </c>
      <c r="Q34" s="21" t="str">
        <f>IF(NOT(Anime!AI35=""),Anime!AI35,"")</f>
        <v/>
      </c>
      <c r="R34" s="66" t="str">
        <f>IF(NOT(Anime!AJ35=""),Anime!AJ35,"")</f>
        <v>Chihaya Megumi</v>
      </c>
      <c r="S34" s="135" t="str">
        <f>IF(NOT(Anime!AK41=""),Anime!AK41,"")</f>
        <v>Evolved from a harem anime to a pretty well-written romcom</v>
      </c>
    </row>
    <row r="35" spans="1:30" ht="16.5">
      <c r="A35" s="12" t="str">
        <f>IF(NOT(Anime!R36=""),Anime!R36,"")</f>
        <v>Ore no Imouto ga Konna ni Kawaii Wake ga Nai.</v>
      </c>
      <c r="B35" s="14">
        <f>IF(NOT(Anime!S36=""),Anime!S36,"")</f>
        <v>2</v>
      </c>
      <c r="C35" s="14">
        <f>IF(NOT(Anime!T36=""),Anime!T36,"")</f>
        <v>16</v>
      </c>
      <c r="D35" s="68" t="str">
        <f>IF(NOT(Anime!U36=""),Anime!U36,"")</f>
        <v>A</v>
      </c>
      <c r="E35" s="131" t="str">
        <f>IF(NOT(Anime!W36=""),Anime!W36,"")</f>
        <v>Coalgirls</v>
      </c>
      <c r="F35" s="16">
        <f>IF(NOT(Anime!X36=""),Anime!X36,"")</f>
        <v>8.5</v>
      </c>
      <c r="G35" s="16">
        <f>IF(NOT(Anime!Y36=""),Anime!Y36,"")</f>
        <v>8</v>
      </c>
      <c r="H35" s="16">
        <f>IF(NOT(Anime!Z36=""),Anime!Z36,"")</f>
        <v>5.5</v>
      </c>
      <c r="I35" s="16">
        <f>IF(NOT(Anime!AA36=""),Anime!AA36,"")</f>
        <v>9</v>
      </c>
      <c r="J35" s="17">
        <f>IF(NOT(Anime!AB36=""),Anime!AB36,"")</f>
        <v>8.3474114441416898</v>
      </c>
      <c r="K35" s="18">
        <f>IF(NOT(Anime!AC36=""),Anime!AC36,"")</f>
        <v>7.8306495386285526</v>
      </c>
      <c r="L35" s="19">
        <f>IF(NOT(Anime!AD36=""),Anime!AD36,"")</f>
        <v>33</v>
      </c>
      <c r="M35" s="72">
        <f>IF(NOT(Anime!AE36=""),Anime!AE36,"")</f>
        <v>41370</v>
      </c>
      <c r="N35" s="21">
        <f>IF(NOT(Anime!AF36=""),Anime!AF36,"")</f>
        <v>41</v>
      </c>
      <c r="O35" s="129">
        <f>IF(NOT(Anime!AG36=""),Anime!AG36,"")</f>
        <v>41512</v>
      </c>
      <c r="P35" s="21">
        <f>IF(NOT(Anime!AH36=""),Anime!AH36,"")</f>
        <v>69</v>
      </c>
      <c r="Q35" s="21" t="str">
        <f>IF(NOT(Anime!AI36=""),Anime!AI36,"")</f>
        <v/>
      </c>
      <c r="R35" s="66" t="str">
        <f>IF(NOT(Anime!AJ36=""),Anime!AJ36,"")</f>
        <v>Aragaki Ayase-tan</v>
      </c>
      <c r="S35" s="135" t="str">
        <f>IF(NOT(Anime!AK42=""),Anime!AK42,"")</f>
        <v>Kaiki is true best girl though.</v>
      </c>
      <c r="T35" s="16"/>
      <c r="U35" s="16"/>
      <c r="V35" s="16"/>
      <c r="W35" s="16"/>
      <c r="X35" s="17"/>
      <c r="Y35" s="18"/>
      <c r="Z35" s="19"/>
      <c r="AA35" s="72"/>
      <c r="AB35" s="21"/>
      <c r="AC35" s="65"/>
      <c r="AD35" s="15"/>
    </row>
    <row r="36" spans="1:30" ht="16.5">
      <c r="A36" s="12" t="str">
        <f>IF(NOT(Anime!R37=""),Anime!R37,"")</f>
        <v>Toaru Kagaku no Railgun S</v>
      </c>
      <c r="B36" s="14">
        <f>IF(NOT(Anime!S37=""),Anime!S37,"")</f>
        <v>2</v>
      </c>
      <c r="C36" s="14">
        <f>IF(NOT(Anime!T37=""),Anime!T37,"")</f>
        <v>24</v>
      </c>
      <c r="D36" s="68" t="str">
        <f>IF(NOT(Anime!U37=""),Anime!U37,"")</f>
        <v>A</v>
      </c>
      <c r="E36" s="131" t="str">
        <f>IF(NOT(Anime!W37=""),Anime!W37,"")</f>
        <v>Coalgirls</v>
      </c>
      <c r="F36" s="16">
        <f>IF(NOT(Anime!X37=""),Anime!X37,"")</f>
        <v>8.5</v>
      </c>
      <c r="G36" s="16">
        <f>IF(NOT(Anime!Y37=""),Anime!Y37,"")</f>
        <v>8.5</v>
      </c>
      <c r="H36" s="16">
        <f>IF(NOT(Anime!Z37=""),Anime!Z37,"")</f>
        <v>4.5</v>
      </c>
      <c r="I36" s="16">
        <f>IF(NOT(Anime!AA37=""),Anime!AA37,"")</f>
        <v>9</v>
      </c>
      <c r="J36" s="17">
        <f>IF(NOT(Anime!AB37=""),Anime!AB37,"")</f>
        <v>8.3405994550408717</v>
      </c>
      <c r="K36" s="18">
        <f>IF(NOT(Anime!AC37=""),Anime!AC37,"")</f>
        <v>7.8216030396236667</v>
      </c>
      <c r="L36" s="19">
        <f>IF(NOT(Anime!AD37=""),Anime!AD37,"")</f>
        <v>34</v>
      </c>
      <c r="M36" s="72">
        <f>IF(NOT(Anime!AE37=""),Anime!AE37,"")</f>
        <v>41473</v>
      </c>
      <c r="N36" s="21">
        <f>IF(NOT(Anime!AF37=""),Anime!AF37,"")</f>
        <v>75</v>
      </c>
      <c r="O36" s="129">
        <f>IF(NOT(Anime!AG37=""),Anime!AG37,"")</f>
        <v>41546</v>
      </c>
      <c r="P36" s="21">
        <f>IF(NOT(Anime!AH37=""),Anime!AH37,"")</f>
        <v>80</v>
      </c>
      <c r="Q36" s="21" t="str">
        <f>IF(NOT(Anime!AI37=""),Anime!AI37,"")</f>
        <v/>
      </c>
      <c r="R36" s="66" t="str">
        <f>IF(NOT(Anime!AJ37=""),Anime!AJ37,"")</f>
        <v>Misaka Mikoto</v>
      </c>
      <c r="S36" s="135" t="str">
        <f>IF(NOT(Anime!AK43=""),Anime!AK43,"")</f>
        <v>KyoAni action scenes are cool</v>
      </c>
    </row>
    <row r="37" spans="1:30" ht="16.5">
      <c r="A37" s="12" t="str">
        <f>IF(NOT(Anime!R38=""),Anime!R38,"")</f>
        <v>Noragami</v>
      </c>
      <c r="B37" s="14">
        <f>IF(NOT(Anime!S38=""),Anime!S38,"")</f>
        <v>1</v>
      </c>
      <c r="C37" s="14">
        <f>IF(NOT(Anime!T38=""),Anime!T38,"")</f>
        <v>12</v>
      </c>
      <c r="D37" s="68" t="str">
        <f>IF(NOT(Anime!U38=""),Anime!U38,"")</f>
        <v>B</v>
      </c>
      <c r="E37" s="131" t="str">
        <f>IF(NOT(Anime!W38=""),Anime!W38,"")</f>
        <v>FFF</v>
      </c>
      <c r="F37" s="16">
        <f>IF(NOT(Anime!X38=""),Anime!X38,"")</f>
        <v>9</v>
      </c>
      <c r="G37" s="16">
        <f>IF(NOT(Anime!Y38=""),Anime!Y38,"")</f>
        <v>8.5</v>
      </c>
      <c r="H37" s="16">
        <f>IF(NOT(Anime!Z38=""),Anime!Z38,"")</f>
        <v>5</v>
      </c>
      <c r="I37" s="16">
        <f>IF(NOT(Anime!AA38=""),Anime!AA38,"")</f>
        <v>8.5</v>
      </c>
      <c r="J37" s="17">
        <f>IF(NOT(Anime!AB38=""),Anime!AB38,"")</f>
        <v>8.3324250681198908</v>
      </c>
      <c r="K37" s="18">
        <f>IF(NOT(Anime!AC38=""),Anime!AC38,"")</f>
        <v>7.8107472408178031</v>
      </c>
      <c r="L37" s="19">
        <f>IF(NOT(Anime!AD38=""),Anime!AD38,"")</f>
        <v>35</v>
      </c>
      <c r="M37" s="72">
        <f>IF(NOT(Anime!AE38=""),Anime!AE38,"")</f>
        <v>41647</v>
      </c>
      <c r="N37" s="21">
        <f>IF(NOT(Anime!AF38=""),Anime!AF38,"")</f>
        <v>102</v>
      </c>
      <c r="O37" s="129">
        <f>IF(NOT(Anime!AG38=""),Anime!AG38,"")</f>
        <v>41726</v>
      </c>
      <c r="P37" s="21">
        <f>IF(NOT(Anime!AH38=""),Anime!AH38,"")</f>
        <v>101</v>
      </c>
      <c r="Q37" s="21" t="str">
        <f>IF(NOT(Anime!AI38=""),Anime!AI38,"")</f>
        <v/>
      </c>
      <c r="R37" s="66" t="str">
        <f>IF(NOT(Anime!AJ38=""),Anime!AJ38,"")</f>
        <v>Iki Hiyori</v>
      </c>
      <c r="S37" s="135" t="str">
        <f>IF(NOT(Anime!AK44=""),Anime!AK44,"")</f>
        <v/>
      </c>
    </row>
    <row r="38" spans="1:30" ht="16.5">
      <c r="A38" s="12" t="str">
        <f>IF(NOT(Anime!R39=""),Anime!R39,"")</f>
        <v>Arpeggio of Blue Steel - Ars Nova</v>
      </c>
      <c r="B38" s="14">
        <f>IF(NOT(Anime!S39=""),Anime!S39,"")</f>
        <v>1</v>
      </c>
      <c r="C38" s="14">
        <f>IF(NOT(Anime!T39=""),Anime!T39,"")</f>
        <v>12</v>
      </c>
      <c r="D38" s="68" t="str">
        <f>IF(NOT(Anime!U39=""),Anime!U39,"")</f>
        <v>B</v>
      </c>
      <c r="E38" s="131" t="str">
        <f>IF(NOT(Anime!W39=""),Anime!W39,"")</f>
        <v>HorribleSubs</v>
      </c>
      <c r="F38" s="16">
        <f>IF(NOT(Anime!X39=""),Anime!X39,"")</f>
        <v>8.5</v>
      </c>
      <c r="G38" s="16">
        <f>IF(NOT(Anime!Y39=""),Anime!Y39,"")</f>
        <v>8.5</v>
      </c>
      <c r="H38" s="16">
        <f>IF(NOT(Anime!Z39=""),Anime!Z39,"")</f>
        <v>6.5</v>
      </c>
      <c r="I38" s="16">
        <f>IF(NOT(Anime!AA39=""),Anime!AA39,"")</f>
        <v>8.5</v>
      </c>
      <c r="J38" s="17">
        <f>IF(NOT(Anime!AB39=""),Anime!AB39,"")</f>
        <v>8.314713896457766</v>
      </c>
      <c r="K38" s="18">
        <f>IF(NOT(Anime!AC39=""),Anime!AC39,"")</f>
        <v>7.7872263434051039</v>
      </c>
      <c r="L38" s="19">
        <f>IF(NOT(Anime!AD39=""),Anime!AD39,"")</f>
        <v>36</v>
      </c>
      <c r="M38" s="72">
        <f>IF(NOT(Anime!AE39=""),Anime!AE39,"")</f>
        <v>41555</v>
      </c>
      <c r="N38" s="21">
        <f>IF(NOT(Anime!AF39=""),Anime!AF39,"")</f>
        <v>91</v>
      </c>
      <c r="O38" s="129">
        <f>IF(NOT(Anime!AG39=""),Anime!AG39,"")</f>
        <v>41631</v>
      </c>
      <c r="P38" s="21">
        <f>IF(NOT(Anime!AH39=""),Anime!AH39,"")</f>
        <v>86</v>
      </c>
      <c r="Q38" s="21" t="str">
        <f>IF(NOT(Anime!AI39=""),Anime!AI39,"")</f>
        <v/>
      </c>
      <c r="R38" s="66" t="str">
        <f>IF(NOT(Anime!AJ39=""),Anime!AJ39,"")</f>
        <v>Iona</v>
      </c>
      <c r="S38" s="135" t="str">
        <f>IF(NOT(Anime!AK45=""),Anime!AK45,"")</f>
        <v>Nicely written mysteries</v>
      </c>
    </row>
    <row r="39" spans="1:30" ht="16.5">
      <c r="A39" s="12" t="str">
        <f>IF(NOT(Anime!R40=""),Anime!R40,"")</f>
        <v>Sakurasou no Pet Na Kanojo</v>
      </c>
      <c r="B39" s="14">
        <f>IF(NOT(Anime!S40=""),Anime!S40,"")</f>
        <v>1</v>
      </c>
      <c r="C39" s="14">
        <f>IF(NOT(Anime!T40=""),Anime!T40,"")</f>
        <v>24</v>
      </c>
      <c r="D39" s="68" t="str">
        <f>IF(NOT(Anime!U40=""),Anime!U40,"")</f>
        <v>A</v>
      </c>
      <c r="E39" s="131" t="str">
        <f>IF(NOT(Anime!W40=""),Anime!W40,"")</f>
        <v>Coalgirls</v>
      </c>
      <c r="F39" s="16">
        <f>IF(NOT(Anime!X40=""),Anime!X40,"")</f>
        <v>8.5</v>
      </c>
      <c r="G39" s="16">
        <f>IF(NOT(Anime!Y40=""),Anime!Y40,"")</f>
        <v>8</v>
      </c>
      <c r="H39" s="16">
        <f>IF(NOT(Anime!Z40=""),Anime!Z40,"")</f>
        <v>5</v>
      </c>
      <c r="I39" s="16">
        <f>IF(NOT(Anime!AA40=""),Anime!AA40,"")</f>
        <v>9</v>
      </c>
      <c r="J39" s="17">
        <f>IF(NOT(Anime!AB40=""),Anime!AB40,"")</f>
        <v>8.30108991825613</v>
      </c>
      <c r="K39" s="18">
        <f>IF(NOT(Anime!AC40=""),Anime!AC40,"")</f>
        <v>7.769133345395332</v>
      </c>
      <c r="L39" s="19">
        <f>IF(NOT(Anime!AD40=""),Anime!AD40,"")</f>
        <v>37</v>
      </c>
      <c r="M39" s="72">
        <f>IF(NOT(Anime!AE40=""),Anime!AE40,"")</f>
        <v>41261</v>
      </c>
      <c r="N39" s="21">
        <f>IF(NOT(Anime!AF40=""),Anime!AF40,"")</f>
        <v>10</v>
      </c>
      <c r="O39" s="129">
        <f>IF(NOT(Anime!AG40=""),Anime!AG40,"")</f>
        <v>41359</v>
      </c>
      <c r="P39" s="21">
        <f>IF(NOT(Anime!AH40=""),Anime!AH40,"")</f>
        <v>32</v>
      </c>
      <c r="Q39" s="21" t="str">
        <f>IF(NOT(Anime!AI40=""),Anime!AI40,"")</f>
        <v/>
      </c>
      <c r="R39" s="66" t="str">
        <f>IF(NOT(Anime!AJ40=""),Anime!AJ40,"")</f>
        <v>Shiina Mashiro</v>
      </c>
      <c r="S39" s="135" t="str">
        <f>IF(NOT(Anime!AK46=""),Anime!AK46,"")</f>
        <v/>
      </c>
    </row>
    <row r="40" spans="1:30" ht="16.5">
      <c r="A40" s="12" t="str">
        <f>IF(NOT(Anime!R41=""),Anime!R41,"")</f>
        <v>Boku wa Tomodachi ga Sukunai NEXT</v>
      </c>
      <c r="B40" s="14">
        <f>IF(NOT(Anime!S41=""),Anime!S41,"")</f>
        <v>2</v>
      </c>
      <c r="C40" s="14">
        <f>IF(NOT(Anime!T41=""),Anime!T41,"")</f>
        <v>12</v>
      </c>
      <c r="D40" s="68" t="str">
        <f>IF(NOT(Anime!U41=""),Anime!U41,"")</f>
        <v>A</v>
      </c>
      <c r="E40" s="131" t="str">
        <f>IF(NOT(Anime!W41=""),Anime!W41,"")</f>
        <v>Mazui</v>
      </c>
      <c r="F40" s="16">
        <f>IF(NOT(Anime!X41=""),Anime!X41,"")</f>
        <v>9</v>
      </c>
      <c r="G40" s="16">
        <f>IF(NOT(Anime!Y41=""),Anime!Y41,"")</f>
        <v>8</v>
      </c>
      <c r="H40" s="16">
        <f>IF(NOT(Anime!Z41=""),Anime!Z41,"")</f>
        <v>5.5</v>
      </c>
      <c r="I40" s="16">
        <f>IF(NOT(Anime!AA41=""),Anime!AA41,"")</f>
        <v>8.5</v>
      </c>
      <c r="J40" s="17">
        <f>IF(NOT(Anime!AB41=""),Anime!AB41,"")</f>
        <v>8.2929155313351508</v>
      </c>
      <c r="K40" s="18">
        <f>IF(NOT(Anime!AC41=""),Anime!AC41,"")</f>
        <v>7.758277546589472</v>
      </c>
      <c r="L40" s="19">
        <f>IF(NOT(Anime!AD41=""),Anime!AD41,"")</f>
        <v>38</v>
      </c>
      <c r="M40" s="72">
        <f>IF(NOT(Anime!AE41=""),Anime!AE41,"")</f>
        <v>41633</v>
      </c>
      <c r="N40" s="21">
        <f>IF(NOT(Anime!AF41=""),Anime!AF41,"")</f>
        <v>96</v>
      </c>
      <c r="O40" s="129">
        <f>IF(NOT(Anime!AG41=""),Anime!AG41,"")</f>
        <v>41635</v>
      </c>
      <c r="P40" s="21">
        <f>IF(NOT(Anime!AH41=""),Anime!AH41,"")</f>
        <v>91</v>
      </c>
      <c r="Q40" s="21" t="str">
        <f>IF(NOT(Anime!AI41=""),Anime!AI41,"")</f>
        <v/>
      </c>
      <c r="R40" s="66" t="str">
        <f>IF(NOT(Anime!AJ41=""),Anime!AJ41,"")</f>
        <v>Shiguma Rika</v>
      </c>
      <c r="S40" s="135" t="str">
        <f>IF(NOT(Anime!AK47=""),Anime!AK47,"")</f>
        <v/>
      </c>
    </row>
    <row r="41" spans="1:30" ht="16.5">
      <c r="A41" s="12" t="str">
        <f>IF(NOT(Anime!R42=""),Anime!R42,"")</f>
        <v>Monogatari Series Season 2</v>
      </c>
      <c r="B41" s="14">
        <f>IF(NOT(Anime!S42=""),Anime!S42,"")</f>
        <v>2</v>
      </c>
      <c r="C41" s="14">
        <f>IF(NOT(Anime!T42=""),Anime!T42,"")</f>
        <v>26</v>
      </c>
      <c r="D41" s="68" t="str">
        <f>IF(NOT(Anime!U42=""),Anime!U42,"")</f>
        <v>A</v>
      </c>
      <c r="E41" s="131" t="str">
        <f>IF(NOT(Anime!W42=""),Anime!W42,"")</f>
        <v>HorribleSubs</v>
      </c>
      <c r="F41" s="16">
        <f>IF(NOT(Anime!X42=""),Anime!X42,"")</f>
        <v>9</v>
      </c>
      <c r="G41" s="16">
        <f>IF(NOT(Anime!Y42=""),Anime!Y42,"")</f>
        <v>8</v>
      </c>
      <c r="H41" s="16">
        <f>IF(NOT(Anime!Z42=""),Anime!Z42,"")</f>
        <v>5.5</v>
      </c>
      <c r="I41" s="16">
        <f>IF(NOT(Anime!AA42=""),Anime!AA42,"")</f>
        <v>8.5</v>
      </c>
      <c r="J41" s="17">
        <f>IF(NOT(Anime!AB42=""),Anime!AB42,"")</f>
        <v>8.2929155313351508</v>
      </c>
      <c r="K41" s="18">
        <f>IF(NOT(Anime!AC42=""),Anime!AC42,"")</f>
        <v>7.758277546589472</v>
      </c>
      <c r="L41" s="19">
        <f>IF(NOT(Anime!AD42=""),Anime!AD42,"")</f>
        <v>38</v>
      </c>
      <c r="M41" s="72">
        <f>IF(NOT(Anime!AE42=""),Anime!AE42,"")</f>
        <v>41461</v>
      </c>
      <c r="N41" s="21">
        <f>IF(NOT(Anime!AF42=""),Anime!AF42,"")</f>
        <v>67</v>
      </c>
      <c r="O41" s="129">
        <f>IF(NOT(Anime!AG42=""),Anime!AG42,"")</f>
        <v>41638</v>
      </c>
      <c r="P41" s="21">
        <f>IF(NOT(Anime!AH42=""),Anime!AH42,"")</f>
        <v>93</v>
      </c>
      <c r="Q41" s="21" t="str">
        <f>IF(NOT(Anime!AI42=""),Anime!AI42,"")</f>
        <v/>
      </c>
      <c r="R41" s="66" t="str">
        <f>IF(NOT(Anime!AJ42=""),Anime!AJ42,"")</f>
        <v>Oshino Shinobu</v>
      </c>
      <c r="S41" s="135" t="str">
        <f>IF(NOT(Anime!AK48=""),Anime!AK48,"")</f>
        <v>Deserves more than what it gets called online</v>
      </c>
    </row>
    <row r="42" spans="1:30" ht="16.5">
      <c r="A42" s="12" t="str">
        <f>IF(NOT(Anime!R43=""),Anime!R43,"")</f>
        <v>Kyoukai no Kanata</v>
      </c>
      <c r="B42" s="14">
        <f>IF(NOT(Anime!S43=""),Anime!S43,"")</f>
        <v>1</v>
      </c>
      <c r="C42" s="14">
        <f>IF(NOT(Anime!T43=""),Anime!T43,"")</f>
        <v>12</v>
      </c>
      <c r="D42" s="68" t="str">
        <f>IF(NOT(Anime!U43=""),Anime!U43,"")</f>
        <v>B</v>
      </c>
      <c r="E42" s="131" t="str">
        <f>IF(NOT(Anime!W43=""),Anime!W43,"")</f>
        <v>UTW</v>
      </c>
      <c r="F42" s="16">
        <f>IF(NOT(Anime!X43=""),Anime!X43,"")</f>
        <v>8.5</v>
      </c>
      <c r="G42" s="16">
        <f>IF(NOT(Anime!Y43=""),Anime!Y43,"")</f>
        <v>8.5</v>
      </c>
      <c r="H42" s="16">
        <f>IF(NOT(Anime!Z43=""),Anime!Z43,"")</f>
        <v>6</v>
      </c>
      <c r="I42" s="16">
        <f>IF(NOT(Anime!AA43=""),Anime!AA43,"")</f>
        <v>8.5</v>
      </c>
      <c r="J42" s="17">
        <f>IF(NOT(Anime!AB43=""),Anime!AB43,"")</f>
        <v>8.2683923705722062</v>
      </c>
      <c r="K42" s="18">
        <f>IF(NOT(Anime!AC43=""),Anime!AC43,"")</f>
        <v>7.7257101501718832</v>
      </c>
      <c r="L42" s="19">
        <f>IF(NOT(Anime!AD43=""),Anime!AD43,"")</f>
        <v>40</v>
      </c>
      <c r="M42" s="72">
        <f>IF(NOT(Anime!AE43=""),Anime!AE43,"")</f>
        <v>41550</v>
      </c>
      <c r="N42" s="21">
        <f>IF(NOT(Anime!AF43=""),Anime!AF43,"")</f>
        <v>85</v>
      </c>
      <c r="O42" s="129">
        <f>IF(NOT(Anime!AG43=""),Anime!AG43,"")</f>
        <v>41628</v>
      </c>
      <c r="P42" s="21">
        <f>IF(NOT(Anime!AH43=""),Anime!AH43,"")</f>
        <v>85</v>
      </c>
      <c r="Q42" s="21" t="str">
        <f>IF(NOT(Anime!AI43=""),Anime!AI43,"")</f>
        <v/>
      </c>
      <c r="R42" s="66" t="str">
        <f>IF(NOT(Anime!AJ43=""),Anime!AJ43,"")</f>
        <v>Ai</v>
      </c>
      <c r="S42" s="135" t="str">
        <f>IF(NOT(Anime!AK49=""),Anime!AK49,"")</f>
        <v/>
      </c>
    </row>
    <row r="43" spans="1:30" ht="16.5">
      <c r="A43" s="12" t="str">
        <f>IF(NOT(Anime!R44=""),Anime!R44,"")</f>
        <v>Toaru Kagaku no Railgun</v>
      </c>
      <c r="B43" s="14">
        <f>IF(NOT(Anime!S44=""),Anime!S44,"")</f>
        <v>1</v>
      </c>
      <c r="C43" s="14">
        <f>IF(NOT(Anime!T44=""),Anime!T44,"")</f>
        <v>24</v>
      </c>
      <c r="D43" s="68" t="str">
        <f>IF(NOT(Anime!U44=""),Anime!U44,"")</f>
        <v>A</v>
      </c>
      <c r="E43" s="131" t="str">
        <f>IF(NOT(Anime!W44=""),Anime!W44,"")</f>
        <v>Elysium</v>
      </c>
      <c r="F43" s="16">
        <f>IF(NOT(Anime!X44=""),Anime!X44,"")</f>
        <v>7.5</v>
      </c>
      <c r="G43" s="16">
        <f>IF(NOT(Anime!Y44=""),Anime!Y44,"")</f>
        <v>9</v>
      </c>
      <c r="H43" s="16">
        <f>IF(NOT(Anime!Z44=""),Anime!Z44,"")</f>
        <v>6</v>
      </c>
      <c r="I43" s="16">
        <f>IF(NOT(Anime!AA44=""),Anime!AA44,"")</f>
        <v>9</v>
      </c>
      <c r="J43" s="17">
        <f>IF(NOT(Anime!AB44=""),Anime!AB44,"")</f>
        <v>8.2520435967302461</v>
      </c>
      <c r="K43" s="18">
        <f>IF(NOT(Anime!AC44=""),Anime!AC44,"")</f>
        <v>7.7039985525601606</v>
      </c>
      <c r="L43" s="19">
        <f>IF(NOT(Anime!AD44=""),Anime!AD44,"")</f>
        <v>41</v>
      </c>
      <c r="M43" s="72">
        <f>IF(NOT(Anime!AE44=""),Anime!AE44,"")</f>
        <v>41436</v>
      </c>
      <c r="N43" s="21">
        <f>IF(NOT(Anime!AF44=""),Anime!AF44,"")</f>
        <v>55</v>
      </c>
      <c r="O43" s="129">
        <f>IF(NOT(Anime!AG44=""),Anime!AG44,"")</f>
        <v>41438</v>
      </c>
      <c r="P43" s="21">
        <f>IF(NOT(Anime!AH44=""),Anime!AH44,"")</f>
        <v>46</v>
      </c>
      <c r="Q43" s="21" t="str">
        <f>IF(NOT(Anime!AI44=""),Anime!AI44,"")</f>
        <v/>
      </c>
      <c r="R43" s="66" t="str">
        <f>IF(NOT(Anime!AJ44=""),Anime!AJ44,"")</f>
        <v>Misaka Mikoto</v>
      </c>
      <c r="S43" s="135" t="str">
        <f>IF(NOT(Anime!AK50=""),Anime!AK50,"")</f>
        <v>Split 2 cours because first doesn't deserve to be associated with the second</v>
      </c>
    </row>
    <row r="44" spans="1:30" ht="16.5">
      <c r="A44" s="12" t="str">
        <f>IF(NOT(Anime!R45=""),Anime!R45,"")</f>
        <v>Hyouka</v>
      </c>
      <c r="B44" s="14">
        <f>IF(NOT(Anime!S45=""),Anime!S45,"")</f>
        <v>1</v>
      </c>
      <c r="C44" s="14">
        <f>IF(NOT(Anime!T45=""),Anime!T45,"")</f>
        <v>22</v>
      </c>
      <c r="D44" s="68" t="str">
        <f>IF(NOT(Anime!U45=""),Anime!U45,"")</f>
        <v>A</v>
      </c>
      <c r="E44" s="131" t="str">
        <f>IF(NOT(Anime!W45=""),Anime!W45,"")</f>
        <v>Coalgirls</v>
      </c>
      <c r="F44" s="16">
        <f>IF(NOT(Anime!X45=""),Anime!X45,"")</f>
        <v>9</v>
      </c>
      <c r="G44" s="16">
        <f>IF(NOT(Anime!Y45=""),Anime!Y45,"")</f>
        <v>8</v>
      </c>
      <c r="H44" s="16">
        <f>IF(NOT(Anime!Z45=""),Anime!Z45,"")</f>
        <v>5</v>
      </c>
      <c r="I44" s="16">
        <f>IF(NOT(Anime!AA45=""),Anime!AA45,"")</f>
        <v>8.5</v>
      </c>
      <c r="J44" s="17">
        <f>IF(NOT(Anime!AB45=""),Anime!AB45,"")</f>
        <v>8.246594005449591</v>
      </c>
      <c r="K44" s="18">
        <f>IF(NOT(Anime!AC45=""),Anime!AC45,"")</f>
        <v>7.6967613533562513</v>
      </c>
      <c r="L44" s="19">
        <f>IF(NOT(Anime!AD45=""),Anime!AD45,"")</f>
        <v>42</v>
      </c>
      <c r="M44" s="72">
        <f>IF(NOT(Anime!AE45=""),Anime!AE45,"")</f>
        <v>41424</v>
      </c>
      <c r="N44" s="21">
        <f>IF(NOT(Anime!AF45=""),Anime!AF45,"")</f>
        <v>52</v>
      </c>
      <c r="O44" s="129">
        <f>IF(NOT(Anime!AG45=""),Anime!AG45,"")</f>
        <v>41430</v>
      </c>
      <c r="P44" s="21">
        <f>IF(NOT(Anime!AH45=""),Anime!AH45,"")</f>
        <v>43</v>
      </c>
      <c r="Q44" s="21" t="str">
        <f>IF(NOT(Anime!AI45=""),Anime!AI45,"")</f>
        <v/>
      </c>
      <c r="R44" s="66" t="str">
        <f>IF(NOT(Anime!AJ45=""),Anime!AJ45,"")</f>
        <v>Eru Chitanda</v>
      </c>
      <c r="S44" s="135" t="str">
        <f>IF(NOT(Anime!AK51=""),Anime!AK51,"")</f>
        <v/>
      </c>
    </row>
    <row r="45" spans="1:30" ht="16.5">
      <c r="A45" s="12" t="str">
        <f>IF(NOT(Anime!R46=""),Anime!R46,"")</f>
        <v>Hataraku Maou-sama</v>
      </c>
      <c r="B45" s="14">
        <f>IF(NOT(Anime!S46=""),Anime!S46,"")</f>
        <v>1</v>
      </c>
      <c r="C45" s="14">
        <f>IF(NOT(Anime!T46=""),Anime!T46,"")</f>
        <v>13</v>
      </c>
      <c r="D45" s="68" t="str">
        <f>IF(NOT(Anime!U46=""),Anime!U46,"")</f>
        <v>A</v>
      </c>
      <c r="E45" s="131" t="str">
        <f>IF(NOT(Anime!W46=""),Anime!W46,"")</f>
        <v>FFF</v>
      </c>
      <c r="F45" s="16">
        <f>IF(NOT(Anime!X46=""),Anime!X46,"")</f>
        <v>8</v>
      </c>
      <c r="G45" s="16">
        <f>IF(NOT(Anime!Y46=""),Anime!Y46,"")</f>
        <v>8.5</v>
      </c>
      <c r="H45" s="16">
        <f>IF(NOT(Anime!Z46=""),Anime!Z46,"")</f>
        <v>5</v>
      </c>
      <c r="I45" s="16">
        <f>IF(NOT(Anime!AA46=""),Anime!AA46,"")</f>
        <v>9</v>
      </c>
      <c r="J45" s="17">
        <f>IF(NOT(Anime!AB46=""),Anime!AB46,"")</f>
        <v>8.2302452316076291</v>
      </c>
      <c r="K45" s="18">
        <f>IF(NOT(Anime!AC46=""),Anime!AC46,"")</f>
        <v>7.675049755744527</v>
      </c>
      <c r="L45" s="19">
        <f>IF(NOT(Anime!AD46=""),Anime!AD46,"")</f>
        <v>43</v>
      </c>
      <c r="M45" s="72">
        <f>IF(NOT(Anime!AE46=""),Anime!AE46,"")</f>
        <v>41371</v>
      </c>
      <c r="N45" s="21">
        <f>IF(NOT(Anime!AF46=""),Anime!AF46,"")</f>
        <v>44</v>
      </c>
      <c r="O45" s="129">
        <f>IF(NOT(Anime!AG46=""),Anime!AG46,"")</f>
        <v>41452</v>
      </c>
      <c r="P45" s="21">
        <f>IF(NOT(Anime!AH46=""),Anime!AH46,"")</f>
        <v>51</v>
      </c>
      <c r="Q45" s="21" t="str">
        <f>IF(NOT(Anime!AI46=""),Anime!AI46,"")</f>
        <v/>
      </c>
      <c r="R45" s="66" t="str">
        <f>IF(NOT(Anime!AJ46=""),Anime!AJ46,"")</f>
        <v>Kamazuki Suzuno</v>
      </c>
      <c r="S45" s="135" t="str">
        <f>IF(NOT(Anime!AK52=""),Anime!AK52,"")</f>
        <v/>
      </c>
    </row>
    <row r="46" spans="1:30" ht="16.5">
      <c r="A46" s="12" t="str">
        <f>IF(NOT(Anime!R47=""),Anime!R47,"")</f>
        <v>To Aru Majutsu no Index</v>
      </c>
      <c r="B46" s="14">
        <f>IF(NOT(Anime!S47=""),Anime!S47,"")</f>
        <v>1</v>
      </c>
      <c r="C46" s="14">
        <f>IF(NOT(Anime!T47=""),Anime!T47,"")</f>
        <v>24</v>
      </c>
      <c r="D46" s="68" t="str">
        <f>IF(NOT(Anime!U47=""),Anime!U47,"")</f>
        <v>A</v>
      </c>
      <c r="E46" s="131" t="str">
        <f>IF(NOT(Anime!W47=""),Anime!W47,"")</f>
        <v>Coalgirls</v>
      </c>
      <c r="F46" s="16">
        <f>IF(NOT(Anime!X47=""),Anime!X47,"")</f>
        <v>8.5</v>
      </c>
      <c r="G46" s="16">
        <f>IF(NOT(Anime!Y47=""),Anime!Y47,"")</f>
        <v>7.5</v>
      </c>
      <c r="H46" s="16">
        <f>IF(NOT(Anime!Z47=""),Anime!Z47,"")</f>
        <v>5</v>
      </c>
      <c r="I46" s="16">
        <f>IF(NOT(Anime!AA47=""),Anime!AA47,"")</f>
        <v>9</v>
      </c>
      <c r="J46" s="17">
        <f>IF(NOT(Anime!AB47=""),Anime!AB47,"")</f>
        <v>8.2152588555858301</v>
      </c>
      <c r="K46" s="18">
        <f>IF(NOT(Anime!AC47=""),Anime!AC47,"")</f>
        <v>7.6551474579337793</v>
      </c>
      <c r="L46" s="19">
        <f>IF(NOT(Anime!AD47=""),Anime!AD47,"")</f>
        <v>44</v>
      </c>
      <c r="M46" s="72">
        <f>IF(NOT(Anime!AE47=""),Anime!AE47,"")</f>
        <v>41431</v>
      </c>
      <c r="N46" s="21">
        <f>IF(NOT(Anime!AF47=""),Anime!AF47,"")</f>
        <v>54</v>
      </c>
      <c r="O46" s="129">
        <f>IF(NOT(Anime!AG47=""),Anime!AG47,"")</f>
        <v>41436</v>
      </c>
      <c r="P46" s="21">
        <f>IF(NOT(Anime!AH47=""),Anime!AH47,"")</f>
        <v>45</v>
      </c>
      <c r="Q46" s="21" t="str">
        <f>IF(NOT(Anime!AI47=""),Anime!AI47,"")</f>
        <v/>
      </c>
      <c r="R46" s="66" t="str">
        <f>IF(NOT(Anime!AJ47=""),Anime!AJ47,"")</f>
        <v>Misaka Mikoto</v>
      </c>
      <c r="S46" s="135" t="str">
        <f>IF(NOT(Anime!AK53=""),Anime!AK53,"")</f>
        <v>Like Lucky Star, but with 150% more moe</v>
      </c>
    </row>
    <row r="47" spans="1:30" ht="16.5">
      <c r="A47" s="12" t="str">
        <f>IF(NOT(Anime!R48=""),Anime!R48,"")</f>
        <v>K-On!!</v>
      </c>
      <c r="B47" s="14">
        <f>IF(NOT(Anime!S48=""),Anime!S48,"")</f>
        <v>2</v>
      </c>
      <c r="C47" s="14">
        <f>IF(NOT(Anime!T48=""),Anime!T48,"")</f>
        <v>24</v>
      </c>
      <c r="D47" s="68" t="str">
        <f>IF(NOT(Anime!U48=""),Anime!U48,"")</f>
        <v>A</v>
      </c>
      <c r="E47" s="131" t="str">
        <f>IF(NOT(Anime!W48=""),Anime!W48,"")</f>
        <v>Elysium</v>
      </c>
      <c r="F47" s="16">
        <f>IF(NOT(Anime!X48=""),Anime!X48,"")</f>
        <v>6.5</v>
      </c>
      <c r="G47" s="16">
        <f>IF(NOT(Anime!Y48=""),Anime!Y48,"")</f>
        <v>7.5</v>
      </c>
      <c r="H47" s="16">
        <f>IF(NOT(Anime!Z48=""),Anime!Z48,"")</f>
        <v>9</v>
      </c>
      <c r="I47" s="16">
        <f>IF(NOT(Anime!AA48=""),Anime!AA48,"")</f>
        <v>9.5</v>
      </c>
      <c r="J47" s="17">
        <f>IF(NOT(Anime!AB48=""),Anime!AB48,"")</f>
        <v>8.1702997275204368</v>
      </c>
      <c r="K47" s="18">
        <f>IF(NOT(Anime!AC48=""),Anime!AC48,"")</f>
        <v>7.5954405645015397</v>
      </c>
      <c r="L47" s="19">
        <f>IF(NOT(Anime!AD48=""),Anime!AD48,"")</f>
        <v>45</v>
      </c>
      <c r="M47" s="72">
        <f>IF(NOT(Anime!AE48=""),Anime!AE48,"")</f>
        <v>41338</v>
      </c>
      <c r="N47" s="21">
        <f>IF(NOT(Anime!AF48=""),Anime!AF48,"")</f>
        <v>29</v>
      </c>
      <c r="O47" s="129">
        <f>IF(NOT(Anime!AG48=""),Anime!AG48,"")</f>
        <v>41340</v>
      </c>
      <c r="P47" s="21">
        <f>IF(NOT(Anime!AH48=""),Anime!AH48,"")</f>
        <v>24</v>
      </c>
      <c r="Q47" s="21" t="str">
        <f>IF(NOT(Anime!AI48=""),Anime!AI48,"")</f>
        <v/>
      </c>
      <c r="R47" s="66" t="str">
        <f>IF(NOT(Anime!AJ48=""),Anime!AJ48,"")</f>
        <v>Nakano Azusa</v>
      </c>
      <c r="S47" s="135" t="str">
        <f>IF(NOT(Anime!AK54=""),Anime!AK54,"")</f>
        <v>ALL the plot twists</v>
      </c>
    </row>
    <row r="48" spans="1:30" ht="16.5">
      <c r="A48" s="12" t="str">
        <f>IF(NOT(Anime!R49=""),Anime!R49,"")</f>
        <v>Hentai Ouji to Warawanai Neko</v>
      </c>
      <c r="B48" s="14">
        <f>IF(NOT(Anime!S49=""),Anime!S49,"")</f>
        <v>1</v>
      </c>
      <c r="C48" s="14">
        <f>IF(NOT(Anime!T49=""),Anime!T49,"")</f>
        <v>13</v>
      </c>
      <c r="D48" s="68" t="str">
        <f>IF(NOT(Anime!U49=""),Anime!U49,"")</f>
        <v>A</v>
      </c>
      <c r="E48" s="131" t="str">
        <f>IF(NOT(Anime!W49=""),Anime!W49,"")</f>
        <v>rori</v>
      </c>
      <c r="F48" s="16">
        <f>IF(NOT(Anime!X49=""),Anime!X49,"")</f>
        <v>7</v>
      </c>
      <c r="G48" s="16">
        <f>IF(NOT(Anime!Y49=""),Anime!Y49,"")</f>
        <v>8.5</v>
      </c>
      <c r="H48" s="16">
        <f>IF(NOT(Anime!Z49=""),Anime!Z49,"")</f>
        <v>10</v>
      </c>
      <c r="I48" s="16">
        <f>IF(NOT(Anime!AA49=""),Anime!AA49,"")</f>
        <v>8.5</v>
      </c>
      <c r="J48" s="17">
        <f>IF(NOT(Anime!AB49=""),Anime!AB49,"")</f>
        <v>8.1689373297002721</v>
      </c>
      <c r="K48" s="18">
        <f>IF(NOT(Anime!AC49=""),Anime!AC49,"")</f>
        <v>7.5936312647005604</v>
      </c>
      <c r="L48" s="19">
        <f>IF(NOT(Anime!AD49=""),Anime!AD49,"")</f>
        <v>46</v>
      </c>
      <c r="M48" s="72">
        <f>IF(NOT(Anime!AE49=""),Anime!AE49,"")</f>
        <v>41378</v>
      </c>
      <c r="N48" s="21">
        <f>IF(NOT(Anime!AF49=""),Anime!AF49,"")</f>
        <v>45</v>
      </c>
      <c r="O48" s="129">
        <f>IF(NOT(Anime!AG49=""),Anime!AG49,"")</f>
        <v>41454</v>
      </c>
      <c r="P48" s="21">
        <f>IF(NOT(Anime!AH49=""),Anime!AH49,"")</f>
        <v>54</v>
      </c>
      <c r="Q48" s="21" t="str">
        <f>IF(NOT(Anime!AI49=""),Anime!AI49,"")</f>
        <v/>
      </c>
      <c r="R48" s="66" t="str">
        <f>IF(NOT(Anime!AJ49=""),Anime!AJ49,"")</f>
        <v>Tsutsukakushi Tsukiko</v>
      </c>
      <c r="S48" s="135" t="str">
        <f>IF(NOT(Anime!AK55=""),Anime!AK55,"")</f>
        <v/>
      </c>
    </row>
    <row r="49" spans="1:19" ht="16.5">
      <c r="A49" s="12" t="str">
        <f>IF(NOT(Anime!R50=""),Anime!R50,"")</f>
        <v>Sword Art Online (first half)</v>
      </c>
      <c r="B49" s="14">
        <f>IF(NOT(Anime!S50=""),Anime!S50,"")</f>
        <v>1</v>
      </c>
      <c r="C49" s="14">
        <f>IF(NOT(Anime!T50=""),Anime!T50,"")</f>
        <v>14</v>
      </c>
      <c r="D49" s="68" t="str">
        <f>IF(NOT(Anime!U50=""),Anime!U50,"")</f>
        <v>A</v>
      </c>
      <c r="E49" s="131" t="str">
        <f>IF(NOT(Anime!W50=""),Anime!W50,"")</f>
        <v>Coalgirls</v>
      </c>
      <c r="F49" s="16">
        <f>IF(NOT(Anime!X50=""),Anime!X50,"")</f>
        <v>8.5</v>
      </c>
      <c r="G49" s="16">
        <f>IF(NOT(Anime!Y50=""),Anime!Y50,"")</f>
        <v>8</v>
      </c>
      <c r="H49" s="16">
        <f>IF(NOT(Anime!Z50=""),Anime!Z50,"")</f>
        <v>3.5</v>
      </c>
      <c r="I49" s="16">
        <f>IF(NOT(Anime!AA50=""),Anime!AA50,"")</f>
        <v>9</v>
      </c>
      <c r="J49" s="17">
        <f>IF(NOT(Anime!AB50=""),Anime!AB50,"")</f>
        <v>8.162125340599454</v>
      </c>
      <c r="K49" s="18">
        <f>IF(NOT(Anime!AC50=""),Anime!AC50,"")</f>
        <v>7.5845847656956744</v>
      </c>
      <c r="L49" s="19">
        <f>IF(NOT(Anime!AD50=""),Anime!AD50,"")</f>
        <v>47</v>
      </c>
      <c r="M49" s="72">
        <f>IF(NOT(Anime!AE50=""),Anime!AE50,"")</f>
        <v>41245</v>
      </c>
      <c r="N49" s="21">
        <f>IF(NOT(Anime!AF50=""),Anime!AF50,"")</f>
        <v>5</v>
      </c>
      <c r="O49" s="129">
        <f>IF(NOT(Anime!AG50=""),Anime!AG50,"")</f>
        <v>41250</v>
      </c>
      <c r="P49" s="21">
        <f>IF(NOT(Anime!AH50=""),Anime!AH50,"")</f>
        <v>5</v>
      </c>
      <c r="Q49" s="21" t="str">
        <f>IF(NOT(Anime!AI50=""),Anime!AI50,"")</f>
        <v/>
      </c>
      <c r="R49" s="66" t="str">
        <f>IF(NOT(Anime!AJ50=""),Anime!AJ50,"")</f>
        <v>Yuuki Asuna</v>
      </c>
      <c r="S49" s="135" t="str">
        <f>IF(NOT(Anime!AK56=""),Anime!AK56,"")</f>
        <v/>
      </c>
    </row>
    <row r="50" spans="1:19" ht="16.5">
      <c r="A50" s="12" t="str">
        <f>IF(NOT(Anime!R51=""),Anime!R51,"")</f>
        <v>Puella Magi Madoka Magica</v>
      </c>
      <c r="B50" s="14">
        <f>IF(NOT(Anime!S51=""),Anime!S51,"")</f>
        <v>1</v>
      </c>
      <c r="C50" s="14">
        <f>IF(NOT(Anime!T51=""),Anime!T51,"")</f>
        <v>12</v>
      </c>
      <c r="D50" s="68" t="str">
        <f>IF(NOT(Anime!U51=""),Anime!U51,"")</f>
        <v>A</v>
      </c>
      <c r="E50" s="131" t="str">
        <f>IF(NOT(Anime!W51=""),Anime!W51,"")</f>
        <v>Doki</v>
      </c>
      <c r="F50" s="16">
        <f>IF(NOT(Anime!X51=""),Anime!X51,"")</f>
        <v>9</v>
      </c>
      <c r="G50" s="16">
        <f>IF(NOT(Anime!Y51=""),Anime!Y51,"")</f>
        <v>7.5</v>
      </c>
      <c r="H50" s="16">
        <f>IF(NOT(Anime!Z51=""),Anime!Z51,"")</f>
        <v>5</v>
      </c>
      <c r="I50" s="16">
        <f>IF(NOT(Anime!AA51=""),Anime!AA51,"")</f>
        <v>8.5</v>
      </c>
      <c r="J50" s="17">
        <f>IF(NOT(Anime!AB51=""),Anime!AB51,"")</f>
        <v>8.1607629427792912</v>
      </c>
      <c r="K50" s="18">
        <f>IF(NOT(Anime!AC51=""),Anime!AC51,"")</f>
        <v>7.5827754658946995</v>
      </c>
      <c r="L50" s="19">
        <f>IF(NOT(Anime!AD51=""),Anime!AD51,"")</f>
        <v>48</v>
      </c>
      <c r="M50" s="72">
        <f>IF(NOT(Anime!AE51=""),Anime!AE51,"")</f>
        <v>41255</v>
      </c>
      <c r="N50" s="21">
        <f>IF(NOT(Anime!AF51=""),Anime!AF51,"")</f>
        <v>9</v>
      </c>
      <c r="O50" s="129">
        <f>IF(NOT(Anime!AG51=""),Anime!AG51,"")</f>
        <v>41256</v>
      </c>
      <c r="P50" s="21">
        <f>IF(NOT(Anime!AH51=""),Anime!AH51,"")</f>
        <v>6</v>
      </c>
      <c r="Q50" s="21" t="str">
        <f>IF(NOT(Anime!AI51=""),Anime!AI51,"")</f>
        <v/>
      </c>
      <c r="R50" s="66" t="str">
        <f>IF(NOT(Anime!AJ51=""),Anime!AJ51,"")</f>
        <v>Akemi Homura</v>
      </c>
      <c r="S50" s="135" t="str">
        <f>IF(NOT(Anime!AK57=""),Anime!AK57,"")</f>
        <v/>
      </c>
    </row>
    <row r="51" spans="1:19" ht="16.5">
      <c r="A51" s="12" t="str">
        <f>IF(NOT(Anime!R52=""),Anime!R52,"")</f>
        <v>Maoyuu Maou Yuusha</v>
      </c>
      <c r="B51" s="14">
        <f>IF(NOT(Anime!S52=""),Anime!S52,"")</f>
        <v>1</v>
      </c>
      <c r="C51" s="14">
        <f>IF(NOT(Anime!T52=""),Anime!T52,"")</f>
        <v>12</v>
      </c>
      <c r="D51" s="68" t="str">
        <f>IF(NOT(Anime!U52=""),Anime!U52,"")</f>
        <v>A</v>
      </c>
      <c r="E51" s="131" t="str">
        <f>IF(NOT(Anime!W52=""),Anime!W52,"")</f>
        <v>AnimeNOW</v>
      </c>
      <c r="F51" s="16">
        <f>IF(NOT(Anime!X52=""),Anime!X52,"")</f>
        <v>9</v>
      </c>
      <c r="G51" s="16">
        <f>IF(NOT(Anime!Y52=""),Anime!Y52,"")</f>
        <v>8.5</v>
      </c>
      <c r="H51" s="16">
        <f>IF(NOT(Anime!Z52=""),Anime!Z52,"")</f>
        <v>3</v>
      </c>
      <c r="I51" s="16">
        <f>IF(NOT(Anime!AA52=""),Anime!AA52,"")</f>
        <v>8.5</v>
      </c>
      <c r="J51" s="17">
        <f>IF(NOT(Anime!AB52=""),Anime!AB52,"")</f>
        <v>8.1471389645776568</v>
      </c>
      <c r="K51" s="18">
        <f>IF(NOT(Anime!AC52=""),Anime!AC52,"")</f>
        <v>7.5646824678849294</v>
      </c>
      <c r="L51" s="19">
        <f>IF(NOT(Anime!AD52=""),Anime!AD52,"")</f>
        <v>49</v>
      </c>
      <c r="M51" s="72">
        <f>IF(NOT(Anime!AE52=""),Anime!AE52,"")</f>
        <v>41411</v>
      </c>
      <c r="N51" s="21">
        <f>IF(NOT(Anime!AF52=""),Anime!AF52,"")</f>
        <v>51</v>
      </c>
      <c r="O51" s="129">
        <f>IF(NOT(Anime!AG52=""),Anime!AG52,"")</f>
        <v>41413</v>
      </c>
      <c r="P51" s="21">
        <f>IF(NOT(Anime!AH52=""),Anime!AH52,"")</f>
        <v>42</v>
      </c>
      <c r="Q51" s="21" t="str">
        <f>IF(NOT(Anime!AI52=""),Anime!AI52,"")</f>
        <v/>
      </c>
      <c r="R51" s="66" t="str">
        <f>IF(NOT(Anime!AJ52=""),Anime!AJ52,"")</f>
        <v>Onna Mahoutsukai</v>
      </c>
      <c r="S51" s="135" t="str">
        <f>IF(NOT(Anime!AK58=""),Anime!AK58,"")</f>
        <v/>
      </c>
    </row>
    <row r="52" spans="1:19" ht="16.5">
      <c r="A52" s="12" t="str">
        <f>IF(NOT(Anime!R53=""),Anime!R53,"")</f>
        <v>Acchi Kocchi</v>
      </c>
      <c r="B52" s="14">
        <f>IF(NOT(Anime!S53=""),Anime!S53,"")</f>
        <v>1</v>
      </c>
      <c r="C52" s="14">
        <f>IF(NOT(Anime!T53=""),Anime!T53,"")</f>
        <v>13</v>
      </c>
      <c r="D52" s="68" t="str">
        <f>IF(NOT(Anime!U53=""),Anime!U53,"")</f>
        <v>A</v>
      </c>
      <c r="E52" s="131" t="str">
        <f>IF(NOT(Anime!W53=""),Anime!W53,"")</f>
        <v>SakuraCircle</v>
      </c>
      <c r="F52" s="16">
        <f>IF(NOT(Anime!X53=""),Anime!X53,"")</f>
        <v>5</v>
      </c>
      <c r="G52" s="16">
        <f>IF(NOT(Anime!Y53=""),Anime!Y53,"")</f>
        <v>9</v>
      </c>
      <c r="H52" s="16">
        <f>IF(NOT(Anime!Z53=""),Anime!Z53,"")</f>
        <v>10</v>
      </c>
      <c r="I52" s="16">
        <f>IF(NOT(Anime!AA53=""),Anime!AA53,"")</f>
        <v>9.5</v>
      </c>
      <c r="J52" s="17">
        <f>IF(NOT(Anime!AB53=""),Anime!AB53,"")</f>
        <v>8.0504087193460503</v>
      </c>
      <c r="K52" s="18">
        <f>IF(NOT(Anime!AC53=""),Anime!AC53,"")</f>
        <v>7.4362221820155625</v>
      </c>
      <c r="L52" s="19">
        <f>IF(NOT(Anime!AD53=""),Anime!AD53,"")</f>
        <v>50</v>
      </c>
      <c r="M52" s="72">
        <f>IF(NOT(Anime!AE53=""),Anime!AE53,"")</f>
        <v>41316</v>
      </c>
      <c r="N52" s="21">
        <f>IF(NOT(Anime!AF53=""),Anime!AF53,"")</f>
        <v>25</v>
      </c>
      <c r="O52" s="129">
        <f>IF(NOT(Anime!AG53=""),Anime!AG53,"")</f>
        <v>41316</v>
      </c>
      <c r="P52" s="21">
        <f>IF(NOT(Anime!AH53=""),Anime!AH53,"")</f>
        <v>20</v>
      </c>
      <c r="Q52" s="21" t="str">
        <f>IF(NOT(Anime!AI53=""),Anime!AI53,"")</f>
        <v/>
      </c>
      <c r="R52" s="66" t="str">
        <f>IF(NOT(Anime!AJ53=""),Anime!AJ53,"")</f>
        <v>Miniwa Tsumiki</v>
      </c>
      <c r="S52" s="135" t="str">
        <f>IF(NOT(Anime!AK59=""),Anime!AK59,"")</f>
        <v/>
      </c>
    </row>
    <row r="53" spans="1:19" ht="16.5">
      <c r="A53" s="12" t="str">
        <f>IF(NOT(Anime!R54=""),Anime!R54,"")</f>
        <v>Samurai Flamenco</v>
      </c>
      <c r="B53" s="14">
        <f>IF(NOT(Anime!S54=""),Anime!S54,"")</f>
        <v>1</v>
      </c>
      <c r="C53" s="14">
        <f>IF(NOT(Anime!T54=""),Anime!T54,"")</f>
        <v>22</v>
      </c>
      <c r="D53" s="68" t="str">
        <f>IF(NOT(Anime!U54=""),Anime!U54,"")</f>
        <v>B</v>
      </c>
      <c r="E53" s="131" t="str">
        <f>IF(NOT(Anime!W54=""),Anime!W54,"")</f>
        <v>HorribleSubs</v>
      </c>
      <c r="F53" s="16">
        <f>IF(NOT(Anime!X54=""),Anime!X54,"")</f>
        <v>8.5</v>
      </c>
      <c r="G53" s="16">
        <f>IF(NOT(Anime!Y54=""),Anime!Y54,"")</f>
        <v>8</v>
      </c>
      <c r="H53" s="16">
        <f>IF(NOT(Anime!Z54=""),Anime!Z54,"")</f>
        <v>4</v>
      </c>
      <c r="I53" s="16">
        <f>IF(NOT(Anime!AA54=""),Anime!AA54,"")</f>
        <v>8.5</v>
      </c>
      <c r="J53" s="17">
        <f>IF(NOT(Anime!AB54=""),Anime!AB54,"")</f>
        <v>7.9972752043596724</v>
      </c>
      <c r="K53" s="18">
        <f>IF(NOT(Anime!AC54=""),Anime!AC54,"")</f>
        <v>7.3656594897774568</v>
      </c>
      <c r="L53" s="19">
        <f>IF(NOT(Anime!AD54=""),Anime!AD54,"")</f>
        <v>51</v>
      </c>
      <c r="M53" s="72">
        <f>IF(NOT(Anime!AE54=""),Anime!AE54,"")</f>
        <v>41562</v>
      </c>
      <c r="N53" s="21">
        <f>IF(NOT(Anime!AF54=""),Anime!AF54,"")</f>
        <v>94</v>
      </c>
      <c r="O53" s="129">
        <f>IF(NOT(Anime!AG54=""),Anime!AG54,"")</f>
        <v>41728</v>
      </c>
      <c r="P53" s="21">
        <f>IF(NOT(Anime!AH54=""),Anime!AH54,"")</f>
        <v>102</v>
      </c>
      <c r="Q53" s="21" t="str">
        <f>IF(NOT(Anime!AI54=""),Anime!AI54,"")</f>
        <v/>
      </c>
      <c r="R53" s="66" t="str">
        <f>IF(NOT(Anime!AJ54=""),Anime!AJ54,"")</f>
        <v>Ishihara Sumi</v>
      </c>
      <c r="S53" s="135" t="str">
        <f>IF(NOT(Anime!AK60=""),Anime!AK60,"")</f>
        <v>Kuroneko best girl</v>
      </c>
    </row>
    <row r="54" spans="1:19" ht="16.5">
      <c r="A54" s="12" t="str">
        <f>IF(NOT(Anime!R55=""),Anime!R55,"")</f>
        <v>Non Non Biyori</v>
      </c>
      <c r="B54" s="14">
        <f>IF(NOT(Anime!S55=""),Anime!S55,"")</f>
        <v>1</v>
      </c>
      <c r="C54" s="14">
        <f>IF(NOT(Anime!T55=""),Anime!T55,"")</f>
        <v>12</v>
      </c>
      <c r="D54" s="68" t="str">
        <f>IF(NOT(Anime!U55=""),Anime!U55,"")</f>
        <v>B</v>
      </c>
      <c r="E54" s="131" t="str">
        <f>IF(NOT(Anime!W55=""),Anime!W55,"")</f>
        <v>HorribleSubs</v>
      </c>
      <c r="F54" s="16">
        <f>IF(NOT(Anime!X55=""),Anime!X55,"")</f>
        <v>4</v>
      </c>
      <c r="G54" s="16">
        <f>IF(NOT(Anime!Y55=""),Anime!Y55,"")</f>
        <v>9.5</v>
      </c>
      <c r="H54" s="16">
        <f>IF(NOT(Anime!Z55=""),Anime!Z55,"")</f>
        <v>9.5</v>
      </c>
      <c r="I54" s="16">
        <f>IF(NOT(Anime!AA55=""),Anime!AA55,"")</f>
        <v>10</v>
      </c>
      <c r="J54" s="17">
        <f>IF(NOT(Anime!AB55=""),Anime!AB55,"")</f>
        <v>7.9877384196185295</v>
      </c>
      <c r="K54" s="18">
        <f>IF(NOT(Anime!AC55=""),Anime!AC55,"")</f>
        <v>7.3529943911706184</v>
      </c>
      <c r="L54" s="19">
        <f>IF(NOT(Anime!AD55=""),Anime!AD55,"")</f>
        <v>52</v>
      </c>
      <c r="M54" s="72">
        <f>IF(NOT(Anime!AE55=""),Anime!AE55,"")</f>
        <v>41638</v>
      </c>
      <c r="N54" s="21">
        <f>IF(NOT(Anime!AF55=""),Anime!AF55,"")</f>
        <v>98</v>
      </c>
      <c r="O54" s="129">
        <f>IF(NOT(Anime!AG55=""),Anime!AG55,"")</f>
        <v>41641</v>
      </c>
      <c r="P54" s="21">
        <f>IF(NOT(Anime!AH55=""),Anime!AH55,"")</f>
        <v>94</v>
      </c>
      <c r="Q54" s="21" t="str">
        <f>IF(NOT(Anime!AI55=""),Anime!AI55,"")</f>
        <v/>
      </c>
      <c r="R54" s="66" t="str">
        <f>IF(NOT(Anime!AJ55=""),Anime!AJ55,"")</f>
        <v>Miyauchi Renge</v>
      </c>
      <c r="S54" s="135" t="str">
        <f>IF(NOT(Anime!AK61=""),Anime!AK61,"")</f>
        <v>Not as bad as everyone makes it seem - Kyoani animation and music plus an actual plot is pretty nice.</v>
      </c>
    </row>
    <row r="55" spans="1:19" ht="16.5">
      <c r="A55" s="12" t="str">
        <f>IF(NOT(Anime!R56=""),Anime!R56,"")</f>
        <v>Sora no Woto</v>
      </c>
      <c r="B55" s="14">
        <f>IF(NOT(Anime!S56=""),Anime!S56,"")</f>
        <v>1</v>
      </c>
      <c r="C55" s="14">
        <f>IF(NOT(Anime!T56=""),Anime!T56,"")</f>
        <v>13</v>
      </c>
      <c r="D55" s="68" t="str">
        <f>IF(NOT(Anime!U56=""),Anime!U56,"")</f>
        <v>A</v>
      </c>
      <c r="E55" s="131" t="str">
        <f>IF(NOT(Anime!W56=""),Anime!W56,"")</f>
        <v>Coalgirls</v>
      </c>
      <c r="F55" s="16">
        <f>IF(NOT(Anime!X56=""),Anime!X56,"")</f>
        <v>8</v>
      </c>
      <c r="G55" s="16">
        <f>IF(NOT(Anime!Y56=""),Anime!Y56,"")</f>
        <v>6.5</v>
      </c>
      <c r="H55" s="16">
        <f>IF(NOT(Anime!Z56=""),Anime!Z56,"")</f>
        <v>6</v>
      </c>
      <c r="I55" s="16">
        <f>IF(NOT(Anime!AA56=""),Anime!AA56,"")</f>
        <v>9</v>
      </c>
      <c r="J55" s="17">
        <f>IF(NOT(Anime!AB56=""),Anime!AB56,"")</f>
        <v>7.9795640326975468</v>
      </c>
      <c r="K55" s="18">
        <f>IF(NOT(Anime!AC56=""),Anime!AC56,"")</f>
        <v>7.3421385923647531</v>
      </c>
      <c r="L55" s="19">
        <f>IF(NOT(Anime!AD56=""),Anime!AD56,"")</f>
        <v>53</v>
      </c>
      <c r="M55" s="72">
        <f>IF(NOT(Anime!AE56=""),Anime!AE56,"")</f>
        <v>41316</v>
      </c>
      <c r="N55" s="21">
        <f>IF(NOT(Anime!AF56=""),Anime!AF56,"")</f>
        <v>25</v>
      </c>
      <c r="O55" s="129">
        <f>IF(NOT(Anime!AG56=""),Anime!AG56,"")</f>
        <v>41323</v>
      </c>
      <c r="P55" s="21">
        <f>IF(NOT(Anime!AH56=""),Anime!AH56,"")</f>
        <v>21</v>
      </c>
      <c r="Q55" s="21" t="str">
        <f>IF(NOT(Anime!AI56=""),Anime!AI56,"")</f>
        <v/>
      </c>
      <c r="R55" s="66" t="str">
        <f>IF(NOT(Anime!AJ56=""),Anime!AJ56,"")</f>
        <v>Noel Kannagi</v>
      </c>
      <c r="S55" s="135" t="str">
        <f>IF(NOT(Anime!AK62=""),Anime!AK62,"")</f>
        <v>Much better than I thought it would be</v>
      </c>
    </row>
    <row r="56" spans="1:19" ht="16.5">
      <c r="A56" s="12" t="str">
        <f>IF(NOT(Anime!R57=""),Anime!R57,"")</f>
        <v>Ro-Kyu-Bu!</v>
      </c>
      <c r="B56" s="14">
        <f>IF(NOT(Anime!S57=""),Anime!S57,"")</f>
        <v>1</v>
      </c>
      <c r="C56" s="14">
        <f>IF(NOT(Anime!T57=""),Anime!T57,"")</f>
        <v>12</v>
      </c>
      <c r="D56" s="68" t="str">
        <f>IF(NOT(Anime!U57=""),Anime!U57,"")</f>
        <v>A</v>
      </c>
      <c r="E56" s="131" t="str">
        <f>IF(NOT(Anime!W57=""),Anime!W57,"")</f>
        <v>Coalgirls</v>
      </c>
      <c r="F56" s="16">
        <f>IF(NOT(Anime!X57=""),Anime!X57,"")</f>
        <v>7.5</v>
      </c>
      <c r="G56" s="16">
        <f>IF(NOT(Anime!Y57=""),Anime!Y57,"")</f>
        <v>7.5</v>
      </c>
      <c r="H56" s="16">
        <f>IF(NOT(Anime!Z57=""),Anime!Z57,"")</f>
        <v>9.5</v>
      </c>
      <c r="I56" s="16">
        <f>IF(NOT(Anime!AA57=""),Anime!AA57,"")</f>
        <v>8</v>
      </c>
      <c r="J56" s="17">
        <f>IF(NOT(Anime!AB57=""),Anime!AB57,"")</f>
        <v>7.8964577656675745</v>
      </c>
      <c r="K56" s="18">
        <f>IF(NOT(Anime!AC57=""),Anime!AC57,"")</f>
        <v>7.2317713045051555</v>
      </c>
      <c r="L56" s="19">
        <f>IF(NOT(Anime!AD57=""),Anime!AD57,"")</f>
        <v>54</v>
      </c>
      <c r="M56" s="72">
        <f>IF(NOT(Anime!AE57=""),Anime!AE57,"")</f>
        <v>41453</v>
      </c>
      <c r="N56" s="21">
        <f>IF(NOT(Anime!AF57=""),Anime!AF57,"")</f>
        <v>61</v>
      </c>
      <c r="O56" s="129">
        <f>IF(NOT(Anime!AG57=""),Anime!AG57,"")</f>
        <v>41456</v>
      </c>
      <c r="P56" s="21">
        <f>IF(NOT(Anime!AH57=""),Anime!AH57,"")</f>
        <v>57</v>
      </c>
      <c r="Q56" s="21" t="str">
        <f>IF(NOT(Anime!AI57=""),Anime!AI57,"")</f>
        <v/>
      </c>
      <c r="R56" s="66" t="str">
        <f>IF(NOT(Anime!AJ57=""),Anime!AJ57,"")</f>
        <v>Hakamada Hinata</v>
      </c>
      <c r="S56" s="135" t="str">
        <f>IF(NOT(Anime!AK63=""),Anime!AK63,"")</f>
        <v/>
      </c>
    </row>
    <row r="57" spans="1:19" ht="16.5">
      <c r="A57" s="12" t="str">
        <f>IF(NOT(Anime!R58=""),Anime!R58,"")</f>
        <v>Sakura Trick</v>
      </c>
      <c r="B57" s="14">
        <f>IF(NOT(Anime!S58=""),Anime!S58,"")</f>
        <v>1</v>
      </c>
      <c r="C57" s="14">
        <f>IF(NOT(Anime!T58=""),Anime!T58,"")</f>
        <v>12</v>
      </c>
      <c r="D57" s="68" t="str">
        <f>IF(NOT(Anime!U58=""),Anime!U58,"")</f>
        <v>B</v>
      </c>
      <c r="E57" s="131" t="str">
        <f>IF(NOT(Anime!W58=""),Anime!W58,"")</f>
        <v>Doki</v>
      </c>
      <c r="F57" s="16">
        <f>IF(NOT(Anime!X58=""),Anime!X58,"")</f>
        <v>6.5</v>
      </c>
      <c r="G57" s="16">
        <f>IF(NOT(Anime!Y58=""),Anime!Y58,"")</f>
        <v>8</v>
      </c>
      <c r="H57" s="16">
        <f>IF(NOT(Anime!Z58=""),Anime!Z58,"")</f>
        <v>9</v>
      </c>
      <c r="I57" s="16">
        <f>IF(NOT(Anime!AA58=""),Anime!AA58,"")</f>
        <v>8.5</v>
      </c>
      <c r="J57" s="17">
        <f>IF(NOT(Anime!AB58=""),Anime!AB58,"")</f>
        <v>7.8337874659400546</v>
      </c>
      <c r="K57" s="18">
        <f>IF(NOT(Anime!AC58=""),Anime!AC58,"")</f>
        <v>7.1485435136602131</v>
      </c>
      <c r="L57" s="19">
        <f>IF(NOT(Anime!AD58=""),Anime!AD58,"")</f>
        <v>55</v>
      </c>
      <c r="M57" s="72">
        <f>IF(NOT(Anime!AE58=""),Anime!AE58,"")</f>
        <v>41650</v>
      </c>
      <c r="N57" s="21">
        <f>IF(NOT(Anime!AF58=""),Anime!AF58,"")</f>
        <v>109</v>
      </c>
      <c r="O57" s="129">
        <f>IF(NOT(Anime!AG58=""),Anime!AG58,"")</f>
        <v>41733</v>
      </c>
      <c r="P57" s="21">
        <f>IF(NOT(Anime!AH58=""),Anime!AH58,"")</f>
        <v>105</v>
      </c>
      <c r="Q57" s="21" t="str">
        <f>IF(NOT(Anime!AI58=""),Anime!AI58,"")</f>
        <v/>
      </c>
      <c r="R57" s="66" t="str">
        <f>IF(NOT(Anime!AJ58=""),Anime!AJ58,"")</f>
        <v>Minami Shizuku</v>
      </c>
      <c r="S57" s="135" t="str">
        <f>IF(NOT(Anime!AK64=""),Anime!AK64,"")</f>
        <v>The music is portrayed very accurately. 10/10 to the animators</v>
      </c>
    </row>
    <row r="58" spans="1:19" ht="16.5">
      <c r="A58" s="12" t="str">
        <f>IF(NOT(Anime!R59=""),Anime!R59,"")</f>
        <v>Ro-Kyu-Bu! SS</v>
      </c>
      <c r="B58" s="14">
        <f>IF(NOT(Anime!S59=""),Anime!S59,"")</f>
        <v>2</v>
      </c>
      <c r="C58" s="14">
        <f>IF(NOT(Anime!T59=""),Anime!T59,"")</f>
        <v>12</v>
      </c>
      <c r="D58" s="68" t="str">
        <f>IF(NOT(Anime!U59=""),Anime!U59,"")</f>
        <v>A</v>
      </c>
      <c r="E58" s="131" t="str">
        <f>IF(NOT(Anime!W59=""),Anime!W59,"")</f>
        <v>Asenshi-Doremi, Loligeddon</v>
      </c>
      <c r="F58" s="16">
        <f>IF(NOT(Anime!X59=""),Anime!X59,"")</f>
        <v>7</v>
      </c>
      <c r="G58" s="16">
        <f>IF(NOT(Anime!Y59=""),Anime!Y59,"")</f>
        <v>8</v>
      </c>
      <c r="H58" s="16">
        <f>IF(NOT(Anime!Z59=""),Anime!Z59,"")</f>
        <v>9.5</v>
      </c>
      <c r="I58" s="16">
        <f>IF(NOT(Anime!AA59=""),Anime!AA59,"")</f>
        <v>8</v>
      </c>
      <c r="J58" s="17">
        <f>IF(NOT(Anime!AB59=""),Anime!AB59,"")</f>
        <v>7.8256130790190737</v>
      </c>
      <c r="K58" s="18">
        <f>IF(NOT(Anime!AC59=""),Anime!AC59,"")</f>
        <v>7.1376877148543505</v>
      </c>
      <c r="L58" s="19">
        <f>IF(NOT(Anime!AD59=""),Anime!AD59,"")</f>
        <v>56</v>
      </c>
      <c r="M58" s="72">
        <f>IF(NOT(Anime!AE59=""),Anime!AE59,"")</f>
        <v>41468</v>
      </c>
      <c r="N58" s="21">
        <f>IF(NOT(Anime!AF59=""),Anime!AF59,"")</f>
        <v>73</v>
      </c>
      <c r="O58" s="129">
        <f>IF(NOT(Anime!AG59=""),Anime!AG59,"")</f>
        <v>41589</v>
      </c>
      <c r="P58" s="21">
        <f>IF(NOT(Anime!AH59=""),Anime!AH59,"")</f>
        <v>83</v>
      </c>
      <c r="Q58" s="21" t="str">
        <f>IF(NOT(Anime!AI59=""),Anime!AI59,"")</f>
        <v/>
      </c>
      <c r="R58" s="66" t="str">
        <f>IF(NOT(Anime!AJ59=""),Anime!AJ59,"")</f>
        <v>Hakamada Hinata</v>
      </c>
      <c r="S58" s="135" t="str">
        <f>IF(NOT(Anime!AK65=""),Anime!AK65,"")</f>
        <v/>
      </c>
    </row>
    <row r="59" spans="1:19" ht="16.5">
      <c r="A59" s="12" t="str">
        <f>IF(NOT(Anime!R60=""),Anime!R60,"")</f>
        <v>Ore no Imouto ga Konna ni Kawaii Wake ga Nai</v>
      </c>
      <c r="B59" s="14">
        <f>IF(NOT(Anime!S60=""),Anime!S60,"")</f>
        <v>1</v>
      </c>
      <c r="C59" s="14">
        <f>IF(NOT(Anime!T60=""),Anime!T60,"")</f>
        <v>16</v>
      </c>
      <c r="D59" s="68" t="str">
        <f>IF(NOT(Anime!U60=""),Anime!U60,"")</f>
        <v>A</v>
      </c>
      <c r="E59" s="131" t="str">
        <f>IF(NOT(Anime!W60=""),Anime!W60,"")</f>
        <v>Coalgirls</v>
      </c>
      <c r="F59" s="16">
        <f>IF(NOT(Anime!X60=""),Anime!X60,"")</f>
        <v>8</v>
      </c>
      <c r="G59" s="16">
        <f>IF(NOT(Anime!Y60=""),Anime!Y60,"")</f>
        <v>8.5</v>
      </c>
      <c r="H59" s="16">
        <f>IF(NOT(Anime!Z60=""),Anime!Z60,"")</f>
        <v>5</v>
      </c>
      <c r="I59" s="16">
        <f>IF(NOT(Anime!AA60=""),Anime!AA60,"")</f>
        <v>8</v>
      </c>
      <c r="J59" s="17">
        <f>IF(NOT(Anime!AB60=""),Anime!AB60,"")</f>
        <v>7.8079019073569489</v>
      </c>
      <c r="K59" s="18">
        <f>IF(NOT(Anime!AC60=""),Anime!AC60,"")</f>
        <v>7.1141668174416512</v>
      </c>
      <c r="L59" s="19">
        <f>IF(NOT(Anime!AD60=""),Anime!AD60,"")</f>
        <v>57</v>
      </c>
      <c r="M59" s="72">
        <f>IF(NOT(Anime!AE60=""),Anime!AE60,"")</f>
        <v>41360</v>
      </c>
      <c r="N59" s="21">
        <f>IF(NOT(Anime!AF60=""),Anime!AF60,"")</f>
        <v>36</v>
      </c>
      <c r="O59" s="129">
        <f>IF(NOT(Anime!AG60=""),Anime!AG60,"")</f>
        <v>41363</v>
      </c>
      <c r="P59" s="21">
        <f>IF(NOT(Anime!AH60=""),Anime!AH60,"")</f>
        <v>34</v>
      </c>
      <c r="Q59" s="21" t="str">
        <f>IF(NOT(Anime!AI60=""),Anime!AI60,"")</f>
        <v/>
      </c>
      <c r="R59" s="66" t="str">
        <f>IF(NOT(Anime!AJ60=""),Anime!AJ60,"")</f>
        <v>Kuroneko (Gokou Ruri)</v>
      </c>
      <c r="S59" s="135" t="str">
        <f>IF(NOT(Anime!AK66=""),Anime!AK66,"")</f>
        <v>A lot better than I thought it was going to be</v>
      </c>
    </row>
    <row r="60" spans="1:19" ht="16.5">
      <c r="A60" s="12" t="str">
        <f>IF(NOT(Anime!R61=""),Anime!R61,"")</f>
        <v>Free!</v>
      </c>
      <c r="B60" s="14">
        <f>IF(NOT(Anime!S61=""),Anime!S61,"")</f>
        <v>1</v>
      </c>
      <c r="C60" s="14">
        <f>IF(NOT(Anime!T61=""),Anime!T61,"")</f>
        <v>12</v>
      </c>
      <c r="D60" s="68" t="str">
        <f>IF(NOT(Anime!U61=""),Anime!U61,"")</f>
        <v>A</v>
      </c>
      <c r="E60" s="131" t="str">
        <f>IF(NOT(Anime!W61=""),Anime!W61,"")</f>
        <v>HorribleSubs</v>
      </c>
      <c r="F60" s="16">
        <f>IF(NOT(Anime!X61=""),Anime!X61,"")</f>
        <v>8.5</v>
      </c>
      <c r="G60" s="16">
        <f>IF(NOT(Anime!Y61=""),Anime!Y61,"")</f>
        <v>7.5</v>
      </c>
      <c r="H60" s="16">
        <f>IF(NOT(Anime!Z61=""),Anime!Z61,"")</f>
        <v>2.5</v>
      </c>
      <c r="I60" s="16">
        <f>IF(NOT(Anime!AA61=""),Anime!AA61,"")</f>
        <v>8.5</v>
      </c>
      <c r="J60" s="17">
        <f>IF(NOT(Anime!AB61=""),Anime!AB61,"")</f>
        <v>7.7724795640326976</v>
      </c>
      <c r="K60" s="18">
        <f>IF(NOT(Anime!AC61=""),Anime!AC61,"")</f>
        <v>7.0671250226162465</v>
      </c>
      <c r="L60" s="19">
        <f>IF(NOT(Anime!AD61=""),Anime!AD61,"")</f>
        <v>58</v>
      </c>
      <c r="M60" s="72">
        <f>IF(NOT(Anime!AE61=""),Anime!AE61,"")</f>
        <v>41459</v>
      </c>
      <c r="N60" s="21">
        <f>IF(NOT(Anime!AF61=""),Anime!AF61,"")</f>
        <v>64</v>
      </c>
      <c r="O60" s="129">
        <f>IF(NOT(Anime!AG61=""),Anime!AG61,"")</f>
        <v>41543</v>
      </c>
      <c r="P60" s="21">
        <f>IF(NOT(Anime!AH61=""),Anime!AH61,"")</f>
        <v>77</v>
      </c>
      <c r="Q60" s="21" t="str">
        <f>IF(NOT(Anime!AI61=""),Anime!AI61,"")</f>
        <v/>
      </c>
      <c r="R60" s="66" t="str">
        <f>IF(NOT(Anime!AJ61=""),Anime!AJ61,"")</f>
        <v>Matsuoka Gou</v>
      </c>
      <c r="S60" s="135" t="str">
        <f>IF(NOT(Anime!AK67=""),Anime!AK67,"")</f>
        <v/>
      </c>
    </row>
    <row r="61" spans="1:19" ht="16.5">
      <c r="A61" s="12" t="str">
        <f>IF(NOT(Anime!R62=""),Anime!R62,"")</f>
        <v>Lucky ★ Star</v>
      </c>
      <c r="B61" s="14">
        <f>IF(NOT(Anime!S62=""),Anime!S62,"")</f>
        <v>1</v>
      </c>
      <c r="C61" s="14">
        <f>IF(NOT(Anime!T62=""),Anime!T62,"")</f>
        <v>24</v>
      </c>
      <c r="D61" s="68" t="str">
        <f>IF(NOT(Anime!U62=""),Anime!U62,"")</f>
        <v>A</v>
      </c>
      <c r="E61" s="131" t="str">
        <f>IF(NOT(Anime!W62=""),Anime!W62,"")</f>
        <v>Doki</v>
      </c>
      <c r="F61" s="16">
        <f>IF(NOT(Anime!X62=""),Anime!X62,"")</f>
        <v>4</v>
      </c>
      <c r="G61" s="16">
        <f>IF(NOT(Anime!Y62=""),Anime!Y62,"")</f>
        <v>9</v>
      </c>
      <c r="H61" s="16">
        <f>IF(NOT(Anime!Z62=""),Anime!Z62,"")</f>
        <v>10</v>
      </c>
      <c r="I61" s="16">
        <f>IF(NOT(Anime!AA62=""),Anime!AA62,"")</f>
        <v>9.5</v>
      </c>
      <c r="J61" s="17">
        <f>IF(NOT(Anime!AB62=""),Anime!AB62,"")</f>
        <v>7.7370572207084471</v>
      </c>
      <c r="K61" s="18">
        <f>IF(NOT(Anime!AC62=""),Anime!AC62,"")</f>
        <v>7.0200832277908463</v>
      </c>
      <c r="L61" s="19">
        <f>IF(NOT(Anime!AD62=""),Anime!AD62,"")</f>
        <v>59</v>
      </c>
      <c r="M61" s="72">
        <f>IF(NOT(Anime!AE62=""),Anime!AE62,"")</f>
        <v>41300</v>
      </c>
      <c r="N61" s="21">
        <f>IF(NOT(Anime!AF62=""),Anime!AF62,"")</f>
        <v>21</v>
      </c>
      <c r="O61" s="129">
        <f>IF(NOT(Anime!AG62=""),Anime!AG62,"")</f>
        <v>41302</v>
      </c>
      <c r="P61" s="21">
        <f>IF(NOT(Anime!AH62=""),Anime!AH62,"")</f>
        <v>18</v>
      </c>
      <c r="Q61" s="21" t="str">
        <f>IF(NOT(Anime!AI62=""),Anime!AI62,"")</f>
        <v/>
      </c>
      <c r="R61" s="66" t="str">
        <f>IF(NOT(Anime!AJ62=""),Anime!AJ62,"")</f>
        <v>Hiiragi Kagami</v>
      </c>
      <c r="S61" s="135" t="str">
        <f>IF(NOT(Anime!AK68=""),Anime!AK68,"")</f>
        <v/>
      </c>
    </row>
    <row r="62" spans="1:19" ht="16.5">
      <c r="A62" s="12" t="str">
        <f>IF(NOT(Anime!R63=""),Anime!R63,"")</f>
        <v>Golden Time</v>
      </c>
      <c r="B62" s="14">
        <f>IF(NOT(Anime!S63=""),Anime!S63,"")</f>
        <v>1</v>
      </c>
      <c r="C62" s="14">
        <f>IF(NOT(Anime!T63=""),Anime!T63,"")</f>
        <v>24</v>
      </c>
      <c r="D62" s="68" t="str">
        <f>IF(NOT(Anime!U63=""),Anime!U63,"")</f>
        <v>B</v>
      </c>
      <c r="E62" s="131" t="str">
        <f>IF(NOT(Anime!W63=""),Anime!W63,"")</f>
        <v>FFF</v>
      </c>
      <c r="F62" s="16">
        <f>IF(NOT(Anime!X63=""),Anime!X63,"")</f>
        <v>8</v>
      </c>
      <c r="G62" s="16">
        <f>IF(NOT(Anime!Y63=""),Anime!Y63,"")</f>
        <v>8</v>
      </c>
      <c r="H62" s="16">
        <f>IF(NOT(Anime!Z63=""),Anime!Z63,"")</f>
        <v>5</v>
      </c>
      <c r="I62" s="16">
        <f>IF(NOT(Anime!AA63=""),Anime!AA63,"")</f>
        <v>8</v>
      </c>
      <c r="J62" s="17">
        <f>IF(NOT(Anime!AB63=""),Anime!AB63,"")</f>
        <v>7.7220708446866473</v>
      </c>
      <c r="K62" s="18">
        <f>IF(NOT(Anime!AC63=""),Anime!AC63,"")</f>
        <v>7.0001809299800959</v>
      </c>
      <c r="L62" s="19">
        <f>IF(NOT(Anime!AD63=""),Anime!AD63,"")</f>
        <v>60</v>
      </c>
      <c r="M62" s="72">
        <f>IF(NOT(Anime!AE63=""),Anime!AE63,"")</f>
        <v>41555</v>
      </c>
      <c r="N62" s="21">
        <f>IF(NOT(Anime!AF63=""),Anime!AF63,"")</f>
        <v>91</v>
      </c>
      <c r="O62" s="129">
        <f>IF(NOT(Anime!AG63=""),Anime!AG63,"")</f>
        <v>41748</v>
      </c>
      <c r="P62" s="21">
        <f>IF(NOT(Anime!AH63=""),Anime!AH63,"")</f>
        <v>110</v>
      </c>
      <c r="Q62" s="21" t="str">
        <f>IF(NOT(Anime!AI63=""),Anime!AI63,"")</f>
        <v/>
      </c>
      <c r="R62" s="66" t="str">
        <f>IF(NOT(Anime!AJ63=""),Anime!AJ63,"")</f>
        <v>Hayashida Linda</v>
      </c>
      <c r="S62" s="135" t="str">
        <f>IF(NOT(Anime!AK69=""),Anime!AK69,"")</f>
        <v/>
      </c>
    </row>
    <row r="63" spans="1:19" ht="16.5">
      <c r="A63" s="12" t="str">
        <f>IF(NOT(Anime!R64=""),Anime!R64,"")</f>
        <v>K-On!</v>
      </c>
      <c r="B63" s="14">
        <f>IF(NOT(Anime!S64=""),Anime!S64,"")</f>
        <v>1</v>
      </c>
      <c r="C63" s="14">
        <f>IF(NOT(Anime!T64=""),Anime!T64,"")</f>
        <v>13</v>
      </c>
      <c r="D63" s="68" t="str">
        <f>IF(NOT(Anime!U64=""),Anime!U64,"")</f>
        <v>A</v>
      </c>
      <c r="E63" s="131" t="str">
        <f>IF(NOT(Anime!W64=""),Anime!W64,"")</f>
        <v>Frostii</v>
      </c>
      <c r="F63" s="16">
        <f>IF(NOT(Anime!X64=""),Anime!X64,"")</f>
        <v>6</v>
      </c>
      <c r="G63" s="16">
        <f>IF(NOT(Anime!Y64=""),Anime!Y64,"")</f>
        <v>7</v>
      </c>
      <c r="H63" s="16">
        <f>IF(NOT(Anime!Z64=""),Anime!Z64,"")</f>
        <v>9</v>
      </c>
      <c r="I63" s="16">
        <f>IF(NOT(Anime!AA64=""),Anime!AA64,"")</f>
        <v>9</v>
      </c>
      <c r="J63" s="17">
        <f>IF(NOT(Anime!AB64=""),Anime!AB64,"")</f>
        <v>7.7166212534059948</v>
      </c>
      <c r="K63" s="18">
        <f>IF(NOT(Anime!AC64=""),Anime!AC64,"")</f>
        <v>6.992943730776191</v>
      </c>
      <c r="L63" s="19">
        <f>IF(NOT(Anime!AD64=""),Anime!AD64,"")</f>
        <v>61</v>
      </c>
      <c r="M63" s="72">
        <f>IF(NOT(Anime!AE64=""),Anime!AE64,"")</f>
        <v>41337</v>
      </c>
      <c r="N63" s="21">
        <f>IF(NOT(Anime!AF64=""),Anime!AF64,"")</f>
        <v>28</v>
      </c>
      <c r="O63" s="129">
        <f>IF(NOT(Anime!AG64=""),Anime!AG64,"")</f>
        <v>41338</v>
      </c>
      <c r="P63" s="21">
        <f>IF(NOT(Anime!AH64=""),Anime!AH64,"")</f>
        <v>23</v>
      </c>
      <c r="Q63" s="21" t="str">
        <f>IF(NOT(Anime!AI64=""),Anime!AI64,"")</f>
        <v/>
      </c>
      <c r="R63" s="66" t="str">
        <f>IF(NOT(Anime!AJ64=""),Anime!AJ64,"")</f>
        <v>Nakano Azusa</v>
      </c>
      <c r="S63" s="135" t="str">
        <f>IF(NOT(Anime!AK70=""),Anime!AK70,"")</f>
        <v/>
      </c>
    </row>
    <row r="64" spans="1:19" ht="16.5">
      <c r="A64" s="12" t="str">
        <f>IF(NOT(Anime!R65=""),Anime!R65,"")</f>
        <v>Baka to Test to Shoukanjuu Ni!</v>
      </c>
      <c r="B64" s="14">
        <f>IF(NOT(Anime!S65=""),Anime!S65,"")</f>
        <v>2</v>
      </c>
      <c r="C64" s="14">
        <f>IF(NOT(Anime!T65=""),Anime!T65,"")</f>
        <v>13</v>
      </c>
      <c r="D64" s="68" t="str">
        <f>IF(NOT(Anime!U65=""),Anime!U65,"")</f>
        <v>A</v>
      </c>
      <c r="E64" s="131" t="str">
        <f>IF(NOT(Anime!W65=""),Anime!W65,"")</f>
        <v>Ayumi</v>
      </c>
      <c r="F64" s="16">
        <f>IF(NOT(Anime!X65=""),Anime!X65,"")</f>
        <v>7</v>
      </c>
      <c r="G64" s="16">
        <f>IF(NOT(Anime!Y65=""),Anime!Y65,"")</f>
        <v>8</v>
      </c>
      <c r="H64" s="16">
        <f>IF(NOT(Anime!Z65=""),Anime!Z65,"")</f>
        <v>3.5</v>
      </c>
      <c r="I64" s="16">
        <f>IF(NOT(Anime!AA65=""),Anime!AA65,"")</f>
        <v>9</v>
      </c>
      <c r="J64" s="17">
        <f>IF(NOT(Anime!AB65=""),Anime!AB65,"")</f>
        <v>7.692098092643052</v>
      </c>
      <c r="K64" s="18">
        <f>IF(NOT(Anime!AC65=""),Anime!AC65,"")</f>
        <v>6.960376334358604</v>
      </c>
      <c r="L64" s="19">
        <f>IF(NOT(Anime!AD65=""),Anime!AD65,"")</f>
        <v>62</v>
      </c>
      <c r="M64" s="72">
        <f>IF(NOT(Anime!AE65=""),Anime!AE65,"")</f>
        <v>41354</v>
      </c>
      <c r="N64" s="21">
        <f>IF(NOT(Anime!AF65=""),Anime!AF65,"")</f>
        <v>32</v>
      </c>
      <c r="O64" s="129">
        <f>IF(NOT(Anime!AG65=""),Anime!AG65,"")</f>
        <v>41355</v>
      </c>
      <c r="P64" s="21">
        <f>IF(NOT(Anime!AH65=""),Anime!AH65,"")</f>
        <v>29</v>
      </c>
      <c r="Q64" s="21" t="str">
        <f>IF(NOT(Anime!AI65=""),Anime!AI65,"")</f>
        <v/>
      </c>
      <c r="R64" s="66" t="str">
        <f>IF(NOT(Anime!AJ65=""),Anime!AJ65,"")</f>
        <v>Shimada Minami</v>
      </c>
      <c r="S64" s="135" t="str">
        <f>IF(NOT(Anime!AK71=""),Anime!AK71,"")</f>
        <v/>
      </c>
    </row>
    <row r="65" spans="1:19" ht="16.5">
      <c r="A65" s="12" t="str">
        <f>IF(NOT(Anime!R66=""),Anime!R66,"")</f>
        <v>The Idolm@ster</v>
      </c>
      <c r="B65" s="14">
        <f>IF(NOT(Anime!S66=""),Anime!S66,"")</f>
        <v>1</v>
      </c>
      <c r="C65" s="14">
        <f>IF(NOT(Anime!T66=""),Anime!T66,"")</f>
        <v>26</v>
      </c>
      <c r="D65" s="68" t="str">
        <f>IF(NOT(Anime!U66=""),Anime!U66,"")</f>
        <v>A</v>
      </c>
      <c r="E65" s="131" t="str">
        <f>IF(NOT(Anime!W66=""),Anime!W66,"")</f>
        <v>Coalgirls</v>
      </c>
      <c r="F65" s="16">
        <f>IF(NOT(Anime!X66=""),Anime!X66,"")</f>
        <v>6.5</v>
      </c>
      <c r="G65" s="16">
        <f>IF(NOT(Anime!Y66=""),Anime!Y66,"")</f>
        <v>8.5</v>
      </c>
      <c r="H65" s="16">
        <f>IF(NOT(Anime!Z66=""),Anime!Z66,"")</f>
        <v>6.5</v>
      </c>
      <c r="I65" s="16">
        <f>IF(NOT(Anime!AA66=""),Anime!AA66,"")</f>
        <v>8.5</v>
      </c>
      <c r="J65" s="17">
        <f>IF(NOT(Anime!AB66=""),Anime!AB66,"")</f>
        <v>7.6880108991825615</v>
      </c>
      <c r="K65" s="18">
        <f>IF(NOT(Anime!AC66=""),Anime!AC66,"")</f>
        <v>6.9549484349556732</v>
      </c>
      <c r="L65" s="19">
        <f>IF(NOT(Anime!AD66=""),Anime!AD66,"")</f>
        <v>63</v>
      </c>
      <c r="M65" s="72">
        <f>IF(NOT(Anime!AE66=""),Anime!AE66,"")</f>
        <v>41394</v>
      </c>
      <c r="N65" s="21">
        <f>IF(NOT(Anime!AF66=""),Anime!AF66,"")</f>
        <v>47</v>
      </c>
      <c r="O65" s="129">
        <f>IF(NOT(Anime!AG66=""),Anime!AG66,"")</f>
        <v>41397</v>
      </c>
      <c r="P65" s="21">
        <f>IF(NOT(Anime!AH66=""),Anime!AH66,"")</f>
        <v>39</v>
      </c>
      <c r="Q65" s="21" t="str">
        <f>IF(NOT(Anime!AI66=""),Anime!AI66,"")</f>
        <v/>
      </c>
      <c r="R65" s="66" t="str">
        <f>IF(NOT(Anime!AJ66=""),Anime!AJ66,"")</f>
        <v>Hoshii Miki</v>
      </c>
      <c r="S65" s="135" t="str">
        <f>IF(NOT(Anime!AK72=""),Anime!AK72,"")</f>
        <v/>
      </c>
    </row>
    <row r="66" spans="1:19" ht="16.5">
      <c r="A66" s="12" t="str">
        <f>IF(NOT(Anime!R67=""),Anime!R67,"")</f>
        <v>Boku wa Tomodachi ga Sukunai</v>
      </c>
      <c r="B66" s="14">
        <f>IF(NOT(Anime!S67=""),Anime!S67,"")</f>
        <v>1</v>
      </c>
      <c r="C66" s="14">
        <f>IF(NOT(Anime!T67=""),Anime!T67,"")</f>
        <v>13</v>
      </c>
      <c r="D66" s="68" t="str">
        <f>IF(NOT(Anime!U67=""),Anime!U67,"")</f>
        <v>A</v>
      </c>
      <c r="E66" s="131" t="str">
        <f>IF(NOT(Anime!W67=""),Anime!W67,"")</f>
        <v>Coalgirls</v>
      </c>
      <c r="F66" s="16">
        <f>IF(NOT(Anime!X67=""),Anime!X67,"")</f>
        <v>7</v>
      </c>
      <c r="G66" s="16">
        <f>IF(NOT(Anime!Y67=""),Anime!Y67,"")</f>
        <v>8</v>
      </c>
      <c r="H66" s="16">
        <f>IF(NOT(Anime!Z67=""),Anime!Z67,"")</f>
        <v>5.5</v>
      </c>
      <c r="I66" s="16">
        <f>IF(NOT(Anime!AA67=""),Anime!AA67,"")</f>
        <v>8.5</v>
      </c>
      <c r="J66" s="17">
        <f>IF(NOT(Anime!AB67=""),Anime!AB67,"")</f>
        <v>7.6662125340599463</v>
      </c>
      <c r="K66" s="18">
        <f>IF(NOT(Anime!AC67=""),Anime!AC67,"")</f>
        <v>6.9259996381400413</v>
      </c>
      <c r="L66" s="19">
        <f>IF(NOT(Anime!AD67=""),Anime!AD67,"")</f>
        <v>64</v>
      </c>
      <c r="M66" s="72">
        <f>IF(NOT(Anime!AE67=""),Anime!AE67,"")</f>
        <v>41363</v>
      </c>
      <c r="N66" s="21">
        <f>IF(NOT(Anime!AF67=""),Anime!AF67,"")</f>
        <v>37</v>
      </c>
      <c r="O66" s="129">
        <f>IF(NOT(Anime!AG67=""),Anime!AG67,"")</f>
        <v>41364</v>
      </c>
      <c r="P66" s="21">
        <f>IF(NOT(Anime!AH67=""),Anime!AH67,"")</f>
        <v>35</v>
      </c>
      <c r="Q66" s="21" t="str">
        <f>IF(NOT(Anime!AI67=""),Anime!AI67,"")</f>
        <v/>
      </c>
      <c r="R66" s="66" t="str">
        <f>IF(NOT(Anime!AJ67=""),Anime!AJ67,"")</f>
        <v>Hasegawa Kobato</v>
      </c>
      <c r="S66" s="135" t="str">
        <f>IF(NOT(Anime!AK73=""),Anime!AK73,"")</f>
        <v/>
      </c>
    </row>
    <row r="67" spans="1:19" ht="16.5">
      <c r="A67" s="12" t="str">
        <f>IF(NOT(Anime!R68=""),Anime!R68,"")</f>
        <v>Inari, Konkon, Koi Iroha.</v>
      </c>
      <c r="B67" s="14">
        <f>IF(NOT(Anime!S68=""),Anime!S68,"")</f>
        <v>1</v>
      </c>
      <c r="C67" s="14">
        <f>IF(NOT(Anime!T68=""),Anime!T68,"")</f>
        <v>10</v>
      </c>
      <c r="D67" s="68" t="str">
        <f>IF(NOT(Anime!U68=""),Anime!U68,"")</f>
        <v>B</v>
      </c>
      <c r="E67" s="131" t="str">
        <f>IF(NOT(Anime!W68=""),Anime!W68,"")</f>
        <v>Vivid</v>
      </c>
      <c r="F67" s="16">
        <f>IF(NOT(Anime!X68=""),Anime!X68,"")</f>
        <v>7.5</v>
      </c>
      <c r="G67" s="16">
        <f>IF(NOT(Anime!Y68=""),Anime!Y68,"")</f>
        <v>8</v>
      </c>
      <c r="H67" s="16">
        <f>IF(NOT(Anime!Z68=""),Anime!Z68,"")</f>
        <v>6</v>
      </c>
      <c r="I67" s="16">
        <f>IF(NOT(Anime!AA68=""),Anime!AA68,"")</f>
        <v>8</v>
      </c>
      <c r="J67" s="17">
        <f>IF(NOT(Anime!AB68=""),Anime!AB68,"")</f>
        <v>7.6580381471389636</v>
      </c>
      <c r="K67" s="18">
        <f>IF(NOT(Anime!AC68=""),Anime!AC68,"")</f>
        <v>6.9151438393341769</v>
      </c>
      <c r="L67" s="19">
        <f>IF(NOT(Anime!AD68=""),Anime!AD68,"")</f>
        <v>65</v>
      </c>
      <c r="M67" s="72">
        <f>IF(NOT(Anime!AE68=""),Anime!AE68,"")</f>
        <v>41661</v>
      </c>
      <c r="N67" s="21">
        <f>IF(NOT(Anime!AF68=""),Anime!AF68,"")</f>
        <v>110</v>
      </c>
      <c r="O67" s="129">
        <f>IF(NOT(Anime!AG68=""),Anime!AG68,"")</f>
        <v>41722</v>
      </c>
      <c r="P67" s="21">
        <f>IF(NOT(Anime!AH68=""),Anime!AH68,"")</f>
        <v>99</v>
      </c>
      <c r="Q67" s="21" t="str">
        <f>IF(NOT(Anime!AI68=""),Anime!AI68,"")</f>
        <v/>
      </c>
      <c r="R67" s="66" t="str">
        <f>IF(NOT(Anime!AJ68=""),Anime!AJ68,"")</f>
        <v>Sanjou Keiko</v>
      </c>
      <c r="S67" s="135" t="str">
        <f>IF(NOT(Anime!AK74=""),Anime!AK74,"")</f>
        <v>Despite a few plot holes, it was pretty good overall</v>
      </c>
    </row>
    <row r="68" spans="1:19" ht="16.5">
      <c r="A68" s="12" t="str">
        <f>IF(NOT(Anime!R69=""),Anime!R69,"")</f>
        <v>Chuunibyou demo Koi ga Shitai!</v>
      </c>
      <c r="B68" s="14">
        <f>IF(NOT(Anime!S69=""),Anime!S69,"")</f>
        <v>1</v>
      </c>
      <c r="C68" s="14">
        <f>IF(NOT(Anime!T69=""),Anime!T69,"")</f>
        <v>12</v>
      </c>
      <c r="D68" s="68" t="str">
        <f>IF(NOT(Anime!U69=""),Anime!U69,"")</f>
        <v>A</v>
      </c>
      <c r="E68" s="131" t="str">
        <f>IF(NOT(Anime!W69=""),Anime!W69,"")</f>
        <v>URW</v>
      </c>
      <c r="F68" s="16">
        <f>IF(NOT(Anime!X69=""),Anime!X69,"")</f>
        <v>8</v>
      </c>
      <c r="G68" s="16">
        <f>IF(NOT(Anime!Y69=""),Anime!Y69,"")</f>
        <v>7</v>
      </c>
      <c r="H68" s="16">
        <f>IF(NOT(Anime!Z69=""),Anime!Z69,"")</f>
        <v>6</v>
      </c>
      <c r="I68" s="16">
        <f>IF(NOT(Anime!AA69=""),Anime!AA69,"")</f>
        <v>8</v>
      </c>
      <c r="J68" s="17">
        <f>IF(NOT(Anime!AB69=""),Anime!AB69,"")</f>
        <v>7.6430517711171655</v>
      </c>
      <c r="K68" s="18">
        <f>IF(NOT(Anime!AC69=""),Anime!AC69,"")</f>
        <v>6.8952415415234292</v>
      </c>
      <c r="L68" s="19">
        <f>IF(NOT(Anime!AD69=""),Anime!AD69,"")</f>
        <v>66</v>
      </c>
      <c r="M68" s="72">
        <f>IF(NOT(Anime!AE69=""),Anime!AE69,"")</f>
        <v>41251</v>
      </c>
      <c r="N68" s="21">
        <f>IF(NOT(Anime!AF69=""),Anime!AF69,"")</f>
        <v>7</v>
      </c>
      <c r="O68" s="129">
        <f>IF(NOT(Anime!AG69=""),Anime!AG69,"")</f>
        <v>41263</v>
      </c>
      <c r="P68" s="21">
        <f>IF(NOT(Anime!AH69=""),Anime!AH69,"")</f>
        <v>7</v>
      </c>
      <c r="Q68" s="21" t="str">
        <f>IF(NOT(Anime!AI69=""),Anime!AI69,"")</f>
        <v/>
      </c>
      <c r="R68" s="66" t="str">
        <f>IF(NOT(Anime!AJ69=""),Anime!AJ69,"")</f>
        <v>Takanashi Touka</v>
      </c>
      <c r="S68" s="135" t="str">
        <f>IF(NOT(Anime!AK75=""),Anime!AK75,"")</f>
        <v/>
      </c>
    </row>
    <row r="69" spans="1:19" ht="16.5">
      <c r="A69" s="12" t="str">
        <f>IF(NOT(Anime!R70=""),Anime!R70,"")</f>
        <v>Chuunibyou demo Koi ga Shitai! Ren</v>
      </c>
      <c r="B69" s="14">
        <f>IF(NOT(Anime!S70=""),Anime!S70,"")</f>
        <v>2</v>
      </c>
      <c r="C69" s="14">
        <f>IF(NOT(Anime!T70=""),Anime!T70,"")</f>
        <v>12</v>
      </c>
      <c r="D69" s="68" t="str">
        <f>IF(NOT(Anime!U70=""),Anime!U70,"")</f>
        <v>A</v>
      </c>
      <c r="E69" s="131" t="str">
        <f>IF(NOT(Anime!W70=""),Anime!W70,"")</f>
        <v>FTW</v>
      </c>
      <c r="F69" s="16">
        <f>IF(NOT(Anime!X70=""),Anime!X70,"")</f>
        <v>8</v>
      </c>
      <c r="G69" s="16">
        <f>IF(NOT(Anime!Y70=""),Anime!Y70,"")</f>
        <v>8</v>
      </c>
      <c r="H69" s="16">
        <f>IF(NOT(Anime!Z70=""),Anime!Z70,"")</f>
        <v>6</v>
      </c>
      <c r="I69" s="16">
        <f>IF(NOT(Anime!AA70=""),Anime!AA70,"")</f>
        <v>7.5</v>
      </c>
      <c r="J69" s="17">
        <f>IF(NOT(Anime!AB70=""),Anime!AB70,"")</f>
        <v>7.6035422343324246</v>
      </c>
      <c r="K69" s="18">
        <f>IF(NOT(Anime!AC70=""),Anime!AC70,"")</f>
        <v>6.8427718472950962</v>
      </c>
      <c r="L69" s="19">
        <f>IF(NOT(Anime!AD70=""),Anime!AD70,"")</f>
        <v>67</v>
      </c>
      <c r="M69" s="72">
        <f>IF(NOT(Anime!AE70=""),Anime!AE70,"")</f>
        <v>41648</v>
      </c>
      <c r="N69" s="21">
        <f>IF(NOT(Anime!AF70=""),Anime!AF70,"")</f>
        <v>105</v>
      </c>
      <c r="O69" s="129">
        <f>IF(NOT(Anime!AG70=""),Anime!AG70,"")</f>
        <v>41730</v>
      </c>
      <c r="P69" s="21">
        <f>IF(NOT(Anime!AH70=""),Anime!AH70,"")</f>
        <v>103</v>
      </c>
      <c r="Q69" s="21" t="str">
        <f>IF(NOT(Anime!AI70=""),Anime!AI70,"")</f>
        <v/>
      </c>
      <c r="R69" s="66" t="str">
        <f>IF(NOT(Anime!AJ70=""),Anime!AJ70,"")</f>
        <v>Togashi Kuzuha</v>
      </c>
      <c r="S69" s="135" t="str">
        <f>IF(NOT(Anime!AK76=""),Anime!AK76,"")</f>
        <v>So much wasted potential - started out great</v>
      </c>
    </row>
    <row r="70" spans="1:19" ht="16.5">
      <c r="A70" s="12" t="str">
        <f>IF(NOT(Anime!R71=""),Anime!R71,"")</f>
        <v>Yosuga no Sora</v>
      </c>
      <c r="B70" s="14">
        <f>IF(NOT(Anime!S71=""),Anime!S71,"")</f>
        <v>1</v>
      </c>
      <c r="C70" s="14">
        <f>IF(NOT(Anime!T71=""),Anime!T71,"")</f>
        <v>12</v>
      </c>
      <c r="D70" s="68" t="str">
        <f>IF(NOT(Anime!U71=""),Anime!U71,"")</f>
        <v>A</v>
      </c>
      <c r="E70" s="131" t="str">
        <f>IF(NOT(Anime!W71=""),Anime!W71,"")</f>
        <v>Coalgirls</v>
      </c>
      <c r="F70" s="16">
        <f>IF(NOT(Anime!X71=""),Anime!X71,"")</f>
        <v>7</v>
      </c>
      <c r="G70" s="16">
        <f>IF(NOT(Anime!Y71=""),Anime!Y71,"")</f>
        <v>8</v>
      </c>
      <c r="H70" s="16">
        <f>IF(NOT(Anime!Z71=""),Anime!Z71,"")</f>
        <v>7</v>
      </c>
      <c r="I70" s="16">
        <f>IF(NOT(Anime!AA71=""),Anime!AA71,"")</f>
        <v>8</v>
      </c>
      <c r="J70" s="17">
        <f>IF(NOT(Anime!AB71=""),Anime!AB71,"")</f>
        <v>7.5940054495912808</v>
      </c>
      <c r="K70" s="18">
        <f>IF(NOT(Anime!AC71=""),Anime!AC71,"")</f>
        <v>6.8301067486882578</v>
      </c>
      <c r="L70" s="19">
        <f>IF(NOT(Anime!AD71=""),Anime!AD71,"")</f>
        <v>68</v>
      </c>
      <c r="M70" s="72">
        <f>IF(NOT(Anime!AE71=""),Anime!AE71,"")</f>
        <v>41457</v>
      </c>
      <c r="N70" s="21">
        <f>IF(NOT(Anime!AF71=""),Anime!AF71,"")</f>
        <v>63</v>
      </c>
      <c r="O70" s="129">
        <f>IF(NOT(Anime!AG71=""),Anime!AG71,"")</f>
        <v>41463</v>
      </c>
      <c r="P70" s="21">
        <f>IF(NOT(Anime!AH71=""),Anime!AH71,"")</f>
        <v>59</v>
      </c>
      <c r="Q70" s="21" t="str">
        <f>IF(NOT(Anime!AI71=""),Anime!AI71,"")</f>
        <v/>
      </c>
      <c r="R70" s="66" t="str">
        <f>IF(NOT(Anime!AJ71=""),Anime!AJ71,"")</f>
        <v>Kasugano Sora</v>
      </c>
      <c r="S70" s="135" t="str">
        <f>IF(NOT(Anime!AK77=""),Anime!AK77,"")</f>
        <v>Besides the obvious fetish scenes, not bad. OP is pretty great</v>
      </c>
    </row>
    <row r="71" spans="1:19" ht="16.5">
      <c r="A71" s="12" t="str">
        <f>IF(NOT(Anime!R72=""),Anime!R72,"")</f>
        <v>D-Frag!</v>
      </c>
      <c r="B71" s="14">
        <f>IF(NOT(Anime!S72=""),Anime!S72,"")</f>
        <v>1</v>
      </c>
      <c r="C71" s="14">
        <f>IF(NOT(Anime!T72=""),Anime!T72,"")</f>
        <v>12</v>
      </c>
      <c r="D71" s="68" t="str">
        <f>IF(NOT(Anime!U72=""),Anime!U72,"")</f>
        <v>B</v>
      </c>
      <c r="E71" s="131" t="str">
        <f>IF(NOT(Anime!W72=""),Anime!W72,"")</f>
        <v>Vivid</v>
      </c>
      <c r="F71" s="16">
        <f>IF(NOT(Anime!X72=""),Anime!X72,"")</f>
        <v>7.5</v>
      </c>
      <c r="G71" s="16">
        <f>IF(NOT(Anime!Y72=""),Anime!Y72,"")</f>
        <v>8</v>
      </c>
      <c r="H71" s="16">
        <f>IF(NOT(Anime!Z72=""),Anime!Z72,"")</f>
        <v>5</v>
      </c>
      <c r="I71" s="16">
        <f>IF(NOT(Anime!AA72=""),Anime!AA72,"")</f>
        <v>8</v>
      </c>
      <c r="J71" s="17">
        <f>IF(NOT(Anime!AB72=""),Anime!AB72,"")</f>
        <v>7.5653950953678475</v>
      </c>
      <c r="K71" s="18">
        <f>IF(NOT(Anime!AC72=""),Anime!AC72,"")</f>
        <v>6.7921114528677409</v>
      </c>
      <c r="L71" s="19">
        <f>IF(NOT(Anime!AD72=""),Anime!AD72,"")</f>
        <v>69</v>
      </c>
      <c r="M71" s="72">
        <f>IF(NOT(Anime!AE72=""),Anime!AE72,"")</f>
        <v>41648</v>
      </c>
      <c r="N71" s="21">
        <f>IF(NOT(Anime!AF72=""),Anime!AF72,"")</f>
        <v>105</v>
      </c>
      <c r="O71" s="129">
        <f>IF(NOT(Anime!AG72=""),Anime!AG72,"")</f>
        <v>41746</v>
      </c>
      <c r="P71" s="21">
        <f>IF(NOT(Anime!AH72=""),Anime!AH72,"")</f>
        <v>109</v>
      </c>
      <c r="Q71" s="21" t="str">
        <f>IF(NOT(Anime!AI72=""),Anime!AI72,"")</f>
        <v/>
      </c>
      <c r="R71" s="66" t="str">
        <f>IF(NOT(Anime!AJ72=""),Anime!AJ72,"")</f>
        <v>Shibasaki Roka</v>
      </c>
      <c r="S71" s="135" t="str">
        <f>IF(NOT(Anime!AK78=""),Anime!AK78,"")</f>
        <v/>
      </c>
    </row>
    <row r="72" spans="1:19" ht="16.5">
      <c r="A72" s="12" t="str">
        <f>IF(NOT(Anime!R73=""),Anime!R73,"")</f>
        <v>Love Lab</v>
      </c>
      <c r="B72" s="14">
        <f>IF(NOT(Anime!S73=""),Anime!S73,"")</f>
        <v>1</v>
      </c>
      <c r="C72" s="14">
        <f>IF(NOT(Anime!T73=""),Anime!T73,"")</f>
        <v>13</v>
      </c>
      <c r="D72" s="68" t="str">
        <f>IF(NOT(Anime!U73=""),Anime!U73,"")</f>
        <v>A</v>
      </c>
      <c r="E72" s="131" t="str">
        <f>IF(NOT(Anime!W73=""),Anime!W73,"")</f>
        <v>FFF</v>
      </c>
      <c r="F72" s="16">
        <f>IF(NOT(Anime!X73=""),Anime!X73,"")</f>
        <v>8</v>
      </c>
      <c r="G72" s="16">
        <f>IF(NOT(Anime!Y73=""),Anime!Y73,"")</f>
        <v>8</v>
      </c>
      <c r="H72" s="16">
        <f>IF(NOT(Anime!Z73=""),Anime!Z73,"")</f>
        <v>5.5</v>
      </c>
      <c r="I72" s="16">
        <f>IF(NOT(Anime!AA73=""),Anime!AA73,"")</f>
        <v>7.5</v>
      </c>
      <c r="J72" s="17">
        <f>IF(NOT(Anime!AB73=""),Anime!AB73,"")</f>
        <v>7.5572207084468666</v>
      </c>
      <c r="K72" s="18">
        <f>IF(NOT(Anime!AC73=""),Anime!AC73,"")</f>
        <v>6.7812556540618791</v>
      </c>
      <c r="L72" s="19">
        <f>IF(NOT(Anime!AD73=""),Anime!AD73,"")</f>
        <v>70</v>
      </c>
      <c r="M72" s="72">
        <f>IF(NOT(Anime!AE73=""),Anime!AE73,"")</f>
        <v>41461</v>
      </c>
      <c r="N72" s="21">
        <f>IF(NOT(Anime!AF73=""),Anime!AF73,"")</f>
        <v>67</v>
      </c>
      <c r="O72" s="129">
        <f>IF(NOT(Anime!AG73=""),Anime!AG73,"")</f>
        <v>41546</v>
      </c>
      <c r="P72" s="21">
        <f>IF(NOT(Anime!AH73=""),Anime!AH73,"")</f>
        <v>80</v>
      </c>
      <c r="Q72" s="21" t="str">
        <f>IF(NOT(Anime!AI73=""),Anime!AI73,"")</f>
        <v/>
      </c>
      <c r="R72" s="66" t="str">
        <f>IF(NOT(Anime!AJ73=""),Anime!AJ73,"")</f>
        <v>Kurahashi Riko</v>
      </c>
      <c r="S72" s="135" t="str">
        <f>IF(NOT(Anime!AK79=""),Anime!AK79,"")</f>
        <v/>
      </c>
    </row>
    <row r="73" spans="1:19" ht="16.5">
      <c r="A73" s="12" t="str">
        <f>IF(NOT(Anime!R74=""),Anime!R74,"")</f>
        <v>Coppelion</v>
      </c>
      <c r="B73" s="14">
        <f>IF(NOT(Anime!S74=""),Anime!S74,"")</f>
        <v>1</v>
      </c>
      <c r="C73" s="14">
        <f>IF(NOT(Anime!T74=""),Anime!T74,"")</f>
        <v>13</v>
      </c>
      <c r="D73" s="68" t="str">
        <f>IF(NOT(Anime!U74=""),Anime!U74,"")</f>
        <v>B</v>
      </c>
      <c r="E73" s="131" t="str">
        <f>IF(NOT(Anime!W74=""),Anime!W74,"")</f>
        <v>HorribleSubs</v>
      </c>
      <c r="F73" s="16">
        <f>IF(NOT(Anime!X74=""),Anime!X74,"")</f>
        <v>8.5</v>
      </c>
      <c r="G73" s="16">
        <f>IF(NOT(Anime!Y74=""),Anime!Y74,"")</f>
        <v>7.5</v>
      </c>
      <c r="H73" s="16">
        <f>IF(NOT(Anime!Z74=""),Anime!Z74,"")</f>
        <v>2</v>
      </c>
      <c r="I73" s="16">
        <f>IF(NOT(Anime!AA74=""),Anime!AA74,"")</f>
        <v>8</v>
      </c>
      <c r="J73" s="17">
        <f>IF(NOT(Anime!AB74=""),Anime!AB74,"")</f>
        <v>7.5149863760217981</v>
      </c>
      <c r="K73" s="18">
        <f>IF(NOT(Anime!AC74=""),Anime!AC74,"")</f>
        <v>6.7251673602315893</v>
      </c>
      <c r="L73" s="19">
        <f>IF(NOT(Anime!AD74=""),Anime!AD74,"")</f>
        <v>71</v>
      </c>
      <c r="M73" s="72">
        <f>IF(NOT(Anime!AE74=""),Anime!AE74,"")</f>
        <v>41555</v>
      </c>
      <c r="N73" s="21">
        <f>IF(NOT(Anime!AF74=""),Anime!AF74,"")</f>
        <v>91</v>
      </c>
      <c r="O73" s="129">
        <f>IF(NOT(Anime!AG74=""),Anime!AG74,"")</f>
        <v>41634</v>
      </c>
      <c r="P73" s="21">
        <f>IF(NOT(Anime!AH74=""),Anime!AH74,"")</f>
        <v>90</v>
      </c>
      <c r="Q73" s="21" t="str">
        <f>IF(NOT(Anime!AI74=""),Anime!AI74,"")</f>
        <v/>
      </c>
      <c r="R73" s="66" t="str">
        <f>IF(NOT(Anime!AJ74=""),Anime!AJ74,"")</f>
        <v>Nomura Taeko</v>
      </c>
      <c r="S73" s="135" t="str">
        <f>IF(NOT(Anime!AK80=""),Anime!AK80,"")</f>
        <v>Ignoring the ecchi, it would be pretty nice</v>
      </c>
    </row>
    <row r="74" spans="1:19" ht="16.5">
      <c r="A74" s="12" t="str">
        <f>IF(NOT(Anime!R75=""),Anime!R75,"")</f>
        <v>Baka to Test to Shoukanjuu</v>
      </c>
      <c r="B74" s="14">
        <f>IF(NOT(Anime!S75=""),Anime!S75,"")</f>
        <v>1</v>
      </c>
      <c r="C74" s="14">
        <f>IF(NOT(Anime!T75=""),Anime!T75,"")</f>
        <v>13</v>
      </c>
      <c r="D74" s="68" t="str">
        <f>IF(NOT(Anime!U75=""),Anime!U75,"")</f>
        <v>A</v>
      </c>
      <c r="E74" s="131" t="str">
        <f>IF(NOT(Anime!W75=""),Anime!W75,"")</f>
        <v>Elysium</v>
      </c>
      <c r="F74" s="16">
        <f>IF(NOT(Anime!X75=""),Anime!X75,"")</f>
        <v>6.5</v>
      </c>
      <c r="G74" s="16">
        <f>IF(NOT(Anime!Y75=""),Anime!Y75,"")</f>
        <v>7.5</v>
      </c>
      <c r="H74" s="16">
        <f>IF(NOT(Anime!Z75=""),Anime!Z75,"")</f>
        <v>4</v>
      </c>
      <c r="I74" s="16">
        <f>IF(NOT(Anime!AA75=""),Anime!AA75,"")</f>
        <v>9</v>
      </c>
      <c r="J74" s="17">
        <f>IF(NOT(Anime!AB75=""),Anime!AB75,"")</f>
        <v>7.4959128065395095</v>
      </c>
      <c r="K74" s="18">
        <f>IF(NOT(Anime!AC75=""),Anime!AC75,"")</f>
        <v>6.6998371630179125</v>
      </c>
      <c r="L74" s="19">
        <f>IF(NOT(Anime!AD75=""),Anime!AD75,"")</f>
        <v>72</v>
      </c>
      <c r="M74" s="72">
        <f>IF(NOT(Anime!AE75=""),Anime!AE75,"")</f>
        <v>41347</v>
      </c>
      <c r="N74" s="21">
        <f>IF(NOT(Anime!AF75=""),Anime!AF75,"")</f>
        <v>31</v>
      </c>
      <c r="O74" s="129">
        <f>IF(NOT(Anime!AG75=""),Anime!AG75,"")</f>
        <v>41354</v>
      </c>
      <c r="P74" s="21">
        <f>IF(NOT(Anime!AH75=""),Anime!AH75,"")</f>
        <v>28</v>
      </c>
      <c r="Q74" s="21" t="str">
        <f>IF(NOT(Anime!AI75=""),Anime!AI75,"")</f>
        <v/>
      </c>
      <c r="R74" s="66" t="str">
        <f>IF(NOT(Anime!AJ75=""),Anime!AJ75,"")</f>
        <v>Shimada Minami</v>
      </c>
      <c r="S74" s="135" t="str">
        <f>IF(NOT(Anime!AK81=""),Anime!AK81,"")</f>
        <v>Plot was questionable, but the art and music gives it points</v>
      </c>
    </row>
    <row r="75" spans="1:19" ht="16.5">
      <c r="A75" s="12" t="str">
        <f>IF(NOT(Anime!R76=""),Anime!R76,"")</f>
        <v>Kotoura-san</v>
      </c>
      <c r="B75" s="14">
        <f>IF(NOT(Anime!S76=""),Anime!S76,"")</f>
        <v>1</v>
      </c>
      <c r="C75" s="14">
        <f>IF(NOT(Anime!T76=""),Anime!T76,"")</f>
        <v>12</v>
      </c>
      <c r="D75" s="68" t="str">
        <f>IF(NOT(Anime!U76=""),Anime!U76,"")</f>
        <v>A</v>
      </c>
      <c r="E75" s="131" t="str">
        <f>IF(NOT(Anime!W76=""),Anime!W76,"")</f>
        <v>HorribleSubs</v>
      </c>
      <c r="F75" s="16">
        <f>IF(NOT(Anime!X76=""),Anime!X76,"")</f>
        <v>7</v>
      </c>
      <c r="G75" s="16">
        <f>IF(NOT(Anime!Y76=""),Anime!Y76,"")</f>
        <v>7.5</v>
      </c>
      <c r="H75" s="16">
        <f>IF(NOT(Anime!Z76=""),Anime!Z76,"")</f>
        <v>6.5</v>
      </c>
      <c r="I75" s="16">
        <f>IF(NOT(Anime!AA76=""),Anime!AA76,"")</f>
        <v>8</v>
      </c>
      <c r="J75" s="17">
        <f>IF(NOT(Anime!AB76=""),Anime!AB76,"")</f>
        <v>7.461852861035422</v>
      </c>
      <c r="K75" s="18">
        <f>IF(NOT(Anime!AC76=""),Anime!AC76,"")</f>
        <v>6.6546046679934854</v>
      </c>
      <c r="L75" s="19">
        <f>IF(NOT(Anime!AD76=""),Anime!AD76,"")</f>
        <v>73</v>
      </c>
      <c r="M75" s="72">
        <f>IF(NOT(Anime!AE76=""),Anime!AE76,"")</f>
        <v>41430</v>
      </c>
      <c r="N75" s="21">
        <f>IF(NOT(Anime!AF76=""),Anime!AF76,"")</f>
        <v>53</v>
      </c>
      <c r="O75" s="129">
        <f>IF(NOT(Anime!AG76=""),Anime!AG76,"")</f>
        <v>41431</v>
      </c>
      <c r="P75" s="21">
        <f>IF(NOT(Anime!AH76=""),Anime!AH76,"")</f>
        <v>44</v>
      </c>
      <c r="Q75" s="21" t="str">
        <f>IF(NOT(Anime!AI76=""),Anime!AI76,"")</f>
        <v/>
      </c>
      <c r="R75" s="66" t="str">
        <f>IF(NOT(Anime!AJ76=""),Anime!AJ76,"")</f>
        <v>Haruka Kotoura</v>
      </c>
      <c r="S75" s="135" t="str">
        <f>IF(NOT(Anime!AK82=""),Anime!AK82,"")</f>
        <v>Not what I expected it to be, given the hype</v>
      </c>
    </row>
    <row r="76" spans="1:19" ht="16.5">
      <c r="A76" s="12" t="str">
        <f>IF(NOT(Anime!R77=""),Anime!R77,"")</f>
        <v>Dansai Bunri no Crime Edge</v>
      </c>
      <c r="B76" s="14">
        <f>IF(NOT(Anime!S77=""),Anime!S77,"")</f>
        <v>1</v>
      </c>
      <c r="C76" s="14">
        <f>IF(NOT(Anime!T77=""),Anime!T77,"")</f>
        <v>13</v>
      </c>
      <c r="D76" s="68" t="str">
        <f>IF(NOT(Anime!U77=""),Anime!U77,"")</f>
        <v>A</v>
      </c>
      <c r="E76" s="131" t="str">
        <f>IF(NOT(Anime!W77=""),Anime!W77,"")</f>
        <v>Anime-Koi</v>
      </c>
      <c r="F76" s="16">
        <f>IF(NOT(Anime!X77=""),Anime!X77,"")</f>
        <v>8</v>
      </c>
      <c r="G76" s="16">
        <f>IF(NOT(Anime!Y77=""),Anime!Y77,"")</f>
        <v>7.5</v>
      </c>
      <c r="H76" s="16">
        <f>IF(NOT(Anime!Z77=""),Anime!Z77,"")</f>
        <v>5</v>
      </c>
      <c r="I76" s="16">
        <f>IF(NOT(Anime!AA77=""),Anime!AA77,"")</f>
        <v>7.5</v>
      </c>
      <c r="J76" s="17">
        <f>IF(NOT(Anime!AB77=""),Anime!AB77,"")</f>
        <v>7.4250681198910087</v>
      </c>
      <c r="K76" s="18">
        <f>IF(NOT(Anime!AC77=""),Anime!AC77,"")</f>
        <v>6.6057535733671084</v>
      </c>
      <c r="L76" s="19">
        <f>IF(NOT(Anime!AD77=""),Anime!AD77,"")</f>
        <v>74</v>
      </c>
      <c r="M76" s="72">
        <f>IF(NOT(Anime!AE77=""),Anime!AE77,"")</f>
        <v>41453</v>
      </c>
      <c r="N76" s="21">
        <f>IF(NOT(Anime!AF77=""),Anime!AF77,"")</f>
        <v>61</v>
      </c>
      <c r="O76" s="129">
        <f>IF(NOT(Anime!AG77=""),Anime!AG77,"")</f>
        <v>41457</v>
      </c>
      <c r="P76" s="21">
        <f>IF(NOT(Anime!AH77=""),Anime!AH77,"")</f>
        <v>58</v>
      </c>
      <c r="Q76" s="21" t="str">
        <f>IF(NOT(Anime!AI77=""),Anime!AI77,"")</f>
        <v/>
      </c>
      <c r="R76" s="66" t="str">
        <f>IF(NOT(Anime!AJ77=""),Anime!AJ77,"")</f>
        <v>Mushanokouji Iwai</v>
      </c>
      <c r="S76" s="135" t="str">
        <f>IF(NOT(Anime!AK83=""),Anime!AK83,"")</f>
        <v/>
      </c>
    </row>
    <row r="77" spans="1:19" ht="16.5">
      <c r="A77" s="12" t="str">
        <f>IF(NOT(Anime!R78=""),Anime!R78,"")</f>
        <v>Tonari no Seki-kun</v>
      </c>
      <c r="B77" s="14">
        <f>IF(NOT(Anime!S78=""),Anime!S78,"")</f>
        <v>1</v>
      </c>
      <c r="C77" s="14">
        <f>IF(NOT(Anime!T78=""),Anime!T78,"")</f>
        <v>21</v>
      </c>
      <c r="D77" s="68" t="str">
        <f>IF(NOT(Anime!U78=""),Anime!U78,"")</f>
        <v>B</v>
      </c>
      <c r="E77" s="131" t="str">
        <f>IF(NOT(Anime!W78=""),Anime!W78,"")</f>
        <v>Vivid</v>
      </c>
      <c r="F77" s="16">
        <f>IF(NOT(Anime!X78=""),Anime!X78,"")</f>
        <v>5</v>
      </c>
      <c r="G77" s="16">
        <f>IF(NOT(Anime!Y78=""),Anime!Y78,"")</f>
        <v>9</v>
      </c>
      <c r="H77" s="16">
        <f>IF(NOT(Anime!Z78=""),Anime!Z78,"")</f>
        <v>5</v>
      </c>
      <c r="I77" s="16">
        <f>IF(NOT(Anime!AA78=""),Anime!AA78,"")</f>
        <v>9</v>
      </c>
      <c r="J77" s="17">
        <f>IF(NOT(Anime!AB78=""),Anime!AB78,"")</f>
        <v>7.3760217983651231</v>
      </c>
      <c r="K77" s="18">
        <f>IF(NOT(Anime!AC78=""),Anime!AC78,"")</f>
        <v>6.5406187805319354</v>
      </c>
      <c r="L77" s="19">
        <f>IF(NOT(Anime!AD78=""),Anime!AD78,"")</f>
        <v>75</v>
      </c>
      <c r="M77" s="72">
        <f>IF(NOT(Anime!AE78=""),Anime!AE78,"")</f>
        <v>41648</v>
      </c>
      <c r="N77" s="21">
        <f>IF(NOT(Anime!AF78=""),Anime!AF78,"")</f>
        <v>105</v>
      </c>
      <c r="O77" s="129">
        <f>IF(NOT(Anime!AG78=""),Anime!AG78,"")</f>
        <v>41785</v>
      </c>
      <c r="P77" s="21">
        <f>IF(NOT(Anime!AH78=""),Anime!AH78,"")</f>
        <v>113</v>
      </c>
      <c r="Q77" s="21" t="str">
        <f>IF(NOT(Anime!AI78=""),Anime!AI78,"")</f>
        <v/>
      </c>
      <c r="R77" s="66" t="str">
        <f>IF(NOT(Anime!AJ78=""),Anime!AJ78,"")</f>
        <v>Yokoi Rumi</v>
      </c>
      <c r="S77" s="135" t="str">
        <f>IF(NOT(Anime!AK84=""),Anime!AK84,"")</f>
        <v/>
      </c>
    </row>
    <row r="78" spans="1:19" ht="16.5">
      <c r="A78" s="12" t="str">
        <f>IF(NOT(Anime!R79=""),Anime!R79,"")</f>
        <v>Black ★ Rock Shooter</v>
      </c>
      <c r="B78" s="14">
        <f>IF(NOT(Anime!S79=""),Anime!S79,"")</f>
        <v>1</v>
      </c>
      <c r="C78" s="14">
        <f>IF(NOT(Anime!T79=""),Anime!T79,"")</f>
        <v>8</v>
      </c>
      <c r="D78" s="68" t="str">
        <f>IF(NOT(Anime!U79=""),Anime!U79,"")</f>
        <v>A</v>
      </c>
      <c r="E78" s="131" t="str">
        <f>IF(NOT(Anime!W79=""),Anime!W79,"")</f>
        <v>Final8</v>
      </c>
      <c r="F78" s="16">
        <f>IF(NOT(Anime!X79=""),Anime!X79,"")</f>
        <v>7.5</v>
      </c>
      <c r="G78" s="16">
        <f>IF(NOT(Anime!Y79=""),Anime!Y79,"")</f>
        <v>7.5</v>
      </c>
      <c r="H78" s="16">
        <f>IF(NOT(Anime!Z79=""),Anime!Z79,"")</f>
        <v>3.5</v>
      </c>
      <c r="I78" s="16">
        <f>IF(NOT(Anime!AA79=""),Anime!AA79,"")</f>
        <v>8</v>
      </c>
      <c r="J78" s="17">
        <f>IF(NOT(Anime!AB79=""),Anime!AB79,"")</f>
        <v>7.3405994550408717</v>
      </c>
      <c r="K78" s="18">
        <f>IF(NOT(Anime!AC79=""),Anime!AC79,"")</f>
        <v>6.4935769857065324</v>
      </c>
      <c r="L78" s="19">
        <f>IF(NOT(Anime!AD79=""),Anime!AD79,"")</f>
        <v>76</v>
      </c>
      <c r="M78" s="72">
        <f>IF(NOT(Anime!AE79=""),Anime!AE79,"")</f>
        <v>41541</v>
      </c>
      <c r="N78" s="21">
        <f>IF(NOT(Anime!AF79=""),Anime!AF79,"")</f>
        <v>83</v>
      </c>
      <c r="O78" s="129">
        <f>IF(NOT(Anime!AG79=""),Anime!AG79,"")</f>
        <v>41541</v>
      </c>
      <c r="P78" s="21">
        <f>IF(NOT(Anime!AH79=""),Anime!AH79,"")</f>
        <v>73</v>
      </c>
      <c r="Q78" s="21" t="str">
        <f>IF(NOT(Anime!AI79=""),Anime!AI79,"")</f>
        <v/>
      </c>
      <c r="R78" s="66" t="str">
        <f>IF(NOT(Anime!AJ79=""),Anime!AJ79,"")</f>
        <v>Black Rock Shooter</v>
      </c>
      <c r="S78" s="135" t="str">
        <f>IF(NOT(Anime!AK85=""),Anime!AK85,"")</f>
        <v/>
      </c>
    </row>
    <row r="79" spans="1:19" ht="16.5">
      <c r="A79" s="12" t="str">
        <f>IF(NOT(Anime!R80=""),Anime!R80,"")</f>
        <v>Sora no Otoshimono</v>
      </c>
      <c r="B79" s="14">
        <f>IF(NOT(Anime!S80=""),Anime!S80,"")</f>
        <v>1</v>
      </c>
      <c r="C79" s="14">
        <f>IF(NOT(Anime!T80=""),Anime!T80,"")</f>
        <v>13</v>
      </c>
      <c r="D79" s="68" t="str">
        <f>IF(NOT(Anime!U80=""),Anime!U80,"")</f>
        <v>A</v>
      </c>
      <c r="E79" s="131" t="str">
        <f>IF(NOT(Anime!W80=""),Anime!W80,"")</f>
        <v>Polished</v>
      </c>
      <c r="F79" s="16">
        <f>IF(NOT(Anime!X80=""),Anime!X80,"")</f>
        <v>7</v>
      </c>
      <c r="G79" s="16">
        <f>IF(NOT(Anime!Y80=""),Anime!Y80,"")</f>
        <v>7</v>
      </c>
      <c r="H79" s="16">
        <f>IF(NOT(Anime!Z80=""),Anime!Z80,"")</f>
        <v>7.5</v>
      </c>
      <c r="I79" s="16">
        <f>IF(NOT(Anime!AA80=""),Anime!AA80,"")</f>
        <v>7.5</v>
      </c>
      <c r="J79" s="17">
        <f>IF(NOT(Anime!AB80=""),Anime!AB80,"")</f>
        <v>7.2574931880108986</v>
      </c>
      <c r="K79" s="18">
        <f>IF(NOT(Anime!AC80=""),Anime!AC80,"")</f>
        <v>6.3832096978469322</v>
      </c>
      <c r="L79" s="19">
        <f>IF(NOT(Anime!AD80=""),Anime!AD80,"")</f>
        <v>77</v>
      </c>
      <c r="M79" s="72">
        <f>IF(NOT(Anime!AE80=""),Anime!AE80,"")</f>
        <v>41496</v>
      </c>
      <c r="N79" s="21">
        <f>IF(NOT(Anime!AF80=""),Anime!AF80,"")</f>
        <v>80</v>
      </c>
      <c r="O79" s="129">
        <f>IF(NOT(Anime!AG80=""),Anime!AG80,"")</f>
        <v>41512</v>
      </c>
      <c r="P79" s="21">
        <f>IF(NOT(Anime!AH80=""),Anime!AH80,"")</f>
        <v>69</v>
      </c>
      <c r="Q79" s="21" t="str">
        <f>IF(NOT(Anime!AI80=""),Anime!AI80,"")</f>
        <v/>
      </c>
      <c r="R79" s="66" t="str">
        <f>IF(NOT(Anime!AJ80=""),Anime!AJ80,"")</f>
        <v>Nymph</v>
      </c>
      <c r="S79" s="135" t="str">
        <f>IF(NOT(Anime!AK86=""),Anime!AK86,"")</f>
        <v/>
      </c>
    </row>
    <row r="80" spans="1:19" ht="16.5">
      <c r="A80" s="12" t="str">
        <f>IF(NOT(Anime!R81=""),Anime!R81,"")</f>
        <v>Kami-sama no Inai Nichiyoubi</v>
      </c>
      <c r="B80" s="14">
        <f>IF(NOT(Anime!S81=""),Anime!S81,"")</f>
        <v>1</v>
      </c>
      <c r="C80" s="14">
        <f>IF(NOT(Anime!T81=""),Anime!T81,"")</f>
        <v>12</v>
      </c>
      <c r="D80" s="68" t="str">
        <f>IF(NOT(Anime!U81=""),Anime!U81,"")</f>
        <v>A</v>
      </c>
      <c r="E80" s="131" t="str">
        <f>IF(NOT(Anime!W81=""),Anime!W81,"")</f>
        <v>HorribleSubs</v>
      </c>
      <c r="F80" s="16">
        <f>IF(NOT(Anime!X81=""),Anime!X81,"")</f>
        <v>7</v>
      </c>
      <c r="G80" s="16">
        <f>IF(NOT(Anime!Y81=""),Anime!Y81,"")</f>
        <v>7.5</v>
      </c>
      <c r="H80" s="16">
        <f>IF(NOT(Anime!Z81=""),Anime!Z81,"")</f>
        <v>3.5</v>
      </c>
      <c r="I80" s="16">
        <f>IF(NOT(Anime!AA81=""),Anime!AA81,"")</f>
        <v>8</v>
      </c>
      <c r="J80" s="17">
        <f>IF(NOT(Anime!AB81=""),Anime!AB81,"")</f>
        <v>7.1839237057220702</v>
      </c>
      <c r="K80" s="18">
        <f>IF(NOT(Anime!AC81=""),Anime!AC81,"")</f>
        <v>6.285507508594173</v>
      </c>
      <c r="L80" s="19">
        <f>IF(NOT(Anime!AD81=""),Anime!AD81,"")</f>
        <v>78</v>
      </c>
      <c r="M80" s="72">
        <f>IF(NOT(Anime!AE81=""),Anime!AE81,"")</f>
        <v>41465</v>
      </c>
      <c r="N80" s="21">
        <f>IF(NOT(Anime!AF81=""),Anime!AF81,"")</f>
        <v>71</v>
      </c>
      <c r="O80" s="129">
        <f>IF(NOT(Anime!AG81=""),Anime!AG81,"")</f>
        <v>41543</v>
      </c>
      <c r="P80" s="21">
        <f>IF(NOT(Anime!AH81=""),Anime!AH81,"")</f>
        <v>77</v>
      </c>
      <c r="Q80" s="21" t="str">
        <f>IF(NOT(Anime!AI81=""),Anime!AI81,"")</f>
        <v/>
      </c>
      <c r="R80" s="66" t="str">
        <f>IF(NOT(Anime!AJ81=""),Anime!AJ81,"")</f>
        <v>Ulla Euleus Hecmatika</v>
      </c>
      <c r="S80" s="135" t="str">
        <f>IF(NOT(Anime!AK87=""),Anime!AK87,"")</f>
        <v/>
      </c>
    </row>
    <row r="81" spans="1:19" ht="16.5">
      <c r="A81" s="12" t="str">
        <f>IF(NOT(Anime!R82=""),Anime!R82,"")</f>
        <v>Suzumiya Haruhi no Yuuutsu</v>
      </c>
      <c r="B81" s="14">
        <f>IF(NOT(Anime!S82=""),Anime!S82,"")</f>
        <v>1</v>
      </c>
      <c r="C81" s="14">
        <f>IF(NOT(Anime!T82=""),Anime!T82,"")</f>
        <v>28</v>
      </c>
      <c r="D81" s="68" t="str">
        <f>IF(NOT(Anime!U82=""),Anime!U82,"")</f>
        <v>A</v>
      </c>
      <c r="E81" s="131" t="str">
        <f>IF(NOT(Anime!W82=""),Anime!W82,"")</f>
        <v>Elysium</v>
      </c>
      <c r="F81" s="16">
        <f>IF(NOT(Anime!X82=""),Anime!X82,"")</f>
        <v>7.5</v>
      </c>
      <c r="G81" s="16">
        <f>IF(NOT(Anime!Y82=""),Anime!Y82,"")</f>
        <v>7.5</v>
      </c>
      <c r="H81" s="16">
        <f>IF(NOT(Anime!Z82=""),Anime!Z82,"")</f>
        <v>4</v>
      </c>
      <c r="I81" s="16">
        <f>IF(NOT(Anime!AA82=""),Anime!AA82,"")</f>
        <v>7.5</v>
      </c>
      <c r="J81" s="17">
        <f>IF(NOT(Anime!AB82=""),Anime!AB82,"")</f>
        <v>7.1757493188010901</v>
      </c>
      <c r="K81" s="18">
        <f>IF(NOT(Anime!AC82=""),Anime!AC82,"")</f>
        <v>6.2746517097883121</v>
      </c>
      <c r="L81" s="19">
        <f>IF(NOT(Anime!AD82=""),Anime!AD82,"")</f>
        <v>79</v>
      </c>
      <c r="M81" s="72">
        <f>IF(NOT(Anime!AE82=""),Anime!AE82,"")</f>
        <v>41330</v>
      </c>
      <c r="N81" s="21">
        <f>IF(NOT(Anime!AF82=""),Anime!AF82,"")</f>
        <v>27</v>
      </c>
      <c r="O81" s="129">
        <f>IF(NOT(Anime!AG82=""),Anime!AG82,"")</f>
        <v>41346</v>
      </c>
      <c r="P81" s="21">
        <f>IF(NOT(Anime!AH82=""),Anime!AH82,"")</f>
        <v>25</v>
      </c>
      <c r="Q81" s="21" t="str">
        <f>IF(NOT(Anime!AI82=""),Anime!AI82,"")</f>
        <v/>
      </c>
      <c r="R81" s="66" t="str">
        <f>IF(NOT(Anime!AJ82=""),Anime!AJ82,"")</f>
        <v>Nagato Yuki</v>
      </c>
      <c r="S81" s="135" t="str">
        <f>IF(NOT(Anime!AK88=""),Anime!AK88,"")</f>
        <v>Finales that make more questions than answers suck.</v>
      </c>
    </row>
    <row r="82" spans="1:19" ht="16.5">
      <c r="A82" s="12" t="str">
        <f>IF(NOT(Anime!R83=""),Anime!R83,"")</f>
        <v>Inu to Hasami wa Tsukaiyou</v>
      </c>
      <c r="B82" s="14">
        <f>IF(NOT(Anime!S83=""),Anime!S83,"")</f>
        <v>1</v>
      </c>
      <c r="C82" s="14">
        <f>IF(NOT(Anime!T83=""),Anime!T83,"")</f>
        <v>12</v>
      </c>
      <c r="D82" s="68" t="str">
        <f>IF(NOT(Anime!U83=""),Anime!U83,"")</f>
        <v>A</v>
      </c>
      <c r="E82" s="131" t="str">
        <f>IF(NOT(Anime!W83=""),Anime!W83,"")</f>
        <v>HorribleSubs</v>
      </c>
      <c r="F82" s="16">
        <f>IF(NOT(Anime!X83=""),Anime!X83,"")</f>
        <v>6.5</v>
      </c>
      <c r="G82" s="16">
        <f>IF(NOT(Anime!Y83=""),Anime!Y83,"")</f>
        <v>7.5</v>
      </c>
      <c r="H82" s="16">
        <f>IF(NOT(Anime!Z83=""),Anime!Z83,"")</f>
        <v>5</v>
      </c>
      <c r="I82" s="16">
        <f>IF(NOT(Anime!AA83=""),Anime!AA83,"")</f>
        <v>8</v>
      </c>
      <c r="J82" s="17">
        <f>IF(NOT(Anime!AB83=""),Anime!AB83,"")</f>
        <v>7.1662125340599445</v>
      </c>
      <c r="K82" s="18">
        <f>IF(NOT(Anime!AC83=""),Anime!AC83,"")</f>
        <v>6.2619866111814719</v>
      </c>
      <c r="L82" s="19">
        <f>IF(NOT(Anime!AD83=""),Anime!AD83,"")</f>
        <v>80</v>
      </c>
      <c r="M82" s="72">
        <f>IF(NOT(Anime!AE83=""),Anime!AE83,"")</f>
        <v>41456</v>
      </c>
      <c r="N82" s="21">
        <f>IF(NOT(Anime!AF83=""),Anime!AF83,"")</f>
        <v>62</v>
      </c>
      <c r="O82" s="129">
        <f>IF(NOT(Anime!AG83=""),Anime!AG83,"")</f>
        <v>41535</v>
      </c>
      <c r="P82" s="21">
        <f>IF(NOT(Anime!AH83=""),Anime!AH83,"")</f>
        <v>71</v>
      </c>
      <c r="Q82" s="21" t="str">
        <f>IF(NOT(Anime!AI83=""),Anime!AI83,"")</f>
        <v/>
      </c>
      <c r="R82" s="66" t="str">
        <f>IF(NOT(Anime!AJ83=""),Anime!AJ83,"")</f>
        <v>Himehagi Momiji</v>
      </c>
      <c r="S82" s="135" t="str">
        <f>IF(NOT(Anime!AK89=""),Anime!AK89,"")</f>
        <v/>
      </c>
    </row>
    <row r="83" spans="1:19" ht="16.5">
      <c r="A83" s="12" t="str">
        <f>IF(NOT(Anime!R84=""),Anime!R84,"")</f>
        <v>Kiniro Mosaic</v>
      </c>
      <c r="B83" s="14">
        <f>IF(NOT(Anime!S84=""),Anime!S84,"")</f>
        <v>1</v>
      </c>
      <c r="C83" s="14">
        <f>IF(NOT(Anime!T84=""),Anime!T84,"")</f>
        <v>12</v>
      </c>
      <c r="D83" s="68" t="str">
        <f>IF(NOT(Anime!U84=""),Anime!U84,"")</f>
        <v>A</v>
      </c>
      <c r="E83" s="131" t="str">
        <f>IF(NOT(Anime!W84=""),Anime!W84,"")</f>
        <v>Doki</v>
      </c>
      <c r="F83" s="16">
        <f>IF(NOT(Anime!X84=""),Anime!X84,"")</f>
        <v>3.5</v>
      </c>
      <c r="G83" s="16">
        <f>IF(NOT(Anime!Y84=""),Anime!Y84,"")</f>
        <v>8</v>
      </c>
      <c r="H83" s="16">
        <f>IF(NOT(Anime!Z84=""),Anime!Z84,"")</f>
        <v>9.5</v>
      </c>
      <c r="I83" s="16">
        <f>IF(NOT(Anime!AA84=""),Anime!AA84,"")</f>
        <v>9</v>
      </c>
      <c r="J83" s="17">
        <f>IF(NOT(Anime!AB84=""),Anime!AB84,"")</f>
        <v>7.1512261580381473</v>
      </c>
      <c r="K83" s="18">
        <f>IF(NOT(Anime!AC84=""),Anime!AC84,"")</f>
        <v>6.2420843133707269</v>
      </c>
      <c r="L83" s="19">
        <f>IF(NOT(Anime!AD84=""),Anime!AD84,"")</f>
        <v>81</v>
      </c>
      <c r="M83" s="72">
        <f>IF(NOT(Anime!AE84=""),Anime!AE84,"")</f>
        <v>41462</v>
      </c>
      <c r="N83" s="21">
        <f>IF(NOT(Anime!AF84=""),Anime!AF84,"")</f>
        <v>68</v>
      </c>
      <c r="O83" s="129">
        <f>IF(NOT(Anime!AG84=""),Anime!AG84,"")</f>
        <v>41538</v>
      </c>
      <c r="P83" s="21">
        <f>IF(NOT(Anime!AH84=""),Anime!AH84,"")</f>
        <v>72</v>
      </c>
      <c r="Q83" s="21" t="str">
        <f>IF(NOT(Anime!AI84=""),Anime!AI84,"")</f>
        <v/>
      </c>
      <c r="R83" s="66" t="str">
        <f>IF(NOT(Anime!AJ84=""),Anime!AJ84,"")</f>
        <v>Komichi Aya</v>
      </c>
      <c r="S83" s="135" t="str">
        <f>IF(NOT(Anime!AK90=""),Anime!AK90,"")</f>
        <v>Too many filler arcs killed everything else. Should have waited for the manga to continue instead</v>
      </c>
    </row>
    <row r="84" spans="1:19" ht="16.5">
      <c r="A84" s="12" t="str">
        <f>IF(NOT(Anime!R85=""),Anime!R85,"")</f>
        <v>Witch Craft Works</v>
      </c>
      <c r="B84" s="14">
        <f>IF(NOT(Anime!S85=""),Anime!S85,"")</f>
        <v>1</v>
      </c>
      <c r="C84" s="14">
        <f>IF(NOT(Anime!T85=""),Anime!T85,"")</f>
        <v>12</v>
      </c>
      <c r="D84" s="68" t="str">
        <f>IF(NOT(Anime!U85=""),Anime!U85,"")</f>
        <v>B</v>
      </c>
      <c r="E84" s="131" t="str">
        <f>IF(NOT(Anime!W85=""),Anime!W85,"")</f>
        <v>FFF</v>
      </c>
      <c r="F84" s="16">
        <f>IF(NOT(Anime!X85=""),Anime!X85,"")</f>
        <v>7.5</v>
      </c>
      <c r="G84" s="16">
        <f>IF(NOT(Anime!Y85=""),Anime!Y85,"")</f>
        <v>7.5</v>
      </c>
      <c r="H84" s="16">
        <f>IF(NOT(Anime!Z85=""),Anime!Z85,"")</f>
        <v>3.5</v>
      </c>
      <c r="I84" s="16">
        <f>IF(NOT(Anime!AA85=""),Anime!AA85,"")</f>
        <v>7.5</v>
      </c>
      <c r="J84" s="17">
        <f>IF(NOT(Anime!AB85=""),Anime!AB85,"")</f>
        <v>7.1294277929155312</v>
      </c>
      <c r="K84" s="18">
        <f>IF(NOT(Anime!AC85=""),Anime!AC85,"")</f>
        <v>6.2131355165550914</v>
      </c>
      <c r="L84" s="19">
        <f>IF(NOT(Anime!AD85=""),Anime!AD85,"")</f>
        <v>82</v>
      </c>
      <c r="M84" s="72">
        <f>IF(NOT(Anime!AE85=""),Anime!AE85,"")</f>
        <v>41650</v>
      </c>
      <c r="N84" s="21">
        <f>IF(NOT(Anime!AF85=""),Anime!AF85,"")</f>
        <v>109</v>
      </c>
      <c r="O84" s="129">
        <f>IF(NOT(Anime!AG85=""),Anime!AG85,"")</f>
        <v>41749</v>
      </c>
      <c r="P84" s="21">
        <f>IF(NOT(Anime!AH85=""),Anime!AH85,"")</f>
        <v>111</v>
      </c>
      <c r="Q84" s="21" t="str">
        <f>IF(NOT(Anime!AI85=""),Anime!AI85,"")</f>
        <v/>
      </c>
      <c r="R84" s="66" t="str">
        <f>IF(NOT(Anime!AJ85=""),Anime!AJ85,"")</f>
        <v>Kazari Rin</v>
      </c>
      <c r="S84" s="135" t="str">
        <f>IF(NOT(Anime!AK91=""),Anime!AK91,"")</f>
        <v/>
      </c>
    </row>
    <row r="85" spans="1:19" ht="16.5">
      <c r="A85" s="12" t="str">
        <f>IF(NOT(Anime!R86=""),Anime!R86,"")</f>
        <v>Nisemonogatari</v>
      </c>
      <c r="B85" s="14">
        <f>IF(NOT(Anime!S86=""),Anime!S86,"")</f>
        <v>2</v>
      </c>
      <c r="C85" s="14">
        <f>IF(NOT(Anime!T86=""),Anime!T86,"")</f>
        <v>11</v>
      </c>
      <c r="D85" s="68" t="str">
        <f>IF(NOT(Anime!U86=""),Anime!U86,"")</f>
        <v>A</v>
      </c>
      <c r="E85" s="131" t="str">
        <f>IF(NOT(Anime!W86=""),Anime!W86,"")</f>
        <v>Coalgirls</v>
      </c>
      <c r="F85" s="16">
        <f>IF(NOT(Anime!X86=""),Anime!X86,"")</f>
        <v>7</v>
      </c>
      <c r="G85" s="16">
        <f>IF(NOT(Anime!Y86=""),Anime!Y86,"")</f>
        <v>7.5</v>
      </c>
      <c r="H85" s="16">
        <f>IF(NOT(Anime!Z86=""),Anime!Z86,"")</f>
        <v>4.5</v>
      </c>
      <c r="I85" s="16">
        <f>IF(NOT(Anime!AA86=""),Anime!AA86,"")</f>
        <v>7.5</v>
      </c>
      <c r="J85" s="17">
        <f>IF(NOT(Anime!AB86=""),Anime!AB86,"")</f>
        <v>7.0653950953678475</v>
      </c>
      <c r="K85" s="18">
        <f>IF(NOT(Anime!AC86=""),Anime!AC86,"")</f>
        <v>6.1280984259091742</v>
      </c>
      <c r="L85" s="19">
        <f>IF(NOT(Anime!AD86=""),Anime!AD86,"")</f>
        <v>83</v>
      </c>
      <c r="M85" s="72">
        <f>IF(NOT(Anime!AE86=""),Anime!AE86,"")</f>
        <v>41345</v>
      </c>
      <c r="N85" s="21">
        <f>IF(NOT(Anime!AF86=""),Anime!AF86,"")</f>
        <v>30</v>
      </c>
      <c r="O85" s="129">
        <f>IF(NOT(Anime!AG86=""),Anime!AG86,"")</f>
        <v>41350</v>
      </c>
      <c r="P85" s="21">
        <f>IF(NOT(Anime!AH86=""),Anime!AH86,"")</f>
        <v>26</v>
      </c>
      <c r="Q85" s="21" t="str">
        <f>IF(NOT(Anime!AI86=""),Anime!AI86,"")</f>
        <v/>
      </c>
      <c r="R85" s="66" t="str">
        <f>IF(NOT(Anime!AJ86=""),Anime!AJ86,"")</f>
        <v>Oshino Shinobu</v>
      </c>
      <c r="S85" s="135" t="str">
        <f>IF(NOT(Anime!AK92=""),Anime!AK92,"")</f>
        <v>Split 2 cours because first doesn't deserve to be associated with the second</v>
      </c>
    </row>
    <row r="86" spans="1:19" ht="16.5">
      <c r="A86" s="12" t="str">
        <f>IF(NOT(Anime!R87=""),Anime!R87,"")</f>
        <v>Haiyore! Nyaruko-san</v>
      </c>
      <c r="B86" s="14">
        <f>IF(NOT(Anime!S87=""),Anime!S87,"")</f>
        <v>1</v>
      </c>
      <c r="C86" s="14">
        <f>IF(NOT(Anime!T87=""),Anime!T87,"")</f>
        <v>13</v>
      </c>
      <c r="D86" s="68" t="str">
        <f>IF(NOT(Anime!U87=""),Anime!U87,"")</f>
        <v>A</v>
      </c>
      <c r="E86" s="131" t="str">
        <f>IF(NOT(Anime!W87=""),Anime!W87,"")</f>
        <v>Hatsuyuki</v>
      </c>
      <c r="F86" s="16">
        <f>IF(NOT(Anime!X87=""),Anime!X87,"")</f>
        <v>6</v>
      </c>
      <c r="G86" s="16">
        <f>IF(NOT(Anime!Y87=""),Anime!Y87,"")</f>
        <v>7</v>
      </c>
      <c r="H86" s="16">
        <f>IF(NOT(Anime!Z87=""),Anime!Z87,"")</f>
        <v>6</v>
      </c>
      <c r="I86" s="16">
        <f>IF(NOT(Anime!AA87=""),Anime!AA87,"")</f>
        <v>8</v>
      </c>
      <c r="J86" s="17">
        <f>IF(NOT(Anime!AB87=""),Anime!AB87,"")</f>
        <v>7.0163487738419619</v>
      </c>
      <c r="K86" s="18">
        <f>IF(NOT(Anime!AC87=""),Anime!AC87,"")</f>
        <v>6.0629636330740011</v>
      </c>
      <c r="L86" s="19">
        <f>IF(NOT(Anime!AD87=""),Anime!AD87,"")</f>
        <v>84</v>
      </c>
      <c r="M86" s="72">
        <f>IF(NOT(Anime!AE87=""),Anime!AE87,"")</f>
        <v>41365</v>
      </c>
      <c r="N86" s="21">
        <f>IF(NOT(Anime!AF87=""),Anime!AF87,"")</f>
        <v>38</v>
      </c>
      <c r="O86" s="129">
        <f>IF(NOT(Anime!AG87=""),Anime!AG87,"")</f>
        <v>41369</v>
      </c>
      <c r="P86" s="21">
        <f>IF(NOT(Anime!AH87=""),Anime!AH87,"")</f>
        <v>37</v>
      </c>
      <c r="Q86" s="21" t="str">
        <f>IF(NOT(Anime!AI87=""),Anime!AI87,"")</f>
        <v/>
      </c>
      <c r="R86" s="66" t="str">
        <f>IF(NOT(Anime!AJ87=""),Anime!AJ87,"")</f>
        <v>Kuuko</v>
      </c>
      <c r="S86" s="135" t="str">
        <f>IF(NOT(Anime!AK93=""),Anime!AK93,"")</f>
        <v/>
      </c>
    </row>
    <row r="87" spans="1:19" ht="16.5">
      <c r="A87" s="12" t="str">
        <f>IF(NOT(Anime!R88=""),Anime!R88,"")</f>
        <v>Mahou Sensou</v>
      </c>
      <c r="B87" s="14">
        <f>IF(NOT(Anime!S88=""),Anime!S88,"")</f>
        <v>1</v>
      </c>
      <c r="C87" s="14">
        <f>IF(NOT(Anime!T88=""),Anime!T88,"")</f>
        <v>12</v>
      </c>
      <c r="D87" s="68" t="str">
        <f>IF(NOT(Anime!U88=""),Anime!U88,"")</f>
        <v>B</v>
      </c>
      <c r="E87" s="131" t="str">
        <f>IF(NOT(Anime!W88=""),Anime!W88,"")</f>
        <v>FFF</v>
      </c>
      <c r="F87" s="16">
        <f>IF(NOT(Anime!X88=""),Anime!X88,"")</f>
        <v>6.5</v>
      </c>
      <c r="G87" s="16">
        <f>IF(NOT(Anime!Y88=""),Anime!Y88,"")</f>
        <v>9</v>
      </c>
      <c r="H87" s="16">
        <f>IF(NOT(Anime!Z88=""),Anime!Z88,"")</f>
        <v>5</v>
      </c>
      <c r="I87" s="16">
        <f>IF(NOT(Anime!AA88=""),Anime!AA88,"")</f>
        <v>7</v>
      </c>
      <c r="J87" s="17">
        <f>IF(NOT(Anime!AB88=""),Anime!AB88,"")</f>
        <v>7.0013623978201638</v>
      </c>
      <c r="K87" s="18">
        <f>IF(NOT(Anime!AC88=""),Anime!AC88,"")</f>
        <v>6.0430613352632525</v>
      </c>
      <c r="L87" s="19">
        <f>IF(NOT(Anime!AD88=""),Anime!AD88,"")</f>
        <v>85</v>
      </c>
      <c r="M87" s="72">
        <f>IF(NOT(Anime!AE88=""),Anime!AE88,"")</f>
        <v>41650</v>
      </c>
      <c r="N87" s="21">
        <f>IF(NOT(Anime!AF88=""),Anime!AF88,"")</f>
        <v>109</v>
      </c>
      <c r="O87" s="129">
        <f>IF(NOT(Anime!AG88=""),Anime!AG88,"")</f>
        <v>41745</v>
      </c>
      <c r="P87" s="21">
        <f>IF(NOT(Anime!AH88=""),Anime!AH88,"")</f>
        <v>107</v>
      </c>
      <c r="Q87" s="21" t="str">
        <f>IF(NOT(Anime!AI88=""),Anime!AI88,"")</f>
        <v/>
      </c>
      <c r="R87" s="66" t="str">
        <f>IF(NOT(Anime!AJ88=""),Anime!AJ88,"")</f>
        <v>Aiba Mui</v>
      </c>
      <c r="S87" s="135" t="str">
        <f>IF(NOT(Anime!AK94=""),Anime!AK94,"")</f>
        <v>They tried a bit too hard. 3strange5me</v>
      </c>
    </row>
    <row r="88" spans="1:19" ht="16.5">
      <c r="A88" s="12" t="str">
        <f>IF(NOT(Anime!R89=""),Anime!R89,"")</f>
        <v>Space ☆ Dandy</v>
      </c>
      <c r="B88" s="14">
        <f>IF(NOT(Anime!S89=""),Anime!S89,"")</f>
        <v>1</v>
      </c>
      <c r="C88" s="14">
        <f>IF(NOT(Anime!T89=""),Anime!T89,"")</f>
        <v>13</v>
      </c>
      <c r="D88" s="68" t="str">
        <f>IF(NOT(Anime!U89=""),Anime!U89,"")</f>
        <v>B</v>
      </c>
      <c r="E88" s="131" t="str">
        <f>IF(NOT(Anime!W89=""),Anime!W89,"")</f>
        <v>HorribleSubs</v>
      </c>
      <c r="F88" s="16">
        <f>IF(NOT(Anime!X89=""),Anime!X89,"")</f>
        <v>5</v>
      </c>
      <c r="G88" s="16">
        <f>IF(NOT(Anime!Y89=""),Anime!Y89,"")</f>
        <v>7</v>
      </c>
      <c r="H88" s="16">
        <f>IF(NOT(Anime!Z89=""),Anime!Z89,"")</f>
        <v>4</v>
      </c>
      <c r="I88" s="16">
        <f>IF(NOT(Anime!AA89=""),Anime!AA89,"")</f>
        <v>9</v>
      </c>
      <c r="J88" s="17">
        <f>IF(NOT(Anime!AB89=""),Anime!AB89,"")</f>
        <v>6.9400544959128068</v>
      </c>
      <c r="K88" s="18">
        <f>IF(NOT(Anime!AC89=""),Anime!AC89,"")</f>
        <v>5.9616428442192859</v>
      </c>
      <c r="L88" s="19">
        <f>IF(NOT(Anime!AD89=""),Anime!AD89,"")</f>
        <v>86</v>
      </c>
      <c r="M88" s="72">
        <f>IF(NOT(Anime!AE89=""),Anime!AE89,"")</f>
        <v>41650</v>
      </c>
      <c r="N88" s="21">
        <f>IF(NOT(Anime!AF89=""),Anime!AF89,"")</f>
        <v>109</v>
      </c>
      <c r="O88" s="129">
        <f>IF(NOT(Anime!AG89=""),Anime!AG89,"")</f>
        <v>41744</v>
      </c>
      <c r="P88" s="21">
        <f>IF(NOT(Anime!AH89=""),Anime!AH89,"")</f>
        <v>106</v>
      </c>
      <c r="Q88" s="21" t="str">
        <f>IF(NOT(Anime!AI89=""),Anime!AI89,"")</f>
        <v/>
      </c>
      <c r="R88" s="66" t="str">
        <f>IF(NOT(Anime!AJ89=""),Anime!AJ89,"")</f>
        <v>Adelie</v>
      </c>
      <c r="S88" s="135" t="str">
        <f>IF(NOT(Anime!AK95=""),Anime!AK95,"")</f>
        <v/>
      </c>
    </row>
    <row r="89" spans="1:19" ht="16.5">
      <c r="A89" s="12" t="str">
        <f>IF(NOT(Anime!R90=""),Anime!R90,"")</f>
        <v>Naruto</v>
      </c>
      <c r="B89" s="14">
        <f>IF(NOT(Anime!S90=""),Anime!S90,"")</f>
        <v>5</v>
      </c>
      <c r="C89" s="14">
        <f>IF(NOT(Anime!T90=""),Anime!T90,"")</f>
        <v>220</v>
      </c>
      <c r="D89" s="68" t="str">
        <f>IF(NOT(Anime!U90=""),Anime!U90,"")</f>
        <v>--</v>
      </c>
      <c r="E89" s="131" t="str">
        <f>IF(NOT(Anime!W90=""),Anime!W90,"")</f>
        <v>-- NO DL --</v>
      </c>
      <c r="F89" s="16">
        <f>IF(NOT(Anime!X90=""),Anime!X90,"")</f>
        <v>7.5</v>
      </c>
      <c r="G89" s="16">
        <f>IF(NOT(Anime!Y90=""),Anime!Y90,"")</f>
        <v>8</v>
      </c>
      <c r="H89" s="16">
        <f>IF(NOT(Anime!Z90=""),Anime!Z90,"")</f>
        <v>0.5</v>
      </c>
      <c r="I89" s="16">
        <f>IF(NOT(Anime!AA90=""),Anime!AA90,"")</f>
        <v>7.5</v>
      </c>
      <c r="J89" s="17">
        <f>IF(NOT(Anime!AB90=""),Anime!AB90,"")</f>
        <v>6.9373297002724801</v>
      </c>
      <c r="K89" s="18">
        <f>IF(NOT(Anime!AC90=""),Anime!AC90,"")</f>
        <v>5.9580242446173335</v>
      </c>
      <c r="L89" s="19">
        <f>IF(NOT(Anime!AD90=""),Anime!AD90,"")</f>
        <v>87</v>
      </c>
      <c r="M89" s="72">
        <f>IF(NOT(Anime!AE90=""),Anime!AE90,"")</f>
        <v>41088</v>
      </c>
      <c r="N89" s="21">
        <f>IF(NOT(Anime!AF90=""),Anime!AF90,"")</f>
        <v>2</v>
      </c>
      <c r="O89" s="129">
        <f>IF(NOT(Anime!AG90=""),Anime!AG90,"")</f>
        <v>41108</v>
      </c>
      <c r="P89" s="21">
        <f>IF(NOT(Anime!AH90=""),Anime!AH90,"")</f>
        <v>2</v>
      </c>
      <c r="Q89" s="21" t="str">
        <f>IF(NOT(Anime!AI90=""),Anime!AI90,"")</f>
        <v/>
      </c>
      <c r="R89" s="66" t="str">
        <f>IF(NOT(Anime!AJ90=""),Anime!AJ90,"")</f>
        <v>Hyuuga Hinata</v>
      </c>
      <c r="S89" s="135" t="str">
        <f>IF(NOT(Anime!AK96=""),Anime!AK96,"")</f>
        <v/>
      </c>
    </row>
    <row r="90" spans="1:19" ht="16.5">
      <c r="A90" s="12" t="str">
        <f>IF(NOT(Anime!R91=""),Anime!R91,"")</f>
        <v>Danshi Koukousei no Nichijou</v>
      </c>
      <c r="B90" s="14">
        <f>IF(NOT(Anime!S91=""),Anime!S91,"")</f>
        <v>1</v>
      </c>
      <c r="C90" s="14">
        <f>IF(NOT(Anime!T91=""),Anime!T91,"")</f>
        <v>12</v>
      </c>
      <c r="D90" s="68" t="str">
        <f>IF(NOT(Anime!U91=""),Anime!U91,"")</f>
        <v>A</v>
      </c>
      <c r="E90" s="131" t="str">
        <f>IF(NOT(Anime!W91=""),Anime!W91,"")</f>
        <v>AnimeNOW</v>
      </c>
      <c r="F90" s="16">
        <f>IF(NOT(Anime!X91=""),Anime!X91,"")</f>
        <v>4</v>
      </c>
      <c r="G90" s="16">
        <f>IF(NOT(Anime!Y91=""),Anime!Y91,"")</f>
        <v>8</v>
      </c>
      <c r="H90" s="16">
        <f>IF(NOT(Anime!Z91=""),Anime!Z91,"")</f>
        <v>3</v>
      </c>
      <c r="I90" s="16">
        <f>IF(NOT(Anime!AA91=""),Anime!AA91,"")</f>
        <v>9.5</v>
      </c>
      <c r="J90" s="17">
        <f>IF(NOT(Anime!AB91=""),Anime!AB91,"")</f>
        <v>6.9168937329700269</v>
      </c>
      <c r="K90" s="18">
        <f>IF(NOT(Anime!AC91=""),Anime!AC91,"")</f>
        <v>5.9308847476026765</v>
      </c>
      <c r="L90" s="19">
        <f>IF(NOT(Anime!AD91=""),Anime!AD91,"")</f>
        <v>88</v>
      </c>
      <c r="M90" s="72">
        <f>IF(NOT(Anime!AE91=""),Anime!AE91,"")</f>
        <v>41443</v>
      </c>
      <c r="N90" s="21">
        <f>IF(NOT(Anime!AF91=""),Anime!AF91,"")</f>
        <v>56</v>
      </c>
      <c r="O90" s="129">
        <f>IF(NOT(Anime!AG91=""),Anime!AG91,"")</f>
        <v>41444</v>
      </c>
      <c r="P90" s="21">
        <f>IF(NOT(Anime!AH91=""),Anime!AH91,"")</f>
        <v>47</v>
      </c>
      <c r="Q90" s="21" t="str">
        <f>IF(NOT(Anime!AI91=""),Anime!AI91,"")</f>
        <v/>
      </c>
      <c r="R90" s="66" t="str">
        <f>IF(NOT(Anime!AJ91=""),Anime!AJ91,"")</f>
        <v>Literary Girl</v>
      </c>
      <c r="S90" s="135" t="str">
        <f>IF(NOT(Anime!AK97=""),Anime!AK97,"")</f>
        <v>The ultimate slice of life. Pretty funny, but art style bothers me</v>
      </c>
    </row>
    <row r="91" spans="1:19" ht="16.5">
      <c r="A91" s="12" t="str">
        <f>IF(NOT(Anime!R92=""),Anime!R92,"")</f>
        <v>Sword Art Online (second half)</v>
      </c>
      <c r="B91" s="14">
        <f>IF(NOT(Anime!S92=""),Anime!S92,"")</f>
        <v>2</v>
      </c>
      <c r="C91" s="14">
        <f>IF(NOT(Anime!T92=""),Anime!T92,"")</f>
        <v>11</v>
      </c>
      <c r="D91" s="68" t="str">
        <f>IF(NOT(Anime!U92=""),Anime!U92,"")</f>
        <v>A</v>
      </c>
      <c r="E91" s="131" t="str">
        <f>IF(NOT(Anime!W92=""),Anime!W92,"")</f>
        <v>Coalgirls</v>
      </c>
      <c r="F91" s="16">
        <f>IF(NOT(Anime!X92=""),Anime!X92,"")</f>
        <v>6.5</v>
      </c>
      <c r="G91" s="16">
        <f>IF(NOT(Anime!Y92=""),Anime!Y92,"")</f>
        <v>7</v>
      </c>
      <c r="H91" s="16">
        <f>IF(NOT(Anime!Z92=""),Anime!Z92,"")</f>
        <v>7.5</v>
      </c>
      <c r="I91" s="16">
        <f>IF(NOT(Anime!AA92=""),Anime!AA92,"")</f>
        <v>7</v>
      </c>
      <c r="J91" s="17">
        <f>IF(NOT(Anime!AB92=""),Anime!AB92,"")</f>
        <v>6.8896457765667574</v>
      </c>
      <c r="K91" s="18">
        <f>IF(NOT(Anime!AC92=""),Anime!AC92,"")</f>
        <v>5.8946987515831379</v>
      </c>
      <c r="L91" s="19">
        <f>IF(NOT(Anime!AD92=""),Anime!AD92,"")</f>
        <v>89</v>
      </c>
      <c r="M91" s="72">
        <f>IF(NOT(Anime!AE92=""),Anime!AE92,"")</f>
        <v>41250</v>
      </c>
      <c r="N91" s="21">
        <f>IF(NOT(Anime!AF92=""),Anime!AF92,"")</f>
        <v>6</v>
      </c>
      <c r="O91" s="129">
        <f>IF(NOT(Anime!AG92=""),Anime!AG92,"")</f>
        <v>41265</v>
      </c>
      <c r="P91" s="21">
        <f>IF(NOT(Anime!AH92=""),Anime!AH92,"")</f>
        <v>9</v>
      </c>
      <c r="Q91" s="21" t="str">
        <f>IF(NOT(Anime!AI92=""),Anime!AI92,"")</f>
        <v/>
      </c>
      <c r="R91" s="66" t="str">
        <f>IF(NOT(Anime!AJ92=""),Anime!AJ92,"")</f>
        <v>Sakuya</v>
      </c>
      <c r="S91" s="135" t="str">
        <f>IF(NOT(Anime!AK98=""),Anime!AK98,"")</f>
        <v>Interesting animation style, nice break from "normal" anime</v>
      </c>
    </row>
    <row r="92" spans="1:19" ht="16.5">
      <c r="A92" s="12" t="str">
        <f>IF(NOT(Anime!R93=""),Anime!R93,"")</f>
        <v>Watashi ga Motenai no wa Dou Kangaetemo Omaera no Warui!</v>
      </c>
      <c r="B92" s="14">
        <f>IF(NOT(Anime!S93=""),Anime!S93,"")</f>
        <v>1</v>
      </c>
      <c r="C92" s="14">
        <f>IF(NOT(Anime!T93=""),Anime!T93,"")</f>
        <v>12</v>
      </c>
      <c r="D92" s="68" t="str">
        <f>IF(NOT(Anime!U93=""),Anime!U93,"")</f>
        <v>A</v>
      </c>
      <c r="E92" s="131" t="str">
        <f>IF(NOT(Anime!W93=""),Anime!W93,"")</f>
        <v>FTW</v>
      </c>
      <c r="F92" s="16">
        <f>IF(NOT(Anime!X93=""),Anime!X93,"")</f>
        <v>6.5</v>
      </c>
      <c r="G92" s="16">
        <f>IF(NOT(Anime!Y93=""),Anime!Y93,"")</f>
        <v>7</v>
      </c>
      <c r="H92" s="16">
        <f>IF(NOT(Anime!Z93=""),Anime!Z93,"")</f>
        <v>4.5</v>
      </c>
      <c r="I92" s="16">
        <f>IF(NOT(Anime!AA93=""),Anime!AA93,"")</f>
        <v>7.5</v>
      </c>
      <c r="J92" s="17">
        <f>IF(NOT(Anime!AB93=""),Anime!AB93,"")</f>
        <v>6.8228882833787461</v>
      </c>
      <c r="K92" s="18">
        <f>IF(NOT(Anime!AC93=""),Anime!AC93,"")</f>
        <v>5.806043061335262</v>
      </c>
      <c r="L92" s="19">
        <f>IF(NOT(Anime!AD93=""),Anime!AD93,"")</f>
        <v>90</v>
      </c>
      <c r="M92" s="72">
        <f>IF(NOT(Anime!AE93=""),Anime!AE93,"")</f>
        <v>41464</v>
      </c>
      <c r="N92" s="21">
        <f>IF(NOT(Anime!AF93=""),Anime!AF93,"")</f>
        <v>69</v>
      </c>
      <c r="O92" s="129">
        <f>IF(NOT(Anime!AG93=""),Anime!AG93,"")</f>
        <v>41543</v>
      </c>
      <c r="P92" s="21">
        <f>IF(NOT(Anime!AH93=""),Anime!AH93,"")</f>
        <v>77</v>
      </c>
      <c r="Q92" s="21" t="str">
        <f>IF(NOT(Anime!AI93=""),Anime!AI93,"")</f>
        <v/>
      </c>
      <c r="R92" s="66" t="str">
        <f>IF(NOT(Anime!AJ93=""),Anime!AJ93,"")</f>
        <v>Kii</v>
      </c>
      <c r="S92" s="135" t="str">
        <f>IF(NOT(Anime!AK99=""),Anime!AK99,"")</f>
        <v>Pretty relaxing to watch, got better near the end</v>
      </c>
    </row>
    <row r="93" spans="1:19" ht="16.5">
      <c r="A93" s="12" t="str">
        <f>IF(NOT(Anime!R94=""),Anime!R94,"")</f>
        <v>Red Data Girl</v>
      </c>
      <c r="B93" s="14">
        <f>IF(NOT(Anime!S94=""),Anime!S94,"")</f>
        <v>1</v>
      </c>
      <c r="C93" s="14">
        <f>IF(NOT(Anime!T94=""),Anime!T94,"")</f>
        <v>12</v>
      </c>
      <c r="D93" s="68" t="str">
        <f>IF(NOT(Anime!U94=""),Anime!U94,"")</f>
        <v>A</v>
      </c>
      <c r="E93" s="131" t="str">
        <f>IF(NOT(Anime!W94=""),Anime!W94,"")</f>
        <v>HorribleSubs</v>
      </c>
      <c r="F93" s="16">
        <f>IF(NOT(Anime!X94=""),Anime!X94,"")</f>
        <v>7</v>
      </c>
      <c r="G93" s="16">
        <f>IF(NOT(Anime!Y94=""),Anime!Y94,"")</f>
        <v>6</v>
      </c>
      <c r="H93" s="16">
        <f>IF(NOT(Anime!Z94=""),Anime!Z94,"")</f>
        <v>4.5</v>
      </c>
      <c r="I93" s="16">
        <f>IF(NOT(Anime!AA94=""),Anime!AA94,"")</f>
        <v>7.5</v>
      </c>
      <c r="J93" s="17">
        <f>IF(NOT(Anime!AB94=""),Anime!AB94,"")</f>
        <v>6.807901907356948</v>
      </c>
      <c r="K93" s="18">
        <f>IF(NOT(Anime!AC94=""),Anime!AC94,"")</f>
        <v>5.786140763524517</v>
      </c>
      <c r="L93" s="19">
        <f>IF(NOT(Anime!AD94=""),Anime!AD94,"")</f>
        <v>91</v>
      </c>
      <c r="M93" s="72">
        <f>IF(NOT(Anime!AE94=""),Anime!AE94,"")</f>
        <v>41379</v>
      </c>
      <c r="N93" s="21">
        <f>IF(NOT(Anime!AF94=""),Anime!AF94,"")</f>
        <v>46</v>
      </c>
      <c r="O93" s="129">
        <f>IF(NOT(Anime!AG94=""),Anime!AG94,"")</f>
        <v>41464</v>
      </c>
      <c r="P93" s="21">
        <f>IF(NOT(Anime!AH94=""),Anime!AH94,"")</f>
        <v>60</v>
      </c>
      <c r="Q93" s="21" t="str">
        <f>IF(NOT(Anime!AI94=""),Anime!AI94,"")</f>
        <v/>
      </c>
      <c r="R93" s="66" t="str">
        <f>IF(NOT(Anime!AJ94=""),Anime!AJ94,"")</f>
        <v>Himegami</v>
      </c>
      <c r="S93" s="135" t="str">
        <f>IF(NOT(Anime!AK100=""),Anime!AK100,"")</f>
        <v/>
      </c>
    </row>
    <row r="94" spans="1:19" ht="16.5">
      <c r="A94" s="12" t="str">
        <f>IF(NOT(Anime!R95=""),Anime!R95,"")</f>
        <v>Photokano</v>
      </c>
      <c r="B94" s="14">
        <f>IF(NOT(Anime!S95=""),Anime!S95,"")</f>
        <v>1</v>
      </c>
      <c r="C94" s="14">
        <f>IF(NOT(Anime!T95=""),Anime!T95,"")</f>
        <v>13</v>
      </c>
      <c r="D94" s="68" t="str">
        <f>IF(NOT(Anime!U95=""),Anime!U95,"")</f>
        <v>A</v>
      </c>
      <c r="E94" s="131" t="str">
        <f>IF(NOT(Anime!W95=""),Anime!W95,"")</f>
        <v>HorribleSubs</v>
      </c>
      <c r="F94" s="16">
        <f>IF(NOT(Anime!X95=""),Anime!X95,"")</f>
        <v>6.5</v>
      </c>
      <c r="G94" s="16">
        <f>IF(NOT(Anime!Y95=""),Anime!Y95,"")</f>
        <v>7</v>
      </c>
      <c r="H94" s="16">
        <f>IF(NOT(Anime!Z95=""),Anime!Z95,"")</f>
        <v>6.5</v>
      </c>
      <c r="I94" s="16">
        <f>IF(NOT(Anime!AA95=""),Anime!AA95,"")</f>
        <v>7</v>
      </c>
      <c r="J94" s="17">
        <f>IF(NOT(Anime!AB95=""),Anime!AB95,"")</f>
        <v>6.7970027247956404</v>
      </c>
      <c r="K94" s="18">
        <f>IF(NOT(Anime!AC95=""),Anime!AC95,"")</f>
        <v>5.7716663651166993</v>
      </c>
      <c r="L94" s="19">
        <f>IF(NOT(Anime!AD95=""),Anime!AD95,"")</f>
        <v>92</v>
      </c>
      <c r="M94" s="72">
        <f>IF(NOT(Anime!AE95=""),Anime!AE95,"")</f>
        <v>41371</v>
      </c>
      <c r="N94" s="21">
        <f>IF(NOT(Anime!AF95=""),Anime!AF95,"")</f>
        <v>44</v>
      </c>
      <c r="O94" s="129">
        <f>IF(NOT(Anime!AG95=""),Anime!AG95,"")</f>
        <v>41453</v>
      </c>
      <c r="P94" s="21">
        <f>IF(NOT(Anime!AH95=""),Anime!AH95,"")</f>
        <v>52</v>
      </c>
      <c r="Q94" s="21" t="str">
        <f>IF(NOT(Anime!AI95=""),Anime!AI95,"")</f>
        <v/>
      </c>
      <c r="R94" s="66" t="str">
        <f>IF(NOT(Anime!AJ95=""),Anime!AJ95,"")</f>
        <v>Sakura Mai</v>
      </c>
      <c r="S94" s="135" t="str">
        <f>IF(NOT(Anime!AK101=""),Anime!AK101,"")</f>
        <v/>
      </c>
    </row>
    <row r="95" spans="1:19" ht="16.5">
      <c r="A95" s="12" t="str">
        <f>IF(NOT(Anime!R96=""),Anime!R96,"")</f>
        <v>Yuyushiki</v>
      </c>
      <c r="B95" s="14">
        <f>IF(NOT(Anime!S96=""),Anime!S96,"")</f>
        <v>1</v>
      </c>
      <c r="C95" s="14">
        <f>IF(NOT(Anime!T96=""),Anime!T96,"")</f>
        <v>12</v>
      </c>
      <c r="D95" s="68" t="str">
        <f>IF(NOT(Anime!U96=""),Anime!U96,"")</f>
        <v>A</v>
      </c>
      <c r="E95" s="131" t="str">
        <f>IF(NOT(Anime!W96=""),Anime!W96,"")</f>
        <v>Commie</v>
      </c>
      <c r="F95" s="16">
        <f>IF(NOT(Anime!X96=""),Anime!X96,"")</f>
        <v>4</v>
      </c>
      <c r="G95" s="16">
        <f>IF(NOT(Anime!Y96=""),Anime!Y96,"")</f>
        <v>7</v>
      </c>
      <c r="H95" s="16">
        <f>IF(NOT(Anime!Z96=""),Anime!Z96,"")</f>
        <v>8</v>
      </c>
      <c r="I95" s="16">
        <f>IF(NOT(Anime!AA96=""),Anime!AA96,"")</f>
        <v>8.5</v>
      </c>
      <c r="J95" s="17">
        <f>IF(NOT(Anime!AB96=""),Anime!AB96,"")</f>
        <v>6.7861035422343328</v>
      </c>
      <c r="K95" s="18">
        <f>IF(NOT(Anime!AC96=""),Anime!AC96,"")</f>
        <v>5.7571919667088842</v>
      </c>
      <c r="L95" s="19">
        <f>IF(NOT(Anime!AD96=""),Anime!AD96,"")</f>
        <v>93</v>
      </c>
      <c r="M95" s="72">
        <f>IF(NOT(Anime!AE96=""),Anime!AE96,"")</f>
        <v>41449</v>
      </c>
      <c r="N95" s="21">
        <f>IF(NOT(Anime!AF96=""),Anime!AF96,"")</f>
        <v>58</v>
      </c>
      <c r="O95" s="129">
        <f>IF(NOT(Anime!AG96=""),Anime!AG96,"")</f>
        <v>41451</v>
      </c>
      <c r="P95" s="21">
        <f>IF(NOT(Anime!AH96=""),Anime!AH96,"")</f>
        <v>49</v>
      </c>
      <c r="Q95" s="21" t="str">
        <f>IF(NOT(Anime!AI96=""),Anime!AI96,"")</f>
        <v/>
      </c>
      <c r="R95" s="66" t="str">
        <f>IF(NOT(Anime!AJ96=""),Anime!AJ96,"")</f>
        <v>Hinata Yukari</v>
      </c>
      <c r="S95" s="135" t="str">
        <f>IF(NOT(Anime!AK102=""),Anime!AK102,"")</f>
        <v/>
      </c>
    </row>
    <row r="96" spans="1:19" ht="16.5">
      <c r="A96" s="12" t="str">
        <f>IF(NOT(Anime!R97=""),Anime!R97,"")</f>
        <v>Nichijou</v>
      </c>
      <c r="B96" s="14">
        <f>IF(NOT(Anime!S97=""),Anime!S97,"")</f>
        <v>1</v>
      </c>
      <c r="C96" s="14">
        <f>IF(NOT(Anime!T97=""),Anime!T97,"")</f>
        <v>26</v>
      </c>
      <c r="D96" s="68" t="str">
        <f>IF(NOT(Anime!U97=""),Anime!U97,"")</f>
        <v>A</v>
      </c>
      <c r="E96" s="131" t="str">
        <f>IF(NOT(Anime!W97=""),Anime!W97,"")</f>
        <v>Doki</v>
      </c>
      <c r="F96" s="16">
        <f>IF(NOT(Anime!X97=""),Anime!X97,"")</f>
        <v>2</v>
      </c>
      <c r="G96" s="16">
        <f>IF(NOT(Anime!Y97=""),Anime!Y97,"")</f>
        <v>8.5</v>
      </c>
      <c r="H96" s="16">
        <f>IF(NOT(Anime!Z97=""),Anime!Z97,"")</f>
        <v>7</v>
      </c>
      <c r="I96" s="16">
        <f>IF(NOT(Anime!AA97=""),Anime!AA97,"")</f>
        <v>9.5</v>
      </c>
      <c r="J96" s="17">
        <f>IF(NOT(Anime!AB97=""),Anime!AB97,"")</f>
        <v>6.746594005449591</v>
      </c>
      <c r="K96" s="18">
        <f>IF(NOT(Anime!AC97=""),Anime!AC97,"")</f>
        <v>5.7047222724805504</v>
      </c>
      <c r="L96" s="19">
        <f>IF(NOT(Anime!AD97=""),Anime!AD97,"")</f>
        <v>94</v>
      </c>
      <c r="M96" s="72">
        <f>IF(NOT(Anime!AE97=""),Anime!AE97,"")</f>
        <v>41291</v>
      </c>
      <c r="N96" s="21">
        <f>IF(NOT(Anime!AF97=""),Anime!AF97,"")</f>
        <v>17</v>
      </c>
      <c r="O96" s="129">
        <f>IF(NOT(Anime!AG97=""),Anime!AG97,"")</f>
        <v>41298</v>
      </c>
      <c r="P96" s="21">
        <f>IF(NOT(Anime!AH97=""),Anime!AH97,"")</f>
        <v>16</v>
      </c>
      <c r="Q96" s="21" t="str">
        <f>IF(NOT(Anime!AI97=""),Anime!AI97,"")</f>
        <v/>
      </c>
      <c r="R96" s="66" t="str">
        <f>IF(NOT(Anime!AJ97=""),Anime!AJ97,"")</f>
        <v>Minakami Mai</v>
      </c>
      <c r="S96" s="135" t="str">
        <f>IF(NOT(Anime!AK103=""),Anime!AK103,"")</f>
        <v/>
      </c>
    </row>
    <row r="97" spans="1:19" ht="16.5">
      <c r="A97" s="12" t="str">
        <f>IF(NOT(Anime!R98=""),Anime!R98,"")</f>
        <v>Panty &amp; Stocking with Garterbelt</v>
      </c>
      <c r="B97" s="14">
        <f>IF(NOT(Anime!S98=""),Anime!S98,"")</f>
        <v>1</v>
      </c>
      <c r="C97" s="14">
        <f>IF(NOT(Anime!T98=""),Anime!T98,"")</f>
        <v>13</v>
      </c>
      <c r="D97" s="68" t="str">
        <f>IF(NOT(Anime!U98=""),Anime!U98,"")</f>
        <v>A</v>
      </c>
      <c r="E97" s="131" t="str">
        <f>IF(NOT(Anime!W98=""),Anime!W98,"")</f>
        <v>WhyNot</v>
      </c>
      <c r="F97" s="16">
        <f>IF(NOT(Anime!X98=""),Anime!X98,"")</f>
        <v>5.5</v>
      </c>
      <c r="G97" s="16">
        <f>IF(NOT(Anime!Y98=""),Anime!Y98,"")</f>
        <v>7</v>
      </c>
      <c r="H97" s="16">
        <f>IF(NOT(Anime!Z98=""),Anime!Z98,"")</f>
        <v>4.5</v>
      </c>
      <c r="I97" s="16">
        <f>IF(NOT(Anime!AA98=""),Anime!AA98,"")</f>
        <v>8</v>
      </c>
      <c r="J97" s="17">
        <f>IF(NOT(Anime!AB98=""),Anime!AB98,"")</f>
        <v>6.7207084468664853</v>
      </c>
      <c r="K97" s="18">
        <f>IF(NOT(Anime!AC98=""),Anime!AC98,"")</f>
        <v>5.6703455762619877</v>
      </c>
      <c r="L97" s="19">
        <f>IF(NOT(Anime!AD98=""),Anime!AD98,"")</f>
        <v>95</v>
      </c>
      <c r="M97" s="72">
        <f>IF(NOT(Anime!AE98=""),Anime!AE98,"")</f>
        <v>41470</v>
      </c>
      <c r="N97" s="21">
        <f>IF(NOT(Anime!AF98=""),Anime!AF98,"")</f>
        <v>74</v>
      </c>
      <c r="O97" s="129">
        <f>IF(NOT(Anime!AG98=""),Anime!AG98,"")</f>
        <v>41482</v>
      </c>
      <c r="P97" s="21">
        <f>IF(NOT(Anime!AH98=""),Anime!AH98,"")</f>
        <v>65</v>
      </c>
      <c r="Q97" s="21" t="str">
        <f>IF(NOT(Anime!AI98=""),Anime!AI98,"")</f>
        <v/>
      </c>
      <c r="R97" s="66" t="str">
        <f>IF(NOT(Anime!AJ98=""),Anime!AJ98,"")</f>
        <v>Stocking Anarchy</v>
      </c>
      <c r="S97" s="135" t="str">
        <f>IF(NOT(Anime!AK104=""),Anime!AK104,"")</f>
        <v>Like Nichibros, much better than ratings suggest. Also very funny to watch</v>
      </c>
    </row>
    <row r="98" spans="1:19" ht="16.5">
      <c r="A98" s="12" t="str">
        <f>IF(NOT(Anime!R99=""),Anime!R99,"")</f>
        <v>Nekmonogatari Black</v>
      </c>
      <c r="B98" s="14">
        <f>IF(NOT(Anime!S99=""),Anime!S99,"")</f>
        <v>1</v>
      </c>
      <c r="C98" s="14">
        <f>IF(NOT(Anime!T99=""),Anime!T99,"")</f>
        <v>4</v>
      </c>
      <c r="D98" s="68" t="str">
        <f>IF(NOT(Anime!U99=""),Anime!U99,"")</f>
        <v>A</v>
      </c>
      <c r="E98" s="131" t="str">
        <f>IF(NOT(Anime!W99=""),Anime!W99,"")</f>
        <v>UTW-Mazui</v>
      </c>
      <c r="F98" s="16">
        <f>IF(NOT(Anime!X99=""),Anime!X99,"")</f>
        <v>7</v>
      </c>
      <c r="G98" s="16">
        <f>IF(NOT(Anime!Y99=""),Anime!Y99,"")</f>
        <v>6.5</v>
      </c>
      <c r="H98" s="16">
        <f>IF(NOT(Anime!Z99=""),Anime!Z99,"")</f>
        <v>2.5</v>
      </c>
      <c r="I98" s="16">
        <f>IF(NOT(Anime!AA99=""),Anime!AA99,"")</f>
        <v>7.5</v>
      </c>
      <c r="J98" s="17">
        <f>IF(NOT(Anime!AB99=""),Anime!AB99,"")</f>
        <v>6.708446866485013</v>
      </c>
      <c r="K98" s="18">
        <f>IF(NOT(Anime!AC99=""),Anime!AC99,"")</f>
        <v>5.6540618780531915</v>
      </c>
      <c r="L98" s="19">
        <f>IF(NOT(Anime!AD99=""),Anime!AD99,"")</f>
        <v>96</v>
      </c>
      <c r="M98" s="72">
        <f>IF(NOT(Anime!AE99=""),Anime!AE99,"")</f>
        <v>41465</v>
      </c>
      <c r="N98" s="21">
        <f>IF(NOT(Anime!AF99=""),Anime!AF99,"")</f>
        <v>71</v>
      </c>
      <c r="O98" s="129">
        <f>IF(NOT(Anime!AG99=""),Anime!AG99,"")</f>
        <v>41465</v>
      </c>
      <c r="P98" s="21">
        <f>IF(NOT(Anime!AH99=""),Anime!AH99,"")</f>
        <v>61</v>
      </c>
      <c r="Q98" s="21" t="str">
        <f>IF(NOT(Anime!AI99=""),Anime!AI99,"")</f>
        <v/>
      </c>
      <c r="R98" s="66" t="str">
        <f>IF(NOT(Anime!AJ99=""),Anime!AJ99,"")</f>
        <v>Oshino Shinobu</v>
      </c>
      <c r="S98" s="135" t="str">
        <f>IF(NOT(Anime!AK105=""),Anime!AK105,"")</f>
        <v/>
      </c>
    </row>
    <row r="99" spans="1:19" ht="16.5">
      <c r="A99" s="12" t="str">
        <f>IF(NOT(Anime!R100=""),Anime!R100,"")</f>
        <v>Haiyore! Nyaruko-san W</v>
      </c>
      <c r="B99" s="14">
        <f>IF(NOT(Anime!S100=""),Anime!S100,"")</f>
        <v>2</v>
      </c>
      <c r="C99" s="14">
        <f>IF(NOT(Anime!T100=""),Anime!T100,"")</f>
        <v>12</v>
      </c>
      <c r="D99" s="68" t="str">
        <f>IF(NOT(Anime!U100=""),Anime!U100,"")</f>
        <v>A</v>
      </c>
      <c r="E99" s="131" t="str">
        <f>IF(NOT(Anime!W100=""),Anime!W100,"")</f>
        <v>Final8</v>
      </c>
      <c r="F99" s="16">
        <f>IF(NOT(Anime!X100=""),Anime!X100,"")</f>
        <v>5.5</v>
      </c>
      <c r="G99" s="16">
        <f>IF(NOT(Anime!Y100=""),Anime!Y100,"")</f>
        <v>7</v>
      </c>
      <c r="H99" s="16">
        <f>IF(NOT(Anime!Z100=""),Anime!Z100,"")</f>
        <v>6.5</v>
      </c>
      <c r="I99" s="16">
        <f>IF(NOT(Anime!AA100=""),Anime!AA100,"")</f>
        <v>7.5</v>
      </c>
      <c r="J99" s="17">
        <f>IF(NOT(Anime!AB100=""),Anime!AB100,"")</f>
        <v>6.6948228882833787</v>
      </c>
      <c r="K99" s="18">
        <f>IF(NOT(Anime!AC100=""),Anime!AC100,"")</f>
        <v>5.6359688800434222</v>
      </c>
      <c r="L99" s="19">
        <f>IF(NOT(Anime!AD100=""),Anime!AD100,"")</f>
        <v>97</v>
      </c>
      <c r="M99" s="72">
        <f>IF(NOT(Anime!AE100=""),Anime!AE100,"")</f>
        <v>41371</v>
      </c>
      <c r="N99" s="21">
        <f>IF(NOT(Anime!AF100=""),Anime!AF100,"")</f>
        <v>44</v>
      </c>
      <c r="O99" s="129">
        <f>IF(NOT(Anime!AG100=""),Anime!AG100,"")</f>
        <v>41455</v>
      </c>
      <c r="P99" s="21">
        <f>IF(NOT(Anime!AH100=""),Anime!AH100,"")</f>
        <v>56</v>
      </c>
      <c r="Q99" s="21" t="str">
        <f>IF(NOT(Anime!AI100=""),Anime!AI100,"")</f>
        <v/>
      </c>
      <c r="R99" s="66" t="str">
        <f>IF(NOT(Anime!AJ100=""),Anime!AJ100,"")</f>
        <v>Kuuko</v>
      </c>
      <c r="S99" s="135" t="str">
        <f>IF(NOT(Anime!AK106=""),Anime!AK106,"")</f>
        <v>Too short to give accurate ratings, but entertaining nonetheless</v>
      </c>
    </row>
    <row r="100" spans="1:19" ht="16.5">
      <c r="A100" s="12" t="str">
        <f>IF(NOT(Anime!R101=""),Anime!R101,"")</f>
        <v>Shinryaku! Ika Musume</v>
      </c>
      <c r="B100" s="14">
        <f>IF(NOT(Anime!S101=""),Anime!S101,"")</f>
        <v>1</v>
      </c>
      <c r="C100" s="14">
        <f>IF(NOT(Anime!T101=""),Anime!T101,"")</f>
        <v>12</v>
      </c>
      <c r="D100" s="68" t="str">
        <f>IF(NOT(Anime!U101=""),Anime!U101,"")</f>
        <v>A</v>
      </c>
      <c r="E100" s="131" t="str">
        <f>IF(NOT(Anime!W101=""),Anime!W101,"")</f>
        <v>FFF</v>
      </c>
      <c r="F100" s="16">
        <f>IF(NOT(Anime!X101=""),Anime!X101,"")</f>
        <v>3</v>
      </c>
      <c r="G100" s="16">
        <f>IF(NOT(Anime!Y101=""),Anime!Y101,"")</f>
        <v>8</v>
      </c>
      <c r="H100" s="16">
        <f>IF(NOT(Anime!Z101=""),Anime!Z101,"")</f>
        <v>9</v>
      </c>
      <c r="I100" s="16">
        <f>IF(NOT(Anime!AA101=""),Anime!AA101,"")</f>
        <v>8</v>
      </c>
      <c r="J100" s="17">
        <f>IF(NOT(Anime!AB101=""),Anime!AB101,"")</f>
        <v>6.5258855585831075</v>
      </c>
      <c r="K100" s="18">
        <f>IF(NOT(Anime!AC101=""),Anime!AC101,"")</f>
        <v>5.4116157047222737</v>
      </c>
      <c r="L100" s="19">
        <f>IF(NOT(Anime!AD101=""),Anime!AD101,"")</f>
        <v>98</v>
      </c>
      <c r="M100" s="72">
        <f>IF(NOT(Anime!AE101=""),Anime!AE101,"")</f>
        <v>41288</v>
      </c>
      <c r="N100" s="21">
        <f>IF(NOT(Anime!AF101=""),Anime!AF101,"")</f>
        <v>14</v>
      </c>
      <c r="O100" s="129">
        <f>IF(NOT(Anime!AG101=""),Anime!AG101,"")</f>
        <v>41288</v>
      </c>
      <c r="P100" s="21">
        <f>IF(NOT(Anime!AH101=""),Anime!AH101,"")</f>
        <v>12</v>
      </c>
      <c r="Q100" s="21" t="str">
        <f>IF(NOT(Anime!AI101=""),Anime!AI101,"")</f>
        <v/>
      </c>
      <c r="R100" s="66" t="str">
        <f>IF(NOT(Anime!AJ101=""),Anime!AJ101,"")</f>
        <v>Aizawa Chizuru</v>
      </c>
      <c r="S100" s="135" t="str">
        <f>IF(NOT(Anime!AK107=""),Anime!AK107,"")</f>
        <v/>
      </c>
    </row>
    <row r="101" spans="1:19" ht="16.5">
      <c r="A101" s="12" t="str">
        <f>IF(NOT(Anime!R102=""),Anime!R102,"")</f>
        <v>Super Sonico the Animation</v>
      </c>
      <c r="B101" s="14">
        <f>IF(NOT(Anime!S102=""),Anime!S102,"")</f>
        <v>1</v>
      </c>
      <c r="C101" s="14">
        <f>IF(NOT(Anime!T102=""),Anime!T102,"")</f>
        <v>12</v>
      </c>
      <c r="D101" s="68" t="str">
        <f>IF(NOT(Anime!U102=""),Anime!U102,"")</f>
        <v>B</v>
      </c>
      <c r="E101" s="131" t="str">
        <f>IF(NOT(Anime!W102=""),Anime!W102,"")</f>
        <v>HorribleSubs</v>
      </c>
      <c r="F101" s="16">
        <f>IF(NOT(Anime!X102=""),Anime!X102,"")</f>
        <v>5.5</v>
      </c>
      <c r="G101" s="16">
        <f>IF(NOT(Anime!Y102=""),Anime!Y102,"")</f>
        <v>7</v>
      </c>
      <c r="H101" s="16">
        <f>IF(NOT(Anime!Z102=""),Anime!Z102,"")</f>
        <v>4.5</v>
      </c>
      <c r="I101" s="16">
        <f>IF(NOT(Anime!AA102=""),Anime!AA102,"")</f>
        <v>7.5</v>
      </c>
      <c r="J101" s="17">
        <f>IF(NOT(Anime!AB102=""),Anime!AB102,"")</f>
        <v>6.5095367847411447</v>
      </c>
      <c r="K101" s="18">
        <f>IF(NOT(Anime!AC102=""),Anime!AC102,"")</f>
        <v>5.3899041071105476</v>
      </c>
      <c r="L101" s="19">
        <f>IF(NOT(Anime!AD102=""),Anime!AD102,"")</f>
        <v>99</v>
      </c>
      <c r="M101" s="72">
        <f>IF(NOT(Anime!AE102=""),Anime!AE102,"")</f>
        <v>41647</v>
      </c>
      <c r="N101" s="21">
        <f>IF(NOT(Anime!AF102=""),Anime!AF102,"")</f>
        <v>102</v>
      </c>
      <c r="O101" s="129">
        <f>IF(NOT(Anime!AG102=""),Anime!AG102,"")</f>
        <v>41733</v>
      </c>
      <c r="P101" s="21">
        <f>IF(NOT(Anime!AH102=""),Anime!AH102,"")</f>
        <v>105</v>
      </c>
      <c r="Q101" s="21" t="str">
        <f>IF(NOT(Anime!AI102=""),Anime!AI102,"")</f>
        <v/>
      </c>
      <c r="R101" s="66" t="str">
        <f>IF(NOT(Anime!AJ102=""),Anime!AJ102,"")</f>
        <v>Leila</v>
      </c>
      <c r="S101" s="135" t="str">
        <f>IF(NOT(Anime!AK108=""),Anime!AK108,"")</f>
        <v/>
      </c>
    </row>
    <row r="102" spans="1:19" ht="16.5">
      <c r="A102" s="12" t="str">
        <f>IF(NOT(Anime!R103=""),Anime!R103,"")</f>
        <v>Shinryaku?! Ika Musume</v>
      </c>
      <c r="B102" s="14">
        <f>IF(NOT(Anime!S103=""),Anime!S103,"")</f>
        <v>2</v>
      </c>
      <c r="C102" s="14">
        <f>IF(NOT(Anime!T103=""),Anime!T103,"")</f>
        <v>12</v>
      </c>
      <c r="D102" s="68" t="str">
        <f>IF(NOT(Anime!U103=""),Anime!U103,"")</f>
        <v>A</v>
      </c>
      <c r="E102" s="131" t="str">
        <f>IF(NOT(Anime!W103=""),Anime!W103,"")</f>
        <v>FFF</v>
      </c>
      <c r="F102" s="16">
        <f>IF(NOT(Anime!X103=""),Anime!X103,"")</f>
        <v>3.5</v>
      </c>
      <c r="G102" s="16">
        <f>IF(NOT(Anime!Y103=""),Anime!Y103,"")</f>
        <v>8</v>
      </c>
      <c r="H102" s="16">
        <f>IF(NOT(Anime!Z103=""),Anime!Z103,"")</f>
        <v>9</v>
      </c>
      <c r="I102" s="16">
        <f>IF(NOT(Anime!AA103=""),Anime!AA103,"")</f>
        <v>7.5</v>
      </c>
      <c r="J102" s="17">
        <f>IF(NOT(Anime!AB103=""),Anime!AB103,"")</f>
        <v>6.4713896457765667</v>
      </c>
      <c r="K102" s="18">
        <f>IF(NOT(Anime!AC103=""),Anime!AC103,"")</f>
        <v>5.3392437126831922</v>
      </c>
      <c r="L102" s="19">
        <f>IF(NOT(Anime!AD103=""),Anime!AD103,"")</f>
        <v>100</v>
      </c>
      <c r="M102" s="72">
        <f>IF(NOT(Anime!AE103=""),Anime!AE103,"")</f>
        <v>41289</v>
      </c>
      <c r="N102" s="21">
        <f>IF(NOT(Anime!AF103=""),Anime!AF103,"")</f>
        <v>15</v>
      </c>
      <c r="O102" s="129">
        <f>IF(NOT(Anime!AG103=""),Anime!AG103,"")</f>
        <v>41289</v>
      </c>
      <c r="P102" s="21">
        <f>IF(NOT(Anime!AH103=""),Anime!AH103,"")</f>
        <v>13</v>
      </c>
      <c r="Q102" s="21" t="str">
        <f>IF(NOT(Anime!AI103=""),Anime!AI103,"")</f>
        <v/>
      </c>
      <c r="R102" s="66" t="str">
        <f>IF(NOT(Anime!AJ103=""),Anime!AJ103,"")</f>
        <v>Aizawa Chizuru</v>
      </c>
      <c r="S102" s="135" t="str">
        <f>IF(NOT(Anime!AK109=""),Anime!AK109,"")</f>
        <v/>
      </c>
    </row>
    <row r="103" spans="1:19" ht="16.5">
      <c r="A103" s="12" t="str">
        <f>IF(NOT(Anime!R104=""),Anime!R104,"")</f>
        <v>Sakigake! Cromartie High School</v>
      </c>
      <c r="B103" s="14">
        <f>IF(NOT(Anime!S104=""),Anime!S104,"")</f>
        <v>1</v>
      </c>
      <c r="C103" s="14">
        <f>IF(NOT(Anime!T104=""),Anime!T104,"")</f>
        <v>26</v>
      </c>
      <c r="D103" s="68" t="str">
        <f>IF(NOT(Anime!U104=""),Anime!U104,"")</f>
        <v>A</v>
      </c>
      <c r="E103" s="131" t="str">
        <f>IF(NOT(Anime!W104=""),Anime!W104,"")</f>
        <v>Jarzk</v>
      </c>
      <c r="F103" s="16">
        <f>IF(NOT(Anime!X104=""),Anime!X104,"")</f>
        <v>4</v>
      </c>
      <c r="G103" s="16">
        <f>IF(NOT(Anime!Y104=""),Anime!Y104,"")</f>
        <v>8</v>
      </c>
      <c r="H103" s="16">
        <f>IF(NOT(Anime!Z104=""),Anime!Z104,"")</f>
        <v>0</v>
      </c>
      <c r="I103" s="16">
        <f>IF(NOT(Anime!AA104=""),Anime!AA104,"")</f>
        <v>9</v>
      </c>
      <c r="J103" s="17">
        <f>IF(NOT(Anime!AB104=""),Anime!AB104,"")</f>
        <v>6.4277929155313362</v>
      </c>
      <c r="K103" s="18">
        <f>IF(NOT(Anime!AC104=""),Anime!AC104,"")</f>
        <v>5.2813461190519284</v>
      </c>
      <c r="L103" s="19">
        <f>IF(NOT(Anime!AD104=""),Anime!AD104,"")</f>
        <v>101</v>
      </c>
      <c r="M103" s="72">
        <f>IF(NOT(Anime!AE104=""),Anime!AE104,"")</f>
        <v>41450</v>
      </c>
      <c r="N103" s="21">
        <f>IF(NOT(Anime!AF104=""),Anime!AF104,"")</f>
        <v>59</v>
      </c>
      <c r="O103" s="129">
        <f>IF(NOT(Anime!AG104=""),Anime!AG104,"")</f>
        <v>41452</v>
      </c>
      <c r="P103" s="21">
        <f>IF(NOT(Anime!AH104=""),Anime!AH104,"")</f>
        <v>51</v>
      </c>
      <c r="Q103" s="21" t="str">
        <f>IF(NOT(Anime!AI104=""),Anime!AI104,"")</f>
        <v/>
      </c>
      <c r="R103" s="66" t="str">
        <f>IF(NOT(Anime!AJ104=""),Anime!AJ104,"")</f>
        <v>Gorilla</v>
      </c>
      <c r="S103" s="135" t="str">
        <f>IF(NOT(Anime!AK110=""),Anime!AK110,"")</f>
        <v>Not a bad show, despite low ratings. Pretty entertaining to watch overall</v>
      </c>
    </row>
    <row r="104" spans="1:19" ht="16.5">
      <c r="A104" s="12" t="str">
        <f>IF(NOT(Anime!R105=""),Anime!R105,"")</f>
        <v>Sasami-san @ Ganbaranai</v>
      </c>
      <c r="B104" s="14">
        <f>IF(NOT(Anime!S105=""),Anime!S105,"")</f>
        <v>1</v>
      </c>
      <c r="C104" s="14">
        <f>IF(NOT(Anime!T105=""),Anime!T105,"")</f>
        <v>12</v>
      </c>
      <c r="D104" s="68" t="str">
        <f>IF(NOT(Anime!U105=""),Anime!U105,"")</f>
        <v>A</v>
      </c>
      <c r="E104" s="131" t="str">
        <f>IF(NOT(Anime!W105=""),Anime!W105,"")</f>
        <v>FFF</v>
      </c>
      <c r="F104" s="16">
        <f>IF(NOT(Anime!X105=""),Anime!X105,"")</f>
        <v>6.5</v>
      </c>
      <c r="G104" s="16">
        <f>IF(NOT(Anime!Y105=""),Anime!Y105,"")</f>
        <v>7</v>
      </c>
      <c r="H104" s="16">
        <f>IF(NOT(Anime!Z105=""),Anime!Z105,"")</f>
        <v>4.5</v>
      </c>
      <c r="I104" s="16">
        <f>IF(NOT(Anime!AA105=""),Anime!AA105,"")</f>
        <v>6.5</v>
      </c>
      <c r="J104" s="17">
        <f>IF(NOT(Anime!AB105=""),Anime!AB105,"")</f>
        <v>6.4005449591280659</v>
      </c>
      <c r="K104" s="18">
        <f>IF(NOT(Anime!AC105=""),Anime!AC105,"")</f>
        <v>5.2451601230323863</v>
      </c>
      <c r="L104" s="19">
        <f>IF(NOT(Anime!AD105=""),Anime!AD105,"")</f>
        <v>102</v>
      </c>
      <c r="M104" s="72">
        <f>IF(NOT(Anime!AE105=""),Anime!AE105,"")</f>
        <v>41292</v>
      </c>
      <c r="N104" s="21">
        <f>IF(NOT(Anime!AF105=""),Anime!AF105,"")</f>
        <v>18</v>
      </c>
      <c r="O104" s="129">
        <f>IF(NOT(Anime!AG105=""),Anime!AG105,"")</f>
        <v>41369</v>
      </c>
      <c r="P104" s="21">
        <f>IF(NOT(Anime!AH105=""),Anime!AH105,"")</f>
        <v>37</v>
      </c>
      <c r="Q104" s="21" t="str">
        <f>IF(NOT(Anime!AI105=""),Anime!AI105,"")</f>
        <v/>
      </c>
      <c r="R104" s="66" t="str">
        <f>IF(NOT(Anime!AJ105=""),Anime!AJ105,"")</f>
        <v>Yagami Kagami</v>
      </c>
      <c r="S104" s="135" t="str">
        <f>IF(NOT(Anime!AK111=""),Anime!AK111,"")</f>
        <v/>
      </c>
    </row>
    <row r="105" spans="1:19" ht="16.5">
      <c r="A105" s="12" t="str">
        <f>IF(NOT(Anime!R106=""),Anime!R106,"")</f>
        <v>Miss Monochrome</v>
      </c>
      <c r="B105" s="14">
        <f>IF(NOT(Anime!S106=""),Anime!S106,"")</f>
        <v>1</v>
      </c>
      <c r="C105" s="14">
        <f>IF(NOT(Anime!T106=""),Anime!T106,"")</f>
        <v>13</v>
      </c>
      <c r="D105" s="68" t="str">
        <f>IF(NOT(Anime!U106=""),Anime!U106,"")</f>
        <v>B</v>
      </c>
      <c r="E105" s="131" t="str">
        <f>IF(NOT(Anime!W106=""),Anime!W106,"")</f>
        <v>HorribleSubs</v>
      </c>
      <c r="F105" s="16">
        <f>IF(NOT(Anime!X106=""),Anime!X106,"")</f>
        <v>5</v>
      </c>
      <c r="G105" s="16">
        <f>IF(NOT(Anime!Y106=""),Anime!Y106,"")</f>
        <v>7.5</v>
      </c>
      <c r="H105" s="16">
        <f>IF(NOT(Anime!Z106=""),Anime!Z106,"")</f>
        <v>7.5</v>
      </c>
      <c r="I105" s="16">
        <f>IF(NOT(Anime!AA106=""),Anime!AA106,"")</f>
        <v>6.5</v>
      </c>
      <c r="J105" s="17">
        <f>IF(NOT(Anime!AB106=""),Anime!AB106,"")</f>
        <v>6.2942779291553137</v>
      </c>
      <c r="K105" s="18">
        <f>IF(NOT(Anime!AC106=""),Anime!AC106,"")</f>
        <v>5.1040347385561784</v>
      </c>
      <c r="L105" s="19">
        <f>IF(NOT(Anime!AD106=""),Anime!AD106,"")</f>
        <v>103</v>
      </c>
      <c r="M105" s="72">
        <f>IF(NOT(Anime!AE106=""),Anime!AE106,"")</f>
        <v>41550</v>
      </c>
      <c r="N105" s="21">
        <f>IF(NOT(Anime!AF106=""),Anime!AF106,"")</f>
        <v>85</v>
      </c>
      <c r="O105" s="129">
        <f>IF(NOT(Anime!AG106=""),Anime!AG106,"")</f>
        <v>41634</v>
      </c>
      <c r="P105" s="21">
        <f>IF(NOT(Anime!AH106=""),Anime!AH106,"")</f>
        <v>90</v>
      </c>
      <c r="Q105" s="21" t="str">
        <f>IF(NOT(Anime!AI106=""),Anime!AI106,"")</f>
        <v/>
      </c>
      <c r="R105" s="66" t="str">
        <f>IF(NOT(Anime!AJ106=""),Anime!AJ106,"")</f>
        <v>Miss Monochrome</v>
      </c>
      <c r="S105" s="135" t="str">
        <f>IF(NOT(Anime!AK112=""),Anime!AK112,"")</f>
        <v>Need a higher resolution copy</v>
      </c>
    </row>
    <row r="106" spans="1:19" ht="16.5">
      <c r="A106" s="12" t="str">
        <f>IF(NOT(Anime!R107=""),Anime!R107,"")</f>
        <v>Yuru Yuri ♪♪</v>
      </c>
      <c r="B106" s="14">
        <f>IF(NOT(Anime!S107=""),Anime!S107,"")</f>
        <v>2</v>
      </c>
      <c r="C106" s="14">
        <f>IF(NOT(Anime!T107=""),Anime!T107,"")</f>
        <v>12</v>
      </c>
      <c r="D106" s="68" t="str">
        <f>IF(NOT(Anime!U107=""),Anime!U107,"")</f>
        <v>A</v>
      </c>
      <c r="E106" s="131" t="str">
        <f>IF(NOT(Anime!W107=""),Anime!W107,"")</f>
        <v>Doki</v>
      </c>
      <c r="F106" s="16">
        <f>IF(NOT(Anime!X107=""),Anime!X107,"")</f>
        <v>2</v>
      </c>
      <c r="G106" s="16">
        <f>IF(NOT(Anime!Y107=""),Anime!Y107,"")</f>
        <v>7.5</v>
      </c>
      <c r="H106" s="16">
        <f>IF(NOT(Anime!Z107=""),Anime!Z107,"")</f>
        <v>10</v>
      </c>
      <c r="I106" s="16">
        <f>IF(NOT(Anime!AA107=""),Anime!AA107,"")</f>
        <v>8</v>
      </c>
      <c r="J106" s="17">
        <f>IF(NOT(Anime!AB107=""),Anime!AB107,"")</f>
        <v>6.2193460490463224</v>
      </c>
      <c r="K106" s="18">
        <f>IF(NOT(Anime!AC107=""),Anime!AC107,"")</f>
        <v>5.0045232495024434</v>
      </c>
      <c r="L106" s="19">
        <f>IF(NOT(Anime!AD107=""),Anime!AD107,"")</f>
        <v>104</v>
      </c>
      <c r="M106" s="72">
        <f>IF(NOT(Anime!AE107=""),Anime!AE107,"")</f>
        <v>41229</v>
      </c>
      <c r="N106" s="21">
        <f>IF(NOT(Anime!AF107=""),Anime!AF107,"")</f>
        <v>4</v>
      </c>
      <c r="O106" s="129">
        <f>IF(NOT(Anime!AG107=""),Anime!AG107,"")</f>
        <v>41230</v>
      </c>
      <c r="P106" s="21">
        <f>IF(NOT(Anime!AH107=""),Anime!AH107,"")</f>
        <v>4</v>
      </c>
      <c r="Q106" s="21" t="str">
        <f>IF(NOT(Anime!AI107=""),Anime!AI107,"")</f>
        <v/>
      </c>
      <c r="R106" s="66" t="str">
        <f>IF(NOT(Anime!AJ107=""),Anime!AJ107,"")</f>
        <v>Funami Yui</v>
      </c>
      <c r="S106" s="135" t="str">
        <f>IF(NOT(Anime!AK113=""),Anime!AK113,"")</f>
        <v/>
      </c>
    </row>
    <row r="107" spans="1:19" ht="16.5">
      <c r="A107" s="12" t="str">
        <f>IF(NOT(Anime!R108=""),Anime!R108,"")</f>
        <v>Yuru Yuri</v>
      </c>
      <c r="B107" s="14">
        <f>IF(NOT(Anime!S108=""),Anime!S108,"")</f>
        <v>1</v>
      </c>
      <c r="C107" s="14">
        <f>IF(NOT(Anime!T108=""),Anime!T108,"")</f>
        <v>12</v>
      </c>
      <c r="D107" s="68" t="str">
        <f>IF(NOT(Anime!U108=""),Anime!U108,"")</f>
        <v>A</v>
      </c>
      <c r="E107" s="131" t="str">
        <f>IF(NOT(Anime!W108=""),Anime!W108,"")</f>
        <v>Doki</v>
      </c>
      <c r="F107" s="16">
        <f>IF(NOT(Anime!X108=""),Anime!X108,"")</f>
        <v>2</v>
      </c>
      <c r="G107" s="16">
        <f>IF(NOT(Anime!Y108=""),Anime!Y108,"")</f>
        <v>7.5</v>
      </c>
      <c r="H107" s="16">
        <f>IF(NOT(Anime!Z108=""),Anime!Z108,"")</f>
        <v>9.5</v>
      </c>
      <c r="I107" s="16">
        <f>IF(NOT(Anime!AA108=""),Anime!AA108,"")</f>
        <v>8</v>
      </c>
      <c r="J107" s="17">
        <f>IF(NOT(Anime!AB108=""),Anime!AB108,"")</f>
        <v>6.1730245231607634</v>
      </c>
      <c r="K107" s="18">
        <f>IF(NOT(Anime!AC108=""),Anime!AC108,"")</f>
        <v>4.9430070562692245</v>
      </c>
      <c r="L107" s="19">
        <f>IF(NOT(Anime!AD108=""),Anime!AD108,"")</f>
        <v>105</v>
      </c>
      <c r="M107" s="72">
        <f>IF(NOT(Anime!AE108=""),Anime!AE108,"")</f>
        <v>41228</v>
      </c>
      <c r="N107" s="21">
        <f>IF(NOT(Anime!AF108=""),Anime!AF108,"")</f>
        <v>3</v>
      </c>
      <c r="O107" s="129">
        <f>IF(NOT(Anime!AG108=""),Anime!AG108,"")</f>
        <v>41229</v>
      </c>
      <c r="P107" s="21">
        <f>IF(NOT(Anime!AH108=""),Anime!AH108,"")</f>
        <v>3</v>
      </c>
      <c r="Q107" s="21" t="str">
        <f>IF(NOT(Anime!AI108=""),Anime!AI108,"")</f>
        <v/>
      </c>
      <c r="R107" s="66" t="str">
        <f>IF(NOT(Anime!AJ108=""),Anime!AJ108,"")</f>
        <v>Funami Yui</v>
      </c>
      <c r="S107" s="135" t="str">
        <f>IF(NOT(Anime!AK114=""),Anime!AK114,"")</f>
        <v>Wow</v>
      </c>
    </row>
    <row r="108" spans="1:19" ht="16.5">
      <c r="A108" s="12" t="str">
        <f>IF(NOT(Anime!R109=""),Anime!R109,"")</f>
        <v>Ore no Nounai Sentakushi ga, Gakuen Love Comedy wo Zenryoku de Jama Shiteiru</v>
      </c>
      <c r="B108" s="14">
        <f>IF(NOT(Anime!S109=""),Anime!S109,"")</f>
        <v>1</v>
      </c>
      <c r="C108" s="14">
        <f>IF(NOT(Anime!T109=""),Anime!T109,"")</f>
        <v>10</v>
      </c>
      <c r="D108" s="68" t="str">
        <f>IF(NOT(Anime!U109=""),Anime!U109,"")</f>
        <v>B</v>
      </c>
      <c r="E108" s="131" t="str">
        <f>IF(NOT(Anime!W109=""),Anime!W109,"")</f>
        <v>HorribleSubs</v>
      </c>
      <c r="F108" s="16">
        <f>IF(NOT(Anime!X109=""),Anime!X109,"")</f>
        <v>6</v>
      </c>
      <c r="G108" s="16">
        <f>IF(NOT(Anime!Y109=""),Anime!Y109,"")</f>
        <v>5.5</v>
      </c>
      <c r="H108" s="16">
        <f>IF(NOT(Anime!Z109=""),Anime!Z109,"")</f>
        <v>7.5</v>
      </c>
      <c r="I108" s="16">
        <f>IF(NOT(Anime!AA109=""),Anime!AA109,"")</f>
        <v>6</v>
      </c>
      <c r="J108" s="17">
        <f>IF(NOT(Anime!AB109=""),Anime!AB109,"")</f>
        <v>6.0531335149863761</v>
      </c>
      <c r="K108" s="18">
        <f>IF(NOT(Anime!AC109=""),Anime!AC109,"")</f>
        <v>4.7837886737832456</v>
      </c>
      <c r="L108" s="19">
        <f>IF(NOT(Anime!AD109=""),Anime!AD109,"")</f>
        <v>106</v>
      </c>
      <c r="M108" s="72">
        <f>IF(NOT(Anime!AE109=""),Anime!AE109,"")</f>
        <v>41560</v>
      </c>
      <c r="N108" s="21">
        <f>IF(NOT(Anime!AF109=""),Anime!AF109,"")</f>
        <v>92</v>
      </c>
      <c r="O108" s="129">
        <f>IF(NOT(Anime!AG109=""),Anime!AG109,"")</f>
        <v>41618</v>
      </c>
      <c r="P108" s="21">
        <f>IF(NOT(Anime!AH109=""),Anime!AH109,"")</f>
        <v>84</v>
      </c>
      <c r="Q108" s="21" t="str">
        <f>IF(NOT(Anime!AI109=""),Anime!AI109,"")</f>
        <v/>
      </c>
      <c r="R108" s="66" t="str">
        <f>IF(NOT(Anime!AJ109=""),Anime!AJ109,"")</f>
        <v>Chocolat</v>
      </c>
      <c r="S108" s="135" t="str">
        <f>IF(NOT(Anime!AK115=""),Anime!AK115,"")</f>
        <v/>
      </c>
    </row>
    <row r="109" spans="1:19" ht="16.5">
      <c r="A109" s="12" t="str">
        <f>IF(NOT(Anime!R110=""),Anime!R110,"")</f>
        <v>Namiuchigiwa no Muromi-san</v>
      </c>
      <c r="B109" s="14">
        <f>IF(NOT(Anime!S110=""),Anime!S110,"")</f>
        <v>1</v>
      </c>
      <c r="C109" s="14">
        <f>IF(NOT(Anime!T110=""),Anime!T110,"")</f>
        <v>13</v>
      </c>
      <c r="D109" s="68" t="str">
        <f>IF(NOT(Anime!U110=""),Anime!U110,"")</f>
        <v>A</v>
      </c>
      <c r="E109" s="131" t="str">
        <f>IF(NOT(Anime!W110=""),Anime!W110,"")</f>
        <v>HorribleSubs</v>
      </c>
      <c r="F109" s="16">
        <f>IF(NOT(Anime!X110=""),Anime!X110,"")</f>
        <v>3</v>
      </c>
      <c r="G109" s="16">
        <f>IF(NOT(Anime!Y110=""),Anime!Y110,"")</f>
        <v>6.5</v>
      </c>
      <c r="H109" s="16">
        <f>IF(NOT(Anime!Z110=""),Anime!Z110,"")</f>
        <v>6.5</v>
      </c>
      <c r="I109" s="16">
        <f>IF(NOT(Anime!AA110=""),Anime!AA110,"")</f>
        <v>7.5</v>
      </c>
      <c r="J109" s="17">
        <f>IF(NOT(Anime!AB110=""),Anime!AB110,"")</f>
        <v>5.8256130790190737</v>
      </c>
      <c r="K109" s="18">
        <f>IF(NOT(Anime!AC110=""),Anime!AC110,"")</f>
        <v>4.4816356070200829</v>
      </c>
      <c r="L109" s="19">
        <f>IF(NOT(Anime!AD110=""),Anime!AD110,"")</f>
        <v>107</v>
      </c>
      <c r="M109" s="72">
        <f>IF(NOT(Anime!AE110=""),Anime!AE110,"")</f>
        <v>41448</v>
      </c>
      <c r="N109" s="21">
        <f>IF(NOT(Anime!AF110=""),Anime!AF110,"")</f>
        <v>57</v>
      </c>
      <c r="O109" s="129">
        <f>IF(NOT(Anime!AG110=""),Anime!AG110,"")</f>
        <v>41455</v>
      </c>
      <c r="P109" s="21">
        <f>IF(NOT(Anime!AH110=""),Anime!AH110,"")</f>
        <v>56</v>
      </c>
      <c r="Q109" s="21" t="str">
        <f>IF(NOT(Anime!AI110=""),Anime!AI110,"")</f>
        <v/>
      </c>
      <c r="R109" s="66" t="str">
        <f>IF(NOT(Anime!AJ110=""),Anime!AJ110,"")</f>
        <v>Levia-san</v>
      </c>
      <c r="S109" s="135" t="str">
        <f>IF(NOT(Anime!AK116=""),Anime!AK116,"")</f>
        <v>Only watched because each episode was short enough to care about</v>
      </c>
    </row>
    <row r="110" spans="1:19" ht="16.5">
      <c r="A110" s="12" t="str">
        <f>IF(NOT(Anime!R111=""),Anime!R111,"")</f>
        <v>Tamako Market</v>
      </c>
      <c r="B110" s="14">
        <f>IF(NOT(Anime!S111=""),Anime!S111,"")</f>
        <v>1</v>
      </c>
      <c r="C110" s="14">
        <f>IF(NOT(Anime!T111=""),Anime!T111,"")</f>
        <v>12</v>
      </c>
      <c r="D110" s="68" t="str">
        <f>IF(NOT(Anime!U111=""),Anime!U111,"")</f>
        <v>A</v>
      </c>
      <c r="E110" s="131" t="str">
        <f>IF(NOT(Anime!W111=""),Anime!W111,"")</f>
        <v>Mazui</v>
      </c>
      <c r="F110" s="16">
        <f>IF(NOT(Anime!X111=""),Anime!X111,"")</f>
        <v>5.5</v>
      </c>
      <c r="G110" s="16">
        <f>IF(NOT(Anime!Y111=""),Anime!Y111,"")</f>
        <v>5.5</v>
      </c>
      <c r="H110" s="16">
        <f>IF(NOT(Anime!Z111=""),Anime!Z111,"")</f>
        <v>5</v>
      </c>
      <c r="I110" s="16">
        <f>IF(NOT(Anime!AA111=""),Anime!AA111,"")</f>
        <v>6</v>
      </c>
      <c r="J110" s="17">
        <f>IF(NOT(Anime!AB111=""),Anime!AB111,"")</f>
        <v>5.6648501362397816</v>
      </c>
      <c r="K110" s="18">
        <f>IF(NOT(Anime!AC111=""),Anime!AC111,"")</f>
        <v>4.2681382305047935</v>
      </c>
      <c r="L110" s="19">
        <f>IF(NOT(Anime!AD111=""),Anime!AD111,"")</f>
        <v>108</v>
      </c>
      <c r="M110" s="72">
        <f>IF(NOT(Anime!AE111=""),Anime!AE111,"")</f>
        <v>41302</v>
      </c>
      <c r="N110" s="21">
        <f>IF(NOT(Anime!AF111=""),Anime!AF111,"")</f>
        <v>22</v>
      </c>
      <c r="O110" s="129">
        <f>IF(NOT(Anime!AG111=""),Anime!AG111,"")</f>
        <v>41360</v>
      </c>
      <c r="P110" s="21">
        <f>IF(NOT(Anime!AH111=""),Anime!AH111,"")</f>
        <v>33</v>
      </c>
      <c r="Q110" s="21" t="str">
        <f>IF(NOT(Anime!AI111=""),Anime!AI111,"")</f>
        <v/>
      </c>
      <c r="R110" s="66" t="str">
        <f>IF(NOT(Anime!AJ111=""),Anime!AJ111,"")</f>
        <v>Makino Kanna</v>
      </c>
      <c r="S110" s="135" t="str">
        <f>IF(NOT(Anime!AK117=""),Anime!AK117,"")</f>
        <v/>
      </c>
    </row>
    <row r="111" spans="1:19" ht="16.5">
      <c r="A111" s="12" t="str">
        <f>IF(NOT(Anime!R112=""),Anime!R112,"")</f>
        <v>Miyakawa-ke no Kuufuku</v>
      </c>
      <c r="B111" s="14">
        <f>IF(NOT(Anime!S112=""),Anime!S112,"")</f>
        <v>1</v>
      </c>
      <c r="C111" s="14">
        <f>IF(NOT(Anime!T112=""),Anime!T112,"")</f>
        <v>10</v>
      </c>
      <c r="D111" s="68" t="str">
        <f>IF(NOT(Anime!U112=""),Anime!U112,"")</f>
        <v>A</v>
      </c>
      <c r="E111" s="131" t="str">
        <f>IF(NOT(Anime!W112=""),Anime!W112,"")</f>
        <v>Miya-k</v>
      </c>
      <c r="F111" s="16">
        <f>IF(NOT(Anime!X112=""),Anime!X112,"")</f>
        <v>2.5</v>
      </c>
      <c r="G111" s="16">
        <f>IF(NOT(Anime!Y112=""),Anime!Y112,"")</f>
        <v>7.5</v>
      </c>
      <c r="H111" s="16">
        <f>IF(NOT(Anime!Z112=""),Anime!Z112,"")</f>
        <v>5.5</v>
      </c>
      <c r="I111" s="16">
        <f>IF(NOT(Anime!AA112=""),Anime!AA112,"")</f>
        <v>6</v>
      </c>
      <c r="J111" s="17">
        <f>IF(NOT(Anime!AB112=""),Anime!AB112,"")</f>
        <v>5.1144414168937331</v>
      </c>
      <c r="K111" s="18">
        <f>IF(NOT(Anime!AC112=""),Anime!AC112,"")</f>
        <v>3.5371811109100779</v>
      </c>
      <c r="L111" s="19">
        <f>IF(NOT(Anime!AD112=""),Anime!AD112,"")</f>
        <v>109</v>
      </c>
      <c r="M111" s="72">
        <f>IF(NOT(Anime!AE112=""),Anime!AE112,"")</f>
        <v>41488</v>
      </c>
      <c r="N111" s="21">
        <f>IF(NOT(Anime!AF112=""),Anime!AF112,"")</f>
        <v>79</v>
      </c>
      <c r="O111" s="129">
        <f>IF(NOT(Anime!AG112=""),Anime!AG112,"")</f>
        <v>41492</v>
      </c>
      <c r="P111" s="21">
        <f>IF(NOT(Anime!AH112=""),Anime!AH112,"")</f>
        <v>67</v>
      </c>
      <c r="Q111" s="21" t="str">
        <f>IF(NOT(Anime!AI112=""),Anime!AI112,"")</f>
        <v/>
      </c>
      <c r="R111" s="66" t="str">
        <f>IF(NOT(Anime!AJ112=""),Anime!AJ112,"")</f>
        <v>Miyakawa Hikage</v>
      </c>
      <c r="S111" s="135" t="str">
        <f>IF(NOT(Anime!AK118=""),Anime!AK118,"")</f>
        <v/>
      </c>
    </row>
    <row r="112" spans="1:19" ht="16.5">
      <c r="A112" s="12" t="str">
        <f>IF(NOT(Anime!R113=""),Anime!R113,"")</f>
        <v>Oku-sama wa Joushikousei</v>
      </c>
      <c r="B112" s="14">
        <f>IF(NOT(Anime!S113=""),Anime!S113,"")</f>
        <v>1</v>
      </c>
      <c r="C112" s="14">
        <f>IF(NOT(Anime!T113=""),Anime!T113,"")</f>
        <v>13</v>
      </c>
      <c r="D112" s="68" t="str">
        <f>IF(NOT(Anime!U113=""),Anime!U113,"")</f>
        <v>A</v>
      </c>
      <c r="E112" s="131" t="str">
        <f>IF(NOT(Anime!W113=""),Anime!W113,"")</f>
        <v>LIME</v>
      </c>
      <c r="F112" s="16">
        <f>IF(NOT(Anime!X113=""),Anime!X113,"")</f>
        <v>3.5</v>
      </c>
      <c r="G112" s="16">
        <f>IF(NOT(Anime!Y113=""),Anime!Y113,"")</f>
        <v>5.5</v>
      </c>
      <c r="H112" s="16">
        <f>IF(NOT(Anime!Z113=""),Anime!Z113,"")</f>
        <v>6</v>
      </c>
      <c r="I112" s="16">
        <f>IF(NOT(Anime!AA113=""),Anime!AA113,"")</f>
        <v>5</v>
      </c>
      <c r="J112" s="17">
        <f>IF(NOT(Anime!AB113=""),Anime!AB113,"")</f>
        <v>4.7084468664850139</v>
      </c>
      <c r="K112" s="18">
        <f>IF(NOT(Anime!AC113=""),Anime!AC113,"")</f>
        <v>2.9980097702189252</v>
      </c>
      <c r="L112" s="19">
        <f>IF(NOT(Anime!AD113=""),Anime!AD113,"")</f>
        <v>110</v>
      </c>
      <c r="M112" s="72">
        <f>IF(NOT(Anime!AE113=""),Anime!AE113,"")</f>
        <v>40674</v>
      </c>
      <c r="N112" s="21">
        <f>IF(NOT(Anime!AF113=""),Anime!AF113,"")</f>
        <v>1</v>
      </c>
      <c r="O112" s="129">
        <f>IF(NOT(Anime!AG113=""),Anime!AG113,"")</f>
        <v>40675</v>
      </c>
      <c r="P112" s="21">
        <f>IF(NOT(Anime!AH113=""),Anime!AH113,"")</f>
        <v>1</v>
      </c>
      <c r="Q112" s="21" t="str">
        <f>IF(NOT(Anime!AI113=""),Anime!AI113,"")</f>
        <v/>
      </c>
      <c r="R112" s="66" t="str">
        <f>IF(NOT(Anime!AJ113=""),Anime!AJ113,"")</f>
        <v>--</v>
      </c>
      <c r="S112" s="135" t="str">
        <f>IF(NOT(Anime!AK119=""),Anime!AK119,"")</f>
        <v/>
      </c>
    </row>
    <row r="113" spans="1:19" ht="16.5">
      <c r="A113" s="12" t="str">
        <f>IF(NOT(Anime!R114=""),Anime!R114,"")</f>
        <v>Shiba Inuko-san</v>
      </c>
      <c r="B113" s="14">
        <f>IF(NOT(Anime!S114=""),Anime!S114,"")</f>
        <v>1</v>
      </c>
      <c r="C113" s="14">
        <f>IF(NOT(Anime!T114=""),Anime!T114,"")</f>
        <v>26</v>
      </c>
      <c r="D113" s="68" t="str">
        <f>IF(NOT(Anime!U114=""),Anime!U114,"")</f>
        <v>B</v>
      </c>
      <c r="E113" s="131" t="str">
        <f>IF(NOT(Anime!W114=""),Anime!W114,"")</f>
        <v>Migoto</v>
      </c>
      <c r="F113" s="16">
        <f>IF(NOT(Anime!X114=""),Anime!X114,"")</f>
        <v>1.5</v>
      </c>
      <c r="G113" s="16">
        <f>IF(NOT(Anime!Y114=""),Anime!Y114,"")</f>
        <v>5</v>
      </c>
      <c r="H113" s="16">
        <f>IF(NOT(Anime!Z114=""),Anime!Z114,"")</f>
        <v>4</v>
      </c>
      <c r="I113" s="16">
        <f>IF(NOT(Anime!AA114=""),Anime!AA114,"")</f>
        <v>6.5</v>
      </c>
      <c r="J113" s="17">
        <f>IF(NOT(Anime!AB114=""),Anime!AB114,"")</f>
        <v>4.4441416893732981</v>
      </c>
      <c r="K113" s="18">
        <f>IF(NOT(Anime!AC114=""),Anime!AC114,"")</f>
        <v>2.6470056088293843</v>
      </c>
      <c r="L113" s="19">
        <f>IF(NOT(Anime!AD114=""),Anime!AD114,"")</f>
        <v>111</v>
      </c>
      <c r="M113" s="72">
        <f>IF(NOT(Anime!AE114=""),Anime!AE114,"")</f>
        <v>41705</v>
      </c>
      <c r="N113" s="21">
        <f>IF(NOT(Anime!AF114=""),Anime!AF114,"")</f>
        <v>111</v>
      </c>
      <c r="O113" s="129">
        <f>IF(NOT(Anime!AG114=""),Anime!AG114,"")</f>
        <v>41705</v>
      </c>
      <c r="P113" s="21">
        <f>IF(NOT(Anime!AH114=""),Anime!AH114,"")</f>
        <v>97</v>
      </c>
      <c r="Q113" s="21" t="str">
        <f>IF(NOT(Anime!AI114=""),Anime!AI114,"")</f>
        <v/>
      </c>
      <c r="R113" s="66" t="str">
        <f>IF(NOT(Anime!AJ114=""),Anime!AJ114,"")</f>
        <v>Ishibashi Chako</v>
      </c>
      <c r="S113" s="135" t="str">
        <f>IF(NOT(Anime!AK120=""),Anime!AK120,"")</f>
        <v/>
      </c>
    </row>
    <row r="114" spans="1:19" ht="16.5">
      <c r="A114" s="12" t="str">
        <f>IF(NOT(Anime!R115=""),Anime!R115,"")</f>
        <v>Onii-chan dakedo Ai sae Areba Kankeinai yone!</v>
      </c>
      <c r="B114" s="14">
        <f>IF(NOT(Anime!S115=""),Anime!S115,"")</f>
        <v>1</v>
      </c>
      <c r="C114" s="14">
        <f>IF(NOT(Anime!T115=""),Anime!T115,"")</f>
        <v>12</v>
      </c>
      <c r="D114" s="68" t="str">
        <f>IF(NOT(Anime!U115=""),Anime!U115,"")</f>
        <v>--</v>
      </c>
      <c r="E114" s="131" t="str">
        <f>IF(NOT(Anime!W115=""),Anime!W115,"")</f>
        <v>-- NO DL --</v>
      </c>
      <c r="F114" s="16">
        <f>IF(NOT(Anime!X115=""),Anime!X115,"")</f>
        <v>3</v>
      </c>
      <c r="G114" s="16">
        <f>IF(NOT(Anime!Y115=""),Anime!Y115,"")</f>
        <v>2</v>
      </c>
      <c r="H114" s="16">
        <f>IF(NOT(Anime!Z115=""),Anime!Z115,"")</f>
        <v>5</v>
      </c>
      <c r="I114" s="16">
        <f>IF(NOT(Anime!AA115=""),Anime!AA115,"")</f>
        <v>3</v>
      </c>
      <c r="J114" s="17">
        <f>IF(NOT(Anime!AB115=""),Anime!AB115,"")</f>
        <v>3.0136239782016352</v>
      </c>
      <c r="K114" s="18">
        <f>IF(NOT(Anime!AC115=""),Anime!AC115,"")</f>
        <v>0.74724081780351004</v>
      </c>
      <c r="L114" s="19">
        <f>IF(NOT(Anime!AD115=""),Anime!AD115,"")</f>
        <v>112</v>
      </c>
      <c r="M114" s="72">
        <f>IF(NOT(Anime!AE115=""),Anime!AE115,"")</f>
        <v>41254</v>
      </c>
      <c r="N114" s="21">
        <f>IF(NOT(Anime!AF115=""),Anime!AF115,"")</f>
        <v>8</v>
      </c>
      <c r="O114" s="129">
        <f>IF(NOT(Anime!AG115=""),Anime!AG115,"")</f>
        <v>41264</v>
      </c>
      <c r="P114" s="21">
        <f>IF(NOT(Anime!AH115=""),Anime!AH115,"")</f>
        <v>8</v>
      </c>
      <c r="Q114" s="21" t="str">
        <f>IF(NOT(Anime!AI115=""),Anime!AI115,"")</f>
        <v/>
      </c>
      <c r="R114" s="66" t="str">
        <f>IF(NOT(Anime!AJ115=""),Anime!AJ115,"")</f>
        <v>Sawatari Ginbei</v>
      </c>
      <c r="S114" s="135" t="str">
        <f>IF(NOT(Anime!AK121=""),Anime!AK121,"")</f>
        <v/>
      </c>
    </row>
    <row r="115" spans="1:19" ht="16.5">
      <c r="A115" s="12" t="str">
        <f>IF(NOT(Anime!R116=""),Anime!R116,"")</f>
        <v>Cyclops Shoujo Saipu</v>
      </c>
      <c r="B115" s="14">
        <f>IF(NOT(Anime!S116=""),Anime!S116,"")</f>
        <v>1</v>
      </c>
      <c r="C115" s="14">
        <f>IF(NOT(Anime!T116=""),Anime!T116,"")</f>
        <v>12</v>
      </c>
      <c r="D115" s="68" t="str">
        <f>IF(NOT(Anime!U116=""),Anime!U116,"")</f>
        <v>A</v>
      </c>
      <c r="E115" s="131" t="str">
        <f>IF(NOT(Anime!W116=""),Anime!W116,"")</f>
        <v>Migoto</v>
      </c>
      <c r="F115" s="16">
        <f>IF(NOT(Anime!X116=""),Anime!X116,"")</f>
        <v>1.5</v>
      </c>
      <c r="G115" s="16">
        <f>IF(NOT(Anime!Y116=""),Anime!Y116,"")</f>
        <v>2</v>
      </c>
      <c r="H115" s="16">
        <f>IF(NOT(Anime!Z116=""),Anime!Z116,"")</f>
        <v>4</v>
      </c>
      <c r="I115" s="16">
        <f>IF(NOT(Anime!AA116=""),Anime!AA116,"")</f>
        <v>3</v>
      </c>
      <c r="J115" s="17">
        <f>IF(NOT(Anime!AB116=""),Anime!AB116,"")</f>
        <v>2.4509536784741148</v>
      </c>
      <c r="K115" s="18">
        <f>IF(NOT(Anime!AC116=""),Anime!AC116,"")</f>
        <v>0</v>
      </c>
      <c r="L115" s="19">
        <f>IF(NOT(Anime!AD116=""),Anime!AD116,"")</f>
        <v>113</v>
      </c>
      <c r="M115" s="72">
        <f>IF(NOT(Anime!AE116=""),Anime!AE116,"")</f>
        <v>41355</v>
      </c>
      <c r="N115" s="21">
        <f>IF(NOT(Anime!AF116=""),Anime!AF116,"")</f>
        <v>33</v>
      </c>
      <c r="O115" s="129">
        <f>IF(NOT(Anime!AG116=""),Anime!AG116,"")</f>
        <v>41451</v>
      </c>
      <c r="P115" s="21">
        <f>IF(NOT(Anime!AH116=""),Anime!AH116,"")</f>
        <v>49</v>
      </c>
      <c r="Q115" s="21" t="str">
        <f>IF(NOT(Anime!AI116=""),Anime!AI116,"")</f>
        <v/>
      </c>
      <c r="R115" s="66" t="str">
        <f>IF(NOT(Anime!AJ116=""),Anime!AJ116,"")</f>
        <v>--</v>
      </c>
      <c r="S115" s="135" t="str">
        <f>IF(NOT(Anime!AK122=""),Anime!AK122,"")</f>
        <v/>
      </c>
    </row>
    <row r="116" spans="1:19" ht="16.5">
      <c r="A116" s="12" t="str">
        <f>IF(NOT(Anime!R117=""),Anime!R117,"")</f>
        <v/>
      </c>
      <c r="B116" s="14" t="str">
        <f>IF(NOT(Anime!S117=""),Anime!S117,"")</f>
        <v/>
      </c>
      <c r="C116" s="14" t="str">
        <f>IF(NOT(Anime!T117=""),Anime!T117,"")</f>
        <v/>
      </c>
      <c r="D116" s="68" t="str">
        <f>IF(NOT(Anime!U117=""),Anime!U117,"")</f>
        <v/>
      </c>
      <c r="E116" s="131" t="str">
        <f>IF(NOT(Anime!W117=""),Anime!W117,"")</f>
        <v/>
      </c>
      <c r="F116" s="16" t="str">
        <f>IF(NOT(Anime!X117=""),Anime!X117,"")</f>
        <v/>
      </c>
      <c r="G116" s="16" t="str">
        <f>IF(NOT(Anime!Y117=""),Anime!Y117,"")</f>
        <v/>
      </c>
      <c r="H116" s="16" t="str">
        <f>IF(NOT(Anime!Z117=""),Anime!Z117,"")</f>
        <v/>
      </c>
      <c r="I116" s="16" t="str">
        <f>IF(NOT(Anime!AA117=""),Anime!AA117,"")</f>
        <v/>
      </c>
      <c r="J116" s="17" t="str">
        <f>IF(NOT(Anime!AB117=""),Anime!AB117,"")</f>
        <v/>
      </c>
      <c r="K116" s="18" t="str">
        <f>IF(NOT(Anime!AC117=""),Anime!AC117,"")</f>
        <v/>
      </c>
      <c r="L116" s="19" t="str">
        <f>IF(NOT(Anime!AD117=""),Anime!AD117,"")</f>
        <v/>
      </c>
      <c r="M116" s="72" t="str">
        <f>IF(NOT(Anime!AE117=""),Anime!AE117,"")</f>
        <v/>
      </c>
      <c r="N116" s="21" t="str">
        <f>IF(NOT(Anime!AF117=""),Anime!AF117,"")</f>
        <v/>
      </c>
      <c r="O116" s="129" t="str">
        <f>IF(NOT(Anime!AG117=""),Anime!AG117,"")</f>
        <v/>
      </c>
      <c r="P116" s="21" t="str">
        <f>IF(NOT(Anime!AH117=""),Anime!AH117,"")</f>
        <v/>
      </c>
      <c r="Q116" s="21" t="str">
        <f>IF(NOT(Anime!AI117=""),Anime!AI117,"")</f>
        <v/>
      </c>
      <c r="R116" s="66" t="str">
        <f>IF(NOT(Anime!AJ117=""),Anime!AJ117,"")</f>
        <v/>
      </c>
      <c r="S116" s="135" t="str">
        <f>IF(NOT(Anime!AK123=""),Anime!AK123,"")</f>
        <v/>
      </c>
    </row>
    <row r="117" spans="1:19" ht="16.5">
      <c r="A117" s="12" t="str">
        <f>IF(NOT(Anime!R118=""),Anime!R118,"")</f>
        <v/>
      </c>
      <c r="B117" s="14" t="str">
        <f>IF(NOT(Anime!S118=""),Anime!S118,"")</f>
        <v/>
      </c>
      <c r="C117" s="14" t="str">
        <f>IF(NOT(Anime!T118=""),Anime!T118,"")</f>
        <v/>
      </c>
      <c r="D117" s="68" t="str">
        <f>IF(NOT(Anime!U118=""),Anime!U118,"")</f>
        <v/>
      </c>
      <c r="E117" s="131" t="str">
        <f>IF(NOT(Anime!W118=""),Anime!W118,"")</f>
        <v/>
      </c>
      <c r="F117" s="16" t="str">
        <f>IF(NOT(Anime!X118=""),Anime!X118,"")</f>
        <v/>
      </c>
      <c r="G117" s="16" t="str">
        <f>IF(NOT(Anime!Y118=""),Anime!Y118,"")</f>
        <v/>
      </c>
      <c r="H117" s="16" t="str">
        <f>IF(NOT(Anime!Z118=""),Anime!Z118,"")</f>
        <v/>
      </c>
      <c r="I117" s="16" t="str">
        <f>IF(NOT(Anime!AA118=""),Anime!AA118,"")</f>
        <v/>
      </c>
      <c r="J117" s="17" t="str">
        <f>IF(NOT(Anime!AB118=""),Anime!AB118,"")</f>
        <v/>
      </c>
      <c r="K117" s="18" t="str">
        <f>IF(NOT(Anime!AC118=""),Anime!AC118,"")</f>
        <v/>
      </c>
      <c r="L117" s="19" t="str">
        <f>IF(NOT(Anime!AD118=""),Anime!AD118,"")</f>
        <v/>
      </c>
      <c r="M117" s="72" t="str">
        <f>IF(NOT(Anime!AE118=""),Anime!AE118,"")</f>
        <v/>
      </c>
      <c r="N117" s="21" t="str">
        <f>IF(NOT(Anime!AF118=""),Anime!AF118,"")</f>
        <v/>
      </c>
      <c r="O117" s="129" t="str">
        <f>IF(NOT(Anime!AG118=""),Anime!AG118,"")</f>
        <v/>
      </c>
      <c r="P117" s="21" t="str">
        <f>IF(NOT(Anime!AH118=""),Anime!AH118,"")</f>
        <v/>
      </c>
      <c r="Q117" s="21" t="str">
        <f>IF(NOT(Anime!AI118=""),Anime!AI118,"")</f>
        <v/>
      </c>
      <c r="R117" s="66" t="str">
        <f>IF(NOT(Anime!AJ118=""),Anime!AJ118,"")</f>
        <v/>
      </c>
      <c r="S117" s="135" t="str">
        <f>IF(NOT(Anime!AK124=""),Anime!AK124,"")</f>
        <v/>
      </c>
    </row>
    <row r="118" spans="1:19" ht="16.5">
      <c r="A118" s="12" t="str">
        <f>IF(NOT(Anime!R119=""),Anime!R119,"")</f>
        <v/>
      </c>
      <c r="B118" s="14" t="str">
        <f>IF(NOT(Anime!S119=""),Anime!S119,"")</f>
        <v/>
      </c>
      <c r="C118" s="14" t="str">
        <f>IF(NOT(Anime!T119=""),Anime!T119,"")</f>
        <v/>
      </c>
      <c r="D118" s="68" t="str">
        <f>IF(NOT(Anime!U119=""),Anime!U119,"")</f>
        <v/>
      </c>
      <c r="E118" s="131" t="str">
        <f>IF(NOT(Anime!W119=""),Anime!W119,"")</f>
        <v/>
      </c>
      <c r="F118" s="16" t="str">
        <f>IF(NOT(Anime!X119=""),Anime!X119,"")</f>
        <v/>
      </c>
      <c r="G118" s="16" t="str">
        <f>IF(NOT(Anime!Y119=""),Anime!Y119,"")</f>
        <v/>
      </c>
      <c r="H118" s="16" t="str">
        <f>IF(NOT(Anime!Z119=""),Anime!Z119,"")</f>
        <v/>
      </c>
      <c r="I118" s="16" t="str">
        <f>IF(NOT(Anime!AA119=""),Anime!AA119,"")</f>
        <v/>
      </c>
      <c r="J118" s="17" t="str">
        <f>IF(NOT(Anime!AB119=""),Anime!AB119,"")</f>
        <v/>
      </c>
      <c r="K118" s="18" t="str">
        <f>IF(NOT(Anime!AC119=""),Anime!AC119,"")</f>
        <v/>
      </c>
      <c r="L118" s="19" t="str">
        <f>IF(NOT(Anime!AD119=""),Anime!AD119,"")</f>
        <v/>
      </c>
      <c r="M118" s="72" t="str">
        <f>IF(NOT(Anime!AE119=""),Anime!AE119,"")</f>
        <v/>
      </c>
      <c r="N118" s="21" t="str">
        <f>IF(NOT(Anime!AF119=""),Anime!AF119,"")</f>
        <v/>
      </c>
      <c r="O118" s="129" t="str">
        <f>IF(NOT(Anime!AG119=""),Anime!AG119,"")</f>
        <v/>
      </c>
      <c r="P118" s="21" t="str">
        <f>IF(NOT(Anime!AH119=""),Anime!AH119,"")</f>
        <v/>
      </c>
      <c r="Q118" s="21" t="str">
        <f>IF(NOT(Anime!AI119=""),Anime!AI119,"")</f>
        <v/>
      </c>
      <c r="R118" s="66" t="str">
        <f>IF(NOT(Anime!AJ119=""),Anime!AJ119,"")</f>
        <v/>
      </c>
      <c r="S118" s="135" t="str">
        <f>IF(NOT(Anime!AK125=""),Anime!AK125,"")</f>
        <v/>
      </c>
    </row>
    <row r="119" spans="1:19" ht="16.5">
      <c r="A119" s="12" t="str">
        <f>IF(NOT(Anime!R120=""),Anime!R120,"")</f>
        <v/>
      </c>
      <c r="B119" s="14" t="str">
        <f>IF(NOT(Anime!S120=""),Anime!S120,"")</f>
        <v/>
      </c>
      <c r="C119" s="14" t="str">
        <f>IF(NOT(Anime!T120=""),Anime!T120,"")</f>
        <v/>
      </c>
      <c r="D119" s="68" t="str">
        <f>IF(NOT(Anime!U120=""),Anime!U120,"")</f>
        <v/>
      </c>
      <c r="E119" s="131" t="str">
        <f>IF(NOT(Anime!W120=""),Anime!W120,"")</f>
        <v/>
      </c>
      <c r="F119" s="16" t="str">
        <f>IF(NOT(Anime!X120=""),Anime!X120,"")</f>
        <v/>
      </c>
      <c r="G119" s="16" t="str">
        <f>IF(NOT(Anime!Y120=""),Anime!Y120,"")</f>
        <v/>
      </c>
      <c r="H119" s="16" t="str">
        <f>IF(NOT(Anime!Z120=""),Anime!Z120,"")</f>
        <v/>
      </c>
      <c r="I119" s="16" t="str">
        <f>IF(NOT(Anime!AA120=""),Anime!AA120,"")</f>
        <v/>
      </c>
      <c r="J119" s="17" t="str">
        <f>IF(NOT(Anime!AB120=""),Anime!AB120,"")</f>
        <v/>
      </c>
      <c r="K119" s="18" t="str">
        <f>IF(NOT(Anime!AC120=""),Anime!AC120,"")</f>
        <v/>
      </c>
      <c r="L119" s="19" t="str">
        <f>IF(NOT(Anime!AD120=""),Anime!AD120,"")</f>
        <v/>
      </c>
      <c r="M119" s="72" t="str">
        <f>IF(NOT(Anime!AE120=""),Anime!AE120,"")</f>
        <v/>
      </c>
      <c r="N119" s="21" t="str">
        <f>IF(NOT(Anime!AF120=""),Anime!AF120,"")</f>
        <v/>
      </c>
      <c r="O119" s="129" t="str">
        <f>IF(NOT(Anime!AG120=""),Anime!AG120,"")</f>
        <v/>
      </c>
      <c r="P119" s="21" t="str">
        <f>IF(NOT(Anime!AH120=""),Anime!AH120,"")</f>
        <v/>
      </c>
      <c r="Q119" s="21" t="str">
        <f>IF(NOT(Anime!AI120=""),Anime!AI120,"")</f>
        <v/>
      </c>
      <c r="R119" s="66" t="str">
        <f>IF(NOT(Anime!AJ120=""),Anime!AJ120,"")</f>
        <v/>
      </c>
      <c r="S119" s="135" t="str">
        <f>IF(NOT(Anime!AK126=""),Anime!AK126,"")</f>
        <v/>
      </c>
    </row>
    <row r="120" spans="1:19" ht="16.5">
      <c r="A120" s="12" t="str">
        <f>IF(NOT(Anime!R121=""),Anime!R121,"")</f>
        <v/>
      </c>
      <c r="B120" s="14" t="str">
        <f>IF(NOT(Anime!S121=""),Anime!S121,"")</f>
        <v/>
      </c>
      <c r="C120" s="14" t="str">
        <f>IF(NOT(Anime!T121=""),Anime!T121,"")</f>
        <v/>
      </c>
      <c r="D120" s="68" t="str">
        <f>IF(NOT(Anime!U121=""),Anime!U121,"")</f>
        <v/>
      </c>
      <c r="E120" s="131" t="str">
        <f>IF(NOT(Anime!W121=""),Anime!W121,"")</f>
        <v/>
      </c>
      <c r="F120" s="16" t="str">
        <f>IF(NOT(Anime!X121=""),Anime!X121,"")</f>
        <v/>
      </c>
      <c r="G120" s="16" t="str">
        <f>IF(NOT(Anime!Y121=""),Anime!Y121,"")</f>
        <v/>
      </c>
      <c r="H120" s="16" t="str">
        <f>IF(NOT(Anime!Z121=""),Anime!Z121,"")</f>
        <v/>
      </c>
      <c r="I120" s="16" t="str">
        <f>IF(NOT(Anime!AA121=""),Anime!AA121,"")</f>
        <v/>
      </c>
      <c r="J120" s="17" t="str">
        <f>IF(NOT(Anime!AB121=""),Anime!AB121,"")</f>
        <v/>
      </c>
      <c r="K120" s="18" t="str">
        <f>IF(NOT(Anime!AC121=""),Anime!AC121,"")</f>
        <v/>
      </c>
      <c r="L120" s="19" t="str">
        <f>IF(NOT(Anime!AD121=""),Anime!AD121,"")</f>
        <v/>
      </c>
      <c r="M120" s="72" t="str">
        <f>IF(NOT(Anime!AE121=""),Anime!AE121,"")</f>
        <v/>
      </c>
      <c r="N120" s="21" t="str">
        <f>IF(NOT(Anime!AF121=""),Anime!AF121,"")</f>
        <v/>
      </c>
      <c r="O120" s="129" t="str">
        <f>IF(NOT(Anime!AG121=""),Anime!AG121,"")</f>
        <v/>
      </c>
      <c r="P120" s="21" t="str">
        <f>IF(NOT(Anime!AH121=""),Anime!AH121,"")</f>
        <v/>
      </c>
      <c r="Q120" s="21" t="str">
        <f>IF(NOT(Anime!AI121=""),Anime!AI121,"")</f>
        <v/>
      </c>
      <c r="R120" s="66" t="str">
        <f>IF(NOT(Anime!AJ121=""),Anime!AJ121,"")</f>
        <v/>
      </c>
      <c r="S120" s="135" t="str">
        <f>IF(NOT(Anime!AK127=""),Anime!AK127,"")</f>
        <v/>
      </c>
    </row>
    <row r="121" spans="1:19" ht="16.5">
      <c r="A121" s="12" t="str">
        <f>IF(NOT(Anime!R122=""),Anime!R122,"")</f>
        <v/>
      </c>
      <c r="B121" s="14" t="str">
        <f>IF(NOT(Anime!S122=""),Anime!S122,"")</f>
        <v/>
      </c>
      <c r="C121" s="14" t="str">
        <f>IF(NOT(Anime!T122=""),Anime!T122,"")</f>
        <v/>
      </c>
      <c r="D121" s="68" t="str">
        <f>IF(NOT(Anime!U122=""),Anime!U122,"")</f>
        <v/>
      </c>
      <c r="E121" s="131" t="str">
        <f>IF(NOT(Anime!W122=""),Anime!W122,"")</f>
        <v/>
      </c>
      <c r="F121" s="16" t="str">
        <f>IF(NOT(Anime!X122=""),Anime!X122,"")</f>
        <v/>
      </c>
      <c r="G121" s="16" t="str">
        <f>IF(NOT(Anime!Y122=""),Anime!Y122,"")</f>
        <v/>
      </c>
      <c r="H121" s="16" t="str">
        <f>IF(NOT(Anime!Z122=""),Anime!Z122,"")</f>
        <v/>
      </c>
      <c r="I121" s="16" t="str">
        <f>IF(NOT(Anime!AA122=""),Anime!AA122,"")</f>
        <v/>
      </c>
      <c r="J121" s="17" t="str">
        <f>IF(NOT(Anime!AB122=""),Anime!AB122,"")</f>
        <v/>
      </c>
      <c r="K121" s="18" t="str">
        <f>IF(NOT(Anime!AC122=""),Anime!AC122,"")</f>
        <v/>
      </c>
      <c r="L121" s="19" t="str">
        <f>IF(NOT(Anime!AD122=""),Anime!AD122,"")</f>
        <v/>
      </c>
      <c r="M121" s="72" t="str">
        <f>IF(NOT(Anime!AE122=""),Anime!AE122,"")</f>
        <v/>
      </c>
      <c r="N121" s="21" t="str">
        <f>IF(NOT(Anime!AF122=""),Anime!AF122,"")</f>
        <v/>
      </c>
      <c r="O121" s="129" t="str">
        <f>IF(NOT(Anime!AG122=""),Anime!AG122,"")</f>
        <v/>
      </c>
      <c r="P121" s="21" t="str">
        <f>IF(NOT(Anime!AH122=""),Anime!AH122,"")</f>
        <v/>
      </c>
      <c r="Q121" s="21" t="str">
        <f>IF(NOT(Anime!AI122=""),Anime!AI122,"")</f>
        <v/>
      </c>
      <c r="R121" s="66" t="str">
        <f>IF(NOT(Anime!AJ122=""),Anime!AJ122,"")</f>
        <v/>
      </c>
      <c r="S121" s="135" t="str">
        <f>IF(NOT(Anime!AK128=""),Anime!AK128,"")</f>
        <v/>
      </c>
    </row>
    <row r="122" spans="1:19" ht="16.5">
      <c r="A122" s="12" t="str">
        <f>IF(NOT(Anime!R123=""),Anime!R123,"")</f>
        <v/>
      </c>
      <c r="B122" s="14" t="str">
        <f>IF(NOT(Anime!S123=""),Anime!S123,"")</f>
        <v/>
      </c>
      <c r="C122" s="14" t="str">
        <f>IF(NOT(Anime!T123=""),Anime!T123,"")</f>
        <v/>
      </c>
      <c r="D122" s="68" t="str">
        <f>IF(NOT(Anime!U123=""),Anime!U123,"")</f>
        <v/>
      </c>
      <c r="E122" s="131" t="str">
        <f>IF(NOT(Anime!W123=""),Anime!W123,"")</f>
        <v/>
      </c>
      <c r="F122" s="16" t="str">
        <f>IF(NOT(Anime!X123=""),Anime!X123,"")</f>
        <v/>
      </c>
      <c r="G122" s="16" t="str">
        <f>IF(NOT(Anime!Y123=""),Anime!Y123,"")</f>
        <v/>
      </c>
      <c r="H122" s="16" t="str">
        <f>IF(NOT(Anime!Z123=""),Anime!Z123,"")</f>
        <v/>
      </c>
      <c r="I122" s="16" t="str">
        <f>IF(NOT(Anime!AA123=""),Anime!AA123,"")</f>
        <v/>
      </c>
      <c r="J122" s="17" t="str">
        <f>IF(NOT(Anime!AB123=""),Anime!AB123,"")</f>
        <v/>
      </c>
      <c r="K122" s="18" t="str">
        <f>IF(NOT(Anime!AC123=""),Anime!AC123,"")</f>
        <v/>
      </c>
      <c r="L122" s="19" t="str">
        <f>IF(NOT(Anime!AD123=""),Anime!AD123,"")</f>
        <v/>
      </c>
      <c r="M122" s="72" t="str">
        <f>IF(NOT(Anime!AE123=""),Anime!AE123,"")</f>
        <v/>
      </c>
      <c r="N122" s="21" t="str">
        <f>IF(NOT(Anime!AF123=""),Anime!AF123,"")</f>
        <v/>
      </c>
      <c r="O122" s="129" t="str">
        <f>IF(NOT(Anime!AG123=""),Anime!AG123,"")</f>
        <v/>
      </c>
      <c r="P122" s="21" t="str">
        <f>IF(NOT(Anime!AH123=""),Anime!AH123,"")</f>
        <v/>
      </c>
      <c r="Q122" s="21" t="str">
        <f>IF(NOT(Anime!AI123=""),Anime!AI123,"")</f>
        <v/>
      </c>
      <c r="R122" s="66" t="str">
        <f>IF(NOT(Anime!AJ123=""),Anime!AJ123,"")</f>
        <v/>
      </c>
      <c r="S122" s="135" t="str">
        <f>IF(NOT(Anime!AK129=""),Anime!AK129,"")</f>
        <v/>
      </c>
    </row>
    <row r="123" spans="1:19" ht="16.5">
      <c r="A123" s="12" t="str">
        <f>IF(NOT(Anime!R124=""),Anime!R124,"")</f>
        <v/>
      </c>
      <c r="B123" s="14" t="str">
        <f>IF(NOT(Anime!S124=""),Anime!S124,"")</f>
        <v/>
      </c>
      <c r="C123" s="14" t="str">
        <f>IF(NOT(Anime!T124=""),Anime!T124,"")</f>
        <v/>
      </c>
      <c r="D123" s="68" t="str">
        <f>IF(NOT(Anime!U124=""),Anime!U124,"")</f>
        <v/>
      </c>
      <c r="E123" s="131" t="str">
        <f>IF(NOT(Anime!W124=""),Anime!W124,"")</f>
        <v/>
      </c>
      <c r="F123" s="16" t="str">
        <f>IF(NOT(Anime!X124=""),Anime!X124,"")</f>
        <v/>
      </c>
      <c r="G123" s="16" t="str">
        <f>IF(NOT(Anime!Y124=""),Anime!Y124,"")</f>
        <v/>
      </c>
      <c r="H123" s="16" t="str">
        <f>IF(NOT(Anime!Z124=""),Anime!Z124,"")</f>
        <v/>
      </c>
      <c r="I123" s="16" t="str">
        <f>IF(NOT(Anime!AA124=""),Anime!AA124,"")</f>
        <v/>
      </c>
      <c r="J123" s="17" t="str">
        <f>IF(NOT(Anime!AB124=""),Anime!AB124,"")</f>
        <v/>
      </c>
      <c r="K123" s="18" t="str">
        <f>IF(NOT(Anime!AC124=""),Anime!AC124,"")</f>
        <v/>
      </c>
      <c r="L123" s="19" t="str">
        <f>IF(NOT(Anime!AD124=""),Anime!AD124,"")</f>
        <v/>
      </c>
      <c r="M123" s="72" t="str">
        <f>IF(NOT(Anime!AE124=""),Anime!AE124,"")</f>
        <v/>
      </c>
      <c r="N123" s="21" t="str">
        <f>IF(NOT(Anime!AF124=""),Anime!AF124,"")</f>
        <v/>
      </c>
      <c r="O123" s="129" t="str">
        <f>IF(NOT(Anime!AG124=""),Anime!AG124,"")</f>
        <v/>
      </c>
      <c r="P123" s="21" t="str">
        <f>IF(NOT(Anime!AH124=""),Anime!AH124,"")</f>
        <v/>
      </c>
      <c r="Q123" s="21" t="str">
        <f>IF(NOT(Anime!AI124=""),Anime!AI124,"")</f>
        <v/>
      </c>
      <c r="R123" s="66" t="str">
        <f>IF(NOT(Anime!AJ124=""),Anime!AJ124,"")</f>
        <v/>
      </c>
      <c r="S123" s="135" t="str">
        <f>IF(NOT(Anime!AK130=""),Anime!AK130,"")</f>
        <v/>
      </c>
    </row>
    <row r="124" spans="1:19" ht="16.5">
      <c r="A124" s="12" t="str">
        <f>IF(NOT(Anime!R125=""),Anime!R125,"")</f>
        <v/>
      </c>
      <c r="B124" s="14" t="str">
        <f>IF(NOT(Anime!S125=""),Anime!S125,"")</f>
        <v/>
      </c>
      <c r="C124" s="14" t="str">
        <f>IF(NOT(Anime!T125=""),Anime!T125,"")</f>
        <v/>
      </c>
      <c r="D124" s="68" t="str">
        <f>IF(NOT(Anime!U125=""),Anime!U125,"")</f>
        <v/>
      </c>
      <c r="E124" s="131" t="str">
        <f>IF(NOT(Anime!W125=""),Anime!W125,"")</f>
        <v/>
      </c>
      <c r="F124" s="16" t="str">
        <f>IF(NOT(Anime!X125=""),Anime!X125,"")</f>
        <v/>
      </c>
      <c r="G124" s="16" t="str">
        <f>IF(NOT(Anime!Y125=""),Anime!Y125,"")</f>
        <v/>
      </c>
      <c r="H124" s="16" t="str">
        <f>IF(NOT(Anime!Z125=""),Anime!Z125,"")</f>
        <v/>
      </c>
      <c r="I124" s="16" t="str">
        <f>IF(NOT(Anime!AA125=""),Anime!AA125,"")</f>
        <v/>
      </c>
      <c r="J124" s="17" t="str">
        <f>IF(NOT(Anime!AB125=""),Anime!AB125,"")</f>
        <v/>
      </c>
      <c r="K124" s="18" t="str">
        <f>IF(NOT(Anime!AC125=""),Anime!AC125,"")</f>
        <v/>
      </c>
      <c r="L124" s="19" t="str">
        <f>IF(NOT(Anime!AD125=""),Anime!AD125,"")</f>
        <v/>
      </c>
      <c r="M124" s="72" t="str">
        <f>IF(NOT(Anime!AE125=""),Anime!AE125,"")</f>
        <v/>
      </c>
      <c r="N124" s="21" t="str">
        <f>IF(NOT(Anime!AF125=""),Anime!AF125,"")</f>
        <v/>
      </c>
      <c r="O124" s="129" t="str">
        <f>IF(NOT(Anime!AG125=""),Anime!AG125,"")</f>
        <v/>
      </c>
      <c r="P124" s="21" t="str">
        <f>IF(NOT(Anime!AH125=""),Anime!AH125,"")</f>
        <v/>
      </c>
      <c r="Q124" s="21" t="str">
        <f>IF(NOT(Anime!AI125=""),Anime!AI125,"")</f>
        <v/>
      </c>
      <c r="R124" s="66" t="str">
        <f>IF(NOT(Anime!AJ125=""),Anime!AJ125,"")</f>
        <v/>
      </c>
      <c r="S124" s="135" t="str">
        <f>IF(NOT(Anime!AK131=""),Anime!AK131,"")</f>
        <v/>
      </c>
    </row>
    <row r="125" spans="1:19" ht="16.5">
      <c r="A125" s="12" t="str">
        <f>IF(NOT(Anime!R126=""),Anime!R126,"")</f>
        <v/>
      </c>
      <c r="B125" s="14" t="str">
        <f>IF(NOT(Anime!S126=""),Anime!S126,"")</f>
        <v/>
      </c>
      <c r="C125" s="14" t="str">
        <f>IF(NOT(Anime!T126=""),Anime!T126,"")</f>
        <v/>
      </c>
      <c r="D125" s="68" t="str">
        <f>IF(NOT(Anime!U126=""),Anime!U126,"")</f>
        <v/>
      </c>
      <c r="E125" s="131" t="str">
        <f>IF(NOT(Anime!W126=""),Anime!W126,"")</f>
        <v/>
      </c>
      <c r="F125" s="16" t="str">
        <f>IF(NOT(Anime!X126=""),Anime!X126,"")</f>
        <v/>
      </c>
      <c r="G125" s="16" t="str">
        <f>IF(NOT(Anime!Y126=""),Anime!Y126,"")</f>
        <v/>
      </c>
      <c r="H125" s="16" t="str">
        <f>IF(NOT(Anime!Z126=""),Anime!Z126,"")</f>
        <v/>
      </c>
      <c r="I125" s="16" t="str">
        <f>IF(NOT(Anime!AA126=""),Anime!AA126,"")</f>
        <v/>
      </c>
      <c r="J125" s="17" t="str">
        <f>IF(NOT(Anime!AB126=""),Anime!AB126,"")</f>
        <v/>
      </c>
      <c r="K125" s="18" t="str">
        <f>IF(NOT(Anime!AC126=""),Anime!AC126,"")</f>
        <v/>
      </c>
      <c r="L125" s="19" t="str">
        <f>IF(NOT(Anime!AD126=""),Anime!AD126,"")</f>
        <v/>
      </c>
      <c r="M125" s="72" t="str">
        <f>IF(NOT(Anime!AE126=""),Anime!AE126,"")</f>
        <v/>
      </c>
      <c r="N125" s="21" t="str">
        <f>IF(NOT(Anime!AF126=""),Anime!AF126,"")</f>
        <v/>
      </c>
      <c r="O125" s="129" t="str">
        <f>IF(NOT(Anime!AG126=""),Anime!AG126,"")</f>
        <v/>
      </c>
      <c r="P125" s="21" t="str">
        <f>IF(NOT(Anime!AH126=""),Anime!AH126,"")</f>
        <v/>
      </c>
      <c r="Q125" s="21" t="str">
        <f>IF(NOT(Anime!AI126=""),Anime!AI126,"")</f>
        <v/>
      </c>
      <c r="R125" s="66" t="str">
        <f>IF(NOT(Anime!AJ126=""),Anime!AJ126,"")</f>
        <v/>
      </c>
      <c r="S125" s="135" t="str">
        <f>IF(NOT(Anime!AK132=""),Anime!AK132,"")</f>
        <v/>
      </c>
    </row>
    <row r="126" spans="1:19" ht="16.5">
      <c r="A126" s="12" t="str">
        <f>IF(NOT(Anime!R127=""),Anime!R127,"")</f>
        <v/>
      </c>
      <c r="B126" s="14" t="str">
        <f>IF(NOT(Anime!S127=""),Anime!S127,"")</f>
        <v/>
      </c>
      <c r="C126" s="14" t="str">
        <f>IF(NOT(Anime!T127=""),Anime!T127,"")</f>
        <v/>
      </c>
      <c r="D126" s="68" t="str">
        <f>IF(NOT(Anime!U127=""),Anime!U127,"")</f>
        <v/>
      </c>
      <c r="E126" s="131" t="str">
        <f>IF(NOT(Anime!W127=""),Anime!W127,"")</f>
        <v/>
      </c>
      <c r="F126" s="16" t="str">
        <f>IF(NOT(Anime!X127=""),Anime!X127,"")</f>
        <v/>
      </c>
      <c r="G126" s="16" t="str">
        <f>IF(NOT(Anime!Y127=""),Anime!Y127,"")</f>
        <v/>
      </c>
      <c r="H126" s="16" t="str">
        <f>IF(NOT(Anime!Z127=""),Anime!Z127,"")</f>
        <v/>
      </c>
      <c r="I126" s="16" t="str">
        <f>IF(NOT(Anime!AA127=""),Anime!AA127,"")</f>
        <v/>
      </c>
      <c r="J126" s="17" t="str">
        <f>IF(NOT(Anime!AB127=""),Anime!AB127,"")</f>
        <v/>
      </c>
      <c r="K126" s="18" t="str">
        <f>IF(NOT(Anime!AC127=""),Anime!AC127,"")</f>
        <v/>
      </c>
      <c r="L126" s="19" t="str">
        <f>IF(NOT(Anime!AD127=""),Anime!AD127,"")</f>
        <v/>
      </c>
      <c r="M126" s="72" t="str">
        <f>IF(NOT(Anime!AE127=""),Anime!AE127,"")</f>
        <v/>
      </c>
      <c r="N126" s="21" t="str">
        <f>IF(NOT(Anime!AF127=""),Anime!AF127,"")</f>
        <v/>
      </c>
      <c r="O126" s="129" t="str">
        <f>IF(NOT(Anime!AG127=""),Anime!AG127,"")</f>
        <v/>
      </c>
      <c r="P126" s="21" t="str">
        <f>IF(NOT(Anime!AH127=""),Anime!AH127,"")</f>
        <v/>
      </c>
      <c r="Q126" s="21" t="str">
        <f>IF(NOT(Anime!AI127=""),Anime!AI127,"")</f>
        <v/>
      </c>
      <c r="R126" s="66" t="str">
        <f>IF(NOT(Anime!AJ127=""),Anime!AJ127,"")</f>
        <v/>
      </c>
      <c r="S126" s="135" t="str">
        <f>IF(NOT(Anime!AK133=""),Anime!AK133,"")</f>
        <v/>
      </c>
    </row>
    <row r="127" spans="1:19" ht="16.5">
      <c r="A127" s="12" t="str">
        <f>IF(NOT(Anime!R128=""),Anime!R128,"")</f>
        <v/>
      </c>
      <c r="B127" s="14" t="str">
        <f>IF(NOT(Anime!S128=""),Anime!S128,"")</f>
        <v/>
      </c>
      <c r="C127" s="14" t="str">
        <f>IF(NOT(Anime!T128=""),Anime!T128,"")</f>
        <v/>
      </c>
      <c r="D127" s="68" t="str">
        <f>IF(NOT(Anime!U128=""),Anime!U128,"")</f>
        <v/>
      </c>
      <c r="E127" s="131" t="str">
        <f>IF(NOT(Anime!W128=""),Anime!W128,"")</f>
        <v/>
      </c>
      <c r="F127" s="16" t="str">
        <f>IF(NOT(Anime!X128=""),Anime!X128,"")</f>
        <v/>
      </c>
      <c r="G127" s="16" t="str">
        <f>IF(NOT(Anime!Y128=""),Anime!Y128,"")</f>
        <v/>
      </c>
      <c r="H127" s="16" t="str">
        <f>IF(NOT(Anime!Z128=""),Anime!Z128,"")</f>
        <v/>
      </c>
      <c r="I127" s="16" t="str">
        <f>IF(NOT(Anime!AA128=""),Anime!AA128,"")</f>
        <v/>
      </c>
      <c r="J127" s="17" t="str">
        <f>IF(NOT(Anime!AB128=""),Anime!AB128,"")</f>
        <v/>
      </c>
      <c r="K127" s="18" t="str">
        <f>IF(NOT(Anime!AC128=""),Anime!AC128,"")</f>
        <v/>
      </c>
      <c r="L127" s="19" t="str">
        <f>IF(NOT(Anime!AD128=""),Anime!AD128,"")</f>
        <v/>
      </c>
      <c r="M127" s="72" t="str">
        <f>IF(NOT(Anime!AE128=""),Anime!AE128,"")</f>
        <v/>
      </c>
      <c r="N127" s="21" t="str">
        <f>IF(NOT(Anime!AF128=""),Anime!AF128,"")</f>
        <v/>
      </c>
      <c r="O127" s="129" t="str">
        <f>IF(NOT(Anime!AG128=""),Anime!AG128,"")</f>
        <v/>
      </c>
      <c r="P127" s="21" t="str">
        <f>IF(NOT(Anime!AH128=""),Anime!AH128,"")</f>
        <v/>
      </c>
      <c r="Q127" s="21" t="str">
        <f>IF(NOT(Anime!AI128=""),Anime!AI128,"")</f>
        <v/>
      </c>
      <c r="R127" s="66" t="str">
        <f>IF(NOT(Anime!AJ128=""),Anime!AJ128,"")</f>
        <v/>
      </c>
      <c r="S127" s="135" t="str">
        <f>IF(NOT(Anime!AK134=""),Anime!AK134,"")</f>
        <v/>
      </c>
    </row>
    <row r="128" spans="1:19" ht="16.5">
      <c r="A128" s="12" t="str">
        <f>IF(NOT(Anime!R129=""),Anime!R129,"")</f>
        <v/>
      </c>
      <c r="B128" s="14" t="str">
        <f>IF(NOT(Anime!S129=""),Anime!S129,"")</f>
        <v/>
      </c>
      <c r="C128" s="14" t="str">
        <f>IF(NOT(Anime!T129=""),Anime!T129,"")</f>
        <v/>
      </c>
      <c r="D128" s="68" t="str">
        <f>IF(NOT(Anime!U129=""),Anime!U129,"")</f>
        <v/>
      </c>
      <c r="E128" s="131" t="str">
        <f>IF(NOT(Anime!W129=""),Anime!W129,"")</f>
        <v/>
      </c>
      <c r="F128" s="16" t="str">
        <f>IF(NOT(Anime!X129=""),Anime!X129,"")</f>
        <v/>
      </c>
      <c r="G128" s="16" t="str">
        <f>IF(NOT(Anime!Y129=""),Anime!Y129,"")</f>
        <v/>
      </c>
      <c r="H128" s="16" t="str">
        <f>IF(NOT(Anime!Z129=""),Anime!Z129,"")</f>
        <v/>
      </c>
      <c r="I128" s="16" t="str">
        <f>IF(NOT(Anime!AA129=""),Anime!AA129,"")</f>
        <v/>
      </c>
      <c r="J128" s="17" t="str">
        <f>IF(NOT(Anime!AB129=""),Anime!AB129,"")</f>
        <v/>
      </c>
      <c r="K128" s="18" t="str">
        <f>IF(NOT(Anime!AC129=""),Anime!AC129,"")</f>
        <v/>
      </c>
      <c r="L128" s="19" t="str">
        <f>IF(NOT(Anime!AD129=""),Anime!AD129,"")</f>
        <v/>
      </c>
      <c r="M128" s="72" t="str">
        <f>IF(NOT(Anime!AE129=""),Anime!AE129,"")</f>
        <v/>
      </c>
      <c r="N128" s="21" t="str">
        <f>IF(NOT(Anime!AF129=""),Anime!AF129,"")</f>
        <v/>
      </c>
      <c r="O128" s="129" t="str">
        <f>IF(NOT(Anime!AG129=""),Anime!AG129,"")</f>
        <v/>
      </c>
      <c r="P128" s="21" t="str">
        <f>IF(NOT(Anime!AH129=""),Anime!AH129,"")</f>
        <v/>
      </c>
      <c r="Q128" s="21" t="str">
        <f>IF(NOT(Anime!AI129=""),Anime!AI129,"")</f>
        <v/>
      </c>
      <c r="R128" s="66" t="str">
        <f>IF(NOT(Anime!AJ129=""),Anime!AJ129,"")</f>
        <v/>
      </c>
      <c r="S128" s="135" t="str">
        <f>IF(NOT(Anime!AK135=""),Anime!AK135,"")</f>
        <v/>
      </c>
    </row>
    <row r="129" spans="1:19" ht="16.5">
      <c r="A129" s="12" t="str">
        <f>IF(NOT(Anime!R130=""),Anime!R130,"")</f>
        <v/>
      </c>
      <c r="B129" s="14" t="str">
        <f>IF(NOT(Anime!S130=""),Anime!S130,"")</f>
        <v/>
      </c>
      <c r="C129" s="14" t="str">
        <f>IF(NOT(Anime!T130=""),Anime!T130,"")</f>
        <v/>
      </c>
      <c r="D129" s="68" t="str">
        <f>IF(NOT(Anime!U130=""),Anime!U130,"")</f>
        <v/>
      </c>
      <c r="E129" s="131" t="str">
        <f>IF(NOT(Anime!W130=""),Anime!W130,"")</f>
        <v/>
      </c>
      <c r="F129" s="16" t="str">
        <f>IF(NOT(Anime!X130=""),Anime!X130,"")</f>
        <v/>
      </c>
      <c r="G129" s="16" t="str">
        <f>IF(NOT(Anime!Y130=""),Anime!Y130,"")</f>
        <v/>
      </c>
      <c r="H129" s="16" t="str">
        <f>IF(NOT(Anime!Z130=""),Anime!Z130,"")</f>
        <v/>
      </c>
      <c r="I129" s="16" t="str">
        <f>IF(NOT(Anime!AA130=""),Anime!AA130,"")</f>
        <v/>
      </c>
      <c r="J129" s="17" t="str">
        <f>IF(NOT(Anime!AB130=""),Anime!AB130,"")</f>
        <v/>
      </c>
      <c r="K129" s="18" t="str">
        <f>IF(NOT(Anime!AC130=""),Anime!AC130,"")</f>
        <v/>
      </c>
      <c r="L129" s="19" t="str">
        <f>IF(NOT(Anime!AD130=""),Anime!AD130,"")</f>
        <v/>
      </c>
      <c r="M129" s="72" t="str">
        <f>IF(NOT(Anime!AE130=""),Anime!AE130,"")</f>
        <v/>
      </c>
      <c r="N129" s="21" t="str">
        <f>IF(NOT(Anime!AF130=""),Anime!AF130,"")</f>
        <v/>
      </c>
      <c r="O129" s="129" t="str">
        <f>IF(NOT(Anime!AG130=""),Anime!AG130,"")</f>
        <v/>
      </c>
      <c r="P129" s="21" t="str">
        <f>IF(NOT(Anime!AH130=""),Anime!AH130,"")</f>
        <v/>
      </c>
      <c r="Q129" s="21" t="str">
        <f>IF(NOT(Anime!AI130=""),Anime!AI130,"")</f>
        <v/>
      </c>
      <c r="R129" s="66" t="str">
        <f>IF(NOT(Anime!AJ130=""),Anime!AJ130,"")</f>
        <v/>
      </c>
      <c r="S129" s="135" t="str">
        <f>IF(NOT(Anime!AK136=""),Anime!AK136,"")</f>
        <v/>
      </c>
    </row>
    <row r="130" spans="1:19" ht="16.5">
      <c r="A130" s="12" t="str">
        <f>IF(NOT(Anime!R131=""),Anime!R131,"")</f>
        <v/>
      </c>
      <c r="B130" s="14" t="str">
        <f>IF(NOT(Anime!S131=""),Anime!S131,"")</f>
        <v/>
      </c>
      <c r="C130" s="14" t="str">
        <f>IF(NOT(Anime!T131=""),Anime!T131,"")</f>
        <v/>
      </c>
      <c r="D130" s="68" t="str">
        <f>IF(NOT(Anime!U131=""),Anime!U131,"")</f>
        <v/>
      </c>
      <c r="E130" s="131" t="str">
        <f>IF(NOT(Anime!W131=""),Anime!W131,"")</f>
        <v/>
      </c>
      <c r="F130" s="16" t="str">
        <f>IF(NOT(Anime!X131=""),Anime!X131,"")</f>
        <v/>
      </c>
      <c r="G130" s="16" t="str">
        <f>IF(NOT(Anime!Y131=""),Anime!Y131,"")</f>
        <v/>
      </c>
      <c r="H130" s="16" t="str">
        <f>IF(NOT(Anime!Z131=""),Anime!Z131,"")</f>
        <v/>
      </c>
      <c r="I130" s="16" t="str">
        <f>IF(NOT(Anime!AA131=""),Anime!AA131,"")</f>
        <v/>
      </c>
      <c r="J130" s="17" t="str">
        <f>IF(NOT(Anime!AB131=""),Anime!AB131,"")</f>
        <v/>
      </c>
      <c r="K130" s="18" t="str">
        <f>IF(NOT(Anime!AC131=""),Anime!AC131,"")</f>
        <v/>
      </c>
      <c r="L130" s="19" t="str">
        <f>IF(NOT(Anime!AD131=""),Anime!AD131,"")</f>
        <v/>
      </c>
      <c r="M130" s="72" t="str">
        <f>IF(NOT(Anime!AE131=""),Anime!AE131,"")</f>
        <v/>
      </c>
      <c r="N130" s="21" t="str">
        <f>IF(NOT(Anime!AF131=""),Anime!AF131,"")</f>
        <v/>
      </c>
      <c r="O130" s="129" t="str">
        <f>IF(NOT(Anime!AG131=""),Anime!AG131,"")</f>
        <v/>
      </c>
      <c r="P130" s="21" t="str">
        <f>IF(NOT(Anime!AH131=""),Anime!AH131,"")</f>
        <v/>
      </c>
      <c r="Q130" s="21" t="str">
        <f>IF(NOT(Anime!AI131=""),Anime!AI131,"")</f>
        <v/>
      </c>
      <c r="R130" s="66" t="str">
        <f>IF(NOT(Anime!AJ131=""),Anime!AJ131,"")</f>
        <v/>
      </c>
      <c r="S130" s="135" t="str">
        <f>IF(NOT(Anime!AK137=""),Anime!AK137,"")</f>
        <v/>
      </c>
    </row>
    <row r="131" spans="1:19" ht="16.5">
      <c r="A131" s="12" t="str">
        <f>IF(NOT(Anime!R132=""),Anime!R132,"")</f>
        <v/>
      </c>
      <c r="B131" s="14" t="str">
        <f>IF(NOT(Anime!S132=""),Anime!S132,"")</f>
        <v/>
      </c>
      <c r="C131" s="14" t="str">
        <f>IF(NOT(Anime!T132=""),Anime!T132,"")</f>
        <v/>
      </c>
      <c r="D131" s="68" t="str">
        <f>IF(NOT(Anime!U132=""),Anime!U132,"")</f>
        <v/>
      </c>
      <c r="E131" s="131" t="str">
        <f>IF(NOT(Anime!W132=""),Anime!W132,"")</f>
        <v/>
      </c>
      <c r="F131" s="16" t="str">
        <f>IF(NOT(Anime!X132=""),Anime!X132,"")</f>
        <v/>
      </c>
      <c r="G131" s="16" t="str">
        <f>IF(NOT(Anime!Y132=""),Anime!Y132,"")</f>
        <v/>
      </c>
      <c r="H131" s="16" t="str">
        <f>IF(NOT(Anime!Z132=""),Anime!Z132,"")</f>
        <v/>
      </c>
      <c r="I131" s="16" t="str">
        <f>IF(NOT(Anime!AA132=""),Anime!AA132,"")</f>
        <v/>
      </c>
      <c r="J131" s="17" t="str">
        <f>IF(NOT(Anime!AB132=""),Anime!AB132,"")</f>
        <v/>
      </c>
      <c r="K131" s="18" t="str">
        <f>IF(NOT(Anime!AC132=""),Anime!AC132,"")</f>
        <v/>
      </c>
      <c r="L131" s="19" t="str">
        <f>IF(NOT(Anime!AD132=""),Anime!AD132,"")</f>
        <v/>
      </c>
      <c r="M131" s="72" t="str">
        <f>IF(NOT(Anime!AE132=""),Anime!AE132,"")</f>
        <v/>
      </c>
      <c r="N131" s="21" t="str">
        <f>IF(NOT(Anime!AF132=""),Anime!AF132,"")</f>
        <v/>
      </c>
      <c r="O131" s="129" t="str">
        <f>IF(NOT(Anime!AG132=""),Anime!AG132,"")</f>
        <v/>
      </c>
      <c r="P131" s="21" t="str">
        <f>IF(NOT(Anime!AH132=""),Anime!AH132,"")</f>
        <v/>
      </c>
      <c r="Q131" s="21" t="str">
        <f>IF(NOT(Anime!AI132=""),Anime!AI132,"")</f>
        <v/>
      </c>
      <c r="R131" s="66" t="str">
        <f>IF(NOT(Anime!AJ132=""),Anime!AJ132,"")</f>
        <v/>
      </c>
      <c r="S131" s="135" t="str">
        <f>IF(NOT(Anime!AK138=""),Anime!AK138,"")</f>
        <v/>
      </c>
    </row>
    <row r="132" spans="1:19" ht="16.5">
      <c r="A132" s="12" t="str">
        <f>IF(NOT(Anime!R133=""),Anime!R133,"")</f>
        <v/>
      </c>
      <c r="B132" s="14" t="str">
        <f>IF(NOT(Anime!S133=""),Anime!S133,"")</f>
        <v/>
      </c>
      <c r="C132" s="14" t="str">
        <f>IF(NOT(Anime!T133=""),Anime!T133,"")</f>
        <v/>
      </c>
      <c r="D132" s="68" t="str">
        <f>IF(NOT(Anime!U133=""),Anime!U133,"")</f>
        <v/>
      </c>
      <c r="E132" s="131" t="str">
        <f>IF(NOT(Anime!W133=""),Anime!W133,"")</f>
        <v/>
      </c>
      <c r="F132" s="16" t="str">
        <f>IF(NOT(Anime!X133=""),Anime!X133,"")</f>
        <v/>
      </c>
      <c r="G132" s="16" t="str">
        <f>IF(NOT(Anime!Y133=""),Anime!Y133,"")</f>
        <v/>
      </c>
      <c r="H132" s="16" t="str">
        <f>IF(NOT(Anime!Z133=""),Anime!Z133,"")</f>
        <v/>
      </c>
      <c r="I132" s="16" t="str">
        <f>IF(NOT(Anime!AA133=""),Anime!AA133,"")</f>
        <v/>
      </c>
      <c r="J132" s="17" t="str">
        <f>IF(NOT(Anime!AB133=""),Anime!AB133,"")</f>
        <v/>
      </c>
      <c r="K132" s="18" t="str">
        <f>IF(NOT(Anime!AC133=""),Anime!AC133,"")</f>
        <v/>
      </c>
      <c r="L132" s="19" t="str">
        <f>IF(NOT(Anime!AD133=""),Anime!AD133,"")</f>
        <v/>
      </c>
      <c r="M132" s="72" t="str">
        <f>IF(NOT(Anime!AE133=""),Anime!AE133,"")</f>
        <v/>
      </c>
      <c r="N132" s="21" t="str">
        <f>IF(NOT(Anime!AF133=""),Anime!AF133,"")</f>
        <v/>
      </c>
      <c r="O132" s="129" t="str">
        <f>IF(NOT(Anime!AG133=""),Anime!AG133,"")</f>
        <v/>
      </c>
      <c r="P132" s="21" t="str">
        <f>IF(NOT(Anime!AH133=""),Anime!AH133,"")</f>
        <v/>
      </c>
      <c r="Q132" s="21" t="str">
        <f>IF(NOT(Anime!AI133=""),Anime!AI133,"")</f>
        <v/>
      </c>
      <c r="R132" s="66" t="str">
        <f>IF(NOT(Anime!AJ133=""),Anime!AJ133,"")</f>
        <v/>
      </c>
      <c r="S132" s="135" t="str">
        <f>IF(NOT(Anime!AK139=""),Anime!AK139,"")</f>
        <v/>
      </c>
    </row>
    <row r="133" spans="1:19" ht="16.5">
      <c r="A133" s="12" t="str">
        <f>IF(NOT(Anime!R134=""),Anime!R134,"")</f>
        <v/>
      </c>
      <c r="B133" s="14" t="str">
        <f>IF(NOT(Anime!S134=""),Anime!S134,"")</f>
        <v/>
      </c>
      <c r="C133" s="14" t="str">
        <f>IF(NOT(Anime!T134=""),Anime!T134,"")</f>
        <v/>
      </c>
      <c r="D133" s="68" t="str">
        <f>IF(NOT(Anime!U134=""),Anime!U134,"")</f>
        <v/>
      </c>
      <c r="E133" s="131" t="str">
        <f>IF(NOT(Anime!W134=""),Anime!W134,"")</f>
        <v/>
      </c>
      <c r="F133" s="16" t="str">
        <f>IF(NOT(Anime!X134=""),Anime!X134,"")</f>
        <v/>
      </c>
      <c r="G133" s="16" t="str">
        <f>IF(NOT(Anime!Y134=""),Anime!Y134,"")</f>
        <v/>
      </c>
      <c r="H133" s="16" t="str">
        <f>IF(NOT(Anime!Z134=""),Anime!Z134,"")</f>
        <v/>
      </c>
      <c r="I133" s="16" t="str">
        <f>IF(NOT(Anime!AA134=""),Anime!AA134,"")</f>
        <v/>
      </c>
      <c r="J133" s="17" t="str">
        <f>IF(NOT(Anime!AB134=""),Anime!AB134,"")</f>
        <v/>
      </c>
      <c r="K133" s="18" t="str">
        <f>IF(NOT(Anime!AC134=""),Anime!AC134,"")</f>
        <v/>
      </c>
      <c r="L133" s="19" t="str">
        <f>IF(NOT(Anime!AD134=""),Anime!AD134,"")</f>
        <v/>
      </c>
      <c r="M133" s="72" t="str">
        <f>IF(NOT(Anime!AE134=""),Anime!AE134,"")</f>
        <v/>
      </c>
      <c r="N133" s="21" t="str">
        <f>IF(NOT(Anime!AF134=""),Anime!AF134,"")</f>
        <v/>
      </c>
      <c r="O133" s="129" t="str">
        <f>IF(NOT(Anime!AG134=""),Anime!AG134,"")</f>
        <v/>
      </c>
      <c r="P133" s="21" t="str">
        <f>IF(NOT(Anime!AH134=""),Anime!AH134,"")</f>
        <v/>
      </c>
      <c r="Q133" s="21" t="str">
        <f>IF(NOT(Anime!AI134=""),Anime!AI134,"")</f>
        <v/>
      </c>
      <c r="R133" s="66" t="str">
        <f>IF(NOT(Anime!AJ134=""),Anime!AJ134,"")</f>
        <v/>
      </c>
      <c r="S133" s="135" t="str">
        <f>IF(NOT(Anime!AK140=""),Anime!AK140,"")</f>
        <v/>
      </c>
    </row>
    <row r="134" spans="1:19" ht="16.5">
      <c r="A134" s="12" t="str">
        <f>IF(NOT(Anime!R135=""),Anime!R135,"")</f>
        <v/>
      </c>
      <c r="B134" s="14" t="str">
        <f>IF(NOT(Anime!S135=""),Anime!S135,"")</f>
        <v/>
      </c>
      <c r="C134" s="14" t="str">
        <f>IF(NOT(Anime!T135=""),Anime!T135,"")</f>
        <v/>
      </c>
      <c r="D134" s="68" t="str">
        <f>IF(NOT(Anime!U135=""),Anime!U135,"")</f>
        <v/>
      </c>
      <c r="E134" s="131" t="str">
        <f>IF(NOT(Anime!W135=""),Anime!W135,"")</f>
        <v/>
      </c>
      <c r="F134" s="16" t="str">
        <f>IF(NOT(Anime!X135=""),Anime!X135,"")</f>
        <v/>
      </c>
      <c r="G134" s="16" t="str">
        <f>IF(NOT(Anime!Y135=""),Anime!Y135,"")</f>
        <v/>
      </c>
      <c r="H134" s="16" t="str">
        <f>IF(NOT(Anime!Z135=""),Anime!Z135,"")</f>
        <v/>
      </c>
      <c r="I134" s="16" t="str">
        <f>IF(NOT(Anime!AA135=""),Anime!AA135,"")</f>
        <v/>
      </c>
      <c r="J134" s="17" t="str">
        <f>IF(NOT(Anime!AB135=""),Anime!AB135,"")</f>
        <v/>
      </c>
      <c r="K134" s="18" t="str">
        <f>IF(NOT(Anime!AC135=""),Anime!AC135,"")</f>
        <v/>
      </c>
      <c r="L134" s="19" t="str">
        <f>IF(NOT(Anime!AD135=""),Anime!AD135,"")</f>
        <v/>
      </c>
      <c r="M134" s="72" t="str">
        <f>IF(NOT(Anime!AE135=""),Anime!AE135,"")</f>
        <v/>
      </c>
      <c r="N134" s="21" t="str">
        <f>IF(NOT(Anime!AF135=""),Anime!AF135,"")</f>
        <v/>
      </c>
      <c r="O134" s="129" t="str">
        <f>IF(NOT(Anime!AG135=""),Anime!AG135,"")</f>
        <v/>
      </c>
      <c r="P134" s="21" t="str">
        <f>IF(NOT(Anime!AH135=""),Anime!AH135,"")</f>
        <v/>
      </c>
      <c r="Q134" s="21" t="str">
        <f>IF(NOT(Anime!AI135=""),Anime!AI135,"")</f>
        <v/>
      </c>
      <c r="R134" s="66" t="str">
        <f>IF(NOT(Anime!AJ135=""),Anime!AJ135,"")</f>
        <v/>
      </c>
      <c r="S134" s="135" t="str">
        <f>IF(NOT(Anime!AK141=""),Anime!AK141,"")</f>
        <v/>
      </c>
    </row>
    <row r="135" spans="1:19" ht="16.5">
      <c r="A135" s="12" t="str">
        <f>IF(NOT(Anime!R136=""),Anime!R136,"")</f>
        <v/>
      </c>
      <c r="B135" s="14" t="str">
        <f>IF(NOT(Anime!S136=""),Anime!S136,"")</f>
        <v/>
      </c>
      <c r="C135" s="14" t="str">
        <f>IF(NOT(Anime!T136=""),Anime!T136,"")</f>
        <v/>
      </c>
      <c r="D135" s="68" t="str">
        <f>IF(NOT(Anime!U136=""),Anime!U136,"")</f>
        <v/>
      </c>
      <c r="E135" s="131" t="str">
        <f>IF(NOT(Anime!W136=""),Anime!W136,"")</f>
        <v/>
      </c>
      <c r="F135" s="16" t="str">
        <f>IF(NOT(Anime!X136=""),Anime!X136,"")</f>
        <v/>
      </c>
      <c r="G135" s="16" t="str">
        <f>IF(NOT(Anime!Y136=""),Anime!Y136,"")</f>
        <v/>
      </c>
      <c r="H135" s="16" t="str">
        <f>IF(NOT(Anime!Z136=""),Anime!Z136,"")</f>
        <v/>
      </c>
      <c r="I135" s="16" t="str">
        <f>IF(NOT(Anime!AA136=""),Anime!AA136,"")</f>
        <v/>
      </c>
      <c r="J135" s="17" t="str">
        <f>IF(NOT(Anime!AB136=""),Anime!AB136,"")</f>
        <v/>
      </c>
      <c r="K135" s="18" t="str">
        <f>IF(NOT(Anime!AC136=""),Anime!AC136,"")</f>
        <v/>
      </c>
      <c r="L135" s="19" t="str">
        <f>IF(NOT(Anime!AD136=""),Anime!AD136,"")</f>
        <v/>
      </c>
      <c r="M135" s="72" t="str">
        <f>IF(NOT(Anime!AE136=""),Anime!AE136,"")</f>
        <v/>
      </c>
      <c r="N135" s="21" t="str">
        <f>IF(NOT(Anime!AF136=""),Anime!AF136,"")</f>
        <v/>
      </c>
      <c r="O135" s="129" t="str">
        <f>IF(NOT(Anime!AG136=""),Anime!AG136,"")</f>
        <v/>
      </c>
      <c r="P135" s="21" t="str">
        <f>IF(NOT(Anime!AH136=""),Anime!AH136,"")</f>
        <v/>
      </c>
      <c r="Q135" s="21" t="str">
        <f>IF(NOT(Anime!AI136=""),Anime!AI136,"")</f>
        <v/>
      </c>
      <c r="R135" s="66" t="str">
        <f>IF(NOT(Anime!AJ136=""),Anime!AJ136,"")</f>
        <v/>
      </c>
      <c r="S135" s="135" t="str">
        <f>IF(NOT(Anime!AK142=""),Anime!AK142,"")</f>
        <v/>
      </c>
    </row>
    <row r="136" spans="1:19" ht="16.5">
      <c r="A136" s="12" t="str">
        <f>IF(NOT(Anime!R137=""),Anime!R137,"")</f>
        <v/>
      </c>
      <c r="B136" s="14" t="str">
        <f>IF(NOT(Anime!S137=""),Anime!S137,"")</f>
        <v/>
      </c>
      <c r="C136" s="14" t="str">
        <f>IF(NOT(Anime!T137=""),Anime!T137,"")</f>
        <v/>
      </c>
      <c r="D136" s="68" t="str">
        <f>IF(NOT(Anime!U137=""),Anime!U137,"")</f>
        <v/>
      </c>
      <c r="E136" s="131" t="str">
        <f>IF(NOT(Anime!W137=""),Anime!W137,"")</f>
        <v/>
      </c>
      <c r="F136" s="16" t="str">
        <f>IF(NOT(Anime!X137=""),Anime!X137,"")</f>
        <v/>
      </c>
      <c r="G136" s="16" t="str">
        <f>IF(NOT(Anime!Y137=""),Anime!Y137,"")</f>
        <v/>
      </c>
      <c r="H136" s="16" t="str">
        <f>IF(NOT(Anime!Z137=""),Anime!Z137,"")</f>
        <v/>
      </c>
      <c r="I136" s="16" t="str">
        <f>IF(NOT(Anime!AA137=""),Anime!AA137,"")</f>
        <v/>
      </c>
      <c r="J136" s="17" t="str">
        <f>IF(NOT(Anime!AB137=""),Anime!AB137,"")</f>
        <v/>
      </c>
      <c r="K136" s="18" t="str">
        <f>IF(NOT(Anime!AC137=""),Anime!AC137,"")</f>
        <v/>
      </c>
      <c r="L136" s="19" t="str">
        <f>IF(NOT(Anime!AD137=""),Anime!AD137,"")</f>
        <v/>
      </c>
      <c r="M136" s="72" t="str">
        <f>IF(NOT(Anime!AE137=""),Anime!AE137,"")</f>
        <v/>
      </c>
      <c r="N136" s="21" t="str">
        <f>IF(NOT(Anime!AF137=""),Anime!AF137,"")</f>
        <v/>
      </c>
      <c r="O136" s="129" t="str">
        <f>IF(NOT(Anime!AG137=""),Anime!AG137,"")</f>
        <v/>
      </c>
      <c r="P136" s="21" t="str">
        <f>IF(NOT(Anime!AH137=""),Anime!AH137,"")</f>
        <v/>
      </c>
      <c r="Q136" s="21" t="str">
        <f>IF(NOT(Anime!AI137=""),Anime!AI137,"")</f>
        <v/>
      </c>
      <c r="R136" s="66" t="str">
        <f>IF(NOT(Anime!AJ137=""),Anime!AJ137,"")</f>
        <v/>
      </c>
      <c r="S136" s="135" t="str">
        <f>IF(NOT(Anime!AK143=""),Anime!AK143,"")</f>
        <v/>
      </c>
    </row>
    <row r="137" spans="1:19" ht="16.5">
      <c r="A137" s="12" t="str">
        <f>IF(NOT(Anime!R138=""),Anime!R138,"")</f>
        <v/>
      </c>
      <c r="B137" s="14" t="str">
        <f>IF(NOT(Anime!S138=""),Anime!S138,"")</f>
        <v/>
      </c>
      <c r="C137" s="14" t="str">
        <f>IF(NOT(Anime!T138=""),Anime!T138,"")</f>
        <v/>
      </c>
      <c r="D137" s="68" t="str">
        <f>IF(NOT(Anime!U138=""),Anime!U138,"")</f>
        <v/>
      </c>
      <c r="E137" s="131" t="str">
        <f>IF(NOT(Anime!W138=""),Anime!W138,"")</f>
        <v/>
      </c>
      <c r="F137" s="16" t="str">
        <f>IF(NOT(Anime!X138=""),Anime!X138,"")</f>
        <v/>
      </c>
      <c r="G137" s="16" t="str">
        <f>IF(NOT(Anime!Y138=""),Anime!Y138,"")</f>
        <v/>
      </c>
      <c r="H137" s="16" t="str">
        <f>IF(NOT(Anime!Z138=""),Anime!Z138,"")</f>
        <v/>
      </c>
      <c r="I137" s="16" t="str">
        <f>IF(NOT(Anime!AA138=""),Anime!AA138,"")</f>
        <v/>
      </c>
      <c r="J137" s="17" t="str">
        <f>IF(NOT(Anime!AB138=""),Anime!AB138,"")</f>
        <v/>
      </c>
      <c r="K137" s="18" t="str">
        <f>IF(NOT(Anime!AC138=""),Anime!AC138,"")</f>
        <v/>
      </c>
      <c r="L137" s="19" t="str">
        <f>IF(NOT(Anime!AD138=""),Anime!AD138,"")</f>
        <v/>
      </c>
      <c r="M137" s="72" t="str">
        <f>IF(NOT(Anime!AE138=""),Anime!AE138,"")</f>
        <v/>
      </c>
      <c r="N137" s="21" t="str">
        <f>IF(NOT(Anime!AF138=""),Anime!AF138,"")</f>
        <v/>
      </c>
      <c r="O137" s="129" t="str">
        <f>IF(NOT(Anime!AG138=""),Anime!AG138,"")</f>
        <v/>
      </c>
      <c r="P137" s="21" t="str">
        <f>IF(NOT(Anime!AH138=""),Anime!AH138,"")</f>
        <v/>
      </c>
      <c r="Q137" s="21" t="str">
        <f>IF(NOT(Anime!AI138=""),Anime!AI138,"")</f>
        <v/>
      </c>
      <c r="R137" s="66" t="str">
        <f>IF(NOT(Anime!AJ138=""),Anime!AJ138,"")</f>
        <v/>
      </c>
      <c r="S137" s="135" t="str">
        <f>IF(NOT(Anime!AK144=""),Anime!AK144,"")</f>
        <v/>
      </c>
    </row>
    <row r="138" spans="1:19" ht="16.5">
      <c r="A138" s="12" t="str">
        <f>IF(NOT(Anime!R139=""),Anime!R139,"")</f>
        <v/>
      </c>
      <c r="B138" s="14" t="str">
        <f>IF(NOT(Anime!S139=""),Anime!S139,"")</f>
        <v/>
      </c>
      <c r="C138" s="14" t="str">
        <f>IF(NOT(Anime!T139=""),Anime!T139,"")</f>
        <v/>
      </c>
      <c r="D138" s="68" t="str">
        <f>IF(NOT(Anime!U139=""),Anime!U139,"")</f>
        <v/>
      </c>
      <c r="E138" s="131" t="str">
        <f>IF(NOT(Anime!W139=""),Anime!W139,"")</f>
        <v/>
      </c>
      <c r="F138" s="16" t="str">
        <f>IF(NOT(Anime!X139=""),Anime!X139,"")</f>
        <v/>
      </c>
      <c r="G138" s="16" t="str">
        <f>IF(NOT(Anime!Y139=""),Anime!Y139,"")</f>
        <v/>
      </c>
      <c r="H138" s="16" t="str">
        <f>IF(NOT(Anime!Z139=""),Anime!Z139,"")</f>
        <v/>
      </c>
      <c r="I138" s="16" t="str">
        <f>IF(NOT(Anime!AA139=""),Anime!AA139,"")</f>
        <v/>
      </c>
      <c r="J138" s="17" t="str">
        <f>IF(NOT(Anime!AB139=""),Anime!AB139,"")</f>
        <v/>
      </c>
      <c r="K138" s="18" t="str">
        <f>IF(NOT(Anime!AC139=""),Anime!AC139,"")</f>
        <v/>
      </c>
      <c r="L138" s="19" t="str">
        <f>IF(NOT(Anime!AD139=""),Anime!AD139,"")</f>
        <v/>
      </c>
      <c r="M138" s="72" t="str">
        <f>IF(NOT(Anime!AE139=""),Anime!AE139,"")</f>
        <v/>
      </c>
      <c r="N138" s="21" t="str">
        <f>IF(NOT(Anime!AF139=""),Anime!AF139,"")</f>
        <v/>
      </c>
      <c r="O138" s="129" t="str">
        <f>IF(NOT(Anime!AG139=""),Anime!AG139,"")</f>
        <v/>
      </c>
      <c r="P138" s="21" t="str">
        <f>IF(NOT(Anime!AH139=""),Anime!AH139,"")</f>
        <v/>
      </c>
      <c r="Q138" s="21" t="str">
        <f>IF(NOT(Anime!AI139=""),Anime!AI139,"")</f>
        <v/>
      </c>
      <c r="R138" s="66" t="str">
        <f>IF(NOT(Anime!AJ139=""),Anime!AJ139,"")</f>
        <v/>
      </c>
      <c r="S138" s="135" t="str">
        <f>IF(NOT(Anime!AK145=""),Anime!AK145,"")</f>
        <v/>
      </c>
    </row>
    <row r="139" spans="1:19" ht="16.5">
      <c r="A139" s="12" t="str">
        <f>IF(NOT(Anime!R140=""),Anime!R140,"")</f>
        <v/>
      </c>
      <c r="B139" s="14" t="str">
        <f>IF(NOT(Anime!S140=""),Anime!S140,"")</f>
        <v/>
      </c>
      <c r="C139" s="14" t="str">
        <f>IF(NOT(Anime!T140=""),Anime!T140,"")</f>
        <v/>
      </c>
      <c r="D139" s="68" t="str">
        <f>IF(NOT(Anime!U140=""),Anime!U140,"")</f>
        <v/>
      </c>
      <c r="E139" s="131" t="str">
        <f>IF(NOT(Anime!W140=""),Anime!W140,"")</f>
        <v/>
      </c>
      <c r="F139" s="16" t="str">
        <f>IF(NOT(Anime!X140=""),Anime!X140,"")</f>
        <v/>
      </c>
      <c r="G139" s="16" t="str">
        <f>IF(NOT(Anime!Y140=""),Anime!Y140,"")</f>
        <v/>
      </c>
      <c r="H139" s="16" t="str">
        <f>IF(NOT(Anime!Z140=""),Anime!Z140,"")</f>
        <v/>
      </c>
      <c r="I139" s="16" t="str">
        <f>IF(NOT(Anime!AA140=""),Anime!AA140,"")</f>
        <v/>
      </c>
      <c r="J139" s="17" t="str">
        <f>IF(NOT(Anime!AB140=""),Anime!AB140,"")</f>
        <v/>
      </c>
      <c r="K139" s="18" t="str">
        <f>IF(NOT(Anime!AC140=""),Anime!AC140,"")</f>
        <v/>
      </c>
      <c r="L139" s="19" t="str">
        <f>IF(NOT(Anime!AD140=""),Anime!AD140,"")</f>
        <v/>
      </c>
      <c r="M139" s="72" t="str">
        <f>IF(NOT(Anime!AE140=""),Anime!AE140,"")</f>
        <v/>
      </c>
      <c r="N139" s="21" t="str">
        <f>IF(NOT(Anime!AF140=""),Anime!AF140,"")</f>
        <v/>
      </c>
      <c r="O139" s="129" t="str">
        <f>IF(NOT(Anime!AG140=""),Anime!AG140,"")</f>
        <v/>
      </c>
      <c r="P139" s="21" t="str">
        <f>IF(NOT(Anime!AH140=""),Anime!AH140,"")</f>
        <v/>
      </c>
      <c r="Q139" s="21" t="str">
        <f>IF(NOT(Anime!AI140=""),Anime!AI140,"")</f>
        <v/>
      </c>
      <c r="R139" s="66" t="str">
        <f>IF(NOT(Anime!AJ140=""),Anime!AJ140,"")</f>
        <v/>
      </c>
      <c r="S139" s="135" t="str">
        <f>IF(NOT(Anime!AK146=""),Anime!AK146,"")</f>
        <v/>
      </c>
    </row>
    <row r="140" spans="1:19" ht="16.5">
      <c r="A140" s="12" t="str">
        <f>IF(NOT(Anime!R141=""),Anime!R141,"")</f>
        <v/>
      </c>
      <c r="B140" s="14" t="str">
        <f>IF(NOT(Anime!S141=""),Anime!S141,"")</f>
        <v/>
      </c>
      <c r="C140" s="14" t="str">
        <f>IF(NOT(Anime!T141=""),Anime!T141,"")</f>
        <v/>
      </c>
      <c r="D140" s="68" t="str">
        <f>IF(NOT(Anime!U141=""),Anime!U141,"")</f>
        <v/>
      </c>
      <c r="E140" s="131" t="str">
        <f>IF(NOT(Anime!W141=""),Anime!W141,"")</f>
        <v/>
      </c>
      <c r="F140" s="16" t="str">
        <f>IF(NOT(Anime!X141=""),Anime!X141,"")</f>
        <v/>
      </c>
      <c r="G140" s="16" t="str">
        <f>IF(NOT(Anime!Y141=""),Anime!Y141,"")</f>
        <v/>
      </c>
      <c r="H140" s="16" t="str">
        <f>IF(NOT(Anime!Z141=""),Anime!Z141,"")</f>
        <v/>
      </c>
      <c r="I140" s="16" t="str">
        <f>IF(NOT(Anime!AA141=""),Anime!AA141,"")</f>
        <v/>
      </c>
      <c r="J140" s="17" t="str">
        <f>IF(NOT(Anime!AB141=""),Anime!AB141,"")</f>
        <v/>
      </c>
      <c r="K140" s="18" t="str">
        <f>IF(NOT(Anime!AC141=""),Anime!AC141,"")</f>
        <v/>
      </c>
      <c r="L140" s="19" t="str">
        <f>IF(NOT(Anime!AD141=""),Anime!AD141,"")</f>
        <v/>
      </c>
      <c r="M140" s="72" t="str">
        <f>IF(NOT(Anime!AE141=""),Anime!AE141,"")</f>
        <v/>
      </c>
      <c r="N140" s="21" t="str">
        <f>IF(NOT(Anime!AF141=""),Anime!AF141,"")</f>
        <v/>
      </c>
      <c r="O140" s="129" t="str">
        <f>IF(NOT(Anime!AG141=""),Anime!AG141,"")</f>
        <v/>
      </c>
      <c r="P140" s="21" t="str">
        <f>IF(NOT(Anime!AH141=""),Anime!AH141,"")</f>
        <v/>
      </c>
      <c r="Q140" s="21" t="str">
        <f>IF(NOT(Anime!AI141=""),Anime!AI141,"")</f>
        <v/>
      </c>
      <c r="R140" s="66" t="str">
        <f>IF(NOT(Anime!AJ141=""),Anime!AJ141,"")</f>
        <v/>
      </c>
      <c r="S140" s="135" t="str">
        <f>IF(NOT(Anime!AK147=""),Anime!AK147,"")</f>
        <v/>
      </c>
    </row>
    <row r="141" spans="1:19" ht="16.5">
      <c r="A141" s="12" t="str">
        <f>IF(NOT(Anime!R142=""),Anime!R142,"")</f>
        <v/>
      </c>
      <c r="B141" s="14" t="str">
        <f>IF(NOT(Anime!S142=""),Anime!S142,"")</f>
        <v/>
      </c>
      <c r="C141" s="14" t="str">
        <f>IF(NOT(Anime!T142=""),Anime!T142,"")</f>
        <v/>
      </c>
      <c r="D141" s="68" t="str">
        <f>IF(NOT(Anime!U142=""),Anime!U142,"")</f>
        <v/>
      </c>
      <c r="E141" s="131" t="str">
        <f>IF(NOT(Anime!W142=""),Anime!W142,"")</f>
        <v/>
      </c>
      <c r="F141" s="16" t="str">
        <f>IF(NOT(Anime!X142=""),Anime!X142,"")</f>
        <v/>
      </c>
      <c r="G141" s="16" t="str">
        <f>IF(NOT(Anime!Y142=""),Anime!Y142,"")</f>
        <v/>
      </c>
      <c r="H141" s="16" t="str">
        <f>IF(NOT(Anime!Z142=""),Anime!Z142,"")</f>
        <v/>
      </c>
      <c r="I141" s="16" t="str">
        <f>IF(NOT(Anime!AA142=""),Anime!AA142,"")</f>
        <v/>
      </c>
      <c r="J141" s="17" t="str">
        <f>IF(NOT(Anime!AB142=""),Anime!AB142,"")</f>
        <v/>
      </c>
      <c r="K141" s="18" t="str">
        <f>IF(NOT(Anime!AC142=""),Anime!AC142,"")</f>
        <v/>
      </c>
      <c r="L141" s="19" t="str">
        <f>IF(NOT(Anime!AD142=""),Anime!AD142,"")</f>
        <v/>
      </c>
      <c r="M141" s="72" t="str">
        <f>IF(NOT(Anime!AE142=""),Anime!AE142,"")</f>
        <v/>
      </c>
      <c r="N141" s="21" t="str">
        <f>IF(NOT(Anime!AF142=""),Anime!AF142,"")</f>
        <v/>
      </c>
      <c r="O141" s="129" t="str">
        <f>IF(NOT(Anime!AG142=""),Anime!AG142,"")</f>
        <v/>
      </c>
      <c r="P141" s="21" t="str">
        <f>IF(NOT(Anime!AH142=""),Anime!AH142,"")</f>
        <v/>
      </c>
      <c r="Q141" s="21" t="str">
        <f>IF(NOT(Anime!AI142=""),Anime!AI142,"")</f>
        <v/>
      </c>
      <c r="R141" s="66" t="str">
        <f>IF(NOT(Anime!AJ142=""),Anime!AJ142,"")</f>
        <v/>
      </c>
      <c r="S141" s="135" t="str">
        <f>IF(NOT(Anime!AK148=""),Anime!AK148,"")</f>
        <v/>
      </c>
    </row>
    <row r="142" spans="1:19" ht="16.5">
      <c r="A142" s="12" t="str">
        <f>IF(NOT(Anime!R143=""),Anime!R143,"")</f>
        <v/>
      </c>
      <c r="B142" s="14" t="str">
        <f>IF(NOT(Anime!S143=""),Anime!S143,"")</f>
        <v/>
      </c>
      <c r="C142" s="14" t="str">
        <f>IF(NOT(Anime!T143=""),Anime!T143,"")</f>
        <v/>
      </c>
      <c r="D142" s="68" t="str">
        <f>IF(NOT(Anime!U143=""),Anime!U143,"")</f>
        <v/>
      </c>
      <c r="E142" s="131" t="str">
        <f>IF(NOT(Anime!W143=""),Anime!W143,"")</f>
        <v/>
      </c>
      <c r="F142" s="16" t="str">
        <f>IF(NOT(Anime!X143=""),Anime!X143,"")</f>
        <v/>
      </c>
      <c r="G142" s="16" t="str">
        <f>IF(NOT(Anime!Y143=""),Anime!Y143,"")</f>
        <v/>
      </c>
      <c r="H142" s="16" t="str">
        <f>IF(NOT(Anime!Z143=""),Anime!Z143,"")</f>
        <v/>
      </c>
      <c r="I142" s="16" t="str">
        <f>IF(NOT(Anime!AA143=""),Anime!AA143,"")</f>
        <v/>
      </c>
      <c r="J142" s="17" t="str">
        <f>IF(NOT(Anime!AB143=""),Anime!AB143,"")</f>
        <v/>
      </c>
      <c r="K142" s="18" t="str">
        <f>IF(NOT(Anime!AC143=""),Anime!AC143,"")</f>
        <v/>
      </c>
      <c r="L142" s="19" t="str">
        <f>IF(NOT(Anime!AD143=""),Anime!AD143,"")</f>
        <v/>
      </c>
      <c r="M142" s="72" t="str">
        <f>IF(NOT(Anime!AE143=""),Anime!AE143,"")</f>
        <v/>
      </c>
      <c r="N142" s="21" t="str">
        <f>IF(NOT(Anime!AF143=""),Anime!AF143,"")</f>
        <v/>
      </c>
      <c r="O142" s="129" t="str">
        <f>IF(NOT(Anime!AG143=""),Anime!AG143,"")</f>
        <v/>
      </c>
      <c r="P142" s="21" t="str">
        <f>IF(NOT(Anime!AH143=""),Anime!AH143,"")</f>
        <v/>
      </c>
      <c r="Q142" s="21" t="str">
        <f>IF(NOT(Anime!AI143=""),Anime!AI143,"")</f>
        <v/>
      </c>
      <c r="R142" s="66" t="str">
        <f>IF(NOT(Anime!AJ143=""),Anime!AJ143,"")</f>
        <v/>
      </c>
      <c r="S142" s="135" t="str">
        <f>IF(NOT(Anime!AK149=""),Anime!AK149,"")</f>
        <v/>
      </c>
    </row>
    <row r="143" spans="1:19" ht="16.5">
      <c r="A143" s="12" t="str">
        <f>IF(NOT(Anime!R144=""),Anime!R144,"")</f>
        <v/>
      </c>
      <c r="B143" s="14" t="str">
        <f>IF(NOT(Anime!S144=""),Anime!S144,"")</f>
        <v/>
      </c>
      <c r="C143" s="14" t="str">
        <f>IF(NOT(Anime!T144=""),Anime!T144,"")</f>
        <v/>
      </c>
      <c r="D143" s="68" t="str">
        <f>IF(NOT(Anime!U144=""),Anime!U144,"")</f>
        <v/>
      </c>
      <c r="E143" s="131" t="str">
        <f>IF(NOT(Anime!W144=""),Anime!W144,"")</f>
        <v/>
      </c>
      <c r="F143" s="16" t="str">
        <f>IF(NOT(Anime!X144=""),Anime!X144,"")</f>
        <v/>
      </c>
      <c r="G143" s="16" t="str">
        <f>IF(NOT(Anime!Y144=""),Anime!Y144,"")</f>
        <v/>
      </c>
      <c r="H143" s="16" t="str">
        <f>IF(NOT(Anime!Z144=""),Anime!Z144,"")</f>
        <v/>
      </c>
      <c r="I143" s="16" t="str">
        <f>IF(NOT(Anime!AA144=""),Anime!AA144,"")</f>
        <v/>
      </c>
      <c r="J143" s="17" t="str">
        <f>IF(NOT(Anime!AB144=""),Anime!AB144,"")</f>
        <v/>
      </c>
      <c r="K143" s="18" t="str">
        <f>IF(NOT(Anime!AC144=""),Anime!AC144,"")</f>
        <v/>
      </c>
      <c r="L143" s="19" t="str">
        <f>IF(NOT(Anime!AD144=""),Anime!AD144,"")</f>
        <v/>
      </c>
      <c r="M143" s="72" t="str">
        <f>IF(NOT(Anime!AE144=""),Anime!AE144,"")</f>
        <v/>
      </c>
      <c r="N143" s="21" t="str">
        <f>IF(NOT(Anime!AF144=""),Anime!AF144,"")</f>
        <v/>
      </c>
      <c r="O143" s="129" t="str">
        <f>IF(NOT(Anime!AG144=""),Anime!AG144,"")</f>
        <v/>
      </c>
      <c r="P143" s="21" t="str">
        <f>IF(NOT(Anime!AH144=""),Anime!AH144,"")</f>
        <v/>
      </c>
      <c r="Q143" s="21" t="str">
        <f>IF(NOT(Anime!AI144=""),Anime!AI144,"")</f>
        <v/>
      </c>
      <c r="R143" s="66" t="str">
        <f>IF(NOT(Anime!AJ144=""),Anime!AJ144,"")</f>
        <v/>
      </c>
      <c r="S143" s="135" t="str">
        <f>IF(NOT(Anime!AK150=""),Anime!AK150,"")</f>
        <v/>
      </c>
    </row>
    <row r="144" spans="1:19" ht="16.5">
      <c r="A144" s="12" t="str">
        <f>IF(NOT(Anime!R145=""),Anime!R145,"")</f>
        <v/>
      </c>
      <c r="B144" s="14" t="str">
        <f>IF(NOT(Anime!S145=""),Anime!S145,"")</f>
        <v/>
      </c>
      <c r="C144" s="14" t="str">
        <f>IF(NOT(Anime!T145=""),Anime!T145,"")</f>
        <v/>
      </c>
      <c r="D144" s="68" t="str">
        <f>IF(NOT(Anime!U145=""),Anime!U145,"")</f>
        <v/>
      </c>
      <c r="E144" s="131" t="str">
        <f>IF(NOT(Anime!W145=""),Anime!W145,"")</f>
        <v/>
      </c>
      <c r="F144" s="16" t="str">
        <f>IF(NOT(Anime!X145=""),Anime!X145,"")</f>
        <v/>
      </c>
      <c r="G144" s="16" t="str">
        <f>IF(NOT(Anime!Y145=""),Anime!Y145,"")</f>
        <v/>
      </c>
      <c r="H144" s="16" t="str">
        <f>IF(NOT(Anime!Z145=""),Anime!Z145,"")</f>
        <v/>
      </c>
      <c r="I144" s="16" t="str">
        <f>IF(NOT(Anime!AA145=""),Anime!AA145,"")</f>
        <v/>
      </c>
      <c r="J144" s="17" t="str">
        <f>IF(NOT(Anime!AB145=""),Anime!AB145,"")</f>
        <v/>
      </c>
      <c r="K144" s="18" t="str">
        <f>IF(NOT(Anime!AC145=""),Anime!AC145,"")</f>
        <v/>
      </c>
      <c r="L144" s="19" t="str">
        <f>IF(NOT(Anime!AD145=""),Anime!AD145,"")</f>
        <v/>
      </c>
      <c r="M144" s="72" t="str">
        <f>IF(NOT(Anime!AE145=""),Anime!AE145,"")</f>
        <v/>
      </c>
      <c r="N144" s="21" t="str">
        <f>IF(NOT(Anime!AF145=""),Anime!AF145,"")</f>
        <v/>
      </c>
      <c r="O144" s="129" t="str">
        <f>IF(NOT(Anime!AG145=""),Anime!AG145,"")</f>
        <v/>
      </c>
      <c r="P144" s="21" t="str">
        <f>IF(NOT(Anime!AH145=""),Anime!AH145,"")</f>
        <v/>
      </c>
      <c r="Q144" s="21" t="str">
        <f>IF(NOT(Anime!AI145=""),Anime!AI145,"")</f>
        <v/>
      </c>
      <c r="R144" s="66" t="str">
        <f>IF(NOT(Anime!AJ145=""),Anime!AJ145,"")</f>
        <v/>
      </c>
      <c r="S144" s="135" t="str">
        <f>IF(NOT(Anime!AK151=""),Anime!AK151,"")</f>
        <v/>
      </c>
    </row>
    <row r="145" spans="1:19" ht="16.5">
      <c r="A145" s="12" t="str">
        <f>IF(NOT(Anime!R146=""),Anime!R146,"")</f>
        <v/>
      </c>
      <c r="B145" s="14" t="str">
        <f>IF(NOT(Anime!S146=""),Anime!S146,"")</f>
        <v/>
      </c>
      <c r="C145" s="14" t="str">
        <f>IF(NOT(Anime!T146=""),Anime!T146,"")</f>
        <v/>
      </c>
      <c r="D145" s="68" t="str">
        <f>IF(NOT(Anime!U146=""),Anime!U146,"")</f>
        <v/>
      </c>
      <c r="E145" s="131" t="str">
        <f>IF(NOT(Anime!W146=""),Anime!W146,"")</f>
        <v/>
      </c>
      <c r="F145" s="16" t="str">
        <f>IF(NOT(Anime!X146=""),Anime!X146,"")</f>
        <v/>
      </c>
      <c r="G145" s="16" t="str">
        <f>IF(NOT(Anime!Y146=""),Anime!Y146,"")</f>
        <v/>
      </c>
      <c r="H145" s="16" t="str">
        <f>IF(NOT(Anime!Z146=""),Anime!Z146,"")</f>
        <v/>
      </c>
      <c r="I145" s="16" t="str">
        <f>IF(NOT(Anime!AA146=""),Anime!AA146,"")</f>
        <v/>
      </c>
      <c r="J145" s="17" t="str">
        <f>IF(NOT(Anime!AB146=""),Anime!AB146,"")</f>
        <v/>
      </c>
      <c r="K145" s="18" t="str">
        <f>IF(NOT(Anime!AC146=""),Anime!AC146,"")</f>
        <v/>
      </c>
      <c r="L145" s="19" t="str">
        <f>IF(NOT(Anime!AD146=""),Anime!AD146,"")</f>
        <v/>
      </c>
      <c r="M145" s="72" t="str">
        <f>IF(NOT(Anime!AE146=""),Anime!AE146,"")</f>
        <v/>
      </c>
      <c r="N145" s="21" t="str">
        <f>IF(NOT(Anime!AF146=""),Anime!AF146,"")</f>
        <v/>
      </c>
      <c r="O145" s="129" t="str">
        <f>IF(NOT(Anime!AG146=""),Anime!AG146,"")</f>
        <v/>
      </c>
      <c r="P145" s="21" t="str">
        <f>IF(NOT(Anime!AH146=""),Anime!AH146,"")</f>
        <v/>
      </c>
      <c r="Q145" s="21" t="str">
        <f>IF(NOT(Anime!AI146=""),Anime!AI146,"")</f>
        <v/>
      </c>
      <c r="R145" s="66" t="str">
        <f>IF(NOT(Anime!AJ146=""),Anime!AJ146,"")</f>
        <v/>
      </c>
      <c r="S145" s="135" t="str">
        <f>IF(NOT(Anime!AK152=""),Anime!AK152,"")</f>
        <v/>
      </c>
    </row>
    <row r="146" spans="1:19" ht="16.5">
      <c r="A146" s="12" t="str">
        <f>IF(NOT(Anime!R147=""),Anime!R147,"")</f>
        <v/>
      </c>
      <c r="B146" s="14" t="str">
        <f>IF(NOT(Anime!S147=""),Anime!S147,"")</f>
        <v/>
      </c>
      <c r="C146" s="14" t="str">
        <f>IF(NOT(Anime!T147=""),Anime!T147,"")</f>
        <v/>
      </c>
      <c r="D146" s="68" t="str">
        <f>IF(NOT(Anime!U147=""),Anime!U147,"")</f>
        <v/>
      </c>
      <c r="E146" s="131" t="str">
        <f>IF(NOT(Anime!W147=""),Anime!W147,"")</f>
        <v/>
      </c>
      <c r="F146" s="16" t="str">
        <f>IF(NOT(Anime!X147=""),Anime!X147,"")</f>
        <v/>
      </c>
      <c r="G146" s="16" t="str">
        <f>IF(NOT(Anime!Y147=""),Anime!Y147,"")</f>
        <v/>
      </c>
      <c r="H146" s="16" t="str">
        <f>IF(NOT(Anime!Z147=""),Anime!Z147,"")</f>
        <v/>
      </c>
      <c r="I146" s="16" t="str">
        <f>IF(NOT(Anime!AA147=""),Anime!AA147,"")</f>
        <v/>
      </c>
      <c r="J146" s="17" t="str">
        <f>IF(NOT(Anime!AB147=""),Anime!AB147,"")</f>
        <v/>
      </c>
      <c r="K146" s="18" t="str">
        <f>IF(NOT(Anime!AC147=""),Anime!AC147,"")</f>
        <v/>
      </c>
      <c r="L146" s="19" t="str">
        <f>IF(NOT(Anime!AD147=""),Anime!AD147,"")</f>
        <v/>
      </c>
      <c r="M146" s="72" t="str">
        <f>IF(NOT(Anime!AE147=""),Anime!AE147,"")</f>
        <v/>
      </c>
      <c r="N146" s="21" t="str">
        <f>IF(NOT(Anime!AF147=""),Anime!AF147,"")</f>
        <v/>
      </c>
      <c r="O146" s="129" t="str">
        <f>IF(NOT(Anime!AG147=""),Anime!AG147,"")</f>
        <v/>
      </c>
      <c r="P146" s="21" t="str">
        <f>IF(NOT(Anime!AH147=""),Anime!AH147,"")</f>
        <v/>
      </c>
      <c r="Q146" s="21" t="str">
        <f>IF(NOT(Anime!AI147=""),Anime!AI147,"")</f>
        <v/>
      </c>
      <c r="R146" s="66" t="str">
        <f>IF(NOT(Anime!AJ147=""),Anime!AJ147,"")</f>
        <v/>
      </c>
      <c r="S146" s="135" t="str">
        <f>IF(NOT(Anime!AK153=""),Anime!AK153,"")</f>
        <v/>
      </c>
    </row>
    <row r="147" spans="1:19" ht="16.5">
      <c r="A147" s="12" t="str">
        <f>IF(NOT(Anime!R148=""),Anime!R148,"")</f>
        <v/>
      </c>
      <c r="B147" s="14" t="str">
        <f>IF(NOT(Anime!S148=""),Anime!S148,"")</f>
        <v/>
      </c>
      <c r="C147" s="14" t="str">
        <f>IF(NOT(Anime!T148=""),Anime!T148,"")</f>
        <v/>
      </c>
      <c r="D147" s="68" t="str">
        <f>IF(NOT(Anime!U148=""),Anime!U148,"")</f>
        <v/>
      </c>
      <c r="E147" s="131" t="str">
        <f>IF(NOT(Anime!W148=""),Anime!W148,"")</f>
        <v/>
      </c>
      <c r="F147" s="16" t="str">
        <f>IF(NOT(Anime!X148=""),Anime!X148,"")</f>
        <v/>
      </c>
      <c r="G147" s="16" t="str">
        <f>IF(NOT(Anime!Y148=""),Anime!Y148,"")</f>
        <v/>
      </c>
      <c r="H147" s="16" t="str">
        <f>IF(NOT(Anime!Z148=""),Anime!Z148,"")</f>
        <v/>
      </c>
      <c r="I147" s="16" t="str">
        <f>IF(NOT(Anime!AA148=""),Anime!AA148,"")</f>
        <v/>
      </c>
      <c r="J147" s="17" t="str">
        <f>IF(NOT(Anime!AB148=""),Anime!AB148,"")</f>
        <v/>
      </c>
      <c r="K147" s="18" t="str">
        <f>IF(NOT(Anime!AC148=""),Anime!AC148,"")</f>
        <v/>
      </c>
      <c r="L147" s="19" t="str">
        <f>IF(NOT(Anime!AD148=""),Anime!AD148,"")</f>
        <v/>
      </c>
      <c r="M147" s="72" t="str">
        <f>IF(NOT(Anime!AE148=""),Anime!AE148,"")</f>
        <v/>
      </c>
      <c r="N147" s="21" t="str">
        <f>IF(NOT(Anime!AF148=""),Anime!AF148,"")</f>
        <v/>
      </c>
      <c r="O147" s="129" t="str">
        <f>IF(NOT(Anime!AG148=""),Anime!AG148,"")</f>
        <v/>
      </c>
      <c r="P147" s="21" t="str">
        <f>IF(NOT(Anime!AH148=""),Anime!AH148,"")</f>
        <v/>
      </c>
      <c r="Q147" s="21" t="str">
        <f>IF(NOT(Anime!AI148=""),Anime!AI148,"")</f>
        <v/>
      </c>
      <c r="R147" s="66" t="str">
        <f>IF(NOT(Anime!AJ148=""),Anime!AJ148,"")</f>
        <v/>
      </c>
      <c r="S147" s="135" t="str">
        <f>IF(NOT(Anime!AK154=""),Anime!AK154,"")</f>
        <v/>
      </c>
    </row>
    <row r="148" spans="1:19" ht="16.5">
      <c r="A148" s="12" t="str">
        <f>IF(NOT(Anime!R149=""),Anime!R149,"")</f>
        <v/>
      </c>
      <c r="B148" s="14" t="str">
        <f>IF(NOT(Anime!S149=""),Anime!S149,"")</f>
        <v/>
      </c>
      <c r="C148" s="14" t="str">
        <f>IF(NOT(Anime!T149=""),Anime!T149,"")</f>
        <v/>
      </c>
      <c r="D148" s="68" t="str">
        <f>IF(NOT(Anime!U149=""),Anime!U149,"")</f>
        <v/>
      </c>
      <c r="E148" s="131" t="str">
        <f>IF(NOT(Anime!W149=""),Anime!W149,"")</f>
        <v/>
      </c>
      <c r="F148" s="16" t="str">
        <f>IF(NOT(Anime!X149=""),Anime!X149,"")</f>
        <v/>
      </c>
      <c r="G148" s="16" t="str">
        <f>IF(NOT(Anime!Y149=""),Anime!Y149,"")</f>
        <v/>
      </c>
      <c r="H148" s="16" t="str">
        <f>IF(NOT(Anime!Z149=""),Anime!Z149,"")</f>
        <v/>
      </c>
      <c r="I148" s="16" t="str">
        <f>IF(NOT(Anime!AA149=""),Anime!AA149,"")</f>
        <v/>
      </c>
      <c r="J148" s="17" t="str">
        <f>IF(NOT(Anime!AB149=""),Anime!AB149,"")</f>
        <v/>
      </c>
      <c r="K148" s="18" t="str">
        <f>IF(NOT(Anime!AC149=""),Anime!AC149,"")</f>
        <v/>
      </c>
      <c r="L148" s="19" t="str">
        <f>IF(NOT(Anime!AD149=""),Anime!AD149,"")</f>
        <v/>
      </c>
      <c r="M148" s="72" t="str">
        <f>IF(NOT(Anime!AE149=""),Anime!AE149,"")</f>
        <v/>
      </c>
      <c r="N148" s="21" t="str">
        <f>IF(NOT(Anime!AF149=""),Anime!AF149,"")</f>
        <v/>
      </c>
      <c r="O148" s="129" t="str">
        <f>IF(NOT(Anime!AG149=""),Anime!AG149,"")</f>
        <v/>
      </c>
      <c r="P148" s="21" t="str">
        <f>IF(NOT(Anime!AH149=""),Anime!AH149,"")</f>
        <v/>
      </c>
      <c r="Q148" s="21" t="str">
        <f>IF(NOT(Anime!AI149=""),Anime!AI149,"")</f>
        <v/>
      </c>
      <c r="R148" s="66" t="str">
        <f>IF(NOT(Anime!AJ149=""),Anime!AJ149,"")</f>
        <v/>
      </c>
      <c r="S148" s="135" t="str">
        <f>IF(NOT(Anime!AK155=""),Anime!AK155,"")</f>
        <v/>
      </c>
    </row>
    <row r="149" spans="1:19" ht="16.5">
      <c r="A149" s="12" t="str">
        <f>IF(NOT(Anime!R150=""),Anime!R150,"")</f>
        <v/>
      </c>
      <c r="B149" s="14" t="str">
        <f>IF(NOT(Anime!S150=""),Anime!S150,"")</f>
        <v/>
      </c>
      <c r="C149" s="14" t="str">
        <f>IF(NOT(Anime!T150=""),Anime!T150,"")</f>
        <v/>
      </c>
      <c r="D149" s="68" t="str">
        <f>IF(NOT(Anime!U150=""),Anime!U150,"")</f>
        <v/>
      </c>
      <c r="E149" s="131" t="str">
        <f>IF(NOT(Anime!W150=""),Anime!W150,"")</f>
        <v/>
      </c>
      <c r="F149" s="16" t="str">
        <f>IF(NOT(Anime!X150=""),Anime!X150,"")</f>
        <v/>
      </c>
      <c r="G149" s="16" t="str">
        <f>IF(NOT(Anime!Y150=""),Anime!Y150,"")</f>
        <v/>
      </c>
      <c r="H149" s="16" t="str">
        <f>IF(NOT(Anime!Z150=""),Anime!Z150,"")</f>
        <v/>
      </c>
      <c r="I149" s="16" t="str">
        <f>IF(NOT(Anime!AA150=""),Anime!AA150,"")</f>
        <v/>
      </c>
      <c r="J149" s="17" t="str">
        <f>IF(NOT(Anime!AB150=""),Anime!AB150,"")</f>
        <v/>
      </c>
      <c r="K149" s="18" t="str">
        <f>IF(NOT(Anime!AC150=""),Anime!AC150,"")</f>
        <v/>
      </c>
      <c r="L149" s="19" t="str">
        <f>IF(NOT(Anime!AD150=""),Anime!AD150,"")</f>
        <v/>
      </c>
      <c r="M149" s="72" t="str">
        <f>IF(NOT(Anime!AE150=""),Anime!AE150,"")</f>
        <v/>
      </c>
      <c r="N149" s="21" t="str">
        <f>IF(NOT(Anime!AF150=""),Anime!AF150,"")</f>
        <v/>
      </c>
      <c r="O149" s="129" t="str">
        <f>IF(NOT(Anime!AG150=""),Anime!AG150,"")</f>
        <v/>
      </c>
      <c r="P149" s="21" t="str">
        <f>IF(NOT(Anime!AH150=""),Anime!AH150,"")</f>
        <v/>
      </c>
      <c r="Q149" s="21" t="str">
        <f>IF(NOT(Anime!AI150=""),Anime!AI150,"")</f>
        <v/>
      </c>
      <c r="R149" s="66" t="str">
        <f>IF(NOT(Anime!AJ150=""),Anime!AJ150,"")</f>
        <v/>
      </c>
      <c r="S149" s="135" t="str">
        <f>IF(NOT(Anime!AK156=""),Anime!AK156,"")</f>
        <v/>
      </c>
    </row>
    <row r="150" spans="1:19" ht="16.5">
      <c r="A150" s="12" t="str">
        <f>IF(NOT(Anime!R151=""),Anime!R151,"")</f>
        <v/>
      </c>
      <c r="B150" s="14" t="str">
        <f>IF(NOT(Anime!S151=""),Anime!S151,"")</f>
        <v/>
      </c>
      <c r="C150" s="14" t="str">
        <f>IF(NOT(Anime!T151=""),Anime!T151,"")</f>
        <v/>
      </c>
      <c r="D150" s="68" t="str">
        <f>IF(NOT(Anime!U151=""),Anime!U151,"")</f>
        <v/>
      </c>
      <c r="E150" s="131" t="str">
        <f>IF(NOT(Anime!W151=""),Anime!W151,"")</f>
        <v/>
      </c>
      <c r="F150" s="16" t="str">
        <f>IF(NOT(Anime!X151=""),Anime!X151,"")</f>
        <v/>
      </c>
      <c r="G150" s="16" t="str">
        <f>IF(NOT(Anime!Y151=""),Anime!Y151,"")</f>
        <v/>
      </c>
      <c r="H150" s="16" t="str">
        <f>IF(NOT(Anime!Z151=""),Anime!Z151,"")</f>
        <v/>
      </c>
      <c r="I150" s="16" t="str">
        <f>IF(NOT(Anime!AA151=""),Anime!AA151,"")</f>
        <v/>
      </c>
      <c r="J150" s="17" t="str">
        <f>IF(NOT(Anime!AB151=""),Anime!AB151,"")</f>
        <v/>
      </c>
      <c r="K150" s="18" t="str">
        <f>IF(NOT(Anime!AC151=""),Anime!AC151,"")</f>
        <v/>
      </c>
      <c r="L150" s="19" t="str">
        <f>IF(NOT(Anime!AD151=""),Anime!AD151,"")</f>
        <v/>
      </c>
      <c r="M150" s="72" t="str">
        <f>IF(NOT(Anime!AE151=""),Anime!AE151,"")</f>
        <v/>
      </c>
      <c r="N150" s="21" t="str">
        <f>IF(NOT(Anime!AF151=""),Anime!AF151,"")</f>
        <v/>
      </c>
      <c r="O150" s="129" t="str">
        <f>IF(NOT(Anime!AG151=""),Anime!AG151,"")</f>
        <v/>
      </c>
      <c r="P150" s="21" t="str">
        <f>IF(NOT(Anime!AH151=""),Anime!AH151,"")</f>
        <v/>
      </c>
      <c r="Q150" s="21" t="str">
        <f>IF(NOT(Anime!AI151=""),Anime!AI151,"")</f>
        <v/>
      </c>
      <c r="R150" s="66" t="str">
        <f>IF(NOT(Anime!AJ151=""),Anime!AJ151,"")</f>
        <v/>
      </c>
      <c r="S150" s="135" t="str">
        <f>IF(NOT(Anime!AK157=""),Anime!AK157,"")</f>
        <v/>
      </c>
    </row>
    <row r="151" spans="1:19" ht="16.5">
      <c r="A151" s="12" t="str">
        <f>IF(NOT(Anime!R152=""),Anime!R152,"")</f>
        <v/>
      </c>
      <c r="B151" s="14" t="str">
        <f>IF(NOT(Anime!S152=""),Anime!S152,"")</f>
        <v/>
      </c>
      <c r="C151" s="14" t="str">
        <f>IF(NOT(Anime!T152=""),Anime!T152,"")</f>
        <v/>
      </c>
      <c r="D151" s="68" t="str">
        <f>IF(NOT(Anime!U152=""),Anime!U152,"")</f>
        <v/>
      </c>
      <c r="E151" s="131" t="str">
        <f>IF(NOT(Anime!W152=""),Anime!W152,"")</f>
        <v/>
      </c>
      <c r="F151" s="16" t="str">
        <f>IF(NOT(Anime!X152=""),Anime!X152,"")</f>
        <v/>
      </c>
      <c r="G151" s="16" t="str">
        <f>IF(NOT(Anime!Y152=""),Anime!Y152,"")</f>
        <v/>
      </c>
      <c r="H151" s="16" t="str">
        <f>IF(NOT(Anime!Z152=""),Anime!Z152,"")</f>
        <v/>
      </c>
      <c r="I151" s="16" t="str">
        <f>IF(NOT(Anime!AA152=""),Anime!AA152,"")</f>
        <v/>
      </c>
      <c r="J151" s="17" t="str">
        <f>IF(NOT(Anime!AB152=""),Anime!AB152,"")</f>
        <v/>
      </c>
      <c r="K151" s="18" t="str">
        <f>IF(NOT(Anime!AC152=""),Anime!AC152,"")</f>
        <v/>
      </c>
      <c r="L151" s="19" t="str">
        <f>IF(NOT(Anime!AD152=""),Anime!AD152,"")</f>
        <v/>
      </c>
      <c r="M151" s="72" t="str">
        <f>IF(NOT(Anime!AE152=""),Anime!AE152,"")</f>
        <v/>
      </c>
      <c r="N151" s="21" t="str">
        <f>IF(NOT(Anime!AF152=""),Anime!AF152,"")</f>
        <v/>
      </c>
      <c r="O151" s="129" t="str">
        <f>IF(NOT(Anime!AG152=""),Anime!AG152,"")</f>
        <v/>
      </c>
      <c r="P151" s="21" t="str">
        <f>IF(NOT(Anime!AH152=""),Anime!AH152,"")</f>
        <v/>
      </c>
      <c r="Q151" s="21" t="str">
        <f>IF(NOT(Anime!AI152=""),Anime!AI152,"")</f>
        <v/>
      </c>
      <c r="R151" s="66" t="str">
        <f>IF(NOT(Anime!AJ152=""),Anime!AJ152,"")</f>
        <v/>
      </c>
      <c r="S151" s="135" t="str">
        <f>IF(NOT(Anime!AK158=""),Anime!AK158,"")</f>
        <v/>
      </c>
    </row>
    <row r="152" spans="1:19" ht="16.5">
      <c r="A152" s="12" t="str">
        <f>IF(NOT(Anime!R153=""),Anime!R153,"")</f>
        <v/>
      </c>
      <c r="B152" s="14" t="str">
        <f>IF(NOT(Anime!S153=""),Anime!S153,"")</f>
        <v/>
      </c>
      <c r="C152" s="14" t="str">
        <f>IF(NOT(Anime!T153=""),Anime!T153,"")</f>
        <v/>
      </c>
      <c r="D152" s="68" t="str">
        <f>IF(NOT(Anime!U153=""),Anime!U153,"")</f>
        <v/>
      </c>
      <c r="E152" s="131" t="str">
        <f>IF(NOT(Anime!W153=""),Anime!W153,"")</f>
        <v/>
      </c>
      <c r="F152" s="16" t="str">
        <f>IF(NOT(Anime!X153=""),Anime!X153,"")</f>
        <v/>
      </c>
      <c r="G152" s="16" t="str">
        <f>IF(NOT(Anime!Y153=""),Anime!Y153,"")</f>
        <v/>
      </c>
      <c r="H152" s="16" t="str">
        <f>IF(NOT(Anime!Z153=""),Anime!Z153,"")</f>
        <v/>
      </c>
      <c r="I152" s="16" t="str">
        <f>IF(NOT(Anime!AA153=""),Anime!AA153,"")</f>
        <v/>
      </c>
      <c r="J152" s="17" t="str">
        <f>IF(NOT(Anime!AB153=""),Anime!AB153,"")</f>
        <v/>
      </c>
      <c r="K152" s="18" t="str">
        <f>IF(NOT(Anime!AC153=""),Anime!AC153,"")</f>
        <v/>
      </c>
      <c r="L152" s="19" t="str">
        <f>IF(NOT(Anime!AD153=""),Anime!AD153,"")</f>
        <v/>
      </c>
      <c r="M152" s="72" t="str">
        <f>IF(NOT(Anime!AE153=""),Anime!AE153,"")</f>
        <v/>
      </c>
      <c r="N152" s="21" t="str">
        <f>IF(NOT(Anime!AF153=""),Anime!AF153,"")</f>
        <v/>
      </c>
      <c r="O152" s="129" t="str">
        <f>IF(NOT(Anime!AG153=""),Anime!AG153,"")</f>
        <v/>
      </c>
      <c r="P152" s="21" t="str">
        <f>IF(NOT(Anime!AH153=""),Anime!AH153,"")</f>
        <v/>
      </c>
      <c r="Q152" s="21" t="str">
        <f>IF(NOT(Anime!AI153=""),Anime!AI153,"")</f>
        <v/>
      </c>
      <c r="R152" s="66" t="str">
        <f>IF(NOT(Anime!AJ153=""),Anime!AJ153,"")</f>
        <v/>
      </c>
      <c r="S152" s="135" t="str">
        <f>IF(NOT(Anime!AK159=""),Anime!AK159,"")</f>
        <v/>
      </c>
    </row>
    <row r="153" spans="1:19" ht="16.5">
      <c r="A153" s="12" t="str">
        <f>IF(NOT(Anime!R154=""),Anime!R154,"")</f>
        <v/>
      </c>
      <c r="B153" s="14" t="str">
        <f>IF(NOT(Anime!S154=""),Anime!S154,"")</f>
        <v/>
      </c>
      <c r="C153" s="14" t="str">
        <f>IF(NOT(Anime!T154=""),Anime!T154,"")</f>
        <v/>
      </c>
      <c r="D153" s="68" t="str">
        <f>IF(NOT(Anime!U154=""),Anime!U154,"")</f>
        <v/>
      </c>
      <c r="E153" s="131" t="str">
        <f>IF(NOT(Anime!W154=""),Anime!W154,"")</f>
        <v/>
      </c>
      <c r="F153" s="16" t="str">
        <f>IF(NOT(Anime!X154=""),Anime!X154,"")</f>
        <v/>
      </c>
      <c r="G153" s="16" t="str">
        <f>IF(NOT(Anime!Y154=""),Anime!Y154,"")</f>
        <v/>
      </c>
      <c r="H153" s="16" t="str">
        <f>IF(NOT(Anime!Z154=""),Anime!Z154,"")</f>
        <v/>
      </c>
      <c r="I153" s="16" t="str">
        <f>IF(NOT(Anime!AA154=""),Anime!AA154,"")</f>
        <v/>
      </c>
      <c r="J153" s="17" t="str">
        <f>IF(NOT(Anime!AB154=""),Anime!AB154,"")</f>
        <v/>
      </c>
      <c r="K153" s="18" t="str">
        <f>IF(NOT(Anime!AC154=""),Anime!AC154,"")</f>
        <v/>
      </c>
      <c r="L153" s="19" t="str">
        <f>IF(NOT(Anime!AD154=""),Anime!AD154,"")</f>
        <v/>
      </c>
      <c r="M153" s="72" t="str">
        <f>IF(NOT(Anime!AE154=""),Anime!AE154,"")</f>
        <v/>
      </c>
      <c r="N153" s="21" t="str">
        <f>IF(NOT(Anime!AF154=""),Anime!AF154,"")</f>
        <v/>
      </c>
      <c r="O153" s="129" t="str">
        <f>IF(NOT(Anime!AG154=""),Anime!AG154,"")</f>
        <v/>
      </c>
      <c r="P153" s="21" t="str">
        <f>IF(NOT(Anime!AH154=""),Anime!AH154,"")</f>
        <v/>
      </c>
      <c r="Q153" s="21" t="str">
        <f>IF(NOT(Anime!AI154=""),Anime!AI154,"")</f>
        <v/>
      </c>
      <c r="R153" s="66" t="str">
        <f>IF(NOT(Anime!AJ154=""),Anime!AJ154,"")</f>
        <v/>
      </c>
      <c r="S153" s="135" t="str">
        <f>IF(NOT(Anime!AK160=""),Anime!AK160,"")</f>
        <v/>
      </c>
    </row>
    <row r="154" spans="1:19" ht="16.5">
      <c r="A154" s="12" t="str">
        <f>IF(NOT(Anime!R155=""),Anime!R155,"")</f>
        <v/>
      </c>
      <c r="B154" s="14" t="str">
        <f>IF(NOT(Anime!S155=""),Anime!S155,"")</f>
        <v/>
      </c>
      <c r="C154" s="14" t="str">
        <f>IF(NOT(Anime!T155=""),Anime!T155,"")</f>
        <v/>
      </c>
      <c r="D154" s="68" t="str">
        <f>IF(NOT(Anime!U155=""),Anime!U155,"")</f>
        <v/>
      </c>
      <c r="E154" s="131" t="str">
        <f>IF(NOT(Anime!W155=""),Anime!W155,"")</f>
        <v/>
      </c>
      <c r="F154" s="16" t="str">
        <f>IF(NOT(Anime!X155=""),Anime!X155,"")</f>
        <v/>
      </c>
      <c r="G154" s="16" t="str">
        <f>IF(NOT(Anime!Y155=""),Anime!Y155,"")</f>
        <v/>
      </c>
      <c r="H154" s="16" t="str">
        <f>IF(NOT(Anime!Z155=""),Anime!Z155,"")</f>
        <v/>
      </c>
      <c r="I154" s="16" t="str">
        <f>IF(NOT(Anime!AA155=""),Anime!AA155,"")</f>
        <v/>
      </c>
      <c r="J154" s="17" t="str">
        <f>IF(NOT(Anime!AB155=""),Anime!AB155,"")</f>
        <v/>
      </c>
      <c r="K154" s="18" t="str">
        <f>IF(NOT(Anime!AC155=""),Anime!AC155,"")</f>
        <v/>
      </c>
      <c r="L154" s="19" t="str">
        <f>IF(NOT(Anime!AD155=""),Anime!AD155,"")</f>
        <v/>
      </c>
      <c r="M154" s="72" t="str">
        <f>IF(NOT(Anime!AE155=""),Anime!AE155,"")</f>
        <v/>
      </c>
      <c r="N154" s="21" t="str">
        <f>IF(NOT(Anime!AF155=""),Anime!AF155,"")</f>
        <v/>
      </c>
      <c r="O154" s="129" t="str">
        <f>IF(NOT(Anime!AG155=""),Anime!AG155,"")</f>
        <v/>
      </c>
      <c r="P154" s="21" t="str">
        <f>IF(NOT(Anime!AH155=""),Anime!AH155,"")</f>
        <v/>
      </c>
      <c r="Q154" s="21" t="str">
        <f>IF(NOT(Anime!AI155=""),Anime!AI155,"")</f>
        <v/>
      </c>
      <c r="R154" s="66" t="str">
        <f>IF(NOT(Anime!AJ155=""),Anime!AJ155,"")</f>
        <v/>
      </c>
      <c r="S154" s="135" t="str">
        <f>IF(NOT(Anime!AK161=""),Anime!AK161,"")</f>
        <v/>
      </c>
    </row>
    <row r="155" spans="1:19" ht="16.5">
      <c r="A155" s="12" t="str">
        <f>IF(NOT(Anime!R156=""),Anime!R156,"")</f>
        <v/>
      </c>
      <c r="B155" s="14" t="str">
        <f>IF(NOT(Anime!S156=""),Anime!S156,"")</f>
        <v/>
      </c>
      <c r="C155" s="14" t="str">
        <f>IF(NOT(Anime!T156=""),Anime!T156,"")</f>
        <v/>
      </c>
      <c r="D155" s="68" t="str">
        <f>IF(NOT(Anime!U156=""),Anime!U156,"")</f>
        <v/>
      </c>
      <c r="E155" s="131" t="str">
        <f>IF(NOT(Anime!W156=""),Anime!W156,"")</f>
        <v/>
      </c>
      <c r="F155" s="16" t="str">
        <f>IF(NOT(Anime!X156=""),Anime!X156,"")</f>
        <v/>
      </c>
      <c r="G155" s="16" t="str">
        <f>IF(NOT(Anime!Y156=""),Anime!Y156,"")</f>
        <v/>
      </c>
      <c r="H155" s="16" t="str">
        <f>IF(NOT(Anime!Z156=""),Anime!Z156,"")</f>
        <v/>
      </c>
      <c r="I155" s="16" t="str">
        <f>IF(NOT(Anime!AA156=""),Anime!AA156,"")</f>
        <v/>
      </c>
      <c r="J155" s="17" t="str">
        <f>IF(NOT(Anime!AB156=""),Anime!AB156,"")</f>
        <v/>
      </c>
      <c r="K155" s="18" t="str">
        <f>IF(NOT(Anime!AC156=""),Anime!AC156,"")</f>
        <v/>
      </c>
      <c r="L155" s="19" t="str">
        <f>IF(NOT(Anime!AD156=""),Anime!AD156,"")</f>
        <v/>
      </c>
      <c r="M155" s="72" t="str">
        <f>IF(NOT(Anime!AE156=""),Anime!AE156,"")</f>
        <v/>
      </c>
      <c r="N155" s="21" t="str">
        <f>IF(NOT(Anime!AF156=""),Anime!AF156,"")</f>
        <v/>
      </c>
      <c r="O155" s="129" t="str">
        <f>IF(NOT(Anime!AG156=""),Anime!AG156,"")</f>
        <v/>
      </c>
      <c r="P155" s="21" t="str">
        <f>IF(NOT(Anime!AH156=""),Anime!AH156,"")</f>
        <v/>
      </c>
      <c r="Q155" s="21" t="str">
        <f>IF(NOT(Anime!AI156=""),Anime!AI156,"")</f>
        <v/>
      </c>
      <c r="R155" s="66" t="str">
        <f>IF(NOT(Anime!AJ156=""),Anime!AJ156,"")</f>
        <v/>
      </c>
      <c r="S155" s="135" t="str">
        <f>IF(NOT(Anime!AK162=""),Anime!AK162,"")</f>
        <v/>
      </c>
    </row>
    <row r="156" spans="1:19" ht="16.5">
      <c r="A156" s="12" t="str">
        <f>IF(NOT(Anime!R157=""),Anime!R157,"")</f>
        <v/>
      </c>
      <c r="B156" s="14" t="str">
        <f>IF(NOT(Anime!S157=""),Anime!S157,"")</f>
        <v/>
      </c>
      <c r="C156" s="14" t="str">
        <f>IF(NOT(Anime!T157=""),Anime!T157,"")</f>
        <v/>
      </c>
      <c r="D156" s="68" t="str">
        <f>IF(NOT(Anime!U157=""),Anime!U157,"")</f>
        <v/>
      </c>
      <c r="E156" s="131" t="str">
        <f>IF(NOT(Anime!W157=""),Anime!W157,"")</f>
        <v/>
      </c>
      <c r="F156" s="16" t="str">
        <f>IF(NOT(Anime!X157=""),Anime!X157,"")</f>
        <v/>
      </c>
      <c r="G156" s="16" t="str">
        <f>IF(NOT(Anime!Y157=""),Anime!Y157,"")</f>
        <v/>
      </c>
      <c r="H156" s="16" t="str">
        <f>IF(NOT(Anime!Z157=""),Anime!Z157,"")</f>
        <v/>
      </c>
      <c r="I156" s="16" t="str">
        <f>IF(NOT(Anime!AA157=""),Anime!AA157,"")</f>
        <v/>
      </c>
      <c r="J156" s="17" t="str">
        <f>IF(NOT(Anime!AB157=""),Anime!AB157,"")</f>
        <v/>
      </c>
      <c r="K156" s="18" t="str">
        <f>IF(NOT(Anime!AC157=""),Anime!AC157,"")</f>
        <v/>
      </c>
      <c r="L156" s="19" t="str">
        <f>IF(NOT(Anime!AD157=""),Anime!AD157,"")</f>
        <v/>
      </c>
      <c r="M156" s="72" t="str">
        <f>IF(NOT(Anime!AE157=""),Anime!AE157,"")</f>
        <v/>
      </c>
      <c r="N156" s="21" t="str">
        <f>IF(NOT(Anime!AF157=""),Anime!AF157,"")</f>
        <v/>
      </c>
      <c r="O156" s="129" t="str">
        <f>IF(NOT(Anime!AG157=""),Anime!AG157,"")</f>
        <v/>
      </c>
      <c r="P156" s="21" t="str">
        <f>IF(NOT(Anime!AH157=""),Anime!AH157,"")</f>
        <v/>
      </c>
      <c r="Q156" s="21" t="str">
        <f>IF(NOT(Anime!AI157=""),Anime!AI157,"")</f>
        <v/>
      </c>
      <c r="R156" s="66" t="str">
        <f>IF(NOT(Anime!AJ157=""),Anime!AJ157,"")</f>
        <v/>
      </c>
      <c r="S156" s="135" t="str">
        <f>IF(NOT(Anime!AK163=""),Anime!AK163,"")</f>
        <v/>
      </c>
    </row>
    <row r="157" spans="1:19" ht="16.5">
      <c r="A157" s="12" t="str">
        <f>IF(NOT(Anime!R158=""),Anime!R158,"")</f>
        <v/>
      </c>
      <c r="B157" s="14" t="str">
        <f>IF(NOT(Anime!S158=""),Anime!S158,"")</f>
        <v/>
      </c>
      <c r="C157" s="14" t="str">
        <f>IF(NOT(Anime!T158=""),Anime!T158,"")</f>
        <v/>
      </c>
      <c r="D157" s="68" t="str">
        <f>IF(NOT(Anime!U158=""),Anime!U158,"")</f>
        <v/>
      </c>
      <c r="E157" s="131" t="str">
        <f>IF(NOT(Anime!W158=""),Anime!W158,"")</f>
        <v/>
      </c>
      <c r="F157" s="16" t="str">
        <f>IF(NOT(Anime!X158=""),Anime!X158,"")</f>
        <v/>
      </c>
      <c r="G157" s="16" t="str">
        <f>IF(NOT(Anime!Y158=""),Anime!Y158,"")</f>
        <v/>
      </c>
      <c r="H157" s="16" t="str">
        <f>IF(NOT(Anime!Z158=""),Anime!Z158,"")</f>
        <v/>
      </c>
      <c r="I157" s="16" t="str">
        <f>IF(NOT(Anime!AA158=""),Anime!AA158,"")</f>
        <v/>
      </c>
      <c r="J157" s="17" t="str">
        <f>IF(NOT(Anime!AB158=""),Anime!AB158,"")</f>
        <v/>
      </c>
      <c r="K157" s="18" t="str">
        <f>IF(NOT(Anime!AC158=""),Anime!AC158,"")</f>
        <v/>
      </c>
      <c r="L157" s="19" t="str">
        <f>IF(NOT(Anime!AD158=""),Anime!AD158,"")</f>
        <v/>
      </c>
      <c r="M157" s="72" t="str">
        <f>IF(NOT(Anime!AE158=""),Anime!AE158,"")</f>
        <v/>
      </c>
      <c r="N157" s="21" t="str">
        <f>IF(NOT(Anime!AF158=""),Anime!AF158,"")</f>
        <v/>
      </c>
      <c r="O157" s="129" t="str">
        <f>IF(NOT(Anime!AG158=""),Anime!AG158,"")</f>
        <v/>
      </c>
      <c r="P157" s="21" t="str">
        <f>IF(NOT(Anime!AH158=""),Anime!AH158,"")</f>
        <v/>
      </c>
      <c r="Q157" s="21" t="str">
        <f>IF(NOT(Anime!AI158=""),Anime!AI158,"")</f>
        <v/>
      </c>
      <c r="R157" s="66" t="str">
        <f>IF(NOT(Anime!AJ158=""),Anime!AJ158,"")</f>
        <v/>
      </c>
      <c r="S157" s="135" t="str">
        <f>IF(NOT(Anime!AK164=""),Anime!AK164,"")</f>
        <v/>
      </c>
    </row>
    <row r="158" spans="1:19" ht="16.5">
      <c r="A158" s="12" t="str">
        <f>IF(NOT(Anime!R159=""),Anime!R159,"")</f>
        <v/>
      </c>
      <c r="B158" s="14" t="str">
        <f>IF(NOT(Anime!S159=""),Anime!S159,"")</f>
        <v/>
      </c>
      <c r="C158" s="14" t="str">
        <f>IF(NOT(Anime!T159=""),Anime!T159,"")</f>
        <v/>
      </c>
      <c r="D158" s="68" t="str">
        <f>IF(NOT(Anime!U159=""),Anime!U159,"")</f>
        <v/>
      </c>
      <c r="E158" s="131" t="str">
        <f>IF(NOT(Anime!W159=""),Anime!W159,"")</f>
        <v/>
      </c>
      <c r="F158" s="16" t="str">
        <f>IF(NOT(Anime!X159=""),Anime!X159,"")</f>
        <v/>
      </c>
      <c r="G158" s="16" t="str">
        <f>IF(NOT(Anime!Y159=""),Anime!Y159,"")</f>
        <v/>
      </c>
      <c r="H158" s="16" t="str">
        <f>IF(NOT(Anime!Z159=""),Anime!Z159,"")</f>
        <v/>
      </c>
      <c r="I158" s="16" t="str">
        <f>IF(NOT(Anime!AA159=""),Anime!AA159,"")</f>
        <v/>
      </c>
      <c r="J158" s="17" t="str">
        <f>IF(NOT(Anime!AB159=""),Anime!AB159,"")</f>
        <v/>
      </c>
      <c r="K158" s="18" t="str">
        <f>IF(NOT(Anime!AC159=""),Anime!AC159,"")</f>
        <v/>
      </c>
      <c r="L158" s="19" t="str">
        <f>IF(NOT(Anime!AD159=""),Anime!AD159,"")</f>
        <v/>
      </c>
      <c r="M158" s="72" t="str">
        <f>IF(NOT(Anime!AE159=""),Anime!AE159,"")</f>
        <v/>
      </c>
      <c r="N158" s="21" t="str">
        <f>IF(NOT(Anime!AF159=""),Anime!AF159,"")</f>
        <v/>
      </c>
      <c r="O158" s="129" t="str">
        <f>IF(NOT(Anime!AG159=""),Anime!AG159,"")</f>
        <v/>
      </c>
      <c r="P158" s="21" t="str">
        <f>IF(NOT(Anime!AH159=""),Anime!AH159,"")</f>
        <v/>
      </c>
      <c r="Q158" s="21" t="str">
        <f>IF(NOT(Anime!AI159=""),Anime!AI159,"")</f>
        <v/>
      </c>
      <c r="R158" s="66" t="str">
        <f>IF(NOT(Anime!AJ159=""),Anime!AJ159,"")</f>
        <v/>
      </c>
      <c r="S158" s="135" t="str">
        <f>IF(NOT(Anime!AK165=""),Anime!AK165,"")</f>
        <v/>
      </c>
    </row>
    <row r="159" spans="1:19" ht="16.5">
      <c r="A159" s="12" t="str">
        <f>IF(NOT(Anime!R160=""),Anime!R160,"")</f>
        <v/>
      </c>
      <c r="B159" s="14" t="str">
        <f>IF(NOT(Anime!S160=""),Anime!S160,"")</f>
        <v/>
      </c>
      <c r="C159" s="14" t="str">
        <f>IF(NOT(Anime!T160=""),Anime!T160,"")</f>
        <v/>
      </c>
      <c r="D159" s="68" t="str">
        <f>IF(NOT(Anime!U160=""),Anime!U160,"")</f>
        <v/>
      </c>
      <c r="E159" s="131" t="str">
        <f>IF(NOT(Anime!W160=""),Anime!W160,"")</f>
        <v/>
      </c>
      <c r="F159" s="16" t="str">
        <f>IF(NOT(Anime!X160=""),Anime!X160,"")</f>
        <v/>
      </c>
      <c r="G159" s="16" t="str">
        <f>IF(NOT(Anime!Y160=""),Anime!Y160,"")</f>
        <v/>
      </c>
      <c r="H159" s="16" t="str">
        <f>IF(NOT(Anime!Z160=""),Anime!Z160,"")</f>
        <v/>
      </c>
      <c r="I159" s="16" t="str">
        <f>IF(NOT(Anime!AA160=""),Anime!AA160,"")</f>
        <v/>
      </c>
      <c r="J159" s="17" t="str">
        <f>IF(NOT(Anime!AB160=""),Anime!AB160,"")</f>
        <v/>
      </c>
      <c r="K159" s="18" t="str">
        <f>IF(NOT(Anime!AC160=""),Anime!AC160,"")</f>
        <v/>
      </c>
      <c r="L159" s="19" t="str">
        <f>IF(NOT(Anime!AD160=""),Anime!AD160,"")</f>
        <v/>
      </c>
      <c r="M159" s="72" t="str">
        <f>IF(NOT(Anime!AE160=""),Anime!AE160,"")</f>
        <v/>
      </c>
      <c r="N159" s="21" t="str">
        <f>IF(NOT(Anime!AF160=""),Anime!AF160,"")</f>
        <v/>
      </c>
      <c r="O159" s="129" t="str">
        <f>IF(NOT(Anime!AG160=""),Anime!AG160,"")</f>
        <v/>
      </c>
      <c r="P159" s="21" t="str">
        <f>IF(NOT(Anime!AH160=""),Anime!AH160,"")</f>
        <v/>
      </c>
      <c r="Q159" s="21" t="str">
        <f>IF(NOT(Anime!AI160=""),Anime!AI160,"")</f>
        <v/>
      </c>
      <c r="R159" s="66" t="str">
        <f>IF(NOT(Anime!AJ160=""),Anime!AJ160,"")</f>
        <v/>
      </c>
      <c r="S159" s="135" t="str">
        <f>IF(NOT(Anime!AK166=""),Anime!AK166,"")</f>
        <v/>
      </c>
    </row>
    <row r="160" spans="1:19" ht="16.5">
      <c r="A160" s="12" t="str">
        <f>IF(NOT(Anime!R161=""),Anime!R161,"")</f>
        <v/>
      </c>
      <c r="B160" s="14" t="str">
        <f>IF(NOT(Anime!S161=""),Anime!S161,"")</f>
        <v/>
      </c>
      <c r="C160" s="14" t="str">
        <f>IF(NOT(Anime!T161=""),Anime!T161,"")</f>
        <v/>
      </c>
      <c r="D160" s="68" t="str">
        <f>IF(NOT(Anime!U161=""),Anime!U161,"")</f>
        <v/>
      </c>
      <c r="E160" s="131" t="str">
        <f>IF(NOT(Anime!W161=""),Anime!W161,"")</f>
        <v/>
      </c>
      <c r="F160" s="16" t="str">
        <f>IF(NOT(Anime!X161=""),Anime!X161,"")</f>
        <v/>
      </c>
      <c r="G160" s="16" t="str">
        <f>IF(NOT(Anime!Y161=""),Anime!Y161,"")</f>
        <v/>
      </c>
      <c r="H160" s="16" t="str">
        <f>IF(NOT(Anime!Z161=""),Anime!Z161,"")</f>
        <v/>
      </c>
      <c r="I160" s="16" t="str">
        <f>IF(NOT(Anime!AA161=""),Anime!AA161,"")</f>
        <v/>
      </c>
      <c r="J160" s="17" t="str">
        <f>IF(NOT(Anime!AB161=""),Anime!AB161,"")</f>
        <v/>
      </c>
      <c r="K160" s="18" t="str">
        <f>IF(NOT(Anime!AC161=""),Anime!AC161,"")</f>
        <v/>
      </c>
      <c r="L160" s="19" t="str">
        <f>IF(NOT(Anime!AD161=""),Anime!AD161,"")</f>
        <v/>
      </c>
      <c r="M160" s="72" t="str">
        <f>IF(NOT(Anime!AE161=""),Anime!AE161,"")</f>
        <v/>
      </c>
      <c r="N160" s="21" t="str">
        <f>IF(NOT(Anime!AF161=""),Anime!AF161,"")</f>
        <v/>
      </c>
      <c r="O160" s="129" t="str">
        <f>IF(NOT(Anime!AG161=""),Anime!AG161,"")</f>
        <v/>
      </c>
      <c r="P160" s="21" t="str">
        <f>IF(NOT(Anime!AH161=""),Anime!AH161,"")</f>
        <v/>
      </c>
      <c r="Q160" s="21" t="str">
        <f>IF(NOT(Anime!AI161=""),Anime!AI161,"")</f>
        <v/>
      </c>
      <c r="R160" s="66" t="str">
        <f>IF(NOT(Anime!AJ161=""),Anime!AJ161,"")</f>
        <v/>
      </c>
      <c r="S160" s="135" t="str">
        <f>IF(NOT(Anime!AK167=""),Anime!AK167,"")</f>
        <v/>
      </c>
    </row>
    <row r="161" spans="1:19" ht="16.5">
      <c r="A161" s="12" t="str">
        <f>IF(NOT(Anime!R162=""),Anime!R162,"")</f>
        <v/>
      </c>
      <c r="B161" s="14" t="str">
        <f>IF(NOT(Anime!S162=""),Anime!S162,"")</f>
        <v/>
      </c>
      <c r="C161" s="14" t="str">
        <f>IF(NOT(Anime!T162=""),Anime!T162,"")</f>
        <v/>
      </c>
      <c r="D161" s="68" t="str">
        <f>IF(NOT(Anime!U162=""),Anime!U162,"")</f>
        <v/>
      </c>
      <c r="E161" s="131" t="str">
        <f>IF(NOT(Anime!W162=""),Anime!W162,"")</f>
        <v/>
      </c>
      <c r="F161" s="16" t="str">
        <f>IF(NOT(Anime!X162=""),Anime!X162,"")</f>
        <v/>
      </c>
      <c r="G161" s="16" t="str">
        <f>IF(NOT(Anime!Y162=""),Anime!Y162,"")</f>
        <v/>
      </c>
      <c r="H161" s="16" t="str">
        <f>IF(NOT(Anime!Z162=""),Anime!Z162,"")</f>
        <v/>
      </c>
      <c r="I161" s="16" t="str">
        <f>IF(NOT(Anime!AA162=""),Anime!AA162,"")</f>
        <v/>
      </c>
      <c r="J161" s="17" t="str">
        <f>IF(NOT(Anime!AB162=""),Anime!AB162,"")</f>
        <v/>
      </c>
      <c r="K161" s="18" t="str">
        <f>IF(NOT(Anime!AC162=""),Anime!AC162,"")</f>
        <v/>
      </c>
      <c r="L161" s="19" t="str">
        <f>IF(NOT(Anime!AD162=""),Anime!AD162,"")</f>
        <v/>
      </c>
      <c r="M161" s="72" t="str">
        <f>IF(NOT(Anime!AE162=""),Anime!AE162,"")</f>
        <v/>
      </c>
      <c r="N161" s="21" t="str">
        <f>IF(NOT(Anime!AF162=""),Anime!AF162,"")</f>
        <v/>
      </c>
      <c r="O161" s="129" t="str">
        <f>IF(NOT(Anime!AG162=""),Anime!AG162,"")</f>
        <v/>
      </c>
      <c r="P161" s="21" t="str">
        <f>IF(NOT(Anime!AH162=""),Anime!AH162,"")</f>
        <v/>
      </c>
      <c r="Q161" s="21" t="str">
        <f>IF(NOT(Anime!AI162=""),Anime!AI162,"")</f>
        <v/>
      </c>
      <c r="R161" s="66" t="str">
        <f>IF(NOT(Anime!AJ162=""),Anime!AJ162,"")</f>
        <v/>
      </c>
      <c r="S161" s="135" t="str">
        <f>IF(NOT(Anime!AK168=""),Anime!AK168,"")</f>
        <v/>
      </c>
    </row>
    <row r="162" spans="1:19" ht="16.5">
      <c r="A162" s="12" t="str">
        <f>IF(NOT(Anime!R163=""),Anime!R163,"")</f>
        <v/>
      </c>
      <c r="B162" s="14" t="str">
        <f>IF(NOT(Anime!S163=""),Anime!S163,"")</f>
        <v/>
      </c>
      <c r="C162" s="14" t="str">
        <f>IF(NOT(Anime!T163=""),Anime!T163,"")</f>
        <v/>
      </c>
      <c r="D162" s="68" t="str">
        <f>IF(NOT(Anime!U163=""),Anime!U163,"")</f>
        <v/>
      </c>
      <c r="E162" s="131" t="str">
        <f>IF(NOT(Anime!W163=""),Anime!W163,"")</f>
        <v/>
      </c>
      <c r="F162" s="16" t="str">
        <f>IF(NOT(Anime!X163=""),Anime!X163,"")</f>
        <v/>
      </c>
      <c r="G162" s="16" t="str">
        <f>IF(NOT(Anime!Y163=""),Anime!Y163,"")</f>
        <v/>
      </c>
      <c r="H162" s="16" t="str">
        <f>IF(NOT(Anime!Z163=""),Anime!Z163,"")</f>
        <v/>
      </c>
      <c r="I162" s="16" t="str">
        <f>IF(NOT(Anime!AA163=""),Anime!AA163,"")</f>
        <v/>
      </c>
      <c r="J162" s="17" t="str">
        <f>IF(NOT(Anime!AB163=""),Anime!AB163,"")</f>
        <v/>
      </c>
      <c r="K162" s="18" t="str">
        <f>IF(NOT(Anime!AC163=""),Anime!AC163,"")</f>
        <v/>
      </c>
      <c r="L162" s="19" t="str">
        <f>IF(NOT(Anime!AD163=""),Anime!AD163,"")</f>
        <v/>
      </c>
      <c r="M162" s="72" t="str">
        <f>IF(NOT(Anime!AE163=""),Anime!AE163,"")</f>
        <v/>
      </c>
      <c r="N162" s="21" t="str">
        <f>IF(NOT(Anime!AF163=""),Anime!AF163,"")</f>
        <v/>
      </c>
      <c r="O162" s="129" t="str">
        <f>IF(NOT(Anime!AG163=""),Anime!AG163,"")</f>
        <v/>
      </c>
      <c r="P162" s="21" t="str">
        <f>IF(NOT(Anime!AH163=""),Anime!AH163,"")</f>
        <v/>
      </c>
      <c r="Q162" s="21" t="str">
        <f>IF(NOT(Anime!AI163=""),Anime!AI163,"")</f>
        <v/>
      </c>
      <c r="R162" s="66" t="str">
        <f>IF(NOT(Anime!AJ163=""),Anime!AJ163,"")</f>
        <v/>
      </c>
      <c r="S162" s="135" t="str">
        <f>IF(NOT(Anime!AK169=""),Anime!AK169,"")</f>
        <v/>
      </c>
    </row>
    <row r="163" spans="1:19" ht="16.5">
      <c r="A163" s="12" t="str">
        <f>IF(NOT(Anime!R164=""),Anime!R164,"")</f>
        <v/>
      </c>
      <c r="B163" s="14" t="str">
        <f>IF(NOT(Anime!S164=""),Anime!S164,"")</f>
        <v/>
      </c>
      <c r="C163" s="14" t="str">
        <f>IF(NOT(Anime!T164=""),Anime!T164,"")</f>
        <v/>
      </c>
      <c r="D163" s="68" t="str">
        <f>IF(NOT(Anime!U164=""),Anime!U164,"")</f>
        <v/>
      </c>
      <c r="E163" s="131" t="str">
        <f>IF(NOT(Anime!W164=""),Anime!W164,"")</f>
        <v/>
      </c>
      <c r="F163" s="16" t="str">
        <f>IF(NOT(Anime!X164=""),Anime!X164,"")</f>
        <v/>
      </c>
      <c r="G163" s="16" t="str">
        <f>IF(NOT(Anime!Y164=""),Anime!Y164,"")</f>
        <v/>
      </c>
      <c r="H163" s="16" t="str">
        <f>IF(NOT(Anime!Z164=""),Anime!Z164,"")</f>
        <v/>
      </c>
      <c r="I163" s="16" t="str">
        <f>IF(NOT(Anime!AA164=""),Anime!AA164,"")</f>
        <v/>
      </c>
      <c r="J163" s="17" t="str">
        <f>IF(NOT(Anime!AB164=""),Anime!AB164,"")</f>
        <v/>
      </c>
      <c r="K163" s="18" t="str">
        <f>IF(NOT(Anime!AC164=""),Anime!AC164,"")</f>
        <v/>
      </c>
      <c r="L163" s="19" t="str">
        <f>IF(NOT(Anime!AD164=""),Anime!AD164,"")</f>
        <v/>
      </c>
      <c r="M163" s="72" t="str">
        <f>IF(NOT(Anime!AE164=""),Anime!AE164,"")</f>
        <v/>
      </c>
      <c r="N163" s="21" t="str">
        <f>IF(NOT(Anime!AF164=""),Anime!AF164,"")</f>
        <v/>
      </c>
      <c r="O163" s="129" t="str">
        <f>IF(NOT(Anime!AG164=""),Anime!AG164,"")</f>
        <v/>
      </c>
      <c r="P163" s="21" t="str">
        <f>IF(NOT(Anime!AH164=""),Anime!AH164,"")</f>
        <v/>
      </c>
      <c r="Q163" s="21" t="str">
        <f>IF(NOT(Anime!AI164=""),Anime!AI164,"")</f>
        <v/>
      </c>
      <c r="R163" s="66" t="str">
        <f>IF(NOT(Anime!AJ164=""),Anime!AJ164,"")</f>
        <v/>
      </c>
      <c r="S163" s="135" t="str">
        <f>IF(NOT(Anime!AK170=""),Anime!AK170,"")</f>
        <v/>
      </c>
    </row>
    <row r="164" spans="1:19" ht="16.5">
      <c r="A164" s="12" t="str">
        <f>IF(NOT(Anime!R165=""),Anime!R165,"")</f>
        <v/>
      </c>
      <c r="B164" s="14" t="str">
        <f>IF(NOT(Anime!S165=""),Anime!S165,"")</f>
        <v/>
      </c>
      <c r="C164" s="14" t="str">
        <f>IF(NOT(Anime!T165=""),Anime!T165,"")</f>
        <v/>
      </c>
      <c r="D164" s="68" t="str">
        <f>IF(NOT(Anime!U165=""),Anime!U165,"")</f>
        <v/>
      </c>
      <c r="E164" s="131" t="str">
        <f>IF(NOT(Anime!W165=""),Anime!W165,"")</f>
        <v/>
      </c>
      <c r="F164" s="16" t="str">
        <f>IF(NOT(Anime!X165=""),Anime!X165,"")</f>
        <v/>
      </c>
      <c r="G164" s="16" t="str">
        <f>IF(NOT(Anime!Y165=""),Anime!Y165,"")</f>
        <v/>
      </c>
      <c r="H164" s="16" t="str">
        <f>IF(NOT(Anime!Z165=""),Anime!Z165,"")</f>
        <v/>
      </c>
      <c r="I164" s="16" t="str">
        <f>IF(NOT(Anime!AA165=""),Anime!AA165,"")</f>
        <v/>
      </c>
      <c r="J164" s="17" t="str">
        <f>IF(NOT(Anime!AB165=""),Anime!AB165,"")</f>
        <v/>
      </c>
      <c r="K164" s="18" t="str">
        <f>IF(NOT(Anime!AC165=""),Anime!AC165,"")</f>
        <v/>
      </c>
      <c r="L164" s="19" t="str">
        <f>IF(NOT(Anime!AD165=""),Anime!AD165,"")</f>
        <v/>
      </c>
      <c r="M164" s="72" t="str">
        <f>IF(NOT(Anime!AE165=""),Anime!AE165,"")</f>
        <v/>
      </c>
      <c r="N164" s="21" t="str">
        <f>IF(NOT(Anime!AF165=""),Anime!AF165,"")</f>
        <v/>
      </c>
      <c r="O164" s="129" t="str">
        <f>IF(NOT(Anime!AG165=""),Anime!AG165,"")</f>
        <v/>
      </c>
      <c r="P164" s="21" t="str">
        <f>IF(NOT(Anime!AH165=""),Anime!AH165,"")</f>
        <v/>
      </c>
      <c r="Q164" s="21" t="str">
        <f>IF(NOT(Anime!AI165=""),Anime!AI165,"")</f>
        <v/>
      </c>
      <c r="R164" s="66" t="str">
        <f>IF(NOT(Anime!AJ165=""),Anime!AJ165,"")</f>
        <v/>
      </c>
      <c r="S164" s="135" t="str">
        <f>IF(NOT(Anime!AK171=""),Anime!AK171,"")</f>
        <v/>
      </c>
    </row>
    <row r="165" spans="1:19" ht="16.5">
      <c r="A165" s="12" t="str">
        <f>IF(NOT(Anime!R166=""),Anime!R166,"")</f>
        <v/>
      </c>
      <c r="B165" s="14" t="str">
        <f>IF(NOT(Anime!S166=""),Anime!S166,"")</f>
        <v/>
      </c>
      <c r="C165" s="14" t="str">
        <f>IF(NOT(Anime!T166=""),Anime!T166,"")</f>
        <v/>
      </c>
      <c r="D165" s="68" t="str">
        <f>IF(NOT(Anime!U166=""),Anime!U166,"")</f>
        <v/>
      </c>
      <c r="E165" s="131" t="str">
        <f>IF(NOT(Anime!W166=""),Anime!W166,"")</f>
        <v/>
      </c>
      <c r="F165" s="16" t="str">
        <f>IF(NOT(Anime!X166=""),Anime!X166,"")</f>
        <v/>
      </c>
      <c r="G165" s="16" t="str">
        <f>IF(NOT(Anime!Y166=""),Anime!Y166,"")</f>
        <v/>
      </c>
      <c r="H165" s="16" t="str">
        <f>IF(NOT(Anime!Z166=""),Anime!Z166,"")</f>
        <v/>
      </c>
      <c r="I165" s="16" t="str">
        <f>IF(NOT(Anime!AA166=""),Anime!AA166,"")</f>
        <v/>
      </c>
      <c r="J165" s="17" t="str">
        <f>IF(NOT(Anime!AB166=""),Anime!AB166,"")</f>
        <v/>
      </c>
      <c r="K165" s="18" t="str">
        <f>IF(NOT(Anime!AC166=""),Anime!AC166,"")</f>
        <v/>
      </c>
      <c r="L165" s="19" t="str">
        <f>IF(NOT(Anime!AD166=""),Anime!AD166,"")</f>
        <v/>
      </c>
      <c r="M165" s="72" t="str">
        <f>IF(NOT(Anime!AE166=""),Anime!AE166,"")</f>
        <v/>
      </c>
      <c r="N165" s="21" t="str">
        <f>IF(NOT(Anime!AF166=""),Anime!AF166,"")</f>
        <v/>
      </c>
      <c r="O165" s="129" t="str">
        <f>IF(NOT(Anime!AG166=""),Anime!AG166,"")</f>
        <v/>
      </c>
      <c r="P165" s="21" t="str">
        <f>IF(NOT(Anime!AH166=""),Anime!AH166,"")</f>
        <v/>
      </c>
      <c r="Q165" s="21" t="str">
        <f>IF(NOT(Anime!AI166=""),Anime!AI166,"")</f>
        <v/>
      </c>
      <c r="R165" s="66" t="str">
        <f>IF(NOT(Anime!AJ166=""),Anime!AJ166,"")</f>
        <v/>
      </c>
      <c r="S165" s="135" t="str">
        <f>IF(NOT(Anime!AK172=""),Anime!AK172,"")</f>
        <v/>
      </c>
    </row>
    <row r="166" spans="1:19" ht="16.5">
      <c r="A166" s="12" t="str">
        <f>IF(NOT(Anime!R167=""),Anime!R167,"")</f>
        <v/>
      </c>
      <c r="B166" s="14" t="str">
        <f>IF(NOT(Anime!S167=""),Anime!S167,"")</f>
        <v/>
      </c>
      <c r="C166" s="14" t="str">
        <f>IF(NOT(Anime!T167=""),Anime!T167,"")</f>
        <v/>
      </c>
      <c r="D166" s="68" t="str">
        <f>IF(NOT(Anime!U167=""),Anime!U167,"")</f>
        <v/>
      </c>
      <c r="E166" s="131" t="str">
        <f>IF(NOT(Anime!W167=""),Anime!W167,"")</f>
        <v/>
      </c>
      <c r="F166" s="16" t="str">
        <f>IF(NOT(Anime!X167=""),Anime!X167,"")</f>
        <v/>
      </c>
      <c r="G166" s="16" t="str">
        <f>IF(NOT(Anime!Y167=""),Anime!Y167,"")</f>
        <v/>
      </c>
      <c r="H166" s="16" t="str">
        <f>IF(NOT(Anime!Z167=""),Anime!Z167,"")</f>
        <v/>
      </c>
      <c r="I166" s="16" t="str">
        <f>IF(NOT(Anime!AA167=""),Anime!AA167,"")</f>
        <v/>
      </c>
      <c r="J166" s="17" t="str">
        <f>IF(NOT(Anime!AB167=""),Anime!AB167,"")</f>
        <v/>
      </c>
      <c r="K166" s="18" t="str">
        <f>IF(NOT(Anime!AC167=""),Anime!AC167,"")</f>
        <v/>
      </c>
      <c r="L166" s="19" t="str">
        <f>IF(NOT(Anime!AD167=""),Anime!AD167,"")</f>
        <v/>
      </c>
      <c r="M166" s="72" t="str">
        <f>IF(NOT(Anime!AE167=""),Anime!AE167,"")</f>
        <v/>
      </c>
      <c r="N166" s="21" t="str">
        <f>IF(NOT(Anime!AF167=""),Anime!AF167,"")</f>
        <v/>
      </c>
      <c r="O166" s="129" t="str">
        <f>IF(NOT(Anime!AG167=""),Anime!AG167,"")</f>
        <v/>
      </c>
      <c r="P166" s="21" t="str">
        <f>IF(NOT(Anime!AH167=""),Anime!AH167,"")</f>
        <v/>
      </c>
      <c r="Q166" s="21" t="str">
        <f>IF(NOT(Anime!AI167=""),Anime!AI167,"")</f>
        <v/>
      </c>
      <c r="R166" s="66" t="str">
        <f>IF(NOT(Anime!AJ167=""),Anime!AJ167,"")</f>
        <v/>
      </c>
      <c r="S166" s="135" t="str">
        <f>IF(NOT(Anime!AK173=""),Anime!AK173,"")</f>
        <v/>
      </c>
    </row>
    <row r="167" spans="1:19" ht="16.5">
      <c r="A167" s="12" t="str">
        <f>IF(NOT(Anime!R168=""),Anime!R168,"")</f>
        <v/>
      </c>
      <c r="B167" s="14" t="str">
        <f>IF(NOT(Anime!S168=""),Anime!S168,"")</f>
        <v/>
      </c>
      <c r="C167" s="14" t="str">
        <f>IF(NOT(Anime!T168=""),Anime!T168,"")</f>
        <v/>
      </c>
      <c r="D167" s="68" t="str">
        <f>IF(NOT(Anime!U168=""),Anime!U168,"")</f>
        <v/>
      </c>
      <c r="E167" s="131" t="str">
        <f>IF(NOT(Anime!W168=""),Anime!W168,"")</f>
        <v/>
      </c>
      <c r="F167" s="16" t="str">
        <f>IF(NOT(Anime!X168=""),Anime!X168,"")</f>
        <v/>
      </c>
      <c r="G167" s="16" t="str">
        <f>IF(NOT(Anime!Y168=""),Anime!Y168,"")</f>
        <v/>
      </c>
      <c r="H167" s="16" t="str">
        <f>IF(NOT(Anime!Z168=""),Anime!Z168,"")</f>
        <v/>
      </c>
      <c r="I167" s="16" t="str">
        <f>IF(NOT(Anime!AA168=""),Anime!AA168,"")</f>
        <v/>
      </c>
      <c r="J167" s="17" t="str">
        <f>IF(NOT(Anime!AB168=""),Anime!AB168,"")</f>
        <v/>
      </c>
      <c r="K167" s="18" t="str">
        <f>IF(NOT(Anime!AC168=""),Anime!AC168,"")</f>
        <v/>
      </c>
      <c r="L167" s="19" t="str">
        <f>IF(NOT(Anime!AD168=""),Anime!AD168,"")</f>
        <v/>
      </c>
      <c r="M167" s="72" t="str">
        <f>IF(NOT(Anime!AE168=""),Anime!AE168,"")</f>
        <v/>
      </c>
      <c r="N167" s="21" t="str">
        <f>IF(NOT(Anime!AF168=""),Anime!AF168,"")</f>
        <v/>
      </c>
      <c r="O167" s="129" t="str">
        <f>IF(NOT(Anime!AG168=""),Anime!AG168,"")</f>
        <v/>
      </c>
      <c r="P167" s="21" t="str">
        <f>IF(NOT(Anime!AH168=""),Anime!AH168,"")</f>
        <v/>
      </c>
      <c r="Q167" s="21" t="str">
        <f>IF(NOT(Anime!AI168=""),Anime!AI168,"")</f>
        <v/>
      </c>
      <c r="R167" s="66" t="str">
        <f>IF(NOT(Anime!AJ168=""),Anime!AJ168,"")</f>
        <v/>
      </c>
      <c r="S167" s="135" t="str">
        <f>IF(NOT(Anime!AK174=""),Anime!AK174,"")</f>
        <v/>
      </c>
    </row>
    <row r="168" spans="1:19" ht="16.5">
      <c r="A168" s="12" t="str">
        <f>IF(NOT(Anime!R169=""),Anime!R169,"")</f>
        <v/>
      </c>
      <c r="B168" s="14" t="str">
        <f>IF(NOT(Anime!S169=""),Anime!S169,"")</f>
        <v/>
      </c>
      <c r="C168" s="14" t="str">
        <f>IF(NOT(Anime!T169=""),Anime!T169,"")</f>
        <v/>
      </c>
      <c r="D168" s="68" t="str">
        <f>IF(NOT(Anime!U169=""),Anime!U169,"")</f>
        <v/>
      </c>
      <c r="E168" s="131" t="str">
        <f>IF(NOT(Anime!W169=""),Anime!W169,"")</f>
        <v/>
      </c>
      <c r="F168" s="16" t="str">
        <f>IF(NOT(Anime!X169=""),Anime!X169,"")</f>
        <v/>
      </c>
      <c r="G168" s="16" t="str">
        <f>IF(NOT(Anime!Y169=""),Anime!Y169,"")</f>
        <v/>
      </c>
      <c r="H168" s="16" t="str">
        <f>IF(NOT(Anime!Z169=""),Anime!Z169,"")</f>
        <v/>
      </c>
      <c r="I168" s="16" t="str">
        <f>IF(NOT(Anime!AA169=""),Anime!AA169,"")</f>
        <v/>
      </c>
      <c r="J168" s="17" t="str">
        <f>IF(NOT(Anime!AB169=""),Anime!AB169,"")</f>
        <v/>
      </c>
      <c r="K168" s="18" t="str">
        <f>IF(NOT(Anime!AC169=""),Anime!AC169,"")</f>
        <v/>
      </c>
      <c r="L168" s="19" t="str">
        <f>IF(NOT(Anime!AD169=""),Anime!AD169,"")</f>
        <v/>
      </c>
      <c r="M168" s="72" t="str">
        <f>IF(NOT(Anime!AE169=""),Anime!AE169,"")</f>
        <v/>
      </c>
      <c r="N168" s="21" t="str">
        <f>IF(NOT(Anime!AF169=""),Anime!AF169,"")</f>
        <v/>
      </c>
      <c r="O168" s="129" t="str">
        <f>IF(NOT(Anime!AG169=""),Anime!AG169,"")</f>
        <v/>
      </c>
      <c r="P168" s="21" t="str">
        <f>IF(NOT(Anime!AH169=""),Anime!AH169,"")</f>
        <v/>
      </c>
      <c r="Q168" s="21" t="str">
        <f>IF(NOT(Anime!AI169=""),Anime!AI169,"")</f>
        <v/>
      </c>
      <c r="R168" s="66" t="str">
        <f>IF(NOT(Anime!AJ169=""),Anime!AJ169,"")</f>
        <v/>
      </c>
      <c r="S168" s="135" t="str">
        <f>IF(NOT(Anime!AK175=""),Anime!AK175,"")</f>
        <v/>
      </c>
    </row>
    <row r="169" spans="1:19" ht="16.5">
      <c r="A169" s="12" t="str">
        <f>IF(NOT(Anime!R170=""),Anime!R170,"")</f>
        <v/>
      </c>
      <c r="B169" s="14" t="str">
        <f>IF(NOT(Anime!S170=""),Anime!S170,"")</f>
        <v/>
      </c>
      <c r="C169" s="14" t="str">
        <f>IF(NOT(Anime!T170=""),Anime!T170,"")</f>
        <v/>
      </c>
      <c r="D169" s="68" t="str">
        <f>IF(NOT(Anime!U170=""),Anime!U170,"")</f>
        <v/>
      </c>
      <c r="E169" s="131" t="str">
        <f>IF(NOT(Anime!W170=""),Anime!W170,"")</f>
        <v/>
      </c>
      <c r="F169" s="16" t="str">
        <f>IF(NOT(Anime!X170=""),Anime!X170,"")</f>
        <v/>
      </c>
      <c r="G169" s="16" t="str">
        <f>IF(NOT(Anime!Y170=""),Anime!Y170,"")</f>
        <v/>
      </c>
      <c r="H169" s="16" t="str">
        <f>IF(NOT(Anime!Z170=""),Anime!Z170,"")</f>
        <v/>
      </c>
      <c r="I169" s="16" t="str">
        <f>IF(NOT(Anime!AA170=""),Anime!AA170,"")</f>
        <v/>
      </c>
      <c r="J169" s="17" t="str">
        <f>IF(NOT(Anime!AB170=""),Anime!AB170,"")</f>
        <v/>
      </c>
      <c r="K169" s="18" t="str">
        <f>IF(NOT(Anime!AC170=""),Anime!AC170,"")</f>
        <v/>
      </c>
      <c r="L169" s="19" t="str">
        <f>IF(NOT(Anime!AD170=""),Anime!AD170,"")</f>
        <v/>
      </c>
      <c r="M169" s="72" t="str">
        <f>IF(NOT(Anime!AE170=""),Anime!AE170,"")</f>
        <v/>
      </c>
      <c r="N169" s="21" t="str">
        <f>IF(NOT(Anime!AF170=""),Anime!AF170,"")</f>
        <v/>
      </c>
      <c r="O169" s="129" t="str">
        <f>IF(NOT(Anime!AG170=""),Anime!AG170,"")</f>
        <v/>
      </c>
      <c r="P169" s="21" t="str">
        <f>IF(NOT(Anime!AH170=""),Anime!AH170,"")</f>
        <v/>
      </c>
      <c r="Q169" s="21" t="str">
        <f>IF(NOT(Anime!AI170=""),Anime!AI170,"")</f>
        <v/>
      </c>
      <c r="R169" s="66" t="str">
        <f>IF(NOT(Anime!AJ170=""),Anime!AJ170,"")</f>
        <v/>
      </c>
      <c r="S169" s="135" t="str">
        <f>IF(NOT(Anime!AK176=""),Anime!AK176,"")</f>
        <v/>
      </c>
    </row>
    <row r="170" spans="1:19" ht="16.5">
      <c r="A170" s="12" t="str">
        <f>IF(NOT(Anime!R171=""),Anime!R171,"")</f>
        <v/>
      </c>
      <c r="B170" s="14" t="str">
        <f>IF(NOT(Anime!S171=""),Anime!S171,"")</f>
        <v/>
      </c>
      <c r="C170" s="14" t="str">
        <f>IF(NOT(Anime!T171=""),Anime!T171,"")</f>
        <v/>
      </c>
      <c r="D170" s="68" t="str">
        <f>IF(NOT(Anime!U171=""),Anime!U171,"")</f>
        <v/>
      </c>
      <c r="E170" s="131" t="str">
        <f>IF(NOT(Anime!W171=""),Anime!W171,"")</f>
        <v/>
      </c>
      <c r="F170" s="16" t="str">
        <f>IF(NOT(Anime!X171=""),Anime!X171,"")</f>
        <v/>
      </c>
      <c r="G170" s="16" t="str">
        <f>IF(NOT(Anime!Y171=""),Anime!Y171,"")</f>
        <v/>
      </c>
      <c r="H170" s="16" t="str">
        <f>IF(NOT(Anime!Z171=""),Anime!Z171,"")</f>
        <v/>
      </c>
      <c r="I170" s="16" t="str">
        <f>IF(NOT(Anime!AA171=""),Anime!AA171,"")</f>
        <v/>
      </c>
      <c r="J170" s="17" t="str">
        <f>IF(NOT(Anime!AB171=""),Anime!AB171,"")</f>
        <v/>
      </c>
      <c r="K170" s="18" t="str">
        <f>IF(NOT(Anime!AC171=""),Anime!AC171,"")</f>
        <v/>
      </c>
      <c r="L170" s="19" t="str">
        <f>IF(NOT(Anime!AD171=""),Anime!AD171,"")</f>
        <v/>
      </c>
      <c r="M170" s="72" t="str">
        <f>IF(NOT(Anime!AE171=""),Anime!AE171,"")</f>
        <v/>
      </c>
      <c r="N170" s="21" t="str">
        <f>IF(NOT(Anime!AF171=""),Anime!AF171,"")</f>
        <v/>
      </c>
      <c r="O170" s="129" t="str">
        <f>IF(NOT(Anime!AG171=""),Anime!AG171,"")</f>
        <v/>
      </c>
      <c r="P170" s="21" t="str">
        <f>IF(NOT(Anime!AH171=""),Anime!AH171,"")</f>
        <v/>
      </c>
      <c r="Q170" s="21" t="str">
        <f>IF(NOT(Anime!AI171=""),Anime!AI171,"")</f>
        <v/>
      </c>
      <c r="R170" s="66" t="str">
        <f>IF(NOT(Anime!AJ171=""),Anime!AJ171,"")</f>
        <v/>
      </c>
      <c r="S170" s="135" t="str">
        <f>IF(NOT(Anime!AK177=""),Anime!AK177,"")</f>
        <v/>
      </c>
    </row>
    <row r="171" spans="1:19" ht="16.5">
      <c r="A171" s="12" t="str">
        <f>IF(NOT(Anime!R172=""),Anime!R172,"")</f>
        <v/>
      </c>
      <c r="B171" s="14" t="str">
        <f>IF(NOT(Anime!S172=""),Anime!S172,"")</f>
        <v/>
      </c>
      <c r="C171" s="14" t="str">
        <f>IF(NOT(Anime!T172=""),Anime!T172,"")</f>
        <v/>
      </c>
      <c r="D171" s="68" t="str">
        <f>IF(NOT(Anime!U172=""),Anime!U172,"")</f>
        <v/>
      </c>
      <c r="E171" s="131" t="str">
        <f>IF(NOT(Anime!W172=""),Anime!W172,"")</f>
        <v/>
      </c>
      <c r="F171" s="16" t="str">
        <f>IF(NOT(Anime!X172=""),Anime!X172,"")</f>
        <v/>
      </c>
      <c r="G171" s="16" t="str">
        <f>IF(NOT(Anime!Y172=""),Anime!Y172,"")</f>
        <v/>
      </c>
      <c r="H171" s="16" t="str">
        <f>IF(NOT(Anime!Z172=""),Anime!Z172,"")</f>
        <v/>
      </c>
      <c r="I171" s="16" t="str">
        <f>IF(NOT(Anime!AA172=""),Anime!AA172,"")</f>
        <v/>
      </c>
      <c r="J171" s="17" t="str">
        <f>IF(NOT(Anime!AB172=""),Anime!AB172,"")</f>
        <v/>
      </c>
      <c r="K171" s="18" t="str">
        <f>IF(NOT(Anime!AC172=""),Anime!AC172,"")</f>
        <v/>
      </c>
      <c r="L171" s="19" t="str">
        <f>IF(NOT(Anime!AD172=""),Anime!AD172,"")</f>
        <v/>
      </c>
      <c r="M171" s="72" t="str">
        <f>IF(NOT(Anime!AE172=""),Anime!AE172,"")</f>
        <v/>
      </c>
      <c r="N171" s="21" t="str">
        <f>IF(NOT(Anime!AF172=""),Anime!AF172,"")</f>
        <v/>
      </c>
      <c r="O171" s="129" t="str">
        <f>IF(NOT(Anime!AG172=""),Anime!AG172,"")</f>
        <v/>
      </c>
      <c r="P171" s="21" t="str">
        <f>IF(NOT(Anime!AH172=""),Anime!AH172,"")</f>
        <v/>
      </c>
      <c r="Q171" s="21" t="str">
        <f>IF(NOT(Anime!AI172=""),Anime!AI172,"")</f>
        <v/>
      </c>
      <c r="R171" s="66" t="str">
        <f>IF(NOT(Anime!AJ172=""),Anime!AJ172,"")</f>
        <v/>
      </c>
      <c r="S171" s="135" t="str">
        <f>IF(NOT(Anime!AK178=""),Anime!AK178,"")</f>
        <v/>
      </c>
    </row>
    <row r="172" spans="1:19" ht="16.5">
      <c r="A172" s="12" t="str">
        <f>IF(NOT(Anime!R173=""),Anime!R173,"")</f>
        <v/>
      </c>
      <c r="B172" s="14" t="str">
        <f>IF(NOT(Anime!S173=""),Anime!S173,"")</f>
        <v/>
      </c>
      <c r="C172" s="14" t="str">
        <f>IF(NOT(Anime!T173=""),Anime!T173,"")</f>
        <v/>
      </c>
      <c r="D172" s="68" t="str">
        <f>IF(NOT(Anime!U173=""),Anime!U173,"")</f>
        <v/>
      </c>
      <c r="E172" s="131" t="str">
        <f>IF(NOT(Anime!W173=""),Anime!W173,"")</f>
        <v/>
      </c>
      <c r="F172" s="16" t="str">
        <f>IF(NOT(Anime!X173=""),Anime!X173,"")</f>
        <v/>
      </c>
      <c r="G172" s="16" t="str">
        <f>IF(NOT(Anime!Y173=""),Anime!Y173,"")</f>
        <v/>
      </c>
      <c r="H172" s="16" t="str">
        <f>IF(NOT(Anime!Z173=""),Anime!Z173,"")</f>
        <v/>
      </c>
      <c r="I172" s="16" t="str">
        <f>IF(NOT(Anime!AA173=""),Anime!AA173,"")</f>
        <v/>
      </c>
      <c r="J172" s="17" t="str">
        <f>IF(NOT(Anime!AB173=""),Anime!AB173,"")</f>
        <v/>
      </c>
      <c r="K172" s="18" t="str">
        <f>IF(NOT(Anime!AC173=""),Anime!AC173,"")</f>
        <v/>
      </c>
      <c r="L172" s="19" t="str">
        <f>IF(NOT(Anime!AD173=""),Anime!AD173,"")</f>
        <v/>
      </c>
      <c r="M172" s="72" t="str">
        <f>IF(NOT(Anime!AE173=""),Anime!AE173,"")</f>
        <v/>
      </c>
      <c r="N172" s="21" t="str">
        <f>IF(NOT(Anime!AF173=""),Anime!AF173,"")</f>
        <v/>
      </c>
      <c r="O172" s="129" t="str">
        <f>IF(NOT(Anime!AG173=""),Anime!AG173,"")</f>
        <v/>
      </c>
      <c r="P172" s="21" t="str">
        <f>IF(NOT(Anime!AH173=""),Anime!AH173,"")</f>
        <v/>
      </c>
      <c r="Q172" s="21" t="str">
        <f>IF(NOT(Anime!AI173=""),Anime!AI173,"")</f>
        <v/>
      </c>
      <c r="R172" s="66" t="str">
        <f>IF(NOT(Anime!AJ173=""),Anime!AJ173,"")</f>
        <v/>
      </c>
      <c r="S172" s="135" t="str">
        <f>IF(NOT(Anime!AK179=""),Anime!AK179,"")</f>
        <v/>
      </c>
    </row>
    <row r="173" spans="1:19" ht="16.5">
      <c r="A173" s="12" t="str">
        <f>IF(NOT(Anime!R174=""),Anime!R174,"")</f>
        <v/>
      </c>
      <c r="B173" s="14" t="str">
        <f>IF(NOT(Anime!S174=""),Anime!S174,"")</f>
        <v/>
      </c>
      <c r="C173" s="14" t="str">
        <f>IF(NOT(Anime!T174=""),Anime!T174,"")</f>
        <v/>
      </c>
      <c r="D173" s="68" t="str">
        <f>IF(NOT(Anime!U174=""),Anime!U174,"")</f>
        <v/>
      </c>
      <c r="E173" s="131" t="str">
        <f>IF(NOT(Anime!W174=""),Anime!W174,"")</f>
        <v/>
      </c>
      <c r="F173" s="16" t="str">
        <f>IF(NOT(Anime!X174=""),Anime!X174,"")</f>
        <v/>
      </c>
      <c r="G173" s="16" t="str">
        <f>IF(NOT(Anime!Y174=""),Anime!Y174,"")</f>
        <v/>
      </c>
      <c r="H173" s="16" t="str">
        <f>IF(NOT(Anime!Z174=""),Anime!Z174,"")</f>
        <v/>
      </c>
      <c r="I173" s="16" t="str">
        <f>IF(NOT(Anime!AA174=""),Anime!AA174,"")</f>
        <v/>
      </c>
      <c r="J173" s="17" t="str">
        <f>IF(NOT(Anime!AB174=""),Anime!AB174,"")</f>
        <v/>
      </c>
      <c r="K173" s="18" t="str">
        <f>IF(NOT(Anime!AC174=""),Anime!AC174,"")</f>
        <v/>
      </c>
      <c r="L173" s="19" t="str">
        <f>IF(NOT(Anime!AD174=""),Anime!AD174,"")</f>
        <v/>
      </c>
      <c r="M173" s="72" t="str">
        <f>IF(NOT(Anime!AE174=""),Anime!AE174,"")</f>
        <v/>
      </c>
      <c r="N173" s="21" t="str">
        <f>IF(NOT(Anime!AF174=""),Anime!AF174,"")</f>
        <v/>
      </c>
      <c r="O173" s="129" t="str">
        <f>IF(NOT(Anime!AG174=""),Anime!AG174,"")</f>
        <v/>
      </c>
      <c r="P173" s="21" t="str">
        <f>IF(NOT(Anime!AH174=""),Anime!AH174,"")</f>
        <v/>
      </c>
      <c r="Q173" s="21" t="str">
        <f>IF(NOT(Anime!AI174=""),Anime!AI174,"")</f>
        <v/>
      </c>
      <c r="R173" s="66" t="str">
        <f>IF(NOT(Anime!AJ174=""),Anime!AJ174,"")</f>
        <v/>
      </c>
      <c r="S173" s="135" t="str">
        <f>IF(NOT(Anime!AK180=""),Anime!AK180,"")</f>
        <v/>
      </c>
    </row>
    <row r="174" spans="1:19" ht="16.5">
      <c r="A174" s="12" t="str">
        <f>IF(NOT(Anime!R175=""),Anime!R175,"")</f>
        <v/>
      </c>
      <c r="B174" s="14" t="str">
        <f>IF(NOT(Anime!S175=""),Anime!S175,"")</f>
        <v/>
      </c>
      <c r="C174" s="14" t="str">
        <f>IF(NOT(Anime!T175=""),Anime!T175,"")</f>
        <v/>
      </c>
      <c r="D174" s="68" t="str">
        <f>IF(NOT(Anime!U175=""),Anime!U175,"")</f>
        <v/>
      </c>
      <c r="E174" s="131" t="str">
        <f>IF(NOT(Anime!W175=""),Anime!W175,"")</f>
        <v/>
      </c>
      <c r="F174" s="16" t="str">
        <f>IF(NOT(Anime!X175=""),Anime!X175,"")</f>
        <v/>
      </c>
      <c r="G174" s="16" t="str">
        <f>IF(NOT(Anime!Y175=""),Anime!Y175,"")</f>
        <v/>
      </c>
      <c r="H174" s="16" t="str">
        <f>IF(NOT(Anime!Z175=""),Anime!Z175,"")</f>
        <v/>
      </c>
      <c r="I174" s="16" t="str">
        <f>IF(NOT(Anime!AA175=""),Anime!AA175,"")</f>
        <v/>
      </c>
      <c r="J174" s="17" t="str">
        <f>IF(NOT(Anime!AB175=""),Anime!AB175,"")</f>
        <v/>
      </c>
      <c r="K174" s="18" t="str">
        <f>IF(NOT(Anime!AC175=""),Anime!AC175,"")</f>
        <v/>
      </c>
      <c r="L174" s="19" t="str">
        <f>IF(NOT(Anime!AD175=""),Anime!AD175,"")</f>
        <v/>
      </c>
      <c r="M174" s="72" t="str">
        <f>IF(NOT(Anime!AE175=""),Anime!AE175,"")</f>
        <v/>
      </c>
      <c r="N174" s="21" t="str">
        <f>IF(NOT(Anime!AF175=""),Anime!AF175,"")</f>
        <v/>
      </c>
      <c r="O174" s="129" t="str">
        <f>IF(NOT(Anime!AG175=""),Anime!AG175,"")</f>
        <v/>
      </c>
      <c r="P174" s="21" t="str">
        <f>IF(NOT(Anime!AH175=""),Anime!AH175,"")</f>
        <v/>
      </c>
      <c r="Q174" s="21" t="str">
        <f>IF(NOT(Anime!AI175=""),Anime!AI175,"")</f>
        <v/>
      </c>
      <c r="R174" s="66" t="str">
        <f>IF(NOT(Anime!AJ175=""),Anime!AJ175,"")</f>
        <v/>
      </c>
      <c r="S174" s="135" t="str">
        <f>IF(NOT(Anime!AK181=""),Anime!AK181,"")</f>
        <v/>
      </c>
    </row>
    <row r="175" spans="1:19" ht="16.5">
      <c r="A175" s="12" t="str">
        <f>IF(NOT(Anime!R176=""),Anime!R176,"")</f>
        <v/>
      </c>
      <c r="B175" s="14" t="str">
        <f>IF(NOT(Anime!S176=""),Anime!S176,"")</f>
        <v/>
      </c>
      <c r="C175" s="14" t="str">
        <f>IF(NOT(Anime!T176=""),Anime!T176,"")</f>
        <v/>
      </c>
      <c r="D175" s="68" t="str">
        <f>IF(NOT(Anime!U176=""),Anime!U176,"")</f>
        <v/>
      </c>
      <c r="E175" s="131" t="str">
        <f>IF(NOT(Anime!W176=""),Anime!W176,"")</f>
        <v/>
      </c>
      <c r="F175" s="16" t="str">
        <f>IF(NOT(Anime!X176=""),Anime!X176,"")</f>
        <v/>
      </c>
      <c r="G175" s="16" t="str">
        <f>IF(NOT(Anime!Y176=""),Anime!Y176,"")</f>
        <v/>
      </c>
      <c r="H175" s="16" t="str">
        <f>IF(NOT(Anime!Z176=""),Anime!Z176,"")</f>
        <v/>
      </c>
      <c r="I175" s="16" t="str">
        <f>IF(NOT(Anime!AA176=""),Anime!AA176,"")</f>
        <v/>
      </c>
      <c r="J175" s="17" t="str">
        <f>IF(NOT(Anime!AB176=""),Anime!AB176,"")</f>
        <v/>
      </c>
      <c r="K175" s="18" t="str">
        <f>IF(NOT(Anime!AC176=""),Anime!AC176,"")</f>
        <v/>
      </c>
      <c r="L175" s="19" t="str">
        <f>IF(NOT(Anime!AD176=""),Anime!AD176,"")</f>
        <v/>
      </c>
      <c r="M175" s="72" t="str">
        <f>IF(NOT(Anime!AE176=""),Anime!AE176,"")</f>
        <v/>
      </c>
      <c r="N175" s="21" t="str">
        <f>IF(NOT(Anime!AF176=""),Anime!AF176,"")</f>
        <v/>
      </c>
      <c r="O175" s="129" t="str">
        <f>IF(NOT(Anime!AG176=""),Anime!AG176,"")</f>
        <v/>
      </c>
      <c r="P175" s="21" t="str">
        <f>IF(NOT(Anime!AH176=""),Anime!AH176,"")</f>
        <v/>
      </c>
      <c r="Q175" s="21" t="str">
        <f>IF(NOT(Anime!AI176=""),Anime!AI176,"")</f>
        <v/>
      </c>
      <c r="R175" s="66" t="str">
        <f>IF(NOT(Anime!AJ176=""),Anime!AJ176,"")</f>
        <v/>
      </c>
      <c r="S175" s="135" t="str">
        <f>IF(NOT(Anime!AK182=""),Anime!AK182,"")</f>
        <v/>
      </c>
    </row>
    <row r="176" spans="1:19" ht="16.5">
      <c r="A176" s="12" t="str">
        <f>IF(NOT(Anime!R177=""),Anime!R177,"")</f>
        <v/>
      </c>
      <c r="B176" s="14" t="str">
        <f>IF(NOT(Anime!S177=""),Anime!S177,"")</f>
        <v/>
      </c>
      <c r="C176" s="14" t="str">
        <f>IF(NOT(Anime!T177=""),Anime!T177,"")</f>
        <v/>
      </c>
      <c r="D176" s="68" t="str">
        <f>IF(NOT(Anime!U177=""),Anime!U177,"")</f>
        <v/>
      </c>
      <c r="E176" s="131" t="str">
        <f>IF(NOT(Anime!W177=""),Anime!W177,"")</f>
        <v/>
      </c>
      <c r="F176" s="16" t="str">
        <f>IF(NOT(Anime!X177=""),Anime!X177,"")</f>
        <v/>
      </c>
      <c r="G176" s="16" t="str">
        <f>IF(NOT(Anime!Y177=""),Anime!Y177,"")</f>
        <v/>
      </c>
      <c r="H176" s="16" t="str">
        <f>IF(NOT(Anime!Z177=""),Anime!Z177,"")</f>
        <v/>
      </c>
      <c r="I176" s="16" t="str">
        <f>IF(NOT(Anime!AA177=""),Anime!AA177,"")</f>
        <v/>
      </c>
      <c r="J176" s="17" t="str">
        <f>IF(NOT(Anime!AB177=""),Anime!AB177,"")</f>
        <v/>
      </c>
      <c r="K176" s="18" t="str">
        <f>IF(NOT(Anime!AC177=""),Anime!AC177,"")</f>
        <v/>
      </c>
      <c r="L176" s="19" t="str">
        <f>IF(NOT(Anime!AD177=""),Anime!AD177,"")</f>
        <v/>
      </c>
      <c r="M176" s="72" t="str">
        <f>IF(NOT(Anime!AE177=""),Anime!AE177,"")</f>
        <v/>
      </c>
      <c r="N176" s="21" t="str">
        <f>IF(NOT(Anime!AF177=""),Anime!AF177,"")</f>
        <v/>
      </c>
      <c r="O176" s="129" t="str">
        <f>IF(NOT(Anime!AG177=""),Anime!AG177,"")</f>
        <v/>
      </c>
      <c r="P176" s="21" t="str">
        <f>IF(NOT(Anime!AH177=""),Anime!AH177,"")</f>
        <v/>
      </c>
      <c r="Q176" s="21" t="str">
        <f>IF(NOT(Anime!AI177=""),Anime!AI177,"")</f>
        <v/>
      </c>
      <c r="R176" s="66" t="str">
        <f>IF(NOT(Anime!AJ177=""),Anime!AJ177,"")</f>
        <v/>
      </c>
      <c r="S176" s="135" t="str">
        <f>IF(NOT(Anime!AK183=""),Anime!AK183,"")</f>
        <v/>
      </c>
    </row>
    <row r="177" spans="1:19" ht="16.5">
      <c r="A177" s="12" t="str">
        <f>IF(NOT(Anime!R178=""),Anime!R178,"")</f>
        <v/>
      </c>
      <c r="B177" s="14" t="str">
        <f>IF(NOT(Anime!S178=""),Anime!S178,"")</f>
        <v/>
      </c>
      <c r="C177" s="14" t="str">
        <f>IF(NOT(Anime!T178=""),Anime!T178,"")</f>
        <v/>
      </c>
      <c r="D177" s="68" t="str">
        <f>IF(NOT(Anime!U178=""),Anime!U178,"")</f>
        <v/>
      </c>
      <c r="E177" s="131" t="str">
        <f>IF(NOT(Anime!W178=""),Anime!W178,"")</f>
        <v/>
      </c>
      <c r="F177" s="16" t="str">
        <f>IF(NOT(Anime!X178=""),Anime!X178,"")</f>
        <v/>
      </c>
      <c r="G177" s="16" t="str">
        <f>IF(NOT(Anime!Y178=""),Anime!Y178,"")</f>
        <v/>
      </c>
      <c r="H177" s="16" t="str">
        <f>IF(NOT(Anime!Z178=""),Anime!Z178,"")</f>
        <v/>
      </c>
      <c r="I177" s="16" t="str">
        <f>IF(NOT(Anime!AA178=""),Anime!AA178,"")</f>
        <v/>
      </c>
      <c r="J177" s="17" t="str">
        <f>IF(NOT(Anime!AB178=""),Anime!AB178,"")</f>
        <v/>
      </c>
      <c r="K177" s="18" t="str">
        <f>IF(NOT(Anime!AC178=""),Anime!AC178,"")</f>
        <v/>
      </c>
      <c r="L177" s="19" t="str">
        <f>IF(NOT(Anime!AD178=""),Anime!AD178,"")</f>
        <v/>
      </c>
      <c r="M177" s="72" t="str">
        <f>IF(NOT(Anime!AE178=""),Anime!AE178,"")</f>
        <v/>
      </c>
      <c r="N177" s="21" t="str">
        <f>IF(NOT(Anime!AF178=""),Anime!AF178,"")</f>
        <v/>
      </c>
      <c r="O177" s="129" t="str">
        <f>IF(NOT(Anime!AG178=""),Anime!AG178,"")</f>
        <v/>
      </c>
      <c r="P177" s="21" t="str">
        <f>IF(NOT(Anime!AH178=""),Anime!AH178,"")</f>
        <v/>
      </c>
      <c r="Q177" s="21" t="str">
        <f>IF(NOT(Anime!AI178=""),Anime!AI178,"")</f>
        <v/>
      </c>
      <c r="R177" s="66" t="str">
        <f>IF(NOT(Anime!AJ178=""),Anime!AJ178,"")</f>
        <v/>
      </c>
      <c r="S177" s="135" t="str">
        <f>IF(NOT(Anime!AK184=""),Anime!AK184,"")</f>
        <v/>
      </c>
    </row>
    <row r="178" spans="1:19" ht="16.5">
      <c r="A178" s="12" t="str">
        <f>IF(NOT(Anime!R179=""),Anime!R179,"")</f>
        <v/>
      </c>
      <c r="B178" s="14" t="str">
        <f>IF(NOT(Anime!S179=""),Anime!S179,"")</f>
        <v/>
      </c>
      <c r="C178" s="14" t="str">
        <f>IF(NOT(Anime!T179=""),Anime!T179,"")</f>
        <v/>
      </c>
      <c r="D178" s="68" t="str">
        <f>IF(NOT(Anime!U179=""),Anime!U179,"")</f>
        <v/>
      </c>
      <c r="E178" s="131" t="str">
        <f>IF(NOT(Anime!W179=""),Anime!W179,"")</f>
        <v/>
      </c>
      <c r="F178" s="16" t="str">
        <f>IF(NOT(Anime!X179=""),Anime!X179,"")</f>
        <v/>
      </c>
      <c r="G178" s="16" t="str">
        <f>IF(NOT(Anime!Y179=""),Anime!Y179,"")</f>
        <v/>
      </c>
      <c r="H178" s="16" t="str">
        <f>IF(NOT(Anime!Z179=""),Anime!Z179,"")</f>
        <v/>
      </c>
      <c r="I178" s="16" t="str">
        <f>IF(NOT(Anime!AA179=""),Anime!AA179,"")</f>
        <v/>
      </c>
      <c r="J178" s="17" t="str">
        <f>IF(NOT(Anime!AB179=""),Anime!AB179,"")</f>
        <v/>
      </c>
      <c r="K178" s="18" t="str">
        <f>IF(NOT(Anime!AC179=""),Anime!AC179,"")</f>
        <v/>
      </c>
      <c r="L178" s="19" t="str">
        <f>IF(NOT(Anime!AD179=""),Anime!AD179,"")</f>
        <v/>
      </c>
      <c r="M178" s="72" t="str">
        <f>IF(NOT(Anime!AE179=""),Anime!AE179,"")</f>
        <v/>
      </c>
      <c r="N178" s="21" t="str">
        <f>IF(NOT(Anime!AF179=""),Anime!AF179,"")</f>
        <v/>
      </c>
      <c r="O178" s="129" t="str">
        <f>IF(NOT(Anime!AG179=""),Anime!AG179,"")</f>
        <v/>
      </c>
      <c r="P178" s="21" t="str">
        <f>IF(NOT(Anime!AH179=""),Anime!AH179,"")</f>
        <v/>
      </c>
      <c r="Q178" s="21" t="str">
        <f>IF(NOT(Anime!AI179=""),Anime!AI179,"")</f>
        <v/>
      </c>
      <c r="R178" s="66" t="str">
        <f>IF(NOT(Anime!AJ179=""),Anime!AJ179,"")</f>
        <v/>
      </c>
      <c r="S178" s="135" t="str">
        <f>IF(NOT(Anime!AK185=""),Anime!AK185,"")</f>
        <v/>
      </c>
    </row>
    <row r="179" spans="1:19" ht="16.5">
      <c r="A179" s="12" t="str">
        <f>IF(NOT(Anime!R180=""),Anime!R180,"")</f>
        <v/>
      </c>
      <c r="B179" s="14" t="str">
        <f>IF(NOT(Anime!S180=""),Anime!S180,"")</f>
        <v/>
      </c>
      <c r="C179" s="14" t="str">
        <f>IF(NOT(Anime!T180=""),Anime!T180,"")</f>
        <v/>
      </c>
      <c r="D179" s="68" t="str">
        <f>IF(NOT(Anime!U180=""),Anime!U180,"")</f>
        <v/>
      </c>
      <c r="E179" s="131" t="str">
        <f>IF(NOT(Anime!W180=""),Anime!W180,"")</f>
        <v/>
      </c>
      <c r="F179" s="16" t="str">
        <f>IF(NOT(Anime!X180=""),Anime!X180,"")</f>
        <v/>
      </c>
      <c r="G179" s="16" t="str">
        <f>IF(NOT(Anime!Y180=""),Anime!Y180,"")</f>
        <v/>
      </c>
      <c r="H179" s="16" t="str">
        <f>IF(NOT(Anime!Z180=""),Anime!Z180,"")</f>
        <v/>
      </c>
      <c r="I179" s="16" t="str">
        <f>IF(NOT(Anime!AA180=""),Anime!AA180,"")</f>
        <v/>
      </c>
      <c r="J179" s="17" t="str">
        <f>IF(NOT(Anime!AB180=""),Anime!AB180,"")</f>
        <v/>
      </c>
      <c r="K179" s="18" t="str">
        <f>IF(NOT(Anime!AC180=""),Anime!AC180,"")</f>
        <v/>
      </c>
      <c r="L179" s="19" t="str">
        <f>IF(NOT(Anime!AD180=""),Anime!AD180,"")</f>
        <v/>
      </c>
      <c r="M179" s="72" t="str">
        <f>IF(NOT(Anime!AE180=""),Anime!AE180,"")</f>
        <v/>
      </c>
      <c r="N179" s="21" t="str">
        <f>IF(NOT(Anime!AF180=""),Anime!AF180,"")</f>
        <v/>
      </c>
      <c r="O179" s="129" t="str">
        <f>IF(NOT(Anime!AG180=""),Anime!AG180,"")</f>
        <v/>
      </c>
      <c r="P179" s="21" t="str">
        <f>IF(NOT(Anime!AH180=""),Anime!AH180,"")</f>
        <v/>
      </c>
      <c r="Q179" s="21" t="str">
        <f>IF(NOT(Anime!AI180=""),Anime!AI180,"")</f>
        <v/>
      </c>
      <c r="R179" s="66" t="str">
        <f>IF(NOT(Anime!AJ180=""),Anime!AJ180,"")</f>
        <v/>
      </c>
      <c r="S179" s="135" t="str">
        <f>IF(NOT(Anime!AK186=""),Anime!AK186,"")</f>
        <v/>
      </c>
    </row>
    <row r="180" spans="1:19" ht="16.5">
      <c r="A180" s="12" t="str">
        <f>IF(NOT(Anime!R181=""),Anime!R181,"")</f>
        <v/>
      </c>
      <c r="B180" s="14" t="str">
        <f>IF(NOT(Anime!S181=""),Anime!S181,"")</f>
        <v/>
      </c>
      <c r="C180" s="14" t="str">
        <f>IF(NOT(Anime!T181=""),Anime!T181,"")</f>
        <v/>
      </c>
      <c r="D180" s="68" t="str">
        <f>IF(NOT(Anime!U181=""),Anime!U181,"")</f>
        <v/>
      </c>
      <c r="E180" s="131" t="str">
        <f>IF(NOT(Anime!W181=""),Anime!W181,"")</f>
        <v/>
      </c>
      <c r="F180" s="16" t="str">
        <f>IF(NOT(Anime!X181=""),Anime!X181,"")</f>
        <v/>
      </c>
      <c r="G180" s="16" t="str">
        <f>IF(NOT(Anime!Y181=""),Anime!Y181,"")</f>
        <v/>
      </c>
      <c r="H180" s="16" t="str">
        <f>IF(NOT(Anime!Z181=""),Anime!Z181,"")</f>
        <v/>
      </c>
      <c r="I180" s="16" t="str">
        <f>IF(NOT(Anime!AA181=""),Anime!AA181,"")</f>
        <v/>
      </c>
      <c r="J180" s="17" t="str">
        <f>IF(NOT(Anime!AB181=""),Anime!AB181,"")</f>
        <v/>
      </c>
      <c r="K180" s="18" t="str">
        <f>IF(NOT(Anime!AC181=""),Anime!AC181,"")</f>
        <v/>
      </c>
      <c r="L180" s="19" t="str">
        <f>IF(NOT(Anime!AD181=""),Anime!AD181,"")</f>
        <v/>
      </c>
      <c r="M180" s="72" t="str">
        <f>IF(NOT(Anime!AE181=""),Anime!AE181,"")</f>
        <v/>
      </c>
      <c r="N180" s="21" t="str">
        <f>IF(NOT(Anime!AF181=""),Anime!AF181,"")</f>
        <v/>
      </c>
      <c r="O180" s="129" t="str">
        <f>IF(NOT(Anime!AG181=""),Anime!AG181,"")</f>
        <v/>
      </c>
      <c r="P180" s="21" t="str">
        <f>IF(NOT(Anime!AH181=""),Anime!AH181,"")</f>
        <v/>
      </c>
      <c r="Q180" s="21" t="str">
        <f>IF(NOT(Anime!AI181=""),Anime!AI181,"")</f>
        <v/>
      </c>
      <c r="R180" s="66" t="str">
        <f>IF(NOT(Anime!AJ181=""),Anime!AJ181,"")</f>
        <v/>
      </c>
      <c r="S180" s="135" t="str">
        <f>IF(NOT(Anime!AK187=""),Anime!AK187,"")</f>
        <v/>
      </c>
    </row>
    <row r="181" spans="1:19" ht="16.5">
      <c r="A181" s="12" t="str">
        <f>IF(NOT(Anime!R182=""),Anime!R182,"")</f>
        <v/>
      </c>
      <c r="B181" s="14" t="str">
        <f>IF(NOT(Anime!S182=""),Anime!S182,"")</f>
        <v/>
      </c>
      <c r="C181" s="14" t="str">
        <f>IF(NOT(Anime!T182=""),Anime!T182,"")</f>
        <v/>
      </c>
      <c r="D181" s="68" t="str">
        <f>IF(NOT(Anime!U182=""),Anime!U182,"")</f>
        <v/>
      </c>
      <c r="E181" s="131" t="str">
        <f>IF(NOT(Anime!W182=""),Anime!W182,"")</f>
        <v/>
      </c>
      <c r="F181" s="16" t="str">
        <f>IF(NOT(Anime!X182=""),Anime!X182,"")</f>
        <v/>
      </c>
      <c r="G181" s="16" t="str">
        <f>IF(NOT(Anime!Y182=""),Anime!Y182,"")</f>
        <v/>
      </c>
      <c r="H181" s="16" t="str">
        <f>IF(NOT(Anime!Z182=""),Anime!Z182,"")</f>
        <v/>
      </c>
      <c r="I181" s="16" t="str">
        <f>IF(NOT(Anime!AA182=""),Anime!AA182,"")</f>
        <v/>
      </c>
      <c r="J181" s="17" t="str">
        <f>IF(NOT(Anime!AB182=""),Anime!AB182,"")</f>
        <v/>
      </c>
      <c r="K181" s="18" t="str">
        <f>IF(NOT(Anime!AC182=""),Anime!AC182,"")</f>
        <v/>
      </c>
      <c r="L181" s="19" t="str">
        <f>IF(NOT(Anime!AD182=""),Anime!AD182,"")</f>
        <v/>
      </c>
      <c r="M181" s="72" t="str">
        <f>IF(NOT(Anime!AE182=""),Anime!AE182,"")</f>
        <v/>
      </c>
      <c r="N181" s="21" t="str">
        <f>IF(NOT(Anime!AF182=""),Anime!AF182,"")</f>
        <v/>
      </c>
      <c r="O181" s="129" t="str">
        <f>IF(NOT(Anime!AG182=""),Anime!AG182,"")</f>
        <v/>
      </c>
      <c r="P181" s="21" t="str">
        <f>IF(NOT(Anime!AH182=""),Anime!AH182,"")</f>
        <v/>
      </c>
      <c r="Q181" s="21" t="str">
        <f>IF(NOT(Anime!AI182=""),Anime!AI182,"")</f>
        <v/>
      </c>
      <c r="R181" s="66" t="str">
        <f>IF(NOT(Anime!AJ182=""),Anime!AJ182,"")</f>
        <v/>
      </c>
      <c r="S181" s="135" t="str">
        <f>IF(NOT(Anime!AK188=""),Anime!AK188,"")</f>
        <v/>
      </c>
    </row>
    <row r="182" spans="1:19" ht="16.5">
      <c r="A182" s="12" t="str">
        <f>IF(NOT(Anime!R183=""),Anime!R183,"")</f>
        <v/>
      </c>
      <c r="B182" s="14" t="str">
        <f>IF(NOT(Anime!S183=""),Anime!S183,"")</f>
        <v/>
      </c>
      <c r="C182" s="14" t="str">
        <f>IF(NOT(Anime!T183=""),Anime!T183,"")</f>
        <v/>
      </c>
      <c r="D182" s="68" t="str">
        <f>IF(NOT(Anime!U183=""),Anime!U183,"")</f>
        <v/>
      </c>
      <c r="E182" s="131" t="str">
        <f>IF(NOT(Anime!W183=""),Anime!W183,"")</f>
        <v/>
      </c>
      <c r="F182" s="16" t="str">
        <f>IF(NOT(Anime!X183=""),Anime!X183,"")</f>
        <v/>
      </c>
      <c r="G182" s="16" t="str">
        <f>IF(NOT(Anime!Y183=""),Anime!Y183,"")</f>
        <v/>
      </c>
      <c r="H182" s="16" t="str">
        <f>IF(NOT(Anime!Z183=""),Anime!Z183,"")</f>
        <v/>
      </c>
      <c r="I182" s="16" t="str">
        <f>IF(NOT(Anime!AA183=""),Anime!AA183,"")</f>
        <v/>
      </c>
      <c r="J182" s="17" t="str">
        <f>IF(NOT(Anime!AB183=""),Anime!AB183,"")</f>
        <v/>
      </c>
      <c r="K182" s="18" t="str">
        <f>IF(NOT(Anime!AC183=""),Anime!AC183,"")</f>
        <v/>
      </c>
      <c r="L182" s="19" t="str">
        <f>IF(NOT(Anime!AD183=""),Anime!AD183,"")</f>
        <v/>
      </c>
      <c r="M182" s="72" t="str">
        <f>IF(NOT(Anime!AE183=""),Anime!AE183,"")</f>
        <v/>
      </c>
      <c r="N182" s="21" t="str">
        <f>IF(NOT(Anime!AF183=""),Anime!AF183,"")</f>
        <v/>
      </c>
      <c r="O182" s="129" t="str">
        <f>IF(NOT(Anime!AG183=""),Anime!AG183,"")</f>
        <v/>
      </c>
      <c r="P182" s="21" t="str">
        <f>IF(NOT(Anime!AH183=""),Anime!AH183,"")</f>
        <v/>
      </c>
      <c r="Q182" s="21" t="str">
        <f>IF(NOT(Anime!AI183=""),Anime!AI183,"")</f>
        <v/>
      </c>
      <c r="R182" s="66" t="str">
        <f>IF(NOT(Anime!AJ183=""),Anime!AJ183,"")</f>
        <v/>
      </c>
      <c r="S182" s="135" t="str">
        <f>IF(NOT(Anime!AK189=""),Anime!AK189,"")</f>
        <v/>
      </c>
    </row>
    <row r="183" spans="1:19" ht="16.5">
      <c r="A183" s="12" t="str">
        <f>IF(NOT(Anime!R184=""),Anime!R184,"")</f>
        <v/>
      </c>
      <c r="B183" s="14" t="str">
        <f>IF(NOT(Anime!S184=""),Anime!S184,"")</f>
        <v/>
      </c>
      <c r="C183" s="14" t="str">
        <f>IF(NOT(Anime!T184=""),Anime!T184,"")</f>
        <v/>
      </c>
      <c r="D183" s="68" t="str">
        <f>IF(NOT(Anime!U184=""),Anime!U184,"")</f>
        <v/>
      </c>
      <c r="E183" s="131" t="str">
        <f>IF(NOT(Anime!W184=""),Anime!W184,"")</f>
        <v/>
      </c>
      <c r="F183" s="16" t="str">
        <f>IF(NOT(Anime!X184=""),Anime!X184,"")</f>
        <v/>
      </c>
      <c r="G183" s="16" t="str">
        <f>IF(NOT(Anime!Y184=""),Anime!Y184,"")</f>
        <v/>
      </c>
      <c r="H183" s="16" t="str">
        <f>IF(NOT(Anime!Z184=""),Anime!Z184,"")</f>
        <v/>
      </c>
      <c r="I183" s="16" t="str">
        <f>IF(NOT(Anime!AA184=""),Anime!AA184,"")</f>
        <v/>
      </c>
      <c r="J183" s="17" t="str">
        <f>IF(NOT(Anime!AB184=""),Anime!AB184,"")</f>
        <v/>
      </c>
      <c r="K183" s="18" t="str">
        <f>IF(NOT(Anime!AC184=""),Anime!AC184,"")</f>
        <v/>
      </c>
      <c r="L183" s="19" t="str">
        <f>IF(NOT(Anime!AD184=""),Anime!AD184,"")</f>
        <v/>
      </c>
      <c r="M183" s="72" t="str">
        <f>IF(NOT(Anime!AE184=""),Anime!AE184,"")</f>
        <v/>
      </c>
      <c r="N183" s="21" t="str">
        <f>IF(NOT(Anime!AF184=""),Anime!AF184,"")</f>
        <v/>
      </c>
      <c r="O183" s="129" t="str">
        <f>IF(NOT(Anime!AG184=""),Anime!AG184,"")</f>
        <v/>
      </c>
      <c r="P183" s="21" t="str">
        <f>IF(NOT(Anime!AH184=""),Anime!AH184,"")</f>
        <v/>
      </c>
      <c r="Q183" s="21" t="str">
        <f>IF(NOT(Anime!AI184=""),Anime!AI184,"")</f>
        <v/>
      </c>
      <c r="R183" s="66" t="str">
        <f>IF(NOT(Anime!AJ184=""),Anime!AJ184,"")</f>
        <v/>
      </c>
      <c r="S183" s="135" t="str">
        <f>IF(NOT(Anime!AK190=""),Anime!AK190,"")</f>
        <v/>
      </c>
    </row>
    <row r="184" spans="1:19" ht="16.5">
      <c r="A184" s="12" t="str">
        <f>IF(NOT(Anime!R185=""),Anime!R185,"")</f>
        <v/>
      </c>
      <c r="B184" s="14" t="str">
        <f>IF(NOT(Anime!S185=""),Anime!S185,"")</f>
        <v/>
      </c>
      <c r="C184" s="14" t="str">
        <f>IF(NOT(Anime!T185=""),Anime!T185,"")</f>
        <v/>
      </c>
      <c r="D184" s="68" t="str">
        <f>IF(NOT(Anime!U185=""),Anime!U185,"")</f>
        <v/>
      </c>
      <c r="E184" s="131" t="str">
        <f>IF(NOT(Anime!W185=""),Anime!W185,"")</f>
        <v/>
      </c>
      <c r="F184" s="16" t="str">
        <f>IF(NOT(Anime!X185=""),Anime!X185,"")</f>
        <v/>
      </c>
      <c r="G184" s="16" t="str">
        <f>IF(NOT(Anime!Y185=""),Anime!Y185,"")</f>
        <v/>
      </c>
      <c r="H184" s="16" t="str">
        <f>IF(NOT(Anime!Z185=""),Anime!Z185,"")</f>
        <v/>
      </c>
      <c r="I184" s="16" t="str">
        <f>IF(NOT(Anime!AA185=""),Anime!AA185,"")</f>
        <v/>
      </c>
      <c r="J184" s="17" t="str">
        <f>IF(NOT(Anime!AB185=""),Anime!AB185,"")</f>
        <v/>
      </c>
      <c r="K184" s="18" t="str">
        <f>IF(NOT(Anime!AC185=""),Anime!AC185,"")</f>
        <v/>
      </c>
      <c r="L184" s="19" t="str">
        <f>IF(NOT(Anime!AD185=""),Anime!AD185,"")</f>
        <v/>
      </c>
      <c r="M184" s="72" t="str">
        <f>IF(NOT(Anime!AE185=""),Anime!AE185,"")</f>
        <v/>
      </c>
      <c r="N184" s="21" t="str">
        <f>IF(NOT(Anime!AF185=""),Anime!AF185,"")</f>
        <v/>
      </c>
      <c r="O184" s="129" t="str">
        <f>IF(NOT(Anime!AG185=""),Anime!AG185,"")</f>
        <v/>
      </c>
      <c r="P184" s="21" t="str">
        <f>IF(NOT(Anime!AH185=""),Anime!AH185,"")</f>
        <v/>
      </c>
      <c r="Q184" s="21" t="str">
        <f>IF(NOT(Anime!AI185=""),Anime!AI185,"")</f>
        <v/>
      </c>
      <c r="R184" s="66" t="str">
        <f>IF(NOT(Anime!AJ185=""),Anime!AJ185,"")</f>
        <v/>
      </c>
      <c r="S184" s="135" t="str">
        <f>IF(NOT(Anime!AK191=""),Anime!AK191,"")</f>
        <v/>
      </c>
    </row>
    <row r="185" spans="1:19" ht="16.5">
      <c r="A185" s="12" t="str">
        <f>IF(NOT(Anime!R186=""),Anime!R186,"")</f>
        <v/>
      </c>
      <c r="B185" s="14" t="str">
        <f>IF(NOT(Anime!S186=""),Anime!S186,"")</f>
        <v/>
      </c>
      <c r="C185" s="14" t="str">
        <f>IF(NOT(Anime!T186=""),Anime!T186,"")</f>
        <v/>
      </c>
      <c r="D185" s="68" t="str">
        <f>IF(NOT(Anime!U186=""),Anime!U186,"")</f>
        <v/>
      </c>
      <c r="E185" s="131" t="str">
        <f>IF(NOT(Anime!W186=""),Anime!W186,"")</f>
        <v/>
      </c>
      <c r="F185" s="16" t="str">
        <f>IF(NOT(Anime!X186=""),Anime!X186,"")</f>
        <v/>
      </c>
      <c r="G185" s="16" t="str">
        <f>IF(NOT(Anime!Y186=""),Anime!Y186,"")</f>
        <v/>
      </c>
      <c r="H185" s="16" t="str">
        <f>IF(NOT(Anime!Z186=""),Anime!Z186,"")</f>
        <v/>
      </c>
      <c r="I185" s="16" t="str">
        <f>IF(NOT(Anime!AA186=""),Anime!AA186,"")</f>
        <v/>
      </c>
      <c r="J185" s="17" t="str">
        <f>IF(NOT(Anime!AB186=""),Anime!AB186,"")</f>
        <v/>
      </c>
      <c r="K185" s="18" t="str">
        <f>IF(NOT(Anime!AC186=""),Anime!AC186,"")</f>
        <v/>
      </c>
      <c r="L185" s="19" t="str">
        <f>IF(NOT(Anime!AD186=""),Anime!AD186,"")</f>
        <v/>
      </c>
      <c r="M185" s="72" t="str">
        <f>IF(NOT(Anime!AE186=""),Anime!AE186,"")</f>
        <v/>
      </c>
      <c r="N185" s="21" t="str">
        <f>IF(NOT(Anime!AF186=""),Anime!AF186,"")</f>
        <v/>
      </c>
      <c r="O185" s="129" t="str">
        <f>IF(NOT(Anime!AG186=""),Anime!AG186,"")</f>
        <v/>
      </c>
      <c r="P185" s="21" t="str">
        <f>IF(NOT(Anime!AH186=""),Anime!AH186,"")</f>
        <v/>
      </c>
      <c r="Q185" s="21" t="str">
        <f>IF(NOT(Anime!AI186=""),Anime!AI186,"")</f>
        <v/>
      </c>
      <c r="R185" s="66" t="str">
        <f>IF(NOT(Anime!AJ186=""),Anime!AJ186,"")</f>
        <v/>
      </c>
      <c r="S185" s="135" t="str">
        <f>IF(NOT(Anime!AK192=""),Anime!AK192,"")</f>
        <v/>
      </c>
    </row>
    <row r="186" spans="1:19" ht="16.5">
      <c r="A186" s="12" t="str">
        <f>IF(NOT(Anime!R187=""),Anime!R187,"")</f>
        <v/>
      </c>
      <c r="B186" s="14" t="str">
        <f>IF(NOT(Anime!S187=""),Anime!S187,"")</f>
        <v/>
      </c>
      <c r="C186" s="14" t="str">
        <f>IF(NOT(Anime!T187=""),Anime!T187,"")</f>
        <v/>
      </c>
      <c r="D186" s="68" t="str">
        <f>IF(NOT(Anime!U187=""),Anime!U187,"")</f>
        <v/>
      </c>
      <c r="E186" s="131" t="str">
        <f>IF(NOT(Anime!W187=""),Anime!W187,"")</f>
        <v/>
      </c>
      <c r="F186" s="16" t="str">
        <f>IF(NOT(Anime!X187=""),Anime!X187,"")</f>
        <v/>
      </c>
      <c r="G186" s="16" t="str">
        <f>IF(NOT(Anime!Y187=""),Anime!Y187,"")</f>
        <v/>
      </c>
      <c r="H186" s="16" t="str">
        <f>IF(NOT(Anime!Z187=""),Anime!Z187,"")</f>
        <v/>
      </c>
      <c r="I186" s="16" t="str">
        <f>IF(NOT(Anime!AA187=""),Anime!AA187,"")</f>
        <v/>
      </c>
      <c r="J186" s="17" t="str">
        <f>IF(NOT(Anime!AB187=""),Anime!AB187,"")</f>
        <v/>
      </c>
      <c r="K186" s="18" t="str">
        <f>IF(NOT(Anime!AC187=""),Anime!AC187,"")</f>
        <v/>
      </c>
      <c r="L186" s="19" t="str">
        <f>IF(NOT(Anime!AD187=""),Anime!AD187,"")</f>
        <v/>
      </c>
      <c r="M186" s="72" t="str">
        <f>IF(NOT(Anime!AE187=""),Anime!AE187,"")</f>
        <v/>
      </c>
      <c r="N186" s="21" t="str">
        <f>IF(NOT(Anime!AF187=""),Anime!AF187,"")</f>
        <v/>
      </c>
      <c r="O186" s="129" t="str">
        <f>IF(NOT(Anime!AG187=""),Anime!AG187,"")</f>
        <v/>
      </c>
      <c r="P186" s="21" t="str">
        <f>IF(NOT(Anime!AH187=""),Anime!AH187,"")</f>
        <v/>
      </c>
      <c r="Q186" s="21" t="str">
        <f>IF(NOT(Anime!AI187=""),Anime!AI187,"")</f>
        <v/>
      </c>
      <c r="R186" s="66" t="str">
        <f>IF(NOT(Anime!AJ187=""),Anime!AJ187,"")</f>
        <v/>
      </c>
      <c r="S186" s="135" t="str">
        <f>IF(NOT(Anime!AK193=""),Anime!AK193,"")</f>
        <v/>
      </c>
    </row>
    <row r="187" spans="1:19" ht="16.5">
      <c r="A187" s="12" t="str">
        <f>IF(NOT(Anime!R188=""),Anime!R188,"")</f>
        <v/>
      </c>
      <c r="B187" s="14" t="str">
        <f>IF(NOT(Anime!S188=""),Anime!S188,"")</f>
        <v/>
      </c>
      <c r="C187" s="14" t="str">
        <f>IF(NOT(Anime!T188=""),Anime!T188,"")</f>
        <v/>
      </c>
      <c r="D187" s="68" t="str">
        <f>IF(NOT(Anime!U188=""),Anime!U188,"")</f>
        <v/>
      </c>
      <c r="E187" s="131" t="str">
        <f>IF(NOT(Anime!W188=""),Anime!W188,"")</f>
        <v/>
      </c>
      <c r="F187" s="16" t="str">
        <f>IF(NOT(Anime!X188=""),Anime!X188,"")</f>
        <v/>
      </c>
      <c r="G187" s="16" t="str">
        <f>IF(NOT(Anime!Y188=""),Anime!Y188,"")</f>
        <v/>
      </c>
      <c r="H187" s="16" t="str">
        <f>IF(NOT(Anime!Z188=""),Anime!Z188,"")</f>
        <v/>
      </c>
      <c r="I187" s="16" t="str">
        <f>IF(NOT(Anime!AA188=""),Anime!AA188,"")</f>
        <v/>
      </c>
      <c r="J187" s="17" t="str">
        <f>IF(NOT(Anime!AB188=""),Anime!AB188,"")</f>
        <v/>
      </c>
      <c r="K187" s="18" t="str">
        <f>IF(NOT(Anime!AC188=""),Anime!AC188,"")</f>
        <v/>
      </c>
      <c r="L187" s="19" t="str">
        <f>IF(NOT(Anime!AD188=""),Anime!AD188,"")</f>
        <v/>
      </c>
      <c r="M187" s="72" t="str">
        <f>IF(NOT(Anime!AE188=""),Anime!AE188,"")</f>
        <v/>
      </c>
      <c r="N187" s="21" t="str">
        <f>IF(NOT(Anime!AF188=""),Anime!AF188,"")</f>
        <v/>
      </c>
      <c r="O187" s="129" t="str">
        <f>IF(NOT(Anime!AG188=""),Anime!AG188,"")</f>
        <v/>
      </c>
      <c r="P187" s="21" t="str">
        <f>IF(NOT(Anime!AH188=""),Anime!AH188,"")</f>
        <v/>
      </c>
      <c r="Q187" s="21" t="str">
        <f>IF(NOT(Anime!AI188=""),Anime!AI188,"")</f>
        <v/>
      </c>
      <c r="R187" s="66" t="str">
        <f>IF(NOT(Anime!AJ188=""),Anime!AJ188,"")</f>
        <v/>
      </c>
      <c r="S187" s="135" t="str">
        <f>IF(NOT(Anime!AK194=""),Anime!AK194,"")</f>
        <v/>
      </c>
    </row>
    <row r="188" spans="1:19" ht="16.5">
      <c r="A188" s="12" t="str">
        <f>IF(NOT(Anime!R189=""),Anime!R189,"")</f>
        <v/>
      </c>
      <c r="B188" s="14" t="str">
        <f>IF(NOT(Anime!S189=""),Anime!S189,"")</f>
        <v/>
      </c>
      <c r="C188" s="14" t="str">
        <f>IF(NOT(Anime!T189=""),Anime!T189,"")</f>
        <v/>
      </c>
      <c r="D188" s="68" t="str">
        <f>IF(NOT(Anime!U189=""),Anime!U189,"")</f>
        <v/>
      </c>
      <c r="E188" s="131" t="str">
        <f>IF(NOT(Anime!W189=""),Anime!W189,"")</f>
        <v/>
      </c>
      <c r="F188" s="16" t="str">
        <f>IF(NOT(Anime!X189=""),Anime!X189,"")</f>
        <v/>
      </c>
      <c r="G188" s="16" t="str">
        <f>IF(NOT(Anime!Y189=""),Anime!Y189,"")</f>
        <v/>
      </c>
      <c r="H188" s="16" t="str">
        <f>IF(NOT(Anime!Z189=""),Anime!Z189,"")</f>
        <v/>
      </c>
      <c r="I188" s="16" t="str">
        <f>IF(NOT(Anime!AA189=""),Anime!AA189,"")</f>
        <v/>
      </c>
      <c r="J188" s="17" t="str">
        <f>IF(NOT(Anime!AB189=""),Anime!AB189,"")</f>
        <v/>
      </c>
      <c r="K188" s="18" t="str">
        <f>IF(NOT(Anime!AC189=""),Anime!AC189,"")</f>
        <v/>
      </c>
      <c r="L188" s="19" t="str">
        <f>IF(NOT(Anime!AD189=""),Anime!AD189,"")</f>
        <v/>
      </c>
      <c r="M188" s="72" t="str">
        <f>IF(NOT(Anime!AE189=""),Anime!AE189,"")</f>
        <v/>
      </c>
      <c r="N188" s="21" t="str">
        <f>IF(NOT(Anime!AF189=""),Anime!AF189,"")</f>
        <v/>
      </c>
      <c r="O188" s="129" t="str">
        <f>IF(NOT(Anime!AG189=""),Anime!AG189,"")</f>
        <v/>
      </c>
      <c r="P188" s="21" t="str">
        <f>IF(NOT(Anime!AH189=""),Anime!AH189,"")</f>
        <v/>
      </c>
      <c r="Q188" s="21" t="str">
        <f>IF(NOT(Anime!AI189=""),Anime!AI189,"")</f>
        <v/>
      </c>
      <c r="R188" s="66" t="str">
        <f>IF(NOT(Anime!AJ189=""),Anime!AJ189,"")</f>
        <v/>
      </c>
      <c r="S188" s="135" t="str">
        <f>IF(NOT(Anime!AK195=""),Anime!AK195,"")</f>
        <v/>
      </c>
    </row>
    <row r="189" spans="1:19" ht="16.5">
      <c r="A189" s="12" t="str">
        <f>IF(NOT(Anime!R190=""),Anime!R190,"")</f>
        <v/>
      </c>
      <c r="B189" s="14" t="str">
        <f>IF(NOT(Anime!S190=""),Anime!S190,"")</f>
        <v/>
      </c>
      <c r="C189" s="14" t="str">
        <f>IF(NOT(Anime!T190=""),Anime!T190,"")</f>
        <v/>
      </c>
      <c r="D189" s="68" t="str">
        <f>IF(NOT(Anime!U190=""),Anime!U190,"")</f>
        <v/>
      </c>
      <c r="E189" s="131" t="str">
        <f>IF(NOT(Anime!W190=""),Anime!W190,"")</f>
        <v/>
      </c>
      <c r="F189" s="16" t="str">
        <f>IF(NOT(Anime!X190=""),Anime!X190,"")</f>
        <v/>
      </c>
      <c r="G189" s="16" t="str">
        <f>IF(NOT(Anime!Y190=""),Anime!Y190,"")</f>
        <v/>
      </c>
      <c r="H189" s="16" t="str">
        <f>IF(NOT(Anime!Z190=""),Anime!Z190,"")</f>
        <v/>
      </c>
      <c r="I189" s="16" t="str">
        <f>IF(NOT(Anime!AA190=""),Anime!AA190,"")</f>
        <v/>
      </c>
      <c r="J189" s="17" t="str">
        <f>IF(NOT(Anime!AB190=""),Anime!AB190,"")</f>
        <v/>
      </c>
      <c r="K189" s="18" t="str">
        <f>IF(NOT(Anime!AC190=""),Anime!AC190,"")</f>
        <v/>
      </c>
      <c r="L189" s="19" t="str">
        <f>IF(NOT(Anime!AD190=""),Anime!AD190,"")</f>
        <v/>
      </c>
      <c r="M189" s="72" t="str">
        <f>IF(NOT(Anime!AE190=""),Anime!AE190,"")</f>
        <v/>
      </c>
      <c r="N189" s="21" t="str">
        <f>IF(NOT(Anime!AF190=""),Anime!AF190,"")</f>
        <v/>
      </c>
      <c r="O189" s="129" t="str">
        <f>IF(NOT(Anime!AG190=""),Anime!AG190,"")</f>
        <v/>
      </c>
      <c r="P189" s="21" t="str">
        <f>IF(NOT(Anime!AH190=""),Anime!AH190,"")</f>
        <v/>
      </c>
      <c r="Q189" s="21" t="str">
        <f>IF(NOT(Anime!AI190=""),Anime!AI190,"")</f>
        <v/>
      </c>
      <c r="R189" s="66" t="str">
        <f>IF(NOT(Anime!AJ190=""),Anime!AJ190,"")</f>
        <v/>
      </c>
      <c r="S189" s="135" t="str">
        <f>IF(NOT(Anime!AK196=""),Anime!AK196,"")</f>
        <v/>
      </c>
    </row>
    <row r="190" spans="1:19" ht="16.5">
      <c r="A190" s="12" t="str">
        <f>IF(NOT(Anime!R191=""),Anime!R191,"")</f>
        <v/>
      </c>
      <c r="B190" s="14" t="str">
        <f>IF(NOT(Anime!S191=""),Anime!S191,"")</f>
        <v/>
      </c>
      <c r="C190" s="14" t="str">
        <f>IF(NOT(Anime!T191=""),Anime!T191,"")</f>
        <v/>
      </c>
      <c r="D190" s="68" t="str">
        <f>IF(NOT(Anime!U191=""),Anime!U191,"")</f>
        <v/>
      </c>
      <c r="E190" s="131" t="str">
        <f>IF(NOT(Anime!W191=""),Anime!W191,"")</f>
        <v/>
      </c>
      <c r="F190" s="16" t="str">
        <f>IF(NOT(Anime!X191=""),Anime!X191,"")</f>
        <v/>
      </c>
      <c r="G190" s="16" t="str">
        <f>IF(NOT(Anime!Y191=""),Anime!Y191,"")</f>
        <v/>
      </c>
      <c r="H190" s="16" t="str">
        <f>IF(NOT(Anime!Z191=""),Anime!Z191,"")</f>
        <v/>
      </c>
      <c r="I190" s="16" t="str">
        <f>IF(NOT(Anime!AA191=""),Anime!AA191,"")</f>
        <v/>
      </c>
      <c r="J190" s="17" t="str">
        <f>IF(NOT(Anime!AB191=""),Anime!AB191,"")</f>
        <v/>
      </c>
      <c r="K190" s="18" t="str">
        <f>IF(NOT(Anime!AC191=""),Anime!AC191,"")</f>
        <v/>
      </c>
      <c r="L190" s="19" t="str">
        <f>IF(NOT(Anime!AD191=""),Anime!AD191,"")</f>
        <v/>
      </c>
      <c r="M190" s="72" t="str">
        <f>IF(NOT(Anime!AE191=""),Anime!AE191,"")</f>
        <v/>
      </c>
      <c r="N190" s="21" t="str">
        <f>IF(NOT(Anime!AF191=""),Anime!AF191,"")</f>
        <v/>
      </c>
      <c r="O190" s="129" t="str">
        <f>IF(NOT(Anime!AG191=""),Anime!AG191,"")</f>
        <v/>
      </c>
      <c r="P190" s="21" t="str">
        <f>IF(NOT(Anime!AH191=""),Anime!AH191,"")</f>
        <v/>
      </c>
      <c r="Q190" s="21" t="str">
        <f>IF(NOT(Anime!AI191=""),Anime!AI191,"")</f>
        <v/>
      </c>
      <c r="R190" s="66" t="str">
        <f>IF(NOT(Anime!AJ191=""),Anime!AJ191,"")</f>
        <v/>
      </c>
      <c r="S190" s="135" t="str">
        <f>IF(NOT(Anime!AK197=""),Anime!AK197,"")</f>
        <v/>
      </c>
    </row>
    <row r="191" spans="1:19" ht="16.5">
      <c r="A191" s="12" t="str">
        <f>IF(NOT(Anime!R192=""),Anime!R192,"")</f>
        <v/>
      </c>
      <c r="B191" s="14" t="str">
        <f>IF(NOT(Anime!S192=""),Anime!S192,"")</f>
        <v/>
      </c>
      <c r="C191" s="14" t="str">
        <f>IF(NOT(Anime!T192=""),Anime!T192,"")</f>
        <v/>
      </c>
      <c r="D191" s="68" t="str">
        <f>IF(NOT(Anime!U192=""),Anime!U192,"")</f>
        <v/>
      </c>
      <c r="E191" s="131" t="str">
        <f>IF(NOT(Anime!W192=""),Anime!W192,"")</f>
        <v/>
      </c>
      <c r="F191" s="16" t="str">
        <f>IF(NOT(Anime!X192=""),Anime!X192,"")</f>
        <v/>
      </c>
      <c r="G191" s="16" t="str">
        <f>IF(NOT(Anime!Y192=""),Anime!Y192,"")</f>
        <v/>
      </c>
      <c r="H191" s="16" t="str">
        <f>IF(NOT(Anime!Z192=""),Anime!Z192,"")</f>
        <v/>
      </c>
      <c r="I191" s="16" t="str">
        <f>IF(NOT(Anime!AA192=""),Anime!AA192,"")</f>
        <v/>
      </c>
      <c r="J191" s="17" t="str">
        <f>IF(NOT(Anime!AB192=""),Anime!AB192,"")</f>
        <v/>
      </c>
      <c r="K191" s="18" t="str">
        <f>IF(NOT(Anime!AC192=""),Anime!AC192,"")</f>
        <v/>
      </c>
      <c r="L191" s="19" t="str">
        <f>IF(NOT(Anime!AD192=""),Anime!AD192,"")</f>
        <v/>
      </c>
      <c r="M191" s="72" t="str">
        <f>IF(NOT(Anime!AE192=""),Anime!AE192,"")</f>
        <v/>
      </c>
      <c r="N191" s="21" t="str">
        <f>IF(NOT(Anime!AF192=""),Anime!AF192,"")</f>
        <v/>
      </c>
      <c r="O191" s="129" t="str">
        <f>IF(NOT(Anime!AG192=""),Anime!AG192,"")</f>
        <v/>
      </c>
      <c r="P191" s="21" t="str">
        <f>IF(NOT(Anime!AH192=""),Anime!AH192,"")</f>
        <v/>
      </c>
      <c r="Q191" s="21" t="str">
        <f>IF(NOT(Anime!AI192=""),Anime!AI192,"")</f>
        <v/>
      </c>
      <c r="R191" s="66" t="str">
        <f>IF(NOT(Anime!AJ192=""),Anime!AJ192,"")</f>
        <v/>
      </c>
      <c r="S191" s="135" t="str">
        <f>IF(NOT(Anime!AK198=""),Anime!AK198,"")</f>
        <v/>
      </c>
    </row>
    <row r="192" spans="1:19" ht="16.5">
      <c r="A192" s="12" t="str">
        <f>IF(NOT(Anime!R193=""),Anime!R193,"")</f>
        <v/>
      </c>
      <c r="B192" s="14" t="str">
        <f>IF(NOT(Anime!S193=""),Anime!S193,"")</f>
        <v/>
      </c>
      <c r="C192" s="14" t="str">
        <f>IF(NOT(Anime!T193=""),Anime!T193,"")</f>
        <v/>
      </c>
      <c r="D192" s="68" t="str">
        <f>IF(NOT(Anime!U193=""),Anime!U193,"")</f>
        <v/>
      </c>
      <c r="E192" s="131" t="str">
        <f>IF(NOT(Anime!W193=""),Anime!W193,"")</f>
        <v/>
      </c>
      <c r="F192" s="16" t="str">
        <f>IF(NOT(Anime!X193=""),Anime!X193,"")</f>
        <v/>
      </c>
      <c r="G192" s="16" t="str">
        <f>IF(NOT(Anime!Y193=""),Anime!Y193,"")</f>
        <v/>
      </c>
      <c r="H192" s="16" t="str">
        <f>IF(NOT(Anime!Z193=""),Anime!Z193,"")</f>
        <v/>
      </c>
      <c r="I192" s="16" t="str">
        <f>IF(NOT(Anime!AA193=""),Anime!AA193,"")</f>
        <v/>
      </c>
      <c r="J192" s="17" t="str">
        <f>IF(NOT(Anime!AB193=""),Anime!AB193,"")</f>
        <v/>
      </c>
      <c r="K192" s="18" t="str">
        <f>IF(NOT(Anime!AC193=""),Anime!AC193,"")</f>
        <v/>
      </c>
      <c r="L192" s="19" t="str">
        <f>IF(NOT(Anime!AD193=""),Anime!AD193,"")</f>
        <v/>
      </c>
      <c r="M192" s="72" t="str">
        <f>IF(NOT(Anime!AE193=""),Anime!AE193,"")</f>
        <v/>
      </c>
      <c r="N192" s="21" t="str">
        <f>IF(NOT(Anime!AF193=""),Anime!AF193,"")</f>
        <v/>
      </c>
      <c r="O192" s="129" t="str">
        <f>IF(NOT(Anime!AG193=""),Anime!AG193,"")</f>
        <v/>
      </c>
      <c r="P192" s="21" t="str">
        <f>IF(NOT(Anime!AH193=""),Anime!AH193,"")</f>
        <v/>
      </c>
      <c r="Q192" s="21" t="str">
        <f>IF(NOT(Anime!AI193=""),Anime!AI193,"")</f>
        <v/>
      </c>
      <c r="R192" s="66" t="str">
        <f>IF(NOT(Anime!AJ193=""),Anime!AJ193,"")</f>
        <v/>
      </c>
      <c r="S192" s="135" t="str">
        <f>IF(NOT(Anime!AK199=""),Anime!AK199,"")</f>
        <v/>
      </c>
    </row>
    <row r="193" spans="1:19" ht="16.5">
      <c r="A193" s="12" t="str">
        <f>IF(NOT(Anime!R194=""),Anime!R194,"")</f>
        <v/>
      </c>
      <c r="B193" s="14" t="str">
        <f>IF(NOT(Anime!S194=""),Anime!S194,"")</f>
        <v/>
      </c>
      <c r="C193" s="14" t="str">
        <f>IF(NOT(Anime!T194=""),Anime!T194,"")</f>
        <v/>
      </c>
      <c r="D193" s="68" t="str">
        <f>IF(NOT(Anime!U194=""),Anime!U194,"")</f>
        <v/>
      </c>
      <c r="E193" s="131" t="str">
        <f>IF(NOT(Anime!W194=""),Anime!W194,"")</f>
        <v/>
      </c>
      <c r="F193" s="16" t="str">
        <f>IF(NOT(Anime!X194=""),Anime!X194,"")</f>
        <v/>
      </c>
      <c r="G193" s="16" t="str">
        <f>IF(NOT(Anime!Y194=""),Anime!Y194,"")</f>
        <v/>
      </c>
      <c r="H193" s="16" t="str">
        <f>IF(NOT(Anime!Z194=""),Anime!Z194,"")</f>
        <v/>
      </c>
      <c r="I193" s="16" t="str">
        <f>IF(NOT(Anime!AA194=""),Anime!AA194,"")</f>
        <v/>
      </c>
      <c r="J193" s="17" t="str">
        <f>IF(NOT(Anime!AB194=""),Anime!AB194,"")</f>
        <v/>
      </c>
      <c r="K193" s="18" t="str">
        <f>IF(NOT(Anime!AC194=""),Anime!AC194,"")</f>
        <v/>
      </c>
      <c r="L193" s="19" t="str">
        <f>IF(NOT(Anime!AD194=""),Anime!AD194,"")</f>
        <v/>
      </c>
      <c r="M193" s="72" t="str">
        <f>IF(NOT(Anime!AE194=""),Anime!AE194,"")</f>
        <v/>
      </c>
      <c r="N193" s="21" t="str">
        <f>IF(NOT(Anime!AF194=""),Anime!AF194,"")</f>
        <v/>
      </c>
      <c r="O193" s="129" t="str">
        <f>IF(NOT(Anime!AG194=""),Anime!AG194,"")</f>
        <v/>
      </c>
      <c r="P193" s="21" t="str">
        <f>IF(NOT(Anime!AH194=""),Anime!AH194,"")</f>
        <v/>
      </c>
      <c r="Q193" s="21" t="str">
        <f>IF(NOT(Anime!AI194=""),Anime!AI194,"")</f>
        <v/>
      </c>
      <c r="R193" s="66" t="str">
        <f>IF(NOT(Anime!AJ194=""),Anime!AJ194,"")</f>
        <v/>
      </c>
      <c r="S193" s="135" t="str">
        <f>IF(NOT(Anime!AK200=""),Anime!AK200,"")</f>
        <v/>
      </c>
    </row>
    <row r="194" spans="1:19" ht="16.5">
      <c r="A194" s="12" t="str">
        <f>IF(NOT(Anime!R195=""),Anime!R195,"")</f>
        <v/>
      </c>
      <c r="B194" s="14" t="str">
        <f>IF(NOT(Anime!S195=""),Anime!S195,"")</f>
        <v/>
      </c>
      <c r="C194" s="14" t="str">
        <f>IF(NOT(Anime!T195=""),Anime!T195,"")</f>
        <v/>
      </c>
      <c r="D194" s="68" t="str">
        <f>IF(NOT(Anime!U195=""),Anime!U195,"")</f>
        <v/>
      </c>
      <c r="E194" s="131" t="str">
        <f>IF(NOT(Anime!W195=""),Anime!W195,"")</f>
        <v/>
      </c>
      <c r="F194" s="16" t="str">
        <f>IF(NOT(Anime!X195=""),Anime!X195,"")</f>
        <v/>
      </c>
      <c r="G194" s="16" t="str">
        <f>IF(NOT(Anime!Y195=""),Anime!Y195,"")</f>
        <v/>
      </c>
      <c r="H194" s="16" t="str">
        <f>IF(NOT(Anime!Z195=""),Anime!Z195,"")</f>
        <v/>
      </c>
      <c r="I194" s="16" t="str">
        <f>IF(NOT(Anime!AA195=""),Anime!AA195,"")</f>
        <v/>
      </c>
      <c r="J194" s="17" t="str">
        <f>IF(NOT(Anime!AB195=""),Anime!AB195,"")</f>
        <v/>
      </c>
      <c r="K194" s="18" t="str">
        <f>IF(NOT(Anime!AC195=""),Anime!AC195,"")</f>
        <v/>
      </c>
      <c r="L194" s="19" t="str">
        <f>IF(NOT(Anime!AD195=""),Anime!AD195,"")</f>
        <v/>
      </c>
      <c r="M194" s="72" t="str">
        <f>IF(NOT(Anime!AE195=""),Anime!AE195,"")</f>
        <v/>
      </c>
      <c r="N194" s="21" t="str">
        <f>IF(NOT(Anime!AF195=""),Anime!AF195,"")</f>
        <v/>
      </c>
      <c r="O194" s="129" t="str">
        <f>IF(NOT(Anime!AG195=""),Anime!AG195,"")</f>
        <v/>
      </c>
      <c r="P194" s="21" t="str">
        <f>IF(NOT(Anime!AH195=""),Anime!AH195,"")</f>
        <v/>
      </c>
      <c r="Q194" s="21" t="str">
        <f>IF(NOT(Anime!AI195=""),Anime!AI195,"")</f>
        <v/>
      </c>
      <c r="R194" s="66" t="str">
        <f>IF(NOT(Anime!AJ195=""),Anime!AJ195,"")</f>
        <v/>
      </c>
      <c r="S194" s="135" t="str">
        <f>IF(NOT(Anime!AK201=""),Anime!AK201,"")</f>
        <v/>
      </c>
    </row>
    <row r="195" spans="1:19" ht="16.5">
      <c r="A195" s="12" t="str">
        <f>IF(NOT(Anime!R196=""),Anime!R196,"")</f>
        <v/>
      </c>
      <c r="B195" s="14" t="str">
        <f>IF(NOT(Anime!S196=""),Anime!S196,"")</f>
        <v/>
      </c>
      <c r="C195" s="14" t="str">
        <f>IF(NOT(Anime!T196=""),Anime!T196,"")</f>
        <v/>
      </c>
      <c r="D195" s="68" t="str">
        <f>IF(NOT(Anime!U196=""),Anime!U196,"")</f>
        <v/>
      </c>
      <c r="E195" s="131" t="str">
        <f>IF(NOT(Anime!W196=""),Anime!W196,"")</f>
        <v/>
      </c>
      <c r="F195" s="16" t="str">
        <f>IF(NOT(Anime!X196=""),Anime!X196,"")</f>
        <v/>
      </c>
      <c r="G195" s="16" t="str">
        <f>IF(NOT(Anime!Y196=""),Anime!Y196,"")</f>
        <v/>
      </c>
      <c r="H195" s="16" t="str">
        <f>IF(NOT(Anime!Z196=""),Anime!Z196,"")</f>
        <v/>
      </c>
      <c r="I195" s="16" t="str">
        <f>IF(NOT(Anime!AA196=""),Anime!AA196,"")</f>
        <v/>
      </c>
      <c r="J195" s="17" t="str">
        <f>IF(NOT(Anime!AB196=""),Anime!AB196,"")</f>
        <v/>
      </c>
      <c r="K195" s="18" t="str">
        <f>IF(NOT(Anime!AC196=""),Anime!AC196,"")</f>
        <v/>
      </c>
      <c r="L195" s="19" t="str">
        <f>IF(NOT(Anime!AD196=""),Anime!AD196,"")</f>
        <v/>
      </c>
      <c r="M195" s="72" t="str">
        <f>IF(NOT(Anime!AE196=""),Anime!AE196,"")</f>
        <v/>
      </c>
      <c r="N195" s="21" t="str">
        <f>IF(NOT(Anime!AF196=""),Anime!AF196,"")</f>
        <v/>
      </c>
      <c r="O195" s="129" t="str">
        <f>IF(NOT(Anime!AG196=""),Anime!AG196,"")</f>
        <v/>
      </c>
      <c r="P195" s="21" t="str">
        <f>IF(NOT(Anime!AH196=""),Anime!AH196,"")</f>
        <v/>
      </c>
      <c r="Q195" s="21" t="str">
        <f>IF(NOT(Anime!AI196=""),Anime!AI196,"")</f>
        <v/>
      </c>
      <c r="R195" s="66" t="str">
        <f>IF(NOT(Anime!AJ196=""),Anime!AJ196,"")</f>
        <v/>
      </c>
      <c r="S195" s="135" t="str">
        <f>IF(NOT(Anime!AK202=""),Anime!AK202,"")</f>
        <v/>
      </c>
    </row>
    <row r="196" spans="1:19" ht="16.5">
      <c r="A196" s="12" t="str">
        <f>IF(NOT(Anime!R197=""),Anime!R197,"")</f>
        <v/>
      </c>
      <c r="B196" s="14" t="str">
        <f>IF(NOT(Anime!S197=""),Anime!S197,"")</f>
        <v/>
      </c>
      <c r="C196" s="14" t="str">
        <f>IF(NOT(Anime!T197=""),Anime!T197,"")</f>
        <v/>
      </c>
      <c r="D196" s="68" t="str">
        <f>IF(NOT(Anime!U197=""),Anime!U197,"")</f>
        <v/>
      </c>
      <c r="E196" s="131" t="str">
        <f>IF(NOT(Anime!W197=""),Anime!W197,"")</f>
        <v/>
      </c>
      <c r="F196" s="16" t="str">
        <f>IF(NOT(Anime!X197=""),Anime!X197,"")</f>
        <v/>
      </c>
      <c r="G196" s="16" t="str">
        <f>IF(NOT(Anime!Y197=""),Anime!Y197,"")</f>
        <v/>
      </c>
      <c r="H196" s="16" t="str">
        <f>IF(NOT(Anime!Z197=""),Anime!Z197,"")</f>
        <v/>
      </c>
      <c r="I196" s="16" t="str">
        <f>IF(NOT(Anime!AA197=""),Anime!AA197,"")</f>
        <v/>
      </c>
      <c r="J196" s="17" t="str">
        <f>IF(NOT(Anime!AB197=""),Anime!AB197,"")</f>
        <v/>
      </c>
      <c r="K196" s="18" t="str">
        <f>IF(NOT(Anime!AC197=""),Anime!AC197,"")</f>
        <v/>
      </c>
      <c r="L196" s="19" t="str">
        <f>IF(NOT(Anime!AD197=""),Anime!AD197,"")</f>
        <v/>
      </c>
      <c r="M196" s="72" t="str">
        <f>IF(NOT(Anime!AE197=""),Anime!AE197,"")</f>
        <v/>
      </c>
      <c r="N196" s="21" t="str">
        <f>IF(NOT(Anime!AF197=""),Anime!AF197,"")</f>
        <v/>
      </c>
      <c r="O196" s="129" t="str">
        <f>IF(NOT(Anime!AG197=""),Anime!AG197,"")</f>
        <v/>
      </c>
      <c r="P196" s="21" t="str">
        <f>IF(NOT(Anime!AH197=""),Anime!AH197,"")</f>
        <v/>
      </c>
      <c r="Q196" s="21" t="str">
        <f>IF(NOT(Anime!AI197=""),Anime!AI197,"")</f>
        <v/>
      </c>
      <c r="R196" s="66" t="str">
        <f>IF(NOT(Anime!AJ197=""),Anime!AJ197,"")</f>
        <v/>
      </c>
      <c r="S196" s="135" t="str">
        <f>IF(NOT(Anime!AK203=""),Anime!AK203,"")</f>
        <v/>
      </c>
    </row>
    <row r="197" spans="1:19" ht="16.5">
      <c r="A197" s="12" t="str">
        <f>IF(NOT(Anime!R198=""),Anime!R198,"")</f>
        <v/>
      </c>
      <c r="B197" s="14" t="str">
        <f>IF(NOT(Anime!S198=""),Anime!S198,"")</f>
        <v/>
      </c>
      <c r="C197" s="14" t="str">
        <f>IF(NOT(Anime!T198=""),Anime!T198,"")</f>
        <v/>
      </c>
      <c r="D197" s="68" t="str">
        <f>IF(NOT(Anime!U198=""),Anime!U198,"")</f>
        <v/>
      </c>
      <c r="E197" s="131" t="str">
        <f>IF(NOT(Anime!W198=""),Anime!W198,"")</f>
        <v/>
      </c>
      <c r="F197" s="16" t="str">
        <f>IF(NOT(Anime!X198=""),Anime!X198,"")</f>
        <v/>
      </c>
      <c r="G197" s="16" t="str">
        <f>IF(NOT(Anime!Y198=""),Anime!Y198,"")</f>
        <v/>
      </c>
      <c r="H197" s="16" t="str">
        <f>IF(NOT(Anime!Z198=""),Anime!Z198,"")</f>
        <v/>
      </c>
      <c r="I197" s="16" t="str">
        <f>IF(NOT(Anime!AA198=""),Anime!AA198,"")</f>
        <v/>
      </c>
      <c r="J197" s="17" t="str">
        <f>IF(NOT(Anime!AB198=""),Anime!AB198,"")</f>
        <v/>
      </c>
      <c r="K197" s="18" t="str">
        <f>IF(NOT(Anime!AC198=""),Anime!AC198,"")</f>
        <v/>
      </c>
      <c r="L197" s="19" t="str">
        <f>IF(NOT(Anime!AD198=""),Anime!AD198,"")</f>
        <v/>
      </c>
      <c r="M197" s="72" t="str">
        <f>IF(NOT(Anime!AE198=""),Anime!AE198,"")</f>
        <v/>
      </c>
      <c r="N197" s="21" t="str">
        <f>IF(NOT(Anime!AF198=""),Anime!AF198,"")</f>
        <v/>
      </c>
      <c r="O197" s="129" t="str">
        <f>IF(NOT(Anime!AG198=""),Anime!AG198,"")</f>
        <v/>
      </c>
      <c r="P197" s="21" t="str">
        <f>IF(NOT(Anime!AH198=""),Anime!AH198,"")</f>
        <v/>
      </c>
      <c r="Q197" s="21" t="str">
        <f>IF(NOT(Anime!AI198=""),Anime!AI198,"")</f>
        <v/>
      </c>
      <c r="R197" s="66" t="str">
        <f>IF(NOT(Anime!AJ198=""),Anime!AJ198,"")</f>
        <v/>
      </c>
      <c r="S197" s="135" t="str">
        <f>IF(NOT(Anime!AK204=""),Anime!AK204,"")</f>
        <v/>
      </c>
    </row>
    <row r="198" spans="1:19" ht="16.5">
      <c r="A198" s="12" t="str">
        <f>IF(NOT(Anime!R199=""),Anime!R199,"")</f>
        <v/>
      </c>
      <c r="B198" s="14" t="str">
        <f>IF(NOT(Anime!S199=""),Anime!S199,"")</f>
        <v/>
      </c>
      <c r="C198" s="14" t="str">
        <f>IF(NOT(Anime!T199=""),Anime!T199,"")</f>
        <v/>
      </c>
      <c r="D198" s="68" t="str">
        <f>IF(NOT(Anime!U199=""),Anime!U199,"")</f>
        <v/>
      </c>
      <c r="E198" s="131" t="str">
        <f>IF(NOT(Anime!W199=""),Anime!W199,"")</f>
        <v/>
      </c>
      <c r="F198" s="16" t="str">
        <f>IF(NOT(Anime!X199=""),Anime!X199,"")</f>
        <v/>
      </c>
      <c r="G198" s="16" t="str">
        <f>IF(NOT(Anime!Y199=""),Anime!Y199,"")</f>
        <v/>
      </c>
      <c r="H198" s="16" t="str">
        <f>IF(NOT(Anime!Z199=""),Anime!Z199,"")</f>
        <v/>
      </c>
      <c r="I198" s="16" t="str">
        <f>IF(NOT(Anime!AA199=""),Anime!AA199,"")</f>
        <v/>
      </c>
      <c r="J198" s="17" t="str">
        <f>IF(NOT(Anime!AB199=""),Anime!AB199,"")</f>
        <v/>
      </c>
      <c r="K198" s="18" t="str">
        <f>IF(NOT(Anime!AC199=""),Anime!AC199,"")</f>
        <v/>
      </c>
      <c r="L198" s="19" t="str">
        <f>IF(NOT(Anime!AD199=""),Anime!AD199,"")</f>
        <v/>
      </c>
      <c r="M198" s="72" t="str">
        <f>IF(NOT(Anime!AE199=""),Anime!AE199,"")</f>
        <v/>
      </c>
      <c r="N198" s="21" t="str">
        <f>IF(NOT(Anime!AF199=""),Anime!AF199,"")</f>
        <v/>
      </c>
      <c r="O198" s="129" t="str">
        <f>IF(NOT(Anime!AG199=""),Anime!AG199,"")</f>
        <v/>
      </c>
      <c r="P198" s="21" t="str">
        <f>IF(NOT(Anime!AH199=""),Anime!AH199,"")</f>
        <v/>
      </c>
      <c r="Q198" s="21" t="str">
        <f>IF(NOT(Anime!AI199=""),Anime!AI199,"")</f>
        <v/>
      </c>
      <c r="R198" s="66" t="str">
        <f>IF(NOT(Anime!AJ199=""),Anime!AJ199,"")</f>
        <v/>
      </c>
      <c r="S198" s="135" t="str">
        <f>IF(NOT(Anime!AK205=""),Anime!AK205,"")</f>
        <v/>
      </c>
    </row>
    <row r="199" spans="1:19" ht="16.5">
      <c r="A199" s="12" t="str">
        <f>IF(NOT(Anime!R200=""),Anime!R200,"")</f>
        <v/>
      </c>
      <c r="B199" s="14" t="str">
        <f>IF(NOT(Anime!S200=""),Anime!S200,"")</f>
        <v/>
      </c>
      <c r="C199" s="14" t="str">
        <f>IF(NOT(Anime!T200=""),Anime!T200,"")</f>
        <v/>
      </c>
      <c r="D199" s="68" t="str">
        <f>IF(NOT(Anime!U200=""),Anime!U200,"")</f>
        <v/>
      </c>
      <c r="E199" s="131" t="str">
        <f>IF(NOT(Anime!W200=""),Anime!W200,"")</f>
        <v/>
      </c>
      <c r="F199" s="16" t="str">
        <f>IF(NOT(Anime!X200=""),Anime!X200,"")</f>
        <v/>
      </c>
      <c r="G199" s="16" t="str">
        <f>IF(NOT(Anime!Y200=""),Anime!Y200,"")</f>
        <v/>
      </c>
      <c r="H199" s="16" t="str">
        <f>IF(NOT(Anime!Z200=""),Anime!Z200,"")</f>
        <v/>
      </c>
      <c r="I199" s="16" t="str">
        <f>IF(NOT(Anime!AA200=""),Anime!AA200,"")</f>
        <v/>
      </c>
      <c r="J199" s="17" t="str">
        <f>IF(NOT(Anime!AB200=""),Anime!AB200,"")</f>
        <v/>
      </c>
      <c r="K199" s="18" t="str">
        <f>IF(NOT(Anime!AC200=""),Anime!AC200,"")</f>
        <v/>
      </c>
      <c r="L199" s="19" t="str">
        <f>IF(NOT(Anime!AD200=""),Anime!AD200,"")</f>
        <v/>
      </c>
      <c r="M199" s="72" t="str">
        <f>IF(NOT(Anime!AE200=""),Anime!AE200,"")</f>
        <v/>
      </c>
      <c r="N199" s="21" t="str">
        <f>IF(NOT(Anime!AF200=""),Anime!AF200,"")</f>
        <v/>
      </c>
      <c r="O199" s="129" t="str">
        <f>IF(NOT(Anime!AG200=""),Anime!AG200,"")</f>
        <v/>
      </c>
      <c r="P199" s="21" t="str">
        <f>IF(NOT(Anime!AH200=""),Anime!AH200,"")</f>
        <v/>
      </c>
      <c r="Q199" s="21" t="str">
        <f>IF(NOT(Anime!AI200=""),Anime!AI200,"")</f>
        <v/>
      </c>
      <c r="R199" s="66" t="str">
        <f>IF(NOT(Anime!AJ200=""),Anime!AJ200,"")</f>
        <v/>
      </c>
      <c r="S199" s="135" t="str">
        <f>IF(NOT(Anime!AK206=""),Anime!AK206,"")</f>
        <v/>
      </c>
    </row>
    <row r="200" spans="1:19" ht="16.5">
      <c r="A200" s="12" t="str">
        <f>IF(NOT(Anime!R201=""),Anime!R201,"")</f>
        <v/>
      </c>
      <c r="B200" s="14" t="str">
        <f>IF(NOT(Anime!S201=""),Anime!S201,"")</f>
        <v/>
      </c>
      <c r="C200" s="14" t="str">
        <f>IF(NOT(Anime!T201=""),Anime!T201,"")</f>
        <v/>
      </c>
      <c r="D200" s="68" t="str">
        <f>IF(NOT(Anime!U201=""),Anime!U201,"")</f>
        <v/>
      </c>
      <c r="E200" s="131" t="str">
        <f>IF(NOT(Anime!W201=""),Anime!W201,"")</f>
        <v/>
      </c>
      <c r="F200" s="16" t="str">
        <f>IF(NOT(Anime!X201=""),Anime!X201,"")</f>
        <v/>
      </c>
      <c r="G200" s="16" t="str">
        <f>IF(NOT(Anime!Y201=""),Anime!Y201,"")</f>
        <v/>
      </c>
      <c r="H200" s="16" t="str">
        <f>IF(NOT(Anime!Z201=""),Anime!Z201,"")</f>
        <v/>
      </c>
      <c r="I200" s="16" t="str">
        <f>IF(NOT(Anime!AA201=""),Anime!AA201,"")</f>
        <v/>
      </c>
      <c r="J200" s="17" t="str">
        <f>IF(NOT(Anime!AB201=""),Anime!AB201,"")</f>
        <v/>
      </c>
      <c r="K200" s="18" t="str">
        <f>IF(NOT(Anime!AC201=""),Anime!AC201,"")</f>
        <v/>
      </c>
      <c r="L200" s="19" t="str">
        <f>IF(NOT(Anime!AD201=""),Anime!AD201,"")</f>
        <v/>
      </c>
      <c r="M200" s="72" t="str">
        <f>IF(NOT(Anime!AE201=""),Anime!AE201,"")</f>
        <v/>
      </c>
      <c r="N200" s="21" t="str">
        <f>IF(NOT(Anime!AF201=""),Anime!AF201,"")</f>
        <v/>
      </c>
      <c r="O200" s="129" t="str">
        <f>IF(NOT(Anime!AG201=""),Anime!AG201,"")</f>
        <v/>
      </c>
      <c r="P200" s="21" t="str">
        <f>IF(NOT(Anime!AH201=""),Anime!AH201,"")</f>
        <v/>
      </c>
      <c r="Q200" s="21" t="str">
        <f>IF(NOT(Anime!AI201=""),Anime!AI201,"")</f>
        <v/>
      </c>
      <c r="R200" s="66" t="str">
        <f>IF(NOT(Anime!AJ201=""),Anime!AJ201,"")</f>
        <v/>
      </c>
      <c r="S200" s="135" t="str">
        <f>IF(NOT(Anime!AK207=""),Anime!AK207,"")</f>
        <v/>
      </c>
    </row>
    <row r="201" spans="1:19" ht="16.5">
      <c r="A201" s="12" t="str">
        <f>IF(NOT(Anime!R202=""),Anime!R202,"")</f>
        <v/>
      </c>
      <c r="B201" s="14" t="str">
        <f>IF(NOT(Anime!S202=""),Anime!S202,"")</f>
        <v/>
      </c>
      <c r="C201" s="14" t="str">
        <f>IF(NOT(Anime!T202=""),Anime!T202,"")</f>
        <v/>
      </c>
      <c r="D201" s="68" t="str">
        <f>IF(NOT(Anime!U202=""),Anime!U202,"")</f>
        <v/>
      </c>
      <c r="E201" s="131" t="str">
        <f>IF(NOT(Anime!W202=""),Anime!W202,"")</f>
        <v/>
      </c>
      <c r="F201" s="16" t="str">
        <f>IF(NOT(Anime!X202=""),Anime!X202,"")</f>
        <v/>
      </c>
      <c r="G201" s="16" t="str">
        <f>IF(NOT(Anime!Y202=""),Anime!Y202,"")</f>
        <v/>
      </c>
      <c r="H201" s="16" t="str">
        <f>IF(NOT(Anime!Z202=""),Anime!Z202,"")</f>
        <v/>
      </c>
      <c r="I201" s="16" t="str">
        <f>IF(NOT(Anime!AA202=""),Anime!AA202,"")</f>
        <v/>
      </c>
      <c r="J201" s="17" t="str">
        <f>IF(NOT(Anime!AB202=""),Anime!AB202,"")</f>
        <v/>
      </c>
      <c r="K201" s="18" t="str">
        <f>IF(NOT(Anime!AC202=""),Anime!AC202,"")</f>
        <v/>
      </c>
      <c r="L201" s="19" t="str">
        <f>IF(NOT(Anime!AD202=""),Anime!AD202,"")</f>
        <v/>
      </c>
      <c r="M201" s="72" t="str">
        <f>IF(NOT(Anime!AE202=""),Anime!AE202,"")</f>
        <v/>
      </c>
      <c r="N201" s="21" t="str">
        <f>IF(NOT(Anime!AF202=""),Anime!AF202,"")</f>
        <v/>
      </c>
      <c r="O201" s="129" t="str">
        <f>IF(NOT(Anime!AG202=""),Anime!AG202,"")</f>
        <v/>
      </c>
      <c r="P201" s="21" t="str">
        <f>IF(NOT(Anime!AH202=""),Anime!AH202,"")</f>
        <v/>
      </c>
      <c r="Q201" s="21" t="str">
        <f>IF(NOT(Anime!AI202=""),Anime!AI202,"")</f>
        <v/>
      </c>
      <c r="R201" s="66" t="str">
        <f>IF(NOT(Anime!AJ202=""),Anime!AJ202,"")</f>
        <v/>
      </c>
      <c r="S201" s="135" t="str">
        <f>IF(NOT(Anime!AK208=""),Anime!AK208,"")</f>
        <v/>
      </c>
    </row>
    <row r="202" spans="1:19" ht="16.5">
      <c r="A202" s="12" t="str">
        <f>IF(NOT(Anime!R203=""),Anime!R203,"")</f>
        <v/>
      </c>
      <c r="B202" s="14" t="str">
        <f>IF(NOT(Anime!S203=""),Anime!S203,"")</f>
        <v/>
      </c>
      <c r="C202" s="14" t="str">
        <f>IF(NOT(Anime!T203=""),Anime!T203,"")</f>
        <v/>
      </c>
      <c r="D202" s="68" t="str">
        <f>IF(NOT(Anime!U203=""),Anime!U203,"")</f>
        <v/>
      </c>
      <c r="E202" s="131" t="str">
        <f>IF(NOT(Anime!W203=""),Anime!W203,"")</f>
        <v/>
      </c>
      <c r="F202" s="16" t="str">
        <f>IF(NOT(Anime!X203=""),Anime!X203,"")</f>
        <v/>
      </c>
      <c r="G202" s="16" t="str">
        <f>IF(NOT(Anime!Y203=""),Anime!Y203,"")</f>
        <v/>
      </c>
      <c r="H202" s="16" t="str">
        <f>IF(NOT(Anime!Z203=""),Anime!Z203,"")</f>
        <v/>
      </c>
      <c r="I202" s="16" t="str">
        <f>IF(NOT(Anime!AA203=""),Anime!AA203,"")</f>
        <v/>
      </c>
      <c r="J202" s="17" t="str">
        <f>IF(NOT(Anime!AB203=""),Anime!AB203,"")</f>
        <v/>
      </c>
      <c r="K202" s="18" t="str">
        <f>IF(NOT(Anime!AC203=""),Anime!AC203,"")</f>
        <v/>
      </c>
      <c r="L202" s="19" t="str">
        <f>IF(NOT(Anime!AD203=""),Anime!AD203,"")</f>
        <v/>
      </c>
      <c r="M202" s="72" t="str">
        <f>IF(NOT(Anime!AE203=""),Anime!AE203,"")</f>
        <v/>
      </c>
      <c r="N202" s="21" t="str">
        <f>IF(NOT(Anime!AF203=""),Anime!AF203,"")</f>
        <v/>
      </c>
      <c r="O202" s="129" t="str">
        <f>IF(NOT(Anime!AG203=""),Anime!AG203,"")</f>
        <v/>
      </c>
      <c r="P202" s="21" t="str">
        <f>IF(NOT(Anime!AH203=""),Anime!AH203,"")</f>
        <v/>
      </c>
      <c r="Q202" s="21" t="str">
        <f>IF(NOT(Anime!AI203=""),Anime!AI203,"")</f>
        <v/>
      </c>
      <c r="R202" s="66" t="str">
        <f>IF(NOT(Anime!AJ203=""),Anime!AJ203,"")</f>
        <v/>
      </c>
      <c r="S202" s="135" t="str">
        <f>IF(NOT(Anime!AK209=""),Anime!AK209,"")</f>
        <v/>
      </c>
    </row>
    <row r="203" spans="1:19" ht="16.5">
      <c r="A203" s="12" t="str">
        <f>IF(NOT(Anime!R204=""),Anime!R204,"")</f>
        <v/>
      </c>
      <c r="B203" s="14" t="str">
        <f>IF(NOT(Anime!S204=""),Anime!S204,"")</f>
        <v/>
      </c>
      <c r="C203" s="14" t="str">
        <f>IF(NOT(Anime!T204=""),Anime!T204,"")</f>
        <v/>
      </c>
      <c r="D203" s="68" t="str">
        <f>IF(NOT(Anime!U204=""),Anime!U204,"")</f>
        <v/>
      </c>
      <c r="E203" s="131" t="str">
        <f>IF(NOT(Anime!W204=""),Anime!W204,"")</f>
        <v/>
      </c>
      <c r="F203" s="16" t="str">
        <f>IF(NOT(Anime!X204=""),Anime!X204,"")</f>
        <v/>
      </c>
      <c r="G203" s="16" t="str">
        <f>IF(NOT(Anime!Y204=""),Anime!Y204,"")</f>
        <v/>
      </c>
      <c r="H203" s="16" t="str">
        <f>IF(NOT(Anime!Z204=""),Anime!Z204,"")</f>
        <v/>
      </c>
      <c r="I203" s="16" t="str">
        <f>IF(NOT(Anime!AA204=""),Anime!AA204,"")</f>
        <v/>
      </c>
      <c r="J203" s="17" t="str">
        <f>IF(NOT(Anime!AB204=""),Anime!AB204,"")</f>
        <v/>
      </c>
      <c r="K203" s="18" t="str">
        <f>IF(NOT(Anime!AC204=""),Anime!AC204,"")</f>
        <v/>
      </c>
      <c r="L203" s="19" t="str">
        <f>IF(NOT(Anime!AD204=""),Anime!AD204,"")</f>
        <v/>
      </c>
      <c r="M203" s="72" t="str">
        <f>IF(NOT(Anime!AE204=""),Anime!AE204,"")</f>
        <v/>
      </c>
      <c r="N203" s="21" t="str">
        <f>IF(NOT(Anime!AF204=""),Anime!AF204,"")</f>
        <v/>
      </c>
      <c r="O203" s="129" t="str">
        <f>IF(NOT(Anime!AG204=""),Anime!AG204,"")</f>
        <v/>
      </c>
      <c r="P203" s="21" t="str">
        <f>IF(NOT(Anime!AH204=""),Anime!AH204,"")</f>
        <v/>
      </c>
      <c r="Q203" s="21" t="str">
        <f>IF(NOT(Anime!AI204=""),Anime!AI204,"")</f>
        <v/>
      </c>
      <c r="R203" s="66" t="str">
        <f>IF(NOT(Anime!AJ204=""),Anime!AJ204,"")</f>
        <v/>
      </c>
      <c r="S203" s="135" t="str">
        <f>IF(NOT(Anime!AK210=""),Anime!AK210,"")</f>
        <v/>
      </c>
    </row>
    <row r="204" spans="1:19" ht="16.5">
      <c r="A204" s="12" t="str">
        <f>IF(NOT(Anime!R205=""),Anime!R205,"")</f>
        <v/>
      </c>
      <c r="B204" s="14" t="str">
        <f>IF(NOT(Anime!S205=""),Anime!S205,"")</f>
        <v/>
      </c>
      <c r="C204" s="14" t="str">
        <f>IF(NOT(Anime!T205=""),Anime!T205,"")</f>
        <v/>
      </c>
      <c r="D204" s="68" t="str">
        <f>IF(NOT(Anime!U205=""),Anime!U205,"")</f>
        <v/>
      </c>
      <c r="E204" s="131" t="str">
        <f>IF(NOT(Anime!W205=""),Anime!W205,"")</f>
        <v/>
      </c>
      <c r="F204" s="16" t="str">
        <f>IF(NOT(Anime!X205=""),Anime!X205,"")</f>
        <v/>
      </c>
      <c r="G204" s="16" t="str">
        <f>IF(NOT(Anime!Y205=""),Anime!Y205,"")</f>
        <v/>
      </c>
      <c r="H204" s="16" t="str">
        <f>IF(NOT(Anime!Z205=""),Anime!Z205,"")</f>
        <v/>
      </c>
      <c r="I204" s="16" t="str">
        <f>IF(NOT(Anime!AA205=""),Anime!AA205,"")</f>
        <v/>
      </c>
      <c r="J204" s="17" t="str">
        <f>IF(NOT(Anime!AB205=""),Anime!AB205,"")</f>
        <v/>
      </c>
      <c r="K204" s="18" t="str">
        <f>IF(NOT(Anime!AC205=""),Anime!AC205,"")</f>
        <v/>
      </c>
      <c r="L204" s="19" t="str">
        <f>IF(NOT(Anime!AD205=""),Anime!AD205,"")</f>
        <v/>
      </c>
      <c r="M204" s="72" t="str">
        <f>IF(NOT(Anime!AE205=""),Anime!AE205,"")</f>
        <v/>
      </c>
      <c r="N204" s="21" t="str">
        <f>IF(NOT(Anime!AF205=""),Anime!AF205,"")</f>
        <v/>
      </c>
      <c r="O204" s="129" t="str">
        <f>IF(NOT(Anime!AG205=""),Anime!AG205,"")</f>
        <v/>
      </c>
      <c r="P204" s="21" t="str">
        <f>IF(NOT(Anime!AH205=""),Anime!AH205,"")</f>
        <v/>
      </c>
      <c r="Q204" s="21" t="str">
        <f>IF(NOT(Anime!AI205=""),Anime!AI205,"")</f>
        <v/>
      </c>
      <c r="R204" s="66" t="str">
        <f>IF(NOT(Anime!AJ205=""),Anime!AJ205,"")</f>
        <v/>
      </c>
      <c r="S204" s="135" t="str">
        <f>IF(NOT(Anime!AK211=""),Anime!AK211,"")</f>
        <v/>
      </c>
    </row>
    <row r="205" spans="1:19" ht="16.5">
      <c r="A205" s="12" t="str">
        <f>IF(NOT(Anime!R206=""),Anime!R206,"")</f>
        <v/>
      </c>
      <c r="B205" s="14" t="str">
        <f>IF(NOT(Anime!S206=""),Anime!S206,"")</f>
        <v/>
      </c>
      <c r="C205" s="14" t="str">
        <f>IF(NOT(Anime!T206=""),Anime!T206,"")</f>
        <v/>
      </c>
      <c r="D205" s="68" t="str">
        <f>IF(NOT(Anime!U206=""),Anime!U206,"")</f>
        <v/>
      </c>
      <c r="E205" s="131" t="str">
        <f>IF(NOT(Anime!W206=""),Anime!W206,"")</f>
        <v/>
      </c>
      <c r="F205" s="16" t="str">
        <f>IF(NOT(Anime!X206=""),Anime!X206,"")</f>
        <v/>
      </c>
      <c r="G205" s="16" t="str">
        <f>IF(NOT(Anime!Y206=""),Anime!Y206,"")</f>
        <v/>
      </c>
      <c r="H205" s="16" t="str">
        <f>IF(NOT(Anime!Z206=""),Anime!Z206,"")</f>
        <v/>
      </c>
      <c r="I205" s="16" t="str">
        <f>IF(NOT(Anime!AA206=""),Anime!AA206,"")</f>
        <v/>
      </c>
      <c r="J205" s="17" t="str">
        <f>IF(NOT(Anime!AB206=""),Anime!AB206,"")</f>
        <v/>
      </c>
      <c r="K205" s="18" t="str">
        <f>IF(NOT(Anime!AC206=""),Anime!AC206,"")</f>
        <v/>
      </c>
      <c r="L205" s="19" t="str">
        <f>IF(NOT(Anime!AD206=""),Anime!AD206,"")</f>
        <v/>
      </c>
      <c r="M205" s="72" t="str">
        <f>IF(NOT(Anime!AE206=""),Anime!AE206,"")</f>
        <v/>
      </c>
      <c r="N205" s="21" t="str">
        <f>IF(NOT(Anime!AF206=""),Anime!AF206,"")</f>
        <v/>
      </c>
      <c r="O205" s="129" t="str">
        <f>IF(NOT(Anime!AG206=""),Anime!AG206,"")</f>
        <v/>
      </c>
      <c r="P205" s="21" t="str">
        <f>IF(NOT(Anime!AH206=""),Anime!AH206,"")</f>
        <v/>
      </c>
      <c r="Q205" s="21" t="str">
        <f>IF(NOT(Anime!AI206=""),Anime!AI206,"")</f>
        <v/>
      </c>
      <c r="R205" s="66" t="str">
        <f>IF(NOT(Anime!AJ206=""),Anime!AJ206,"")</f>
        <v/>
      </c>
      <c r="S205" s="135" t="str">
        <f>IF(NOT(Anime!AK212=""),Anime!AK212,"")</f>
        <v/>
      </c>
    </row>
    <row r="206" spans="1:19" ht="16.5">
      <c r="A206" s="12" t="str">
        <f>IF(NOT(Anime!R207=""),Anime!R207,"")</f>
        <v/>
      </c>
      <c r="B206" s="14" t="str">
        <f>IF(NOT(Anime!S207=""),Anime!S207,"")</f>
        <v/>
      </c>
      <c r="C206" s="14" t="str">
        <f>IF(NOT(Anime!T207=""),Anime!T207,"")</f>
        <v/>
      </c>
      <c r="D206" s="68" t="str">
        <f>IF(NOT(Anime!U207=""),Anime!U207,"")</f>
        <v/>
      </c>
      <c r="E206" s="131" t="str">
        <f>IF(NOT(Anime!W207=""),Anime!W207,"")</f>
        <v/>
      </c>
      <c r="F206" s="16" t="str">
        <f>IF(NOT(Anime!X207=""),Anime!X207,"")</f>
        <v/>
      </c>
      <c r="G206" s="16" t="str">
        <f>IF(NOT(Anime!Y207=""),Anime!Y207,"")</f>
        <v/>
      </c>
      <c r="H206" s="16" t="str">
        <f>IF(NOT(Anime!Z207=""),Anime!Z207,"")</f>
        <v/>
      </c>
      <c r="I206" s="16" t="str">
        <f>IF(NOT(Anime!AA207=""),Anime!AA207,"")</f>
        <v/>
      </c>
      <c r="J206" s="17" t="str">
        <f>IF(NOT(Anime!AB207=""),Anime!AB207,"")</f>
        <v/>
      </c>
      <c r="K206" s="18" t="str">
        <f>IF(NOT(Anime!AC207=""),Anime!AC207,"")</f>
        <v/>
      </c>
      <c r="L206" s="19" t="str">
        <f>IF(NOT(Anime!AD207=""),Anime!AD207,"")</f>
        <v/>
      </c>
      <c r="M206" s="72" t="str">
        <f>IF(NOT(Anime!AE207=""),Anime!AE207,"")</f>
        <v/>
      </c>
      <c r="N206" s="21" t="str">
        <f>IF(NOT(Anime!AF207=""),Anime!AF207,"")</f>
        <v/>
      </c>
      <c r="O206" s="129" t="str">
        <f>IF(NOT(Anime!AG207=""),Anime!AG207,"")</f>
        <v/>
      </c>
      <c r="P206" s="21" t="str">
        <f>IF(NOT(Anime!AH207=""),Anime!AH207,"")</f>
        <v/>
      </c>
      <c r="Q206" s="21" t="str">
        <f>IF(NOT(Anime!AI207=""),Anime!AI207,"")</f>
        <v/>
      </c>
      <c r="R206" s="66" t="str">
        <f>IF(NOT(Anime!AJ207=""),Anime!AJ207,"")</f>
        <v/>
      </c>
      <c r="S206" s="135" t="str">
        <f>IF(NOT(Anime!AK213=""),Anime!AK213,"")</f>
        <v/>
      </c>
    </row>
    <row r="207" spans="1:19" ht="16.5">
      <c r="A207" s="12" t="str">
        <f>IF(NOT(Anime!R208=""),Anime!R208,"")</f>
        <v/>
      </c>
      <c r="B207" s="14" t="str">
        <f>IF(NOT(Anime!S208=""),Anime!S208,"")</f>
        <v/>
      </c>
      <c r="C207" s="14" t="str">
        <f>IF(NOT(Anime!T208=""),Anime!T208,"")</f>
        <v/>
      </c>
      <c r="D207" s="68" t="str">
        <f>IF(NOT(Anime!U208=""),Anime!U208,"")</f>
        <v/>
      </c>
      <c r="E207" s="131" t="str">
        <f>IF(NOT(Anime!W208=""),Anime!W208,"")</f>
        <v/>
      </c>
      <c r="F207" s="16" t="str">
        <f>IF(NOT(Anime!X208=""),Anime!X208,"")</f>
        <v/>
      </c>
      <c r="G207" s="16" t="str">
        <f>IF(NOT(Anime!Y208=""),Anime!Y208,"")</f>
        <v/>
      </c>
      <c r="H207" s="16" t="str">
        <f>IF(NOT(Anime!Z208=""),Anime!Z208,"")</f>
        <v/>
      </c>
      <c r="I207" s="16" t="str">
        <f>IF(NOT(Anime!AA208=""),Anime!AA208,"")</f>
        <v/>
      </c>
      <c r="J207" s="17" t="str">
        <f>IF(NOT(Anime!AB208=""),Anime!AB208,"")</f>
        <v/>
      </c>
      <c r="K207" s="18" t="str">
        <f>IF(NOT(Anime!AC208=""),Anime!AC208,"")</f>
        <v/>
      </c>
      <c r="L207" s="19" t="str">
        <f>IF(NOT(Anime!AD208=""),Anime!AD208,"")</f>
        <v/>
      </c>
      <c r="M207" s="72" t="str">
        <f>IF(NOT(Anime!AE208=""),Anime!AE208,"")</f>
        <v/>
      </c>
      <c r="N207" s="21" t="str">
        <f>IF(NOT(Anime!AF208=""),Anime!AF208,"")</f>
        <v/>
      </c>
      <c r="O207" s="129" t="str">
        <f>IF(NOT(Anime!AG208=""),Anime!AG208,"")</f>
        <v/>
      </c>
      <c r="P207" s="21" t="str">
        <f>IF(NOT(Anime!AH208=""),Anime!AH208,"")</f>
        <v/>
      </c>
      <c r="Q207" s="21" t="str">
        <f>IF(NOT(Anime!AI208=""),Anime!AI208,"")</f>
        <v/>
      </c>
      <c r="R207" s="66" t="str">
        <f>IF(NOT(Anime!AJ208=""),Anime!AJ208,"")</f>
        <v/>
      </c>
      <c r="S207" s="135" t="str">
        <f>IF(NOT(Anime!AK214=""),Anime!AK214,"")</f>
        <v/>
      </c>
    </row>
    <row r="208" spans="1:19" ht="16.5">
      <c r="A208" s="12" t="str">
        <f>IF(NOT(Anime!R209=""),Anime!R209,"")</f>
        <v/>
      </c>
      <c r="B208" s="14" t="str">
        <f>IF(NOT(Anime!S209=""),Anime!S209,"")</f>
        <v/>
      </c>
      <c r="C208" s="14" t="str">
        <f>IF(NOT(Anime!T209=""),Anime!T209,"")</f>
        <v/>
      </c>
      <c r="D208" s="68" t="str">
        <f>IF(NOT(Anime!U209=""),Anime!U209,"")</f>
        <v/>
      </c>
      <c r="E208" s="131" t="str">
        <f>IF(NOT(Anime!W209=""),Anime!W209,"")</f>
        <v/>
      </c>
      <c r="F208" s="16" t="str">
        <f>IF(NOT(Anime!X209=""),Anime!X209,"")</f>
        <v/>
      </c>
      <c r="G208" s="16" t="str">
        <f>IF(NOT(Anime!Y209=""),Anime!Y209,"")</f>
        <v/>
      </c>
      <c r="H208" s="16" t="str">
        <f>IF(NOT(Anime!Z209=""),Anime!Z209,"")</f>
        <v/>
      </c>
      <c r="I208" s="16" t="str">
        <f>IF(NOT(Anime!AA209=""),Anime!AA209,"")</f>
        <v/>
      </c>
      <c r="J208" s="17" t="str">
        <f>IF(NOT(Anime!AB209=""),Anime!AB209,"")</f>
        <v/>
      </c>
      <c r="K208" s="18" t="str">
        <f>IF(NOT(Anime!AC209=""),Anime!AC209,"")</f>
        <v/>
      </c>
      <c r="L208" s="19" t="str">
        <f>IF(NOT(Anime!AD209=""),Anime!AD209,"")</f>
        <v/>
      </c>
      <c r="M208" s="72" t="str">
        <f>IF(NOT(Anime!AE209=""),Anime!AE209,"")</f>
        <v/>
      </c>
      <c r="N208" s="21" t="str">
        <f>IF(NOT(Anime!AF209=""),Anime!AF209,"")</f>
        <v/>
      </c>
      <c r="O208" s="129" t="str">
        <f>IF(NOT(Anime!AG209=""),Anime!AG209,"")</f>
        <v/>
      </c>
      <c r="P208" s="21" t="str">
        <f>IF(NOT(Anime!AH209=""),Anime!AH209,"")</f>
        <v/>
      </c>
      <c r="Q208" s="21" t="str">
        <f>IF(NOT(Anime!AI209=""),Anime!AI209,"")</f>
        <v/>
      </c>
      <c r="R208" s="66" t="str">
        <f>IF(NOT(Anime!AJ209=""),Anime!AJ209,"")</f>
        <v/>
      </c>
      <c r="S208" s="135" t="str">
        <f>IF(NOT(Anime!AK215=""),Anime!AK215,"")</f>
        <v/>
      </c>
    </row>
    <row r="209" spans="1:19" ht="16.5">
      <c r="A209" s="12" t="str">
        <f>IF(NOT(Anime!R210=""),Anime!R210,"")</f>
        <v/>
      </c>
      <c r="B209" s="14" t="str">
        <f>IF(NOT(Anime!S210=""),Anime!S210,"")</f>
        <v/>
      </c>
      <c r="C209" s="14" t="str">
        <f>IF(NOT(Anime!T210=""),Anime!T210,"")</f>
        <v/>
      </c>
      <c r="D209" s="68" t="str">
        <f>IF(NOT(Anime!U210=""),Anime!U210,"")</f>
        <v/>
      </c>
      <c r="E209" s="131" t="str">
        <f>IF(NOT(Anime!W210=""),Anime!W210,"")</f>
        <v/>
      </c>
      <c r="F209" s="16" t="str">
        <f>IF(NOT(Anime!X210=""),Anime!X210,"")</f>
        <v/>
      </c>
      <c r="G209" s="16" t="str">
        <f>IF(NOT(Anime!Y210=""),Anime!Y210,"")</f>
        <v/>
      </c>
      <c r="H209" s="16" t="str">
        <f>IF(NOT(Anime!Z210=""),Anime!Z210,"")</f>
        <v/>
      </c>
      <c r="I209" s="16" t="str">
        <f>IF(NOT(Anime!AA210=""),Anime!AA210,"")</f>
        <v/>
      </c>
      <c r="J209" s="17" t="str">
        <f>IF(NOT(Anime!AB210=""),Anime!AB210,"")</f>
        <v/>
      </c>
      <c r="K209" s="18" t="str">
        <f>IF(NOT(Anime!AC210=""),Anime!AC210,"")</f>
        <v/>
      </c>
      <c r="L209" s="19" t="str">
        <f>IF(NOT(Anime!AD210=""),Anime!AD210,"")</f>
        <v/>
      </c>
      <c r="M209" s="72" t="str">
        <f>IF(NOT(Anime!AE210=""),Anime!AE210,"")</f>
        <v/>
      </c>
      <c r="N209" s="21" t="str">
        <f>IF(NOT(Anime!AF210=""),Anime!AF210,"")</f>
        <v/>
      </c>
      <c r="O209" s="129" t="str">
        <f>IF(NOT(Anime!AG210=""),Anime!AG210,"")</f>
        <v/>
      </c>
      <c r="P209" s="21" t="str">
        <f>IF(NOT(Anime!AH210=""),Anime!AH210,"")</f>
        <v/>
      </c>
      <c r="Q209" s="21" t="str">
        <f>IF(NOT(Anime!AI210=""),Anime!AI210,"")</f>
        <v/>
      </c>
      <c r="R209" s="66" t="str">
        <f>IF(NOT(Anime!AJ210=""),Anime!AJ210,"")</f>
        <v/>
      </c>
      <c r="S209" s="135" t="str">
        <f>IF(NOT(Anime!AK216=""),Anime!AK216,"")</f>
        <v/>
      </c>
    </row>
    <row r="210" spans="1:19" ht="16.5">
      <c r="A210" s="12" t="str">
        <f>IF(NOT(Anime!R211=""),Anime!R211,"")</f>
        <v/>
      </c>
      <c r="B210" s="14" t="str">
        <f>IF(NOT(Anime!S211=""),Anime!S211,"")</f>
        <v/>
      </c>
      <c r="C210" s="14" t="str">
        <f>IF(NOT(Anime!T211=""),Anime!T211,"")</f>
        <v/>
      </c>
      <c r="D210" s="68" t="str">
        <f>IF(NOT(Anime!U211=""),Anime!U211,"")</f>
        <v/>
      </c>
      <c r="E210" s="131" t="str">
        <f>IF(NOT(Anime!W211=""),Anime!W211,"")</f>
        <v/>
      </c>
      <c r="F210" s="16" t="str">
        <f>IF(NOT(Anime!X211=""),Anime!X211,"")</f>
        <v/>
      </c>
      <c r="G210" s="16" t="str">
        <f>IF(NOT(Anime!Y211=""),Anime!Y211,"")</f>
        <v/>
      </c>
      <c r="H210" s="16" t="str">
        <f>IF(NOT(Anime!Z211=""),Anime!Z211,"")</f>
        <v/>
      </c>
      <c r="I210" s="16" t="str">
        <f>IF(NOT(Anime!AA211=""),Anime!AA211,"")</f>
        <v/>
      </c>
      <c r="J210" s="17" t="str">
        <f>IF(NOT(Anime!AB211=""),Anime!AB211,"")</f>
        <v/>
      </c>
      <c r="K210" s="18" t="str">
        <f>IF(NOT(Anime!AC211=""),Anime!AC211,"")</f>
        <v/>
      </c>
      <c r="L210" s="19" t="str">
        <f>IF(NOT(Anime!AD211=""),Anime!AD211,"")</f>
        <v/>
      </c>
      <c r="M210" s="72" t="str">
        <f>IF(NOT(Anime!AE211=""),Anime!AE211,"")</f>
        <v/>
      </c>
      <c r="N210" s="21" t="str">
        <f>IF(NOT(Anime!AF211=""),Anime!AF211,"")</f>
        <v/>
      </c>
      <c r="O210" s="129" t="str">
        <f>IF(NOT(Anime!AG211=""),Anime!AG211,"")</f>
        <v/>
      </c>
      <c r="P210" s="21" t="str">
        <f>IF(NOT(Anime!AH211=""),Anime!AH211,"")</f>
        <v/>
      </c>
      <c r="Q210" s="21" t="str">
        <f>IF(NOT(Anime!AI211=""),Anime!AI211,"")</f>
        <v/>
      </c>
      <c r="R210" s="66" t="str">
        <f>IF(NOT(Anime!AJ211=""),Anime!AJ211,"")</f>
        <v/>
      </c>
      <c r="S210" s="135" t="str">
        <f>IF(NOT(Anime!AK217=""),Anime!AK217,"")</f>
        <v/>
      </c>
    </row>
    <row r="211" spans="1:19" ht="16.5">
      <c r="A211" s="12" t="str">
        <f>IF(NOT(Anime!R212=""),Anime!R212,"")</f>
        <v/>
      </c>
      <c r="B211" s="14" t="str">
        <f>IF(NOT(Anime!S212=""),Anime!S212,"")</f>
        <v/>
      </c>
      <c r="C211" s="14" t="str">
        <f>IF(NOT(Anime!T212=""),Anime!T212,"")</f>
        <v/>
      </c>
      <c r="D211" s="68" t="str">
        <f>IF(NOT(Anime!U212=""),Anime!U212,"")</f>
        <v/>
      </c>
      <c r="E211" s="131" t="str">
        <f>IF(NOT(Anime!W212=""),Anime!W212,"")</f>
        <v/>
      </c>
      <c r="F211" s="16" t="str">
        <f>IF(NOT(Anime!X212=""),Anime!X212,"")</f>
        <v/>
      </c>
      <c r="G211" s="16" t="str">
        <f>IF(NOT(Anime!Y212=""),Anime!Y212,"")</f>
        <v/>
      </c>
      <c r="H211" s="16" t="str">
        <f>IF(NOT(Anime!Z212=""),Anime!Z212,"")</f>
        <v/>
      </c>
      <c r="I211" s="16" t="str">
        <f>IF(NOT(Anime!AA212=""),Anime!AA212,"")</f>
        <v/>
      </c>
      <c r="J211" s="17" t="str">
        <f>IF(NOT(Anime!AB212=""),Anime!AB212,"")</f>
        <v/>
      </c>
      <c r="K211" s="18" t="str">
        <f>IF(NOT(Anime!AC212=""),Anime!AC212,"")</f>
        <v/>
      </c>
      <c r="L211" s="19" t="str">
        <f>IF(NOT(Anime!AD212=""),Anime!AD212,"")</f>
        <v/>
      </c>
      <c r="M211" s="72" t="str">
        <f>IF(NOT(Anime!AE212=""),Anime!AE212,"")</f>
        <v/>
      </c>
      <c r="N211" s="21" t="str">
        <f>IF(NOT(Anime!AF212=""),Anime!AF212,"")</f>
        <v/>
      </c>
      <c r="O211" s="129" t="str">
        <f>IF(NOT(Anime!AG212=""),Anime!AG212,"")</f>
        <v/>
      </c>
      <c r="P211" s="21" t="str">
        <f>IF(NOT(Anime!AH212=""),Anime!AH212,"")</f>
        <v/>
      </c>
      <c r="Q211" s="21" t="str">
        <f>IF(NOT(Anime!AI212=""),Anime!AI212,"")</f>
        <v/>
      </c>
      <c r="R211" s="66" t="str">
        <f>IF(NOT(Anime!AJ212=""),Anime!AJ212,"")</f>
        <v/>
      </c>
      <c r="S211" s="135" t="str">
        <f>IF(NOT(Anime!AK218=""),Anime!AK218,"")</f>
        <v/>
      </c>
    </row>
    <row r="212" spans="1:19" ht="16.5">
      <c r="A212" s="12" t="str">
        <f>IF(NOT(Anime!R213=""),Anime!R213,"")</f>
        <v/>
      </c>
      <c r="B212" s="14" t="str">
        <f>IF(NOT(Anime!S213=""),Anime!S213,"")</f>
        <v/>
      </c>
      <c r="C212" s="14" t="str">
        <f>IF(NOT(Anime!T213=""),Anime!T213,"")</f>
        <v/>
      </c>
      <c r="D212" s="68" t="str">
        <f>IF(NOT(Anime!U213=""),Anime!U213,"")</f>
        <v/>
      </c>
      <c r="E212" s="131" t="str">
        <f>IF(NOT(Anime!W213=""),Anime!W213,"")</f>
        <v/>
      </c>
      <c r="F212" s="16" t="str">
        <f>IF(NOT(Anime!X213=""),Anime!X213,"")</f>
        <v/>
      </c>
      <c r="G212" s="16" t="str">
        <f>IF(NOT(Anime!Y213=""),Anime!Y213,"")</f>
        <v/>
      </c>
      <c r="H212" s="16" t="str">
        <f>IF(NOT(Anime!Z213=""),Anime!Z213,"")</f>
        <v/>
      </c>
      <c r="I212" s="16" t="str">
        <f>IF(NOT(Anime!AA213=""),Anime!AA213,"")</f>
        <v/>
      </c>
      <c r="J212" s="17" t="str">
        <f>IF(NOT(Anime!AB213=""),Anime!AB213,"")</f>
        <v/>
      </c>
      <c r="K212" s="18" t="str">
        <f>IF(NOT(Anime!AC213=""),Anime!AC213,"")</f>
        <v/>
      </c>
      <c r="L212" s="19" t="str">
        <f>IF(NOT(Anime!AD213=""),Anime!AD213,"")</f>
        <v/>
      </c>
      <c r="M212" s="72" t="str">
        <f>IF(NOT(Anime!AE213=""),Anime!AE213,"")</f>
        <v/>
      </c>
      <c r="N212" s="21" t="str">
        <f>IF(NOT(Anime!AF213=""),Anime!AF213,"")</f>
        <v/>
      </c>
      <c r="O212" s="129" t="str">
        <f>IF(NOT(Anime!AG213=""),Anime!AG213,"")</f>
        <v/>
      </c>
      <c r="P212" s="21" t="str">
        <f>IF(NOT(Anime!AH213=""),Anime!AH213,"")</f>
        <v/>
      </c>
      <c r="Q212" s="21" t="str">
        <f>IF(NOT(Anime!AI213=""),Anime!AI213,"")</f>
        <v/>
      </c>
      <c r="R212" s="66" t="str">
        <f>IF(NOT(Anime!AJ213=""),Anime!AJ213,"")</f>
        <v/>
      </c>
      <c r="S212" s="135" t="str">
        <f>IF(NOT(Anime!AK219=""),Anime!AK219,"")</f>
        <v/>
      </c>
    </row>
    <row r="213" spans="1:19" ht="16.5">
      <c r="A213" s="12" t="str">
        <f>IF(NOT(Anime!R214=""),Anime!R214,"")</f>
        <v/>
      </c>
      <c r="B213" s="14" t="str">
        <f>IF(NOT(Anime!S214=""),Anime!S214,"")</f>
        <v/>
      </c>
      <c r="C213" s="14" t="str">
        <f>IF(NOT(Anime!T214=""),Anime!T214,"")</f>
        <v/>
      </c>
      <c r="D213" s="68" t="str">
        <f>IF(NOT(Anime!U214=""),Anime!U214,"")</f>
        <v/>
      </c>
      <c r="E213" s="131" t="str">
        <f>IF(NOT(Anime!W214=""),Anime!W214,"")</f>
        <v/>
      </c>
      <c r="F213" s="16" t="str">
        <f>IF(NOT(Anime!X214=""),Anime!X214,"")</f>
        <v/>
      </c>
      <c r="G213" s="16" t="str">
        <f>IF(NOT(Anime!Y214=""),Anime!Y214,"")</f>
        <v/>
      </c>
      <c r="H213" s="16" t="str">
        <f>IF(NOT(Anime!Z214=""),Anime!Z214,"")</f>
        <v/>
      </c>
      <c r="I213" s="16" t="str">
        <f>IF(NOT(Anime!AA214=""),Anime!AA214,"")</f>
        <v/>
      </c>
      <c r="J213" s="17" t="str">
        <f>IF(NOT(Anime!AB214=""),Anime!AB214,"")</f>
        <v/>
      </c>
      <c r="K213" s="18" t="str">
        <f>IF(NOT(Anime!AC214=""),Anime!AC214,"")</f>
        <v/>
      </c>
      <c r="L213" s="19" t="str">
        <f>IF(NOT(Anime!AD214=""),Anime!AD214,"")</f>
        <v/>
      </c>
      <c r="M213" s="72" t="str">
        <f>IF(NOT(Anime!AE214=""),Anime!AE214,"")</f>
        <v/>
      </c>
      <c r="N213" s="21" t="str">
        <f>IF(NOT(Anime!AF214=""),Anime!AF214,"")</f>
        <v/>
      </c>
      <c r="O213" s="129" t="str">
        <f>IF(NOT(Anime!AG214=""),Anime!AG214,"")</f>
        <v/>
      </c>
      <c r="P213" s="21" t="str">
        <f>IF(NOT(Anime!AH214=""),Anime!AH214,"")</f>
        <v/>
      </c>
      <c r="Q213" s="21" t="str">
        <f>IF(NOT(Anime!AI214=""),Anime!AI214,"")</f>
        <v/>
      </c>
      <c r="R213" s="66" t="str">
        <f>IF(NOT(Anime!AJ214=""),Anime!AJ214,"")</f>
        <v/>
      </c>
      <c r="S213" s="135" t="str">
        <f>IF(NOT(Anime!AK220=""),Anime!AK220,"")</f>
        <v/>
      </c>
    </row>
    <row r="214" spans="1:19" ht="16.5">
      <c r="A214" s="12" t="str">
        <f>IF(NOT(Anime!R215=""),Anime!R215,"")</f>
        <v/>
      </c>
      <c r="B214" s="14" t="str">
        <f>IF(NOT(Anime!S215=""),Anime!S215,"")</f>
        <v/>
      </c>
      <c r="C214" s="14" t="str">
        <f>IF(NOT(Anime!T215=""),Anime!T215,"")</f>
        <v/>
      </c>
      <c r="D214" s="68" t="str">
        <f>IF(NOT(Anime!U215=""),Anime!U215,"")</f>
        <v/>
      </c>
      <c r="E214" s="131" t="str">
        <f>IF(NOT(Anime!W215=""),Anime!W215,"")</f>
        <v/>
      </c>
      <c r="F214" s="16" t="str">
        <f>IF(NOT(Anime!X215=""),Anime!X215,"")</f>
        <v/>
      </c>
      <c r="G214" s="16" t="str">
        <f>IF(NOT(Anime!Y215=""),Anime!Y215,"")</f>
        <v/>
      </c>
      <c r="H214" s="16" t="str">
        <f>IF(NOT(Anime!Z215=""),Anime!Z215,"")</f>
        <v/>
      </c>
      <c r="I214" s="16" t="str">
        <f>IF(NOT(Anime!AA215=""),Anime!AA215,"")</f>
        <v/>
      </c>
      <c r="J214" s="17" t="str">
        <f>IF(NOT(Anime!AB215=""),Anime!AB215,"")</f>
        <v/>
      </c>
      <c r="K214" s="18" t="str">
        <f>IF(NOT(Anime!AC215=""),Anime!AC215,"")</f>
        <v/>
      </c>
      <c r="L214" s="19" t="str">
        <f>IF(NOT(Anime!AD215=""),Anime!AD215,"")</f>
        <v/>
      </c>
      <c r="M214" s="72" t="str">
        <f>IF(NOT(Anime!AE215=""),Anime!AE215,"")</f>
        <v/>
      </c>
      <c r="N214" s="21" t="str">
        <f>IF(NOT(Anime!AF215=""),Anime!AF215,"")</f>
        <v/>
      </c>
      <c r="O214" s="129" t="str">
        <f>IF(NOT(Anime!AG215=""),Anime!AG215,"")</f>
        <v/>
      </c>
      <c r="P214" s="21" t="str">
        <f>IF(NOT(Anime!AH215=""),Anime!AH215,"")</f>
        <v/>
      </c>
      <c r="Q214" s="21" t="str">
        <f>IF(NOT(Anime!AI215=""),Anime!AI215,"")</f>
        <v/>
      </c>
      <c r="R214" s="66" t="str">
        <f>IF(NOT(Anime!AJ215=""),Anime!AJ215,"")</f>
        <v/>
      </c>
      <c r="S214" s="135" t="str">
        <f>IF(NOT(Anime!AK221=""),Anime!AK221,"")</f>
        <v/>
      </c>
    </row>
    <row r="215" spans="1:19" ht="16.5">
      <c r="A215" s="12" t="str">
        <f>IF(NOT(Anime!R216=""),Anime!R216,"")</f>
        <v/>
      </c>
      <c r="B215" s="14" t="str">
        <f>IF(NOT(Anime!S216=""),Anime!S216,"")</f>
        <v/>
      </c>
      <c r="C215" s="14" t="str">
        <f>IF(NOT(Anime!T216=""),Anime!T216,"")</f>
        <v/>
      </c>
      <c r="D215" s="68" t="str">
        <f>IF(NOT(Anime!U216=""),Anime!U216,"")</f>
        <v/>
      </c>
      <c r="E215" s="131" t="str">
        <f>IF(NOT(Anime!W216=""),Anime!W216,"")</f>
        <v/>
      </c>
      <c r="F215" s="16" t="str">
        <f>IF(NOT(Anime!X216=""),Anime!X216,"")</f>
        <v/>
      </c>
      <c r="G215" s="16" t="str">
        <f>IF(NOT(Anime!Y216=""),Anime!Y216,"")</f>
        <v/>
      </c>
      <c r="H215" s="16" t="str">
        <f>IF(NOT(Anime!Z216=""),Anime!Z216,"")</f>
        <v/>
      </c>
      <c r="I215" s="16" t="str">
        <f>IF(NOT(Anime!AA216=""),Anime!AA216,"")</f>
        <v/>
      </c>
      <c r="J215" s="17" t="str">
        <f>IF(NOT(Anime!AB216=""),Anime!AB216,"")</f>
        <v/>
      </c>
      <c r="K215" s="18" t="str">
        <f>IF(NOT(Anime!AC216=""),Anime!AC216,"")</f>
        <v/>
      </c>
      <c r="L215" s="19" t="str">
        <f>IF(NOT(Anime!AD216=""),Anime!AD216,"")</f>
        <v/>
      </c>
      <c r="M215" s="72" t="str">
        <f>IF(NOT(Anime!AE216=""),Anime!AE216,"")</f>
        <v/>
      </c>
      <c r="N215" s="21" t="str">
        <f>IF(NOT(Anime!AF216=""),Anime!AF216,"")</f>
        <v/>
      </c>
      <c r="O215" s="129" t="str">
        <f>IF(NOT(Anime!AG216=""),Anime!AG216,"")</f>
        <v/>
      </c>
      <c r="P215" s="21" t="str">
        <f>IF(NOT(Anime!AH216=""),Anime!AH216,"")</f>
        <v/>
      </c>
      <c r="Q215" s="21" t="str">
        <f>IF(NOT(Anime!AI216=""),Anime!AI216,"")</f>
        <v/>
      </c>
      <c r="R215" s="66" t="str">
        <f>IF(NOT(Anime!AJ216=""),Anime!AJ216,"")</f>
        <v/>
      </c>
      <c r="S215" s="135" t="str">
        <f>IF(NOT(Anime!AK222=""),Anime!AK222,"")</f>
        <v/>
      </c>
    </row>
    <row r="216" spans="1:19" ht="16.5">
      <c r="A216" s="12" t="str">
        <f>IF(NOT(Anime!R217=""),Anime!R217,"")</f>
        <v/>
      </c>
      <c r="B216" s="14" t="str">
        <f>IF(NOT(Anime!S217=""),Anime!S217,"")</f>
        <v/>
      </c>
      <c r="C216" s="14" t="str">
        <f>IF(NOT(Anime!T217=""),Anime!T217,"")</f>
        <v/>
      </c>
      <c r="D216" s="68" t="str">
        <f>IF(NOT(Anime!U217=""),Anime!U217,"")</f>
        <v/>
      </c>
      <c r="E216" s="131" t="str">
        <f>IF(NOT(Anime!W217=""),Anime!W217,"")</f>
        <v/>
      </c>
      <c r="F216" s="16" t="str">
        <f>IF(NOT(Anime!X217=""),Anime!X217,"")</f>
        <v/>
      </c>
      <c r="G216" s="16" t="str">
        <f>IF(NOT(Anime!Y217=""),Anime!Y217,"")</f>
        <v/>
      </c>
      <c r="H216" s="16" t="str">
        <f>IF(NOT(Anime!Z217=""),Anime!Z217,"")</f>
        <v/>
      </c>
      <c r="I216" s="16" t="str">
        <f>IF(NOT(Anime!AA217=""),Anime!AA217,"")</f>
        <v/>
      </c>
      <c r="J216" s="17" t="str">
        <f>IF(NOT(Anime!AB217=""),Anime!AB217,"")</f>
        <v/>
      </c>
      <c r="K216" s="18" t="str">
        <f>IF(NOT(Anime!AC217=""),Anime!AC217,"")</f>
        <v/>
      </c>
      <c r="L216" s="19" t="str">
        <f>IF(NOT(Anime!AD217=""),Anime!AD217,"")</f>
        <v/>
      </c>
      <c r="M216" s="72" t="str">
        <f>IF(NOT(Anime!AE217=""),Anime!AE217,"")</f>
        <v/>
      </c>
      <c r="N216" s="21" t="str">
        <f>IF(NOT(Anime!AF217=""),Anime!AF217,"")</f>
        <v/>
      </c>
      <c r="O216" s="129" t="str">
        <f>IF(NOT(Anime!AG217=""),Anime!AG217,"")</f>
        <v/>
      </c>
      <c r="P216" s="21" t="str">
        <f>IF(NOT(Anime!AH217=""),Anime!AH217,"")</f>
        <v/>
      </c>
      <c r="Q216" s="21" t="str">
        <f>IF(NOT(Anime!AI217=""),Anime!AI217,"")</f>
        <v/>
      </c>
      <c r="R216" s="66" t="str">
        <f>IF(NOT(Anime!AJ217=""),Anime!AJ217,"")</f>
        <v/>
      </c>
      <c r="S216" s="135" t="str">
        <f>IF(NOT(Anime!AK223=""),Anime!AK223,"")</f>
        <v/>
      </c>
    </row>
    <row r="217" spans="1:19" ht="16.5">
      <c r="A217" s="12" t="str">
        <f>IF(NOT(Anime!R218=""),Anime!R218,"")</f>
        <v/>
      </c>
      <c r="B217" s="14" t="str">
        <f>IF(NOT(Anime!S218=""),Anime!S218,"")</f>
        <v/>
      </c>
      <c r="C217" s="14" t="str">
        <f>IF(NOT(Anime!T218=""),Anime!T218,"")</f>
        <v/>
      </c>
      <c r="D217" s="68" t="str">
        <f>IF(NOT(Anime!U218=""),Anime!U218,"")</f>
        <v/>
      </c>
      <c r="E217" s="131" t="str">
        <f>IF(NOT(Anime!W218=""),Anime!W218,"")</f>
        <v/>
      </c>
      <c r="F217" s="16" t="str">
        <f>IF(NOT(Anime!X218=""),Anime!X218,"")</f>
        <v/>
      </c>
      <c r="G217" s="16" t="str">
        <f>IF(NOT(Anime!Y218=""),Anime!Y218,"")</f>
        <v/>
      </c>
      <c r="H217" s="16" t="str">
        <f>IF(NOT(Anime!Z218=""),Anime!Z218,"")</f>
        <v/>
      </c>
      <c r="I217" s="16" t="str">
        <f>IF(NOT(Anime!AA218=""),Anime!AA218,"")</f>
        <v/>
      </c>
      <c r="J217" s="17" t="str">
        <f>IF(NOT(Anime!AB218=""),Anime!AB218,"")</f>
        <v/>
      </c>
      <c r="K217" s="18" t="str">
        <f>IF(NOT(Anime!AC218=""),Anime!AC218,"")</f>
        <v/>
      </c>
      <c r="L217" s="19" t="str">
        <f>IF(NOT(Anime!AD218=""),Anime!AD218,"")</f>
        <v/>
      </c>
      <c r="M217" s="72" t="str">
        <f>IF(NOT(Anime!AE218=""),Anime!AE218,"")</f>
        <v/>
      </c>
      <c r="N217" s="21" t="str">
        <f>IF(NOT(Anime!AF218=""),Anime!AF218,"")</f>
        <v/>
      </c>
      <c r="O217" s="129" t="str">
        <f>IF(NOT(Anime!AG218=""),Anime!AG218,"")</f>
        <v/>
      </c>
      <c r="P217" s="21" t="str">
        <f>IF(NOT(Anime!AH218=""),Anime!AH218,"")</f>
        <v/>
      </c>
      <c r="Q217" s="21" t="str">
        <f>IF(NOT(Anime!AI218=""),Anime!AI218,"")</f>
        <v/>
      </c>
      <c r="R217" s="66" t="str">
        <f>IF(NOT(Anime!AJ218=""),Anime!AJ218,"")</f>
        <v/>
      </c>
      <c r="S217" s="135" t="str">
        <f>IF(NOT(Anime!AK224=""),Anime!AK224,"")</f>
        <v/>
      </c>
    </row>
    <row r="218" spans="1:19" ht="16.5">
      <c r="A218" s="12" t="str">
        <f>IF(NOT(Anime!R219=""),Anime!R219,"")</f>
        <v/>
      </c>
      <c r="B218" s="14" t="str">
        <f>IF(NOT(Anime!S219=""),Anime!S219,"")</f>
        <v/>
      </c>
      <c r="C218" s="14" t="str">
        <f>IF(NOT(Anime!T219=""),Anime!T219,"")</f>
        <v/>
      </c>
      <c r="D218" s="68" t="str">
        <f>IF(NOT(Anime!U219=""),Anime!U219,"")</f>
        <v/>
      </c>
      <c r="E218" s="131" t="str">
        <f>IF(NOT(Anime!W219=""),Anime!W219,"")</f>
        <v/>
      </c>
      <c r="F218" s="16" t="str">
        <f>IF(NOT(Anime!X219=""),Anime!X219,"")</f>
        <v/>
      </c>
      <c r="G218" s="16" t="str">
        <f>IF(NOT(Anime!Y219=""),Anime!Y219,"")</f>
        <v/>
      </c>
      <c r="H218" s="16" t="str">
        <f>IF(NOT(Anime!Z219=""),Anime!Z219,"")</f>
        <v/>
      </c>
      <c r="I218" s="16" t="str">
        <f>IF(NOT(Anime!AA219=""),Anime!AA219,"")</f>
        <v/>
      </c>
      <c r="J218" s="17" t="str">
        <f>IF(NOT(Anime!AB219=""),Anime!AB219,"")</f>
        <v/>
      </c>
      <c r="K218" s="18" t="str">
        <f>IF(NOT(Anime!AC219=""),Anime!AC219,"")</f>
        <v/>
      </c>
      <c r="L218" s="19" t="str">
        <f>IF(NOT(Anime!AD219=""),Anime!AD219,"")</f>
        <v/>
      </c>
      <c r="M218" s="72" t="str">
        <f>IF(NOT(Anime!AE219=""),Anime!AE219,"")</f>
        <v/>
      </c>
      <c r="N218" s="21" t="str">
        <f>IF(NOT(Anime!AF219=""),Anime!AF219,"")</f>
        <v/>
      </c>
      <c r="O218" s="129" t="str">
        <f>IF(NOT(Anime!AG219=""),Anime!AG219,"")</f>
        <v/>
      </c>
      <c r="P218" s="21" t="str">
        <f>IF(NOT(Anime!AH219=""),Anime!AH219,"")</f>
        <v/>
      </c>
      <c r="Q218" s="21" t="str">
        <f>IF(NOT(Anime!AI219=""),Anime!AI219,"")</f>
        <v/>
      </c>
      <c r="R218" s="66" t="str">
        <f>IF(NOT(Anime!AJ219=""),Anime!AJ219,"")</f>
        <v/>
      </c>
      <c r="S218" s="135" t="str">
        <f>IF(NOT(Anime!AK225=""),Anime!AK225,"")</f>
        <v/>
      </c>
    </row>
    <row r="219" spans="1:19" ht="16.5">
      <c r="A219" s="12" t="str">
        <f>IF(NOT(Anime!R220=""),Anime!R220,"")</f>
        <v/>
      </c>
      <c r="B219" s="14" t="str">
        <f>IF(NOT(Anime!S220=""),Anime!S220,"")</f>
        <v/>
      </c>
      <c r="C219" s="14" t="str">
        <f>IF(NOT(Anime!T220=""),Anime!T220,"")</f>
        <v/>
      </c>
      <c r="D219" s="68" t="str">
        <f>IF(NOT(Anime!U220=""),Anime!U220,"")</f>
        <v/>
      </c>
      <c r="E219" s="131" t="str">
        <f>IF(NOT(Anime!W220=""),Anime!W220,"")</f>
        <v/>
      </c>
      <c r="F219" s="16" t="str">
        <f>IF(NOT(Anime!X220=""),Anime!X220,"")</f>
        <v/>
      </c>
      <c r="G219" s="16" t="str">
        <f>IF(NOT(Anime!Y220=""),Anime!Y220,"")</f>
        <v/>
      </c>
      <c r="H219" s="16" t="str">
        <f>IF(NOT(Anime!Z220=""),Anime!Z220,"")</f>
        <v/>
      </c>
      <c r="I219" s="16" t="str">
        <f>IF(NOT(Anime!AA220=""),Anime!AA220,"")</f>
        <v/>
      </c>
      <c r="J219" s="17" t="str">
        <f>IF(NOT(Anime!AB220=""),Anime!AB220,"")</f>
        <v/>
      </c>
      <c r="K219" s="18" t="str">
        <f>IF(NOT(Anime!AC220=""),Anime!AC220,"")</f>
        <v/>
      </c>
      <c r="L219" s="19" t="str">
        <f>IF(NOT(Anime!AD220=""),Anime!AD220,"")</f>
        <v/>
      </c>
      <c r="M219" s="72" t="str">
        <f>IF(NOT(Anime!AE220=""),Anime!AE220,"")</f>
        <v/>
      </c>
      <c r="N219" s="21" t="str">
        <f>IF(NOT(Anime!AF220=""),Anime!AF220,"")</f>
        <v/>
      </c>
      <c r="O219" s="129" t="str">
        <f>IF(NOT(Anime!AG220=""),Anime!AG220,"")</f>
        <v/>
      </c>
      <c r="P219" s="21" t="str">
        <f>IF(NOT(Anime!AH220=""),Anime!AH220,"")</f>
        <v/>
      </c>
      <c r="Q219" s="21" t="str">
        <f>IF(NOT(Anime!AI220=""),Anime!AI220,"")</f>
        <v/>
      </c>
      <c r="R219" s="66" t="str">
        <f>IF(NOT(Anime!AJ220=""),Anime!AJ220,"")</f>
        <v/>
      </c>
      <c r="S219" s="135" t="str">
        <f>IF(NOT(Anime!AK226=""),Anime!AK226,"")</f>
        <v/>
      </c>
    </row>
    <row r="220" spans="1:19" ht="16.5">
      <c r="A220" s="12" t="str">
        <f>IF(NOT(Anime!R221=""),Anime!R221,"")</f>
        <v/>
      </c>
      <c r="B220" s="14" t="str">
        <f>IF(NOT(Anime!S221=""),Anime!S221,"")</f>
        <v/>
      </c>
      <c r="C220" s="14" t="str">
        <f>IF(NOT(Anime!T221=""),Anime!T221,"")</f>
        <v/>
      </c>
      <c r="D220" s="68" t="str">
        <f>IF(NOT(Anime!U221=""),Anime!U221,"")</f>
        <v/>
      </c>
      <c r="E220" s="131" t="str">
        <f>IF(NOT(Anime!W221=""),Anime!W221,"")</f>
        <v/>
      </c>
      <c r="F220" s="16" t="str">
        <f>IF(NOT(Anime!X221=""),Anime!X221,"")</f>
        <v/>
      </c>
      <c r="G220" s="16" t="str">
        <f>IF(NOT(Anime!Y221=""),Anime!Y221,"")</f>
        <v/>
      </c>
      <c r="H220" s="16" t="str">
        <f>IF(NOT(Anime!Z221=""),Anime!Z221,"")</f>
        <v/>
      </c>
      <c r="I220" s="16" t="str">
        <f>IF(NOT(Anime!AA221=""),Anime!AA221,"")</f>
        <v/>
      </c>
      <c r="J220" s="17" t="str">
        <f>IF(NOT(Anime!AB221=""),Anime!AB221,"")</f>
        <v/>
      </c>
      <c r="K220" s="18" t="str">
        <f>IF(NOT(Anime!AC221=""),Anime!AC221,"")</f>
        <v/>
      </c>
      <c r="L220" s="19" t="str">
        <f>IF(NOT(Anime!AD221=""),Anime!AD221,"")</f>
        <v/>
      </c>
      <c r="M220" s="72" t="str">
        <f>IF(NOT(Anime!AE221=""),Anime!AE221,"")</f>
        <v/>
      </c>
      <c r="N220" s="21" t="str">
        <f>IF(NOT(Anime!AF221=""),Anime!AF221,"")</f>
        <v/>
      </c>
      <c r="O220" s="129" t="str">
        <f>IF(NOT(Anime!AG221=""),Anime!AG221,"")</f>
        <v/>
      </c>
      <c r="P220" s="21" t="str">
        <f>IF(NOT(Anime!AH221=""),Anime!AH221,"")</f>
        <v/>
      </c>
      <c r="Q220" s="21" t="str">
        <f>IF(NOT(Anime!AI221=""),Anime!AI221,"")</f>
        <v/>
      </c>
      <c r="R220" s="66" t="str">
        <f>IF(NOT(Anime!AJ221=""),Anime!AJ221,"")</f>
        <v/>
      </c>
      <c r="S220" s="135" t="str">
        <f>IF(NOT(Anime!AK227=""),Anime!AK227,"")</f>
        <v/>
      </c>
    </row>
    <row r="221" spans="1:19" ht="16.5">
      <c r="A221" s="12" t="str">
        <f>IF(NOT(Anime!R222=""),Anime!R222,"")</f>
        <v/>
      </c>
      <c r="B221" s="14" t="str">
        <f>IF(NOT(Anime!S222=""),Anime!S222,"")</f>
        <v/>
      </c>
      <c r="C221" s="14" t="str">
        <f>IF(NOT(Anime!T222=""),Anime!T222,"")</f>
        <v/>
      </c>
      <c r="D221" s="68" t="str">
        <f>IF(NOT(Anime!U222=""),Anime!U222,"")</f>
        <v/>
      </c>
      <c r="E221" s="131" t="str">
        <f>IF(NOT(Anime!W222=""),Anime!W222,"")</f>
        <v/>
      </c>
      <c r="F221" s="16" t="str">
        <f>IF(NOT(Anime!X222=""),Anime!X222,"")</f>
        <v/>
      </c>
      <c r="G221" s="16" t="str">
        <f>IF(NOT(Anime!Y222=""),Anime!Y222,"")</f>
        <v/>
      </c>
      <c r="H221" s="16" t="str">
        <f>IF(NOT(Anime!Z222=""),Anime!Z222,"")</f>
        <v/>
      </c>
      <c r="I221" s="16" t="str">
        <f>IF(NOT(Anime!AA222=""),Anime!AA222,"")</f>
        <v/>
      </c>
      <c r="J221" s="17" t="str">
        <f>IF(NOT(Anime!AB222=""),Anime!AB222,"")</f>
        <v/>
      </c>
      <c r="K221" s="18" t="str">
        <f>IF(NOT(Anime!AC222=""),Anime!AC222,"")</f>
        <v/>
      </c>
      <c r="L221" s="19" t="str">
        <f>IF(NOT(Anime!AD222=""),Anime!AD222,"")</f>
        <v/>
      </c>
      <c r="M221" s="72" t="str">
        <f>IF(NOT(Anime!AE222=""),Anime!AE222,"")</f>
        <v/>
      </c>
      <c r="N221" s="21" t="str">
        <f>IF(NOT(Anime!AF222=""),Anime!AF222,"")</f>
        <v/>
      </c>
      <c r="O221" s="129" t="str">
        <f>IF(NOT(Anime!AG222=""),Anime!AG222,"")</f>
        <v/>
      </c>
      <c r="P221" s="21" t="str">
        <f>IF(NOT(Anime!AH222=""),Anime!AH222,"")</f>
        <v/>
      </c>
      <c r="Q221" s="21" t="str">
        <f>IF(NOT(Anime!AI222=""),Anime!AI222,"")</f>
        <v/>
      </c>
      <c r="R221" s="66" t="str">
        <f>IF(NOT(Anime!AJ222=""),Anime!AJ222,"")</f>
        <v/>
      </c>
      <c r="S221" s="135" t="str">
        <f>IF(NOT(Anime!AK228=""),Anime!AK228,"")</f>
        <v/>
      </c>
    </row>
    <row r="222" spans="1:19" ht="16.5">
      <c r="A222" s="12" t="str">
        <f>IF(NOT(Anime!R223=""),Anime!R223,"")</f>
        <v/>
      </c>
      <c r="B222" s="14" t="str">
        <f>IF(NOT(Anime!S223=""),Anime!S223,"")</f>
        <v/>
      </c>
      <c r="C222" s="14" t="str">
        <f>IF(NOT(Anime!T223=""),Anime!T223,"")</f>
        <v/>
      </c>
      <c r="D222" s="68" t="str">
        <f>IF(NOT(Anime!U223=""),Anime!U223,"")</f>
        <v/>
      </c>
      <c r="E222" s="131" t="str">
        <f>IF(NOT(Anime!W223=""),Anime!W223,"")</f>
        <v/>
      </c>
      <c r="F222" s="16" t="str">
        <f>IF(NOT(Anime!X223=""),Anime!X223,"")</f>
        <v/>
      </c>
      <c r="G222" s="16" t="str">
        <f>IF(NOT(Anime!Y223=""),Anime!Y223,"")</f>
        <v/>
      </c>
      <c r="H222" s="16" t="str">
        <f>IF(NOT(Anime!Z223=""),Anime!Z223,"")</f>
        <v/>
      </c>
      <c r="I222" s="16" t="str">
        <f>IF(NOT(Anime!AA223=""),Anime!AA223,"")</f>
        <v/>
      </c>
      <c r="J222" s="17" t="str">
        <f>IF(NOT(Anime!AB223=""),Anime!AB223,"")</f>
        <v/>
      </c>
      <c r="K222" s="18" t="str">
        <f>IF(NOT(Anime!AC223=""),Anime!AC223,"")</f>
        <v/>
      </c>
      <c r="L222" s="19" t="str">
        <f>IF(NOT(Anime!AD223=""),Anime!AD223,"")</f>
        <v/>
      </c>
      <c r="M222" s="72" t="str">
        <f>IF(NOT(Anime!AE223=""),Anime!AE223,"")</f>
        <v/>
      </c>
      <c r="N222" s="21" t="str">
        <f>IF(NOT(Anime!AF223=""),Anime!AF223,"")</f>
        <v/>
      </c>
      <c r="O222" s="129" t="str">
        <f>IF(NOT(Anime!AG223=""),Anime!AG223,"")</f>
        <v/>
      </c>
      <c r="P222" s="21" t="str">
        <f>IF(NOT(Anime!AH223=""),Anime!AH223,"")</f>
        <v/>
      </c>
      <c r="Q222" s="21" t="str">
        <f>IF(NOT(Anime!AI223=""),Anime!AI223,"")</f>
        <v/>
      </c>
      <c r="R222" s="66" t="str">
        <f>IF(NOT(Anime!AJ223=""),Anime!AJ223,"")</f>
        <v/>
      </c>
      <c r="S222" s="135" t="str">
        <f>IF(NOT(Anime!AK229=""),Anime!AK229,"")</f>
        <v/>
      </c>
    </row>
    <row r="223" spans="1:19" ht="16.5">
      <c r="A223" s="12" t="str">
        <f>IF(NOT(Anime!R224=""),Anime!R224,"")</f>
        <v/>
      </c>
      <c r="B223" s="14" t="str">
        <f>IF(NOT(Anime!S224=""),Anime!S224,"")</f>
        <v/>
      </c>
      <c r="C223" s="14" t="str">
        <f>IF(NOT(Anime!T224=""),Anime!T224,"")</f>
        <v/>
      </c>
      <c r="D223" s="68" t="str">
        <f>IF(NOT(Anime!U224=""),Anime!U224,"")</f>
        <v/>
      </c>
      <c r="E223" s="131" t="str">
        <f>IF(NOT(Anime!W224=""),Anime!W224,"")</f>
        <v/>
      </c>
      <c r="F223" s="16" t="str">
        <f>IF(NOT(Anime!X224=""),Anime!X224,"")</f>
        <v/>
      </c>
      <c r="G223" s="16" t="str">
        <f>IF(NOT(Anime!Y224=""),Anime!Y224,"")</f>
        <v/>
      </c>
      <c r="H223" s="16" t="str">
        <f>IF(NOT(Anime!Z224=""),Anime!Z224,"")</f>
        <v/>
      </c>
      <c r="I223" s="16" t="str">
        <f>IF(NOT(Anime!AA224=""),Anime!AA224,"")</f>
        <v/>
      </c>
      <c r="J223" s="17" t="str">
        <f>IF(NOT(Anime!AB224=""),Anime!AB224,"")</f>
        <v/>
      </c>
      <c r="K223" s="18" t="str">
        <f>IF(NOT(Anime!AC224=""),Anime!AC224,"")</f>
        <v/>
      </c>
      <c r="L223" s="19" t="str">
        <f>IF(NOT(Anime!AD224=""),Anime!AD224,"")</f>
        <v/>
      </c>
      <c r="M223" s="72" t="str">
        <f>IF(NOT(Anime!AE224=""),Anime!AE224,"")</f>
        <v/>
      </c>
      <c r="N223" s="21" t="str">
        <f>IF(NOT(Anime!AF224=""),Anime!AF224,"")</f>
        <v/>
      </c>
      <c r="O223" s="129" t="str">
        <f>IF(NOT(Anime!AG224=""),Anime!AG224,"")</f>
        <v/>
      </c>
      <c r="P223" s="21" t="str">
        <f>IF(NOT(Anime!AH224=""),Anime!AH224,"")</f>
        <v/>
      </c>
      <c r="Q223" s="21" t="str">
        <f>IF(NOT(Anime!AI224=""),Anime!AI224,"")</f>
        <v/>
      </c>
      <c r="R223" s="66" t="str">
        <f>IF(NOT(Anime!AJ224=""),Anime!AJ224,"")</f>
        <v/>
      </c>
      <c r="S223" s="135" t="str">
        <f>IF(NOT(Anime!AK230=""),Anime!AK230,"")</f>
        <v/>
      </c>
    </row>
    <row r="224" spans="1:19" ht="16.5">
      <c r="A224" s="12" t="str">
        <f>IF(NOT(Anime!R225=""),Anime!R225,"")</f>
        <v/>
      </c>
      <c r="B224" s="14" t="str">
        <f>IF(NOT(Anime!S225=""),Anime!S225,"")</f>
        <v/>
      </c>
      <c r="C224" s="14" t="str">
        <f>IF(NOT(Anime!T225=""),Anime!T225,"")</f>
        <v/>
      </c>
      <c r="D224" s="68" t="str">
        <f>IF(NOT(Anime!U225=""),Anime!U225,"")</f>
        <v/>
      </c>
      <c r="E224" s="131" t="str">
        <f>IF(NOT(Anime!W225=""),Anime!W225,"")</f>
        <v/>
      </c>
      <c r="F224" s="16" t="str">
        <f>IF(NOT(Anime!X225=""),Anime!X225,"")</f>
        <v/>
      </c>
      <c r="G224" s="16" t="str">
        <f>IF(NOT(Anime!Y225=""),Anime!Y225,"")</f>
        <v/>
      </c>
      <c r="H224" s="16" t="str">
        <f>IF(NOT(Anime!Z225=""),Anime!Z225,"")</f>
        <v/>
      </c>
      <c r="I224" s="16" t="str">
        <f>IF(NOT(Anime!AA225=""),Anime!AA225,"")</f>
        <v/>
      </c>
      <c r="J224" s="17" t="str">
        <f>IF(NOT(Anime!AB225=""),Anime!AB225,"")</f>
        <v/>
      </c>
      <c r="K224" s="18" t="str">
        <f>IF(NOT(Anime!AC225=""),Anime!AC225,"")</f>
        <v/>
      </c>
      <c r="L224" s="19" t="str">
        <f>IF(NOT(Anime!AD225=""),Anime!AD225,"")</f>
        <v/>
      </c>
      <c r="M224" s="72" t="str">
        <f>IF(NOT(Anime!AE225=""),Anime!AE225,"")</f>
        <v/>
      </c>
      <c r="N224" s="21" t="str">
        <f>IF(NOT(Anime!AF225=""),Anime!AF225,"")</f>
        <v/>
      </c>
      <c r="O224" s="129" t="str">
        <f>IF(NOT(Anime!AG225=""),Anime!AG225,"")</f>
        <v/>
      </c>
      <c r="P224" s="21" t="str">
        <f>IF(NOT(Anime!AH225=""),Anime!AH225,"")</f>
        <v/>
      </c>
      <c r="Q224" s="21" t="str">
        <f>IF(NOT(Anime!AI225=""),Anime!AI225,"")</f>
        <v/>
      </c>
      <c r="R224" s="66" t="str">
        <f>IF(NOT(Anime!AJ225=""),Anime!AJ225,"")</f>
        <v/>
      </c>
      <c r="S224" s="135" t="str">
        <f>IF(NOT(Anime!AK231=""),Anime!AK231,"")</f>
        <v/>
      </c>
    </row>
    <row r="225" spans="1:19" ht="16.5">
      <c r="A225" s="12" t="str">
        <f>IF(NOT(Anime!R226=""),Anime!R226,"")</f>
        <v/>
      </c>
      <c r="B225" s="14" t="str">
        <f>IF(NOT(Anime!S226=""),Anime!S226,"")</f>
        <v/>
      </c>
      <c r="C225" s="14" t="str">
        <f>IF(NOT(Anime!T226=""),Anime!T226,"")</f>
        <v/>
      </c>
      <c r="D225" s="68" t="str">
        <f>IF(NOT(Anime!U226=""),Anime!U226,"")</f>
        <v/>
      </c>
      <c r="E225" s="131" t="str">
        <f>IF(NOT(Anime!W226=""),Anime!W226,"")</f>
        <v/>
      </c>
      <c r="F225" s="16" t="str">
        <f>IF(NOT(Anime!X226=""),Anime!X226,"")</f>
        <v/>
      </c>
      <c r="G225" s="16" t="str">
        <f>IF(NOT(Anime!Y226=""),Anime!Y226,"")</f>
        <v/>
      </c>
      <c r="H225" s="16" t="str">
        <f>IF(NOT(Anime!Z226=""),Anime!Z226,"")</f>
        <v/>
      </c>
      <c r="I225" s="16" t="str">
        <f>IF(NOT(Anime!AA226=""),Anime!AA226,"")</f>
        <v/>
      </c>
      <c r="J225" s="17" t="str">
        <f>IF(NOT(Anime!AB226=""),Anime!AB226,"")</f>
        <v/>
      </c>
      <c r="K225" s="18" t="str">
        <f>IF(NOT(Anime!AC226=""),Anime!AC226,"")</f>
        <v/>
      </c>
      <c r="L225" s="19" t="str">
        <f>IF(NOT(Anime!AD226=""),Anime!AD226,"")</f>
        <v/>
      </c>
      <c r="M225" s="72" t="str">
        <f>IF(NOT(Anime!AE226=""),Anime!AE226,"")</f>
        <v/>
      </c>
      <c r="N225" s="21" t="str">
        <f>IF(NOT(Anime!AF226=""),Anime!AF226,"")</f>
        <v/>
      </c>
      <c r="O225" s="129" t="str">
        <f>IF(NOT(Anime!AG226=""),Anime!AG226,"")</f>
        <v/>
      </c>
      <c r="P225" s="21" t="str">
        <f>IF(NOT(Anime!AH226=""),Anime!AH226,"")</f>
        <v/>
      </c>
      <c r="Q225" s="21" t="str">
        <f>IF(NOT(Anime!AI226=""),Anime!AI226,"")</f>
        <v/>
      </c>
      <c r="R225" s="66" t="str">
        <f>IF(NOT(Anime!AJ226=""),Anime!AJ226,"")</f>
        <v/>
      </c>
      <c r="S225" s="135" t="str">
        <f>IF(NOT(Anime!AK232=""),Anime!AK232,"")</f>
        <v/>
      </c>
    </row>
    <row r="226" spans="1:19" ht="16.5">
      <c r="A226" s="12" t="str">
        <f>IF(NOT(Anime!R227=""),Anime!R227,"")</f>
        <v/>
      </c>
      <c r="B226" s="14" t="str">
        <f>IF(NOT(Anime!S227=""),Anime!S227,"")</f>
        <v/>
      </c>
      <c r="C226" s="14" t="str">
        <f>IF(NOT(Anime!T227=""),Anime!T227,"")</f>
        <v/>
      </c>
      <c r="D226" s="68" t="str">
        <f>IF(NOT(Anime!U227=""),Anime!U227,"")</f>
        <v/>
      </c>
      <c r="E226" s="131" t="str">
        <f>IF(NOT(Anime!W227=""),Anime!W227,"")</f>
        <v/>
      </c>
      <c r="F226" s="16" t="str">
        <f>IF(NOT(Anime!X227=""),Anime!X227,"")</f>
        <v/>
      </c>
      <c r="G226" s="16" t="str">
        <f>IF(NOT(Anime!Y227=""),Anime!Y227,"")</f>
        <v/>
      </c>
      <c r="H226" s="16" t="str">
        <f>IF(NOT(Anime!Z227=""),Anime!Z227,"")</f>
        <v/>
      </c>
      <c r="I226" s="16" t="str">
        <f>IF(NOT(Anime!AA227=""),Anime!AA227,"")</f>
        <v/>
      </c>
      <c r="J226" s="17" t="str">
        <f>IF(NOT(Anime!AB227=""),Anime!AB227,"")</f>
        <v/>
      </c>
      <c r="K226" s="18" t="str">
        <f>IF(NOT(Anime!AC227=""),Anime!AC227,"")</f>
        <v/>
      </c>
      <c r="L226" s="19" t="str">
        <f>IF(NOT(Anime!AD227=""),Anime!AD227,"")</f>
        <v/>
      </c>
      <c r="M226" s="72" t="str">
        <f>IF(NOT(Anime!AE227=""),Anime!AE227,"")</f>
        <v/>
      </c>
      <c r="N226" s="21" t="str">
        <f>IF(NOT(Anime!AF227=""),Anime!AF227,"")</f>
        <v/>
      </c>
      <c r="O226" s="129" t="str">
        <f>IF(NOT(Anime!AG227=""),Anime!AG227,"")</f>
        <v/>
      </c>
      <c r="P226" s="21" t="str">
        <f>IF(NOT(Anime!AH227=""),Anime!AH227,"")</f>
        <v/>
      </c>
      <c r="Q226" s="21" t="str">
        <f>IF(NOT(Anime!AI227=""),Anime!AI227,"")</f>
        <v/>
      </c>
      <c r="R226" s="66" t="str">
        <f>IF(NOT(Anime!AJ227=""),Anime!AJ227,"")</f>
        <v/>
      </c>
      <c r="S226" s="135" t="str">
        <f>IF(NOT(Anime!AK233=""),Anime!AK233,"")</f>
        <v/>
      </c>
    </row>
    <row r="227" spans="1:19" ht="16.5">
      <c r="A227" s="12" t="str">
        <f>IF(NOT(Anime!R228=""),Anime!R228,"")</f>
        <v/>
      </c>
      <c r="B227" s="14" t="str">
        <f>IF(NOT(Anime!S228=""),Anime!S228,"")</f>
        <v/>
      </c>
      <c r="C227" s="14" t="str">
        <f>IF(NOT(Anime!T228=""),Anime!T228,"")</f>
        <v/>
      </c>
      <c r="D227" s="68" t="str">
        <f>IF(NOT(Anime!U228=""),Anime!U228,"")</f>
        <v/>
      </c>
      <c r="E227" s="131" t="str">
        <f>IF(NOT(Anime!W228=""),Anime!W228,"")</f>
        <v/>
      </c>
      <c r="F227" s="16" t="str">
        <f>IF(NOT(Anime!X228=""),Anime!X228,"")</f>
        <v/>
      </c>
      <c r="G227" s="16" t="str">
        <f>IF(NOT(Anime!Y228=""),Anime!Y228,"")</f>
        <v/>
      </c>
      <c r="H227" s="16" t="str">
        <f>IF(NOT(Anime!Z228=""),Anime!Z228,"")</f>
        <v/>
      </c>
      <c r="I227" s="16" t="str">
        <f>IF(NOT(Anime!AA228=""),Anime!AA228,"")</f>
        <v/>
      </c>
      <c r="J227" s="17" t="str">
        <f>IF(NOT(Anime!AB228=""),Anime!AB228,"")</f>
        <v/>
      </c>
      <c r="K227" s="18" t="str">
        <f>IF(NOT(Anime!AC228=""),Anime!AC228,"")</f>
        <v/>
      </c>
      <c r="L227" s="19" t="str">
        <f>IF(NOT(Anime!AD228=""),Anime!AD228,"")</f>
        <v/>
      </c>
      <c r="M227" s="72" t="str">
        <f>IF(NOT(Anime!AE228=""),Anime!AE228,"")</f>
        <v/>
      </c>
      <c r="N227" s="21" t="str">
        <f>IF(NOT(Anime!AF228=""),Anime!AF228,"")</f>
        <v/>
      </c>
      <c r="O227" s="129" t="str">
        <f>IF(NOT(Anime!AG228=""),Anime!AG228,"")</f>
        <v/>
      </c>
      <c r="P227" s="21" t="str">
        <f>IF(NOT(Anime!AH228=""),Anime!AH228,"")</f>
        <v/>
      </c>
      <c r="Q227" s="21" t="str">
        <f>IF(NOT(Anime!AI228=""),Anime!AI228,"")</f>
        <v/>
      </c>
      <c r="R227" s="66" t="str">
        <f>IF(NOT(Anime!AJ228=""),Anime!AJ228,"")</f>
        <v/>
      </c>
      <c r="S227" s="135" t="str">
        <f>IF(NOT(Anime!AK234=""),Anime!AK234,"")</f>
        <v/>
      </c>
    </row>
    <row r="228" spans="1:19" ht="16.5">
      <c r="A228" s="12" t="str">
        <f>IF(NOT(Anime!R229=""),Anime!R229,"")</f>
        <v/>
      </c>
      <c r="B228" s="14" t="str">
        <f>IF(NOT(Anime!S229=""),Anime!S229,"")</f>
        <v/>
      </c>
      <c r="C228" s="14" t="str">
        <f>IF(NOT(Anime!T229=""),Anime!T229,"")</f>
        <v/>
      </c>
      <c r="D228" s="68" t="str">
        <f>IF(NOT(Anime!U229=""),Anime!U229,"")</f>
        <v/>
      </c>
      <c r="E228" s="131" t="str">
        <f>IF(NOT(Anime!W229=""),Anime!W229,"")</f>
        <v/>
      </c>
      <c r="F228" s="16" t="str">
        <f>IF(NOT(Anime!X229=""),Anime!X229,"")</f>
        <v/>
      </c>
      <c r="G228" s="16" t="str">
        <f>IF(NOT(Anime!Y229=""),Anime!Y229,"")</f>
        <v/>
      </c>
      <c r="H228" s="16" t="str">
        <f>IF(NOT(Anime!Z229=""),Anime!Z229,"")</f>
        <v/>
      </c>
      <c r="I228" s="16" t="str">
        <f>IF(NOT(Anime!AA229=""),Anime!AA229,"")</f>
        <v/>
      </c>
      <c r="J228" s="17" t="str">
        <f>IF(NOT(Anime!AB229=""),Anime!AB229,"")</f>
        <v/>
      </c>
      <c r="K228" s="18" t="str">
        <f>IF(NOT(Anime!AC229=""),Anime!AC229,"")</f>
        <v/>
      </c>
      <c r="L228" s="19" t="str">
        <f>IF(NOT(Anime!AD229=""),Anime!AD229,"")</f>
        <v/>
      </c>
      <c r="M228" s="72" t="str">
        <f>IF(NOT(Anime!AE229=""),Anime!AE229,"")</f>
        <v/>
      </c>
      <c r="N228" s="21" t="str">
        <f>IF(NOT(Anime!AF229=""),Anime!AF229,"")</f>
        <v/>
      </c>
      <c r="O228" s="129" t="str">
        <f>IF(NOT(Anime!AG229=""),Anime!AG229,"")</f>
        <v/>
      </c>
      <c r="P228" s="21" t="str">
        <f>IF(NOT(Anime!AH229=""),Anime!AH229,"")</f>
        <v/>
      </c>
      <c r="Q228" s="21" t="str">
        <f>IF(NOT(Anime!AI229=""),Anime!AI229,"")</f>
        <v/>
      </c>
      <c r="R228" s="66" t="str">
        <f>IF(NOT(Anime!AJ229=""),Anime!AJ229,"")</f>
        <v/>
      </c>
      <c r="S228" s="135" t="str">
        <f>IF(NOT(Anime!AK235=""),Anime!AK235,"")</f>
        <v/>
      </c>
    </row>
    <row r="229" spans="1:19" ht="16.5">
      <c r="A229" s="12" t="str">
        <f>IF(NOT(Anime!R230=""),Anime!R230,"")</f>
        <v/>
      </c>
      <c r="B229" s="14" t="str">
        <f>IF(NOT(Anime!S230=""),Anime!S230,"")</f>
        <v/>
      </c>
      <c r="C229" s="14" t="str">
        <f>IF(NOT(Anime!T230=""),Anime!T230,"")</f>
        <v/>
      </c>
      <c r="D229" s="68" t="str">
        <f>IF(NOT(Anime!U230=""),Anime!U230,"")</f>
        <v/>
      </c>
      <c r="E229" s="131" t="str">
        <f>IF(NOT(Anime!W230=""),Anime!W230,"")</f>
        <v/>
      </c>
      <c r="F229" s="16" t="str">
        <f>IF(NOT(Anime!X230=""),Anime!X230,"")</f>
        <v/>
      </c>
      <c r="G229" s="16" t="str">
        <f>IF(NOT(Anime!Y230=""),Anime!Y230,"")</f>
        <v/>
      </c>
      <c r="H229" s="16" t="str">
        <f>IF(NOT(Anime!Z230=""),Anime!Z230,"")</f>
        <v/>
      </c>
      <c r="I229" s="16" t="str">
        <f>IF(NOT(Anime!AA230=""),Anime!AA230,"")</f>
        <v/>
      </c>
      <c r="J229" s="17" t="str">
        <f>IF(NOT(Anime!AB230=""),Anime!AB230,"")</f>
        <v/>
      </c>
      <c r="K229" s="18" t="str">
        <f>IF(NOT(Anime!AC230=""),Anime!AC230,"")</f>
        <v/>
      </c>
      <c r="L229" s="19" t="str">
        <f>IF(NOT(Anime!AD230=""),Anime!AD230,"")</f>
        <v/>
      </c>
      <c r="M229" s="72" t="str">
        <f>IF(NOT(Anime!AE230=""),Anime!AE230,"")</f>
        <v/>
      </c>
      <c r="N229" s="21" t="str">
        <f>IF(NOT(Anime!AF230=""),Anime!AF230,"")</f>
        <v/>
      </c>
      <c r="O229" s="129" t="str">
        <f>IF(NOT(Anime!AG230=""),Anime!AG230,"")</f>
        <v/>
      </c>
      <c r="P229" s="21" t="str">
        <f>IF(NOT(Anime!AH230=""),Anime!AH230,"")</f>
        <v/>
      </c>
      <c r="Q229" s="21" t="str">
        <f>IF(NOT(Anime!AI230=""),Anime!AI230,"")</f>
        <v/>
      </c>
      <c r="R229" s="66" t="str">
        <f>IF(NOT(Anime!AJ230=""),Anime!AJ230,"")</f>
        <v/>
      </c>
      <c r="S229" s="135" t="str">
        <f>IF(NOT(Anime!AK236=""),Anime!AK236,"")</f>
        <v/>
      </c>
    </row>
    <row r="230" spans="1:19" ht="16.5">
      <c r="A230" s="12" t="str">
        <f>IF(NOT(Anime!R231=""),Anime!R231,"")</f>
        <v/>
      </c>
      <c r="B230" s="14" t="str">
        <f>IF(NOT(Anime!S231=""),Anime!S231,"")</f>
        <v/>
      </c>
      <c r="C230" s="14" t="str">
        <f>IF(NOT(Anime!T231=""),Anime!T231,"")</f>
        <v/>
      </c>
      <c r="D230" s="68" t="str">
        <f>IF(NOT(Anime!U231=""),Anime!U231,"")</f>
        <v/>
      </c>
      <c r="E230" s="131" t="str">
        <f>IF(NOT(Anime!W231=""),Anime!W231,"")</f>
        <v/>
      </c>
      <c r="F230" s="16" t="str">
        <f>IF(NOT(Anime!X231=""),Anime!X231,"")</f>
        <v/>
      </c>
      <c r="G230" s="16" t="str">
        <f>IF(NOT(Anime!Y231=""),Anime!Y231,"")</f>
        <v/>
      </c>
      <c r="H230" s="16" t="str">
        <f>IF(NOT(Anime!Z231=""),Anime!Z231,"")</f>
        <v/>
      </c>
      <c r="I230" s="16" t="str">
        <f>IF(NOT(Anime!AA231=""),Anime!AA231,"")</f>
        <v/>
      </c>
      <c r="J230" s="17" t="str">
        <f>IF(NOT(Anime!AB231=""),Anime!AB231,"")</f>
        <v/>
      </c>
      <c r="K230" s="18" t="str">
        <f>IF(NOT(Anime!AC231=""),Anime!AC231,"")</f>
        <v/>
      </c>
      <c r="L230" s="19" t="str">
        <f>IF(NOT(Anime!AD231=""),Anime!AD231,"")</f>
        <v/>
      </c>
      <c r="M230" s="72" t="str">
        <f>IF(NOT(Anime!AE231=""),Anime!AE231,"")</f>
        <v/>
      </c>
      <c r="N230" s="21" t="str">
        <f>IF(NOT(Anime!AF231=""),Anime!AF231,"")</f>
        <v/>
      </c>
      <c r="O230" s="129" t="str">
        <f>IF(NOT(Anime!AG231=""),Anime!AG231,"")</f>
        <v/>
      </c>
      <c r="P230" s="21" t="str">
        <f>IF(NOT(Anime!AH231=""),Anime!AH231,"")</f>
        <v/>
      </c>
      <c r="Q230" s="21" t="str">
        <f>IF(NOT(Anime!AI231=""),Anime!AI231,"")</f>
        <v/>
      </c>
      <c r="R230" s="66" t="str">
        <f>IF(NOT(Anime!AJ231=""),Anime!AJ231,"")</f>
        <v/>
      </c>
      <c r="S230" s="135" t="str">
        <f>IF(NOT(Anime!AK237=""),Anime!AK237,"")</f>
        <v/>
      </c>
    </row>
    <row r="231" spans="1:19" ht="16.5">
      <c r="A231" s="12" t="str">
        <f>IF(NOT(Anime!R232=""),Anime!R232,"")</f>
        <v/>
      </c>
      <c r="B231" s="14" t="str">
        <f>IF(NOT(Anime!S232=""),Anime!S232,"")</f>
        <v/>
      </c>
      <c r="C231" s="14" t="str">
        <f>IF(NOT(Anime!T232=""),Anime!T232,"")</f>
        <v/>
      </c>
      <c r="D231" s="68" t="str">
        <f>IF(NOT(Anime!U232=""),Anime!U232,"")</f>
        <v/>
      </c>
      <c r="E231" s="131" t="str">
        <f>IF(NOT(Anime!W232=""),Anime!W232,"")</f>
        <v/>
      </c>
      <c r="F231" s="16" t="str">
        <f>IF(NOT(Anime!X232=""),Anime!X232,"")</f>
        <v/>
      </c>
      <c r="G231" s="16" t="str">
        <f>IF(NOT(Anime!Y232=""),Anime!Y232,"")</f>
        <v/>
      </c>
      <c r="H231" s="16" t="str">
        <f>IF(NOT(Anime!Z232=""),Anime!Z232,"")</f>
        <v/>
      </c>
      <c r="I231" s="16" t="str">
        <f>IF(NOT(Anime!AA232=""),Anime!AA232,"")</f>
        <v/>
      </c>
      <c r="J231" s="17" t="str">
        <f>IF(NOT(Anime!AB232=""),Anime!AB232,"")</f>
        <v/>
      </c>
      <c r="K231" s="18" t="str">
        <f>IF(NOT(Anime!AC232=""),Anime!AC232,"")</f>
        <v/>
      </c>
      <c r="L231" s="19" t="str">
        <f>IF(NOT(Anime!AD232=""),Anime!AD232,"")</f>
        <v/>
      </c>
      <c r="M231" s="72" t="str">
        <f>IF(NOT(Anime!AE232=""),Anime!AE232,"")</f>
        <v/>
      </c>
      <c r="N231" s="21" t="str">
        <f>IF(NOT(Anime!AF232=""),Anime!AF232,"")</f>
        <v/>
      </c>
      <c r="O231" s="129" t="str">
        <f>IF(NOT(Anime!AG232=""),Anime!AG232,"")</f>
        <v/>
      </c>
      <c r="P231" s="21" t="str">
        <f>IF(NOT(Anime!AH232=""),Anime!AH232,"")</f>
        <v/>
      </c>
      <c r="Q231" s="21" t="str">
        <f>IF(NOT(Anime!AI232=""),Anime!AI232,"")</f>
        <v/>
      </c>
      <c r="R231" s="66" t="str">
        <f>IF(NOT(Anime!AJ232=""),Anime!AJ232,"")</f>
        <v/>
      </c>
      <c r="S231" s="135" t="str">
        <f>IF(NOT(Anime!AK238=""),Anime!AK238,"")</f>
        <v/>
      </c>
    </row>
    <row r="232" spans="1:19" ht="16.5">
      <c r="A232" s="12" t="str">
        <f>IF(NOT(Anime!R233=""),Anime!R233,"")</f>
        <v/>
      </c>
      <c r="B232" s="14" t="str">
        <f>IF(NOT(Anime!S233=""),Anime!S233,"")</f>
        <v/>
      </c>
      <c r="C232" s="14" t="str">
        <f>IF(NOT(Anime!T233=""),Anime!T233,"")</f>
        <v/>
      </c>
      <c r="D232" s="68" t="str">
        <f>IF(NOT(Anime!U233=""),Anime!U233,"")</f>
        <v/>
      </c>
      <c r="E232" s="131" t="str">
        <f>IF(NOT(Anime!W233=""),Anime!W233,"")</f>
        <v/>
      </c>
      <c r="F232" s="16" t="str">
        <f>IF(NOT(Anime!X233=""),Anime!X233,"")</f>
        <v/>
      </c>
      <c r="G232" s="16" t="str">
        <f>IF(NOT(Anime!Y233=""),Anime!Y233,"")</f>
        <v/>
      </c>
      <c r="H232" s="16" t="str">
        <f>IF(NOT(Anime!Z233=""),Anime!Z233,"")</f>
        <v/>
      </c>
      <c r="I232" s="16" t="str">
        <f>IF(NOT(Anime!AA233=""),Anime!AA233,"")</f>
        <v/>
      </c>
      <c r="J232" s="17" t="str">
        <f>IF(NOT(Anime!AB233=""),Anime!AB233,"")</f>
        <v/>
      </c>
      <c r="K232" s="18" t="str">
        <f>IF(NOT(Anime!AC233=""),Anime!AC233,"")</f>
        <v/>
      </c>
      <c r="L232" s="19" t="str">
        <f>IF(NOT(Anime!AD233=""),Anime!AD233,"")</f>
        <v/>
      </c>
      <c r="M232" s="72" t="str">
        <f>IF(NOT(Anime!AE233=""),Anime!AE233,"")</f>
        <v/>
      </c>
      <c r="N232" s="21" t="str">
        <f>IF(NOT(Anime!AF233=""),Anime!AF233,"")</f>
        <v/>
      </c>
      <c r="O232" s="129" t="str">
        <f>IF(NOT(Anime!AG233=""),Anime!AG233,"")</f>
        <v/>
      </c>
      <c r="P232" s="21" t="str">
        <f>IF(NOT(Anime!AH233=""),Anime!AH233,"")</f>
        <v/>
      </c>
      <c r="Q232" s="21" t="str">
        <f>IF(NOT(Anime!AI233=""),Anime!AI233,"")</f>
        <v/>
      </c>
      <c r="R232" s="66" t="str">
        <f>IF(NOT(Anime!AJ233=""),Anime!AJ233,"")</f>
        <v/>
      </c>
      <c r="S232" s="135" t="str">
        <f>IF(NOT(Anime!AK239=""),Anime!AK239,"")</f>
        <v/>
      </c>
    </row>
    <row r="233" spans="1:19" ht="16.5">
      <c r="A233" s="12" t="str">
        <f>IF(NOT(Anime!R234=""),Anime!R234,"")</f>
        <v/>
      </c>
      <c r="B233" s="14" t="str">
        <f>IF(NOT(Anime!S234=""),Anime!S234,"")</f>
        <v/>
      </c>
      <c r="C233" s="14" t="str">
        <f>IF(NOT(Anime!T234=""),Anime!T234,"")</f>
        <v/>
      </c>
      <c r="D233" s="68" t="str">
        <f>IF(NOT(Anime!U234=""),Anime!U234,"")</f>
        <v/>
      </c>
      <c r="E233" s="131" t="str">
        <f>IF(NOT(Anime!W234=""),Anime!W234,"")</f>
        <v/>
      </c>
      <c r="F233" s="16" t="str">
        <f>IF(NOT(Anime!X234=""),Anime!X234,"")</f>
        <v/>
      </c>
      <c r="G233" s="16" t="str">
        <f>IF(NOT(Anime!Y234=""),Anime!Y234,"")</f>
        <v/>
      </c>
      <c r="H233" s="16" t="str">
        <f>IF(NOT(Anime!Z234=""),Anime!Z234,"")</f>
        <v/>
      </c>
      <c r="I233" s="16" t="str">
        <f>IF(NOT(Anime!AA234=""),Anime!AA234,"")</f>
        <v/>
      </c>
      <c r="J233" s="17" t="str">
        <f>IF(NOT(Anime!AB234=""),Anime!AB234,"")</f>
        <v/>
      </c>
      <c r="K233" s="18" t="str">
        <f>IF(NOT(Anime!AC234=""),Anime!AC234,"")</f>
        <v/>
      </c>
      <c r="L233" s="19" t="str">
        <f>IF(NOT(Anime!AD234=""),Anime!AD234,"")</f>
        <v/>
      </c>
      <c r="M233" s="72" t="str">
        <f>IF(NOT(Anime!AE234=""),Anime!AE234,"")</f>
        <v/>
      </c>
      <c r="N233" s="21" t="str">
        <f>IF(NOT(Anime!AF234=""),Anime!AF234,"")</f>
        <v/>
      </c>
      <c r="O233" s="129" t="str">
        <f>IF(NOT(Anime!AG234=""),Anime!AG234,"")</f>
        <v/>
      </c>
      <c r="P233" s="21" t="str">
        <f>IF(NOT(Anime!AH234=""),Anime!AH234,"")</f>
        <v/>
      </c>
      <c r="Q233" s="21" t="str">
        <f>IF(NOT(Anime!AI234=""),Anime!AI234,"")</f>
        <v/>
      </c>
      <c r="R233" s="66" t="str">
        <f>IF(NOT(Anime!AJ234=""),Anime!AJ234,"")</f>
        <v/>
      </c>
      <c r="S233" s="135" t="str">
        <f>IF(NOT(Anime!AK240=""),Anime!AK240,"")</f>
        <v/>
      </c>
    </row>
    <row r="234" spans="1:19" ht="16.5">
      <c r="A234" s="12" t="str">
        <f>IF(NOT(Anime!R235=""),Anime!R235,"")</f>
        <v/>
      </c>
      <c r="B234" s="14" t="str">
        <f>IF(NOT(Anime!S235=""),Anime!S235,"")</f>
        <v/>
      </c>
      <c r="C234" s="14" t="str">
        <f>IF(NOT(Anime!T235=""),Anime!T235,"")</f>
        <v/>
      </c>
      <c r="D234" s="68" t="str">
        <f>IF(NOT(Anime!U235=""),Anime!U235,"")</f>
        <v/>
      </c>
      <c r="E234" s="131" t="str">
        <f>IF(NOT(Anime!W235=""),Anime!W235,"")</f>
        <v/>
      </c>
      <c r="F234" s="16" t="str">
        <f>IF(NOT(Anime!X235=""),Anime!X235,"")</f>
        <v/>
      </c>
      <c r="G234" s="16" t="str">
        <f>IF(NOT(Anime!Y235=""),Anime!Y235,"")</f>
        <v/>
      </c>
      <c r="H234" s="16" t="str">
        <f>IF(NOT(Anime!Z235=""),Anime!Z235,"")</f>
        <v/>
      </c>
      <c r="I234" s="16" t="str">
        <f>IF(NOT(Anime!AA235=""),Anime!AA235,"")</f>
        <v/>
      </c>
      <c r="J234" s="17" t="str">
        <f>IF(NOT(Anime!AB235=""),Anime!AB235,"")</f>
        <v/>
      </c>
      <c r="K234" s="18" t="str">
        <f>IF(NOT(Anime!AC235=""),Anime!AC235,"")</f>
        <v/>
      </c>
      <c r="L234" s="19" t="str">
        <f>IF(NOT(Anime!AD235=""),Anime!AD235,"")</f>
        <v/>
      </c>
      <c r="M234" s="72" t="str">
        <f>IF(NOT(Anime!AE235=""),Anime!AE235,"")</f>
        <v/>
      </c>
      <c r="N234" s="21" t="str">
        <f>IF(NOT(Anime!AF235=""),Anime!AF235,"")</f>
        <v/>
      </c>
      <c r="O234" s="129" t="str">
        <f>IF(NOT(Anime!AG235=""),Anime!AG235,"")</f>
        <v/>
      </c>
      <c r="P234" s="21" t="str">
        <f>IF(NOT(Anime!AH235=""),Anime!AH235,"")</f>
        <v/>
      </c>
      <c r="Q234" s="21" t="str">
        <f>IF(NOT(Anime!AI235=""),Anime!AI235,"")</f>
        <v/>
      </c>
      <c r="R234" s="66" t="str">
        <f>IF(NOT(Anime!AJ235=""),Anime!AJ235,"")</f>
        <v/>
      </c>
      <c r="S234" s="135" t="str">
        <f>IF(NOT(Anime!AK241=""),Anime!AK241,"")</f>
        <v/>
      </c>
    </row>
    <row r="235" spans="1:19" ht="16.5">
      <c r="A235" s="12" t="str">
        <f>IF(NOT(Anime!R236=""),Anime!R236,"")</f>
        <v/>
      </c>
      <c r="B235" s="14" t="str">
        <f>IF(NOT(Anime!S236=""),Anime!S236,"")</f>
        <v/>
      </c>
      <c r="C235" s="14" t="str">
        <f>IF(NOT(Anime!T236=""),Anime!T236,"")</f>
        <v/>
      </c>
      <c r="D235" s="68" t="str">
        <f>IF(NOT(Anime!U236=""),Anime!U236,"")</f>
        <v/>
      </c>
      <c r="E235" s="131" t="str">
        <f>IF(NOT(Anime!W236=""),Anime!W236,"")</f>
        <v/>
      </c>
      <c r="F235" s="16" t="str">
        <f>IF(NOT(Anime!X236=""),Anime!X236,"")</f>
        <v/>
      </c>
      <c r="G235" s="16" t="str">
        <f>IF(NOT(Anime!Y236=""),Anime!Y236,"")</f>
        <v/>
      </c>
      <c r="H235" s="16" t="str">
        <f>IF(NOT(Anime!Z236=""),Anime!Z236,"")</f>
        <v/>
      </c>
      <c r="I235" s="16" t="str">
        <f>IF(NOT(Anime!AA236=""),Anime!AA236,"")</f>
        <v/>
      </c>
      <c r="J235" s="17" t="str">
        <f>IF(NOT(Anime!AB236=""),Anime!AB236,"")</f>
        <v/>
      </c>
      <c r="K235" s="18" t="str">
        <f>IF(NOT(Anime!AC236=""),Anime!AC236,"")</f>
        <v/>
      </c>
      <c r="L235" s="19" t="str">
        <f>IF(NOT(Anime!AD236=""),Anime!AD236,"")</f>
        <v/>
      </c>
      <c r="M235" s="72" t="str">
        <f>IF(NOT(Anime!AE236=""),Anime!AE236,"")</f>
        <v/>
      </c>
      <c r="N235" s="21" t="str">
        <f>IF(NOT(Anime!AF236=""),Anime!AF236,"")</f>
        <v/>
      </c>
      <c r="O235" s="129" t="str">
        <f>IF(NOT(Anime!AG236=""),Anime!AG236,"")</f>
        <v/>
      </c>
      <c r="P235" s="21" t="str">
        <f>IF(NOT(Anime!AH236=""),Anime!AH236,"")</f>
        <v/>
      </c>
      <c r="Q235" s="21" t="str">
        <f>IF(NOT(Anime!AI236=""),Anime!AI236,"")</f>
        <v/>
      </c>
      <c r="R235" s="66" t="str">
        <f>IF(NOT(Anime!AJ236=""),Anime!AJ236,"")</f>
        <v/>
      </c>
      <c r="S235" s="135" t="str">
        <f>IF(NOT(Anime!AK242=""),Anime!AK242,"")</f>
        <v/>
      </c>
    </row>
    <row r="236" spans="1:19" ht="16.5">
      <c r="A236" s="12" t="str">
        <f>IF(NOT(Anime!R237=""),Anime!R237,"")</f>
        <v/>
      </c>
      <c r="B236" s="14" t="str">
        <f>IF(NOT(Anime!S237=""),Anime!S237,"")</f>
        <v/>
      </c>
      <c r="C236" s="14" t="str">
        <f>IF(NOT(Anime!T237=""),Anime!T237,"")</f>
        <v/>
      </c>
      <c r="D236" s="68" t="str">
        <f>IF(NOT(Anime!U237=""),Anime!U237,"")</f>
        <v/>
      </c>
      <c r="E236" s="131" t="str">
        <f>IF(NOT(Anime!W237=""),Anime!W237,"")</f>
        <v/>
      </c>
      <c r="F236" s="16" t="str">
        <f>IF(NOT(Anime!X237=""),Anime!X237,"")</f>
        <v/>
      </c>
      <c r="G236" s="16" t="str">
        <f>IF(NOT(Anime!Y237=""),Anime!Y237,"")</f>
        <v/>
      </c>
      <c r="H236" s="16" t="str">
        <f>IF(NOT(Anime!Z237=""),Anime!Z237,"")</f>
        <v/>
      </c>
      <c r="I236" s="16" t="str">
        <f>IF(NOT(Anime!AA237=""),Anime!AA237,"")</f>
        <v/>
      </c>
      <c r="J236" s="17" t="str">
        <f>IF(NOT(Anime!AB237=""),Anime!AB237,"")</f>
        <v/>
      </c>
      <c r="K236" s="18" t="str">
        <f>IF(NOT(Anime!AC237=""),Anime!AC237,"")</f>
        <v/>
      </c>
      <c r="L236" s="19" t="str">
        <f>IF(NOT(Anime!AD237=""),Anime!AD237,"")</f>
        <v/>
      </c>
      <c r="M236" s="72" t="str">
        <f>IF(NOT(Anime!AE237=""),Anime!AE237,"")</f>
        <v/>
      </c>
      <c r="N236" s="21" t="str">
        <f>IF(NOT(Anime!AF237=""),Anime!AF237,"")</f>
        <v/>
      </c>
      <c r="O236" s="129" t="str">
        <f>IF(NOT(Anime!AG237=""),Anime!AG237,"")</f>
        <v/>
      </c>
      <c r="P236" s="21" t="str">
        <f>IF(NOT(Anime!AH237=""),Anime!AH237,"")</f>
        <v/>
      </c>
      <c r="Q236" s="21" t="str">
        <f>IF(NOT(Anime!AI237=""),Anime!AI237,"")</f>
        <v/>
      </c>
      <c r="R236" s="66" t="str">
        <f>IF(NOT(Anime!AJ237=""),Anime!AJ237,"")</f>
        <v/>
      </c>
      <c r="S236" s="135" t="str">
        <f>IF(NOT(Anime!AK243=""),Anime!AK243,"")</f>
        <v/>
      </c>
    </row>
    <row r="237" spans="1:19" ht="16.5">
      <c r="A237" s="12" t="str">
        <f>IF(NOT(Anime!R238=""),Anime!R238,"")</f>
        <v/>
      </c>
      <c r="B237" s="14" t="str">
        <f>IF(NOT(Anime!S238=""),Anime!S238,"")</f>
        <v/>
      </c>
      <c r="C237" s="14" t="str">
        <f>IF(NOT(Anime!T238=""),Anime!T238,"")</f>
        <v/>
      </c>
      <c r="D237" s="68" t="str">
        <f>IF(NOT(Anime!U238=""),Anime!U238,"")</f>
        <v/>
      </c>
      <c r="E237" s="131" t="str">
        <f>IF(NOT(Anime!W238=""),Anime!W238,"")</f>
        <v/>
      </c>
      <c r="F237" s="16" t="str">
        <f>IF(NOT(Anime!X238=""),Anime!X238,"")</f>
        <v/>
      </c>
      <c r="G237" s="16" t="str">
        <f>IF(NOT(Anime!Y238=""),Anime!Y238,"")</f>
        <v/>
      </c>
      <c r="H237" s="16" t="str">
        <f>IF(NOT(Anime!Z238=""),Anime!Z238,"")</f>
        <v/>
      </c>
      <c r="I237" s="16" t="str">
        <f>IF(NOT(Anime!AA238=""),Anime!AA238,"")</f>
        <v/>
      </c>
      <c r="J237" s="17" t="str">
        <f>IF(NOT(Anime!AB238=""),Anime!AB238,"")</f>
        <v/>
      </c>
      <c r="K237" s="18" t="str">
        <f>IF(NOT(Anime!AC238=""),Anime!AC238,"")</f>
        <v/>
      </c>
      <c r="L237" s="19" t="str">
        <f>IF(NOT(Anime!AD238=""),Anime!AD238,"")</f>
        <v/>
      </c>
      <c r="M237" s="72" t="str">
        <f>IF(NOT(Anime!AE238=""),Anime!AE238,"")</f>
        <v/>
      </c>
      <c r="N237" s="21" t="str">
        <f>IF(NOT(Anime!AF238=""),Anime!AF238,"")</f>
        <v/>
      </c>
      <c r="O237" s="129" t="str">
        <f>IF(NOT(Anime!AG238=""),Anime!AG238,"")</f>
        <v/>
      </c>
      <c r="P237" s="21" t="str">
        <f>IF(NOT(Anime!AH238=""),Anime!AH238,"")</f>
        <v/>
      </c>
      <c r="Q237" s="21" t="str">
        <f>IF(NOT(Anime!AI238=""),Anime!AI238,"")</f>
        <v/>
      </c>
      <c r="R237" s="66" t="str">
        <f>IF(NOT(Anime!AJ238=""),Anime!AJ238,"")</f>
        <v/>
      </c>
      <c r="S237" s="135" t="str">
        <f>IF(NOT(Anime!AK244=""),Anime!AK244,"")</f>
        <v/>
      </c>
    </row>
    <row r="238" spans="1:19" ht="16.5">
      <c r="A238" s="12" t="str">
        <f>IF(NOT(Anime!R239=""),Anime!R239,"")</f>
        <v/>
      </c>
      <c r="B238" s="14" t="str">
        <f>IF(NOT(Anime!S239=""),Anime!S239,"")</f>
        <v/>
      </c>
      <c r="C238" s="14" t="str">
        <f>IF(NOT(Anime!T239=""),Anime!T239,"")</f>
        <v/>
      </c>
      <c r="D238" s="68" t="str">
        <f>IF(NOT(Anime!U239=""),Anime!U239,"")</f>
        <v/>
      </c>
      <c r="E238" s="131" t="str">
        <f>IF(NOT(Anime!W239=""),Anime!W239,"")</f>
        <v/>
      </c>
      <c r="F238" s="16" t="str">
        <f>IF(NOT(Anime!X239=""),Anime!X239,"")</f>
        <v/>
      </c>
      <c r="G238" s="16" t="str">
        <f>IF(NOT(Anime!Y239=""),Anime!Y239,"")</f>
        <v/>
      </c>
      <c r="H238" s="16" t="str">
        <f>IF(NOT(Anime!Z239=""),Anime!Z239,"")</f>
        <v/>
      </c>
      <c r="I238" s="16" t="str">
        <f>IF(NOT(Anime!AA239=""),Anime!AA239,"")</f>
        <v/>
      </c>
      <c r="J238" s="17" t="str">
        <f>IF(NOT(Anime!AB239=""),Anime!AB239,"")</f>
        <v/>
      </c>
      <c r="K238" s="18" t="str">
        <f>IF(NOT(Anime!AC239=""),Anime!AC239,"")</f>
        <v/>
      </c>
      <c r="L238" s="19" t="str">
        <f>IF(NOT(Anime!AD239=""),Anime!AD239,"")</f>
        <v/>
      </c>
      <c r="M238" s="72" t="str">
        <f>IF(NOT(Anime!AE239=""),Anime!AE239,"")</f>
        <v/>
      </c>
      <c r="N238" s="21" t="str">
        <f>IF(NOT(Anime!AF239=""),Anime!AF239,"")</f>
        <v/>
      </c>
      <c r="O238" s="129" t="str">
        <f>IF(NOT(Anime!AG239=""),Anime!AG239,"")</f>
        <v/>
      </c>
      <c r="P238" s="21" t="str">
        <f>IF(NOT(Anime!AH239=""),Anime!AH239,"")</f>
        <v/>
      </c>
      <c r="Q238" s="21" t="str">
        <f>IF(NOT(Anime!AI239=""),Anime!AI239,"")</f>
        <v/>
      </c>
      <c r="R238" s="66" t="str">
        <f>IF(NOT(Anime!AJ239=""),Anime!AJ239,"")</f>
        <v/>
      </c>
      <c r="S238" s="135" t="str">
        <f>IF(NOT(Anime!AK245=""),Anime!AK245,"")</f>
        <v/>
      </c>
    </row>
    <row r="239" spans="1:19" ht="16.5">
      <c r="A239" s="12" t="str">
        <f>IF(NOT(Anime!R240=""),Anime!R240,"")</f>
        <v/>
      </c>
      <c r="B239" s="14" t="str">
        <f>IF(NOT(Anime!S240=""),Anime!S240,"")</f>
        <v/>
      </c>
      <c r="C239" s="14" t="str">
        <f>IF(NOT(Anime!T240=""),Anime!T240,"")</f>
        <v/>
      </c>
      <c r="D239" s="68" t="str">
        <f>IF(NOT(Anime!U240=""),Anime!U240,"")</f>
        <v/>
      </c>
      <c r="E239" s="131" t="str">
        <f>IF(NOT(Anime!W240=""),Anime!W240,"")</f>
        <v/>
      </c>
      <c r="F239" s="16" t="str">
        <f>IF(NOT(Anime!X240=""),Anime!X240,"")</f>
        <v/>
      </c>
      <c r="G239" s="16" t="str">
        <f>IF(NOT(Anime!Y240=""),Anime!Y240,"")</f>
        <v/>
      </c>
      <c r="H239" s="16" t="str">
        <f>IF(NOT(Anime!Z240=""),Anime!Z240,"")</f>
        <v/>
      </c>
      <c r="I239" s="16" t="str">
        <f>IF(NOT(Anime!AA240=""),Anime!AA240,"")</f>
        <v/>
      </c>
      <c r="J239" s="17" t="str">
        <f>IF(NOT(Anime!AB240=""),Anime!AB240,"")</f>
        <v/>
      </c>
      <c r="K239" s="18" t="str">
        <f>IF(NOT(Anime!AC240=""),Anime!AC240,"")</f>
        <v/>
      </c>
      <c r="L239" s="19" t="str">
        <f>IF(NOT(Anime!AD240=""),Anime!AD240,"")</f>
        <v/>
      </c>
      <c r="M239" s="72" t="str">
        <f>IF(NOT(Anime!AE240=""),Anime!AE240,"")</f>
        <v/>
      </c>
      <c r="N239" s="21" t="str">
        <f>IF(NOT(Anime!AF240=""),Anime!AF240,"")</f>
        <v/>
      </c>
      <c r="O239" s="129" t="str">
        <f>IF(NOT(Anime!AG240=""),Anime!AG240,"")</f>
        <v/>
      </c>
      <c r="P239" s="21" t="str">
        <f>IF(NOT(Anime!AH240=""),Anime!AH240,"")</f>
        <v/>
      </c>
      <c r="Q239" s="21" t="str">
        <f>IF(NOT(Anime!AI240=""),Anime!AI240,"")</f>
        <v/>
      </c>
      <c r="R239" s="66" t="str">
        <f>IF(NOT(Anime!AJ240=""),Anime!AJ240,"")</f>
        <v/>
      </c>
      <c r="S239" s="135" t="str">
        <f>IF(NOT(Anime!AK246=""),Anime!AK246,"")</f>
        <v/>
      </c>
    </row>
    <row r="240" spans="1:19" ht="16.5">
      <c r="A240" s="12" t="str">
        <f>IF(NOT(Anime!R241=""),Anime!R241,"")</f>
        <v/>
      </c>
      <c r="B240" s="14" t="str">
        <f>IF(NOT(Anime!S241=""),Anime!S241,"")</f>
        <v/>
      </c>
      <c r="C240" s="14" t="str">
        <f>IF(NOT(Anime!T241=""),Anime!T241,"")</f>
        <v/>
      </c>
      <c r="D240" s="68" t="str">
        <f>IF(NOT(Anime!U241=""),Anime!U241,"")</f>
        <v/>
      </c>
      <c r="E240" s="131" t="str">
        <f>IF(NOT(Anime!W241=""),Anime!W241,"")</f>
        <v/>
      </c>
      <c r="F240" s="16" t="str">
        <f>IF(NOT(Anime!X241=""),Anime!X241,"")</f>
        <v/>
      </c>
      <c r="G240" s="16" t="str">
        <f>IF(NOT(Anime!Y241=""),Anime!Y241,"")</f>
        <v/>
      </c>
      <c r="H240" s="16" t="str">
        <f>IF(NOT(Anime!Z241=""),Anime!Z241,"")</f>
        <v/>
      </c>
      <c r="I240" s="16" t="str">
        <f>IF(NOT(Anime!AA241=""),Anime!AA241,"")</f>
        <v/>
      </c>
      <c r="J240" s="17" t="str">
        <f>IF(NOT(Anime!AB241=""),Anime!AB241,"")</f>
        <v/>
      </c>
      <c r="K240" s="18" t="str">
        <f>IF(NOT(Anime!AC241=""),Anime!AC241,"")</f>
        <v/>
      </c>
      <c r="L240" s="19" t="str">
        <f>IF(NOT(Anime!AD241=""),Anime!AD241,"")</f>
        <v/>
      </c>
      <c r="M240" s="72" t="str">
        <f>IF(NOT(Anime!AE241=""),Anime!AE241,"")</f>
        <v/>
      </c>
      <c r="N240" s="21" t="str">
        <f>IF(NOT(Anime!AF241=""),Anime!AF241,"")</f>
        <v/>
      </c>
      <c r="O240" s="129" t="str">
        <f>IF(NOT(Anime!AG241=""),Anime!AG241,"")</f>
        <v/>
      </c>
      <c r="P240" s="21" t="str">
        <f>IF(NOT(Anime!AH241=""),Anime!AH241,"")</f>
        <v/>
      </c>
      <c r="Q240" s="21" t="str">
        <f>IF(NOT(Anime!AI241=""),Anime!AI241,"")</f>
        <v/>
      </c>
      <c r="R240" s="66" t="str">
        <f>IF(NOT(Anime!AJ241=""),Anime!AJ241,"")</f>
        <v/>
      </c>
      <c r="S240" s="135" t="str">
        <f>IF(NOT(Anime!AK247=""),Anime!AK247,"")</f>
        <v/>
      </c>
    </row>
    <row r="241" spans="1:19" ht="16.5">
      <c r="A241" s="12" t="str">
        <f>IF(NOT(Anime!R242=""),Anime!R242,"")</f>
        <v/>
      </c>
      <c r="B241" s="14" t="str">
        <f>IF(NOT(Anime!S242=""),Anime!S242,"")</f>
        <v/>
      </c>
      <c r="C241" s="14" t="str">
        <f>IF(NOT(Anime!T242=""),Anime!T242,"")</f>
        <v/>
      </c>
      <c r="D241" s="68" t="str">
        <f>IF(NOT(Anime!U242=""),Anime!U242,"")</f>
        <v/>
      </c>
      <c r="E241" s="131" t="str">
        <f>IF(NOT(Anime!W242=""),Anime!W242,"")</f>
        <v/>
      </c>
      <c r="F241" s="16" t="str">
        <f>IF(NOT(Anime!X242=""),Anime!X242,"")</f>
        <v/>
      </c>
      <c r="G241" s="16" t="str">
        <f>IF(NOT(Anime!Y242=""),Anime!Y242,"")</f>
        <v/>
      </c>
      <c r="H241" s="16" t="str">
        <f>IF(NOT(Anime!Z242=""),Anime!Z242,"")</f>
        <v/>
      </c>
      <c r="I241" s="16" t="str">
        <f>IF(NOT(Anime!AA242=""),Anime!AA242,"")</f>
        <v/>
      </c>
      <c r="J241" s="17" t="str">
        <f>IF(NOT(Anime!AB242=""),Anime!AB242,"")</f>
        <v/>
      </c>
      <c r="K241" s="18" t="str">
        <f>IF(NOT(Anime!AC242=""),Anime!AC242,"")</f>
        <v/>
      </c>
      <c r="L241" s="19" t="str">
        <f>IF(NOT(Anime!AD242=""),Anime!AD242,"")</f>
        <v/>
      </c>
      <c r="M241" s="72" t="str">
        <f>IF(NOT(Anime!AE242=""),Anime!AE242,"")</f>
        <v/>
      </c>
      <c r="N241" s="21" t="str">
        <f>IF(NOT(Anime!AF242=""),Anime!AF242,"")</f>
        <v/>
      </c>
      <c r="O241" s="129" t="str">
        <f>IF(NOT(Anime!AG242=""),Anime!AG242,"")</f>
        <v/>
      </c>
      <c r="P241" s="21" t="str">
        <f>IF(NOT(Anime!AH242=""),Anime!AH242,"")</f>
        <v/>
      </c>
      <c r="Q241" s="21" t="str">
        <f>IF(NOT(Anime!AI242=""),Anime!AI242,"")</f>
        <v/>
      </c>
      <c r="R241" s="66" t="str">
        <f>IF(NOT(Anime!AJ242=""),Anime!AJ242,"")</f>
        <v/>
      </c>
      <c r="S241" s="135" t="str">
        <f>IF(NOT(Anime!AK248=""),Anime!AK248,"")</f>
        <v/>
      </c>
    </row>
    <row r="242" spans="1:19" ht="16.5">
      <c r="A242" s="12" t="str">
        <f>IF(NOT(Anime!R243=""),Anime!R243,"")</f>
        <v/>
      </c>
      <c r="B242" s="14" t="str">
        <f>IF(NOT(Anime!S243=""),Anime!S243,"")</f>
        <v/>
      </c>
      <c r="C242" s="14" t="str">
        <f>IF(NOT(Anime!T243=""),Anime!T243,"")</f>
        <v/>
      </c>
      <c r="D242" s="68" t="str">
        <f>IF(NOT(Anime!U243=""),Anime!U243,"")</f>
        <v/>
      </c>
      <c r="E242" s="131" t="str">
        <f>IF(NOT(Anime!W243=""),Anime!W243,"")</f>
        <v/>
      </c>
      <c r="F242" s="16" t="str">
        <f>IF(NOT(Anime!X243=""),Anime!X243,"")</f>
        <v/>
      </c>
      <c r="G242" s="16" t="str">
        <f>IF(NOT(Anime!Y243=""),Anime!Y243,"")</f>
        <v/>
      </c>
      <c r="H242" s="16" t="str">
        <f>IF(NOT(Anime!Z243=""),Anime!Z243,"")</f>
        <v/>
      </c>
      <c r="I242" s="16" t="str">
        <f>IF(NOT(Anime!AA243=""),Anime!AA243,"")</f>
        <v/>
      </c>
      <c r="J242" s="17" t="str">
        <f>IF(NOT(Anime!AB243=""),Anime!AB243,"")</f>
        <v/>
      </c>
      <c r="K242" s="18" t="str">
        <f>IF(NOT(Anime!AC243=""),Anime!AC243,"")</f>
        <v/>
      </c>
      <c r="L242" s="19" t="str">
        <f>IF(NOT(Anime!AD243=""),Anime!AD243,"")</f>
        <v/>
      </c>
      <c r="M242" s="72" t="str">
        <f>IF(NOT(Anime!AE243=""),Anime!AE243,"")</f>
        <v/>
      </c>
      <c r="N242" s="21" t="str">
        <f>IF(NOT(Anime!AF243=""),Anime!AF243,"")</f>
        <v/>
      </c>
      <c r="O242" s="129" t="str">
        <f>IF(NOT(Anime!AG243=""),Anime!AG243,"")</f>
        <v/>
      </c>
      <c r="P242" s="21" t="str">
        <f>IF(NOT(Anime!AH243=""),Anime!AH243,"")</f>
        <v/>
      </c>
      <c r="Q242" s="21" t="str">
        <f>IF(NOT(Anime!AI243=""),Anime!AI243,"")</f>
        <v/>
      </c>
      <c r="R242" s="66" t="str">
        <f>IF(NOT(Anime!AJ243=""),Anime!AJ243,"")</f>
        <v/>
      </c>
      <c r="S242" s="135" t="str">
        <f>IF(NOT(Anime!AK249=""),Anime!AK249,"")</f>
        <v/>
      </c>
    </row>
    <row r="243" spans="1:19" ht="16.5">
      <c r="A243" s="12" t="str">
        <f>IF(NOT(Anime!R244=""),Anime!R244,"")</f>
        <v/>
      </c>
      <c r="B243" s="14" t="str">
        <f>IF(NOT(Anime!S244=""),Anime!S244,"")</f>
        <v/>
      </c>
      <c r="C243" s="14" t="str">
        <f>IF(NOT(Anime!T244=""),Anime!T244,"")</f>
        <v/>
      </c>
      <c r="D243" s="68" t="str">
        <f>IF(NOT(Anime!U244=""),Anime!U244,"")</f>
        <v/>
      </c>
      <c r="E243" s="131" t="str">
        <f>IF(NOT(Anime!W244=""),Anime!W244,"")</f>
        <v/>
      </c>
      <c r="F243" s="16" t="str">
        <f>IF(NOT(Anime!X244=""),Anime!X244,"")</f>
        <v/>
      </c>
      <c r="G243" s="16" t="str">
        <f>IF(NOT(Anime!Y244=""),Anime!Y244,"")</f>
        <v/>
      </c>
      <c r="H243" s="16" t="str">
        <f>IF(NOT(Anime!Z244=""),Anime!Z244,"")</f>
        <v/>
      </c>
      <c r="I243" s="16" t="str">
        <f>IF(NOT(Anime!AA244=""),Anime!AA244,"")</f>
        <v/>
      </c>
      <c r="J243" s="17" t="str">
        <f>IF(NOT(Anime!AB244=""),Anime!AB244,"")</f>
        <v/>
      </c>
      <c r="K243" s="18" t="str">
        <f>IF(NOT(Anime!AC244=""),Anime!AC244,"")</f>
        <v/>
      </c>
      <c r="L243" s="19" t="str">
        <f>IF(NOT(Anime!AD244=""),Anime!AD244,"")</f>
        <v/>
      </c>
      <c r="M243" s="72" t="str">
        <f>IF(NOT(Anime!AE244=""),Anime!AE244,"")</f>
        <v/>
      </c>
      <c r="N243" s="21" t="str">
        <f>IF(NOT(Anime!AF244=""),Anime!AF244,"")</f>
        <v/>
      </c>
      <c r="O243" s="129" t="str">
        <f>IF(NOT(Anime!AG244=""),Anime!AG244,"")</f>
        <v/>
      </c>
      <c r="P243" s="21" t="str">
        <f>IF(NOT(Anime!AH244=""),Anime!AH244,"")</f>
        <v/>
      </c>
      <c r="Q243" s="21" t="str">
        <f>IF(NOT(Anime!AI244=""),Anime!AI244,"")</f>
        <v/>
      </c>
      <c r="R243" s="66" t="str">
        <f>IF(NOT(Anime!AJ244=""),Anime!AJ244,"")</f>
        <v/>
      </c>
      <c r="S243" s="135" t="str">
        <f>IF(NOT(Anime!AK250=""),Anime!AK250,"")</f>
        <v/>
      </c>
    </row>
    <row r="244" spans="1:19" ht="16.5">
      <c r="A244" s="12" t="str">
        <f>IF(NOT(Anime!R245=""),Anime!R245,"")</f>
        <v/>
      </c>
      <c r="B244" s="14" t="str">
        <f>IF(NOT(Anime!S245=""),Anime!S245,"")</f>
        <v/>
      </c>
      <c r="C244" s="14" t="str">
        <f>IF(NOT(Anime!T245=""),Anime!T245,"")</f>
        <v/>
      </c>
      <c r="D244" s="68" t="str">
        <f>IF(NOT(Anime!U245=""),Anime!U245,"")</f>
        <v/>
      </c>
      <c r="E244" s="131" t="str">
        <f>IF(NOT(Anime!W245=""),Anime!W245,"")</f>
        <v/>
      </c>
      <c r="F244" s="16" t="str">
        <f>IF(NOT(Anime!X245=""),Anime!X245,"")</f>
        <v/>
      </c>
      <c r="G244" s="16" t="str">
        <f>IF(NOT(Anime!Y245=""),Anime!Y245,"")</f>
        <v/>
      </c>
      <c r="H244" s="16" t="str">
        <f>IF(NOT(Anime!Z245=""),Anime!Z245,"")</f>
        <v/>
      </c>
      <c r="I244" s="16" t="str">
        <f>IF(NOT(Anime!AA245=""),Anime!AA245,"")</f>
        <v/>
      </c>
      <c r="J244" s="17" t="str">
        <f>IF(NOT(Anime!AB245=""),Anime!AB245,"")</f>
        <v/>
      </c>
      <c r="K244" s="18" t="str">
        <f>IF(NOT(Anime!AC245=""),Anime!AC245,"")</f>
        <v/>
      </c>
      <c r="L244" s="19" t="str">
        <f>IF(NOT(Anime!AD245=""),Anime!AD245,"")</f>
        <v/>
      </c>
      <c r="M244" s="72" t="str">
        <f>IF(NOT(Anime!AE245=""),Anime!AE245,"")</f>
        <v/>
      </c>
      <c r="N244" s="21" t="str">
        <f>IF(NOT(Anime!AF245=""),Anime!AF245,"")</f>
        <v/>
      </c>
      <c r="O244" s="129" t="str">
        <f>IF(NOT(Anime!AG245=""),Anime!AG245,"")</f>
        <v/>
      </c>
      <c r="P244" s="21" t="str">
        <f>IF(NOT(Anime!AH245=""),Anime!AH245,"")</f>
        <v/>
      </c>
      <c r="Q244" s="21" t="str">
        <f>IF(NOT(Anime!AI245=""),Anime!AI245,"")</f>
        <v/>
      </c>
      <c r="R244" s="66" t="str">
        <f>IF(NOT(Anime!AJ245=""),Anime!AJ245,"")</f>
        <v/>
      </c>
      <c r="S244" s="135" t="str">
        <f>IF(NOT(Anime!AK251=""),Anime!AK251,"")</f>
        <v/>
      </c>
    </row>
    <row r="245" spans="1:19" ht="16.5">
      <c r="A245" s="12" t="str">
        <f>IF(NOT(Anime!R246=""),Anime!R246,"")</f>
        <v/>
      </c>
      <c r="B245" s="14" t="str">
        <f>IF(NOT(Anime!S246=""),Anime!S246,"")</f>
        <v/>
      </c>
      <c r="C245" s="14" t="str">
        <f>IF(NOT(Anime!T246=""),Anime!T246,"")</f>
        <v/>
      </c>
      <c r="D245" s="68" t="str">
        <f>IF(NOT(Anime!U246=""),Anime!U246,"")</f>
        <v/>
      </c>
      <c r="E245" s="131" t="str">
        <f>IF(NOT(Anime!W246=""),Anime!W246,"")</f>
        <v/>
      </c>
      <c r="F245" s="16" t="str">
        <f>IF(NOT(Anime!X246=""),Anime!X246,"")</f>
        <v/>
      </c>
      <c r="G245" s="16" t="str">
        <f>IF(NOT(Anime!Y246=""),Anime!Y246,"")</f>
        <v/>
      </c>
      <c r="H245" s="16" t="str">
        <f>IF(NOT(Anime!Z246=""),Anime!Z246,"")</f>
        <v/>
      </c>
      <c r="I245" s="16" t="str">
        <f>IF(NOT(Anime!AA246=""),Anime!AA246,"")</f>
        <v/>
      </c>
      <c r="J245" s="17" t="str">
        <f>IF(NOT(Anime!AB246=""),Anime!AB246,"")</f>
        <v/>
      </c>
      <c r="K245" s="18" t="str">
        <f>IF(NOT(Anime!AC246=""),Anime!AC246,"")</f>
        <v/>
      </c>
      <c r="L245" s="19" t="str">
        <f>IF(NOT(Anime!AD246=""),Anime!AD246,"")</f>
        <v/>
      </c>
      <c r="M245" s="72" t="str">
        <f>IF(NOT(Anime!AE246=""),Anime!AE246,"")</f>
        <v/>
      </c>
      <c r="N245" s="21" t="str">
        <f>IF(NOT(Anime!AF246=""),Anime!AF246,"")</f>
        <v/>
      </c>
      <c r="O245" s="129" t="str">
        <f>IF(NOT(Anime!AG246=""),Anime!AG246,"")</f>
        <v/>
      </c>
      <c r="P245" s="21" t="str">
        <f>IF(NOT(Anime!AH246=""),Anime!AH246,"")</f>
        <v/>
      </c>
      <c r="Q245" s="21" t="str">
        <f>IF(NOT(Anime!AI246=""),Anime!AI246,"")</f>
        <v/>
      </c>
      <c r="R245" s="66" t="str">
        <f>IF(NOT(Anime!AJ246=""),Anime!AJ246,"")</f>
        <v/>
      </c>
      <c r="S245" s="135" t="str">
        <f>IF(NOT(Anime!AK252=""),Anime!AK252,"")</f>
        <v/>
      </c>
    </row>
    <row r="246" spans="1:19" ht="16.5">
      <c r="A246" s="12" t="str">
        <f>IF(NOT(Anime!R247=""),Anime!R247,"")</f>
        <v/>
      </c>
      <c r="B246" s="14" t="str">
        <f>IF(NOT(Anime!S247=""),Anime!S247,"")</f>
        <v/>
      </c>
      <c r="C246" s="14" t="str">
        <f>IF(NOT(Anime!T247=""),Anime!T247,"")</f>
        <v/>
      </c>
      <c r="D246" s="68" t="str">
        <f>IF(NOT(Anime!U247=""),Anime!U247,"")</f>
        <v/>
      </c>
      <c r="E246" s="131" t="str">
        <f>IF(NOT(Anime!W247=""),Anime!W247,"")</f>
        <v/>
      </c>
      <c r="F246" s="16" t="str">
        <f>IF(NOT(Anime!X247=""),Anime!X247,"")</f>
        <v/>
      </c>
      <c r="G246" s="16" t="str">
        <f>IF(NOT(Anime!Y247=""),Anime!Y247,"")</f>
        <v/>
      </c>
      <c r="H246" s="16" t="str">
        <f>IF(NOT(Anime!Z247=""),Anime!Z247,"")</f>
        <v/>
      </c>
      <c r="I246" s="16" t="str">
        <f>IF(NOT(Anime!AA247=""),Anime!AA247,"")</f>
        <v/>
      </c>
      <c r="J246" s="17" t="str">
        <f>IF(NOT(Anime!AB247=""),Anime!AB247,"")</f>
        <v/>
      </c>
      <c r="K246" s="18" t="str">
        <f>IF(NOT(Anime!AC247=""),Anime!AC247,"")</f>
        <v/>
      </c>
      <c r="L246" s="19" t="str">
        <f>IF(NOT(Anime!AD247=""),Anime!AD247,"")</f>
        <v/>
      </c>
      <c r="M246" s="72" t="str">
        <f>IF(NOT(Anime!AE247=""),Anime!AE247,"")</f>
        <v/>
      </c>
      <c r="N246" s="21" t="str">
        <f>IF(NOT(Anime!AF247=""),Anime!AF247,"")</f>
        <v/>
      </c>
      <c r="O246" s="129" t="str">
        <f>IF(NOT(Anime!AG247=""),Anime!AG247,"")</f>
        <v/>
      </c>
      <c r="P246" s="21" t="str">
        <f>IF(NOT(Anime!AH247=""),Anime!AH247,"")</f>
        <v/>
      </c>
      <c r="Q246" s="21" t="str">
        <f>IF(NOT(Anime!AI247=""),Anime!AI247,"")</f>
        <v/>
      </c>
      <c r="R246" s="66" t="str">
        <f>IF(NOT(Anime!AJ247=""),Anime!AJ247,"")</f>
        <v/>
      </c>
      <c r="S246" s="135" t="str">
        <f>IF(NOT(Anime!AK253=""),Anime!AK253,"")</f>
        <v/>
      </c>
    </row>
    <row r="247" spans="1:19" ht="16.5">
      <c r="A247" s="12" t="str">
        <f>IF(NOT(Anime!R248=""),Anime!R248,"")</f>
        <v/>
      </c>
      <c r="B247" s="14" t="str">
        <f>IF(NOT(Anime!S248=""),Anime!S248,"")</f>
        <v/>
      </c>
      <c r="C247" s="14" t="str">
        <f>IF(NOT(Anime!T248=""),Anime!T248,"")</f>
        <v/>
      </c>
      <c r="D247" s="68" t="str">
        <f>IF(NOT(Anime!U248=""),Anime!U248,"")</f>
        <v/>
      </c>
      <c r="E247" s="131" t="str">
        <f>IF(NOT(Anime!W248=""),Anime!W248,"")</f>
        <v/>
      </c>
      <c r="F247" s="16" t="str">
        <f>IF(NOT(Anime!X248=""),Anime!X248,"")</f>
        <v/>
      </c>
      <c r="G247" s="16" t="str">
        <f>IF(NOT(Anime!Y248=""),Anime!Y248,"")</f>
        <v/>
      </c>
      <c r="H247" s="16" t="str">
        <f>IF(NOT(Anime!Z248=""),Anime!Z248,"")</f>
        <v/>
      </c>
      <c r="I247" s="16" t="str">
        <f>IF(NOT(Anime!AA248=""),Anime!AA248,"")</f>
        <v/>
      </c>
      <c r="J247" s="17" t="str">
        <f>IF(NOT(Anime!AB248=""),Anime!AB248,"")</f>
        <v/>
      </c>
      <c r="K247" s="18" t="str">
        <f>IF(NOT(Anime!AC248=""),Anime!AC248,"")</f>
        <v/>
      </c>
      <c r="L247" s="19" t="str">
        <f>IF(NOT(Anime!AD248=""),Anime!AD248,"")</f>
        <v/>
      </c>
      <c r="M247" s="72" t="str">
        <f>IF(NOT(Anime!AE248=""),Anime!AE248,"")</f>
        <v/>
      </c>
      <c r="N247" s="21" t="str">
        <f>IF(NOT(Anime!AF248=""),Anime!AF248,"")</f>
        <v/>
      </c>
      <c r="O247" s="129" t="str">
        <f>IF(NOT(Anime!AG248=""),Anime!AG248,"")</f>
        <v/>
      </c>
      <c r="P247" s="21" t="str">
        <f>IF(NOT(Anime!AH248=""),Anime!AH248,"")</f>
        <v/>
      </c>
      <c r="Q247" s="21" t="str">
        <f>IF(NOT(Anime!AI248=""),Anime!AI248,"")</f>
        <v/>
      </c>
      <c r="R247" s="66" t="str">
        <f>IF(NOT(Anime!AJ248=""),Anime!AJ248,"")</f>
        <v/>
      </c>
      <c r="S247" s="135" t="str">
        <f>IF(NOT(Anime!AK254=""),Anime!AK254,"")</f>
        <v/>
      </c>
    </row>
    <row r="248" spans="1:19" ht="16.5">
      <c r="A248" s="12" t="str">
        <f>IF(NOT(Anime!R249=""),Anime!R249,"")</f>
        <v/>
      </c>
      <c r="B248" s="14" t="str">
        <f>IF(NOT(Anime!S249=""),Anime!S249,"")</f>
        <v/>
      </c>
      <c r="C248" s="14" t="str">
        <f>IF(NOT(Anime!T249=""),Anime!T249,"")</f>
        <v/>
      </c>
      <c r="D248" s="68" t="str">
        <f>IF(NOT(Anime!U249=""),Anime!U249,"")</f>
        <v/>
      </c>
      <c r="E248" s="131" t="str">
        <f>IF(NOT(Anime!W249=""),Anime!W249,"")</f>
        <v/>
      </c>
      <c r="F248" s="16" t="str">
        <f>IF(NOT(Anime!X249=""),Anime!X249,"")</f>
        <v/>
      </c>
      <c r="G248" s="16" t="str">
        <f>IF(NOT(Anime!Y249=""),Anime!Y249,"")</f>
        <v/>
      </c>
      <c r="H248" s="16" t="str">
        <f>IF(NOT(Anime!Z249=""),Anime!Z249,"")</f>
        <v/>
      </c>
      <c r="I248" s="16" t="str">
        <f>IF(NOT(Anime!AA249=""),Anime!AA249,"")</f>
        <v/>
      </c>
      <c r="J248" s="17" t="str">
        <f>IF(NOT(Anime!AB249=""),Anime!AB249,"")</f>
        <v/>
      </c>
      <c r="K248" s="18" t="str">
        <f>IF(NOT(Anime!AC249=""),Anime!AC249,"")</f>
        <v/>
      </c>
      <c r="L248" s="19" t="str">
        <f>IF(NOT(Anime!AD249=""),Anime!AD249,"")</f>
        <v/>
      </c>
      <c r="M248" s="72" t="str">
        <f>IF(NOT(Anime!AE249=""),Anime!AE249,"")</f>
        <v/>
      </c>
      <c r="N248" s="21" t="str">
        <f>IF(NOT(Anime!AF249=""),Anime!AF249,"")</f>
        <v/>
      </c>
      <c r="O248" s="129" t="str">
        <f>IF(NOT(Anime!AG249=""),Anime!AG249,"")</f>
        <v/>
      </c>
      <c r="P248" s="21" t="str">
        <f>IF(NOT(Anime!AH249=""),Anime!AH249,"")</f>
        <v/>
      </c>
      <c r="Q248" s="21" t="str">
        <f>IF(NOT(Anime!AI249=""),Anime!AI249,"")</f>
        <v/>
      </c>
      <c r="R248" s="66" t="str">
        <f>IF(NOT(Anime!AJ249=""),Anime!AJ249,"")</f>
        <v/>
      </c>
      <c r="S248" s="135" t="str">
        <f>IF(NOT(Anime!AK255=""),Anime!AK255,"")</f>
        <v/>
      </c>
    </row>
    <row r="249" spans="1:19" ht="16.5">
      <c r="A249" s="12" t="str">
        <f>IF(NOT(Anime!R250=""),Anime!R250,"")</f>
        <v/>
      </c>
      <c r="B249" s="14" t="str">
        <f>IF(NOT(Anime!S250=""),Anime!S250,"")</f>
        <v/>
      </c>
      <c r="C249" s="14" t="str">
        <f>IF(NOT(Anime!T250=""),Anime!T250,"")</f>
        <v/>
      </c>
      <c r="D249" s="68" t="str">
        <f>IF(NOT(Anime!U250=""),Anime!U250,"")</f>
        <v/>
      </c>
      <c r="E249" s="131" t="str">
        <f>IF(NOT(Anime!W250=""),Anime!W250,"")</f>
        <v/>
      </c>
      <c r="F249" s="16" t="str">
        <f>IF(NOT(Anime!X250=""),Anime!X250,"")</f>
        <v/>
      </c>
      <c r="G249" s="16" t="str">
        <f>IF(NOT(Anime!Y250=""),Anime!Y250,"")</f>
        <v/>
      </c>
      <c r="H249" s="16" t="str">
        <f>IF(NOT(Anime!Z250=""),Anime!Z250,"")</f>
        <v/>
      </c>
      <c r="I249" s="16" t="str">
        <f>IF(NOT(Anime!AA250=""),Anime!AA250,"")</f>
        <v/>
      </c>
      <c r="J249" s="17" t="str">
        <f>IF(NOT(Anime!AB250=""),Anime!AB250,"")</f>
        <v/>
      </c>
      <c r="K249" s="18" t="str">
        <f>IF(NOT(Anime!AC250=""),Anime!AC250,"")</f>
        <v/>
      </c>
      <c r="L249" s="19" t="str">
        <f>IF(NOT(Anime!AD250=""),Anime!AD250,"")</f>
        <v/>
      </c>
      <c r="M249" s="72" t="str">
        <f>IF(NOT(Anime!AE250=""),Anime!AE250,"")</f>
        <v/>
      </c>
      <c r="N249" s="21" t="str">
        <f>IF(NOT(Anime!AF250=""),Anime!AF250,"")</f>
        <v/>
      </c>
      <c r="O249" s="129" t="str">
        <f>IF(NOT(Anime!AG250=""),Anime!AG250,"")</f>
        <v/>
      </c>
      <c r="P249" s="21" t="str">
        <f>IF(NOT(Anime!AH250=""),Anime!AH250,"")</f>
        <v/>
      </c>
      <c r="Q249" s="21" t="str">
        <f>IF(NOT(Anime!AI250=""),Anime!AI250,"")</f>
        <v/>
      </c>
      <c r="R249" s="66" t="str">
        <f>IF(NOT(Anime!AJ250=""),Anime!AJ250,"")</f>
        <v/>
      </c>
      <c r="S249" s="135" t="str">
        <f>IF(NOT(Anime!AK256=""),Anime!AK256,"")</f>
        <v/>
      </c>
    </row>
    <row r="250" spans="1:19" ht="16.5">
      <c r="A250" s="12" t="str">
        <f>IF(NOT(Anime!R251=""),Anime!R251,"")</f>
        <v/>
      </c>
      <c r="B250" s="14" t="str">
        <f>IF(NOT(Anime!S251=""),Anime!S251,"")</f>
        <v/>
      </c>
      <c r="C250" s="14" t="str">
        <f>IF(NOT(Anime!T251=""),Anime!T251,"")</f>
        <v/>
      </c>
      <c r="D250" s="68" t="str">
        <f>IF(NOT(Anime!U251=""),Anime!U251,"")</f>
        <v/>
      </c>
      <c r="E250" s="131" t="str">
        <f>IF(NOT(Anime!W251=""),Anime!W251,"")</f>
        <v/>
      </c>
      <c r="F250" s="16" t="str">
        <f>IF(NOT(Anime!X251=""),Anime!X251,"")</f>
        <v/>
      </c>
      <c r="G250" s="16" t="str">
        <f>IF(NOT(Anime!Y251=""),Anime!Y251,"")</f>
        <v/>
      </c>
      <c r="H250" s="16" t="str">
        <f>IF(NOT(Anime!Z251=""),Anime!Z251,"")</f>
        <v/>
      </c>
      <c r="I250" s="16" t="str">
        <f>IF(NOT(Anime!AA251=""),Anime!AA251,"")</f>
        <v/>
      </c>
      <c r="J250" s="17" t="str">
        <f>IF(NOT(Anime!AB251=""),Anime!AB251,"")</f>
        <v/>
      </c>
      <c r="K250" s="18" t="str">
        <f>IF(NOT(Anime!AC251=""),Anime!AC251,"")</f>
        <v/>
      </c>
      <c r="L250" s="19" t="str">
        <f>IF(NOT(Anime!AD251=""),Anime!AD251,"")</f>
        <v/>
      </c>
      <c r="M250" s="72" t="str">
        <f>IF(NOT(Anime!AE251=""),Anime!AE251,"")</f>
        <v/>
      </c>
      <c r="N250" s="21" t="str">
        <f>IF(NOT(Anime!AF251=""),Anime!AF251,"")</f>
        <v/>
      </c>
      <c r="O250" s="129" t="str">
        <f>IF(NOT(Anime!AG251=""),Anime!AG251,"")</f>
        <v/>
      </c>
      <c r="P250" s="21" t="str">
        <f>IF(NOT(Anime!AH251=""),Anime!AH251,"")</f>
        <v/>
      </c>
      <c r="Q250" s="21" t="str">
        <f>IF(NOT(Anime!AI251=""),Anime!AI251,"")</f>
        <v/>
      </c>
      <c r="R250" s="66" t="str">
        <f>IF(NOT(Anime!AJ251=""),Anime!AJ251,"")</f>
        <v/>
      </c>
      <c r="S250" s="135" t="str">
        <f>IF(NOT(Anime!AK257=""),Anime!AK257,"")</f>
        <v/>
      </c>
    </row>
    <row r="251" spans="1:19" ht="16.5">
      <c r="A251" s="12" t="str">
        <f>IF(NOT(Anime!R252=""),Anime!R252,"")</f>
        <v/>
      </c>
      <c r="B251" s="14" t="str">
        <f>IF(NOT(Anime!S252=""),Anime!S252,"")</f>
        <v/>
      </c>
      <c r="C251" s="14" t="str">
        <f>IF(NOT(Anime!T252=""),Anime!T252,"")</f>
        <v/>
      </c>
      <c r="D251" s="68" t="str">
        <f>IF(NOT(Anime!U252=""),Anime!U252,"")</f>
        <v/>
      </c>
      <c r="E251" s="131" t="str">
        <f>IF(NOT(Anime!W252=""),Anime!W252,"")</f>
        <v/>
      </c>
      <c r="F251" s="16" t="str">
        <f>IF(NOT(Anime!X252=""),Anime!X252,"")</f>
        <v/>
      </c>
      <c r="G251" s="16" t="str">
        <f>IF(NOT(Anime!Y252=""),Anime!Y252,"")</f>
        <v/>
      </c>
      <c r="H251" s="16" t="str">
        <f>IF(NOT(Anime!Z252=""),Anime!Z252,"")</f>
        <v/>
      </c>
      <c r="I251" s="16" t="str">
        <f>IF(NOT(Anime!AA252=""),Anime!AA252,"")</f>
        <v/>
      </c>
      <c r="J251" s="17" t="str">
        <f>IF(NOT(Anime!AB252=""),Anime!AB252,"")</f>
        <v/>
      </c>
      <c r="K251" s="18" t="str">
        <f>IF(NOT(Anime!AC252=""),Anime!AC252,"")</f>
        <v/>
      </c>
      <c r="L251" s="19" t="str">
        <f>IF(NOT(Anime!AD252=""),Anime!AD252,"")</f>
        <v/>
      </c>
      <c r="M251" s="72" t="str">
        <f>IF(NOT(Anime!AE252=""),Anime!AE252,"")</f>
        <v/>
      </c>
      <c r="N251" s="21" t="str">
        <f>IF(NOT(Anime!AF252=""),Anime!AF252,"")</f>
        <v/>
      </c>
      <c r="O251" s="129" t="str">
        <f>IF(NOT(Anime!AG252=""),Anime!AG252,"")</f>
        <v/>
      </c>
      <c r="P251" s="21" t="str">
        <f>IF(NOT(Anime!AH252=""),Anime!AH252,"")</f>
        <v/>
      </c>
      <c r="Q251" s="21" t="str">
        <f>IF(NOT(Anime!AI252=""),Anime!AI252,"")</f>
        <v/>
      </c>
      <c r="R251" s="66" t="str">
        <f>IF(NOT(Anime!AJ252=""),Anime!AJ252,"")</f>
        <v/>
      </c>
      <c r="S251" s="135" t="str">
        <f>IF(NOT(Anime!AK258=""),Anime!AK258,"")</f>
        <v/>
      </c>
    </row>
    <row r="252" spans="1:19" ht="16.5">
      <c r="A252" s="12" t="str">
        <f>IF(NOT(Anime!R253=""),Anime!R253,"")</f>
        <v/>
      </c>
      <c r="B252" s="14" t="str">
        <f>IF(NOT(Anime!S253=""),Anime!S253,"")</f>
        <v/>
      </c>
      <c r="C252" s="14" t="str">
        <f>IF(NOT(Anime!T253=""),Anime!T253,"")</f>
        <v/>
      </c>
      <c r="D252" s="68" t="str">
        <f>IF(NOT(Anime!U253=""),Anime!U253,"")</f>
        <v/>
      </c>
      <c r="E252" s="131" t="str">
        <f>IF(NOT(Anime!W253=""),Anime!W253,"")</f>
        <v/>
      </c>
      <c r="F252" s="16" t="str">
        <f>IF(NOT(Anime!X253=""),Anime!X253,"")</f>
        <v/>
      </c>
      <c r="G252" s="16" t="str">
        <f>IF(NOT(Anime!Y253=""),Anime!Y253,"")</f>
        <v/>
      </c>
      <c r="H252" s="16" t="str">
        <f>IF(NOT(Anime!Z253=""),Anime!Z253,"")</f>
        <v/>
      </c>
      <c r="I252" s="16" t="str">
        <f>IF(NOT(Anime!AA253=""),Anime!AA253,"")</f>
        <v/>
      </c>
      <c r="J252" s="17" t="str">
        <f>IF(NOT(Anime!AB253=""),Anime!AB253,"")</f>
        <v/>
      </c>
      <c r="K252" s="18" t="str">
        <f>IF(NOT(Anime!AC253=""),Anime!AC253,"")</f>
        <v/>
      </c>
      <c r="L252" s="19" t="str">
        <f>IF(NOT(Anime!AD253=""),Anime!AD253,"")</f>
        <v/>
      </c>
      <c r="M252" s="72" t="str">
        <f>IF(NOT(Anime!AE253=""),Anime!AE253,"")</f>
        <v/>
      </c>
      <c r="N252" s="21" t="str">
        <f>IF(NOT(Anime!AF253=""),Anime!AF253,"")</f>
        <v/>
      </c>
      <c r="O252" s="129" t="str">
        <f>IF(NOT(Anime!AG253=""),Anime!AG253,"")</f>
        <v/>
      </c>
      <c r="P252" s="21" t="str">
        <f>IF(NOT(Anime!AH253=""),Anime!AH253,"")</f>
        <v/>
      </c>
      <c r="Q252" s="21" t="str">
        <f>IF(NOT(Anime!AI253=""),Anime!AI253,"")</f>
        <v/>
      </c>
      <c r="R252" s="66" t="str">
        <f>IF(NOT(Anime!AJ253=""),Anime!AJ253,"")</f>
        <v/>
      </c>
      <c r="S252" s="135" t="str">
        <f>IF(NOT(Anime!AK259=""),Anime!AK259,"")</f>
        <v/>
      </c>
    </row>
    <row r="253" spans="1:19" ht="16.5">
      <c r="A253" s="12" t="str">
        <f>IF(NOT(Anime!R254=""),Anime!R254,"")</f>
        <v/>
      </c>
      <c r="B253" s="14" t="str">
        <f>IF(NOT(Anime!S254=""),Anime!S254,"")</f>
        <v/>
      </c>
      <c r="C253" s="14" t="str">
        <f>IF(NOT(Anime!T254=""),Anime!T254,"")</f>
        <v/>
      </c>
      <c r="D253" s="68" t="str">
        <f>IF(NOT(Anime!U254=""),Anime!U254,"")</f>
        <v/>
      </c>
      <c r="E253" s="131" t="str">
        <f>IF(NOT(Anime!W254=""),Anime!W254,"")</f>
        <v/>
      </c>
      <c r="F253" s="16" t="str">
        <f>IF(NOT(Anime!X254=""),Anime!X254,"")</f>
        <v/>
      </c>
      <c r="G253" s="16" t="str">
        <f>IF(NOT(Anime!Y254=""),Anime!Y254,"")</f>
        <v/>
      </c>
      <c r="H253" s="16" t="str">
        <f>IF(NOT(Anime!Z254=""),Anime!Z254,"")</f>
        <v/>
      </c>
      <c r="I253" s="16" t="str">
        <f>IF(NOT(Anime!AA254=""),Anime!AA254,"")</f>
        <v/>
      </c>
      <c r="J253" s="17" t="str">
        <f>IF(NOT(Anime!AB254=""),Anime!AB254,"")</f>
        <v/>
      </c>
      <c r="K253" s="18" t="str">
        <f>IF(NOT(Anime!AC254=""),Anime!AC254,"")</f>
        <v/>
      </c>
      <c r="L253" s="19" t="str">
        <f>IF(NOT(Anime!AD254=""),Anime!AD254,"")</f>
        <v/>
      </c>
      <c r="M253" s="72" t="str">
        <f>IF(NOT(Anime!AE254=""),Anime!AE254,"")</f>
        <v/>
      </c>
      <c r="N253" s="21" t="str">
        <f>IF(NOT(Anime!AF254=""),Anime!AF254,"")</f>
        <v/>
      </c>
      <c r="O253" s="129" t="str">
        <f>IF(NOT(Anime!AG254=""),Anime!AG254,"")</f>
        <v/>
      </c>
      <c r="P253" s="21" t="str">
        <f>IF(NOT(Anime!AH254=""),Anime!AH254,"")</f>
        <v/>
      </c>
      <c r="Q253" s="21" t="str">
        <f>IF(NOT(Anime!AI254=""),Anime!AI254,"")</f>
        <v/>
      </c>
      <c r="R253" s="66" t="str">
        <f>IF(NOT(Anime!AJ254=""),Anime!AJ254,"")</f>
        <v/>
      </c>
      <c r="S253" s="135" t="str">
        <f>IF(NOT(Anime!AK260=""),Anime!AK260,"")</f>
        <v/>
      </c>
    </row>
    <row r="254" spans="1:19" ht="16.5">
      <c r="A254" s="12" t="str">
        <f>IF(NOT(Anime!R255=""),Anime!R255,"")</f>
        <v/>
      </c>
      <c r="B254" s="14" t="str">
        <f>IF(NOT(Anime!S255=""),Anime!S255,"")</f>
        <v/>
      </c>
      <c r="C254" s="14" t="str">
        <f>IF(NOT(Anime!T255=""),Anime!T255,"")</f>
        <v/>
      </c>
      <c r="D254" s="68" t="str">
        <f>IF(NOT(Anime!U255=""),Anime!U255,"")</f>
        <v/>
      </c>
      <c r="E254" s="131" t="str">
        <f>IF(NOT(Anime!W255=""),Anime!W255,"")</f>
        <v/>
      </c>
      <c r="F254" s="16" t="str">
        <f>IF(NOT(Anime!X255=""),Anime!X255,"")</f>
        <v/>
      </c>
      <c r="G254" s="16" t="str">
        <f>IF(NOT(Anime!Y255=""),Anime!Y255,"")</f>
        <v/>
      </c>
      <c r="H254" s="16" t="str">
        <f>IF(NOT(Anime!Z255=""),Anime!Z255,"")</f>
        <v/>
      </c>
      <c r="I254" s="16" t="str">
        <f>IF(NOT(Anime!AA255=""),Anime!AA255,"")</f>
        <v/>
      </c>
      <c r="J254" s="17" t="str">
        <f>IF(NOT(Anime!AB255=""),Anime!AB255,"")</f>
        <v/>
      </c>
      <c r="K254" s="18" t="str">
        <f>IF(NOT(Anime!AC255=""),Anime!AC255,"")</f>
        <v/>
      </c>
      <c r="L254" s="19" t="str">
        <f>IF(NOT(Anime!AD255=""),Anime!AD255,"")</f>
        <v/>
      </c>
      <c r="M254" s="72" t="str">
        <f>IF(NOT(Anime!AE255=""),Anime!AE255,"")</f>
        <v/>
      </c>
      <c r="N254" s="21" t="str">
        <f>IF(NOT(Anime!AF255=""),Anime!AF255,"")</f>
        <v/>
      </c>
      <c r="O254" s="129" t="str">
        <f>IF(NOT(Anime!AG255=""),Anime!AG255,"")</f>
        <v/>
      </c>
      <c r="P254" s="21" t="str">
        <f>IF(NOT(Anime!AH255=""),Anime!AH255,"")</f>
        <v/>
      </c>
      <c r="Q254" s="21" t="str">
        <f>IF(NOT(Anime!AI255=""),Anime!AI255,"")</f>
        <v/>
      </c>
      <c r="R254" s="66" t="str">
        <f>IF(NOT(Anime!AJ255=""),Anime!AJ255,"")</f>
        <v/>
      </c>
      <c r="S254" s="135" t="str">
        <f>IF(NOT(Anime!AK261=""),Anime!AK261,"")</f>
        <v/>
      </c>
    </row>
    <row r="255" spans="1:19" ht="16.5">
      <c r="A255" s="12" t="str">
        <f>IF(NOT(Anime!R256=""),Anime!R256,"")</f>
        <v/>
      </c>
      <c r="B255" s="14" t="str">
        <f>IF(NOT(Anime!S256=""),Anime!S256,"")</f>
        <v/>
      </c>
      <c r="C255" s="14" t="str">
        <f>IF(NOT(Anime!T256=""),Anime!T256,"")</f>
        <v/>
      </c>
      <c r="D255" s="68" t="str">
        <f>IF(NOT(Anime!U256=""),Anime!U256,"")</f>
        <v/>
      </c>
      <c r="E255" s="131" t="str">
        <f>IF(NOT(Anime!W256=""),Anime!W256,"")</f>
        <v/>
      </c>
      <c r="F255" s="16" t="str">
        <f>IF(NOT(Anime!X256=""),Anime!X256,"")</f>
        <v/>
      </c>
      <c r="G255" s="16" t="str">
        <f>IF(NOT(Anime!Y256=""),Anime!Y256,"")</f>
        <v/>
      </c>
      <c r="H255" s="16" t="str">
        <f>IF(NOT(Anime!Z256=""),Anime!Z256,"")</f>
        <v/>
      </c>
      <c r="I255" s="16" t="str">
        <f>IF(NOT(Anime!AA256=""),Anime!AA256,"")</f>
        <v/>
      </c>
      <c r="J255" s="17" t="str">
        <f>IF(NOT(Anime!AB256=""),Anime!AB256,"")</f>
        <v/>
      </c>
      <c r="K255" s="18" t="str">
        <f>IF(NOT(Anime!AC256=""),Anime!AC256,"")</f>
        <v/>
      </c>
      <c r="L255" s="19" t="str">
        <f>IF(NOT(Anime!AD256=""),Anime!AD256,"")</f>
        <v/>
      </c>
      <c r="M255" s="72" t="str">
        <f>IF(NOT(Anime!AE256=""),Anime!AE256,"")</f>
        <v/>
      </c>
      <c r="N255" s="21" t="str">
        <f>IF(NOT(Anime!AF256=""),Anime!AF256,"")</f>
        <v/>
      </c>
      <c r="O255" s="129" t="str">
        <f>IF(NOT(Anime!AG256=""),Anime!AG256,"")</f>
        <v/>
      </c>
      <c r="P255" s="21" t="str">
        <f>IF(NOT(Anime!AH256=""),Anime!AH256,"")</f>
        <v/>
      </c>
      <c r="Q255" s="21" t="str">
        <f>IF(NOT(Anime!AI256=""),Anime!AI256,"")</f>
        <v/>
      </c>
      <c r="R255" s="66" t="str">
        <f>IF(NOT(Anime!AJ256=""),Anime!AJ256,"")</f>
        <v/>
      </c>
      <c r="S255" s="135" t="str">
        <f>IF(NOT(Anime!AK262=""),Anime!AK262,"")</f>
        <v/>
      </c>
    </row>
    <row r="256" spans="1:19" ht="16.5">
      <c r="A256" s="12" t="str">
        <f>IF(NOT(Anime!R257=""),Anime!R257,"")</f>
        <v/>
      </c>
      <c r="B256" s="14" t="str">
        <f>IF(NOT(Anime!S257=""),Anime!S257,"")</f>
        <v/>
      </c>
      <c r="C256" s="14" t="str">
        <f>IF(NOT(Anime!T257=""),Anime!T257,"")</f>
        <v/>
      </c>
      <c r="D256" s="68" t="str">
        <f>IF(NOT(Anime!U257=""),Anime!U257,"")</f>
        <v/>
      </c>
      <c r="E256" s="131" t="str">
        <f>IF(NOT(Anime!W257=""),Anime!W257,"")</f>
        <v/>
      </c>
      <c r="F256" s="16" t="str">
        <f>IF(NOT(Anime!X257=""),Anime!X257,"")</f>
        <v/>
      </c>
      <c r="G256" s="16" t="str">
        <f>IF(NOT(Anime!Y257=""),Anime!Y257,"")</f>
        <v/>
      </c>
      <c r="H256" s="16" t="str">
        <f>IF(NOT(Anime!Z257=""),Anime!Z257,"")</f>
        <v/>
      </c>
      <c r="I256" s="16" t="str">
        <f>IF(NOT(Anime!AA257=""),Anime!AA257,"")</f>
        <v/>
      </c>
      <c r="J256" s="17" t="str">
        <f>IF(NOT(Anime!AB257=""),Anime!AB257,"")</f>
        <v/>
      </c>
      <c r="K256" s="18" t="str">
        <f>IF(NOT(Anime!AC257=""),Anime!AC257,"")</f>
        <v/>
      </c>
      <c r="L256" s="19" t="str">
        <f>IF(NOT(Anime!AD257=""),Anime!AD257,"")</f>
        <v/>
      </c>
      <c r="M256" s="72" t="str">
        <f>IF(NOT(Anime!AE257=""),Anime!AE257,"")</f>
        <v/>
      </c>
      <c r="N256" s="21" t="str">
        <f>IF(NOT(Anime!AF257=""),Anime!AF257,"")</f>
        <v/>
      </c>
      <c r="O256" s="129" t="str">
        <f>IF(NOT(Anime!AG257=""),Anime!AG257,"")</f>
        <v/>
      </c>
      <c r="P256" s="21" t="str">
        <f>IF(NOT(Anime!AH257=""),Anime!AH257,"")</f>
        <v/>
      </c>
      <c r="Q256" s="21" t="str">
        <f>IF(NOT(Anime!AI257=""),Anime!AI257,"")</f>
        <v/>
      </c>
      <c r="R256" s="66" t="str">
        <f>IF(NOT(Anime!AJ257=""),Anime!AJ257,"")</f>
        <v/>
      </c>
      <c r="S256" s="135" t="str">
        <f>IF(NOT(Anime!AK263=""),Anime!AK263,"")</f>
        <v/>
      </c>
    </row>
    <row r="257" spans="1:19" ht="16.5">
      <c r="A257" s="12" t="str">
        <f>IF(NOT(Anime!R258=""),Anime!R258,"")</f>
        <v/>
      </c>
      <c r="B257" s="14" t="str">
        <f>IF(NOT(Anime!S258=""),Anime!S258,"")</f>
        <v/>
      </c>
      <c r="C257" s="14" t="str">
        <f>IF(NOT(Anime!T258=""),Anime!T258,"")</f>
        <v/>
      </c>
      <c r="D257" s="68" t="str">
        <f>IF(NOT(Anime!U258=""),Anime!U258,"")</f>
        <v/>
      </c>
      <c r="E257" s="131" t="str">
        <f>IF(NOT(Anime!W258=""),Anime!W258,"")</f>
        <v/>
      </c>
      <c r="F257" s="16" t="str">
        <f>IF(NOT(Anime!X258=""),Anime!X258,"")</f>
        <v/>
      </c>
      <c r="G257" s="16" t="str">
        <f>IF(NOT(Anime!Y258=""),Anime!Y258,"")</f>
        <v/>
      </c>
      <c r="H257" s="16" t="str">
        <f>IF(NOT(Anime!Z258=""),Anime!Z258,"")</f>
        <v/>
      </c>
      <c r="I257" s="16" t="str">
        <f>IF(NOT(Anime!AA258=""),Anime!AA258,"")</f>
        <v/>
      </c>
      <c r="J257" s="17" t="str">
        <f>IF(NOT(Anime!AB258=""),Anime!AB258,"")</f>
        <v/>
      </c>
      <c r="K257" s="18" t="str">
        <f>IF(NOT(Anime!AC258=""),Anime!AC258,"")</f>
        <v/>
      </c>
      <c r="L257" s="19" t="str">
        <f>IF(NOT(Anime!AD258=""),Anime!AD258,"")</f>
        <v/>
      </c>
      <c r="M257" s="72" t="str">
        <f>IF(NOT(Anime!AE258=""),Anime!AE258,"")</f>
        <v/>
      </c>
      <c r="N257" s="21" t="str">
        <f>IF(NOT(Anime!AF258=""),Anime!AF258,"")</f>
        <v/>
      </c>
      <c r="O257" s="129" t="str">
        <f>IF(NOT(Anime!AG258=""),Anime!AG258,"")</f>
        <v/>
      </c>
      <c r="P257" s="21" t="str">
        <f>IF(NOT(Anime!AH258=""),Anime!AH258,"")</f>
        <v/>
      </c>
      <c r="Q257" s="21" t="str">
        <f>IF(NOT(Anime!AI258=""),Anime!AI258,"")</f>
        <v/>
      </c>
      <c r="R257" s="66" t="str">
        <f>IF(NOT(Anime!AJ258=""),Anime!AJ258,"")</f>
        <v/>
      </c>
      <c r="S257" s="135" t="str">
        <f>IF(NOT(Anime!AK264=""),Anime!AK264,"")</f>
        <v/>
      </c>
    </row>
    <row r="258" spans="1:19" ht="16.5">
      <c r="A258" s="12" t="str">
        <f>IF(NOT(Anime!R259=""),Anime!R259,"")</f>
        <v/>
      </c>
      <c r="B258" s="14" t="str">
        <f>IF(NOT(Anime!S259=""),Anime!S259,"")</f>
        <v/>
      </c>
      <c r="C258" s="14" t="str">
        <f>IF(NOT(Anime!T259=""),Anime!T259,"")</f>
        <v/>
      </c>
      <c r="D258" s="68" t="str">
        <f>IF(NOT(Anime!U259=""),Anime!U259,"")</f>
        <v/>
      </c>
      <c r="E258" s="131" t="str">
        <f>IF(NOT(Anime!W259=""),Anime!W259,"")</f>
        <v/>
      </c>
      <c r="F258" s="16" t="str">
        <f>IF(NOT(Anime!X259=""),Anime!X259,"")</f>
        <v/>
      </c>
      <c r="G258" s="16" t="str">
        <f>IF(NOT(Anime!Y259=""),Anime!Y259,"")</f>
        <v/>
      </c>
      <c r="H258" s="16" t="str">
        <f>IF(NOT(Anime!Z259=""),Anime!Z259,"")</f>
        <v/>
      </c>
      <c r="I258" s="16" t="str">
        <f>IF(NOT(Anime!AA259=""),Anime!AA259,"")</f>
        <v/>
      </c>
      <c r="J258" s="17" t="str">
        <f>IF(NOT(Anime!AB259=""),Anime!AB259,"")</f>
        <v/>
      </c>
      <c r="K258" s="18" t="str">
        <f>IF(NOT(Anime!AC259=""),Anime!AC259,"")</f>
        <v/>
      </c>
      <c r="L258" s="19" t="str">
        <f>IF(NOT(Anime!AD259=""),Anime!AD259,"")</f>
        <v/>
      </c>
      <c r="M258" s="72" t="str">
        <f>IF(NOT(Anime!AE259=""),Anime!AE259,"")</f>
        <v/>
      </c>
      <c r="N258" s="21" t="str">
        <f>IF(NOT(Anime!AF259=""),Anime!AF259,"")</f>
        <v/>
      </c>
      <c r="O258" s="129" t="str">
        <f>IF(NOT(Anime!AG259=""),Anime!AG259,"")</f>
        <v/>
      </c>
      <c r="P258" s="21" t="str">
        <f>IF(NOT(Anime!AH259=""),Anime!AH259,"")</f>
        <v/>
      </c>
      <c r="Q258" s="21" t="str">
        <f>IF(NOT(Anime!AI259=""),Anime!AI259,"")</f>
        <v/>
      </c>
      <c r="R258" s="66" t="str">
        <f>IF(NOT(Anime!AJ259=""),Anime!AJ259,"")</f>
        <v/>
      </c>
      <c r="S258" s="135" t="str">
        <f>IF(NOT(Anime!AK265=""),Anime!AK265,"")</f>
        <v/>
      </c>
    </row>
    <row r="259" spans="1:19" ht="16.5">
      <c r="A259" s="12" t="str">
        <f>IF(NOT(Anime!R260=""),Anime!R260,"")</f>
        <v/>
      </c>
      <c r="B259" s="14" t="str">
        <f>IF(NOT(Anime!S260=""),Anime!S260,"")</f>
        <v/>
      </c>
      <c r="C259" s="14" t="str">
        <f>IF(NOT(Anime!T260=""),Anime!T260,"")</f>
        <v/>
      </c>
      <c r="D259" s="68" t="str">
        <f>IF(NOT(Anime!U260=""),Anime!U260,"")</f>
        <v/>
      </c>
      <c r="E259" s="131" t="str">
        <f>IF(NOT(Anime!W260=""),Anime!W260,"")</f>
        <v/>
      </c>
      <c r="F259" s="16" t="str">
        <f>IF(NOT(Anime!X260=""),Anime!X260,"")</f>
        <v/>
      </c>
      <c r="G259" s="16" t="str">
        <f>IF(NOT(Anime!Y260=""),Anime!Y260,"")</f>
        <v/>
      </c>
      <c r="H259" s="16" t="str">
        <f>IF(NOT(Anime!Z260=""),Anime!Z260,"")</f>
        <v/>
      </c>
      <c r="I259" s="16" t="str">
        <f>IF(NOT(Anime!AA260=""),Anime!AA260,"")</f>
        <v/>
      </c>
      <c r="J259" s="17" t="str">
        <f>IF(NOT(Anime!AB260=""),Anime!AB260,"")</f>
        <v/>
      </c>
      <c r="K259" s="18" t="str">
        <f>IF(NOT(Anime!AC260=""),Anime!AC260,"")</f>
        <v/>
      </c>
      <c r="L259" s="19" t="str">
        <f>IF(NOT(Anime!AD260=""),Anime!AD260,"")</f>
        <v/>
      </c>
      <c r="M259" s="72" t="str">
        <f>IF(NOT(Anime!AE260=""),Anime!AE260,"")</f>
        <v/>
      </c>
      <c r="N259" s="21" t="str">
        <f>IF(NOT(Anime!AF260=""),Anime!AF260,"")</f>
        <v/>
      </c>
      <c r="O259" s="129" t="str">
        <f>IF(NOT(Anime!AG260=""),Anime!AG260,"")</f>
        <v/>
      </c>
      <c r="P259" s="21" t="str">
        <f>IF(NOT(Anime!AH260=""),Anime!AH260,"")</f>
        <v/>
      </c>
      <c r="Q259" s="21" t="str">
        <f>IF(NOT(Anime!AI260=""),Anime!AI260,"")</f>
        <v/>
      </c>
      <c r="R259" s="66" t="str">
        <f>IF(NOT(Anime!AJ260=""),Anime!AJ260,"")</f>
        <v/>
      </c>
      <c r="S259" s="135" t="str">
        <f>IF(NOT(Anime!AK266=""),Anime!AK266,"")</f>
        <v/>
      </c>
    </row>
    <row r="260" spans="1:19" ht="16.5">
      <c r="A260" s="12" t="str">
        <f>IF(NOT(Anime!R261=""),Anime!R261,"")</f>
        <v/>
      </c>
      <c r="B260" s="14" t="str">
        <f>IF(NOT(Anime!S261=""),Anime!S261,"")</f>
        <v/>
      </c>
      <c r="C260" s="14" t="str">
        <f>IF(NOT(Anime!T261=""),Anime!T261,"")</f>
        <v/>
      </c>
      <c r="D260" s="68" t="str">
        <f>IF(NOT(Anime!U261=""),Anime!U261,"")</f>
        <v/>
      </c>
      <c r="E260" s="131" t="str">
        <f>IF(NOT(Anime!W261=""),Anime!W261,"")</f>
        <v/>
      </c>
      <c r="F260" s="16" t="str">
        <f>IF(NOT(Anime!X261=""),Anime!X261,"")</f>
        <v/>
      </c>
      <c r="G260" s="16" t="str">
        <f>IF(NOT(Anime!Y261=""),Anime!Y261,"")</f>
        <v/>
      </c>
      <c r="H260" s="16" t="str">
        <f>IF(NOT(Anime!Z261=""),Anime!Z261,"")</f>
        <v/>
      </c>
      <c r="I260" s="16" t="str">
        <f>IF(NOT(Anime!AA261=""),Anime!AA261,"")</f>
        <v/>
      </c>
      <c r="J260" s="17" t="str">
        <f>IF(NOT(Anime!AB261=""),Anime!AB261,"")</f>
        <v/>
      </c>
      <c r="K260" s="18" t="str">
        <f>IF(NOT(Anime!AC261=""),Anime!AC261,"")</f>
        <v/>
      </c>
      <c r="L260" s="19" t="str">
        <f>IF(NOT(Anime!AD261=""),Anime!AD261,"")</f>
        <v/>
      </c>
      <c r="M260" s="72" t="str">
        <f>IF(NOT(Anime!AE261=""),Anime!AE261,"")</f>
        <v/>
      </c>
      <c r="N260" s="21" t="str">
        <f>IF(NOT(Anime!AF261=""),Anime!AF261,"")</f>
        <v/>
      </c>
      <c r="O260" s="129" t="str">
        <f>IF(NOT(Anime!AG261=""),Anime!AG261,"")</f>
        <v/>
      </c>
      <c r="P260" s="21" t="str">
        <f>IF(NOT(Anime!AH261=""),Anime!AH261,"")</f>
        <v/>
      </c>
      <c r="Q260" s="21" t="str">
        <f>IF(NOT(Anime!AI261=""),Anime!AI261,"")</f>
        <v/>
      </c>
      <c r="R260" s="66" t="str">
        <f>IF(NOT(Anime!AJ261=""),Anime!AJ261,"")</f>
        <v/>
      </c>
      <c r="S260" s="15" t="str">
        <f>IF(NOT(Anime!AK261=""),Anime!AK261,"")</f>
        <v/>
      </c>
    </row>
    <row r="261" spans="1:19" ht="16.5">
      <c r="A261" s="12" t="str">
        <f>IF(NOT(Anime!R262=""),Anime!R262,"")</f>
        <v/>
      </c>
      <c r="B261" s="14" t="str">
        <f>IF(NOT(Anime!S262=""),Anime!S262,"")</f>
        <v/>
      </c>
      <c r="C261" s="14" t="str">
        <f>IF(NOT(Anime!T262=""),Anime!T262,"")</f>
        <v/>
      </c>
      <c r="D261" s="68" t="str">
        <f>IF(NOT(Anime!U262=""),Anime!U262,"")</f>
        <v/>
      </c>
      <c r="E261" s="131" t="str">
        <f>IF(NOT(Anime!W262=""),Anime!W262,"")</f>
        <v/>
      </c>
      <c r="F261" s="16" t="str">
        <f>IF(NOT(Anime!X262=""),Anime!X262,"")</f>
        <v/>
      </c>
      <c r="G261" s="16" t="str">
        <f>IF(NOT(Anime!Y262=""),Anime!Y262,"")</f>
        <v/>
      </c>
      <c r="H261" s="16" t="str">
        <f>IF(NOT(Anime!Z262=""),Anime!Z262,"")</f>
        <v/>
      </c>
      <c r="I261" s="16" t="str">
        <f>IF(NOT(Anime!AA262=""),Anime!AA262,"")</f>
        <v/>
      </c>
      <c r="J261" s="17" t="str">
        <f>IF(NOT(Anime!AB262=""),Anime!AB262,"")</f>
        <v/>
      </c>
      <c r="K261" s="18" t="str">
        <f>IF(NOT(Anime!AC262=""),Anime!AC262,"")</f>
        <v/>
      </c>
      <c r="L261" s="19" t="str">
        <f>IF(NOT(Anime!AD262=""),Anime!AD262,"")</f>
        <v/>
      </c>
      <c r="M261" s="72" t="str">
        <f>IF(NOT(Anime!AE262=""),Anime!AE262,"")</f>
        <v/>
      </c>
      <c r="N261" s="21" t="str">
        <f>IF(NOT(Anime!AF262=""),Anime!AF262,"")</f>
        <v/>
      </c>
      <c r="O261" s="129" t="str">
        <f>IF(NOT(Anime!AG262=""),Anime!AG262,"")</f>
        <v/>
      </c>
      <c r="P261" s="21" t="str">
        <f>IF(NOT(Anime!AH262=""),Anime!AH262,"")</f>
        <v/>
      </c>
      <c r="Q261" s="21" t="str">
        <f>IF(NOT(Anime!AI262=""),Anime!AI262,"")</f>
        <v/>
      </c>
      <c r="R261" s="66" t="str">
        <f>IF(NOT(Anime!AJ262=""),Anime!AJ262,"")</f>
        <v/>
      </c>
      <c r="S261" s="15" t="str">
        <f>IF(NOT(Anime!AK262=""),Anime!AK262,"")</f>
        <v/>
      </c>
    </row>
    <row r="262" spans="1:19" ht="16.5">
      <c r="A262" s="12" t="str">
        <f>IF(NOT(Anime!R263=""),Anime!R263,"")</f>
        <v/>
      </c>
      <c r="B262" s="14" t="str">
        <f>IF(NOT(Anime!S263=""),Anime!S263,"")</f>
        <v/>
      </c>
      <c r="C262" s="14" t="str">
        <f>IF(NOT(Anime!T263=""),Anime!T263,"")</f>
        <v/>
      </c>
      <c r="D262" s="68" t="str">
        <f>IF(NOT(Anime!U263=""),Anime!U263,"")</f>
        <v/>
      </c>
      <c r="E262" s="131" t="str">
        <f>IF(NOT(Anime!W263=""),Anime!W263,"")</f>
        <v/>
      </c>
      <c r="F262" s="16" t="str">
        <f>IF(NOT(Anime!X263=""),Anime!X263,"")</f>
        <v/>
      </c>
      <c r="G262" s="16" t="str">
        <f>IF(NOT(Anime!Y263=""),Anime!Y263,"")</f>
        <v/>
      </c>
      <c r="H262" s="16" t="str">
        <f>IF(NOT(Anime!Z263=""),Anime!Z263,"")</f>
        <v/>
      </c>
      <c r="I262" s="16" t="str">
        <f>IF(NOT(Anime!AA263=""),Anime!AA263,"")</f>
        <v/>
      </c>
      <c r="J262" s="17" t="str">
        <f>IF(NOT(Anime!AB263=""),Anime!AB263,"")</f>
        <v/>
      </c>
      <c r="K262" s="18" t="str">
        <f>IF(NOT(Anime!AC263=""),Anime!AC263,"")</f>
        <v/>
      </c>
      <c r="L262" s="19" t="str">
        <f>IF(NOT(Anime!AD263=""),Anime!AD263,"")</f>
        <v/>
      </c>
      <c r="M262" s="72" t="str">
        <f>IF(NOT(Anime!AE263=""),Anime!AE263,"")</f>
        <v/>
      </c>
      <c r="N262" s="21" t="str">
        <f>IF(NOT(Anime!AF263=""),Anime!AF263,"")</f>
        <v/>
      </c>
      <c r="O262" s="129" t="str">
        <f>IF(NOT(Anime!AG263=""),Anime!AG263,"")</f>
        <v/>
      </c>
      <c r="P262" s="21" t="str">
        <f>IF(NOT(Anime!AH263=""),Anime!AH263,"")</f>
        <v/>
      </c>
      <c r="Q262" s="21" t="str">
        <f>IF(NOT(Anime!AI263=""),Anime!AI263,"")</f>
        <v/>
      </c>
      <c r="R262" s="66" t="str">
        <f>IF(NOT(Anime!AJ263=""),Anime!AJ263,"")</f>
        <v/>
      </c>
      <c r="S262" s="15" t="str">
        <f>IF(NOT(Anime!AK263=""),Anime!AK263,"")</f>
        <v/>
      </c>
    </row>
    <row r="263" spans="1:19" ht="16.5">
      <c r="A263" s="12" t="str">
        <f>IF(NOT(Anime!R264=""),Anime!R264,"")</f>
        <v/>
      </c>
      <c r="B263" s="14" t="str">
        <f>IF(NOT(Anime!S264=""),Anime!S264,"")</f>
        <v/>
      </c>
      <c r="C263" s="14" t="str">
        <f>IF(NOT(Anime!T264=""),Anime!T264,"")</f>
        <v/>
      </c>
      <c r="D263" s="68" t="str">
        <f>IF(NOT(Anime!U264=""),Anime!U264,"")</f>
        <v/>
      </c>
      <c r="E263" s="131" t="str">
        <f>IF(NOT(Anime!W264=""),Anime!W264,"")</f>
        <v/>
      </c>
      <c r="F263" s="16" t="str">
        <f>IF(NOT(Anime!X264=""),Anime!X264,"")</f>
        <v/>
      </c>
      <c r="G263" s="16" t="str">
        <f>IF(NOT(Anime!Y264=""),Anime!Y264,"")</f>
        <v/>
      </c>
      <c r="H263" s="16" t="str">
        <f>IF(NOT(Anime!Z264=""),Anime!Z264,"")</f>
        <v/>
      </c>
      <c r="I263" s="16" t="str">
        <f>IF(NOT(Anime!AA264=""),Anime!AA264,"")</f>
        <v/>
      </c>
      <c r="J263" s="17" t="str">
        <f>IF(NOT(Anime!AB264=""),Anime!AB264,"")</f>
        <v/>
      </c>
      <c r="K263" s="18" t="str">
        <f>IF(NOT(Anime!AC264=""),Anime!AC264,"")</f>
        <v/>
      </c>
      <c r="L263" s="19" t="str">
        <f>IF(NOT(Anime!AD264=""),Anime!AD264,"")</f>
        <v/>
      </c>
      <c r="M263" s="72" t="str">
        <f>IF(NOT(Anime!AE264=""),Anime!AE264,"")</f>
        <v/>
      </c>
      <c r="N263" s="21" t="str">
        <f>IF(NOT(Anime!AF264=""),Anime!AF264,"")</f>
        <v/>
      </c>
      <c r="O263" s="129" t="str">
        <f>IF(NOT(Anime!AG264=""),Anime!AG264,"")</f>
        <v/>
      </c>
      <c r="P263" s="21" t="str">
        <f>IF(NOT(Anime!AH264=""),Anime!AH264,"")</f>
        <v/>
      </c>
      <c r="Q263" s="21" t="str">
        <f>IF(NOT(Anime!AI264=""),Anime!AI264,"")</f>
        <v/>
      </c>
      <c r="R263" s="66" t="str">
        <f>IF(NOT(Anime!AJ264=""),Anime!AJ264,"")</f>
        <v/>
      </c>
      <c r="S263" s="15" t="str">
        <f>IF(NOT(Anime!AK264=""),Anime!AK264,"")</f>
        <v/>
      </c>
    </row>
    <row r="264" spans="1:19" ht="16.5">
      <c r="A264" s="12" t="str">
        <f>IF(NOT(Anime!R265=""),Anime!R265,"")</f>
        <v/>
      </c>
      <c r="B264" s="14" t="str">
        <f>IF(NOT(Anime!S265=""),Anime!S265,"")</f>
        <v/>
      </c>
      <c r="C264" s="14" t="str">
        <f>IF(NOT(Anime!T265=""),Anime!T265,"")</f>
        <v/>
      </c>
      <c r="D264" s="68" t="str">
        <f>IF(NOT(Anime!U265=""),Anime!U265,"")</f>
        <v/>
      </c>
      <c r="E264" s="131" t="str">
        <f>IF(NOT(Anime!W265=""),Anime!W265,"")</f>
        <v/>
      </c>
      <c r="F264" s="16" t="str">
        <f>IF(NOT(Anime!X265=""),Anime!X265,"")</f>
        <v/>
      </c>
      <c r="G264" s="16" t="str">
        <f>IF(NOT(Anime!Y265=""),Anime!Y265,"")</f>
        <v/>
      </c>
      <c r="H264" s="16" t="str">
        <f>IF(NOT(Anime!Z265=""),Anime!Z265,"")</f>
        <v/>
      </c>
      <c r="I264" s="16" t="str">
        <f>IF(NOT(Anime!AA265=""),Anime!AA265,"")</f>
        <v/>
      </c>
      <c r="J264" s="17" t="str">
        <f>IF(NOT(Anime!AB265=""),Anime!AB265,"")</f>
        <v/>
      </c>
      <c r="K264" s="18" t="str">
        <f>IF(NOT(Anime!AC265=""),Anime!AC265,"")</f>
        <v/>
      </c>
      <c r="L264" s="19" t="str">
        <f>IF(NOT(Anime!AD265=""),Anime!AD265,"")</f>
        <v/>
      </c>
      <c r="M264" s="72" t="str">
        <f>IF(NOT(Anime!AE265=""),Anime!AE265,"")</f>
        <v/>
      </c>
      <c r="N264" s="21" t="str">
        <f>IF(NOT(Anime!AF265=""),Anime!AF265,"")</f>
        <v/>
      </c>
      <c r="O264" s="129" t="str">
        <f>IF(NOT(Anime!AG265=""),Anime!AG265,"")</f>
        <v/>
      </c>
      <c r="P264" s="21" t="str">
        <f>IF(NOT(Anime!AH265=""),Anime!AH265,"")</f>
        <v/>
      </c>
      <c r="Q264" s="21" t="str">
        <f>IF(NOT(Anime!AI265=""),Anime!AI265,"")</f>
        <v/>
      </c>
      <c r="R264" s="66" t="str">
        <f>IF(NOT(Anime!AJ265=""),Anime!AJ265,"")</f>
        <v/>
      </c>
      <c r="S264" s="15" t="str">
        <f>IF(NOT(Anime!AK265=""),Anime!AK265,"")</f>
        <v/>
      </c>
    </row>
    <row r="265" spans="1:19" ht="16.5">
      <c r="A265" s="12" t="str">
        <f>IF(NOT(Anime!R266=""),Anime!R266,"")</f>
        <v/>
      </c>
      <c r="B265" s="14" t="str">
        <f>IF(NOT(Anime!S266=""),Anime!S266,"")</f>
        <v/>
      </c>
      <c r="C265" s="14" t="str">
        <f>IF(NOT(Anime!T266=""),Anime!T266,"")</f>
        <v/>
      </c>
      <c r="D265" s="68" t="str">
        <f>IF(NOT(Anime!U266=""),Anime!U266,"")</f>
        <v/>
      </c>
      <c r="E265" s="131" t="str">
        <f>IF(NOT(Anime!W266=""),Anime!W266,"")</f>
        <v/>
      </c>
      <c r="F265" s="16" t="str">
        <f>IF(NOT(Anime!X266=""),Anime!X266,"")</f>
        <v/>
      </c>
      <c r="G265" s="16" t="str">
        <f>IF(NOT(Anime!Y266=""),Anime!Y266,"")</f>
        <v/>
      </c>
      <c r="H265" s="16" t="str">
        <f>IF(NOT(Anime!Z266=""),Anime!Z266,"")</f>
        <v/>
      </c>
      <c r="I265" s="16" t="str">
        <f>IF(NOT(Anime!AA266=""),Anime!AA266,"")</f>
        <v/>
      </c>
      <c r="J265" s="17" t="str">
        <f>IF(NOT(Anime!AB266=""),Anime!AB266,"")</f>
        <v/>
      </c>
      <c r="K265" s="18" t="str">
        <f>IF(NOT(Anime!AC266=""),Anime!AC266,"")</f>
        <v/>
      </c>
      <c r="L265" s="19" t="str">
        <f>IF(NOT(Anime!AD266=""),Anime!AD266,"")</f>
        <v/>
      </c>
      <c r="M265" s="72" t="str">
        <f>IF(NOT(Anime!AE266=""),Anime!AE266,"")</f>
        <v/>
      </c>
      <c r="N265" s="21" t="str">
        <f>IF(NOT(Anime!AF266=""),Anime!AF266,"")</f>
        <v/>
      </c>
      <c r="O265" s="129" t="str">
        <f>IF(NOT(Anime!AG266=""),Anime!AG266,"")</f>
        <v/>
      </c>
      <c r="P265" s="21" t="str">
        <f>IF(NOT(Anime!AH266=""),Anime!AH266,"")</f>
        <v/>
      </c>
      <c r="Q265" s="21" t="str">
        <f>IF(NOT(Anime!AI266=""),Anime!AI266,"")</f>
        <v/>
      </c>
      <c r="R265" s="66" t="str">
        <f>IF(NOT(Anime!AJ266=""),Anime!AJ266,"")</f>
        <v/>
      </c>
      <c r="S265" s="15" t="str">
        <f>IF(NOT(Anime!AK266=""),Anime!AK266,"")</f>
        <v/>
      </c>
    </row>
    <row r="266" spans="1:19" ht="16.5">
      <c r="A266" s="12" t="str">
        <f>IF(NOT(Anime!R267=""),Anime!R267,"")</f>
        <v/>
      </c>
      <c r="B266" s="14" t="str">
        <f>IF(NOT(Anime!S267=""),Anime!S267,"")</f>
        <v/>
      </c>
      <c r="C266" s="14" t="str">
        <f>IF(NOT(Anime!T267=""),Anime!T267,"")</f>
        <v/>
      </c>
      <c r="D266" s="68" t="str">
        <f>IF(NOT(Anime!U267=""),Anime!U267,"")</f>
        <v/>
      </c>
      <c r="E266" s="131" t="str">
        <f>IF(NOT(Anime!W267=""),Anime!W267,"")</f>
        <v/>
      </c>
      <c r="F266" s="16" t="str">
        <f>IF(NOT(Anime!X267=""),Anime!X267,"")</f>
        <v/>
      </c>
      <c r="G266" s="16" t="str">
        <f>IF(NOT(Anime!Y267=""),Anime!Y267,"")</f>
        <v/>
      </c>
      <c r="H266" s="16" t="str">
        <f>IF(NOT(Anime!Z267=""),Anime!Z267,"")</f>
        <v/>
      </c>
      <c r="I266" s="16" t="str">
        <f>IF(NOT(Anime!AA267=""),Anime!AA267,"")</f>
        <v/>
      </c>
      <c r="J266" s="17" t="str">
        <f>IF(NOT(Anime!AB267=""),Anime!AB267,"")</f>
        <v/>
      </c>
      <c r="K266" s="18" t="str">
        <f>IF(NOT(Anime!AC267=""),Anime!AC267,"")</f>
        <v/>
      </c>
      <c r="L266" s="19" t="str">
        <f>IF(NOT(Anime!AD267=""),Anime!AD267,"")</f>
        <v/>
      </c>
      <c r="M266" s="72" t="str">
        <f>IF(NOT(Anime!AE267=""),Anime!AE267,"")</f>
        <v/>
      </c>
      <c r="N266" s="21" t="str">
        <f>IF(NOT(Anime!AF267=""),Anime!AF267,"")</f>
        <v/>
      </c>
      <c r="O266" s="129" t="str">
        <f>IF(NOT(Anime!AG267=""),Anime!AG267,"")</f>
        <v/>
      </c>
      <c r="P266" s="21" t="str">
        <f>IF(NOT(Anime!AH267=""),Anime!AH267,"")</f>
        <v/>
      </c>
      <c r="Q266" s="21" t="str">
        <f>IF(NOT(Anime!AI267=""),Anime!AI267,"")</f>
        <v/>
      </c>
      <c r="R266" s="66" t="str">
        <f>IF(NOT(Anime!AJ267=""),Anime!AJ267,"")</f>
        <v/>
      </c>
      <c r="S266" s="15" t="str">
        <f>IF(NOT(Anime!AK267=""),Anime!AK267,"")</f>
        <v/>
      </c>
    </row>
    <row r="267" spans="1:19" ht="16.5">
      <c r="A267" s="12" t="str">
        <f>IF(NOT(Anime!R268=""),Anime!R268,"")</f>
        <v/>
      </c>
      <c r="B267" s="14" t="str">
        <f>IF(NOT(Anime!S268=""),Anime!S268,"")</f>
        <v/>
      </c>
      <c r="C267" s="14" t="str">
        <f>IF(NOT(Anime!T268=""),Anime!T268,"")</f>
        <v/>
      </c>
      <c r="D267" s="68" t="str">
        <f>IF(NOT(Anime!U268=""),Anime!U268,"")</f>
        <v/>
      </c>
      <c r="E267" s="131" t="str">
        <f>IF(NOT(Anime!W268=""),Anime!W268,"")</f>
        <v/>
      </c>
      <c r="F267" s="16" t="str">
        <f>IF(NOT(Anime!X268=""),Anime!X268,"")</f>
        <v/>
      </c>
      <c r="G267" s="16" t="str">
        <f>IF(NOT(Anime!Y268=""),Anime!Y268,"")</f>
        <v/>
      </c>
      <c r="H267" s="16" t="str">
        <f>IF(NOT(Anime!Z268=""),Anime!Z268,"")</f>
        <v/>
      </c>
      <c r="I267" s="16" t="str">
        <f>IF(NOT(Anime!AA268=""),Anime!AA268,"")</f>
        <v/>
      </c>
      <c r="J267" s="17" t="str">
        <f>IF(NOT(Anime!AB268=""),Anime!AB268,"")</f>
        <v/>
      </c>
      <c r="K267" s="18" t="str">
        <f>IF(NOT(Anime!AC268=""),Anime!AC268,"")</f>
        <v/>
      </c>
      <c r="L267" s="19" t="str">
        <f>IF(NOT(Anime!AD268=""),Anime!AD268,"")</f>
        <v/>
      </c>
      <c r="M267" s="72" t="str">
        <f>IF(NOT(Anime!AE268=""),Anime!AE268,"")</f>
        <v/>
      </c>
      <c r="N267" s="21" t="str">
        <f>IF(NOT(Anime!AF268=""),Anime!AF268,"")</f>
        <v/>
      </c>
      <c r="O267" s="129" t="str">
        <f>IF(NOT(Anime!AG268=""),Anime!AG268,"")</f>
        <v/>
      </c>
      <c r="P267" s="21" t="str">
        <f>IF(NOT(Anime!AH268=""),Anime!AH268,"")</f>
        <v/>
      </c>
      <c r="Q267" s="21" t="str">
        <f>IF(NOT(Anime!AI268=""),Anime!AI268,"")</f>
        <v/>
      </c>
      <c r="R267" s="66" t="str">
        <f>IF(NOT(Anime!AJ268=""),Anime!AJ268,"")</f>
        <v/>
      </c>
      <c r="S267" s="15" t="str">
        <f>IF(NOT(Anime!AK268=""),Anime!AK268,"")</f>
        <v/>
      </c>
    </row>
    <row r="268" spans="1:19" ht="16.5">
      <c r="A268" s="12" t="str">
        <f>IF(NOT(Anime!R269=""),Anime!R269,"")</f>
        <v/>
      </c>
      <c r="B268" s="14" t="str">
        <f>IF(NOT(Anime!S269=""),Anime!S269,"")</f>
        <v/>
      </c>
      <c r="C268" s="14" t="str">
        <f>IF(NOT(Anime!T269=""),Anime!T269,"")</f>
        <v/>
      </c>
      <c r="D268" s="68" t="str">
        <f>IF(NOT(Anime!U269=""),Anime!U269,"")</f>
        <v/>
      </c>
      <c r="E268" s="131" t="str">
        <f>IF(NOT(Anime!W269=""),Anime!W269,"")</f>
        <v/>
      </c>
      <c r="F268" s="16" t="str">
        <f>IF(NOT(Anime!X269=""),Anime!X269,"")</f>
        <v/>
      </c>
      <c r="G268" s="16" t="str">
        <f>IF(NOT(Anime!Y269=""),Anime!Y269,"")</f>
        <v/>
      </c>
      <c r="H268" s="16" t="str">
        <f>IF(NOT(Anime!Z269=""),Anime!Z269,"")</f>
        <v/>
      </c>
      <c r="I268" s="16" t="str">
        <f>IF(NOT(Anime!AA269=""),Anime!AA269,"")</f>
        <v/>
      </c>
      <c r="J268" s="17" t="str">
        <f>IF(NOT(Anime!AB269=""),Anime!AB269,"")</f>
        <v/>
      </c>
      <c r="K268" s="18" t="str">
        <f>IF(NOT(Anime!AC269=""),Anime!AC269,"")</f>
        <v/>
      </c>
      <c r="L268" s="19" t="str">
        <f>IF(NOT(Anime!AD269=""),Anime!AD269,"")</f>
        <v/>
      </c>
      <c r="M268" s="72" t="str">
        <f>IF(NOT(Anime!AE269=""),Anime!AE269,"")</f>
        <v/>
      </c>
      <c r="N268" s="21" t="str">
        <f>IF(NOT(Anime!AF269=""),Anime!AF269,"")</f>
        <v/>
      </c>
      <c r="O268" s="129" t="str">
        <f>IF(NOT(Anime!AG269=""),Anime!AG269,"")</f>
        <v/>
      </c>
      <c r="P268" s="21" t="str">
        <f>IF(NOT(Anime!AH269=""),Anime!AH269,"")</f>
        <v/>
      </c>
      <c r="Q268" s="21" t="str">
        <f>IF(NOT(Anime!AI269=""),Anime!AI269,"")</f>
        <v/>
      </c>
      <c r="R268" s="66" t="str">
        <f>IF(NOT(Anime!AJ269=""),Anime!AJ269,"")</f>
        <v/>
      </c>
      <c r="S268" s="15" t="str">
        <f>IF(NOT(Anime!AK269=""),Anime!AK269,"")</f>
        <v/>
      </c>
    </row>
    <row r="269" spans="1:19" ht="16.5">
      <c r="A269" s="12" t="str">
        <f>IF(NOT(Anime!R270=""),Anime!R270,"")</f>
        <v/>
      </c>
      <c r="B269" s="14" t="str">
        <f>IF(NOT(Anime!S270=""),Anime!S270,"")</f>
        <v/>
      </c>
      <c r="C269" s="14" t="str">
        <f>IF(NOT(Anime!T270=""),Anime!T270,"")</f>
        <v/>
      </c>
      <c r="D269" s="68" t="str">
        <f>IF(NOT(Anime!U270=""),Anime!U270,"")</f>
        <v/>
      </c>
      <c r="E269" s="131" t="str">
        <f>IF(NOT(Anime!W270=""),Anime!W270,"")</f>
        <v/>
      </c>
      <c r="F269" s="16" t="str">
        <f>IF(NOT(Anime!X270=""),Anime!X270,"")</f>
        <v/>
      </c>
      <c r="G269" s="16" t="str">
        <f>IF(NOT(Anime!Y270=""),Anime!Y270,"")</f>
        <v/>
      </c>
      <c r="H269" s="16" t="str">
        <f>IF(NOT(Anime!Z270=""),Anime!Z270,"")</f>
        <v/>
      </c>
      <c r="I269" s="16" t="str">
        <f>IF(NOT(Anime!AA270=""),Anime!AA270,"")</f>
        <v/>
      </c>
      <c r="J269" s="17" t="str">
        <f>IF(NOT(Anime!AB270=""),Anime!AB270,"")</f>
        <v/>
      </c>
      <c r="K269" s="18" t="str">
        <f>IF(NOT(Anime!AC270=""),Anime!AC270,"")</f>
        <v/>
      </c>
      <c r="L269" s="19" t="str">
        <f>IF(NOT(Anime!AD270=""),Anime!AD270,"")</f>
        <v/>
      </c>
      <c r="M269" s="72" t="str">
        <f>IF(NOT(Anime!AE270=""),Anime!AE270,"")</f>
        <v/>
      </c>
      <c r="N269" s="21" t="str">
        <f>IF(NOT(Anime!AF270=""),Anime!AF270,"")</f>
        <v/>
      </c>
      <c r="O269" s="129" t="str">
        <f>IF(NOT(Anime!AG270=""),Anime!AG270,"")</f>
        <v/>
      </c>
      <c r="P269" s="21" t="str">
        <f>IF(NOT(Anime!AH270=""),Anime!AH270,"")</f>
        <v/>
      </c>
      <c r="Q269" s="21" t="str">
        <f>IF(NOT(Anime!AI270=""),Anime!AI270,"")</f>
        <v/>
      </c>
      <c r="R269" s="66" t="str">
        <f>IF(NOT(Anime!AJ270=""),Anime!AJ270,"")</f>
        <v/>
      </c>
      <c r="S269" s="15" t="str">
        <f>IF(NOT(Anime!AK270=""),Anime!AK270,"")</f>
        <v/>
      </c>
    </row>
    <row r="270" spans="1:19" ht="16.5">
      <c r="A270" s="12" t="str">
        <f>IF(NOT(Anime!R271=""),Anime!R271,"")</f>
        <v/>
      </c>
      <c r="B270" s="14" t="str">
        <f>IF(NOT(Anime!S271=""),Anime!S271,"")</f>
        <v/>
      </c>
      <c r="C270" s="14" t="str">
        <f>IF(NOT(Anime!T271=""),Anime!T271,"")</f>
        <v/>
      </c>
      <c r="D270" s="68" t="str">
        <f>IF(NOT(Anime!U271=""),Anime!U271,"")</f>
        <v/>
      </c>
      <c r="E270" s="131" t="str">
        <f>IF(NOT(Anime!W271=""),Anime!W271,"")</f>
        <v/>
      </c>
      <c r="F270" s="16" t="str">
        <f>IF(NOT(Anime!X271=""),Anime!X271,"")</f>
        <v/>
      </c>
      <c r="G270" s="16" t="str">
        <f>IF(NOT(Anime!Y271=""),Anime!Y271,"")</f>
        <v/>
      </c>
      <c r="H270" s="16" t="str">
        <f>IF(NOT(Anime!Z271=""),Anime!Z271,"")</f>
        <v/>
      </c>
      <c r="I270" s="16" t="str">
        <f>IF(NOT(Anime!AA271=""),Anime!AA271,"")</f>
        <v/>
      </c>
      <c r="J270" s="17" t="str">
        <f>IF(NOT(Anime!AB271=""),Anime!AB271,"")</f>
        <v/>
      </c>
      <c r="K270" s="18" t="str">
        <f>IF(NOT(Anime!AC271=""),Anime!AC271,"")</f>
        <v/>
      </c>
      <c r="L270" s="19" t="str">
        <f>IF(NOT(Anime!AD271=""),Anime!AD271,"")</f>
        <v/>
      </c>
      <c r="M270" s="72" t="str">
        <f>IF(NOT(Anime!AE271=""),Anime!AE271,"")</f>
        <v/>
      </c>
      <c r="N270" s="21" t="str">
        <f>IF(NOT(Anime!AF271=""),Anime!AF271,"")</f>
        <v/>
      </c>
      <c r="O270" s="129" t="str">
        <f>IF(NOT(Anime!AG271=""),Anime!AG271,"")</f>
        <v/>
      </c>
      <c r="P270" s="21" t="str">
        <f>IF(NOT(Anime!AH271=""),Anime!AH271,"")</f>
        <v/>
      </c>
      <c r="Q270" s="21" t="str">
        <f>IF(NOT(Anime!AI271=""),Anime!AI271,"")</f>
        <v/>
      </c>
      <c r="R270" s="66" t="str">
        <f>IF(NOT(Anime!AJ271=""),Anime!AJ271,"")</f>
        <v/>
      </c>
      <c r="S270" s="15" t="str">
        <f>IF(NOT(Anime!AK271=""),Anime!AK271,"")</f>
        <v/>
      </c>
    </row>
    <row r="271" spans="1:19" ht="16.5">
      <c r="A271" s="12" t="str">
        <f>IF(NOT(Anime!R272=""),Anime!R272,"")</f>
        <v/>
      </c>
      <c r="B271" s="14" t="str">
        <f>IF(NOT(Anime!S272=""),Anime!S272,"")</f>
        <v/>
      </c>
      <c r="C271" s="14" t="str">
        <f>IF(NOT(Anime!T272=""),Anime!T272,"")</f>
        <v/>
      </c>
      <c r="D271" s="68" t="str">
        <f>IF(NOT(Anime!U272=""),Anime!U272,"")</f>
        <v/>
      </c>
      <c r="E271" s="131" t="str">
        <f>IF(NOT(Anime!W272=""),Anime!W272,"")</f>
        <v/>
      </c>
      <c r="F271" s="16" t="str">
        <f>IF(NOT(Anime!X272=""),Anime!X272,"")</f>
        <v/>
      </c>
      <c r="G271" s="16" t="str">
        <f>IF(NOT(Anime!Y272=""),Anime!Y272,"")</f>
        <v/>
      </c>
      <c r="H271" s="16" t="str">
        <f>IF(NOT(Anime!Z272=""),Anime!Z272,"")</f>
        <v/>
      </c>
      <c r="I271" s="16" t="str">
        <f>IF(NOT(Anime!AA272=""),Anime!AA272,"")</f>
        <v/>
      </c>
      <c r="J271" s="17" t="str">
        <f>IF(NOT(Anime!AB272=""),Anime!AB272,"")</f>
        <v/>
      </c>
      <c r="K271" s="18" t="str">
        <f>IF(NOT(Anime!AC272=""),Anime!AC272,"")</f>
        <v/>
      </c>
      <c r="L271" s="19" t="str">
        <f>IF(NOT(Anime!AD272=""),Anime!AD272,"")</f>
        <v/>
      </c>
      <c r="M271" s="72" t="str">
        <f>IF(NOT(Anime!AE272=""),Anime!AE272,"")</f>
        <v/>
      </c>
      <c r="N271" s="21" t="str">
        <f>IF(NOT(Anime!AF272=""),Anime!AF272,"")</f>
        <v/>
      </c>
      <c r="O271" s="129" t="str">
        <f>IF(NOT(Anime!AG272=""),Anime!AG272,"")</f>
        <v/>
      </c>
      <c r="P271" s="21" t="str">
        <f>IF(NOT(Anime!AH272=""),Anime!AH272,"")</f>
        <v/>
      </c>
      <c r="Q271" s="21" t="str">
        <f>IF(NOT(Anime!AI272=""),Anime!AI272,"")</f>
        <v/>
      </c>
      <c r="R271" s="66" t="str">
        <f>IF(NOT(Anime!AJ272=""),Anime!AJ272,"")</f>
        <v/>
      </c>
      <c r="S271" s="15" t="str">
        <f>IF(NOT(Anime!AK272=""),Anime!AK272,"")</f>
        <v/>
      </c>
    </row>
    <row r="272" spans="1:19" ht="16.5">
      <c r="A272" s="12" t="str">
        <f>IF(NOT(Anime!R273=""),Anime!R273,"")</f>
        <v/>
      </c>
      <c r="B272" s="14" t="str">
        <f>IF(NOT(Anime!S273=""),Anime!S273,"")</f>
        <v/>
      </c>
      <c r="C272" s="14" t="str">
        <f>IF(NOT(Anime!T273=""),Anime!T273,"")</f>
        <v/>
      </c>
      <c r="D272" s="68" t="str">
        <f>IF(NOT(Anime!U273=""),Anime!U273,"")</f>
        <v/>
      </c>
      <c r="E272" s="131" t="str">
        <f>IF(NOT(Anime!W273=""),Anime!W273,"")</f>
        <v/>
      </c>
      <c r="F272" s="16" t="str">
        <f>IF(NOT(Anime!X273=""),Anime!X273,"")</f>
        <v/>
      </c>
      <c r="G272" s="16" t="str">
        <f>IF(NOT(Anime!Y273=""),Anime!Y273,"")</f>
        <v/>
      </c>
      <c r="H272" s="16" t="str">
        <f>IF(NOT(Anime!Z273=""),Anime!Z273,"")</f>
        <v/>
      </c>
      <c r="I272" s="16" t="str">
        <f>IF(NOT(Anime!AA273=""),Anime!AA273,"")</f>
        <v/>
      </c>
      <c r="J272" s="17" t="str">
        <f>IF(NOT(Anime!AB273=""),Anime!AB273,"")</f>
        <v/>
      </c>
      <c r="K272" s="18" t="str">
        <f>IF(NOT(Anime!AC273=""),Anime!AC273,"")</f>
        <v/>
      </c>
      <c r="L272" s="19" t="str">
        <f>IF(NOT(Anime!AD273=""),Anime!AD273,"")</f>
        <v/>
      </c>
      <c r="M272" s="72" t="str">
        <f>IF(NOT(Anime!AE273=""),Anime!AE273,"")</f>
        <v/>
      </c>
      <c r="N272" s="21" t="str">
        <f>IF(NOT(Anime!AF273=""),Anime!AF273,"")</f>
        <v/>
      </c>
      <c r="O272" s="129" t="str">
        <f>IF(NOT(Anime!AG273=""),Anime!AG273,"")</f>
        <v/>
      </c>
      <c r="P272" s="21" t="str">
        <f>IF(NOT(Anime!AH273=""),Anime!AH273,"")</f>
        <v/>
      </c>
      <c r="Q272" s="21" t="str">
        <f>IF(NOT(Anime!AI273=""),Anime!AI273,"")</f>
        <v/>
      </c>
      <c r="R272" s="66" t="str">
        <f>IF(NOT(Anime!AJ273=""),Anime!AJ273,"")</f>
        <v/>
      </c>
      <c r="S272" s="15" t="str">
        <f>IF(NOT(Anime!AK273=""),Anime!AK273,"")</f>
        <v/>
      </c>
    </row>
    <row r="273" spans="1:19" ht="16.5">
      <c r="A273" s="12" t="str">
        <f>IF(NOT(Anime!R274=""),Anime!R274,"")</f>
        <v/>
      </c>
      <c r="B273" s="14" t="str">
        <f>IF(NOT(Anime!S274=""),Anime!S274,"")</f>
        <v/>
      </c>
      <c r="C273" s="14" t="str">
        <f>IF(NOT(Anime!T274=""),Anime!T274,"")</f>
        <v/>
      </c>
      <c r="D273" s="68" t="str">
        <f>IF(NOT(Anime!U274=""),Anime!U274,"")</f>
        <v/>
      </c>
      <c r="E273" s="131" t="str">
        <f>IF(NOT(Anime!W274=""),Anime!W274,"")</f>
        <v/>
      </c>
      <c r="F273" s="16" t="str">
        <f>IF(NOT(Anime!X274=""),Anime!X274,"")</f>
        <v/>
      </c>
      <c r="G273" s="16" t="str">
        <f>IF(NOT(Anime!Y274=""),Anime!Y274,"")</f>
        <v/>
      </c>
      <c r="H273" s="16" t="str">
        <f>IF(NOT(Anime!Z274=""),Anime!Z274,"")</f>
        <v/>
      </c>
      <c r="I273" s="16" t="str">
        <f>IF(NOT(Anime!AA274=""),Anime!AA274,"")</f>
        <v/>
      </c>
      <c r="J273" s="17" t="str">
        <f>IF(NOT(Anime!AB274=""),Anime!AB274,"")</f>
        <v/>
      </c>
      <c r="K273" s="18" t="str">
        <f>IF(NOT(Anime!AC274=""),Anime!AC274,"")</f>
        <v/>
      </c>
      <c r="L273" s="19" t="str">
        <f>IF(NOT(Anime!AD274=""),Anime!AD274,"")</f>
        <v/>
      </c>
      <c r="M273" s="72" t="str">
        <f>IF(NOT(Anime!AE274=""),Anime!AE274,"")</f>
        <v/>
      </c>
      <c r="N273" s="21" t="str">
        <f>IF(NOT(Anime!AF274=""),Anime!AF274,"")</f>
        <v/>
      </c>
      <c r="O273" s="129" t="str">
        <f>IF(NOT(Anime!AG274=""),Anime!AG274,"")</f>
        <v/>
      </c>
      <c r="P273" s="21" t="str">
        <f>IF(NOT(Anime!AH274=""),Anime!AH274,"")</f>
        <v/>
      </c>
      <c r="Q273" s="21" t="str">
        <f>IF(NOT(Anime!AI274=""),Anime!AI274,"")</f>
        <v/>
      </c>
      <c r="R273" s="66" t="str">
        <f>IF(NOT(Anime!AJ274=""),Anime!AJ274,"")</f>
        <v/>
      </c>
      <c r="S273" s="15" t="str">
        <f>IF(NOT(Anime!AK274=""),Anime!AK274,"")</f>
        <v/>
      </c>
    </row>
    <row r="274" spans="1:19" ht="16.5">
      <c r="A274" s="12" t="str">
        <f>IF(NOT(Anime!R275=""),Anime!R275,"")</f>
        <v/>
      </c>
      <c r="B274" s="14" t="str">
        <f>IF(NOT(Anime!S275=""),Anime!S275,"")</f>
        <v/>
      </c>
      <c r="C274" s="14" t="str">
        <f>IF(NOT(Anime!T275=""),Anime!T275,"")</f>
        <v/>
      </c>
      <c r="D274" s="68" t="str">
        <f>IF(NOT(Anime!U275=""),Anime!U275,"")</f>
        <v/>
      </c>
      <c r="E274" s="131" t="str">
        <f>IF(NOT(Anime!W275=""),Anime!W275,"")</f>
        <v/>
      </c>
      <c r="F274" s="16" t="str">
        <f>IF(NOT(Anime!X275=""),Anime!X275,"")</f>
        <v/>
      </c>
      <c r="G274" s="16" t="str">
        <f>IF(NOT(Anime!Y275=""),Anime!Y275,"")</f>
        <v/>
      </c>
      <c r="H274" s="16" t="str">
        <f>IF(NOT(Anime!Z275=""),Anime!Z275,"")</f>
        <v/>
      </c>
      <c r="I274" s="16" t="str">
        <f>IF(NOT(Anime!AA275=""),Anime!AA275,"")</f>
        <v/>
      </c>
      <c r="J274" s="17" t="str">
        <f>IF(NOT(Anime!AB275=""),Anime!AB275,"")</f>
        <v/>
      </c>
      <c r="K274" s="18" t="str">
        <f>IF(NOT(Anime!AC275=""),Anime!AC275,"")</f>
        <v/>
      </c>
      <c r="L274" s="19" t="str">
        <f>IF(NOT(Anime!AD275=""),Anime!AD275,"")</f>
        <v/>
      </c>
      <c r="M274" s="72" t="str">
        <f>IF(NOT(Anime!AE275=""),Anime!AE275,"")</f>
        <v/>
      </c>
      <c r="N274" s="21" t="str">
        <f>IF(NOT(Anime!AF275=""),Anime!AF275,"")</f>
        <v/>
      </c>
      <c r="O274" s="129" t="str">
        <f>IF(NOT(Anime!AG275=""),Anime!AG275,"")</f>
        <v/>
      </c>
      <c r="P274" s="21" t="str">
        <f>IF(NOT(Anime!AH275=""),Anime!AH275,"")</f>
        <v/>
      </c>
      <c r="Q274" s="21" t="str">
        <f>IF(NOT(Anime!AI275=""),Anime!AI275,"")</f>
        <v/>
      </c>
      <c r="R274" s="66" t="str">
        <f>IF(NOT(Anime!AJ275=""),Anime!AJ275,"")</f>
        <v/>
      </c>
      <c r="S274" s="15" t="str">
        <f>IF(NOT(Anime!AK275=""),Anime!AK275,"")</f>
        <v/>
      </c>
    </row>
    <row r="275" spans="1:19" ht="16.5">
      <c r="A275" s="12" t="str">
        <f>IF(NOT(Anime!R276=""),Anime!R276,"")</f>
        <v/>
      </c>
      <c r="B275" s="14" t="str">
        <f>IF(NOT(Anime!S276=""),Anime!S276,"")</f>
        <v/>
      </c>
      <c r="C275" s="14" t="str">
        <f>IF(NOT(Anime!T276=""),Anime!T276,"")</f>
        <v/>
      </c>
      <c r="D275" s="68" t="str">
        <f>IF(NOT(Anime!U276=""),Anime!U276,"")</f>
        <v/>
      </c>
      <c r="E275" s="131" t="str">
        <f>IF(NOT(Anime!W276=""),Anime!W276,"")</f>
        <v/>
      </c>
      <c r="F275" s="16" t="str">
        <f>IF(NOT(Anime!X276=""),Anime!X276,"")</f>
        <v/>
      </c>
      <c r="G275" s="16" t="str">
        <f>IF(NOT(Anime!Y276=""),Anime!Y276,"")</f>
        <v/>
      </c>
      <c r="H275" s="16" t="str">
        <f>IF(NOT(Anime!Z276=""),Anime!Z276,"")</f>
        <v/>
      </c>
      <c r="I275" s="16" t="str">
        <f>IF(NOT(Anime!AA276=""),Anime!AA276,"")</f>
        <v/>
      </c>
      <c r="J275" s="17" t="str">
        <f>IF(NOT(Anime!AB276=""),Anime!AB276,"")</f>
        <v/>
      </c>
      <c r="K275" s="18" t="str">
        <f>IF(NOT(Anime!AC276=""),Anime!AC276,"")</f>
        <v/>
      </c>
      <c r="L275" s="19" t="str">
        <f>IF(NOT(Anime!AD276=""),Anime!AD276,"")</f>
        <v/>
      </c>
      <c r="M275" s="72" t="str">
        <f>IF(NOT(Anime!AE276=""),Anime!AE276,"")</f>
        <v/>
      </c>
      <c r="N275" s="21" t="str">
        <f>IF(NOT(Anime!AF276=""),Anime!AF276,"")</f>
        <v/>
      </c>
      <c r="O275" s="129" t="str">
        <f>IF(NOT(Anime!AG276=""),Anime!AG276,"")</f>
        <v/>
      </c>
      <c r="P275" s="21" t="str">
        <f>IF(NOT(Anime!AH276=""),Anime!AH276,"")</f>
        <v/>
      </c>
      <c r="Q275" s="21" t="str">
        <f>IF(NOT(Anime!AI276=""),Anime!AI276,"")</f>
        <v/>
      </c>
      <c r="R275" s="66" t="str">
        <f>IF(NOT(Anime!AJ276=""),Anime!AJ276,"")</f>
        <v/>
      </c>
      <c r="S275" s="15" t="str">
        <f>IF(NOT(Anime!AK276=""),Anime!AK276,"")</f>
        <v/>
      </c>
    </row>
    <row r="276" spans="1:19" ht="16.5">
      <c r="A276" s="12" t="str">
        <f>IF(NOT(Anime!R277=""),Anime!R277,"")</f>
        <v/>
      </c>
      <c r="B276" s="14" t="str">
        <f>IF(NOT(Anime!S277=""),Anime!S277,"")</f>
        <v/>
      </c>
      <c r="C276" s="14" t="str">
        <f>IF(NOT(Anime!T277=""),Anime!T277,"")</f>
        <v/>
      </c>
      <c r="D276" s="68" t="str">
        <f>IF(NOT(Anime!U277=""),Anime!U277,"")</f>
        <v/>
      </c>
      <c r="E276" s="131" t="str">
        <f>IF(NOT(Anime!W277=""),Anime!W277,"")</f>
        <v/>
      </c>
      <c r="F276" s="16" t="str">
        <f>IF(NOT(Anime!X277=""),Anime!X277,"")</f>
        <v/>
      </c>
      <c r="G276" s="16" t="str">
        <f>IF(NOT(Anime!Y277=""),Anime!Y277,"")</f>
        <v/>
      </c>
      <c r="H276" s="16" t="str">
        <f>IF(NOT(Anime!Z277=""),Anime!Z277,"")</f>
        <v/>
      </c>
      <c r="I276" s="16" t="str">
        <f>IF(NOT(Anime!AA277=""),Anime!AA277,"")</f>
        <v/>
      </c>
      <c r="J276" s="17" t="str">
        <f>IF(NOT(Anime!AB277=""),Anime!AB277,"")</f>
        <v/>
      </c>
      <c r="K276" s="18" t="str">
        <f>IF(NOT(Anime!AC277=""),Anime!AC277,"")</f>
        <v/>
      </c>
      <c r="L276" s="19" t="str">
        <f>IF(NOT(Anime!AD277=""),Anime!AD277,"")</f>
        <v/>
      </c>
      <c r="M276" s="72" t="str">
        <f>IF(NOT(Anime!AE277=""),Anime!AE277,"")</f>
        <v/>
      </c>
      <c r="N276" s="21" t="str">
        <f>IF(NOT(Anime!AF277=""),Anime!AF277,"")</f>
        <v/>
      </c>
      <c r="O276" s="129" t="str">
        <f>IF(NOT(Anime!AG277=""),Anime!AG277,"")</f>
        <v/>
      </c>
      <c r="P276" s="21" t="str">
        <f>IF(NOT(Anime!AH277=""),Anime!AH277,"")</f>
        <v/>
      </c>
      <c r="Q276" s="21" t="str">
        <f>IF(NOT(Anime!AI277=""),Anime!AI277,"")</f>
        <v/>
      </c>
      <c r="R276" s="66" t="str">
        <f>IF(NOT(Anime!AJ277=""),Anime!AJ277,"")</f>
        <v/>
      </c>
      <c r="S276" s="15" t="str">
        <f>IF(NOT(Anime!AK277=""),Anime!AK277,"")</f>
        <v/>
      </c>
    </row>
    <row r="277" spans="1:19" ht="16.5">
      <c r="A277" s="12" t="str">
        <f>IF(NOT(Anime!R278=""),Anime!R278,"")</f>
        <v/>
      </c>
      <c r="B277" s="14" t="str">
        <f>IF(NOT(Anime!S278=""),Anime!S278,"")</f>
        <v/>
      </c>
      <c r="C277" s="14" t="str">
        <f>IF(NOT(Anime!T278=""),Anime!T278,"")</f>
        <v/>
      </c>
      <c r="D277" s="68" t="str">
        <f>IF(NOT(Anime!U278=""),Anime!U278,"")</f>
        <v/>
      </c>
      <c r="E277" s="131" t="str">
        <f>IF(NOT(Anime!W278=""),Anime!W278,"")</f>
        <v/>
      </c>
      <c r="F277" s="16" t="str">
        <f>IF(NOT(Anime!X278=""),Anime!X278,"")</f>
        <v/>
      </c>
      <c r="G277" s="16" t="str">
        <f>IF(NOT(Anime!Y278=""),Anime!Y278,"")</f>
        <v/>
      </c>
      <c r="H277" s="16" t="str">
        <f>IF(NOT(Anime!Z278=""),Anime!Z278,"")</f>
        <v/>
      </c>
      <c r="I277" s="16" t="str">
        <f>IF(NOT(Anime!AA278=""),Anime!AA278,"")</f>
        <v/>
      </c>
      <c r="J277" s="17" t="str">
        <f>IF(NOT(Anime!AB278=""),Anime!AB278,"")</f>
        <v/>
      </c>
      <c r="K277" s="18" t="str">
        <f>IF(NOT(Anime!AC278=""),Anime!AC278,"")</f>
        <v/>
      </c>
      <c r="L277" s="19" t="str">
        <f>IF(NOT(Anime!AD278=""),Anime!AD278,"")</f>
        <v/>
      </c>
      <c r="M277" s="72" t="str">
        <f>IF(NOT(Anime!AE278=""),Anime!AE278,"")</f>
        <v/>
      </c>
      <c r="N277" s="21" t="str">
        <f>IF(NOT(Anime!AF278=""),Anime!AF278,"")</f>
        <v/>
      </c>
      <c r="O277" s="129" t="str">
        <f>IF(NOT(Anime!AG278=""),Anime!AG278,"")</f>
        <v/>
      </c>
      <c r="P277" s="21" t="str">
        <f>IF(NOT(Anime!AH278=""),Anime!AH278,"")</f>
        <v/>
      </c>
      <c r="Q277" s="21" t="str">
        <f>IF(NOT(Anime!AI278=""),Anime!AI278,"")</f>
        <v/>
      </c>
      <c r="R277" s="66" t="str">
        <f>IF(NOT(Anime!AJ278=""),Anime!AJ278,"")</f>
        <v/>
      </c>
      <c r="S277" s="15" t="str">
        <f>IF(NOT(Anime!AK278=""),Anime!AK278,"")</f>
        <v/>
      </c>
    </row>
    <row r="278" spans="1:19" ht="16.5">
      <c r="A278" s="12" t="str">
        <f>IF(NOT(Anime!R279=""),Anime!R279,"")</f>
        <v/>
      </c>
      <c r="B278" s="14" t="str">
        <f>IF(NOT(Anime!S279=""),Anime!S279,"")</f>
        <v/>
      </c>
      <c r="C278" s="14" t="str">
        <f>IF(NOT(Anime!T279=""),Anime!T279,"")</f>
        <v/>
      </c>
      <c r="D278" s="68" t="str">
        <f>IF(NOT(Anime!U279=""),Anime!U279,"")</f>
        <v/>
      </c>
      <c r="E278" s="131" t="str">
        <f>IF(NOT(Anime!W279=""),Anime!W279,"")</f>
        <v/>
      </c>
      <c r="F278" s="16" t="str">
        <f>IF(NOT(Anime!X279=""),Anime!X279,"")</f>
        <v/>
      </c>
      <c r="G278" s="16" t="str">
        <f>IF(NOT(Anime!Y279=""),Anime!Y279,"")</f>
        <v/>
      </c>
      <c r="H278" s="16" t="str">
        <f>IF(NOT(Anime!Z279=""),Anime!Z279,"")</f>
        <v/>
      </c>
      <c r="I278" s="16" t="str">
        <f>IF(NOT(Anime!AA279=""),Anime!AA279,"")</f>
        <v/>
      </c>
      <c r="J278" s="17" t="str">
        <f>IF(NOT(Anime!AB279=""),Anime!AB279,"")</f>
        <v/>
      </c>
      <c r="K278" s="18" t="str">
        <f>IF(NOT(Anime!AC279=""),Anime!AC279,"")</f>
        <v/>
      </c>
      <c r="L278" s="19" t="str">
        <f>IF(NOT(Anime!AD279=""),Anime!AD279,"")</f>
        <v/>
      </c>
      <c r="M278" s="72" t="str">
        <f>IF(NOT(Anime!AE279=""),Anime!AE279,"")</f>
        <v/>
      </c>
      <c r="N278" s="21" t="str">
        <f>IF(NOT(Anime!AF279=""),Anime!AF279,"")</f>
        <v/>
      </c>
      <c r="O278" s="129" t="str">
        <f>IF(NOT(Anime!AG279=""),Anime!AG279,"")</f>
        <v/>
      </c>
      <c r="P278" s="21" t="str">
        <f>IF(NOT(Anime!AH279=""),Anime!AH279,"")</f>
        <v/>
      </c>
      <c r="Q278" s="21" t="str">
        <f>IF(NOT(Anime!AI279=""),Anime!AI279,"")</f>
        <v/>
      </c>
      <c r="R278" s="66" t="str">
        <f>IF(NOT(Anime!AJ279=""),Anime!AJ279,"")</f>
        <v/>
      </c>
      <c r="S278" s="15" t="str">
        <f>IF(NOT(Anime!AK279=""),Anime!AK279,"")</f>
        <v/>
      </c>
    </row>
    <row r="279" spans="1:19" ht="16.5">
      <c r="A279" s="12" t="str">
        <f>IF(NOT(Anime!R280=""),Anime!R280,"")</f>
        <v/>
      </c>
      <c r="B279" s="14" t="str">
        <f>IF(NOT(Anime!S280=""),Anime!S280,"")</f>
        <v/>
      </c>
      <c r="C279" s="14" t="str">
        <f>IF(NOT(Anime!T280=""),Anime!T280,"")</f>
        <v/>
      </c>
      <c r="D279" s="68" t="str">
        <f>IF(NOT(Anime!U280=""),Anime!U280,"")</f>
        <v/>
      </c>
      <c r="E279" s="131" t="str">
        <f>IF(NOT(Anime!W280=""),Anime!W280,"")</f>
        <v/>
      </c>
      <c r="F279" s="16" t="str">
        <f>IF(NOT(Anime!X280=""),Anime!X280,"")</f>
        <v/>
      </c>
      <c r="G279" s="16" t="str">
        <f>IF(NOT(Anime!Y280=""),Anime!Y280,"")</f>
        <v/>
      </c>
      <c r="H279" s="16" t="str">
        <f>IF(NOT(Anime!Z280=""),Anime!Z280,"")</f>
        <v/>
      </c>
      <c r="I279" s="16" t="str">
        <f>IF(NOT(Anime!AA280=""),Anime!AA280,"")</f>
        <v/>
      </c>
      <c r="J279" s="17" t="str">
        <f>IF(NOT(Anime!AB280=""),Anime!AB280,"")</f>
        <v/>
      </c>
      <c r="K279" s="18" t="str">
        <f>IF(NOT(Anime!AC280=""),Anime!AC280,"")</f>
        <v/>
      </c>
      <c r="L279" s="19" t="str">
        <f>IF(NOT(Anime!AD280=""),Anime!AD280,"")</f>
        <v/>
      </c>
      <c r="M279" s="72" t="str">
        <f>IF(NOT(Anime!AE280=""),Anime!AE280,"")</f>
        <v/>
      </c>
      <c r="N279" s="21" t="str">
        <f>IF(NOT(Anime!AF280=""),Anime!AF280,"")</f>
        <v/>
      </c>
      <c r="O279" s="129" t="str">
        <f>IF(NOT(Anime!AG280=""),Anime!AG280,"")</f>
        <v/>
      </c>
      <c r="P279" s="21" t="str">
        <f>IF(NOT(Anime!AH280=""),Anime!AH280,"")</f>
        <v/>
      </c>
      <c r="Q279" s="21" t="str">
        <f>IF(NOT(Anime!AI280=""),Anime!AI280,"")</f>
        <v/>
      </c>
      <c r="R279" s="66" t="str">
        <f>IF(NOT(Anime!AJ280=""),Anime!AJ280,"")</f>
        <v/>
      </c>
      <c r="S279" s="15" t="str">
        <f>IF(NOT(Anime!AK280=""),Anime!AK280,"")</f>
        <v/>
      </c>
    </row>
    <row r="280" spans="1:19" ht="16.5">
      <c r="A280" s="12" t="str">
        <f>IF(NOT(Anime!R281=""),Anime!R281,"")</f>
        <v/>
      </c>
      <c r="B280" s="14" t="str">
        <f>IF(NOT(Anime!S281=""),Anime!S281,"")</f>
        <v/>
      </c>
      <c r="C280" s="14" t="str">
        <f>IF(NOT(Anime!T281=""),Anime!T281,"")</f>
        <v/>
      </c>
      <c r="D280" s="68" t="str">
        <f>IF(NOT(Anime!U281=""),Anime!U281,"")</f>
        <v/>
      </c>
      <c r="E280" s="131" t="str">
        <f>IF(NOT(Anime!W281=""),Anime!W281,"")</f>
        <v/>
      </c>
      <c r="F280" s="16" t="str">
        <f>IF(NOT(Anime!X281=""),Anime!X281,"")</f>
        <v/>
      </c>
      <c r="G280" s="16" t="str">
        <f>IF(NOT(Anime!Y281=""),Anime!Y281,"")</f>
        <v/>
      </c>
      <c r="H280" s="16" t="str">
        <f>IF(NOT(Anime!Z281=""),Anime!Z281,"")</f>
        <v/>
      </c>
      <c r="I280" s="16" t="str">
        <f>IF(NOT(Anime!AA281=""),Anime!AA281,"")</f>
        <v/>
      </c>
      <c r="J280" s="17" t="str">
        <f>IF(NOT(Anime!AB281=""),Anime!AB281,"")</f>
        <v/>
      </c>
      <c r="K280" s="18" t="str">
        <f>IF(NOT(Anime!AC281=""),Anime!AC281,"")</f>
        <v/>
      </c>
      <c r="L280" s="19" t="str">
        <f>IF(NOT(Anime!AD281=""),Anime!AD281,"")</f>
        <v/>
      </c>
      <c r="M280" s="72" t="str">
        <f>IF(NOT(Anime!AE281=""),Anime!AE281,"")</f>
        <v/>
      </c>
      <c r="N280" s="21" t="str">
        <f>IF(NOT(Anime!AF281=""),Anime!AF281,"")</f>
        <v/>
      </c>
      <c r="O280" s="129" t="str">
        <f>IF(NOT(Anime!AG281=""),Anime!AG281,"")</f>
        <v/>
      </c>
      <c r="P280" s="21" t="str">
        <f>IF(NOT(Anime!AH281=""),Anime!AH281,"")</f>
        <v/>
      </c>
      <c r="Q280" s="21" t="str">
        <f>IF(NOT(Anime!AI281=""),Anime!AI281,"")</f>
        <v/>
      </c>
      <c r="R280" s="66" t="str">
        <f>IF(NOT(Anime!AJ281=""),Anime!AJ281,"")</f>
        <v/>
      </c>
      <c r="S280" s="15" t="str">
        <f>IF(NOT(Anime!AK281=""),Anime!AK281,"")</f>
        <v/>
      </c>
    </row>
    <row r="281" spans="1:19" ht="16.5">
      <c r="A281" s="12" t="str">
        <f>IF(NOT(Anime!R282=""),Anime!R282,"")</f>
        <v/>
      </c>
      <c r="B281" s="14" t="str">
        <f>IF(NOT(Anime!S282=""),Anime!S282,"")</f>
        <v/>
      </c>
      <c r="C281" s="14" t="str">
        <f>IF(NOT(Anime!T282=""),Anime!T282,"")</f>
        <v/>
      </c>
      <c r="D281" s="68" t="str">
        <f>IF(NOT(Anime!U282=""),Anime!U282,"")</f>
        <v/>
      </c>
      <c r="E281" s="131" t="str">
        <f>IF(NOT(Anime!W282=""),Anime!W282,"")</f>
        <v/>
      </c>
      <c r="F281" s="16" t="str">
        <f>IF(NOT(Anime!X282=""),Anime!X282,"")</f>
        <v/>
      </c>
      <c r="G281" s="16" t="str">
        <f>IF(NOT(Anime!Y282=""),Anime!Y282,"")</f>
        <v/>
      </c>
      <c r="H281" s="16" t="str">
        <f>IF(NOT(Anime!Z282=""),Anime!Z282,"")</f>
        <v/>
      </c>
      <c r="I281" s="16" t="str">
        <f>IF(NOT(Anime!AA282=""),Anime!AA282,"")</f>
        <v/>
      </c>
      <c r="J281" s="17" t="str">
        <f>IF(NOT(Anime!AB282=""),Anime!AB282,"")</f>
        <v/>
      </c>
      <c r="K281" s="18" t="str">
        <f>IF(NOT(Anime!AC282=""),Anime!AC282,"")</f>
        <v/>
      </c>
      <c r="L281" s="19" t="str">
        <f>IF(NOT(Anime!AD282=""),Anime!AD282,"")</f>
        <v/>
      </c>
      <c r="M281" s="72" t="str">
        <f>IF(NOT(Anime!AE282=""),Anime!AE282,"")</f>
        <v/>
      </c>
      <c r="N281" s="21" t="str">
        <f>IF(NOT(Anime!AF282=""),Anime!AF282,"")</f>
        <v/>
      </c>
      <c r="O281" s="129" t="str">
        <f>IF(NOT(Anime!AG282=""),Anime!AG282,"")</f>
        <v/>
      </c>
      <c r="P281" s="21" t="str">
        <f>IF(NOT(Anime!AH282=""),Anime!AH282,"")</f>
        <v/>
      </c>
      <c r="Q281" s="21" t="str">
        <f>IF(NOT(Anime!AI282=""),Anime!AI282,"")</f>
        <v/>
      </c>
      <c r="R281" s="66" t="str">
        <f>IF(NOT(Anime!AJ282=""),Anime!AJ282,"")</f>
        <v/>
      </c>
      <c r="S281" s="15" t="str">
        <f>IF(NOT(Anime!AK282=""),Anime!AK282,"")</f>
        <v/>
      </c>
    </row>
    <row r="282" spans="1:19" ht="16.5">
      <c r="A282" s="12" t="str">
        <f>IF(NOT(Anime!R283=""),Anime!R283,"")</f>
        <v/>
      </c>
      <c r="B282" s="14" t="str">
        <f>IF(NOT(Anime!S283=""),Anime!S283,"")</f>
        <v/>
      </c>
      <c r="C282" s="14" t="str">
        <f>IF(NOT(Anime!T283=""),Anime!T283,"")</f>
        <v/>
      </c>
      <c r="D282" s="68" t="str">
        <f>IF(NOT(Anime!U283=""),Anime!U283,"")</f>
        <v/>
      </c>
      <c r="E282" s="131" t="str">
        <f>IF(NOT(Anime!W283=""),Anime!W283,"")</f>
        <v/>
      </c>
      <c r="F282" s="16" t="str">
        <f>IF(NOT(Anime!X283=""),Anime!X283,"")</f>
        <v/>
      </c>
      <c r="G282" s="16" t="str">
        <f>IF(NOT(Anime!Y283=""),Anime!Y283,"")</f>
        <v/>
      </c>
      <c r="H282" s="16" t="str">
        <f>IF(NOT(Anime!Z283=""),Anime!Z283,"")</f>
        <v/>
      </c>
      <c r="I282" s="16" t="str">
        <f>IF(NOT(Anime!AA283=""),Anime!AA283,"")</f>
        <v/>
      </c>
      <c r="J282" s="17" t="str">
        <f>IF(NOT(Anime!AB283=""),Anime!AB283,"")</f>
        <v/>
      </c>
      <c r="K282" s="18" t="str">
        <f>IF(NOT(Anime!AC283=""),Anime!AC283,"")</f>
        <v/>
      </c>
      <c r="L282" s="19" t="str">
        <f>IF(NOT(Anime!AD283=""),Anime!AD283,"")</f>
        <v/>
      </c>
      <c r="M282" s="72" t="str">
        <f>IF(NOT(Anime!AE283=""),Anime!AE283,"")</f>
        <v/>
      </c>
      <c r="N282" s="21" t="str">
        <f>IF(NOT(Anime!AF283=""),Anime!AF283,"")</f>
        <v/>
      </c>
      <c r="O282" s="129" t="str">
        <f>IF(NOT(Anime!AG283=""),Anime!AG283,"")</f>
        <v/>
      </c>
      <c r="P282" s="21" t="str">
        <f>IF(NOT(Anime!AH283=""),Anime!AH283,"")</f>
        <v/>
      </c>
      <c r="Q282" s="21" t="str">
        <f>IF(NOT(Anime!AI283=""),Anime!AI283,"")</f>
        <v/>
      </c>
      <c r="R282" s="66" t="str">
        <f>IF(NOT(Anime!AJ283=""),Anime!AJ283,"")</f>
        <v/>
      </c>
      <c r="S282" s="15" t="str">
        <f>IF(NOT(Anime!AK283=""),Anime!AK283,"")</f>
        <v/>
      </c>
    </row>
    <row r="283" spans="1:19" ht="16.5">
      <c r="A283" s="12" t="str">
        <f>IF(NOT(Anime!R284=""),Anime!R284,"")</f>
        <v/>
      </c>
      <c r="B283" s="14" t="str">
        <f>IF(NOT(Anime!S284=""),Anime!S284,"")</f>
        <v/>
      </c>
      <c r="C283" s="14" t="str">
        <f>IF(NOT(Anime!T284=""),Anime!T284,"")</f>
        <v/>
      </c>
      <c r="D283" s="68" t="str">
        <f>IF(NOT(Anime!U284=""),Anime!U284,"")</f>
        <v/>
      </c>
      <c r="E283" s="131" t="str">
        <f>IF(NOT(Anime!W284=""),Anime!W284,"")</f>
        <v/>
      </c>
      <c r="F283" s="16" t="str">
        <f>IF(NOT(Anime!X284=""),Anime!X284,"")</f>
        <v/>
      </c>
      <c r="G283" s="16" t="str">
        <f>IF(NOT(Anime!Y284=""),Anime!Y284,"")</f>
        <v/>
      </c>
      <c r="H283" s="16" t="str">
        <f>IF(NOT(Anime!Z284=""),Anime!Z284,"")</f>
        <v/>
      </c>
      <c r="I283" s="16" t="str">
        <f>IF(NOT(Anime!AA284=""),Anime!AA284,"")</f>
        <v/>
      </c>
      <c r="J283" s="17" t="str">
        <f>IF(NOT(Anime!AB284=""),Anime!AB284,"")</f>
        <v/>
      </c>
      <c r="K283" s="18" t="str">
        <f>IF(NOT(Anime!AC284=""),Anime!AC284,"")</f>
        <v/>
      </c>
      <c r="L283" s="19" t="str">
        <f>IF(NOT(Anime!AD284=""),Anime!AD284,"")</f>
        <v/>
      </c>
      <c r="M283" s="72" t="str">
        <f>IF(NOT(Anime!AE284=""),Anime!AE284,"")</f>
        <v/>
      </c>
      <c r="N283" s="21" t="str">
        <f>IF(NOT(Anime!AF284=""),Anime!AF284,"")</f>
        <v/>
      </c>
      <c r="O283" s="129" t="str">
        <f>IF(NOT(Anime!AG284=""),Anime!AG284,"")</f>
        <v/>
      </c>
      <c r="P283" s="21" t="str">
        <f>IF(NOT(Anime!AH284=""),Anime!AH284,"")</f>
        <v/>
      </c>
      <c r="Q283" s="21" t="str">
        <f>IF(NOT(Anime!AI284=""),Anime!AI284,"")</f>
        <v/>
      </c>
      <c r="R283" s="66" t="str">
        <f>IF(NOT(Anime!AJ284=""),Anime!AJ284,"")</f>
        <v/>
      </c>
      <c r="S283" s="15" t="str">
        <f>IF(NOT(Anime!AK284=""),Anime!AK284,"")</f>
        <v/>
      </c>
    </row>
    <row r="284" spans="1:19" ht="16.5">
      <c r="A284" s="12" t="str">
        <f>IF(NOT(Anime!R285=""),Anime!R285,"")</f>
        <v/>
      </c>
      <c r="B284" s="14" t="str">
        <f>IF(NOT(Anime!S285=""),Anime!S285,"")</f>
        <v/>
      </c>
      <c r="C284" s="14" t="str">
        <f>IF(NOT(Anime!T285=""),Anime!T285,"")</f>
        <v/>
      </c>
      <c r="D284" s="68" t="str">
        <f>IF(NOT(Anime!U285=""),Anime!U285,"")</f>
        <v/>
      </c>
      <c r="E284" s="131" t="str">
        <f>IF(NOT(Anime!W285=""),Anime!W285,"")</f>
        <v/>
      </c>
      <c r="F284" s="16" t="str">
        <f>IF(NOT(Anime!X285=""),Anime!X285,"")</f>
        <v/>
      </c>
      <c r="G284" s="16" t="str">
        <f>IF(NOT(Anime!Y285=""),Anime!Y285,"")</f>
        <v/>
      </c>
      <c r="H284" s="16" t="str">
        <f>IF(NOT(Anime!Z285=""),Anime!Z285,"")</f>
        <v/>
      </c>
      <c r="I284" s="16" t="str">
        <f>IF(NOT(Anime!AA285=""),Anime!AA285,"")</f>
        <v/>
      </c>
      <c r="J284" s="17" t="str">
        <f>IF(NOT(Anime!AB285=""),Anime!AB285,"")</f>
        <v/>
      </c>
      <c r="K284" s="18" t="str">
        <f>IF(NOT(Anime!AC285=""),Anime!AC285,"")</f>
        <v/>
      </c>
      <c r="L284" s="19" t="str">
        <f>IF(NOT(Anime!AD285=""),Anime!AD285,"")</f>
        <v/>
      </c>
      <c r="M284" s="72" t="str">
        <f>IF(NOT(Anime!AE285=""),Anime!AE285,"")</f>
        <v/>
      </c>
      <c r="N284" s="21" t="str">
        <f>IF(NOT(Anime!AF285=""),Anime!AF285,"")</f>
        <v/>
      </c>
      <c r="O284" s="129" t="str">
        <f>IF(NOT(Anime!AG285=""),Anime!AG285,"")</f>
        <v/>
      </c>
      <c r="P284" s="21" t="str">
        <f>IF(NOT(Anime!AH285=""),Anime!AH285,"")</f>
        <v/>
      </c>
      <c r="Q284" s="21" t="str">
        <f>IF(NOT(Anime!AI285=""),Anime!AI285,"")</f>
        <v/>
      </c>
      <c r="R284" s="66" t="str">
        <f>IF(NOT(Anime!AJ285=""),Anime!AJ285,"")</f>
        <v/>
      </c>
      <c r="S284" s="15" t="str">
        <f>IF(NOT(Anime!AK285=""),Anime!AK285,"")</f>
        <v/>
      </c>
    </row>
    <row r="285" spans="1:19" ht="16.5">
      <c r="A285" s="12" t="str">
        <f>IF(NOT(Anime!R286=""),Anime!R286,"")</f>
        <v/>
      </c>
      <c r="B285" s="14" t="str">
        <f>IF(NOT(Anime!S286=""),Anime!S286,"")</f>
        <v/>
      </c>
      <c r="C285" s="14" t="str">
        <f>IF(NOT(Anime!T286=""),Anime!T286,"")</f>
        <v/>
      </c>
      <c r="D285" s="68" t="str">
        <f>IF(NOT(Anime!U286=""),Anime!U286,"")</f>
        <v/>
      </c>
      <c r="E285" s="131" t="str">
        <f>IF(NOT(Anime!W286=""),Anime!W286,"")</f>
        <v/>
      </c>
      <c r="F285" s="16" t="str">
        <f>IF(NOT(Anime!X286=""),Anime!X286,"")</f>
        <v/>
      </c>
      <c r="G285" s="16" t="str">
        <f>IF(NOT(Anime!Y286=""),Anime!Y286,"")</f>
        <v/>
      </c>
      <c r="H285" s="16" t="str">
        <f>IF(NOT(Anime!Z286=""),Anime!Z286,"")</f>
        <v/>
      </c>
      <c r="I285" s="16" t="str">
        <f>IF(NOT(Anime!AA286=""),Anime!AA286,"")</f>
        <v/>
      </c>
      <c r="J285" s="17" t="str">
        <f>IF(NOT(Anime!AB286=""),Anime!AB286,"")</f>
        <v/>
      </c>
      <c r="K285" s="18" t="str">
        <f>IF(NOT(Anime!AC286=""),Anime!AC286,"")</f>
        <v/>
      </c>
      <c r="L285" s="19" t="str">
        <f>IF(NOT(Anime!AD286=""),Anime!AD286,"")</f>
        <v/>
      </c>
      <c r="M285" s="72" t="str">
        <f>IF(NOT(Anime!AE286=""),Anime!AE286,"")</f>
        <v/>
      </c>
      <c r="N285" s="21" t="str">
        <f>IF(NOT(Anime!AF286=""),Anime!AF286,"")</f>
        <v/>
      </c>
      <c r="O285" s="129" t="str">
        <f>IF(NOT(Anime!AG286=""),Anime!AG286,"")</f>
        <v/>
      </c>
      <c r="P285" s="21" t="str">
        <f>IF(NOT(Anime!AH286=""),Anime!AH286,"")</f>
        <v/>
      </c>
      <c r="Q285" s="21" t="str">
        <f>IF(NOT(Anime!AI286=""),Anime!AI286,"")</f>
        <v/>
      </c>
      <c r="R285" s="66" t="str">
        <f>IF(NOT(Anime!AJ286=""),Anime!AJ286,"")</f>
        <v/>
      </c>
      <c r="S285" s="15" t="str">
        <f>IF(NOT(Anime!AK286=""),Anime!AK286,"")</f>
        <v/>
      </c>
    </row>
    <row r="286" spans="1:19" ht="16.5">
      <c r="A286" s="12" t="str">
        <f>IF(NOT(Anime!R287=""),Anime!R287,"")</f>
        <v/>
      </c>
      <c r="B286" s="14" t="str">
        <f>IF(NOT(Anime!S287=""),Anime!S287,"")</f>
        <v/>
      </c>
      <c r="C286" s="14" t="str">
        <f>IF(NOT(Anime!T287=""),Anime!T287,"")</f>
        <v/>
      </c>
      <c r="D286" s="68" t="str">
        <f>IF(NOT(Anime!U287=""),Anime!U287,"")</f>
        <v/>
      </c>
      <c r="E286" s="131" t="str">
        <f>IF(NOT(Anime!W287=""),Anime!W287,"")</f>
        <v/>
      </c>
      <c r="F286" s="16" t="str">
        <f>IF(NOT(Anime!X287=""),Anime!X287,"")</f>
        <v/>
      </c>
      <c r="G286" s="16" t="str">
        <f>IF(NOT(Anime!Y287=""),Anime!Y287,"")</f>
        <v/>
      </c>
      <c r="H286" s="16" t="str">
        <f>IF(NOT(Anime!Z287=""),Anime!Z287,"")</f>
        <v/>
      </c>
      <c r="I286" s="16" t="str">
        <f>IF(NOT(Anime!AA287=""),Anime!AA287,"")</f>
        <v/>
      </c>
      <c r="J286" s="17" t="str">
        <f>IF(NOT(Anime!AB287=""),Anime!AB287,"")</f>
        <v/>
      </c>
      <c r="K286" s="18" t="str">
        <f>IF(NOT(Anime!AC287=""),Anime!AC287,"")</f>
        <v/>
      </c>
      <c r="L286" s="19" t="str">
        <f>IF(NOT(Anime!AD287=""),Anime!AD287,"")</f>
        <v/>
      </c>
      <c r="M286" s="72" t="str">
        <f>IF(NOT(Anime!AE287=""),Anime!AE287,"")</f>
        <v/>
      </c>
      <c r="N286" s="21" t="str">
        <f>IF(NOT(Anime!AF287=""),Anime!AF287,"")</f>
        <v/>
      </c>
      <c r="O286" s="129" t="str">
        <f>IF(NOT(Anime!AG287=""),Anime!AG287,"")</f>
        <v/>
      </c>
      <c r="P286" s="21" t="str">
        <f>IF(NOT(Anime!AH287=""),Anime!AH287,"")</f>
        <v/>
      </c>
      <c r="Q286" s="21" t="str">
        <f>IF(NOT(Anime!AI287=""),Anime!AI287,"")</f>
        <v/>
      </c>
      <c r="R286" s="66" t="str">
        <f>IF(NOT(Anime!AJ287=""),Anime!AJ287,"")</f>
        <v/>
      </c>
      <c r="S286" s="15" t="str">
        <f>IF(NOT(Anime!AK287=""),Anime!AK287,"")</f>
        <v/>
      </c>
    </row>
    <row r="287" spans="1:19" ht="16.5">
      <c r="A287" s="12" t="str">
        <f>IF(NOT(Anime!R288=""),Anime!R288,"")</f>
        <v/>
      </c>
      <c r="B287" s="14" t="str">
        <f>IF(NOT(Anime!S288=""),Anime!S288,"")</f>
        <v/>
      </c>
      <c r="C287" s="14" t="str">
        <f>IF(NOT(Anime!T288=""),Anime!T288,"")</f>
        <v/>
      </c>
      <c r="D287" s="68" t="str">
        <f>IF(NOT(Anime!U288=""),Anime!U288,"")</f>
        <v/>
      </c>
      <c r="E287" s="131" t="str">
        <f>IF(NOT(Anime!W288=""),Anime!W288,"")</f>
        <v/>
      </c>
      <c r="F287" s="16" t="str">
        <f>IF(NOT(Anime!X288=""),Anime!X288,"")</f>
        <v/>
      </c>
      <c r="G287" s="16" t="str">
        <f>IF(NOT(Anime!Y288=""),Anime!Y288,"")</f>
        <v/>
      </c>
      <c r="H287" s="16" t="str">
        <f>IF(NOT(Anime!Z288=""),Anime!Z288,"")</f>
        <v/>
      </c>
      <c r="I287" s="16" t="str">
        <f>IF(NOT(Anime!AA288=""),Anime!AA288,"")</f>
        <v/>
      </c>
      <c r="J287" s="17" t="str">
        <f>IF(NOT(Anime!AB288=""),Anime!AB288,"")</f>
        <v/>
      </c>
      <c r="K287" s="18" t="str">
        <f>IF(NOT(Anime!AC288=""),Anime!AC288,"")</f>
        <v/>
      </c>
      <c r="L287" s="19" t="str">
        <f>IF(NOT(Anime!AD288=""),Anime!AD288,"")</f>
        <v/>
      </c>
      <c r="M287" s="72" t="str">
        <f>IF(NOT(Anime!AE288=""),Anime!AE288,"")</f>
        <v/>
      </c>
      <c r="N287" s="21" t="str">
        <f>IF(NOT(Anime!AF288=""),Anime!AF288,"")</f>
        <v/>
      </c>
      <c r="O287" s="129" t="str">
        <f>IF(NOT(Anime!AG288=""),Anime!AG288,"")</f>
        <v/>
      </c>
      <c r="P287" s="21" t="str">
        <f>IF(NOT(Anime!AH288=""),Anime!AH288,"")</f>
        <v/>
      </c>
      <c r="Q287" s="21" t="str">
        <f>IF(NOT(Anime!AI288=""),Anime!AI288,"")</f>
        <v/>
      </c>
      <c r="R287" s="66" t="str">
        <f>IF(NOT(Anime!AJ288=""),Anime!AJ288,"")</f>
        <v/>
      </c>
      <c r="S287" s="15" t="str">
        <f>IF(NOT(Anime!AK288=""),Anime!AK288,"")</f>
        <v/>
      </c>
    </row>
    <row r="288" spans="1:19" ht="16.5">
      <c r="A288" s="12" t="str">
        <f>IF(NOT(Anime!R289=""),Anime!R289,"")</f>
        <v/>
      </c>
      <c r="B288" s="14" t="str">
        <f>IF(NOT(Anime!S289=""),Anime!S289,"")</f>
        <v/>
      </c>
      <c r="C288" s="14" t="str">
        <f>IF(NOT(Anime!T289=""),Anime!T289,"")</f>
        <v/>
      </c>
      <c r="D288" s="68" t="str">
        <f>IF(NOT(Anime!U289=""),Anime!U289,"")</f>
        <v/>
      </c>
      <c r="E288" s="131" t="str">
        <f>IF(NOT(Anime!W289=""),Anime!W289,"")</f>
        <v/>
      </c>
      <c r="F288" s="16" t="str">
        <f>IF(NOT(Anime!X289=""),Anime!X289,"")</f>
        <v/>
      </c>
      <c r="G288" s="16" t="str">
        <f>IF(NOT(Anime!Y289=""),Anime!Y289,"")</f>
        <v/>
      </c>
      <c r="H288" s="16" t="str">
        <f>IF(NOT(Anime!Z289=""),Anime!Z289,"")</f>
        <v/>
      </c>
      <c r="I288" s="16" t="str">
        <f>IF(NOT(Anime!AA289=""),Anime!AA289,"")</f>
        <v/>
      </c>
      <c r="J288" s="17" t="str">
        <f>IF(NOT(Anime!AB289=""),Anime!AB289,"")</f>
        <v/>
      </c>
      <c r="K288" s="18" t="str">
        <f>IF(NOT(Anime!AC289=""),Anime!AC289,"")</f>
        <v/>
      </c>
      <c r="L288" s="19" t="str">
        <f>IF(NOT(Anime!AD289=""),Anime!AD289,"")</f>
        <v/>
      </c>
      <c r="M288" s="72" t="str">
        <f>IF(NOT(Anime!AE289=""),Anime!AE289,"")</f>
        <v/>
      </c>
      <c r="N288" s="21" t="str">
        <f>IF(NOT(Anime!AF289=""),Anime!AF289,"")</f>
        <v/>
      </c>
      <c r="O288" s="129" t="str">
        <f>IF(NOT(Anime!AG289=""),Anime!AG289,"")</f>
        <v/>
      </c>
      <c r="P288" s="21" t="str">
        <f>IF(NOT(Anime!AH289=""),Anime!AH289,"")</f>
        <v/>
      </c>
      <c r="Q288" s="21" t="str">
        <f>IF(NOT(Anime!AI289=""),Anime!AI289,"")</f>
        <v/>
      </c>
      <c r="R288" s="66" t="str">
        <f>IF(NOT(Anime!AJ289=""),Anime!AJ289,"")</f>
        <v/>
      </c>
      <c r="S288" s="15" t="str">
        <f>IF(NOT(Anime!AK289=""),Anime!AK289,"")</f>
        <v/>
      </c>
    </row>
    <row r="289" spans="1:19" ht="16.5">
      <c r="A289" s="12" t="str">
        <f>IF(NOT(Anime!R290=""),Anime!R290,"")</f>
        <v/>
      </c>
      <c r="B289" s="14" t="str">
        <f>IF(NOT(Anime!S290=""),Anime!S290,"")</f>
        <v/>
      </c>
      <c r="C289" s="14" t="str">
        <f>IF(NOT(Anime!T290=""),Anime!T290,"")</f>
        <v/>
      </c>
      <c r="D289" s="68" t="str">
        <f>IF(NOT(Anime!U290=""),Anime!U290,"")</f>
        <v/>
      </c>
      <c r="E289" s="131" t="str">
        <f>IF(NOT(Anime!W290=""),Anime!W290,"")</f>
        <v/>
      </c>
      <c r="F289" s="16" t="str">
        <f>IF(NOT(Anime!X290=""),Anime!X290,"")</f>
        <v/>
      </c>
      <c r="G289" s="16" t="str">
        <f>IF(NOT(Anime!Y290=""),Anime!Y290,"")</f>
        <v/>
      </c>
      <c r="H289" s="16" t="str">
        <f>IF(NOT(Anime!Z290=""),Anime!Z290,"")</f>
        <v/>
      </c>
      <c r="I289" s="16" t="str">
        <f>IF(NOT(Anime!AA290=""),Anime!AA290,"")</f>
        <v/>
      </c>
      <c r="J289" s="17" t="str">
        <f>IF(NOT(Anime!AB290=""),Anime!AB290,"")</f>
        <v/>
      </c>
      <c r="K289" s="18" t="str">
        <f>IF(NOT(Anime!AC290=""),Anime!AC290,"")</f>
        <v/>
      </c>
      <c r="L289" s="19" t="str">
        <f>IF(NOT(Anime!AD290=""),Anime!AD290,"")</f>
        <v/>
      </c>
      <c r="M289" s="72" t="str">
        <f>IF(NOT(Anime!AE290=""),Anime!AE290,"")</f>
        <v/>
      </c>
      <c r="N289" s="21" t="str">
        <f>IF(NOT(Anime!AF290=""),Anime!AF290,"")</f>
        <v/>
      </c>
      <c r="O289" s="129" t="str">
        <f>IF(NOT(Anime!AG290=""),Anime!AG290,"")</f>
        <v/>
      </c>
      <c r="P289" s="21" t="str">
        <f>IF(NOT(Anime!AH290=""),Anime!AH290,"")</f>
        <v/>
      </c>
      <c r="Q289" s="21" t="str">
        <f>IF(NOT(Anime!AI290=""),Anime!AI290,"")</f>
        <v/>
      </c>
      <c r="R289" s="66" t="str">
        <f>IF(NOT(Anime!AJ290=""),Anime!AJ290,"")</f>
        <v/>
      </c>
      <c r="S289" s="15" t="str">
        <f>IF(NOT(Anime!AK290=""),Anime!AK290,"")</f>
        <v/>
      </c>
    </row>
    <row r="290" spans="1:19" ht="16.5">
      <c r="A290" s="12" t="str">
        <f>IF(NOT(Anime!R291=""),Anime!R291,"")</f>
        <v/>
      </c>
      <c r="B290" s="14" t="str">
        <f>IF(NOT(Anime!S291=""),Anime!S291,"")</f>
        <v/>
      </c>
      <c r="C290" s="14" t="str">
        <f>IF(NOT(Anime!T291=""),Anime!T291,"")</f>
        <v/>
      </c>
      <c r="D290" s="68" t="str">
        <f>IF(NOT(Anime!U291=""),Anime!U291,"")</f>
        <v/>
      </c>
      <c r="E290" s="131" t="str">
        <f>IF(NOT(Anime!W291=""),Anime!W291,"")</f>
        <v/>
      </c>
      <c r="F290" s="16" t="str">
        <f>IF(NOT(Anime!X291=""),Anime!X291,"")</f>
        <v/>
      </c>
      <c r="G290" s="16" t="str">
        <f>IF(NOT(Anime!Y291=""),Anime!Y291,"")</f>
        <v/>
      </c>
      <c r="H290" s="16" t="str">
        <f>IF(NOT(Anime!Z291=""),Anime!Z291,"")</f>
        <v/>
      </c>
      <c r="I290" s="16" t="str">
        <f>IF(NOT(Anime!AA291=""),Anime!AA291,"")</f>
        <v/>
      </c>
      <c r="J290" s="17" t="str">
        <f>IF(NOT(Anime!AB291=""),Anime!AB291,"")</f>
        <v/>
      </c>
      <c r="K290" s="18" t="str">
        <f>IF(NOT(Anime!AC291=""),Anime!AC291,"")</f>
        <v/>
      </c>
      <c r="L290" s="19" t="str">
        <f>IF(NOT(Anime!AD291=""),Anime!AD291,"")</f>
        <v/>
      </c>
      <c r="M290" s="72" t="str">
        <f>IF(NOT(Anime!AE291=""),Anime!AE291,"")</f>
        <v/>
      </c>
      <c r="N290" s="21" t="str">
        <f>IF(NOT(Anime!AF291=""),Anime!AF291,"")</f>
        <v/>
      </c>
      <c r="O290" s="129" t="str">
        <f>IF(NOT(Anime!AG291=""),Anime!AG291,"")</f>
        <v/>
      </c>
      <c r="P290" s="21" t="str">
        <f>IF(NOT(Anime!AH291=""),Anime!AH291,"")</f>
        <v/>
      </c>
      <c r="Q290" s="21" t="str">
        <f>IF(NOT(Anime!AI291=""),Anime!AI291,"")</f>
        <v/>
      </c>
      <c r="R290" s="66" t="str">
        <f>IF(NOT(Anime!AJ291=""),Anime!AJ291,"")</f>
        <v/>
      </c>
      <c r="S290" s="15" t="str">
        <f>IF(NOT(Anime!AK291=""),Anime!AK291,"")</f>
        <v/>
      </c>
    </row>
    <row r="291" spans="1:19" ht="16.5">
      <c r="A291" s="12" t="str">
        <f>IF(NOT(Anime!R292=""),Anime!R292,"")</f>
        <v/>
      </c>
      <c r="B291" s="14" t="str">
        <f>IF(NOT(Anime!S292=""),Anime!S292,"")</f>
        <v/>
      </c>
      <c r="C291" s="14" t="str">
        <f>IF(NOT(Anime!T292=""),Anime!T292,"")</f>
        <v/>
      </c>
      <c r="D291" s="68" t="str">
        <f>IF(NOT(Anime!U292=""),Anime!U292,"")</f>
        <v/>
      </c>
      <c r="E291" s="131" t="str">
        <f>IF(NOT(Anime!W292=""),Anime!W292,"")</f>
        <v/>
      </c>
      <c r="F291" s="16" t="str">
        <f>IF(NOT(Anime!X292=""),Anime!X292,"")</f>
        <v/>
      </c>
      <c r="G291" s="16" t="str">
        <f>IF(NOT(Anime!Y292=""),Anime!Y292,"")</f>
        <v/>
      </c>
      <c r="H291" s="16" t="str">
        <f>IF(NOT(Anime!Z292=""),Anime!Z292,"")</f>
        <v/>
      </c>
      <c r="I291" s="16" t="str">
        <f>IF(NOT(Anime!AA292=""),Anime!AA292,"")</f>
        <v/>
      </c>
      <c r="J291" s="17" t="str">
        <f>IF(NOT(Anime!AB292=""),Anime!AB292,"")</f>
        <v/>
      </c>
      <c r="K291" s="18" t="str">
        <f>IF(NOT(Anime!AC292=""),Anime!AC292,"")</f>
        <v/>
      </c>
      <c r="L291" s="19" t="str">
        <f>IF(NOT(Anime!AD292=""),Anime!AD292,"")</f>
        <v/>
      </c>
      <c r="M291" s="72" t="str">
        <f>IF(NOT(Anime!AE292=""),Anime!AE292,"")</f>
        <v/>
      </c>
      <c r="N291" s="21" t="str">
        <f>IF(NOT(Anime!AF292=""),Anime!AF292,"")</f>
        <v/>
      </c>
      <c r="O291" s="129" t="str">
        <f>IF(NOT(Anime!AG292=""),Anime!AG292,"")</f>
        <v/>
      </c>
      <c r="P291" s="21" t="str">
        <f>IF(NOT(Anime!AH292=""),Anime!AH292,"")</f>
        <v/>
      </c>
      <c r="Q291" s="21" t="str">
        <f>IF(NOT(Anime!AI292=""),Anime!AI292,"")</f>
        <v/>
      </c>
      <c r="R291" s="66" t="str">
        <f>IF(NOT(Anime!AJ292=""),Anime!AJ292,"")</f>
        <v/>
      </c>
      <c r="S291" s="15" t="str">
        <f>IF(NOT(Anime!AK292=""),Anime!AK292,"")</f>
        <v/>
      </c>
    </row>
    <row r="292" spans="1:19" ht="16.5">
      <c r="A292" s="12" t="str">
        <f>IF(NOT(Anime!R293=""),Anime!R293,"")</f>
        <v/>
      </c>
      <c r="B292" s="14" t="str">
        <f>IF(NOT(Anime!S293=""),Anime!S293,"")</f>
        <v/>
      </c>
      <c r="C292" s="14" t="str">
        <f>IF(NOT(Anime!T293=""),Anime!T293,"")</f>
        <v/>
      </c>
      <c r="D292" s="68" t="str">
        <f>IF(NOT(Anime!U293=""),Anime!U293,"")</f>
        <v/>
      </c>
      <c r="E292" s="131" t="str">
        <f>IF(NOT(Anime!W293=""),Anime!W293,"")</f>
        <v/>
      </c>
      <c r="F292" s="16" t="str">
        <f>IF(NOT(Anime!X293=""),Anime!X293,"")</f>
        <v/>
      </c>
      <c r="G292" s="16" t="str">
        <f>IF(NOT(Anime!Y293=""),Anime!Y293,"")</f>
        <v/>
      </c>
      <c r="H292" s="16" t="str">
        <f>IF(NOT(Anime!Z293=""),Anime!Z293,"")</f>
        <v/>
      </c>
      <c r="I292" s="16" t="str">
        <f>IF(NOT(Anime!AA293=""),Anime!AA293,"")</f>
        <v/>
      </c>
      <c r="J292" s="17" t="str">
        <f>IF(NOT(Anime!AB293=""),Anime!AB293,"")</f>
        <v/>
      </c>
      <c r="K292" s="18" t="str">
        <f>IF(NOT(Anime!AC293=""),Anime!AC293,"")</f>
        <v/>
      </c>
      <c r="L292" s="19" t="str">
        <f>IF(NOT(Anime!AD293=""),Anime!AD293,"")</f>
        <v/>
      </c>
      <c r="M292" s="72" t="str">
        <f>IF(NOT(Anime!AE293=""),Anime!AE293,"")</f>
        <v/>
      </c>
      <c r="N292" s="21" t="str">
        <f>IF(NOT(Anime!AF293=""),Anime!AF293,"")</f>
        <v/>
      </c>
      <c r="O292" s="129" t="str">
        <f>IF(NOT(Anime!AG293=""),Anime!AG293,"")</f>
        <v/>
      </c>
      <c r="P292" s="21" t="str">
        <f>IF(NOT(Anime!AH293=""),Anime!AH293,"")</f>
        <v/>
      </c>
      <c r="Q292" s="21" t="str">
        <f>IF(NOT(Anime!AI293=""),Anime!AI293,"")</f>
        <v/>
      </c>
      <c r="R292" s="66" t="str">
        <f>IF(NOT(Anime!AJ293=""),Anime!AJ293,"")</f>
        <v/>
      </c>
      <c r="S292" s="15" t="str">
        <f>IF(NOT(Anime!AK293=""),Anime!AK293,"")</f>
        <v/>
      </c>
    </row>
    <row r="293" spans="1:19" ht="16.5">
      <c r="A293" s="12" t="str">
        <f>IF(NOT(Anime!R294=""),Anime!R294,"")</f>
        <v/>
      </c>
      <c r="B293" s="14" t="str">
        <f>IF(NOT(Anime!S294=""),Anime!S294,"")</f>
        <v/>
      </c>
      <c r="C293" s="14" t="str">
        <f>IF(NOT(Anime!T294=""),Anime!T294,"")</f>
        <v/>
      </c>
      <c r="D293" s="68" t="str">
        <f>IF(NOT(Anime!U294=""),Anime!U294,"")</f>
        <v/>
      </c>
      <c r="E293" s="131" t="str">
        <f>IF(NOT(Anime!W294=""),Anime!W294,"")</f>
        <v/>
      </c>
      <c r="F293" s="16" t="str">
        <f>IF(NOT(Anime!X294=""),Anime!X294,"")</f>
        <v/>
      </c>
      <c r="G293" s="16" t="str">
        <f>IF(NOT(Anime!Y294=""),Anime!Y294,"")</f>
        <v/>
      </c>
      <c r="H293" s="16" t="str">
        <f>IF(NOT(Anime!Z294=""),Anime!Z294,"")</f>
        <v/>
      </c>
      <c r="I293" s="16" t="str">
        <f>IF(NOT(Anime!AA294=""),Anime!AA294,"")</f>
        <v/>
      </c>
      <c r="J293" s="17" t="str">
        <f>IF(NOT(Anime!AB294=""),Anime!AB294,"")</f>
        <v/>
      </c>
      <c r="K293" s="18" t="str">
        <f>IF(NOT(Anime!AC294=""),Anime!AC294,"")</f>
        <v/>
      </c>
      <c r="L293" s="19" t="str">
        <f>IF(NOT(Anime!AD294=""),Anime!AD294,"")</f>
        <v/>
      </c>
      <c r="M293" s="72" t="str">
        <f>IF(NOT(Anime!AE294=""),Anime!AE294,"")</f>
        <v/>
      </c>
      <c r="N293" s="21" t="str">
        <f>IF(NOT(Anime!AF294=""),Anime!AF294,"")</f>
        <v/>
      </c>
      <c r="O293" s="129" t="str">
        <f>IF(NOT(Anime!AG294=""),Anime!AG294,"")</f>
        <v/>
      </c>
      <c r="P293" s="21" t="str">
        <f>IF(NOT(Anime!AH294=""),Anime!AH294,"")</f>
        <v/>
      </c>
      <c r="Q293" s="21" t="str">
        <f>IF(NOT(Anime!AI294=""),Anime!AI294,"")</f>
        <v/>
      </c>
      <c r="R293" s="66" t="str">
        <f>IF(NOT(Anime!AJ294=""),Anime!AJ294,"")</f>
        <v/>
      </c>
      <c r="S293" s="15" t="str">
        <f>IF(NOT(Anime!AK294=""),Anime!AK294,"")</f>
        <v/>
      </c>
    </row>
    <row r="294" spans="1:19" ht="16.5">
      <c r="A294" s="12" t="str">
        <f>IF(NOT(Anime!R295=""),Anime!R295,"")</f>
        <v/>
      </c>
      <c r="B294" s="14" t="str">
        <f>IF(NOT(Anime!S295=""),Anime!S295,"")</f>
        <v/>
      </c>
      <c r="C294" s="14" t="str">
        <f>IF(NOT(Anime!T295=""),Anime!T295,"")</f>
        <v/>
      </c>
      <c r="D294" s="68" t="str">
        <f>IF(NOT(Anime!U295=""),Anime!U295,"")</f>
        <v/>
      </c>
      <c r="E294" s="131" t="str">
        <f>IF(NOT(Anime!W295=""),Anime!W295,"")</f>
        <v/>
      </c>
      <c r="F294" s="16" t="str">
        <f>IF(NOT(Anime!X295=""),Anime!X295,"")</f>
        <v/>
      </c>
      <c r="G294" s="16" t="str">
        <f>IF(NOT(Anime!Y295=""),Anime!Y295,"")</f>
        <v/>
      </c>
      <c r="H294" s="16" t="str">
        <f>IF(NOT(Anime!Z295=""),Anime!Z295,"")</f>
        <v/>
      </c>
      <c r="I294" s="16" t="str">
        <f>IF(NOT(Anime!AA295=""),Anime!AA295,"")</f>
        <v/>
      </c>
      <c r="J294" s="17" t="str">
        <f>IF(NOT(Anime!AB295=""),Anime!AB295,"")</f>
        <v/>
      </c>
      <c r="K294" s="18" t="str">
        <f>IF(NOT(Anime!AC295=""),Anime!AC295,"")</f>
        <v/>
      </c>
      <c r="L294" s="19" t="str">
        <f>IF(NOT(Anime!AD295=""),Anime!AD295,"")</f>
        <v/>
      </c>
      <c r="M294" s="72" t="str">
        <f>IF(NOT(Anime!AE295=""),Anime!AE295,"")</f>
        <v/>
      </c>
      <c r="N294" s="21" t="str">
        <f>IF(NOT(Anime!AF295=""),Anime!AF295,"")</f>
        <v/>
      </c>
      <c r="O294" s="129" t="str">
        <f>IF(NOT(Anime!AG295=""),Anime!AG295,"")</f>
        <v/>
      </c>
      <c r="P294" s="21" t="str">
        <f>IF(NOT(Anime!AH295=""),Anime!AH295,"")</f>
        <v/>
      </c>
      <c r="Q294" s="21" t="str">
        <f>IF(NOT(Anime!AI295=""),Anime!AI295,"")</f>
        <v/>
      </c>
      <c r="R294" s="66" t="str">
        <f>IF(NOT(Anime!AJ295=""),Anime!AJ295,"")</f>
        <v/>
      </c>
      <c r="S294" s="15" t="str">
        <f>IF(NOT(Anime!AK295=""),Anime!AK295,"")</f>
        <v/>
      </c>
    </row>
    <row r="295" spans="1:19" ht="16.5">
      <c r="A295" s="12" t="str">
        <f>IF(NOT(Anime!R296=""),Anime!R296,"")</f>
        <v/>
      </c>
      <c r="B295" s="14" t="str">
        <f>IF(NOT(Anime!S296=""),Anime!S296,"")</f>
        <v/>
      </c>
      <c r="C295" s="14" t="str">
        <f>IF(NOT(Anime!T296=""),Anime!T296,"")</f>
        <v/>
      </c>
      <c r="D295" s="68" t="str">
        <f>IF(NOT(Anime!U296=""),Anime!U296,"")</f>
        <v/>
      </c>
      <c r="E295" s="131" t="str">
        <f>IF(NOT(Anime!W296=""),Anime!W296,"")</f>
        <v/>
      </c>
      <c r="F295" s="16" t="str">
        <f>IF(NOT(Anime!X296=""),Anime!X296,"")</f>
        <v/>
      </c>
      <c r="G295" s="16" t="str">
        <f>IF(NOT(Anime!Y296=""),Anime!Y296,"")</f>
        <v/>
      </c>
      <c r="H295" s="16" t="str">
        <f>IF(NOT(Anime!Z296=""),Anime!Z296,"")</f>
        <v/>
      </c>
      <c r="I295" s="16" t="str">
        <f>IF(NOT(Anime!AA296=""),Anime!AA296,"")</f>
        <v/>
      </c>
      <c r="J295" s="17" t="str">
        <f>IF(NOT(Anime!AB296=""),Anime!AB296,"")</f>
        <v/>
      </c>
      <c r="K295" s="18" t="str">
        <f>IF(NOT(Anime!AC296=""),Anime!AC296,"")</f>
        <v/>
      </c>
      <c r="L295" s="19" t="str">
        <f>IF(NOT(Anime!AD296=""),Anime!AD296,"")</f>
        <v/>
      </c>
      <c r="M295" s="72" t="str">
        <f>IF(NOT(Anime!AE296=""),Anime!AE296,"")</f>
        <v/>
      </c>
      <c r="N295" s="21" t="str">
        <f>IF(NOT(Anime!AF296=""),Anime!AF296,"")</f>
        <v/>
      </c>
      <c r="O295" s="129" t="str">
        <f>IF(NOT(Anime!AG296=""),Anime!AG296,"")</f>
        <v/>
      </c>
      <c r="P295" s="21" t="str">
        <f>IF(NOT(Anime!AH296=""),Anime!AH296,"")</f>
        <v/>
      </c>
      <c r="Q295" s="21" t="str">
        <f>IF(NOT(Anime!AI296=""),Anime!AI296,"")</f>
        <v/>
      </c>
      <c r="R295" s="66" t="str">
        <f>IF(NOT(Anime!AJ296=""),Anime!AJ296,"")</f>
        <v/>
      </c>
      <c r="S295" s="15" t="str">
        <f>IF(NOT(Anime!AK296=""),Anime!AK296,"")</f>
        <v/>
      </c>
    </row>
    <row r="296" spans="1:19" ht="16.5">
      <c r="A296" s="12" t="str">
        <f>IF(NOT(Anime!R297=""),Anime!R297,"")</f>
        <v/>
      </c>
      <c r="B296" s="14" t="str">
        <f>IF(NOT(Anime!S297=""),Anime!S297,"")</f>
        <v/>
      </c>
      <c r="C296" s="14" t="str">
        <f>IF(NOT(Anime!T297=""),Anime!T297,"")</f>
        <v/>
      </c>
      <c r="D296" s="68" t="str">
        <f>IF(NOT(Anime!U297=""),Anime!U297,"")</f>
        <v/>
      </c>
      <c r="E296" s="131" t="str">
        <f>IF(NOT(Anime!W297=""),Anime!W297,"")</f>
        <v/>
      </c>
      <c r="F296" s="16" t="str">
        <f>IF(NOT(Anime!X297=""),Anime!X297,"")</f>
        <v/>
      </c>
      <c r="G296" s="16" t="str">
        <f>IF(NOT(Anime!Y297=""),Anime!Y297,"")</f>
        <v/>
      </c>
      <c r="H296" s="16" t="str">
        <f>IF(NOT(Anime!Z297=""),Anime!Z297,"")</f>
        <v/>
      </c>
      <c r="I296" s="16" t="str">
        <f>IF(NOT(Anime!AA297=""),Anime!AA297,"")</f>
        <v/>
      </c>
      <c r="J296" s="17" t="str">
        <f>IF(NOT(Anime!AB297=""),Anime!AB297,"")</f>
        <v/>
      </c>
      <c r="K296" s="18" t="str">
        <f>IF(NOT(Anime!AC297=""),Anime!AC297,"")</f>
        <v/>
      </c>
      <c r="L296" s="19" t="str">
        <f>IF(NOT(Anime!AD297=""),Anime!AD297,"")</f>
        <v/>
      </c>
      <c r="M296" s="72" t="str">
        <f>IF(NOT(Anime!AE297=""),Anime!AE297,"")</f>
        <v/>
      </c>
      <c r="N296" s="21" t="str">
        <f>IF(NOT(Anime!AF297=""),Anime!AF297,"")</f>
        <v/>
      </c>
      <c r="O296" s="129" t="str">
        <f>IF(NOT(Anime!AG297=""),Anime!AG297,"")</f>
        <v/>
      </c>
      <c r="P296" s="21" t="str">
        <f>IF(NOT(Anime!AH297=""),Anime!AH297,"")</f>
        <v/>
      </c>
      <c r="Q296" s="21" t="str">
        <f>IF(NOT(Anime!AI297=""),Anime!AI297,"")</f>
        <v/>
      </c>
      <c r="R296" s="66" t="str">
        <f>IF(NOT(Anime!AJ297=""),Anime!AJ297,"")</f>
        <v/>
      </c>
      <c r="S296" s="15" t="str">
        <f>IF(NOT(Anime!AK297=""),Anime!AK297,"")</f>
        <v/>
      </c>
    </row>
    <row r="297" spans="1:19" ht="16.5">
      <c r="A297" s="12" t="str">
        <f>IF(NOT(Anime!R298=""),Anime!R298,"")</f>
        <v/>
      </c>
      <c r="B297" s="14" t="str">
        <f>IF(NOT(Anime!S298=""),Anime!S298,"")</f>
        <v/>
      </c>
      <c r="C297" s="14" t="str">
        <f>IF(NOT(Anime!T298=""),Anime!T298,"")</f>
        <v/>
      </c>
      <c r="D297" s="68" t="str">
        <f>IF(NOT(Anime!U298=""),Anime!U298,"")</f>
        <v/>
      </c>
      <c r="E297" s="131" t="str">
        <f>IF(NOT(Anime!W298=""),Anime!W298,"")</f>
        <v/>
      </c>
      <c r="F297" s="16" t="str">
        <f>IF(NOT(Anime!X298=""),Anime!X298,"")</f>
        <v/>
      </c>
      <c r="G297" s="16" t="str">
        <f>IF(NOT(Anime!Y298=""),Anime!Y298,"")</f>
        <v/>
      </c>
      <c r="H297" s="16" t="str">
        <f>IF(NOT(Anime!Z298=""),Anime!Z298,"")</f>
        <v/>
      </c>
      <c r="I297" s="16" t="str">
        <f>IF(NOT(Anime!AA298=""),Anime!AA298,"")</f>
        <v/>
      </c>
      <c r="J297" s="17" t="str">
        <f>IF(NOT(Anime!AB298=""),Anime!AB298,"")</f>
        <v/>
      </c>
      <c r="K297" s="18" t="str">
        <f>IF(NOT(Anime!AC298=""),Anime!AC298,"")</f>
        <v/>
      </c>
      <c r="L297" s="19" t="str">
        <f>IF(NOT(Anime!AD298=""),Anime!AD298,"")</f>
        <v/>
      </c>
      <c r="M297" s="72" t="str">
        <f>IF(NOT(Anime!AE298=""),Anime!AE298,"")</f>
        <v/>
      </c>
      <c r="N297" s="21" t="str">
        <f>IF(NOT(Anime!AF298=""),Anime!AF298,"")</f>
        <v/>
      </c>
      <c r="O297" s="129" t="str">
        <f>IF(NOT(Anime!AG298=""),Anime!AG298,"")</f>
        <v/>
      </c>
      <c r="P297" s="21" t="str">
        <f>IF(NOT(Anime!AH298=""),Anime!AH298,"")</f>
        <v/>
      </c>
      <c r="Q297" s="21" t="str">
        <f>IF(NOT(Anime!AI298=""),Anime!AI298,"")</f>
        <v/>
      </c>
      <c r="R297" s="66" t="str">
        <f>IF(NOT(Anime!AJ298=""),Anime!AJ298,"")</f>
        <v/>
      </c>
      <c r="S297" s="15" t="str">
        <f>IF(NOT(Anime!AK298=""),Anime!AK298,"")</f>
        <v/>
      </c>
    </row>
    <row r="298" spans="1:19" ht="16.5">
      <c r="A298" s="12" t="str">
        <f>IF(NOT(Anime!R299=""),Anime!R299,"")</f>
        <v/>
      </c>
      <c r="B298" s="14" t="str">
        <f>IF(NOT(Anime!S299=""),Anime!S299,"")</f>
        <v/>
      </c>
      <c r="C298" s="14" t="str">
        <f>IF(NOT(Anime!T299=""),Anime!T299,"")</f>
        <v/>
      </c>
      <c r="D298" s="68" t="str">
        <f>IF(NOT(Anime!U299=""),Anime!U299,"")</f>
        <v/>
      </c>
      <c r="E298" s="131" t="str">
        <f>IF(NOT(Anime!W299=""),Anime!W299,"")</f>
        <v/>
      </c>
      <c r="F298" s="16" t="str">
        <f>IF(NOT(Anime!X299=""),Anime!X299,"")</f>
        <v/>
      </c>
      <c r="G298" s="16" t="str">
        <f>IF(NOT(Anime!Y299=""),Anime!Y299,"")</f>
        <v/>
      </c>
      <c r="H298" s="16" t="str">
        <f>IF(NOT(Anime!Z299=""),Anime!Z299,"")</f>
        <v/>
      </c>
      <c r="I298" s="16" t="str">
        <f>IF(NOT(Anime!AA299=""),Anime!AA299,"")</f>
        <v/>
      </c>
      <c r="J298" s="17" t="str">
        <f>IF(NOT(Anime!AB299=""),Anime!AB299,"")</f>
        <v/>
      </c>
      <c r="K298" s="18" t="str">
        <f>IF(NOT(Anime!AC299=""),Anime!AC299,"")</f>
        <v/>
      </c>
      <c r="L298" s="19" t="str">
        <f>IF(NOT(Anime!AD299=""),Anime!AD299,"")</f>
        <v/>
      </c>
      <c r="M298" s="72" t="str">
        <f>IF(NOT(Anime!AE299=""),Anime!AE299,"")</f>
        <v/>
      </c>
      <c r="N298" s="21" t="str">
        <f>IF(NOT(Anime!AF299=""),Anime!AF299,"")</f>
        <v/>
      </c>
      <c r="O298" s="129" t="str">
        <f>IF(NOT(Anime!AG299=""),Anime!AG299,"")</f>
        <v/>
      </c>
      <c r="P298" s="21" t="str">
        <f>IF(NOT(Anime!AH299=""),Anime!AH299,"")</f>
        <v/>
      </c>
      <c r="Q298" s="21" t="str">
        <f>IF(NOT(Anime!AI299=""),Anime!AI299,"")</f>
        <v/>
      </c>
      <c r="R298" s="66" t="str">
        <f>IF(NOT(Anime!AJ299=""),Anime!AJ299,"")</f>
        <v/>
      </c>
      <c r="S298" s="15" t="str">
        <f>IF(NOT(Anime!AK299=""),Anime!AK299,"")</f>
        <v/>
      </c>
    </row>
    <row r="299" spans="1:19" ht="16.5">
      <c r="A299" s="12" t="str">
        <f>IF(NOT(Anime!R300=""),Anime!R300,"")</f>
        <v/>
      </c>
      <c r="B299" s="14" t="str">
        <f>IF(NOT(Anime!S300=""),Anime!S300,"")</f>
        <v/>
      </c>
      <c r="C299" s="14" t="str">
        <f>IF(NOT(Anime!T300=""),Anime!T300,"")</f>
        <v/>
      </c>
      <c r="D299" s="68" t="str">
        <f>IF(NOT(Anime!U300=""),Anime!U300,"")</f>
        <v/>
      </c>
      <c r="E299" s="131" t="str">
        <f>IF(NOT(Anime!W300=""),Anime!W300,"")</f>
        <v/>
      </c>
      <c r="F299" s="16" t="str">
        <f>IF(NOT(Anime!X300=""),Anime!X300,"")</f>
        <v/>
      </c>
      <c r="G299" s="16" t="str">
        <f>IF(NOT(Anime!Y300=""),Anime!Y300,"")</f>
        <v/>
      </c>
      <c r="H299" s="16" t="str">
        <f>IF(NOT(Anime!Z300=""),Anime!Z300,"")</f>
        <v/>
      </c>
      <c r="I299" s="16" t="str">
        <f>IF(NOT(Anime!AA300=""),Anime!AA300,"")</f>
        <v/>
      </c>
      <c r="J299" s="17" t="str">
        <f>IF(NOT(Anime!AB300=""),Anime!AB300,"")</f>
        <v/>
      </c>
      <c r="K299" s="18" t="str">
        <f>IF(NOT(Anime!AC300=""),Anime!AC300,"")</f>
        <v/>
      </c>
      <c r="L299" s="19" t="str">
        <f>IF(NOT(Anime!AD300=""),Anime!AD300,"")</f>
        <v/>
      </c>
      <c r="M299" s="72" t="str">
        <f>IF(NOT(Anime!AE300=""),Anime!AE300,"")</f>
        <v/>
      </c>
      <c r="N299" s="21" t="str">
        <f>IF(NOT(Anime!AF300=""),Anime!AF300,"")</f>
        <v/>
      </c>
      <c r="O299" s="129" t="str">
        <f>IF(NOT(Anime!AG300=""),Anime!AG300,"")</f>
        <v/>
      </c>
      <c r="P299" s="21" t="str">
        <f>IF(NOT(Anime!AH300=""),Anime!AH300,"")</f>
        <v/>
      </c>
      <c r="Q299" s="21" t="str">
        <f>IF(NOT(Anime!AI300=""),Anime!AI300,"")</f>
        <v/>
      </c>
      <c r="R299" s="66" t="str">
        <f>IF(NOT(Anime!AJ300=""),Anime!AJ300,"")</f>
        <v/>
      </c>
      <c r="S299" s="15" t="str">
        <f>IF(NOT(Anime!AK300=""),Anime!AK300,"")</f>
        <v/>
      </c>
    </row>
    <row r="300" spans="1:19" ht="16.5">
      <c r="A300" s="12" t="str">
        <f>IF(NOT(Anime!R301=""),Anime!R301,"")</f>
        <v/>
      </c>
      <c r="B300" s="14" t="str">
        <f>IF(NOT(Anime!S301=""),Anime!S301,"")</f>
        <v/>
      </c>
      <c r="C300" s="14" t="str">
        <f>IF(NOT(Anime!T301=""),Anime!T301,"")</f>
        <v/>
      </c>
      <c r="D300" s="68" t="str">
        <f>IF(NOT(Anime!U301=""),Anime!U301,"")</f>
        <v/>
      </c>
      <c r="E300" s="131" t="str">
        <f>IF(NOT(Anime!W301=""),Anime!W301,"")</f>
        <v/>
      </c>
      <c r="F300" s="16" t="str">
        <f>IF(NOT(Anime!X301=""),Anime!X301,"")</f>
        <v/>
      </c>
      <c r="G300" s="16" t="str">
        <f>IF(NOT(Anime!Y301=""),Anime!Y301,"")</f>
        <v/>
      </c>
      <c r="H300" s="16" t="str">
        <f>IF(NOT(Anime!Z301=""),Anime!Z301,"")</f>
        <v/>
      </c>
      <c r="I300" s="16" t="str">
        <f>IF(NOT(Anime!AA301=""),Anime!AA301,"")</f>
        <v/>
      </c>
      <c r="J300" s="17" t="str">
        <f>IF(NOT(Anime!AB301=""),Anime!AB301,"")</f>
        <v/>
      </c>
      <c r="K300" s="18" t="str">
        <f>IF(NOT(Anime!AC301=""),Anime!AC301,"")</f>
        <v/>
      </c>
      <c r="L300" s="19" t="str">
        <f>IF(NOT(Anime!AD301=""),Anime!AD301,"")</f>
        <v/>
      </c>
      <c r="M300" s="72" t="str">
        <f>IF(NOT(Anime!AE301=""),Anime!AE301,"")</f>
        <v/>
      </c>
      <c r="N300" s="21" t="str">
        <f>IF(NOT(Anime!AF301=""),Anime!AF301,"")</f>
        <v/>
      </c>
      <c r="O300" s="129" t="str">
        <f>IF(NOT(Anime!AG301=""),Anime!AG301,"")</f>
        <v/>
      </c>
      <c r="P300" s="21" t="str">
        <f>IF(NOT(Anime!AH301=""),Anime!AH301,"")</f>
        <v/>
      </c>
      <c r="Q300" s="21" t="str">
        <f>IF(NOT(Anime!AI301=""),Anime!AI301,"")</f>
        <v/>
      </c>
      <c r="R300" s="66" t="str">
        <f>IF(NOT(Anime!AJ301=""),Anime!AJ301,"")</f>
        <v/>
      </c>
      <c r="S300" s="15" t="str">
        <f>IF(NOT(Anime!AK301=""),Anime!AK301,"")</f>
        <v/>
      </c>
    </row>
    <row r="301" spans="1:19" ht="16.5">
      <c r="A301" s="12" t="str">
        <f>IF(NOT(Anime!R302=""),Anime!R302,"")</f>
        <v/>
      </c>
      <c r="B301" s="14" t="str">
        <f>IF(NOT(Anime!S302=""),Anime!S302,"")</f>
        <v/>
      </c>
      <c r="C301" s="14" t="str">
        <f>IF(NOT(Anime!T302=""),Anime!T302,"")</f>
        <v/>
      </c>
      <c r="D301" s="68" t="str">
        <f>IF(NOT(Anime!U302=""),Anime!U302,"")</f>
        <v/>
      </c>
      <c r="E301" s="131" t="str">
        <f>IF(NOT(Anime!W302=""),Anime!W302,"")</f>
        <v/>
      </c>
      <c r="F301" s="16" t="str">
        <f>IF(NOT(Anime!X302=""),Anime!X302,"")</f>
        <v/>
      </c>
      <c r="G301" s="16" t="str">
        <f>IF(NOT(Anime!Y302=""),Anime!Y302,"")</f>
        <v/>
      </c>
      <c r="H301" s="16" t="str">
        <f>IF(NOT(Anime!Z302=""),Anime!Z302,"")</f>
        <v/>
      </c>
      <c r="I301" s="16" t="str">
        <f>IF(NOT(Anime!AA302=""),Anime!AA302,"")</f>
        <v/>
      </c>
      <c r="J301" s="17" t="str">
        <f>IF(NOT(Anime!AB302=""),Anime!AB302,"")</f>
        <v/>
      </c>
      <c r="K301" s="18" t="str">
        <f>IF(NOT(Anime!AC302=""),Anime!AC302,"")</f>
        <v/>
      </c>
      <c r="L301" s="19" t="str">
        <f>IF(NOT(Anime!AD302=""),Anime!AD302,"")</f>
        <v/>
      </c>
      <c r="M301" s="72" t="str">
        <f>IF(NOT(Anime!AE302=""),Anime!AE302,"")</f>
        <v/>
      </c>
      <c r="N301" s="21" t="str">
        <f>IF(NOT(Anime!AF302=""),Anime!AF302,"")</f>
        <v/>
      </c>
      <c r="O301" s="129" t="str">
        <f>IF(NOT(Anime!AG302=""),Anime!AG302,"")</f>
        <v/>
      </c>
      <c r="P301" s="21" t="str">
        <f>IF(NOT(Anime!AH302=""),Anime!AH302,"")</f>
        <v/>
      </c>
      <c r="Q301" s="21" t="str">
        <f>IF(NOT(Anime!AI302=""),Anime!AI302,"")</f>
        <v/>
      </c>
      <c r="R301" s="66" t="str">
        <f>IF(NOT(Anime!AJ302=""),Anime!AJ302,"")</f>
        <v/>
      </c>
      <c r="S301" s="15" t="str">
        <f>IF(NOT(Anime!AK302=""),Anime!AK302,"")</f>
        <v/>
      </c>
    </row>
    <row r="302" spans="1:19" ht="16.5">
      <c r="A302" s="12" t="str">
        <f>IF(NOT(Anime!R303=""),Anime!R303,"")</f>
        <v/>
      </c>
      <c r="B302" s="14" t="str">
        <f>IF(NOT(Anime!S303=""),Anime!S303,"")</f>
        <v/>
      </c>
      <c r="C302" s="14" t="str">
        <f>IF(NOT(Anime!T303=""),Anime!T303,"")</f>
        <v/>
      </c>
      <c r="D302" s="68" t="str">
        <f>IF(NOT(Anime!U303=""),Anime!U303,"")</f>
        <v/>
      </c>
      <c r="E302" s="131" t="str">
        <f>IF(NOT(Anime!W303=""),Anime!W303,"")</f>
        <v/>
      </c>
      <c r="F302" s="16" t="str">
        <f>IF(NOT(Anime!X303=""),Anime!X303,"")</f>
        <v/>
      </c>
      <c r="G302" s="16" t="str">
        <f>IF(NOT(Anime!Y303=""),Anime!Y303,"")</f>
        <v/>
      </c>
      <c r="H302" s="16" t="str">
        <f>IF(NOT(Anime!Z303=""),Anime!Z303,"")</f>
        <v/>
      </c>
      <c r="I302" s="16" t="str">
        <f>IF(NOT(Anime!AA303=""),Anime!AA303,"")</f>
        <v/>
      </c>
      <c r="J302" s="17" t="str">
        <f>IF(NOT(Anime!AB303=""),Anime!AB303,"")</f>
        <v/>
      </c>
      <c r="K302" s="18" t="str">
        <f>IF(NOT(Anime!AC303=""),Anime!AC303,"")</f>
        <v/>
      </c>
      <c r="L302" s="19" t="str">
        <f>IF(NOT(Anime!AD303=""),Anime!AD303,"")</f>
        <v/>
      </c>
      <c r="M302" s="72" t="str">
        <f>IF(NOT(Anime!AE303=""),Anime!AE303,"")</f>
        <v/>
      </c>
      <c r="N302" s="21" t="str">
        <f>IF(NOT(Anime!AF303=""),Anime!AF303,"")</f>
        <v/>
      </c>
      <c r="O302" s="129" t="str">
        <f>IF(NOT(Anime!AG303=""),Anime!AG303,"")</f>
        <v/>
      </c>
      <c r="P302" s="21" t="str">
        <f>IF(NOT(Anime!AH303=""),Anime!AH303,"")</f>
        <v/>
      </c>
      <c r="Q302" s="21" t="str">
        <f>IF(NOT(Anime!AI303=""),Anime!AI303,"")</f>
        <v/>
      </c>
      <c r="R302" s="66" t="str">
        <f>IF(NOT(Anime!AJ303=""),Anime!AJ303,"")</f>
        <v/>
      </c>
      <c r="S302" s="15" t="str">
        <f>IF(NOT(Anime!AK303=""),Anime!AK303,"")</f>
        <v/>
      </c>
    </row>
    <row r="303" spans="1:19" ht="16.5">
      <c r="A303" s="12" t="str">
        <f>IF(NOT(Anime!R304=""),Anime!R304,"")</f>
        <v/>
      </c>
      <c r="B303" s="14" t="str">
        <f>IF(NOT(Anime!S304=""),Anime!S304,"")</f>
        <v/>
      </c>
      <c r="C303" s="14" t="str">
        <f>IF(NOT(Anime!T304=""),Anime!T304,"")</f>
        <v/>
      </c>
      <c r="D303" s="68" t="str">
        <f>IF(NOT(Anime!U304=""),Anime!U304,"")</f>
        <v/>
      </c>
      <c r="E303" s="131" t="str">
        <f>IF(NOT(Anime!W304=""),Anime!W304,"")</f>
        <v/>
      </c>
      <c r="F303" s="16" t="str">
        <f>IF(NOT(Anime!X304=""),Anime!X304,"")</f>
        <v/>
      </c>
      <c r="G303" s="16" t="str">
        <f>IF(NOT(Anime!Y304=""),Anime!Y304,"")</f>
        <v/>
      </c>
      <c r="H303" s="16" t="str">
        <f>IF(NOT(Anime!Z304=""),Anime!Z304,"")</f>
        <v/>
      </c>
      <c r="I303" s="16" t="str">
        <f>IF(NOT(Anime!AA304=""),Anime!AA304,"")</f>
        <v/>
      </c>
      <c r="J303" s="17" t="str">
        <f>IF(NOT(Anime!AB304=""),Anime!AB304,"")</f>
        <v/>
      </c>
      <c r="K303" s="18" t="str">
        <f>IF(NOT(Anime!AC304=""),Anime!AC304,"")</f>
        <v/>
      </c>
      <c r="L303" s="19" t="str">
        <f>IF(NOT(Anime!AD304=""),Anime!AD304,"")</f>
        <v/>
      </c>
      <c r="M303" s="72" t="str">
        <f>IF(NOT(Anime!AE304=""),Anime!AE304,"")</f>
        <v/>
      </c>
      <c r="N303" s="21" t="str">
        <f>IF(NOT(Anime!AF304=""),Anime!AF304,"")</f>
        <v/>
      </c>
      <c r="O303" s="129" t="str">
        <f>IF(NOT(Anime!AG304=""),Anime!AG304,"")</f>
        <v/>
      </c>
      <c r="P303" s="21" t="str">
        <f>IF(NOT(Anime!AH304=""),Anime!AH304,"")</f>
        <v/>
      </c>
      <c r="Q303" s="21" t="str">
        <f>IF(NOT(Anime!AI304=""),Anime!AI304,"")</f>
        <v/>
      </c>
      <c r="R303" s="66" t="str">
        <f>IF(NOT(Anime!AJ304=""),Anime!AJ304,"")</f>
        <v/>
      </c>
      <c r="S303" s="15" t="str">
        <f>IF(NOT(Anime!AK304=""),Anime!AK304,"")</f>
        <v/>
      </c>
    </row>
    <row r="304" spans="1:19" ht="16.5">
      <c r="A304" s="12" t="str">
        <f>IF(NOT(Anime!R305=""),Anime!R305,"")</f>
        <v/>
      </c>
      <c r="B304" s="14" t="str">
        <f>IF(NOT(Anime!S305=""),Anime!S305,"")</f>
        <v/>
      </c>
      <c r="C304" s="14" t="str">
        <f>IF(NOT(Anime!T305=""),Anime!T305,"")</f>
        <v/>
      </c>
      <c r="D304" s="68" t="str">
        <f>IF(NOT(Anime!U305=""),Anime!U305,"")</f>
        <v/>
      </c>
      <c r="E304" s="131" t="str">
        <f>IF(NOT(Anime!W305=""),Anime!W305,"")</f>
        <v/>
      </c>
      <c r="F304" s="16" t="str">
        <f>IF(NOT(Anime!X305=""),Anime!X305,"")</f>
        <v/>
      </c>
      <c r="G304" s="16" t="str">
        <f>IF(NOT(Anime!Y305=""),Anime!Y305,"")</f>
        <v/>
      </c>
      <c r="H304" s="16" t="str">
        <f>IF(NOT(Anime!Z305=""),Anime!Z305,"")</f>
        <v/>
      </c>
      <c r="I304" s="16" t="str">
        <f>IF(NOT(Anime!AA305=""),Anime!AA305,"")</f>
        <v/>
      </c>
      <c r="J304" s="17" t="str">
        <f>IF(NOT(Anime!AB305=""),Anime!AB305,"")</f>
        <v/>
      </c>
      <c r="K304" s="18" t="str">
        <f>IF(NOT(Anime!AC305=""),Anime!AC305,"")</f>
        <v/>
      </c>
      <c r="L304" s="19" t="str">
        <f>IF(NOT(Anime!AD305=""),Anime!AD305,"")</f>
        <v/>
      </c>
      <c r="M304" s="72" t="str">
        <f>IF(NOT(Anime!AE305=""),Anime!AE305,"")</f>
        <v/>
      </c>
      <c r="N304" s="21" t="str">
        <f>IF(NOT(Anime!AF305=""),Anime!AF305,"")</f>
        <v/>
      </c>
      <c r="O304" s="129" t="str">
        <f>IF(NOT(Anime!AG305=""),Anime!AG305,"")</f>
        <v/>
      </c>
      <c r="P304" s="21" t="str">
        <f>IF(NOT(Anime!AH305=""),Anime!AH305,"")</f>
        <v/>
      </c>
      <c r="Q304" s="21" t="str">
        <f>IF(NOT(Anime!AI305=""),Anime!AI305,"")</f>
        <v/>
      </c>
      <c r="R304" s="66" t="str">
        <f>IF(NOT(Anime!AJ305=""),Anime!AJ305,"")</f>
        <v/>
      </c>
      <c r="S304" s="15" t="str">
        <f>IF(NOT(Anime!AK305=""),Anime!AK305,"")</f>
        <v/>
      </c>
    </row>
    <row r="305" spans="1:19" ht="16.5">
      <c r="A305" s="12" t="str">
        <f>IF(NOT(Anime!R306=""),Anime!R306,"")</f>
        <v/>
      </c>
      <c r="B305" s="14" t="str">
        <f>IF(NOT(Anime!S306=""),Anime!S306,"")</f>
        <v/>
      </c>
      <c r="C305" s="14" t="str">
        <f>IF(NOT(Anime!T306=""),Anime!T306,"")</f>
        <v/>
      </c>
      <c r="D305" s="68" t="str">
        <f>IF(NOT(Anime!U306=""),Anime!U306,"")</f>
        <v/>
      </c>
      <c r="E305" s="131" t="str">
        <f>IF(NOT(Anime!W306=""),Anime!W306,"")</f>
        <v/>
      </c>
      <c r="F305" s="16" t="str">
        <f>IF(NOT(Anime!X306=""),Anime!X306,"")</f>
        <v/>
      </c>
      <c r="G305" s="16" t="str">
        <f>IF(NOT(Anime!Y306=""),Anime!Y306,"")</f>
        <v/>
      </c>
      <c r="H305" s="16" t="str">
        <f>IF(NOT(Anime!Z306=""),Anime!Z306,"")</f>
        <v/>
      </c>
      <c r="I305" s="16" t="str">
        <f>IF(NOT(Anime!AA306=""),Anime!AA306,"")</f>
        <v/>
      </c>
      <c r="J305" s="17" t="str">
        <f>IF(NOT(Anime!AB306=""),Anime!AB306,"")</f>
        <v/>
      </c>
      <c r="K305" s="18" t="str">
        <f>IF(NOT(Anime!AC306=""),Anime!AC306,"")</f>
        <v/>
      </c>
      <c r="L305" s="19" t="str">
        <f>IF(NOT(Anime!AD306=""),Anime!AD306,"")</f>
        <v/>
      </c>
      <c r="M305" s="72" t="str">
        <f>IF(NOT(Anime!AE306=""),Anime!AE306,"")</f>
        <v/>
      </c>
      <c r="N305" s="21" t="str">
        <f>IF(NOT(Anime!AF306=""),Anime!AF306,"")</f>
        <v/>
      </c>
      <c r="O305" s="129" t="str">
        <f>IF(NOT(Anime!AG306=""),Anime!AG306,"")</f>
        <v/>
      </c>
      <c r="P305" s="21" t="str">
        <f>IF(NOT(Anime!AH306=""),Anime!AH306,"")</f>
        <v/>
      </c>
      <c r="Q305" s="21" t="str">
        <f>IF(NOT(Anime!AI306=""),Anime!AI306,"")</f>
        <v/>
      </c>
      <c r="R305" s="66" t="str">
        <f>IF(NOT(Anime!AJ306=""),Anime!AJ306,"")</f>
        <v/>
      </c>
      <c r="S305" s="15" t="str">
        <f>IF(NOT(Anime!AK306=""),Anime!AK306,"")</f>
        <v/>
      </c>
    </row>
    <row r="306" spans="1:19" ht="16.5">
      <c r="A306" s="12" t="str">
        <f>IF(NOT(Anime!R307=""),Anime!R307,"")</f>
        <v/>
      </c>
      <c r="B306" s="14" t="str">
        <f>IF(NOT(Anime!S307=""),Anime!S307,"")</f>
        <v/>
      </c>
      <c r="C306" s="14" t="str">
        <f>IF(NOT(Anime!T307=""),Anime!T307,"")</f>
        <v/>
      </c>
      <c r="D306" s="68" t="str">
        <f>IF(NOT(Anime!U307=""),Anime!U307,"")</f>
        <v/>
      </c>
      <c r="E306" s="131" t="str">
        <f>IF(NOT(Anime!W307=""),Anime!W307,"")</f>
        <v/>
      </c>
      <c r="F306" s="16" t="str">
        <f>IF(NOT(Anime!X307=""),Anime!X307,"")</f>
        <v/>
      </c>
      <c r="G306" s="16" t="str">
        <f>IF(NOT(Anime!Y307=""),Anime!Y307,"")</f>
        <v/>
      </c>
      <c r="H306" s="16" t="str">
        <f>IF(NOT(Anime!Z307=""),Anime!Z307,"")</f>
        <v/>
      </c>
      <c r="I306" s="16" t="str">
        <f>IF(NOT(Anime!AA307=""),Anime!AA307,"")</f>
        <v/>
      </c>
      <c r="J306" s="17" t="str">
        <f>IF(NOT(Anime!AB307=""),Anime!AB307,"")</f>
        <v/>
      </c>
      <c r="K306" s="18" t="str">
        <f>IF(NOT(Anime!AC307=""),Anime!AC307,"")</f>
        <v/>
      </c>
      <c r="L306" s="19" t="str">
        <f>IF(NOT(Anime!AD307=""),Anime!AD307,"")</f>
        <v/>
      </c>
      <c r="M306" s="72" t="str">
        <f>IF(NOT(Anime!AE307=""),Anime!AE307,"")</f>
        <v/>
      </c>
      <c r="N306" s="21" t="str">
        <f>IF(NOT(Anime!AF307=""),Anime!AF307,"")</f>
        <v/>
      </c>
      <c r="O306" s="129" t="str">
        <f>IF(NOT(Anime!AG307=""),Anime!AG307,"")</f>
        <v/>
      </c>
      <c r="P306" s="21" t="str">
        <f>IF(NOT(Anime!AH307=""),Anime!AH307,"")</f>
        <v/>
      </c>
      <c r="Q306" s="21" t="str">
        <f>IF(NOT(Anime!AI307=""),Anime!AI307,"")</f>
        <v/>
      </c>
      <c r="R306" s="66" t="str">
        <f>IF(NOT(Anime!AJ307=""),Anime!AJ307,"")</f>
        <v/>
      </c>
      <c r="S306" s="15" t="str">
        <f>IF(NOT(Anime!AK307=""),Anime!AK307,"")</f>
        <v/>
      </c>
    </row>
    <row r="307" spans="1:19" ht="16.5">
      <c r="A307" s="12" t="str">
        <f>IF(NOT(Anime!R308=""),Anime!R308,"")</f>
        <v/>
      </c>
      <c r="B307" s="14" t="str">
        <f>IF(NOT(Anime!S308=""),Anime!S308,"")</f>
        <v/>
      </c>
      <c r="C307" s="14" t="str">
        <f>IF(NOT(Anime!T308=""),Anime!T308,"")</f>
        <v/>
      </c>
      <c r="D307" s="68" t="str">
        <f>IF(NOT(Anime!U308=""),Anime!U308,"")</f>
        <v/>
      </c>
      <c r="E307" s="131" t="str">
        <f>IF(NOT(Anime!W308=""),Anime!W308,"")</f>
        <v/>
      </c>
      <c r="F307" s="16" t="str">
        <f>IF(NOT(Anime!X308=""),Anime!X308,"")</f>
        <v/>
      </c>
      <c r="G307" s="16" t="str">
        <f>IF(NOT(Anime!Y308=""),Anime!Y308,"")</f>
        <v/>
      </c>
      <c r="H307" s="16" t="str">
        <f>IF(NOT(Anime!Z308=""),Anime!Z308,"")</f>
        <v/>
      </c>
      <c r="I307" s="16" t="str">
        <f>IF(NOT(Anime!AA308=""),Anime!AA308,"")</f>
        <v/>
      </c>
      <c r="J307" s="17" t="str">
        <f>IF(NOT(Anime!AB308=""),Anime!AB308,"")</f>
        <v/>
      </c>
      <c r="K307" s="18" t="str">
        <f>IF(NOT(Anime!AC308=""),Anime!AC308,"")</f>
        <v/>
      </c>
      <c r="L307" s="19" t="str">
        <f>IF(NOT(Anime!AD308=""),Anime!AD308,"")</f>
        <v/>
      </c>
      <c r="M307" s="72" t="str">
        <f>IF(NOT(Anime!AE308=""),Anime!AE308,"")</f>
        <v/>
      </c>
      <c r="N307" s="21" t="str">
        <f>IF(NOT(Anime!AF308=""),Anime!AF308,"")</f>
        <v/>
      </c>
      <c r="O307" s="129" t="str">
        <f>IF(NOT(Anime!AG308=""),Anime!AG308,"")</f>
        <v/>
      </c>
      <c r="P307" s="21" t="str">
        <f>IF(NOT(Anime!AH308=""),Anime!AH308,"")</f>
        <v/>
      </c>
      <c r="Q307" s="21" t="str">
        <f>IF(NOT(Anime!AI308=""),Anime!AI308,"")</f>
        <v/>
      </c>
      <c r="R307" s="66" t="str">
        <f>IF(NOT(Anime!AJ308=""),Anime!AJ308,"")</f>
        <v/>
      </c>
      <c r="S307" s="15" t="str">
        <f>IF(NOT(Anime!AK308=""),Anime!AK308,"")</f>
        <v/>
      </c>
    </row>
    <row r="308" spans="1:19" ht="16.5">
      <c r="A308" s="12" t="str">
        <f>IF(NOT(Anime!R309=""),Anime!R309,"")</f>
        <v/>
      </c>
      <c r="B308" s="14" t="str">
        <f>IF(NOT(Anime!S309=""),Anime!S309,"")</f>
        <v/>
      </c>
      <c r="C308" s="14" t="str">
        <f>IF(NOT(Anime!T309=""),Anime!T309,"")</f>
        <v/>
      </c>
      <c r="D308" s="68" t="str">
        <f>IF(NOT(Anime!U309=""),Anime!U309,"")</f>
        <v/>
      </c>
      <c r="E308" s="131" t="str">
        <f>IF(NOT(Anime!W309=""),Anime!W309,"")</f>
        <v/>
      </c>
      <c r="F308" s="16" t="str">
        <f>IF(NOT(Anime!X309=""),Anime!X309,"")</f>
        <v/>
      </c>
      <c r="G308" s="16" t="str">
        <f>IF(NOT(Anime!Y309=""),Anime!Y309,"")</f>
        <v/>
      </c>
      <c r="H308" s="16" t="str">
        <f>IF(NOT(Anime!Z309=""),Anime!Z309,"")</f>
        <v/>
      </c>
      <c r="I308" s="16" t="str">
        <f>IF(NOT(Anime!AA309=""),Anime!AA309,"")</f>
        <v/>
      </c>
      <c r="J308" s="17" t="str">
        <f>IF(NOT(Anime!AB309=""),Anime!AB309,"")</f>
        <v/>
      </c>
      <c r="K308" s="18" t="str">
        <f>IF(NOT(Anime!AC309=""),Anime!AC309,"")</f>
        <v/>
      </c>
      <c r="L308" s="19" t="str">
        <f>IF(NOT(Anime!AD309=""),Anime!AD309,"")</f>
        <v/>
      </c>
      <c r="M308" s="72" t="str">
        <f>IF(NOT(Anime!AE309=""),Anime!AE309,"")</f>
        <v/>
      </c>
      <c r="N308" s="21" t="str">
        <f>IF(NOT(Anime!AF309=""),Anime!AF309,"")</f>
        <v/>
      </c>
      <c r="O308" s="129" t="str">
        <f>IF(NOT(Anime!AG309=""),Anime!AG309,"")</f>
        <v/>
      </c>
      <c r="P308" s="21" t="str">
        <f>IF(NOT(Anime!AH309=""),Anime!AH309,"")</f>
        <v/>
      </c>
      <c r="Q308" s="21" t="str">
        <f>IF(NOT(Anime!AI309=""),Anime!AI309,"")</f>
        <v/>
      </c>
      <c r="R308" s="66" t="str">
        <f>IF(NOT(Anime!AJ309=""),Anime!AJ309,"")</f>
        <v/>
      </c>
      <c r="S308" s="15" t="str">
        <f>IF(NOT(Anime!AK309=""),Anime!AK309,"")</f>
        <v/>
      </c>
    </row>
    <row r="309" spans="1:19" ht="16.5">
      <c r="A309" s="12" t="str">
        <f>IF(NOT(Anime!R310=""),Anime!R310,"")</f>
        <v/>
      </c>
      <c r="B309" s="14" t="str">
        <f>IF(NOT(Anime!S310=""),Anime!S310,"")</f>
        <v/>
      </c>
      <c r="C309" s="14" t="str">
        <f>IF(NOT(Anime!T310=""),Anime!T310,"")</f>
        <v/>
      </c>
      <c r="D309" s="68" t="str">
        <f>IF(NOT(Anime!U310=""),Anime!U310,"")</f>
        <v/>
      </c>
      <c r="E309" s="131" t="str">
        <f>IF(NOT(Anime!W310=""),Anime!W310,"")</f>
        <v/>
      </c>
      <c r="F309" s="16" t="str">
        <f>IF(NOT(Anime!X310=""),Anime!X310,"")</f>
        <v/>
      </c>
      <c r="G309" s="16" t="str">
        <f>IF(NOT(Anime!Y310=""),Anime!Y310,"")</f>
        <v/>
      </c>
      <c r="H309" s="16" t="str">
        <f>IF(NOT(Anime!Z310=""),Anime!Z310,"")</f>
        <v/>
      </c>
      <c r="I309" s="16" t="str">
        <f>IF(NOT(Anime!AA310=""),Anime!AA310,"")</f>
        <v/>
      </c>
      <c r="J309" s="17" t="str">
        <f>IF(NOT(Anime!AB310=""),Anime!AB310,"")</f>
        <v/>
      </c>
      <c r="K309" s="18" t="str">
        <f>IF(NOT(Anime!AC310=""),Anime!AC310,"")</f>
        <v/>
      </c>
      <c r="L309" s="19" t="str">
        <f>IF(NOT(Anime!AD310=""),Anime!AD310,"")</f>
        <v/>
      </c>
      <c r="M309" s="72" t="str">
        <f>IF(NOT(Anime!AE310=""),Anime!AE310,"")</f>
        <v/>
      </c>
      <c r="N309" s="21" t="str">
        <f>IF(NOT(Anime!AF310=""),Anime!AF310,"")</f>
        <v/>
      </c>
      <c r="O309" s="129" t="str">
        <f>IF(NOT(Anime!AG310=""),Anime!AG310,"")</f>
        <v/>
      </c>
      <c r="P309" s="21" t="str">
        <f>IF(NOT(Anime!AH310=""),Anime!AH310,"")</f>
        <v/>
      </c>
      <c r="Q309" s="21" t="str">
        <f>IF(NOT(Anime!AI310=""),Anime!AI310,"")</f>
        <v/>
      </c>
      <c r="R309" s="66" t="str">
        <f>IF(NOT(Anime!AJ310=""),Anime!AJ310,"")</f>
        <v/>
      </c>
      <c r="S309" s="15" t="str">
        <f>IF(NOT(Anime!AK310=""),Anime!AK310,"")</f>
        <v/>
      </c>
    </row>
    <row r="310" spans="1:19" ht="16.5">
      <c r="A310" s="12" t="str">
        <f>IF(NOT(Anime!R311=""),Anime!R311,"")</f>
        <v/>
      </c>
      <c r="B310" s="14" t="str">
        <f>IF(NOT(Anime!S311=""),Anime!S311,"")</f>
        <v/>
      </c>
      <c r="C310" s="14" t="str">
        <f>IF(NOT(Anime!T311=""),Anime!T311,"")</f>
        <v/>
      </c>
      <c r="D310" s="68" t="str">
        <f>IF(NOT(Anime!U311=""),Anime!U311,"")</f>
        <v/>
      </c>
      <c r="E310" s="131" t="str">
        <f>IF(NOT(Anime!W311=""),Anime!W311,"")</f>
        <v/>
      </c>
      <c r="F310" s="16" t="str">
        <f>IF(NOT(Anime!X311=""),Anime!X311,"")</f>
        <v/>
      </c>
      <c r="G310" s="16" t="str">
        <f>IF(NOT(Anime!Y311=""),Anime!Y311,"")</f>
        <v/>
      </c>
      <c r="H310" s="16" t="str">
        <f>IF(NOT(Anime!Z311=""),Anime!Z311,"")</f>
        <v/>
      </c>
      <c r="I310" s="16" t="str">
        <f>IF(NOT(Anime!AA311=""),Anime!AA311,"")</f>
        <v/>
      </c>
      <c r="J310" s="17" t="str">
        <f>IF(NOT(Anime!AB311=""),Anime!AB311,"")</f>
        <v/>
      </c>
      <c r="K310" s="18" t="str">
        <f>IF(NOT(Anime!AC311=""),Anime!AC311,"")</f>
        <v/>
      </c>
      <c r="L310" s="19" t="str">
        <f>IF(NOT(Anime!AD311=""),Anime!AD311,"")</f>
        <v/>
      </c>
      <c r="M310" s="72" t="str">
        <f>IF(NOT(Anime!AE311=""),Anime!AE311,"")</f>
        <v/>
      </c>
      <c r="N310" s="21" t="str">
        <f>IF(NOT(Anime!AF311=""),Anime!AF311,"")</f>
        <v/>
      </c>
      <c r="O310" s="129" t="str">
        <f>IF(NOT(Anime!AG311=""),Anime!AG311,"")</f>
        <v/>
      </c>
      <c r="P310" s="21" t="str">
        <f>IF(NOT(Anime!AH311=""),Anime!AH311,"")</f>
        <v/>
      </c>
      <c r="Q310" s="21" t="str">
        <f>IF(NOT(Anime!AI311=""),Anime!AI311,"")</f>
        <v/>
      </c>
      <c r="R310" s="66" t="str">
        <f>IF(NOT(Anime!AJ311=""),Anime!AJ311,"")</f>
        <v/>
      </c>
      <c r="S310" s="15" t="str">
        <f>IF(NOT(Anime!AK311=""),Anime!AK311,"")</f>
        <v/>
      </c>
    </row>
    <row r="311" spans="1:19" ht="16.5">
      <c r="A311" s="12" t="str">
        <f>IF(NOT(Anime!R312=""),Anime!R312,"")</f>
        <v/>
      </c>
      <c r="B311" s="14" t="str">
        <f>IF(NOT(Anime!S312=""),Anime!S312,"")</f>
        <v/>
      </c>
      <c r="C311" s="14" t="str">
        <f>IF(NOT(Anime!T312=""),Anime!T312,"")</f>
        <v/>
      </c>
      <c r="D311" s="68" t="str">
        <f>IF(NOT(Anime!U312=""),Anime!U312,"")</f>
        <v/>
      </c>
      <c r="E311" s="131" t="str">
        <f>IF(NOT(Anime!W312=""),Anime!W312,"")</f>
        <v/>
      </c>
      <c r="F311" s="16" t="str">
        <f>IF(NOT(Anime!X312=""),Anime!X312,"")</f>
        <v/>
      </c>
      <c r="G311" s="16" t="str">
        <f>IF(NOT(Anime!Y312=""),Anime!Y312,"")</f>
        <v/>
      </c>
      <c r="H311" s="16" t="str">
        <f>IF(NOT(Anime!Z312=""),Anime!Z312,"")</f>
        <v/>
      </c>
      <c r="I311" s="16" t="str">
        <f>IF(NOT(Anime!AA312=""),Anime!AA312,"")</f>
        <v/>
      </c>
      <c r="J311" s="17" t="str">
        <f>IF(NOT(Anime!AB312=""),Anime!AB312,"")</f>
        <v/>
      </c>
      <c r="K311" s="18" t="str">
        <f>IF(NOT(Anime!AC312=""),Anime!AC312,"")</f>
        <v/>
      </c>
      <c r="L311" s="19" t="str">
        <f>IF(NOT(Anime!AD312=""),Anime!AD312,"")</f>
        <v/>
      </c>
      <c r="M311" s="72" t="str">
        <f>IF(NOT(Anime!AE312=""),Anime!AE312,"")</f>
        <v/>
      </c>
      <c r="N311" s="21" t="str">
        <f>IF(NOT(Anime!AF312=""),Anime!AF312,"")</f>
        <v/>
      </c>
      <c r="O311" s="129" t="str">
        <f>IF(NOT(Anime!AG312=""),Anime!AG312,"")</f>
        <v/>
      </c>
      <c r="P311" s="21" t="str">
        <f>IF(NOT(Anime!AH312=""),Anime!AH312,"")</f>
        <v/>
      </c>
      <c r="Q311" s="21" t="str">
        <f>IF(NOT(Anime!AI312=""),Anime!AI312,"")</f>
        <v/>
      </c>
      <c r="R311" s="66" t="str">
        <f>IF(NOT(Anime!AJ312=""),Anime!AJ312,"")</f>
        <v/>
      </c>
      <c r="S311" s="15" t="str">
        <f>IF(NOT(Anime!AK312=""),Anime!AK312,"")</f>
        <v/>
      </c>
    </row>
    <row r="312" spans="1:19" ht="16.5">
      <c r="A312" s="12" t="str">
        <f>IF(NOT(Anime!R313=""),Anime!R313,"")</f>
        <v/>
      </c>
      <c r="B312" s="14" t="str">
        <f>IF(NOT(Anime!S313=""),Anime!S313,"")</f>
        <v/>
      </c>
      <c r="C312" s="14" t="str">
        <f>IF(NOT(Anime!T313=""),Anime!T313,"")</f>
        <v/>
      </c>
      <c r="D312" s="68" t="str">
        <f>IF(NOT(Anime!U313=""),Anime!U313,"")</f>
        <v/>
      </c>
      <c r="E312" s="131" t="str">
        <f>IF(NOT(Anime!W313=""),Anime!W313,"")</f>
        <v/>
      </c>
      <c r="F312" s="16" t="str">
        <f>IF(NOT(Anime!X313=""),Anime!X313,"")</f>
        <v/>
      </c>
      <c r="G312" s="16" t="str">
        <f>IF(NOT(Anime!Y313=""),Anime!Y313,"")</f>
        <v/>
      </c>
      <c r="H312" s="16" t="str">
        <f>IF(NOT(Anime!Z313=""),Anime!Z313,"")</f>
        <v/>
      </c>
      <c r="I312" s="16" t="str">
        <f>IF(NOT(Anime!AA313=""),Anime!AA313,"")</f>
        <v/>
      </c>
      <c r="J312" s="17" t="str">
        <f>IF(NOT(Anime!AB313=""),Anime!AB313,"")</f>
        <v/>
      </c>
      <c r="K312" s="18" t="str">
        <f>IF(NOT(Anime!AC313=""),Anime!AC313,"")</f>
        <v/>
      </c>
      <c r="L312" s="19" t="str">
        <f>IF(NOT(Anime!AD313=""),Anime!AD313,"")</f>
        <v/>
      </c>
      <c r="M312" s="72" t="str">
        <f>IF(NOT(Anime!AE313=""),Anime!AE313,"")</f>
        <v/>
      </c>
      <c r="N312" s="21" t="str">
        <f>IF(NOT(Anime!AF313=""),Anime!AF313,"")</f>
        <v/>
      </c>
      <c r="O312" s="129" t="str">
        <f>IF(NOT(Anime!AG313=""),Anime!AG313,"")</f>
        <v/>
      </c>
      <c r="P312" s="21" t="str">
        <f>IF(NOT(Anime!AH313=""),Anime!AH313,"")</f>
        <v/>
      </c>
      <c r="Q312" s="21" t="str">
        <f>IF(NOT(Anime!AI313=""),Anime!AI313,"")</f>
        <v/>
      </c>
      <c r="R312" s="66" t="str">
        <f>IF(NOT(Anime!AJ313=""),Anime!AJ313,"")</f>
        <v/>
      </c>
      <c r="S312" s="15" t="str">
        <f>IF(NOT(Anime!AK313=""),Anime!AK313,"")</f>
        <v/>
      </c>
    </row>
    <row r="313" spans="1:19" ht="16.5">
      <c r="A313" s="12" t="str">
        <f>IF(NOT(Anime!R314=""),Anime!R314,"")</f>
        <v/>
      </c>
      <c r="B313" s="14" t="str">
        <f>IF(NOT(Anime!S314=""),Anime!S314,"")</f>
        <v/>
      </c>
      <c r="C313" s="14" t="str">
        <f>IF(NOT(Anime!T314=""),Anime!T314,"")</f>
        <v/>
      </c>
      <c r="D313" s="68" t="str">
        <f>IF(NOT(Anime!U314=""),Anime!U314,"")</f>
        <v/>
      </c>
      <c r="E313" s="131" t="str">
        <f>IF(NOT(Anime!W314=""),Anime!W314,"")</f>
        <v/>
      </c>
      <c r="F313" s="16" t="str">
        <f>IF(NOT(Anime!X314=""),Anime!X314,"")</f>
        <v/>
      </c>
      <c r="G313" s="16" t="str">
        <f>IF(NOT(Anime!Y314=""),Anime!Y314,"")</f>
        <v/>
      </c>
      <c r="H313" s="16" t="str">
        <f>IF(NOT(Anime!Z314=""),Anime!Z314,"")</f>
        <v/>
      </c>
      <c r="I313" s="16" t="str">
        <f>IF(NOT(Anime!AA314=""),Anime!AA314,"")</f>
        <v/>
      </c>
      <c r="J313" s="17" t="str">
        <f>IF(NOT(Anime!AB314=""),Anime!AB314,"")</f>
        <v/>
      </c>
      <c r="K313" s="18" t="str">
        <f>IF(NOT(Anime!AC314=""),Anime!AC314,"")</f>
        <v/>
      </c>
      <c r="L313" s="19" t="str">
        <f>IF(NOT(Anime!AD314=""),Anime!AD314,"")</f>
        <v/>
      </c>
      <c r="M313" s="72" t="str">
        <f>IF(NOT(Anime!AE314=""),Anime!AE314,"")</f>
        <v/>
      </c>
      <c r="N313" s="21" t="str">
        <f>IF(NOT(Anime!AF314=""),Anime!AF314,"")</f>
        <v/>
      </c>
      <c r="O313" s="129" t="str">
        <f>IF(NOT(Anime!AG314=""),Anime!AG314,"")</f>
        <v/>
      </c>
      <c r="P313" s="21" t="str">
        <f>IF(NOT(Anime!AH314=""),Anime!AH314,"")</f>
        <v/>
      </c>
      <c r="Q313" s="21" t="str">
        <f>IF(NOT(Anime!AI314=""),Anime!AI314,"")</f>
        <v/>
      </c>
      <c r="R313" s="66" t="str">
        <f>IF(NOT(Anime!AJ314=""),Anime!AJ314,"")</f>
        <v/>
      </c>
      <c r="S313" s="15" t="str">
        <f>IF(NOT(Anime!AK314=""),Anime!AK314,"")</f>
        <v/>
      </c>
    </row>
    <row r="314" spans="1:19" ht="16.5">
      <c r="A314" s="12" t="str">
        <f>IF(NOT(Anime!R315=""),Anime!R315,"")</f>
        <v/>
      </c>
      <c r="B314" s="14" t="str">
        <f>IF(NOT(Anime!S315=""),Anime!S315,"")</f>
        <v/>
      </c>
      <c r="C314" s="14" t="str">
        <f>IF(NOT(Anime!T315=""),Anime!T315,"")</f>
        <v/>
      </c>
      <c r="D314" s="68" t="str">
        <f>IF(NOT(Anime!U315=""),Anime!U315,"")</f>
        <v/>
      </c>
      <c r="E314" s="131" t="str">
        <f>IF(NOT(Anime!W315=""),Anime!W315,"")</f>
        <v/>
      </c>
      <c r="F314" s="16" t="str">
        <f>IF(NOT(Anime!X315=""),Anime!X315,"")</f>
        <v/>
      </c>
      <c r="G314" s="16" t="str">
        <f>IF(NOT(Anime!Y315=""),Anime!Y315,"")</f>
        <v/>
      </c>
      <c r="H314" s="16" t="str">
        <f>IF(NOT(Anime!Z315=""),Anime!Z315,"")</f>
        <v/>
      </c>
      <c r="I314" s="16" t="str">
        <f>IF(NOT(Anime!AA315=""),Anime!AA315,"")</f>
        <v/>
      </c>
      <c r="J314" s="17" t="str">
        <f>IF(NOT(Anime!AB315=""),Anime!AB315,"")</f>
        <v/>
      </c>
      <c r="K314" s="18" t="str">
        <f>IF(NOT(Anime!AC315=""),Anime!AC315,"")</f>
        <v/>
      </c>
      <c r="L314" s="19" t="str">
        <f>IF(NOT(Anime!AD315=""),Anime!AD315,"")</f>
        <v/>
      </c>
      <c r="M314" s="72" t="str">
        <f>IF(NOT(Anime!AE315=""),Anime!AE315,"")</f>
        <v/>
      </c>
      <c r="N314" s="21" t="str">
        <f>IF(NOT(Anime!AF315=""),Anime!AF315,"")</f>
        <v/>
      </c>
      <c r="O314" s="129" t="str">
        <f>IF(NOT(Anime!AG315=""),Anime!AG315,"")</f>
        <v/>
      </c>
      <c r="P314" s="21" t="str">
        <f>IF(NOT(Anime!AH315=""),Anime!AH315,"")</f>
        <v/>
      </c>
      <c r="Q314" s="21" t="str">
        <f>IF(NOT(Anime!AI315=""),Anime!AI315,"")</f>
        <v/>
      </c>
      <c r="R314" s="66" t="str">
        <f>IF(NOT(Anime!AJ315=""),Anime!AJ315,"")</f>
        <v/>
      </c>
      <c r="S314" s="15" t="str">
        <f>IF(NOT(Anime!AK315=""),Anime!AK315,"")</f>
        <v/>
      </c>
    </row>
    <row r="315" spans="1:19" ht="16.5">
      <c r="A315" s="12" t="str">
        <f>IF(NOT(Anime!R316=""),Anime!R316,"")</f>
        <v/>
      </c>
      <c r="B315" s="14" t="str">
        <f>IF(NOT(Anime!S316=""),Anime!S316,"")</f>
        <v/>
      </c>
      <c r="C315" s="14" t="str">
        <f>IF(NOT(Anime!T316=""),Anime!T316,"")</f>
        <v/>
      </c>
      <c r="D315" s="68" t="str">
        <f>IF(NOT(Anime!U316=""),Anime!U316,"")</f>
        <v/>
      </c>
      <c r="E315" s="131" t="str">
        <f>IF(NOT(Anime!W316=""),Anime!W316,"")</f>
        <v/>
      </c>
      <c r="F315" s="16" t="str">
        <f>IF(NOT(Anime!X316=""),Anime!X316,"")</f>
        <v/>
      </c>
      <c r="G315" s="16" t="str">
        <f>IF(NOT(Anime!Y316=""),Anime!Y316,"")</f>
        <v/>
      </c>
      <c r="H315" s="16" t="str">
        <f>IF(NOT(Anime!Z316=""),Anime!Z316,"")</f>
        <v/>
      </c>
      <c r="I315" s="16" t="str">
        <f>IF(NOT(Anime!AA316=""),Anime!AA316,"")</f>
        <v/>
      </c>
      <c r="J315" s="17" t="str">
        <f>IF(NOT(Anime!AB316=""),Anime!AB316,"")</f>
        <v/>
      </c>
      <c r="K315" s="18" t="str">
        <f>IF(NOT(Anime!AC316=""),Anime!AC316,"")</f>
        <v/>
      </c>
      <c r="L315" s="19" t="str">
        <f>IF(NOT(Anime!AD316=""),Anime!AD316,"")</f>
        <v/>
      </c>
      <c r="M315" s="72" t="str">
        <f>IF(NOT(Anime!AE316=""),Anime!AE316,"")</f>
        <v/>
      </c>
      <c r="N315" s="21" t="str">
        <f>IF(NOT(Anime!AF316=""),Anime!AF316,"")</f>
        <v/>
      </c>
      <c r="O315" s="129" t="str">
        <f>IF(NOT(Anime!AG316=""),Anime!AG316,"")</f>
        <v/>
      </c>
      <c r="P315" s="21" t="str">
        <f>IF(NOT(Anime!AH316=""),Anime!AH316,"")</f>
        <v/>
      </c>
      <c r="Q315" s="21" t="str">
        <f>IF(NOT(Anime!AI316=""),Anime!AI316,"")</f>
        <v/>
      </c>
      <c r="R315" s="66" t="str">
        <f>IF(NOT(Anime!AJ316=""),Anime!AJ316,"")</f>
        <v/>
      </c>
      <c r="S315" s="15" t="str">
        <f>IF(NOT(Anime!AK316=""),Anime!AK316,"")</f>
        <v/>
      </c>
    </row>
    <row r="316" spans="1:19" ht="16.5">
      <c r="A316" s="12" t="str">
        <f>IF(NOT(Anime!R317=""),Anime!R317,"")</f>
        <v/>
      </c>
      <c r="B316" s="14" t="str">
        <f>IF(NOT(Anime!S317=""),Anime!S317,"")</f>
        <v/>
      </c>
      <c r="C316" s="14" t="str">
        <f>IF(NOT(Anime!T317=""),Anime!T317,"")</f>
        <v/>
      </c>
      <c r="D316" s="68" t="str">
        <f>IF(NOT(Anime!U317=""),Anime!U317,"")</f>
        <v/>
      </c>
      <c r="E316" s="131" t="str">
        <f>IF(NOT(Anime!W317=""),Anime!W317,"")</f>
        <v/>
      </c>
      <c r="F316" s="16" t="str">
        <f>IF(NOT(Anime!X317=""),Anime!X317,"")</f>
        <v/>
      </c>
      <c r="G316" s="16" t="str">
        <f>IF(NOT(Anime!Y317=""),Anime!Y317,"")</f>
        <v/>
      </c>
      <c r="H316" s="16" t="str">
        <f>IF(NOT(Anime!Z317=""),Anime!Z317,"")</f>
        <v/>
      </c>
      <c r="I316" s="16" t="str">
        <f>IF(NOT(Anime!AA317=""),Anime!AA317,"")</f>
        <v/>
      </c>
      <c r="J316" s="17" t="str">
        <f>IF(NOT(Anime!AB317=""),Anime!AB317,"")</f>
        <v/>
      </c>
      <c r="K316" s="18" t="str">
        <f>IF(NOT(Anime!AC317=""),Anime!AC317,"")</f>
        <v/>
      </c>
      <c r="L316" s="19" t="str">
        <f>IF(NOT(Anime!AD317=""),Anime!AD317,"")</f>
        <v/>
      </c>
      <c r="M316" s="72" t="str">
        <f>IF(NOT(Anime!AE317=""),Anime!AE317,"")</f>
        <v/>
      </c>
      <c r="N316" s="21" t="str">
        <f>IF(NOT(Anime!AF317=""),Anime!AF317,"")</f>
        <v/>
      </c>
      <c r="O316" s="129" t="str">
        <f>IF(NOT(Anime!AG317=""),Anime!AG317,"")</f>
        <v/>
      </c>
      <c r="P316" s="21" t="str">
        <f>IF(NOT(Anime!AH317=""),Anime!AH317,"")</f>
        <v/>
      </c>
      <c r="Q316" s="21" t="str">
        <f>IF(NOT(Anime!AI317=""),Anime!AI317,"")</f>
        <v/>
      </c>
      <c r="R316" s="66" t="str">
        <f>IF(NOT(Anime!AJ317=""),Anime!AJ317,"")</f>
        <v/>
      </c>
      <c r="S316" s="15" t="str">
        <f>IF(NOT(Anime!AK317=""),Anime!AK317,"")</f>
        <v/>
      </c>
    </row>
    <row r="317" spans="1:19" ht="16.5">
      <c r="A317" s="12" t="str">
        <f>IF(NOT(Anime!R318=""),Anime!R318,"")</f>
        <v/>
      </c>
      <c r="B317" s="14" t="str">
        <f>IF(NOT(Anime!S318=""),Anime!S318,"")</f>
        <v/>
      </c>
      <c r="C317" s="14" t="str">
        <f>IF(NOT(Anime!T318=""),Anime!T318,"")</f>
        <v/>
      </c>
      <c r="D317" s="68" t="str">
        <f>IF(NOT(Anime!U318=""),Anime!U318,"")</f>
        <v/>
      </c>
      <c r="E317" s="131" t="str">
        <f>IF(NOT(Anime!W318=""),Anime!W318,"")</f>
        <v/>
      </c>
      <c r="F317" s="16" t="str">
        <f>IF(NOT(Anime!X318=""),Anime!X318,"")</f>
        <v/>
      </c>
      <c r="G317" s="16" t="str">
        <f>IF(NOT(Anime!Y318=""),Anime!Y318,"")</f>
        <v/>
      </c>
      <c r="H317" s="16" t="str">
        <f>IF(NOT(Anime!Z318=""),Anime!Z318,"")</f>
        <v/>
      </c>
      <c r="I317" s="16" t="str">
        <f>IF(NOT(Anime!AA318=""),Anime!AA318,"")</f>
        <v/>
      </c>
      <c r="J317" s="17" t="str">
        <f>IF(NOT(Anime!AB318=""),Anime!AB318,"")</f>
        <v/>
      </c>
      <c r="K317" s="18" t="str">
        <f>IF(NOT(Anime!AC318=""),Anime!AC318,"")</f>
        <v/>
      </c>
      <c r="L317" s="19" t="str">
        <f>IF(NOT(Anime!AD318=""),Anime!AD318,"")</f>
        <v/>
      </c>
      <c r="M317" s="72" t="str">
        <f>IF(NOT(Anime!AE318=""),Anime!AE318,"")</f>
        <v/>
      </c>
      <c r="N317" s="21" t="str">
        <f>IF(NOT(Anime!AF318=""),Anime!AF318,"")</f>
        <v/>
      </c>
      <c r="O317" s="129" t="str">
        <f>IF(NOT(Anime!AG318=""),Anime!AG318,"")</f>
        <v/>
      </c>
      <c r="P317" s="21" t="str">
        <f>IF(NOT(Anime!AH318=""),Anime!AH318,"")</f>
        <v/>
      </c>
      <c r="Q317" s="21" t="str">
        <f>IF(NOT(Anime!AI318=""),Anime!AI318,"")</f>
        <v/>
      </c>
      <c r="R317" s="66" t="str">
        <f>IF(NOT(Anime!AJ318=""),Anime!AJ318,"")</f>
        <v/>
      </c>
      <c r="S317" s="15" t="str">
        <f>IF(NOT(Anime!AK318=""),Anime!AK318,"")</f>
        <v/>
      </c>
    </row>
    <row r="318" spans="1:19" ht="16.5">
      <c r="A318" s="12" t="str">
        <f>IF(NOT(Anime!R319=""),Anime!R319,"")</f>
        <v/>
      </c>
      <c r="B318" s="14" t="str">
        <f>IF(NOT(Anime!S319=""),Anime!S319,"")</f>
        <v/>
      </c>
      <c r="C318" s="14" t="str">
        <f>IF(NOT(Anime!T319=""),Anime!T319,"")</f>
        <v/>
      </c>
      <c r="D318" s="68" t="str">
        <f>IF(NOT(Anime!U319=""),Anime!U319,"")</f>
        <v/>
      </c>
      <c r="E318" s="131" t="str">
        <f>IF(NOT(Anime!W319=""),Anime!W319,"")</f>
        <v/>
      </c>
      <c r="F318" s="16" t="str">
        <f>IF(NOT(Anime!X319=""),Anime!X319,"")</f>
        <v/>
      </c>
      <c r="G318" s="16" t="str">
        <f>IF(NOT(Anime!Y319=""),Anime!Y319,"")</f>
        <v/>
      </c>
      <c r="H318" s="16" t="str">
        <f>IF(NOT(Anime!Z319=""),Anime!Z319,"")</f>
        <v/>
      </c>
      <c r="I318" s="16" t="str">
        <f>IF(NOT(Anime!AA319=""),Anime!AA319,"")</f>
        <v/>
      </c>
      <c r="J318" s="17" t="str">
        <f>IF(NOT(Anime!AB319=""),Anime!AB319,"")</f>
        <v/>
      </c>
      <c r="K318" s="18" t="str">
        <f>IF(NOT(Anime!AC319=""),Anime!AC319,"")</f>
        <v/>
      </c>
      <c r="L318" s="19" t="str">
        <f>IF(NOT(Anime!AD319=""),Anime!AD319,"")</f>
        <v/>
      </c>
      <c r="M318" s="72" t="str">
        <f>IF(NOT(Anime!AE319=""),Anime!AE319,"")</f>
        <v/>
      </c>
      <c r="N318" s="21" t="str">
        <f>IF(NOT(Anime!AF319=""),Anime!AF319,"")</f>
        <v/>
      </c>
      <c r="O318" s="129" t="str">
        <f>IF(NOT(Anime!AG319=""),Anime!AG319,"")</f>
        <v/>
      </c>
      <c r="P318" s="21" t="str">
        <f>IF(NOT(Anime!AH319=""),Anime!AH319,"")</f>
        <v/>
      </c>
      <c r="Q318" s="21" t="str">
        <f>IF(NOT(Anime!AI319=""),Anime!AI319,"")</f>
        <v/>
      </c>
      <c r="R318" s="66" t="str">
        <f>IF(NOT(Anime!AJ319=""),Anime!AJ319,"")</f>
        <v/>
      </c>
      <c r="S318" s="15" t="str">
        <f>IF(NOT(Anime!AK319=""),Anime!AK319,"")</f>
        <v/>
      </c>
    </row>
    <row r="319" spans="1:19" ht="16.5">
      <c r="A319" s="12" t="str">
        <f>IF(NOT(Anime!R320=""),Anime!R320,"")</f>
        <v/>
      </c>
      <c r="B319" s="14" t="str">
        <f>IF(NOT(Anime!S320=""),Anime!S320,"")</f>
        <v/>
      </c>
      <c r="C319" s="14" t="str">
        <f>IF(NOT(Anime!T320=""),Anime!T320,"")</f>
        <v/>
      </c>
      <c r="D319" s="68" t="str">
        <f>IF(NOT(Anime!U320=""),Anime!U320,"")</f>
        <v/>
      </c>
      <c r="E319" s="131" t="str">
        <f>IF(NOT(Anime!W320=""),Anime!W320,"")</f>
        <v/>
      </c>
      <c r="F319" s="16" t="str">
        <f>IF(NOT(Anime!X320=""),Anime!X320,"")</f>
        <v/>
      </c>
      <c r="G319" s="16" t="str">
        <f>IF(NOT(Anime!Y320=""),Anime!Y320,"")</f>
        <v/>
      </c>
      <c r="H319" s="16" t="str">
        <f>IF(NOT(Anime!Z320=""),Anime!Z320,"")</f>
        <v/>
      </c>
      <c r="I319" s="16" t="str">
        <f>IF(NOT(Anime!AA320=""),Anime!AA320,"")</f>
        <v/>
      </c>
      <c r="J319" s="17" t="str">
        <f>IF(NOT(Anime!AB320=""),Anime!AB320,"")</f>
        <v/>
      </c>
      <c r="K319" s="18" t="str">
        <f>IF(NOT(Anime!AC320=""),Anime!AC320,"")</f>
        <v/>
      </c>
      <c r="L319" s="19" t="str">
        <f>IF(NOT(Anime!AD320=""),Anime!AD320,"")</f>
        <v/>
      </c>
      <c r="M319" s="72" t="str">
        <f>IF(NOT(Anime!AE320=""),Anime!AE320,"")</f>
        <v/>
      </c>
      <c r="N319" s="21" t="str">
        <f>IF(NOT(Anime!AF320=""),Anime!AF320,"")</f>
        <v/>
      </c>
      <c r="O319" s="129" t="str">
        <f>IF(NOT(Anime!AG320=""),Anime!AG320,"")</f>
        <v/>
      </c>
      <c r="P319" s="21" t="str">
        <f>IF(NOT(Anime!AH320=""),Anime!AH320,"")</f>
        <v/>
      </c>
      <c r="Q319" s="21" t="str">
        <f>IF(NOT(Anime!AI320=""),Anime!AI320,"")</f>
        <v/>
      </c>
      <c r="R319" s="66" t="str">
        <f>IF(NOT(Anime!AJ320=""),Anime!AJ320,"")</f>
        <v/>
      </c>
      <c r="S319" s="15" t="str">
        <f>IF(NOT(Anime!AK320=""),Anime!AK320,"")</f>
        <v/>
      </c>
    </row>
    <row r="320" spans="1:19" ht="16.5">
      <c r="A320" s="12" t="str">
        <f>IF(NOT(Anime!R321=""),Anime!R321,"")</f>
        <v/>
      </c>
      <c r="B320" s="14" t="str">
        <f>IF(NOT(Anime!S321=""),Anime!S321,"")</f>
        <v/>
      </c>
      <c r="C320" s="14" t="str">
        <f>IF(NOT(Anime!T321=""),Anime!T321,"")</f>
        <v/>
      </c>
      <c r="D320" s="68" t="str">
        <f>IF(NOT(Anime!U321=""),Anime!U321,"")</f>
        <v/>
      </c>
      <c r="E320" s="131" t="str">
        <f>IF(NOT(Anime!W321=""),Anime!W321,"")</f>
        <v/>
      </c>
      <c r="F320" s="16" t="str">
        <f>IF(NOT(Anime!X321=""),Anime!X321,"")</f>
        <v/>
      </c>
      <c r="G320" s="16" t="str">
        <f>IF(NOT(Anime!Y321=""),Anime!Y321,"")</f>
        <v/>
      </c>
      <c r="H320" s="16" t="str">
        <f>IF(NOT(Anime!Z321=""),Anime!Z321,"")</f>
        <v/>
      </c>
      <c r="I320" s="16" t="str">
        <f>IF(NOT(Anime!AA321=""),Anime!AA321,"")</f>
        <v/>
      </c>
      <c r="J320" s="17" t="str">
        <f>IF(NOT(Anime!AB321=""),Anime!AB321,"")</f>
        <v/>
      </c>
      <c r="K320" s="18" t="str">
        <f>IF(NOT(Anime!AC321=""),Anime!AC321,"")</f>
        <v/>
      </c>
      <c r="L320" s="19" t="str">
        <f>IF(NOT(Anime!AD321=""),Anime!AD321,"")</f>
        <v/>
      </c>
      <c r="M320" s="72" t="str">
        <f>IF(NOT(Anime!AE321=""),Anime!AE321,"")</f>
        <v/>
      </c>
      <c r="N320" s="21" t="str">
        <f>IF(NOT(Anime!AF321=""),Anime!AF321,"")</f>
        <v/>
      </c>
      <c r="O320" s="129" t="str">
        <f>IF(NOT(Anime!AG321=""),Anime!AG321,"")</f>
        <v/>
      </c>
      <c r="P320" s="21" t="str">
        <f>IF(NOT(Anime!AH321=""),Anime!AH321,"")</f>
        <v/>
      </c>
      <c r="Q320" s="21" t="str">
        <f>IF(NOT(Anime!AI321=""),Anime!AI321,"")</f>
        <v/>
      </c>
      <c r="R320" s="66" t="str">
        <f>IF(NOT(Anime!AJ321=""),Anime!AJ321,"")</f>
        <v/>
      </c>
      <c r="S320" s="15" t="str">
        <f>IF(NOT(Anime!AK321=""),Anime!AK321,"")</f>
        <v/>
      </c>
    </row>
    <row r="321" spans="1:19" ht="16.5">
      <c r="A321" s="12" t="str">
        <f>IF(NOT(Anime!R322=""),Anime!R322,"")</f>
        <v/>
      </c>
      <c r="B321" s="14" t="str">
        <f>IF(NOT(Anime!S322=""),Anime!S322,"")</f>
        <v/>
      </c>
      <c r="C321" s="14" t="str">
        <f>IF(NOT(Anime!T322=""),Anime!T322,"")</f>
        <v/>
      </c>
      <c r="D321" s="68" t="str">
        <f>IF(NOT(Anime!U322=""),Anime!U322,"")</f>
        <v/>
      </c>
      <c r="E321" s="131" t="str">
        <f>IF(NOT(Anime!W322=""),Anime!W322,"")</f>
        <v/>
      </c>
      <c r="F321" s="16" t="str">
        <f>IF(NOT(Anime!X322=""),Anime!X322,"")</f>
        <v/>
      </c>
      <c r="G321" s="16" t="str">
        <f>IF(NOT(Anime!Y322=""),Anime!Y322,"")</f>
        <v/>
      </c>
      <c r="H321" s="16" t="str">
        <f>IF(NOT(Anime!Z322=""),Anime!Z322,"")</f>
        <v/>
      </c>
      <c r="I321" s="16" t="str">
        <f>IF(NOT(Anime!AA322=""),Anime!AA322,"")</f>
        <v/>
      </c>
      <c r="J321" s="17" t="str">
        <f>IF(NOT(Anime!AB322=""),Anime!AB322,"")</f>
        <v/>
      </c>
      <c r="K321" s="18" t="str">
        <f>IF(NOT(Anime!AC322=""),Anime!AC322,"")</f>
        <v/>
      </c>
      <c r="L321" s="19" t="str">
        <f>IF(NOT(Anime!AD322=""),Anime!AD322,"")</f>
        <v/>
      </c>
      <c r="M321" s="72" t="str">
        <f>IF(NOT(Anime!AE322=""),Anime!AE322,"")</f>
        <v/>
      </c>
      <c r="N321" s="21" t="str">
        <f>IF(NOT(Anime!AF322=""),Anime!AF322,"")</f>
        <v/>
      </c>
      <c r="O321" s="129" t="str">
        <f>IF(NOT(Anime!AG322=""),Anime!AG322,"")</f>
        <v/>
      </c>
      <c r="P321" s="21" t="str">
        <f>IF(NOT(Anime!AH322=""),Anime!AH322,"")</f>
        <v/>
      </c>
      <c r="Q321" s="21" t="str">
        <f>IF(NOT(Anime!AI322=""),Anime!AI322,"")</f>
        <v/>
      </c>
      <c r="R321" s="66" t="str">
        <f>IF(NOT(Anime!AJ322=""),Anime!AJ322,"")</f>
        <v/>
      </c>
      <c r="S321" s="15" t="str">
        <f>IF(NOT(Anime!AK322=""),Anime!AK322,"")</f>
        <v/>
      </c>
    </row>
    <row r="322" spans="1:19" ht="16.5">
      <c r="A322" s="12" t="str">
        <f>IF(NOT(Anime!R323=""),Anime!R323,"")</f>
        <v/>
      </c>
      <c r="B322" s="14" t="str">
        <f>IF(NOT(Anime!S323=""),Anime!S323,"")</f>
        <v/>
      </c>
      <c r="C322" s="14" t="str">
        <f>IF(NOT(Anime!T323=""),Anime!T323,"")</f>
        <v/>
      </c>
      <c r="D322" s="68" t="str">
        <f>IF(NOT(Anime!U323=""),Anime!U323,"")</f>
        <v/>
      </c>
      <c r="E322" s="131" t="str">
        <f>IF(NOT(Anime!W323=""),Anime!W323,"")</f>
        <v/>
      </c>
      <c r="F322" s="16" t="str">
        <f>IF(NOT(Anime!X323=""),Anime!X323,"")</f>
        <v/>
      </c>
      <c r="G322" s="16" t="str">
        <f>IF(NOT(Anime!Y323=""),Anime!Y323,"")</f>
        <v/>
      </c>
      <c r="H322" s="16" t="str">
        <f>IF(NOT(Anime!Z323=""),Anime!Z323,"")</f>
        <v/>
      </c>
      <c r="I322" s="16" t="str">
        <f>IF(NOT(Anime!AA323=""),Anime!AA323,"")</f>
        <v/>
      </c>
      <c r="J322" s="17" t="str">
        <f>IF(NOT(Anime!AB323=""),Anime!AB323,"")</f>
        <v/>
      </c>
      <c r="K322" s="18" t="str">
        <f>IF(NOT(Anime!AC323=""),Anime!AC323,"")</f>
        <v/>
      </c>
      <c r="L322" s="19" t="str">
        <f>IF(NOT(Anime!AD323=""),Anime!AD323,"")</f>
        <v/>
      </c>
      <c r="M322" s="72" t="str">
        <f>IF(NOT(Anime!AE323=""),Anime!AE323,"")</f>
        <v/>
      </c>
      <c r="N322" s="21" t="str">
        <f>IF(NOT(Anime!AF323=""),Anime!AF323,"")</f>
        <v/>
      </c>
      <c r="O322" s="129" t="str">
        <f>IF(NOT(Anime!AG323=""),Anime!AG323,"")</f>
        <v/>
      </c>
      <c r="P322" s="21" t="str">
        <f>IF(NOT(Anime!AH323=""),Anime!AH323,"")</f>
        <v/>
      </c>
      <c r="Q322" s="21" t="str">
        <f>IF(NOT(Anime!AI323=""),Anime!AI323,"")</f>
        <v/>
      </c>
      <c r="R322" s="66" t="str">
        <f>IF(NOT(Anime!AJ323=""),Anime!AJ323,"")</f>
        <v/>
      </c>
      <c r="S322" s="15" t="str">
        <f>IF(NOT(Anime!AK323=""),Anime!AK323,"")</f>
        <v/>
      </c>
    </row>
    <row r="323" spans="1:19" ht="16.5">
      <c r="A323" s="12" t="str">
        <f>IF(NOT(Anime!R324=""),Anime!R324,"")</f>
        <v/>
      </c>
      <c r="B323" s="14" t="str">
        <f>IF(NOT(Anime!S324=""),Anime!S324,"")</f>
        <v/>
      </c>
      <c r="C323" s="14" t="str">
        <f>IF(NOT(Anime!T324=""),Anime!T324,"")</f>
        <v/>
      </c>
      <c r="D323" s="68" t="str">
        <f>IF(NOT(Anime!U324=""),Anime!U324,"")</f>
        <v/>
      </c>
      <c r="E323" s="131" t="str">
        <f>IF(NOT(Anime!W324=""),Anime!W324,"")</f>
        <v/>
      </c>
      <c r="F323" s="16" t="str">
        <f>IF(NOT(Anime!X324=""),Anime!X324,"")</f>
        <v/>
      </c>
      <c r="G323" s="16" t="str">
        <f>IF(NOT(Anime!Y324=""),Anime!Y324,"")</f>
        <v/>
      </c>
      <c r="H323" s="16" t="str">
        <f>IF(NOT(Anime!Z324=""),Anime!Z324,"")</f>
        <v/>
      </c>
      <c r="I323" s="16" t="str">
        <f>IF(NOT(Anime!AA324=""),Anime!AA324,"")</f>
        <v/>
      </c>
      <c r="J323" s="17" t="str">
        <f>IF(NOT(Anime!AB324=""),Anime!AB324,"")</f>
        <v/>
      </c>
      <c r="K323" s="18" t="str">
        <f>IF(NOT(Anime!AC324=""),Anime!AC324,"")</f>
        <v/>
      </c>
      <c r="L323" s="19" t="str">
        <f>IF(NOT(Anime!AD324=""),Anime!AD324,"")</f>
        <v/>
      </c>
      <c r="M323" s="72" t="str">
        <f>IF(NOT(Anime!AE324=""),Anime!AE324,"")</f>
        <v/>
      </c>
      <c r="N323" s="21" t="str">
        <f>IF(NOT(Anime!AF324=""),Anime!AF324,"")</f>
        <v/>
      </c>
      <c r="O323" s="129" t="str">
        <f>IF(NOT(Anime!AG324=""),Anime!AG324,"")</f>
        <v/>
      </c>
      <c r="P323" s="21" t="str">
        <f>IF(NOT(Anime!AH324=""),Anime!AH324,"")</f>
        <v/>
      </c>
      <c r="Q323" s="21" t="str">
        <f>IF(NOT(Anime!AI324=""),Anime!AI324,"")</f>
        <v/>
      </c>
      <c r="R323" s="66" t="str">
        <f>IF(NOT(Anime!AJ324=""),Anime!AJ324,"")</f>
        <v/>
      </c>
      <c r="S323" s="15" t="str">
        <f>IF(NOT(Anime!AK324=""),Anime!AK324,"")</f>
        <v/>
      </c>
    </row>
    <row r="324" spans="1:19" ht="16.5">
      <c r="A324" s="12" t="str">
        <f>IF(NOT(Anime!R325=""),Anime!R325,"")</f>
        <v/>
      </c>
      <c r="B324" s="14" t="str">
        <f>IF(NOT(Anime!S325=""),Anime!S325,"")</f>
        <v/>
      </c>
      <c r="C324" s="14" t="str">
        <f>IF(NOT(Anime!T325=""),Anime!T325,"")</f>
        <v/>
      </c>
      <c r="D324" s="68" t="str">
        <f>IF(NOT(Anime!U325=""),Anime!U325,"")</f>
        <v/>
      </c>
      <c r="E324" s="131" t="str">
        <f>IF(NOT(Anime!W325=""),Anime!W325,"")</f>
        <v/>
      </c>
      <c r="F324" s="16" t="str">
        <f>IF(NOT(Anime!X325=""),Anime!X325,"")</f>
        <v/>
      </c>
      <c r="G324" s="16" t="str">
        <f>IF(NOT(Anime!Y325=""),Anime!Y325,"")</f>
        <v/>
      </c>
      <c r="H324" s="16" t="str">
        <f>IF(NOT(Anime!Z325=""),Anime!Z325,"")</f>
        <v/>
      </c>
      <c r="I324" s="16" t="str">
        <f>IF(NOT(Anime!AA325=""),Anime!AA325,"")</f>
        <v/>
      </c>
      <c r="J324" s="17" t="str">
        <f>IF(NOT(Anime!AB325=""),Anime!AB325,"")</f>
        <v/>
      </c>
      <c r="K324" s="18" t="str">
        <f>IF(NOT(Anime!AC325=""),Anime!AC325,"")</f>
        <v/>
      </c>
      <c r="L324" s="19" t="str">
        <f>IF(NOT(Anime!AD325=""),Anime!AD325,"")</f>
        <v/>
      </c>
      <c r="M324" s="72" t="str">
        <f>IF(NOT(Anime!AE325=""),Anime!AE325,"")</f>
        <v/>
      </c>
      <c r="N324" s="21" t="str">
        <f>IF(NOT(Anime!AF325=""),Anime!AF325,"")</f>
        <v/>
      </c>
      <c r="O324" s="129" t="str">
        <f>IF(NOT(Anime!AG325=""),Anime!AG325,"")</f>
        <v/>
      </c>
      <c r="P324" s="21" t="str">
        <f>IF(NOT(Anime!AH325=""),Anime!AH325,"")</f>
        <v/>
      </c>
      <c r="Q324" s="21" t="str">
        <f>IF(NOT(Anime!AI325=""),Anime!AI325,"")</f>
        <v/>
      </c>
      <c r="R324" s="66" t="str">
        <f>IF(NOT(Anime!AJ325=""),Anime!AJ325,"")</f>
        <v/>
      </c>
      <c r="S324" s="15" t="str">
        <f>IF(NOT(Anime!AK325=""),Anime!AK325,"")</f>
        <v/>
      </c>
    </row>
    <row r="325" spans="1:19" ht="16.5">
      <c r="A325" s="12" t="str">
        <f>IF(NOT(Anime!R326=""),Anime!R326,"")</f>
        <v/>
      </c>
      <c r="B325" s="14" t="str">
        <f>IF(NOT(Anime!S326=""),Anime!S326,"")</f>
        <v/>
      </c>
      <c r="C325" s="14" t="str">
        <f>IF(NOT(Anime!T326=""),Anime!T326,"")</f>
        <v/>
      </c>
      <c r="D325" s="68" t="str">
        <f>IF(NOT(Anime!U326=""),Anime!U326,"")</f>
        <v/>
      </c>
      <c r="E325" s="131" t="str">
        <f>IF(NOT(Anime!W326=""),Anime!W326,"")</f>
        <v/>
      </c>
      <c r="F325" s="16" t="str">
        <f>IF(NOT(Anime!X326=""),Anime!X326,"")</f>
        <v/>
      </c>
      <c r="G325" s="16" t="str">
        <f>IF(NOT(Anime!Y326=""),Anime!Y326,"")</f>
        <v/>
      </c>
      <c r="H325" s="16" t="str">
        <f>IF(NOT(Anime!Z326=""),Anime!Z326,"")</f>
        <v/>
      </c>
      <c r="I325" s="16" t="str">
        <f>IF(NOT(Anime!AA326=""),Anime!AA326,"")</f>
        <v/>
      </c>
      <c r="J325" s="17" t="str">
        <f>IF(NOT(Anime!AB326=""),Anime!AB326,"")</f>
        <v/>
      </c>
      <c r="K325" s="18" t="str">
        <f>IF(NOT(Anime!AC326=""),Anime!AC326,"")</f>
        <v/>
      </c>
      <c r="L325" s="19" t="str">
        <f>IF(NOT(Anime!AD326=""),Anime!AD326,"")</f>
        <v/>
      </c>
      <c r="M325" s="72" t="str">
        <f>IF(NOT(Anime!AE326=""),Anime!AE326,"")</f>
        <v/>
      </c>
      <c r="N325" s="21" t="str">
        <f>IF(NOT(Anime!AF326=""),Anime!AF326,"")</f>
        <v/>
      </c>
      <c r="O325" s="129" t="str">
        <f>IF(NOT(Anime!AG326=""),Anime!AG326,"")</f>
        <v/>
      </c>
      <c r="P325" s="21" t="str">
        <f>IF(NOT(Anime!AH326=""),Anime!AH326,"")</f>
        <v/>
      </c>
      <c r="Q325" s="21" t="str">
        <f>IF(NOT(Anime!AI326=""),Anime!AI326,"")</f>
        <v/>
      </c>
      <c r="R325" s="66" t="str">
        <f>IF(NOT(Anime!AJ326=""),Anime!AJ326,"")</f>
        <v/>
      </c>
      <c r="S325" s="15" t="str">
        <f>IF(NOT(Anime!AK326=""),Anime!AK326,"")</f>
        <v/>
      </c>
    </row>
    <row r="326" spans="1:19" ht="16.5">
      <c r="A326" s="12" t="str">
        <f>IF(NOT(Anime!R327=""),Anime!R327,"")</f>
        <v/>
      </c>
      <c r="B326" s="14" t="str">
        <f>IF(NOT(Anime!S327=""),Anime!S327,"")</f>
        <v/>
      </c>
      <c r="C326" s="14" t="str">
        <f>IF(NOT(Anime!T327=""),Anime!T327,"")</f>
        <v/>
      </c>
      <c r="D326" s="68" t="str">
        <f>IF(NOT(Anime!U327=""),Anime!U327,"")</f>
        <v/>
      </c>
      <c r="E326" s="131" t="str">
        <f>IF(NOT(Anime!W327=""),Anime!W327,"")</f>
        <v/>
      </c>
      <c r="F326" s="16" t="str">
        <f>IF(NOT(Anime!X327=""),Anime!X327,"")</f>
        <v/>
      </c>
      <c r="G326" s="16" t="str">
        <f>IF(NOT(Anime!Y327=""),Anime!Y327,"")</f>
        <v/>
      </c>
      <c r="H326" s="16" t="str">
        <f>IF(NOT(Anime!Z327=""),Anime!Z327,"")</f>
        <v/>
      </c>
      <c r="I326" s="16" t="str">
        <f>IF(NOT(Anime!AA327=""),Anime!AA327,"")</f>
        <v/>
      </c>
      <c r="J326" s="17" t="str">
        <f>IF(NOT(Anime!AB327=""),Anime!AB327,"")</f>
        <v/>
      </c>
      <c r="K326" s="18" t="str">
        <f>IF(NOT(Anime!AC327=""),Anime!AC327,"")</f>
        <v/>
      </c>
      <c r="L326" s="19" t="str">
        <f>IF(NOT(Anime!AD327=""),Anime!AD327,"")</f>
        <v/>
      </c>
      <c r="M326" s="72" t="str">
        <f>IF(NOT(Anime!AE327=""),Anime!AE327,"")</f>
        <v/>
      </c>
      <c r="N326" s="21" t="str">
        <f>IF(NOT(Anime!AF327=""),Anime!AF327,"")</f>
        <v/>
      </c>
      <c r="O326" s="129" t="str">
        <f>IF(NOT(Anime!AG327=""),Anime!AG327,"")</f>
        <v/>
      </c>
      <c r="P326" s="21" t="str">
        <f>IF(NOT(Anime!AH327=""),Anime!AH327,"")</f>
        <v/>
      </c>
      <c r="Q326" s="21" t="str">
        <f>IF(NOT(Anime!AI327=""),Anime!AI327,"")</f>
        <v/>
      </c>
      <c r="R326" s="66" t="str">
        <f>IF(NOT(Anime!AJ327=""),Anime!AJ327,"")</f>
        <v/>
      </c>
      <c r="S326" s="15" t="str">
        <f>IF(NOT(Anime!AK327=""),Anime!AK327,"")</f>
        <v/>
      </c>
    </row>
    <row r="327" spans="1:19" ht="16.5">
      <c r="A327" s="12" t="str">
        <f>IF(NOT(Anime!R328=""),Anime!R328,"")</f>
        <v/>
      </c>
      <c r="B327" s="14" t="str">
        <f>IF(NOT(Anime!S328=""),Anime!S328,"")</f>
        <v/>
      </c>
      <c r="C327" s="14" t="str">
        <f>IF(NOT(Anime!T328=""),Anime!T328,"")</f>
        <v/>
      </c>
      <c r="D327" s="68" t="str">
        <f>IF(NOT(Anime!U328=""),Anime!U328,"")</f>
        <v/>
      </c>
      <c r="E327" s="131" t="str">
        <f>IF(NOT(Anime!W328=""),Anime!W328,"")</f>
        <v/>
      </c>
      <c r="F327" s="16" t="str">
        <f>IF(NOT(Anime!X328=""),Anime!X328,"")</f>
        <v/>
      </c>
      <c r="G327" s="16" t="str">
        <f>IF(NOT(Anime!Y328=""),Anime!Y328,"")</f>
        <v/>
      </c>
      <c r="H327" s="16" t="str">
        <f>IF(NOT(Anime!Z328=""),Anime!Z328,"")</f>
        <v/>
      </c>
      <c r="I327" s="16" t="str">
        <f>IF(NOT(Anime!AA328=""),Anime!AA328,"")</f>
        <v/>
      </c>
      <c r="J327" s="17" t="str">
        <f>IF(NOT(Anime!AB328=""),Anime!AB328,"")</f>
        <v/>
      </c>
      <c r="K327" s="18" t="str">
        <f>IF(NOT(Anime!AC328=""),Anime!AC328,"")</f>
        <v/>
      </c>
      <c r="L327" s="19" t="str">
        <f>IF(NOT(Anime!AD328=""),Anime!AD328,"")</f>
        <v/>
      </c>
      <c r="M327" s="72" t="str">
        <f>IF(NOT(Anime!AE328=""),Anime!AE328,"")</f>
        <v/>
      </c>
      <c r="N327" s="21" t="str">
        <f>IF(NOT(Anime!AF328=""),Anime!AF328,"")</f>
        <v/>
      </c>
      <c r="O327" s="129" t="str">
        <f>IF(NOT(Anime!AG328=""),Anime!AG328,"")</f>
        <v/>
      </c>
      <c r="P327" s="21" t="str">
        <f>IF(NOT(Anime!AH328=""),Anime!AH328,"")</f>
        <v/>
      </c>
      <c r="Q327" s="21" t="str">
        <f>IF(NOT(Anime!AI328=""),Anime!AI328,"")</f>
        <v/>
      </c>
      <c r="R327" s="66" t="str">
        <f>IF(NOT(Anime!AJ328=""),Anime!AJ328,"")</f>
        <v/>
      </c>
      <c r="S327" s="15" t="str">
        <f>IF(NOT(Anime!AK328=""),Anime!AK328,"")</f>
        <v/>
      </c>
    </row>
    <row r="328" spans="1:19" ht="16.5">
      <c r="A328" s="12" t="str">
        <f>IF(NOT(Anime!R329=""),Anime!R329,"")</f>
        <v/>
      </c>
      <c r="B328" s="14" t="str">
        <f>IF(NOT(Anime!S329=""),Anime!S329,"")</f>
        <v/>
      </c>
      <c r="C328" s="14" t="str">
        <f>IF(NOT(Anime!T329=""),Anime!T329,"")</f>
        <v/>
      </c>
      <c r="D328" s="68" t="str">
        <f>IF(NOT(Anime!U329=""),Anime!U329,"")</f>
        <v/>
      </c>
      <c r="E328" s="131" t="str">
        <f>IF(NOT(Anime!W329=""),Anime!W329,"")</f>
        <v/>
      </c>
      <c r="F328" s="16" t="str">
        <f>IF(NOT(Anime!X329=""),Anime!X329,"")</f>
        <v/>
      </c>
      <c r="G328" s="16" t="str">
        <f>IF(NOT(Anime!Y329=""),Anime!Y329,"")</f>
        <v/>
      </c>
      <c r="H328" s="16" t="str">
        <f>IF(NOT(Anime!Z329=""),Anime!Z329,"")</f>
        <v/>
      </c>
      <c r="I328" s="16" t="str">
        <f>IF(NOT(Anime!AA329=""),Anime!AA329,"")</f>
        <v/>
      </c>
      <c r="J328" s="17" t="str">
        <f>IF(NOT(Anime!AB329=""),Anime!AB329,"")</f>
        <v/>
      </c>
      <c r="K328" s="18" t="str">
        <f>IF(NOT(Anime!AC329=""),Anime!AC329,"")</f>
        <v/>
      </c>
      <c r="L328" s="19" t="str">
        <f>IF(NOT(Anime!AD329=""),Anime!AD329,"")</f>
        <v/>
      </c>
      <c r="M328" s="72" t="str">
        <f>IF(NOT(Anime!AE329=""),Anime!AE329,"")</f>
        <v/>
      </c>
      <c r="N328" s="21" t="str">
        <f>IF(NOT(Anime!AF329=""),Anime!AF329,"")</f>
        <v/>
      </c>
      <c r="O328" s="129" t="str">
        <f>IF(NOT(Anime!AG329=""),Anime!AG329,"")</f>
        <v/>
      </c>
      <c r="P328" s="21" t="str">
        <f>IF(NOT(Anime!AH329=""),Anime!AH329,"")</f>
        <v/>
      </c>
      <c r="Q328" s="21" t="str">
        <f>IF(NOT(Anime!AI329=""),Anime!AI329,"")</f>
        <v/>
      </c>
      <c r="R328" s="66" t="str">
        <f>IF(NOT(Anime!AJ329=""),Anime!AJ329,"")</f>
        <v/>
      </c>
      <c r="S328" s="15" t="str">
        <f>IF(NOT(Anime!AK329=""),Anime!AK329,"")</f>
        <v/>
      </c>
    </row>
    <row r="329" spans="1:19" ht="16.5">
      <c r="A329" s="12" t="str">
        <f>IF(NOT(Anime!R330=""),Anime!R330,"")</f>
        <v/>
      </c>
      <c r="B329" s="14" t="str">
        <f>IF(NOT(Anime!S330=""),Anime!S330,"")</f>
        <v/>
      </c>
      <c r="C329" s="14" t="str">
        <f>IF(NOT(Anime!T330=""),Anime!T330,"")</f>
        <v/>
      </c>
      <c r="D329" s="68" t="str">
        <f>IF(NOT(Anime!U330=""),Anime!U330,"")</f>
        <v/>
      </c>
      <c r="E329" s="131" t="str">
        <f>IF(NOT(Anime!W330=""),Anime!W330,"")</f>
        <v/>
      </c>
      <c r="F329" s="16" t="str">
        <f>IF(NOT(Anime!X330=""),Anime!X330,"")</f>
        <v/>
      </c>
      <c r="G329" s="16" t="str">
        <f>IF(NOT(Anime!Y330=""),Anime!Y330,"")</f>
        <v/>
      </c>
      <c r="H329" s="16" t="str">
        <f>IF(NOT(Anime!Z330=""),Anime!Z330,"")</f>
        <v/>
      </c>
      <c r="I329" s="16" t="str">
        <f>IF(NOT(Anime!AA330=""),Anime!AA330,"")</f>
        <v/>
      </c>
      <c r="J329" s="17" t="str">
        <f>IF(NOT(Anime!AB330=""),Anime!AB330,"")</f>
        <v/>
      </c>
      <c r="K329" s="18" t="str">
        <f>IF(NOT(Anime!AC330=""),Anime!AC330,"")</f>
        <v/>
      </c>
      <c r="L329" s="19" t="str">
        <f>IF(NOT(Anime!AD330=""),Anime!AD330,"")</f>
        <v/>
      </c>
      <c r="M329" s="72" t="str">
        <f>IF(NOT(Anime!AE330=""),Anime!AE330,"")</f>
        <v/>
      </c>
      <c r="N329" s="21" t="str">
        <f>IF(NOT(Anime!AF330=""),Anime!AF330,"")</f>
        <v/>
      </c>
      <c r="O329" s="129" t="str">
        <f>IF(NOT(Anime!AG330=""),Anime!AG330,"")</f>
        <v/>
      </c>
      <c r="P329" s="21" t="str">
        <f>IF(NOT(Anime!AH330=""),Anime!AH330,"")</f>
        <v/>
      </c>
      <c r="Q329" s="21" t="str">
        <f>IF(NOT(Anime!AI330=""),Anime!AI330,"")</f>
        <v/>
      </c>
      <c r="R329" s="66" t="str">
        <f>IF(NOT(Anime!AJ330=""),Anime!AJ330,"")</f>
        <v/>
      </c>
      <c r="S329" s="15" t="str">
        <f>IF(NOT(Anime!AK330=""),Anime!AK330,"")</f>
        <v/>
      </c>
    </row>
    <row r="330" spans="1:19" ht="16.5">
      <c r="A330" s="12" t="str">
        <f>IF(NOT(Anime!R331=""),Anime!R331,"")</f>
        <v/>
      </c>
      <c r="B330" s="14" t="str">
        <f>IF(NOT(Anime!S331=""),Anime!S331,"")</f>
        <v/>
      </c>
      <c r="C330" s="14" t="str">
        <f>IF(NOT(Anime!T331=""),Anime!T331,"")</f>
        <v/>
      </c>
      <c r="D330" s="68" t="str">
        <f>IF(NOT(Anime!U331=""),Anime!U331,"")</f>
        <v/>
      </c>
      <c r="E330" s="131" t="str">
        <f>IF(NOT(Anime!W331=""),Anime!W331,"")</f>
        <v/>
      </c>
      <c r="F330" s="16" t="str">
        <f>IF(NOT(Anime!X331=""),Anime!X331,"")</f>
        <v/>
      </c>
      <c r="G330" s="16" t="str">
        <f>IF(NOT(Anime!Y331=""),Anime!Y331,"")</f>
        <v/>
      </c>
      <c r="H330" s="16" t="str">
        <f>IF(NOT(Anime!Z331=""),Anime!Z331,"")</f>
        <v/>
      </c>
      <c r="I330" s="16" t="str">
        <f>IF(NOT(Anime!AA331=""),Anime!AA331,"")</f>
        <v/>
      </c>
      <c r="J330" s="17" t="str">
        <f>IF(NOT(Anime!AB331=""),Anime!AB331,"")</f>
        <v/>
      </c>
      <c r="K330" s="18" t="str">
        <f>IF(NOT(Anime!AC331=""),Anime!AC331,"")</f>
        <v/>
      </c>
      <c r="L330" s="19" t="str">
        <f>IF(NOT(Anime!AD331=""),Anime!AD331,"")</f>
        <v/>
      </c>
      <c r="M330" s="72" t="str">
        <f>IF(NOT(Anime!AE331=""),Anime!AE331,"")</f>
        <v/>
      </c>
      <c r="N330" s="21" t="str">
        <f>IF(NOT(Anime!AF331=""),Anime!AF331,"")</f>
        <v/>
      </c>
      <c r="O330" s="129" t="str">
        <f>IF(NOT(Anime!AG331=""),Anime!AG331,"")</f>
        <v/>
      </c>
      <c r="P330" s="21" t="str">
        <f>IF(NOT(Anime!AH331=""),Anime!AH331,"")</f>
        <v/>
      </c>
      <c r="Q330" s="21" t="str">
        <f>IF(NOT(Anime!AI331=""),Anime!AI331,"")</f>
        <v/>
      </c>
      <c r="R330" s="66" t="str">
        <f>IF(NOT(Anime!AJ331=""),Anime!AJ331,"")</f>
        <v/>
      </c>
      <c r="S330" s="15" t="str">
        <f>IF(NOT(Anime!AK331=""),Anime!AK331,"")</f>
        <v/>
      </c>
    </row>
    <row r="331" spans="1:19" ht="16.5">
      <c r="A331" s="12" t="str">
        <f>IF(NOT(Anime!R332=""),Anime!R332,"")</f>
        <v/>
      </c>
      <c r="B331" s="14" t="str">
        <f>IF(NOT(Anime!S332=""),Anime!S332,"")</f>
        <v/>
      </c>
      <c r="C331" s="14" t="str">
        <f>IF(NOT(Anime!T332=""),Anime!T332,"")</f>
        <v/>
      </c>
      <c r="D331" s="68" t="str">
        <f>IF(NOT(Anime!U332=""),Anime!U332,"")</f>
        <v/>
      </c>
      <c r="E331" s="131" t="str">
        <f>IF(NOT(Anime!W332=""),Anime!W332,"")</f>
        <v/>
      </c>
      <c r="F331" s="16" t="str">
        <f>IF(NOT(Anime!X332=""),Anime!X332,"")</f>
        <v/>
      </c>
      <c r="G331" s="16" t="str">
        <f>IF(NOT(Anime!Y332=""),Anime!Y332,"")</f>
        <v/>
      </c>
      <c r="H331" s="16" t="str">
        <f>IF(NOT(Anime!Z332=""),Anime!Z332,"")</f>
        <v/>
      </c>
      <c r="I331" s="16" t="str">
        <f>IF(NOT(Anime!AA332=""),Anime!AA332,"")</f>
        <v/>
      </c>
      <c r="J331" s="17" t="str">
        <f>IF(NOT(Anime!AB332=""),Anime!AB332,"")</f>
        <v/>
      </c>
      <c r="K331" s="18" t="str">
        <f>IF(NOT(Anime!AC332=""),Anime!AC332,"")</f>
        <v/>
      </c>
      <c r="L331" s="19" t="str">
        <f>IF(NOT(Anime!AD332=""),Anime!AD332,"")</f>
        <v/>
      </c>
      <c r="M331" s="72" t="str">
        <f>IF(NOT(Anime!AE332=""),Anime!AE332,"")</f>
        <v/>
      </c>
      <c r="N331" s="21" t="str">
        <f>IF(NOT(Anime!AF332=""),Anime!AF332,"")</f>
        <v/>
      </c>
      <c r="O331" s="129" t="str">
        <f>IF(NOT(Anime!AG332=""),Anime!AG332,"")</f>
        <v/>
      </c>
      <c r="P331" s="21" t="str">
        <f>IF(NOT(Anime!AH332=""),Anime!AH332,"")</f>
        <v/>
      </c>
      <c r="Q331" s="21" t="str">
        <f>IF(NOT(Anime!AI332=""),Anime!AI332,"")</f>
        <v/>
      </c>
      <c r="R331" s="66" t="str">
        <f>IF(NOT(Anime!AJ332=""),Anime!AJ332,"")</f>
        <v/>
      </c>
      <c r="S331" s="15" t="str">
        <f>IF(NOT(Anime!AK332=""),Anime!AK332,"")</f>
        <v/>
      </c>
    </row>
    <row r="332" spans="1:19" ht="16.5">
      <c r="A332" s="12" t="str">
        <f>IF(NOT(Anime!R333=""),Anime!R333,"")</f>
        <v/>
      </c>
      <c r="B332" s="14" t="str">
        <f>IF(NOT(Anime!S333=""),Anime!S333,"")</f>
        <v/>
      </c>
      <c r="C332" s="14" t="str">
        <f>IF(NOT(Anime!T333=""),Anime!T333,"")</f>
        <v/>
      </c>
      <c r="D332" s="68" t="str">
        <f>IF(NOT(Anime!U333=""),Anime!U333,"")</f>
        <v/>
      </c>
      <c r="E332" s="131" t="str">
        <f>IF(NOT(Anime!W333=""),Anime!W333,"")</f>
        <v/>
      </c>
      <c r="F332" s="16" t="str">
        <f>IF(NOT(Anime!X333=""),Anime!X333,"")</f>
        <v/>
      </c>
      <c r="G332" s="16" t="str">
        <f>IF(NOT(Anime!Y333=""),Anime!Y333,"")</f>
        <v/>
      </c>
      <c r="H332" s="16" t="str">
        <f>IF(NOT(Anime!Z333=""),Anime!Z333,"")</f>
        <v/>
      </c>
      <c r="I332" s="16" t="str">
        <f>IF(NOT(Anime!AA333=""),Anime!AA333,"")</f>
        <v/>
      </c>
      <c r="J332" s="17" t="str">
        <f>IF(NOT(Anime!AB333=""),Anime!AB333,"")</f>
        <v/>
      </c>
      <c r="K332" s="18" t="str">
        <f>IF(NOT(Anime!AC333=""),Anime!AC333,"")</f>
        <v/>
      </c>
      <c r="L332" s="19" t="str">
        <f>IF(NOT(Anime!AD333=""),Anime!AD333,"")</f>
        <v/>
      </c>
      <c r="M332" s="72" t="str">
        <f>IF(NOT(Anime!AE333=""),Anime!AE333,"")</f>
        <v/>
      </c>
      <c r="N332" s="21" t="str">
        <f>IF(NOT(Anime!AF333=""),Anime!AF333,"")</f>
        <v/>
      </c>
      <c r="O332" s="129" t="str">
        <f>IF(NOT(Anime!AG333=""),Anime!AG333,"")</f>
        <v/>
      </c>
      <c r="P332" s="21" t="str">
        <f>IF(NOT(Anime!AH333=""),Anime!AH333,"")</f>
        <v/>
      </c>
      <c r="Q332" s="21" t="str">
        <f>IF(NOT(Anime!AI333=""),Anime!AI333,"")</f>
        <v/>
      </c>
      <c r="R332" s="66" t="str">
        <f>IF(NOT(Anime!AJ333=""),Anime!AJ333,"")</f>
        <v/>
      </c>
      <c r="S332" s="15" t="str">
        <f>IF(NOT(Anime!AK333=""),Anime!AK333,"")</f>
        <v/>
      </c>
    </row>
    <row r="333" spans="1:19" ht="16.5">
      <c r="A333" s="12" t="str">
        <f>IF(NOT(Anime!R334=""),Anime!R334,"")</f>
        <v/>
      </c>
      <c r="B333" s="14" t="str">
        <f>IF(NOT(Anime!S334=""),Anime!S334,"")</f>
        <v/>
      </c>
      <c r="C333" s="14" t="str">
        <f>IF(NOT(Anime!T334=""),Anime!T334,"")</f>
        <v/>
      </c>
      <c r="D333" s="68" t="str">
        <f>IF(NOT(Anime!U334=""),Anime!U334,"")</f>
        <v/>
      </c>
      <c r="E333" s="131" t="str">
        <f>IF(NOT(Anime!W334=""),Anime!W334,"")</f>
        <v/>
      </c>
      <c r="F333" s="16" t="str">
        <f>IF(NOT(Anime!X334=""),Anime!X334,"")</f>
        <v/>
      </c>
      <c r="G333" s="16" t="str">
        <f>IF(NOT(Anime!Y334=""),Anime!Y334,"")</f>
        <v/>
      </c>
      <c r="H333" s="16" t="str">
        <f>IF(NOT(Anime!Z334=""),Anime!Z334,"")</f>
        <v/>
      </c>
      <c r="I333" s="16" t="str">
        <f>IF(NOT(Anime!AA334=""),Anime!AA334,"")</f>
        <v/>
      </c>
      <c r="J333" s="17" t="str">
        <f>IF(NOT(Anime!AB334=""),Anime!AB334,"")</f>
        <v/>
      </c>
      <c r="K333" s="18" t="str">
        <f>IF(NOT(Anime!AC334=""),Anime!AC334,"")</f>
        <v/>
      </c>
      <c r="L333" s="19" t="str">
        <f>IF(NOT(Anime!AD334=""),Anime!AD334,"")</f>
        <v/>
      </c>
      <c r="M333" s="72" t="str">
        <f>IF(NOT(Anime!AE334=""),Anime!AE334,"")</f>
        <v/>
      </c>
      <c r="N333" s="21" t="str">
        <f>IF(NOT(Anime!AF334=""),Anime!AF334,"")</f>
        <v/>
      </c>
      <c r="O333" s="129" t="str">
        <f>IF(NOT(Anime!AG334=""),Anime!AG334,"")</f>
        <v/>
      </c>
      <c r="P333" s="21" t="str">
        <f>IF(NOT(Anime!AH334=""),Anime!AH334,"")</f>
        <v/>
      </c>
      <c r="Q333" s="21" t="str">
        <f>IF(NOT(Anime!AI334=""),Anime!AI334,"")</f>
        <v/>
      </c>
      <c r="R333" s="66" t="str">
        <f>IF(NOT(Anime!AJ334=""),Anime!AJ334,"")</f>
        <v/>
      </c>
      <c r="S333" s="15" t="str">
        <f>IF(NOT(Anime!AK334=""),Anime!AK334,"")</f>
        <v/>
      </c>
    </row>
    <row r="334" spans="1:19" ht="16.5">
      <c r="A334" s="12" t="str">
        <f>IF(NOT(Anime!R335=""),Anime!R335,"")</f>
        <v/>
      </c>
      <c r="B334" s="14" t="str">
        <f>IF(NOT(Anime!S335=""),Anime!S335,"")</f>
        <v/>
      </c>
      <c r="C334" s="14" t="str">
        <f>IF(NOT(Anime!T335=""),Anime!T335,"")</f>
        <v/>
      </c>
      <c r="D334" s="68" t="str">
        <f>IF(NOT(Anime!U335=""),Anime!U335,"")</f>
        <v/>
      </c>
      <c r="E334" s="131" t="str">
        <f>IF(NOT(Anime!W335=""),Anime!W335,"")</f>
        <v/>
      </c>
      <c r="F334" s="16" t="str">
        <f>IF(NOT(Anime!X335=""),Anime!X335,"")</f>
        <v/>
      </c>
      <c r="G334" s="16" t="str">
        <f>IF(NOT(Anime!Y335=""),Anime!Y335,"")</f>
        <v/>
      </c>
      <c r="H334" s="16" t="str">
        <f>IF(NOT(Anime!Z335=""),Anime!Z335,"")</f>
        <v/>
      </c>
      <c r="I334" s="16" t="str">
        <f>IF(NOT(Anime!AA335=""),Anime!AA335,"")</f>
        <v/>
      </c>
      <c r="J334" s="17" t="str">
        <f>IF(NOT(Anime!AB335=""),Anime!AB335,"")</f>
        <v/>
      </c>
      <c r="K334" s="18" t="str">
        <f>IF(NOT(Anime!AC335=""),Anime!AC335,"")</f>
        <v/>
      </c>
      <c r="L334" s="19" t="str">
        <f>IF(NOT(Anime!AD335=""),Anime!AD335,"")</f>
        <v/>
      </c>
      <c r="M334" s="72" t="str">
        <f>IF(NOT(Anime!AE335=""),Anime!AE335,"")</f>
        <v/>
      </c>
      <c r="N334" s="21" t="str">
        <f>IF(NOT(Anime!AF335=""),Anime!AF335,"")</f>
        <v/>
      </c>
      <c r="O334" s="129" t="str">
        <f>IF(NOT(Anime!AG335=""),Anime!AG335,"")</f>
        <v/>
      </c>
      <c r="P334" s="21" t="str">
        <f>IF(NOT(Anime!AH335=""),Anime!AH335,"")</f>
        <v/>
      </c>
      <c r="Q334" s="21" t="str">
        <f>IF(NOT(Anime!AI335=""),Anime!AI335,"")</f>
        <v/>
      </c>
      <c r="R334" s="66" t="str">
        <f>IF(NOT(Anime!AJ335=""),Anime!AJ335,"")</f>
        <v/>
      </c>
      <c r="S334" s="15" t="str">
        <f>IF(NOT(Anime!AK335=""),Anime!AK335,"")</f>
        <v/>
      </c>
    </row>
    <row r="335" spans="1:19" ht="16.5">
      <c r="A335" s="12" t="str">
        <f>IF(NOT(Anime!R336=""),Anime!R336,"")</f>
        <v/>
      </c>
      <c r="B335" s="14" t="str">
        <f>IF(NOT(Anime!S336=""),Anime!S336,"")</f>
        <v/>
      </c>
      <c r="C335" s="14" t="str">
        <f>IF(NOT(Anime!T336=""),Anime!T336,"")</f>
        <v/>
      </c>
      <c r="D335" s="68" t="str">
        <f>IF(NOT(Anime!U336=""),Anime!U336,"")</f>
        <v/>
      </c>
      <c r="E335" s="131" t="str">
        <f>IF(NOT(Anime!W336=""),Anime!W336,"")</f>
        <v/>
      </c>
      <c r="F335" s="16" t="str">
        <f>IF(NOT(Anime!X336=""),Anime!X336,"")</f>
        <v/>
      </c>
      <c r="G335" s="16" t="str">
        <f>IF(NOT(Anime!Y336=""),Anime!Y336,"")</f>
        <v/>
      </c>
      <c r="H335" s="16" t="str">
        <f>IF(NOT(Anime!Z336=""),Anime!Z336,"")</f>
        <v/>
      </c>
      <c r="I335" s="16" t="str">
        <f>IF(NOT(Anime!AA336=""),Anime!AA336,"")</f>
        <v/>
      </c>
      <c r="J335" s="17" t="str">
        <f>IF(NOT(Anime!AB336=""),Anime!AB336,"")</f>
        <v/>
      </c>
      <c r="K335" s="18" t="str">
        <f>IF(NOT(Anime!AC336=""),Anime!AC336,"")</f>
        <v/>
      </c>
      <c r="L335" s="19" t="str">
        <f>IF(NOT(Anime!AD336=""),Anime!AD336,"")</f>
        <v/>
      </c>
      <c r="M335" s="72" t="str">
        <f>IF(NOT(Anime!AE336=""),Anime!AE336,"")</f>
        <v/>
      </c>
      <c r="N335" s="21" t="str">
        <f>IF(NOT(Anime!AF336=""),Anime!AF336,"")</f>
        <v/>
      </c>
      <c r="O335" s="129" t="str">
        <f>IF(NOT(Anime!AG336=""),Anime!AG336,"")</f>
        <v/>
      </c>
      <c r="P335" s="21" t="str">
        <f>IF(NOT(Anime!AH336=""),Anime!AH336,"")</f>
        <v/>
      </c>
      <c r="Q335" s="21" t="str">
        <f>IF(NOT(Anime!AI336=""),Anime!AI336,"")</f>
        <v/>
      </c>
      <c r="R335" s="66" t="str">
        <f>IF(NOT(Anime!AJ336=""),Anime!AJ336,"")</f>
        <v/>
      </c>
      <c r="S335" s="15" t="str">
        <f>IF(NOT(Anime!AK336=""),Anime!AK336,"")</f>
        <v/>
      </c>
    </row>
    <row r="336" spans="1:19" ht="16.5">
      <c r="A336" s="12" t="str">
        <f>IF(NOT(Anime!R337=""),Anime!R337,"")</f>
        <v/>
      </c>
      <c r="B336" s="14" t="str">
        <f>IF(NOT(Anime!S337=""),Anime!S337,"")</f>
        <v/>
      </c>
      <c r="C336" s="14" t="str">
        <f>IF(NOT(Anime!T337=""),Anime!T337,"")</f>
        <v/>
      </c>
      <c r="D336" s="68" t="str">
        <f>IF(NOT(Anime!U337=""),Anime!U337,"")</f>
        <v/>
      </c>
      <c r="E336" s="131" t="str">
        <f>IF(NOT(Anime!W337=""),Anime!W337,"")</f>
        <v/>
      </c>
      <c r="F336" s="16" t="str">
        <f>IF(NOT(Anime!X337=""),Anime!X337,"")</f>
        <v/>
      </c>
      <c r="G336" s="16" t="str">
        <f>IF(NOT(Anime!Y337=""),Anime!Y337,"")</f>
        <v/>
      </c>
      <c r="H336" s="16" t="str">
        <f>IF(NOT(Anime!Z337=""),Anime!Z337,"")</f>
        <v/>
      </c>
      <c r="I336" s="16" t="str">
        <f>IF(NOT(Anime!AA337=""),Anime!AA337,"")</f>
        <v/>
      </c>
      <c r="J336" s="17" t="str">
        <f>IF(NOT(Anime!AB337=""),Anime!AB337,"")</f>
        <v/>
      </c>
      <c r="K336" s="18" t="str">
        <f>IF(NOT(Anime!AC337=""),Anime!AC337,"")</f>
        <v/>
      </c>
      <c r="L336" s="19" t="str">
        <f>IF(NOT(Anime!AD337=""),Anime!AD337,"")</f>
        <v/>
      </c>
      <c r="M336" s="72" t="str">
        <f>IF(NOT(Anime!AE337=""),Anime!AE337,"")</f>
        <v/>
      </c>
      <c r="N336" s="21" t="str">
        <f>IF(NOT(Anime!AF337=""),Anime!AF337,"")</f>
        <v/>
      </c>
      <c r="O336" s="129" t="str">
        <f>IF(NOT(Anime!AG337=""),Anime!AG337,"")</f>
        <v/>
      </c>
      <c r="P336" s="21" t="str">
        <f>IF(NOT(Anime!AH337=""),Anime!AH337,"")</f>
        <v/>
      </c>
      <c r="Q336" s="21" t="str">
        <f>IF(NOT(Anime!AI337=""),Anime!AI337,"")</f>
        <v/>
      </c>
      <c r="R336" s="66" t="str">
        <f>IF(NOT(Anime!AJ337=""),Anime!AJ337,"")</f>
        <v/>
      </c>
      <c r="S336" s="15" t="str">
        <f>IF(NOT(Anime!AK337=""),Anime!AK337,"")</f>
        <v/>
      </c>
    </row>
    <row r="337" spans="1:19" ht="16.5">
      <c r="A337" s="12" t="str">
        <f>IF(NOT(Anime!R338=""),Anime!R338,"")</f>
        <v/>
      </c>
      <c r="B337" s="14" t="str">
        <f>IF(NOT(Anime!S338=""),Anime!S338,"")</f>
        <v/>
      </c>
      <c r="C337" s="14" t="str">
        <f>IF(NOT(Anime!T338=""),Anime!T338,"")</f>
        <v/>
      </c>
      <c r="D337" s="68" t="str">
        <f>IF(NOT(Anime!U338=""),Anime!U338,"")</f>
        <v/>
      </c>
      <c r="E337" s="131" t="str">
        <f>IF(NOT(Anime!W338=""),Anime!W338,"")</f>
        <v/>
      </c>
      <c r="F337" s="16" t="str">
        <f>IF(NOT(Anime!X338=""),Anime!X338,"")</f>
        <v/>
      </c>
      <c r="G337" s="16" t="str">
        <f>IF(NOT(Anime!Y338=""),Anime!Y338,"")</f>
        <v/>
      </c>
      <c r="H337" s="16" t="str">
        <f>IF(NOT(Anime!Z338=""),Anime!Z338,"")</f>
        <v/>
      </c>
      <c r="I337" s="16" t="str">
        <f>IF(NOT(Anime!AA338=""),Anime!AA338,"")</f>
        <v/>
      </c>
      <c r="J337" s="17" t="str">
        <f>IF(NOT(Anime!AB338=""),Anime!AB338,"")</f>
        <v/>
      </c>
      <c r="K337" s="18" t="str">
        <f>IF(NOT(Anime!AC338=""),Anime!AC338,"")</f>
        <v/>
      </c>
      <c r="L337" s="19" t="str">
        <f>IF(NOT(Anime!AD338=""),Anime!AD338,"")</f>
        <v/>
      </c>
      <c r="M337" s="72" t="str">
        <f>IF(NOT(Anime!AE338=""),Anime!AE338,"")</f>
        <v/>
      </c>
      <c r="N337" s="21" t="str">
        <f>IF(NOT(Anime!AF338=""),Anime!AF338,"")</f>
        <v/>
      </c>
      <c r="O337" s="129" t="str">
        <f>IF(NOT(Anime!AG338=""),Anime!AG338,"")</f>
        <v/>
      </c>
      <c r="P337" s="21" t="str">
        <f>IF(NOT(Anime!AH338=""),Anime!AH338,"")</f>
        <v/>
      </c>
      <c r="Q337" s="21" t="str">
        <f>IF(NOT(Anime!AI338=""),Anime!AI338,"")</f>
        <v/>
      </c>
      <c r="R337" s="66" t="str">
        <f>IF(NOT(Anime!AJ338=""),Anime!AJ338,"")</f>
        <v/>
      </c>
      <c r="S337" s="15" t="str">
        <f>IF(NOT(Anime!AK338=""),Anime!AK338,"")</f>
        <v/>
      </c>
    </row>
    <row r="338" spans="1:19" ht="16.5">
      <c r="A338" s="12" t="str">
        <f>IF(NOT(Anime!R339=""),Anime!R339,"")</f>
        <v/>
      </c>
      <c r="B338" s="14" t="str">
        <f>IF(NOT(Anime!S339=""),Anime!S339,"")</f>
        <v/>
      </c>
      <c r="C338" s="14" t="str">
        <f>IF(NOT(Anime!T339=""),Anime!T339,"")</f>
        <v/>
      </c>
      <c r="D338" s="68" t="str">
        <f>IF(NOT(Anime!U339=""),Anime!U339,"")</f>
        <v/>
      </c>
      <c r="E338" s="131" t="str">
        <f>IF(NOT(Anime!W339=""),Anime!W339,"")</f>
        <v/>
      </c>
      <c r="F338" s="16" t="str">
        <f>IF(NOT(Anime!X339=""),Anime!X339,"")</f>
        <v/>
      </c>
      <c r="G338" s="16" t="str">
        <f>IF(NOT(Anime!Y339=""),Anime!Y339,"")</f>
        <v/>
      </c>
      <c r="H338" s="16" t="str">
        <f>IF(NOT(Anime!Z339=""),Anime!Z339,"")</f>
        <v/>
      </c>
      <c r="I338" s="16" t="str">
        <f>IF(NOT(Anime!AA339=""),Anime!AA339,"")</f>
        <v/>
      </c>
      <c r="J338" s="17" t="str">
        <f>IF(NOT(Anime!AB339=""),Anime!AB339,"")</f>
        <v/>
      </c>
      <c r="K338" s="18" t="str">
        <f>IF(NOT(Anime!AC339=""),Anime!AC339,"")</f>
        <v/>
      </c>
      <c r="L338" s="19" t="str">
        <f>IF(NOT(Anime!AD339=""),Anime!AD339,"")</f>
        <v/>
      </c>
      <c r="M338" s="72" t="str">
        <f>IF(NOT(Anime!AE339=""),Anime!AE339,"")</f>
        <v/>
      </c>
      <c r="N338" s="21" t="str">
        <f>IF(NOT(Anime!AF339=""),Anime!AF339,"")</f>
        <v/>
      </c>
      <c r="O338" s="129" t="str">
        <f>IF(NOT(Anime!AG339=""),Anime!AG339,"")</f>
        <v/>
      </c>
      <c r="P338" s="21" t="str">
        <f>IF(NOT(Anime!AH339=""),Anime!AH339,"")</f>
        <v/>
      </c>
      <c r="Q338" s="21" t="str">
        <f>IF(NOT(Anime!AI339=""),Anime!AI339,"")</f>
        <v/>
      </c>
      <c r="R338" s="66" t="str">
        <f>IF(NOT(Anime!AJ339=""),Anime!AJ339,"")</f>
        <v/>
      </c>
      <c r="S338" s="15" t="str">
        <f>IF(NOT(Anime!AK339=""),Anime!AK339,"")</f>
        <v/>
      </c>
    </row>
    <row r="339" spans="1:19" ht="16.5">
      <c r="A339" s="12" t="str">
        <f>IF(NOT(Anime!R340=""),Anime!R340,"")</f>
        <v/>
      </c>
      <c r="B339" s="14" t="str">
        <f>IF(NOT(Anime!S340=""),Anime!S340,"")</f>
        <v/>
      </c>
      <c r="C339" s="14" t="str">
        <f>IF(NOT(Anime!T340=""),Anime!T340,"")</f>
        <v/>
      </c>
      <c r="D339" s="68" t="str">
        <f>IF(NOT(Anime!U340=""),Anime!U340,"")</f>
        <v/>
      </c>
      <c r="E339" s="131" t="str">
        <f>IF(NOT(Anime!W340=""),Anime!W340,"")</f>
        <v/>
      </c>
      <c r="F339" s="16" t="str">
        <f>IF(NOT(Anime!X340=""),Anime!X340,"")</f>
        <v/>
      </c>
      <c r="G339" s="16" t="str">
        <f>IF(NOT(Anime!Y340=""),Anime!Y340,"")</f>
        <v/>
      </c>
      <c r="H339" s="16" t="str">
        <f>IF(NOT(Anime!Z340=""),Anime!Z340,"")</f>
        <v/>
      </c>
      <c r="I339" s="16" t="str">
        <f>IF(NOT(Anime!AA340=""),Anime!AA340,"")</f>
        <v/>
      </c>
      <c r="J339" s="17" t="str">
        <f>IF(NOT(Anime!AB340=""),Anime!AB340,"")</f>
        <v/>
      </c>
      <c r="K339" s="18" t="str">
        <f>IF(NOT(Anime!AC340=""),Anime!AC340,"")</f>
        <v/>
      </c>
      <c r="L339" s="19" t="str">
        <f>IF(NOT(Anime!AD340=""),Anime!AD340,"")</f>
        <v/>
      </c>
      <c r="M339" s="72" t="str">
        <f>IF(NOT(Anime!AE340=""),Anime!AE340,"")</f>
        <v/>
      </c>
      <c r="N339" s="21" t="str">
        <f>IF(NOT(Anime!AF340=""),Anime!AF340,"")</f>
        <v/>
      </c>
      <c r="O339" s="129" t="str">
        <f>IF(NOT(Anime!AG340=""),Anime!AG340,"")</f>
        <v/>
      </c>
      <c r="P339" s="21" t="str">
        <f>IF(NOT(Anime!AH340=""),Anime!AH340,"")</f>
        <v/>
      </c>
      <c r="Q339" s="21" t="str">
        <f>IF(NOT(Anime!AI340=""),Anime!AI340,"")</f>
        <v/>
      </c>
      <c r="R339" s="66" t="str">
        <f>IF(NOT(Anime!AJ340=""),Anime!AJ340,"")</f>
        <v/>
      </c>
      <c r="S339" s="15" t="str">
        <f>IF(NOT(Anime!AK340=""),Anime!AK340,"")</f>
        <v/>
      </c>
    </row>
    <row r="340" spans="1:19" ht="16.5">
      <c r="A340" s="12" t="str">
        <f>IF(NOT(Anime!R341=""),Anime!R341,"")</f>
        <v/>
      </c>
      <c r="B340" s="14" t="str">
        <f>IF(NOT(Anime!S341=""),Anime!S341,"")</f>
        <v/>
      </c>
      <c r="C340" s="14" t="str">
        <f>IF(NOT(Anime!T341=""),Anime!T341,"")</f>
        <v/>
      </c>
      <c r="D340" s="68" t="str">
        <f>IF(NOT(Anime!U341=""),Anime!U341,"")</f>
        <v/>
      </c>
      <c r="E340" s="131" t="str">
        <f>IF(NOT(Anime!W341=""),Anime!W341,"")</f>
        <v/>
      </c>
      <c r="F340" s="16" t="str">
        <f>IF(NOT(Anime!X341=""),Anime!X341,"")</f>
        <v/>
      </c>
      <c r="G340" s="16" t="str">
        <f>IF(NOT(Anime!Y341=""),Anime!Y341,"")</f>
        <v/>
      </c>
      <c r="H340" s="16" t="str">
        <f>IF(NOT(Anime!Z341=""),Anime!Z341,"")</f>
        <v/>
      </c>
      <c r="I340" s="16" t="str">
        <f>IF(NOT(Anime!AA341=""),Anime!AA341,"")</f>
        <v/>
      </c>
      <c r="J340" s="17" t="str">
        <f>IF(NOT(Anime!AB341=""),Anime!AB341,"")</f>
        <v/>
      </c>
      <c r="K340" s="18" t="str">
        <f>IF(NOT(Anime!AC341=""),Anime!AC341,"")</f>
        <v/>
      </c>
      <c r="L340" s="19" t="str">
        <f>IF(NOT(Anime!AD341=""),Anime!AD341,"")</f>
        <v/>
      </c>
      <c r="M340" s="72" t="str">
        <f>IF(NOT(Anime!AE341=""),Anime!AE341,"")</f>
        <v/>
      </c>
      <c r="N340" s="21" t="str">
        <f>IF(NOT(Anime!AF341=""),Anime!AF341,"")</f>
        <v/>
      </c>
      <c r="O340" s="129" t="str">
        <f>IF(NOT(Anime!AG341=""),Anime!AG341,"")</f>
        <v/>
      </c>
      <c r="P340" s="21" t="str">
        <f>IF(NOT(Anime!AH341=""),Anime!AH341,"")</f>
        <v/>
      </c>
      <c r="Q340" s="21" t="str">
        <f>IF(NOT(Anime!AI341=""),Anime!AI341,"")</f>
        <v/>
      </c>
      <c r="R340" s="66" t="str">
        <f>IF(NOT(Anime!AJ341=""),Anime!AJ341,"")</f>
        <v/>
      </c>
      <c r="S340" s="15" t="str">
        <f>IF(NOT(Anime!AK341=""),Anime!AK341,"")</f>
        <v/>
      </c>
    </row>
    <row r="341" spans="1:19" ht="16.5">
      <c r="A341" s="12" t="str">
        <f>IF(NOT(Anime!R342=""),Anime!R342,"")</f>
        <v/>
      </c>
      <c r="B341" s="14" t="str">
        <f>IF(NOT(Anime!S342=""),Anime!S342,"")</f>
        <v/>
      </c>
      <c r="C341" s="14" t="str">
        <f>IF(NOT(Anime!T342=""),Anime!T342,"")</f>
        <v/>
      </c>
      <c r="D341" s="68" t="str">
        <f>IF(NOT(Anime!U342=""),Anime!U342,"")</f>
        <v/>
      </c>
      <c r="E341" s="131" t="str">
        <f>IF(NOT(Anime!W342=""),Anime!W342,"")</f>
        <v/>
      </c>
      <c r="F341" s="16" t="str">
        <f>IF(NOT(Anime!X342=""),Anime!X342,"")</f>
        <v/>
      </c>
      <c r="G341" s="16" t="str">
        <f>IF(NOT(Anime!Y342=""),Anime!Y342,"")</f>
        <v/>
      </c>
      <c r="H341" s="16" t="str">
        <f>IF(NOT(Anime!Z342=""),Anime!Z342,"")</f>
        <v/>
      </c>
      <c r="I341" s="16" t="str">
        <f>IF(NOT(Anime!AA342=""),Anime!AA342,"")</f>
        <v/>
      </c>
      <c r="J341" s="17" t="str">
        <f>IF(NOT(Anime!AB342=""),Anime!AB342,"")</f>
        <v/>
      </c>
      <c r="K341" s="18" t="str">
        <f>IF(NOT(Anime!AC342=""),Anime!AC342,"")</f>
        <v/>
      </c>
      <c r="L341" s="19" t="str">
        <f>IF(NOT(Anime!AD342=""),Anime!AD342,"")</f>
        <v/>
      </c>
      <c r="M341" s="72" t="str">
        <f>IF(NOT(Anime!AE342=""),Anime!AE342,"")</f>
        <v/>
      </c>
      <c r="N341" s="21" t="str">
        <f>IF(NOT(Anime!AF342=""),Anime!AF342,"")</f>
        <v/>
      </c>
      <c r="O341" s="129" t="str">
        <f>IF(NOT(Anime!AG342=""),Anime!AG342,"")</f>
        <v/>
      </c>
      <c r="P341" s="21" t="str">
        <f>IF(NOT(Anime!AH342=""),Anime!AH342,"")</f>
        <v/>
      </c>
      <c r="Q341" s="21" t="str">
        <f>IF(NOT(Anime!AI342=""),Anime!AI342,"")</f>
        <v/>
      </c>
      <c r="R341" s="66" t="str">
        <f>IF(NOT(Anime!AJ342=""),Anime!AJ342,"")</f>
        <v/>
      </c>
      <c r="S341" s="15" t="str">
        <f>IF(NOT(Anime!AK342=""),Anime!AK342,"")</f>
        <v/>
      </c>
    </row>
    <row r="342" spans="1:19" ht="16.5">
      <c r="A342" s="12" t="str">
        <f>IF(NOT(Anime!R343=""),Anime!R343,"")</f>
        <v/>
      </c>
      <c r="B342" s="14" t="str">
        <f>IF(NOT(Anime!S343=""),Anime!S343,"")</f>
        <v/>
      </c>
      <c r="C342" s="14" t="str">
        <f>IF(NOT(Anime!T343=""),Anime!T343,"")</f>
        <v/>
      </c>
      <c r="D342" s="68" t="str">
        <f>IF(NOT(Anime!U343=""),Anime!U343,"")</f>
        <v/>
      </c>
      <c r="E342" s="131" t="str">
        <f>IF(NOT(Anime!W343=""),Anime!W343,"")</f>
        <v/>
      </c>
      <c r="F342" s="16" t="str">
        <f>IF(NOT(Anime!X343=""),Anime!X343,"")</f>
        <v/>
      </c>
      <c r="G342" s="16" t="str">
        <f>IF(NOT(Anime!Y343=""),Anime!Y343,"")</f>
        <v/>
      </c>
      <c r="H342" s="16" t="str">
        <f>IF(NOT(Anime!Z343=""),Anime!Z343,"")</f>
        <v/>
      </c>
      <c r="I342" s="16" t="str">
        <f>IF(NOT(Anime!AA343=""),Anime!AA343,"")</f>
        <v/>
      </c>
      <c r="J342" s="17" t="str">
        <f>IF(NOT(Anime!AB343=""),Anime!AB343,"")</f>
        <v/>
      </c>
      <c r="K342" s="18" t="str">
        <f>IF(NOT(Anime!AC343=""),Anime!AC343,"")</f>
        <v/>
      </c>
      <c r="L342" s="19" t="str">
        <f>IF(NOT(Anime!AD343=""),Anime!AD343,"")</f>
        <v/>
      </c>
      <c r="M342" s="72" t="str">
        <f>IF(NOT(Anime!AE343=""),Anime!AE343,"")</f>
        <v/>
      </c>
      <c r="N342" s="21" t="str">
        <f>IF(NOT(Anime!AF343=""),Anime!AF343,"")</f>
        <v/>
      </c>
      <c r="O342" s="129" t="str">
        <f>IF(NOT(Anime!AG343=""),Anime!AG343,"")</f>
        <v/>
      </c>
      <c r="P342" s="21" t="str">
        <f>IF(NOT(Anime!AH343=""),Anime!AH343,"")</f>
        <v/>
      </c>
      <c r="Q342" s="21" t="str">
        <f>IF(NOT(Anime!AI343=""),Anime!AI343,"")</f>
        <v/>
      </c>
      <c r="R342" s="66" t="str">
        <f>IF(NOT(Anime!AJ343=""),Anime!AJ343,"")</f>
        <v/>
      </c>
      <c r="S342" s="15" t="str">
        <f>IF(NOT(Anime!AK343=""),Anime!AK343,"")</f>
        <v/>
      </c>
    </row>
    <row r="343" spans="1:19" ht="16.5">
      <c r="A343" s="12" t="str">
        <f>IF(NOT(Anime!R344=""),Anime!R344,"")</f>
        <v/>
      </c>
      <c r="B343" s="14" t="str">
        <f>IF(NOT(Anime!S344=""),Anime!S344,"")</f>
        <v/>
      </c>
      <c r="C343" s="14" t="str">
        <f>IF(NOT(Anime!T344=""),Anime!T344,"")</f>
        <v/>
      </c>
      <c r="D343" s="68" t="str">
        <f>IF(NOT(Anime!U344=""),Anime!U344,"")</f>
        <v/>
      </c>
      <c r="E343" s="131" t="str">
        <f>IF(NOT(Anime!W344=""),Anime!W344,"")</f>
        <v/>
      </c>
      <c r="F343" s="16" t="str">
        <f>IF(NOT(Anime!X344=""),Anime!X344,"")</f>
        <v/>
      </c>
      <c r="G343" s="16" t="str">
        <f>IF(NOT(Anime!Y344=""),Anime!Y344,"")</f>
        <v/>
      </c>
      <c r="H343" s="16" t="str">
        <f>IF(NOT(Anime!Z344=""),Anime!Z344,"")</f>
        <v/>
      </c>
      <c r="I343" s="16" t="str">
        <f>IF(NOT(Anime!AA344=""),Anime!AA344,"")</f>
        <v/>
      </c>
      <c r="J343" s="17" t="str">
        <f>IF(NOT(Anime!AB344=""),Anime!AB344,"")</f>
        <v/>
      </c>
      <c r="K343" s="18" t="str">
        <f>IF(NOT(Anime!AC344=""),Anime!AC344,"")</f>
        <v/>
      </c>
      <c r="L343" s="19" t="str">
        <f>IF(NOT(Anime!AD344=""),Anime!AD344,"")</f>
        <v/>
      </c>
      <c r="M343" s="72" t="str">
        <f>IF(NOT(Anime!AE344=""),Anime!AE344,"")</f>
        <v/>
      </c>
      <c r="N343" s="21" t="str">
        <f>IF(NOT(Anime!AF344=""),Anime!AF344,"")</f>
        <v/>
      </c>
      <c r="O343" s="129" t="str">
        <f>IF(NOT(Anime!AG344=""),Anime!AG344,"")</f>
        <v/>
      </c>
      <c r="P343" s="21" t="str">
        <f>IF(NOT(Anime!AH344=""),Anime!AH344,"")</f>
        <v/>
      </c>
      <c r="Q343" s="21" t="str">
        <f>IF(NOT(Anime!AI344=""),Anime!AI344,"")</f>
        <v/>
      </c>
      <c r="R343" s="66" t="str">
        <f>IF(NOT(Anime!AJ344=""),Anime!AJ344,"")</f>
        <v/>
      </c>
      <c r="S343" s="15" t="str">
        <f>IF(NOT(Anime!AK344=""),Anime!AK344,"")</f>
        <v/>
      </c>
    </row>
    <row r="344" spans="1:19" ht="16.5">
      <c r="A344" s="12" t="str">
        <f>IF(NOT(Anime!R345=""),Anime!R345,"")</f>
        <v/>
      </c>
      <c r="B344" s="14" t="str">
        <f>IF(NOT(Anime!S345=""),Anime!S345,"")</f>
        <v/>
      </c>
      <c r="C344" s="14" t="str">
        <f>IF(NOT(Anime!T345=""),Anime!T345,"")</f>
        <v/>
      </c>
      <c r="D344" s="68" t="str">
        <f>IF(NOT(Anime!U345=""),Anime!U345,"")</f>
        <v/>
      </c>
      <c r="E344" s="131" t="str">
        <f>IF(NOT(Anime!W345=""),Anime!W345,"")</f>
        <v/>
      </c>
      <c r="F344" s="16" t="str">
        <f>IF(NOT(Anime!X345=""),Anime!X345,"")</f>
        <v/>
      </c>
      <c r="G344" s="16" t="str">
        <f>IF(NOT(Anime!Y345=""),Anime!Y345,"")</f>
        <v/>
      </c>
      <c r="H344" s="16" t="str">
        <f>IF(NOT(Anime!Z345=""),Anime!Z345,"")</f>
        <v/>
      </c>
      <c r="I344" s="16" t="str">
        <f>IF(NOT(Anime!AA345=""),Anime!AA345,"")</f>
        <v/>
      </c>
      <c r="J344" s="17" t="str">
        <f>IF(NOT(Anime!AB345=""),Anime!AB345,"")</f>
        <v/>
      </c>
      <c r="K344" s="18" t="str">
        <f>IF(NOT(Anime!AC345=""),Anime!AC345,"")</f>
        <v/>
      </c>
      <c r="L344" s="19" t="str">
        <f>IF(NOT(Anime!AD345=""),Anime!AD345,"")</f>
        <v/>
      </c>
      <c r="M344" s="72" t="str">
        <f>IF(NOT(Anime!AE345=""),Anime!AE345,"")</f>
        <v/>
      </c>
      <c r="N344" s="21" t="str">
        <f>IF(NOT(Anime!AF345=""),Anime!AF345,"")</f>
        <v/>
      </c>
      <c r="O344" s="129" t="str">
        <f>IF(NOT(Anime!AG345=""),Anime!AG345,"")</f>
        <v/>
      </c>
      <c r="P344" s="21" t="str">
        <f>IF(NOT(Anime!AH345=""),Anime!AH345,"")</f>
        <v/>
      </c>
      <c r="Q344" s="21" t="str">
        <f>IF(NOT(Anime!AI345=""),Anime!AI345,"")</f>
        <v/>
      </c>
      <c r="R344" s="66" t="str">
        <f>IF(NOT(Anime!AJ345=""),Anime!AJ345,"")</f>
        <v/>
      </c>
      <c r="S344" s="15" t="str">
        <f>IF(NOT(Anime!AK345=""),Anime!AK345,"")</f>
        <v/>
      </c>
    </row>
    <row r="345" spans="1:19" ht="16.5">
      <c r="A345" s="12" t="str">
        <f>IF(NOT(Anime!R346=""),Anime!R346,"")</f>
        <v/>
      </c>
      <c r="B345" s="14" t="str">
        <f>IF(NOT(Anime!S346=""),Anime!S346,"")</f>
        <v/>
      </c>
      <c r="C345" s="14" t="str">
        <f>IF(NOT(Anime!T346=""),Anime!T346,"")</f>
        <v/>
      </c>
      <c r="D345" s="68" t="str">
        <f>IF(NOT(Anime!U346=""),Anime!U346,"")</f>
        <v/>
      </c>
      <c r="E345" s="131" t="str">
        <f>IF(NOT(Anime!W346=""),Anime!W346,"")</f>
        <v/>
      </c>
      <c r="F345" s="16" t="str">
        <f>IF(NOT(Anime!X346=""),Anime!X346,"")</f>
        <v/>
      </c>
      <c r="G345" s="16" t="str">
        <f>IF(NOT(Anime!Y346=""),Anime!Y346,"")</f>
        <v/>
      </c>
      <c r="H345" s="16" t="str">
        <f>IF(NOT(Anime!Z346=""),Anime!Z346,"")</f>
        <v/>
      </c>
      <c r="I345" s="16" t="str">
        <f>IF(NOT(Anime!AA346=""),Anime!AA346,"")</f>
        <v/>
      </c>
      <c r="J345" s="17" t="str">
        <f>IF(NOT(Anime!AB346=""),Anime!AB346,"")</f>
        <v/>
      </c>
      <c r="K345" s="18" t="str">
        <f>IF(NOT(Anime!AC346=""),Anime!AC346,"")</f>
        <v/>
      </c>
      <c r="L345" s="19" t="str">
        <f>IF(NOT(Anime!AD346=""),Anime!AD346,"")</f>
        <v/>
      </c>
      <c r="M345" s="72" t="str">
        <f>IF(NOT(Anime!AE346=""),Anime!AE346,"")</f>
        <v/>
      </c>
      <c r="N345" s="21" t="str">
        <f>IF(NOT(Anime!AF346=""),Anime!AF346,"")</f>
        <v/>
      </c>
      <c r="O345" s="129" t="str">
        <f>IF(NOT(Anime!AG346=""),Anime!AG346,"")</f>
        <v/>
      </c>
      <c r="P345" s="21" t="str">
        <f>IF(NOT(Anime!AH346=""),Anime!AH346,"")</f>
        <v/>
      </c>
      <c r="Q345" s="21" t="str">
        <f>IF(NOT(Anime!AI346=""),Anime!AI346,"")</f>
        <v/>
      </c>
      <c r="R345" s="66" t="str">
        <f>IF(NOT(Anime!AJ346=""),Anime!AJ346,"")</f>
        <v/>
      </c>
      <c r="S345" s="15" t="str">
        <f>IF(NOT(Anime!AK346=""),Anime!AK346,"")</f>
        <v/>
      </c>
    </row>
    <row r="346" spans="1:19" ht="16.5">
      <c r="A346" s="12" t="str">
        <f>IF(NOT(Anime!R347=""),Anime!R347,"")</f>
        <v/>
      </c>
      <c r="B346" s="14" t="str">
        <f>IF(NOT(Anime!S347=""),Anime!S347,"")</f>
        <v/>
      </c>
      <c r="C346" s="14" t="str">
        <f>IF(NOT(Anime!T347=""),Anime!T347,"")</f>
        <v/>
      </c>
      <c r="D346" s="68" t="str">
        <f>IF(NOT(Anime!U347=""),Anime!U347,"")</f>
        <v/>
      </c>
      <c r="E346" s="131" t="str">
        <f>IF(NOT(Anime!W347=""),Anime!W347,"")</f>
        <v/>
      </c>
      <c r="F346" s="16" t="str">
        <f>IF(NOT(Anime!X347=""),Anime!X347,"")</f>
        <v/>
      </c>
      <c r="G346" s="16" t="str">
        <f>IF(NOT(Anime!Y347=""),Anime!Y347,"")</f>
        <v/>
      </c>
      <c r="H346" s="16" t="str">
        <f>IF(NOT(Anime!Z347=""),Anime!Z347,"")</f>
        <v/>
      </c>
      <c r="I346" s="16" t="str">
        <f>IF(NOT(Anime!AA347=""),Anime!AA347,"")</f>
        <v/>
      </c>
      <c r="J346" s="17" t="str">
        <f>IF(NOT(Anime!AB347=""),Anime!AB347,"")</f>
        <v/>
      </c>
      <c r="K346" s="18" t="str">
        <f>IF(NOT(Anime!AC347=""),Anime!AC347,"")</f>
        <v/>
      </c>
      <c r="L346" s="19" t="str">
        <f>IF(NOT(Anime!AD347=""),Anime!AD347,"")</f>
        <v/>
      </c>
      <c r="M346" s="72" t="str">
        <f>IF(NOT(Anime!AE347=""),Anime!AE347,"")</f>
        <v/>
      </c>
      <c r="N346" s="21" t="str">
        <f>IF(NOT(Anime!AF347=""),Anime!AF347,"")</f>
        <v/>
      </c>
      <c r="O346" s="129" t="str">
        <f>IF(NOT(Anime!AG347=""),Anime!AG347,"")</f>
        <v/>
      </c>
      <c r="P346" s="21" t="str">
        <f>IF(NOT(Anime!AH347=""),Anime!AH347,"")</f>
        <v/>
      </c>
      <c r="Q346" s="21" t="str">
        <f>IF(NOT(Anime!AI347=""),Anime!AI347,"")</f>
        <v/>
      </c>
      <c r="R346" s="66" t="str">
        <f>IF(NOT(Anime!AJ347=""),Anime!AJ347,"")</f>
        <v/>
      </c>
      <c r="S346" s="15" t="str">
        <f>IF(NOT(Anime!AK347=""),Anime!AK347,"")</f>
        <v/>
      </c>
    </row>
    <row r="347" spans="1:19" ht="16.5">
      <c r="A347" s="12" t="str">
        <f>IF(NOT(Anime!R348=""),Anime!R348,"")</f>
        <v/>
      </c>
      <c r="B347" s="14" t="str">
        <f>IF(NOT(Anime!S348=""),Anime!S348,"")</f>
        <v/>
      </c>
      <c r="C347" s="14" t="str">
        <f>IF(NOT(Anime!T348=""),Anime!T348,"")</f>
        <v/>
      </c>
      <c r="D347" s="68" t="str">
        <f>IF(NOT(Anime!U348=""),Anime!U348,"")</f>
        <v/>
      </c>
      <c r="E347" s="131" t="str">
        <f>IF(NOT(Anime!W348=""),Anime!W348,"")</f>
        <v/>
      </c>
      <c r="F347" s="16" t="str">
        <f>IF(NOT(Anime!X348=""),Anime!X348,"")</f>
        <v/>
      </c>
      <c r="G347" s="16" t="str">
        <f>IF(NOT(Anime!Y348=""),Anime!Y348,"")</f>
        <v/>
      </c>
      <c r="H347" s="16" t="str">
        <f>IF(NOT(Anime!Z348=""),Anime!Z348,"")</f>
        <v/>
      </c>
      <c r="I347" s="16" t="str">
        <f>IF(NOT(Anime!AA348=""),Anime!AA348,"")</f>
        <v/>
      </c>
      <c r="J347" s="17" t="str">
        <f>IF(NOT(Anime!AB348=""),Anime!AB348,"")</f>
        <v/>
      </c>
      <c r="K347" s="18" t="str">
        <f>IF(NOT(Anime!AC348=""),Anime!AC348,"")</f>
        <v/>
      </c>
      <c r="L347" s="19" t="str">
        <f>IF(NOT(Anime!AD348=""),Anime!AD348,"")</f>
        <v/>
      </c>
      <c r="M347" s="72" t="str">
        <f>IF(NOT(Anime!AE348=""),Anime!AE348,"")</f>
        <v/>
      </c>
      <c r="N347" s="21" t="str">
        <f>IF(NOT(Anime!AF348=""),Anime!AF348,"")</f>
        <v/>
      </c>
      <c r="O347" s="129" t="str">
        <f>IF(NOT(Anime!AG348=""),Anime!AG348,"")</f>
        <v/>
      </c>
      <c r="P347" s="21" t="str">
        <f>IF(NOT(Anime!AH348=""),Anime!AH348,"")</f>
        <v/>
      </c>
      <c r="Q347" s="21" t="str">
        <f>IF(NOT(Anime!AI348=""),Anime!AI348,"")</f>
        <v/>
      </c>
      <c r="R347" s="66" t="str">
        <f>IF(NOT(Anime!AJ348=""),Anime!AJ348,"")</f>
        <v/>
      </c>
      <c r="S347" s="15" t="str">
        <f>IF(NOT(Anime!AK348=""),Anime!AK348,"")</f>
        <v/>
      </c>
    </row>
    <row r="348" spans="1:19" ht="16.5">
      <c r="A348" s="12" t="str">
        <f>IF(NOT(Anime!R349=""),Anime!R349,"")</f>
        <v/>
      </c>
      <c r="B348" s="14" t="str">
        <f>IF(NOT(Anime!S349=""),Anime!S349,"")</f>
        <v/>
      </c>
      <c r="C348" s="14" t="str">
        <f>IF(NOT(Anime!T349=""),Anime!T349,"")</f>
        <v/>
      </c>
      <c r="D348" s="68" t="str">
        <f>IF(NOT(Anime!U349=""),Anime!U349,"")</f>
        <v/>
      </c>
      <c r="E348" s="131" t="str">
        <f>IF(NOT(Anime!W349=""),Anime!W349,"")</f>
        <v/>
      </c>
      <c r="F348" s="16" t="str">
        <f>IF(NOT(Anime!X349=""),Anime!X349,"")</f>
        <v/>
      </c>
      <c r="G348" s="16" t="str">
        <f>IF(NOT(Anime!Y349=""),Anime!Y349,"")</f>
        <v/>
      </c>
      <c r="H348" s="16" t="str">
        <f>IF(NOT(Anime!Z349=""),Anime!Z349,"")</f>
        <v/>
      </c>
      <c r="I348" s="16" t="str">
        <f>IF(NOT(Anime!AA349=""),Anime!AA349,"")</f>
        <v/>
      </c>
      <c r="J348" s="17" t="str">
        <f>IF(NOT(Anime!AB349=""),Anime!AB349,"")</f>
        <v/>
      </c>
      <c r="K348" s="18" t="str">
        <f>IF(NOT(Anime!AC349=""),Anime!AC349,"")</f>
        <v/>
      </c>
      <c r="L348" s="19" t="str">
        <f>IF(NOT(Anime!AD349=""),Anime!AD349,"")</f>
        <v/>
      </c>
      <c r="M348" s="72" t="str">
        <f>IF(NOT(Anime!AE349=""),Anime!AE349,"")</f>
        <v/>
      </c>
      <c r="N348" s="21" t="str">
        <f>IF(NOT(Anime!AF349=""),Anime!AF349,"")</f>
        <v/>
      </c>
      <c r="O348" s="129" t="str">
        <f>IF(NOT(Anime!AG349=""),Anime!AG349,"")</f>
        <v/>
      </c>
      <c r="P348" s="21" t="str">
        <f>IF(NOT(Anime!AH349=""),Anime!AH349,"")</f>
        <v/>
      </c>
      <c r="Q348" s="21" t="str">
        <f>IF(NOT(Anime!AI349=""),Anime!AI349,"")</f>
        <v/>
      </c>
      <c r="R348" s="66" t="str">
        <f>IF(NOT(Anime!AJ349=""),Anime!AJ349,"")</f>
        <v/>
      </c>
      <c r="S348" s="15" t="str">
        <f>IF(NOT(Anime!AK349=""),Anime!AK349,"")</f>
        <v/>
      </c>
    </row>
    <row r="349" spans="1:19" ht="16.5">
      <c r="A349" s="12" t="str">
        <f>IF(NOT(Anime!R350=""),Anime!R350,"")</f>
        <v/>
      </c>
      <c r="B349" s="14" t="str">
        <f>IF(NOT(Anime!S350=""),Anime!S350,"")</f>
        <v/>
      </c>
      <c r="C349" s="14" t="str">
        <f>IF(NOT(Anime!T350=""),Anime!T350,"")</f>
        <v/>
      </c>
      <c r="D349" s="68" t="str">
        <f>IF(NOT(Anime!U350=""),Anime!U350,"")</f>
        <v/>
      </c>
      <c r="E349" s="131" t="str">
        <f>IF(NOT(Anime!W350=""),Anime!W350,"")</f>
        <v/>
      </c>
      <c r="F349" s="16" t="str">
        <f>IF(NOT(Anime!X350=""),Anime!X350,"")</f>
        <v/>
      </c>
      <c r="G349" s="16" t="str">
        <f>IF(NOT(Anime!Y350=""),Anime!Y350,"")</f>
        <v/>
      </c>
      <c r="H349" s="16" t="str">
        <f>IF(NOT(Anime!Z350=""),Anime!Z350,"")</f>
        <v/>
      </c>
      <c r="I349" s="16" t="str">
        <f>IF(NOT(Anime!AA350=""),Anime!AA350,"")</f>
        <v/>
      </c>
      <c r="J349" s="17" t="str">
        <f>IF(NOT(Anime!AB350=""),Anime!AB350,"")</f>
        <v/>
      </c>
      <c r="K349" s="18" t="str">
        <f>IF(NOT(Anime!AC350=""),Anime!AC350,"")</f>
        <v/>
      </c>
      <c r="L349" s="19" t="str">
        <f>IF(NOT(Anime!AD350=""),Anime!AD350,"")</f>
        <v/>
      </c>
      <c r="M349" s="72" t="str">
        <f>IF(NOT(Anime!AE350=""),Anime!AE350,"")</f>
        <v/>
      </c>
      <c r="N349" s="21" t="str">
        <f>IF(NOT(Anime!AF350=""),Anime!AF350,"")</f>
        <v/>
      </c>
      <c r="O349" s="129" t="str">
        <f>IF(NOT(Anime!AG350=""),Anime!AG350,"")</f>
        <v/>
      </c>
      <c r="P349" s="21" t="str">
        <f>IF(NOT(Anime!AH350=""),Anime!AH350,"")</f>
        <v/>
      </c>
      <c r="Q349" s="21" t="str">
        <f>IF(NOT(Anime!AI350=""),Anime!AI350,"")</f>
        <v/>
      </c>
      <c r="R349" s="66" t="str">
        <f>IF(NOT(Anime!AJ350=""),Anime!AJ350,"")</f>
        <v/>
      </c>
      <c r="S349" s="15" t="str">
        <f>IF(NOT(Anime!AK350=""),Anime!AK350,"")</f>
        <v/>
      </c>
    </row>
    <row r="350" spans="1:19" ht="16.5">
      <c r="A350" s="12" t="str">
        <f>IF(NOT(Anime!R351=""),Anime!R351,"")</f>
        <v/>
      </c>
      <c r="B350" s="14" t="str">
        <f>IF(NOT(Anime!S351=""),Anime!S351,"")</f>
        <v/>
      </c>
      <c r="C350" s="14" t="str">
        <f>IF(NOT(Anime!T351=""),Anime!T351,"")</f>
        <v/>
      </c>
      <c r="D350" s="68" t="str">
        <f>IF(NOT(Anime!U351=""),Anime!U351,"")</f>
        <v/>
      </c>
      <c r="E350" s="131" t="str">
        <f>IF(NOT(Anime!W351=""),Anime!W351,"")</f>
        <v/>
      </c>
      <c r="F350" s="16" t="str">
        <f>IF(NOT(Anime!X351=""),Anime!X351,"")</f>
        <v/>
      </c>
      <c r="G350" s="16" t="str">
        <f>IF(NOT(Anime!Y351=""),Anime!Y351,"")</f>
        <v/>
      </c>
      <c r="H350" s="16" t="str">
        <f>IF(NOT(Anime!Z351=""),Anime!Z351,"")</f>
        <v/>
      </c>
      <c r="I350" s="16" t="str">
        <f>IF(NOT(Anime!AA351=""),Anime!AA351,"")</f>
        <v/>
      </c>
      <c r="J350" s="17" t="str">
        <f>IF(NOT(Anime!AB351=""),Anime!AB351,"")</f>
        <v/>
      </c>
      <c r="K350" s="18" t="str">
        <f>IF(NOT(Anime!AC351=""),Anime!AC351,"")</f>
        <v/>
      </c>
      <c r="L350" s="19" t="str">
        <f>IF(NOT(Anime!AD351=""),Anime!AD351,"")</f>
        <v/>
      </c>
      <c r="M350" s="72" t="str">
        <f>IF(NOT(Anime!AE351=""),Anime!AE351,"")</f>
        <v/>
      </c>
      <c r="N350" s="21" t="str">
        <f>IF(NOT(Anime!AF351=""),Anime!AF351,"")</f>
        <v/>
      </c>
      <c r="O350" s="129" t="str">
        <f>IF(NOT(Anime!AG351=""),Anime!AG351,"")</f>
        <v/>
      </c>
      <c r="P350" s="21" t="str">
        <f>IF(NOT(Anime!AH351=""),Anime!AH351,"")</f>
        <v/>
      </c>
      <c r="Q350" s="21" t="str">
        <f>IF(NOT(Anime!AI351=""),Anime!AI351,"")</f>
        <v/>
      </c>
      <c r="R350" s="66" t="str">
        <f>IF(NOT(Anime!AJ351=""),Anime!AJ351,"")</f>
        <v/>
      </c>
      <c r="S350" s="15" t="str">
        <f>IF(NOT(Anime!AK351=""),Anime!AK351,"")</f>
        <v/>
      </c>
    </row>
    <row r="351" spans="1:19" ht="16.5">
      <c r="A351" s="12" t="str">
        <f>IF(NOT(Anime!R352=""),Anime!R352,"")</f>
        <v/>
      </c>
      <c r="B351" s="14" t="str">
        <f>IF(NOT(Anime!S352=""),Anime!S352,"")</f>
        <v/>
      </c>
      <c r="C351" s="14" t="str">
        <f>IF(NOT(Anime!T352=""),Anime!T352,"")</f>
        <v/>
      </c>
      <c r="D351" s="68" t="str">
        <f>IF(NOT(Anime!U352=""),Anime!U352,"")</f>
        <v/>
      </c>
      <c r="E351" s="131" t="str">
        <f>IF(NOT(Anime!W352=""),Anime!W352,"")</f>
        <v/>
      </c>
      <c r="F351" s="16" t="str">
        <f>IF(NOT(Anime!X352=""),Anime!X352,"")</f>
        <v/>
      </c>
      <c r="G351" s="16" t="str">
        <f>IF(NOT(Anime!Y352=""),Anime!Y352,"")</f>
        <v/>
      </c>
      <c r="H351" s="16" t="str">
        <f>IF(NOT(Anime!Z352=""),Anime!Z352,"")</f>
        <v/>
      </c>
      <c r="I351" s="16" t="str">
        <f>IF(NOT(Anime!AA352=""),Anime!AA352,"")</f>
        <v/>
      </c>
      <c r="J351" s="17" t="str">
        <f>IF(NOT(Anime!AB352=""),Anime!AB352,"")</f>
        <v/>
      </c>
      <c r="K351" s="18" t="str">
        <f>IF(NOT(Anime!AC352=""),Anime!AC352,"")</f>
        <v/>
      </c>
      <c r="L351" s="19" t="str">
        <f>IF(NOT(Anime!AD352=""),Anime!AD352,"")</f>
        <v/>
      </c>
      <c r="M351" s="72" t="str">
        <f>IF(NOT(Anime!AE352=""),Anime!AE352,"")</f>
        <v/>
      </c>
      <c r="N351" s="21" t="str">
        <f>IF(NOT(Anime!AF352=""),Anime!AF352,"")</f>
        <v/>
      </c>
      <c r="O351" s="129" t="str">
        <f>IF(NOT(Anime!AG352=""),Anime!AG352,"")</f>
        <v/>
      </c>
      <c r="P351" s="21" t="str">
        <f>IF(NOT(Anime!AH352=""),Anime!AH352,"")</f>
        <v/>
      </c>
      <c r="Q351" s="21" t="str">
        <f>IF(NOT(Anime!AI352=""),Anime!AI352,"")</f>
        <v/>
      </c>
      <c r="R351" s="66" t="str">
        <f>IF(NOT(Anime!AJ352=""),Anime!AJ352,"")</f>
        <v/>
      </c>
      <c r="S351" s="15" t="str">
        <f>IF(NOT(Anime!AK352=""),Anime!AK352,"")</f>
        <v/>
      </c>
    </row>
    <row r="352" spans="1:19" ht="16.5">
      <c r="A352" s="12" t="str">
        <f>IF(NOT(Anime!R353=""),Anime!R353,"")</f>
        <v/>
      </c>
      <c r="B352" s="14" t="str">
        <f>IF(NOT(Anime!S353=""),Anime!S353,"")</f>
        <v/>
      </c>
      <c r="C352" s="14" t="str">
        <f>IF(NOT(Anime!T353=""),Anime!T353,"")</f>
        <v/>
      </c>
      <c r="D352" s="68" t="str">
        <f>IF(NOT(Anime!U353=""),Anime!U353,"")</f>
        <v/>
      </c>
      <c r="E352" s="131" t="str">
        <f>IF(NOT(Anime!W353=""),Anime!W353,"")</f>
        <v/>
      </c>
      <c r="F352" s="16" t="str">
        <f>IF(NOT(Anime!X353=""),Anime!X353,"")</f>
        <v/>
      </c>
      <c r="G352" s="16" t="str">
        <f>IF(NOT(Anime!Y353=""),Anime!Y353,"")</f>
        <v/>
      </c>
      <c r="H352" s="16" t="str">
        <f>IF(NOT(Anime!Z353=""),Anime!Z353,"")</f>
        <v/>
      </c>
      <c r="I352" s="16" t="str">
        <f>IF(NOT(Anime!AA353=""),Anime!AA353,"")</f>
        <v/>
      </c>
      <c r="J352" s="17" t="str">
        <f>IF(NOT(Anime!AB353=""),Anime!AB353,"")</f>
        <v/>
      </c>
      <c r="K352" s="18" t="str">
        <f>IF(NOT(Anime!AC353=""),Anime!AC353,"")</f>
        <v/>
      </c>
      <c r="L352" s="19" t="str">
        <f>IF(NOT(Anime!AD353=""),Anime!AD353,"")</f>
        <v/>
      </c>
      <c r="M352" s="72" t="str">
        <f>IF(NOT(Anime!AE353=""),Anime!AE353,"")</f>
        <v/>
      </c>
      <c r="N352" s="21" t="str">
        <f>IF(NOT(Anime!AF353=""),Anime!AF353,"")</f>
        <v/>
      </c>
      <c r="O352" s="129" t="str">
        <f>IF(NOT(Anime!AG353=""),Anime!AG353,"")</f>
        <v/>
      </c>
      <c r="P352" s="21" t="str">
        <f>IF(NOT(Anime!AH353=""),Anime!AH353,"")</f>
        <v/>
      </c>
      <c r="Q352" s="21" t="str">
        <f>IF(NOT(Anime!AI353=""),Anime!AI353,"")</f>
        <v/>
      </c>
      <c r="R352" s="66" t="str">
        <f>IF(NOT(Anime!AJ353=""),Anime!AJ353,"")</f>
        <v/>
      </c>
      <c r="S352" s="15" t="str">
        <f>IF(NOT(Anime!AK353=""),Anime!AK353,"")</f>
        <v/>
      </c>
    </row>
    <row r="353" spans="1:19" ht="16.5">
      <c r="A353" s="12" t="str">
        <f>IF(NOT(Anime!R354=""),Anime!R354,"")</f>
        <v/>
      </c>
      <c r="B353" s="14" t="str">
        <f>IF(NOT(Anime!S354=""),Anime!S354,"")</f>
        <v/>
      </c>
      <c r="C353" s="14" t="str">
        <f>IF(NOT(Anime!T354=""),Anime!T354,"")</f>
        <v/>
      </c>
      <c r="D353" s="68" t="str">
        <f>IF(NOT(Anime!U354=""),Anime!U354,"")</f>
        <v/>
      </c>
      <c r="E353" s="131" t="str">
        <f>IF(NOT(Anime!W354=""),Anime!W354,"")</f>
        <v/>
      </c>
      <c r="F353" s="16" t="str">
        <f>IF(NOT(Anime!X354=""),Anime!X354,"")</f>
        <v/>
      </c>
      <c r="G353" s="16" t="str">
        <f>IF(NOT(Anime!Y354=""),Anime!Y354,"")</f>
        <v/>
      </c>
      <c r="H353" s="16" t="str">
        <f>IF(NOT(Anime!Z354=""),Anime!Z354,"")</f>
        <v/>
      </c>
      <c r="I353" s="16" t="str">
        <f>IF(NOT(Anime!AA354=""),Anime!AA354,"")</f>
        <v/>
      </c>
      <c r="J353" s="17" t="str">
        <f>IF(NOT(Anime!AB354=""),Anime!AB354,"")</f>
        <v/>
      </c>
      <c r="K353" s="18" t="str">
        <f>IF(NOT(Anime!AC354=""),Anime!AC354,"")</f>
        <v/>
      </c>
      <c r="L353" s="19" t="str">
        <f>IF(NOT(Anime!AD354=""),Anime!AD354,"")</f>
        <v/>
      </c>
      <c r="M353" s="72" t="str">
        <f>IF(NOT(Anime!AE354=""),Anime!AE354,"")</f>
        <v/>
      </c>
      <c r="N353" s="21" t="str">
        <f>IF(NOT(Anime!AF354=""),Anime!AF354,"")</f>
        <v/>
      </c>
      <c r="O353" s="129" t="str">
        <f>IF(NOT(Anime!AG354=""),Anime!AG354,"")</f>
        <v/>
      </c>
      <c r="P353" s="21" t="str">
        <f>IF(NOT(Anime!AH354=""),Anime!AH354,"")</f>
        <v/>
      </c>
      <c r="Q353" s="21" t="str">
        <f>IF(NOT(Anime!AI354=""),Anime!AI354,"")</f>
        <v/>
      </c>
      <c r="R353" s="66" t="str">
        <f>IF(NOT(Anime!AJ354=""),Anime!AJ354,"")</f>
        <v/>
      </c>
      <c r="S353" s="15" t="str">
        <f>IF(NOT(Anime!AK354=""),Anime!AK354,"")</f>
        <v/>
      </c>
    </row>
    <row r="354" spans="1:19" ht="16.5">
      <c r="A354" s="12" t="str">
        <f>IF(NOT(Anime!R355=""),Anime!R355,"")</f>
        <v/>
      </c>
      <c r="B354" s="14" t="str">
        <f>IF(NOT(Anime!S355=""),Anime!S355,"")</f>
        <v/>
      </c>
      <c r="C354" s="14" t="str">
        <f>IF(NOT(Anime!T355=""),Anime!T355,"")</f>
        <v/>
      </c>
      <c r="D354" s="68" t="str">
        <f>IF(NOT(Anime!U355=""),Anime!U355,"")</f>
        <v/>
      </c>
      <c r="E354" s="131" t="str">
        <f>IF(NOT(Anime!W355=""),Anime!W355,"")</f>
        <v/>
      </c>
      <c r="F354" s="16" t="str">
        <f>IF(NOT(Anime!X355=""),Anime!X355,"")</f>
        <v/>
      </c>
      <c r="G354" s="16" t="str">
        <f>IF(NOT(Anime!Y355=""),Anime!Y355,"")</f>
        <v/>
      </c>
      <c r="H354" s="16" t="str">
        <f>IF(NOT(Anime!Z355=""),Anime!Z355,"")</f>
        <v/>
      </c>
      <c r="I354" s="16" t="str">
        <f>IF(NOT(Anime!AA355=""),Anime!AA355,"")</f>
        <v/>
      </c>
      <c r="J354" s="17" t="str">
        <f>IF(NOT(Anime!AB355=""),Anime!AB355,"")</f>
        <v/>
      </c>
      <c r="K354" s="18" t="str">
        <f>IF(NOT(Anime!AC355=""),Anime!AC355,"")</f>
        <v/>
      </c>
      <c r="L354" s="19" t="str">
        <f>IF(NOT(Anime!AD355=""),Anime!AD355,"")</f>
        <v/>
      </c>
      <c r="M354" s="72" t="str">
        <f>IF(NOT(Anime!AE355=""),Anime!AE355,"")</f>
        <v/>
      </c>
      <c r="N354" s="21" t="str">
        <f>IF(NOT(Anime!AF355=""),Anime!AF355,"")</f>
        <v/>
      </c>
      <c r="O354" s="129" t="str">
        <f>IF(NOT(Anime!AG355=""),Anime!AG355,"")</f>
        <v/>
      </c>
      <c r="P354" s="21" t="str">
        <f>IF(NOT(Anime!AH355=""),Anime!AH355,"")</f>
        <v/>
      </c>
      <c r="Q354" s="21" t="str">
        <f>IF(NOT(Anime!AI355=""),Anime!AI355,"")</f>
        <v/>
      </c>
      <c r="R354" s="66" t="str">
        <f>IF(NOT(Anime!AJ355=""),Anime!AJ355,"")</f>
        <v/>
      </c>
      <c r="S354" s="15" t="str">
        <f>IF(NOT(Anime!AK355=""),Anime!AK355,"")</f>
        <v/>
      </c>
    </row>
    <row r="355" spans="1:19" ht="16.5">
      <c r="A355" s="12" t="str">
        <f>IF(NOT(Anime!R356=""),Anime!R356,"")</f>
        <v/>
      </c>
      <c r="B355" s="14" t="str">
        <f>IF(NOT(Anime!S356=""),Anime!S356,"")</f>
        <v/>
      </c>
      <c r="C355" s="14" t="str">
        <f>IF(NOT(Anime!T356=""),Anime!T356,"")</f>
        <v/>
      </c>
      <c r="D355" s="68" t="str">
        <f>IF(NOT(Anime!U356=""),Anime!U356,"")</f>
        <v/>
      </c>
      <c r="E355" s="131" t="str">
        <f>IF(NOT(Anime!W356=""),Anime!W356,"")</f>
        <v/>
      </c>
      <c r="F355" s="16" t="str">
        <f>IF(NOT(Anime!X356=""),Anime!X356,"")</f>
        <v/>
      </c>
      <c r="G355" s="16" t="str">
        <f>IF(NOT(Anime!Y356=""),Anime!Y356,"")</f>
        <v/>
      </c>
      <c r="H355" s="16" t="str">
        <f>IF(NOT(Anime!Z356=""),Anime!Z356,"")</f>
        <v/>
      </c>
      <c r="I355" s="16" t="str">
        <f>IF(NOT(Anime!AA356=""),Anime!AA356,"")</f>
        <v/>
      </c>
      <c r="J355" s="17" t="str">
        <f>IF(NOT(Anime!AB356=""),Anime!AB356,"")</f>
        <v/>
      </c>
      <c r="K355" s="18" t="str">
        <f>IF(NOT(Anime!AC356=""),Anime!AC356,"")</f>
        <v/>
      </c>
      <c r="L355" s="19" t="str">
        <f>IF(NOT(Anime!AD356=""),Anime!AD356,"")</f>
        <v/>
      </c>
      <c r="M355" s="72" t="str">
        <f>IF(NOT(Anime!AE356=""),Anime!AE356,"")</f>
        <v/>
      </c>
      <c r="N355" s="21" t="str">
        <f>IF(NOT(Anime!AF356=""),Anime!AF356,"")</f>
        <v/>
      </c>
      <c r="O355" s="129" t="str">
        <f>IF(NOT(Anime!AG356=""),Anime!AG356,"")</f>
        <v/>
      </c>
      <c r="P355" s="21" t="str">
        <f>IF(NOT(Anime!AH356=""),Anime!AH356,"")</f>
        <v/>
      </c>
      <c r="Q355" s="21" t="str">
        <f>IF(NOT(Anime!AI356=""),Anime!AI356,"")</f>
        <v/>
      </c>
      <c r="R355" s="66" t="str">
        <f>IF(NOT(Anime!AJ356=""),Anime!AJ356,"")</f>
        <v/>
      </c>
      <c r="S355" s="15" t="str">
        <f>IF(NOT(Anime!AK356=""),Anime!AK356,"")</f>
        <v/>
      </c>
    </row>
    <row r="356" spans="1:19" ht="16.5">
      <c r="A356" s="12" t="str">
        <f>IF(NOT(Anime!R357=""),Anime!R357,"")</f>
        <v/>
      </c>
      <c r="B356" s="14" t="str">
        <f>IF(NOT(Anime!S357=""),Anime!S357,"")</f>
        <v/>
      </c>
      <c r="C356" s="14" t="str">
        <f>IF(NOT(Anime!T357=""),Anime!T357,"")</f>
        <v/>
      </c>
      <c r="D356" s="68" t="str">
        <f>IF(NOT(Anime!U357=""),Anime!U357,"")</f>
        <v/>
      </c>
      <c r="E356" s="131" t="str">
        <f>IF(NOT(Anime!W357=""),Anime!W357,"")</f>
        <v/>
      </c>
      <c r="F356" s="16" t="str">
        <f>IF(NOT(Anime!X357=""),Anime!X357,"")</f>
        <v/>
      </c>
      <c r="G356" s="16" t="str">
        <f>IF(NOT(Anime!Y357=""),Anime!Y357,"")</f>
        <v/>
      </c>
      <c r="H356" s="16" t="str">
        <f>IF(NOT(Anime!Z357=""),Anime!Z357,"")</f>
        <v/>
      </c>
      <c r="I356" s="16" t="str">
        <f>IF(NOT(Anime!AA357=""),Anime!AA357,"")</f>
        <v/>
      </c>
      <c r="J356" s="17" t="str">
        <f>IF(NOT(Anime!AB357=""),Anime!AB357,"")</f>
        <v/>
      </c>
      <c r="K356" s="18" t="str">
        <f>IF(NOT(Anime!AC357=""),Anime!AC357,"")</f>
        <v/>
      </c>
      <c r="L356" s="19" t="str">
        <f>IF(NOT(Anime!AD357=""),Anime!AD357,"")</f>
        <v/>
      </c>
      <c r="M356" s="72" t="str">
        <f>IF(NOT(Anime!AE357=""),Anime!AE357,"")</f>
        <v/>
      </c>
      <c r="N356" s="21" t="str">
        <f>IF(NOT(Anime!AF357=""),Anime!AF357,"")</f>
        <v/>
      </c>
      <c r="O356" s="129" t="str">
        <f>IF(NOT(Anime!AG357=""),Anime!AG357,"")</f>
        <v/>
      </c>
      <c r="P356" s="21" t="str">
        <f>IF(NOT(Anime!AH357=""),Anime!AH357,"")</f>
        <v/>
      </c>
      <c r="Q356" s="21" t="str">
        <f>IF(NOT(Anime!AI357=""),Anime!AI357,"")</f>
        <v/>
      </c>
      <c r="R356" s="66" t="str">
        <f>IF(NOT(Anime!AJ357=""),Anime!AJ357,"")</f>
        <v/>
      </c>
      <c r="S356" s="15" t="str">
        <f>IF(NOT(Anime!AK357=""),Anime!AK357,"")</f>
        <v/>
      </c>
    </row>
    <row r="357" spans="1:19" ht="16.5">
      <c r="A357" s="12" t="str">
        <f>IF(NOT(Anime!R358=""),Anime!R358,"")</f>
        <v/>
      </c>
      <c r="B357" s="14" t="str">
        <f>IF(NOT(Anime!S358=""),Anime!S358,"")</f>
        <v/>
      </c>
      <c r="C357" s="14" t="str">
        <f>IF(NOT(Anime!T358=""),Anime!T358,"")</f>
        <v/>
      </c>
      <c r="D357" s="68" t="str">
        <f>IF(NOT(Anime!U358=""),Anime!U358,"")</f>
        <v/>
      </c>
      <c r="E357" s="131" t="str">
        <f>IF(NOT(Anime!W358=""),Anime!W358,"")</f>
        <v/>
      </c>
      <c r="F357" s="16" t="str">
        <f>IF(NOT(Anime!X358=""),Anime!X358,"")</f>
        <v/>
      </c>
      <c r="G357" s="16" t="str">
        <f>IF(NOT(Anime!Y358=""),Anime!Y358,"")</f>
        <v/>
      </c>
      <c r="H357" s="16" t="str">
        <f>IF(NOT(Anime!Z358=""),Anime!Z358,"")</f>
        <v/>
      </c>
      <c r="I357" s="16" t="str">
        <f>IF(NOT(Anime!AA358=""),Anime!AA358,"")</f>
        <v/>
      </c>
      <c r="J357" s="17" t="str">
        <f>IF(NOT(Anime!AB358=""),Anime!AB358,"")</f>
        <v/>
      </c>
      <c r="K357" s="18" t="str">
        <f>IF(NOT(Anime!AC358=""),Anime!AC358,"")</f>
        <v/>
      </c>
      <c r="L357" s="19" t="str">
        <f>IF(NOT(Anime!AD358=""),Anime!AD358,"")</f>
        <v/>
      </c>
      <c r="M357" s="72" t="str">
        <f>IF(NOT(Anime!AE358=""),Anime!AE358,"")</f>
        <v/>
      </c>
      <c r="N357" s="21" t="str">
        <f>IF(NOT(Anime!AF358=""),Anime!AF358,"")</f>
        <v/>
      </c>
      <c r="O357" s="129" t="str">
        <f>IF(NOT(Anime!AG358=""),Anime!AG358,"")</f>
        <v/>
      </c>
      <c r="P357" s="21" t="str">
        <f>IF(NOT(Anime!AH358=""),Anime!AH358,"")</f>
        <v/>
      </c>
      <c r="Q357" s="21" t="str">
        <f>IF(NOT(Anime!AI358=""),Anime!AI358,"")</f>
        <v/>
      </c>
      <c r="R357" s="66" t="str">
        <f>IF(NOT(Anime!AJ358=""),Anime!AJ358,"")</f>
        <v/>
      </c>
      <c r="S357" s="15" t="str">
        <f>IF(NOT(Anime!AK358=""),Anime!AK358,"")</f>
        <v/>
      </c>
    </row>
    <row r="358" spans="1:19" ht="16.5">
      <c r="A358" s="12" t="str">
        <f>IF(NOT(Anime!R359=""),Anime!R359,"")</f>
        <v/>
      </c>
      <c r="B358" s="14" t="str">
        <f>IF(NOT(Anime!S359=""),Anime!S359,"")</f>
        <v/>
      </c>
      <c r="C358" s="14" t="str">
        <f>IF(NOT(Anime!T359=""),Anime!T359,"")</f>
        <v/>
      </c>
      <c r="D358" s="68" t="str">
        <f>IF(NOT(Anime!U359=""),Anime!U359,"")</f>
        <v/>
      </c>
      <c r="E358" s="131" t="str">
        <f>IF(NOT(Anime!W359=""),Anime!W359,"")</f>
        <v/>
      </c>
      <c r="F358" s="16" t="str">
        <f>IF(NOT(Anime!X359=""),Anime!X359,"")</f>
        <v/>
      </c>
      <c r="G358" s="16" t="str">
        <f>IF(NOT(Anime!Y359=""),Anime!Y359,"")</f>
        <v/>
      </c>
      <c r="H358" s="16" t="str">
        <f>IF(NOT(Anime!Z359=""),Anime!Z359,"")</f>
        <v/>
      </c>
      <c r="I358" s="16" t="str">
        <f>IF(NOT(Anime!AA359=""),Anime!AA359,"")</f>
        <v/>
      </c>
      <c r="J358" s="17" t="str">
        <f>IF(NOT(Anime!AB359=""),Anime!AB359,"")</f>
        <v/>
      </c>
      <c r="K358" s="18" t="str">
        <f>IF(NOT(Anime!AC359=""),Anime!AC359,"")</f>
        <v/>
      </c>
      <c r="L358" s="19" t="str">
        <f>IF(NOT(Anime!AD359=""),Anime!AD359,"")</f>
        <v/>
      </c>
      <c r="M358" s="72" t="str">
        <f>IF(NOT(Anime!AE359=""),Anime!AE359,"")</f>
        <v/>
      </c>
      <c r="N358" s="21" t="str">
        <f>IF(NOT(Anime!AF359=""),Anime!AF359,"")</f>
        <v/>
      </c>
      <c r="O358" s="129" t="str">
        <f>IF(NOT(Anime!AG359=""),Anime!AG359,"")</f>
        <v/>
      </c>
      <c r="P358" s="21" t="str">
        <f>IF(NOT(Anime!AH359=""),Anime!AH359,"")</f>
        <v/>
      </c>
      <c r="Q358" s="21" t="str">
        <f>IF(NOT(Anime!AI359=""),Anime!AI359,"")</f>
        <v/>
      </c>
      <c r="R358" s="66" t="str">
        <f>IF(NOT(Anime!AJ359=""),Anime!AJ359,"")</f>
        <v/>
      </c>
      <c r="S358" s="15" t="str">
        <f>IF(NOT(Anime!AK359=""),Anime!AK359,"")</f>
        <v/>
      </c>
    </row>
    <row r="359" spans="1:19" ht="16.5">
      <c r="A359" s="12" t="str">
        <f>IF(NOT(Anime!R360=""),Anime!R360,"")</f>
        <v/>
      </c>
      <c r="B359" s="14" t="str">
        <f>IF(NOT(Anime!S360=""),Anime!S360,"")</f>
        <v/>
      </c>
      <c r="C359" s="14" t="str">
        <f>IF(NOT(Anime!T360=""),Anime!T360,"")</f>
        <v/>
      </c>
      <c r="D359" s="68" t="str">
        <f>IF(NOT(Anime!U360=""),Anime!U360,"")</f>
        <v/>
      </c>
      <c r="E359" s="131" t="str">
        <f>IF(NOT(Anime!W360=""),Anime!W360,"")</f>
        <v/>
      </c>
      <c r="F359" s="16" t="str">
        <f>IF(NOT(Anime!X360=""),Anime!X360,"")</f>
        <v/>
      </c>
      <c r="G359" s="16" t="str">
        <f>IF(NOT(Anime!Y360=""),Anime!Y360,"")</f>
        <v/>
      </c>
      <c r="H359" s="16" t="str">
        <f>IF(NOT(Anime!Z360=""),Anime!Z360,"")</f>
        <v/>
      </c>
      <c r="I359" s="16" t="str">
        <f>IF(NOT(Anime!AA360=""),Anime!AA360,"")</f>
        <v/>
      </c>
      <c r="J359" s="17" t="str">
        <f>IF(NOT(Anime!AB360=""),Anime!AB360,"")</f>
        <v/>
      </c>
      <c r="K359" s="18" t="str">
        <f>IF(NOT(Anime!AC360=""),Anime!AC360,"")</f>
        <v/>
      </c>
      <c r="L359" s="19" t="str">
        <f>IF(NOT(Anime!AD360=""),Anime!AD360,"")</f>
        <v/>
      </c>
      <c r="M359" s="72" t="str">
        <f>IF(NOT(Anime!AE360=""),Anime!AE360,"")</f>
        <v/>
      </c>
      <c r="N359" s="21" t="str">
        <f>IF(NOT(Anime!AF360=""),Anime!AF360,"")</f>
        <v/>
      </c>
      <c r="O359" s="129" t="str">
        <f>IF(NOT(Anime!AG360=""),Anime!AG360,"")</f>
        <v/>
      </c>
      <c r="P359" s="21" t="str">
        <f>IF(NOT(Anime!AH360=""),Anime!AH360,"")</f>
        <v/>
      </c>
      <c r="Q359" s="21" t="str">
        <f>IF(NOT(Anime!AI360=""),Anime!AI360,"")</f>
        <v/>
      </c>
      <c r="R359" s="66" t="str">
        <f>IF(NOT(Anime!AJ360=""),Anime!AJ360,"")</f>
        <v/>
      </c>
      <c r="S359" s="15" t="str">
        <f>IF(NOT(Anime!AK360=""),Anime!AK360,"")</f>
        <v/>
      </c>
    </row>
    <row r="360" spans="1:19" ht="16.5">
      <c r="A360" s="12" t="str">
        <f>IF(NOT(Anime!R361=""),Anime!R361,"")</f>
        <v/>
      </c>
      <c r="B360" s="14" t="str">
        <f>IF(NOT(Anime!S361=""),Anime!S361,"")</f>
        <v/>
      </c>
      <c r="C360" s="14" t="str">
        <f>IF(NOT(Anime!T361=""),Anime!T361,"")</f>
        <v/>
      </c>
      <c r="D360" s="68" t="str">
        <f>IF(NOT(Anime!U361=""),Anime!U361,"")</f>
        <v/>
      </c>
      <c r="E360" s="131" t="str">
        <f>IF(NOT(Anime!W361=""),Anime!W361,"")</f>
        <v/>
      </c>
      <c r="F360" s="16" t="str">
        <f>IF(NOT(Anime!X361=""),Anime!X361,"")</f>
        <v/>
      </c>
      <c r="G360" s="16" t="str">
        <f>IF(NOT(Anime!Y361=""),Anime!Y361,"")</f>
        <v/>
      </c>
      <c r="H360" s="16" t="str">
        <f>IF(NOT(Anime!Z361=""),Anime!Z361,"")</f>
        <v/>
      </c>
      <c r="I360" s="16" t="str">
        <f>IF(NOT(Anime!AA361=""),Anime!AA361,"")</f>
        <v/>
      </c>
      <c r="J360" s="17" t="str">
        <f>IF(NOT(Anime!AB361=""),Anime!AB361,"")</f>
        <v/>
      </c>
      <c r="K360" s="18" t="str">
        <f>IF(NOT(Anime!AC361=""),Anime!AC361,"")</f>
        <v/>
      </c>
      <c r="L360" s="19" t="str">
        <f>IF(NOT(Anime!AD361=""),Anime!AD361,"")</f>
        <v/>
      </c>
      <c r="M360" s="72" t="str">
        <f>IF(NOT(Anime!AE361=""),Anime!AE361,"")</f>
        <v/>
      </c>
      <c r="N360" s="21" t="str">
        <f>IF(NOT(Anime!AF361=""),Anime!AF361,"")</f>
        <v/>
      </c>
      <c r="O360" s="129" t="str">
        <f>IF(NOT(Anime!AG361=""),Anime!AG361,"")</f>
        <v/>
      </c>
      <c r="P360" s="21" t="str">
        <f>IF(NOT(Anime!AH361=""),Anime!AH361,"")</f>
        <v/>
      </c>
      <c r="Q360" s="21" t="str">
        <f>IF(NOT(Anime!AI361=""),Anime!AI361,"")</f>
        <v/>
      </c>
      <c r="R360" s="66" t="str">
        <f>IF(NOT(Anime!AJ361=""),Anime!AJ361,"")</f>
        <v/>
      </c>
      <c r="S360" s="15" t="str">
        <f>IF(NOT(Anime!AK361=""),Anime!AK361,"")</f>
        <v/>
      </c>
    </row>
    <row r="361" spans="1:19" ht="16.5">
      <c r="A361" s="12" t="str">
        <f>IF(NOT(Anime!R362=""),Anime!R362,"")</f>
        <v/>
      </c>
      <c r="B361" s="14" t="str">
        <f>IF(NOT(Anime!S362=""),Anime!S362,"")</f>
        <v/>
      </c>
      <c r="C361" s="14" t="str">
        <f>IF(NOT(Anime!T362=""),Anime!T362,"")</f>
        <v/>
      </c>
      <c r="D361" s="68" t="str">
        <f>IF(NOT(Anime!U362=""),Anime!U362,"")</f>
        <v/>
      </c>
      <c r="E361" s="131" t="str">
        <f>IF(NOT(Anime!W362=""),Anime!W362,"")</f>
        <v/>
      </c>
      <c r="F361" s="16" t="str">
        <f>IF(NOT(Anime!X362=""),Anime!X362,"")</f>
        <v/>
      </c>
      <c r="G361" s="16" t="str">
        <f>IF(NOT(Anime!Y362=""),Anime!Y362,"")</f>
        <v/>
      </c>
      <c r="H361" s="16" t="str">
        <f>IF(NOT(Anime!Z362=""),Anime!Z362,"")</f>
        <v/>
      </c>
      <c r="I361" s="16" t="str">
        <f>IF(NOT(Anime!AA362=""),Anime!AA362,"")</f>
        <v/>
      </c>
      <c r="J361" s="17" t="str">
        <f>IF(NOT(Anime!AB362=""),Anime!AB362,"")</f>
        <v/>
      </c>
      <c r="K361" s="18" t="str">
        <f>IF(NOT(Anime!AC362=""),Anime!AC362,"")</f>
        <v/>
      </c>
      <c r="L361" s="19" t="str">
        <f>IF(NOT(Anime!AD362=""),Anime!AD362,"")</f>
        <v/>
      </c>
      <c r="M361" s="72" t="str">
        <f>IF(NOT(Anime!AE362=""),Anime!AE362,"")</f>
        <v/>
      </c>
      <c r="N361" s="21" t="str">
        <f>IF(NOT(Anime!AF362=""),Anime!AF362,"")</f>
        <v/>
      </c>
      <c r="O361" s="129" t="str">
        <f>IF(NOT(Anime!AG362=""),Anime!AG362,"")</f>
        <v/>
      </c>
      <c r="P361" s="21" t="str">
        <f>IF(NOT(Anime!AH362=""),Anime!AH362,"")</f>
        <v/>
      </c>
      <c r="Q361" s="21" t="str">
        <f>IF(NOT(Anime!AI362=""),Anime!AI362,"")</f>
        <v/>
      </c>
      <c r="R361" s="66" t="str">
        <f>IF(NOT(Anime!AJ362=""),Anime!AJ362,"")</f>
        <v/>
      </c>
      <c r="S361" s="15" t="str">
        <f>IF(NOT(Anime!AK362=""),Anime!AK362,"")</f>
        <v/>
      </c>
    </row>
    <row r="362" spans="1:19" ht="16.5">
      <c r="A362" s="12" t="str">
        <f>IF(NOT(Anime!R363=""),Anime!R363,"")</f>
        <v/>
      </c>
      <c r="B362" s="14" t="str">
        <f>IF(NOT(Anime!S363=""),Anime!S363,"")</f>
        <v/>
      </c>
      <c r="C362" s="14" t="str">
        <f>IF(NOT(Anime!T363=""),Anime!T363,"")</f>
        <v/>
      </c>
      <c r="D362" s="68" t="str">
        <f>IF(NOT(Anime!U363=""),Anime!U363,"")</f>
        <v/>
      </c>
      <c r="E362" s="131" t="str">
        <f>IF(NOT(Anime!W363=""),Anime!W363,"")</f>
        <v/>
      </c>
      <c r="F362" s="16" t="str">
        <f>IF(NOT(Anime!X363=""),Anime!X363,"")</f>
        <v/>
      </c>
      <c r="G362" s="16" t="str">
        <f>IF(NOT(Anime!Y363=""),Anime!Y363,"")</f>
        <v/>
      </c>
      <c r="H362" s="16" t="str">
        <f>IF(NOT(Anime!Z363=""),Anime!Z363,"")</f>
        <v/>
      </c>
      <c r="I362" s="16" t="str">
        <f>IF(NOT(Anime!AA363=""),Anime!AA363,"")</f>
        <v/>
      </c>
      <c r="J362" s="17" t="str">
        <f>IF(NOT(Anime!AB363=""),Anime!AB363,"")</f>
        <v/>
      </c>
      <c r="K362" s="18" t="str">
        <f>IF(NOT(Anime!AC363=""),Anime!AC363,"")</f>
        <v/>
      </c>
      <c r="L362" s="19" t="str">
        <f>IF(NOT(Anime!AD363=""),Anime!AD363,"")</f>
        <v/>
      </c>
      <c r="M362" s="72" t="str">
        <f>IF(NOT(Anime!AE363=""),Anime!AE363,"")</f>
        <v/>
      </c>
      <c r="N362" s="21" t="str">
        <f>IF(NOT(Anime!AF363=""),Anime!AF363,"")</f>
        <v/>
      </c>
      <c r="O362" s="129" t="str">
        <f>IF(NOT(Anime!AG363=""),Anime!AG363,"")</f>
        <v/>
      </c>
      <c r="P362" s="21" t="str">
        <f>IF(NOT(Anime!AH363=""),Anime!AH363,"")</f>
        <v/>
      </c>
      <c r="Q362" s="21" t="str">
        <f>IF(NOT(Anime!AI363=""),Anime!AI363,"")</f>
        <v/>
      </c>
      <c r="R362" s="66" t="str">
        <f>IF(NOT(Anime!AJ363=""),Anime!AJ363,"")</f>
        <v/>
      </c>
      <c r="S362" s="15" t="str">
        <f>IF(NOT(Anime!AK363=""),Anime!AK363,"")</f>
        <v/>
      </c>
    </row>
    <row r="363" spans="1:19" ht="16.5">
      <c r="A363" s="12" t="str">
        <f>IF(NOT(Anime!R364=""),Anime!R364,"")</f>
        <v/>
      </c>
      <c r="B363" s="14" t="str">
        <f>IF(NOT(Anime!S364=""),Anime!S364,"")</f>
        <v/>
      </c>
      <c r="C363" s="14" t="str">
        <f>IF(NOT(Anime!T364=""),Anime!T364,"")</f>
        <v/>
      </c>
      <c r="D363" s="68" t="str">
        <f>IF(NOT(Anime!U364=""),Anime!U364,"")</f>
        <v/>
      </c>
      <c r="E363" s="131" t="str">
        <f>IF(NOT(Anime!W364=""),Anime!W364,"")</f>
        <v/>
      </c>
      <c r="F363" s="16" t="str">
        <f>IF(NOT(Anime!X364=""),Anime!X364,"")</f>
        <v/>
      </c>
      <c r="G363" s="16" t="str">
        <f>IF(NOT(Anime!Y364=""),Anime!Y364,"")</f>
        <v/>
      </c>
      <c r="H363" s="16" t="str">
        <f>IF(NOT(Anime!Z364=""),Anime!Z364,"")</f>
        <v/>
      </c>
      <c r="I363" s="16" t="str">
        <f>IF(NOT(Anime!AA364=""),Anime!AA364,"")</f>
        <v/>
      </c>
      <c r="J363" s="17" t="str">
        <f>IF(NOT(Anime!AB364=""),Anime!AB364,"")</f>
        <v/>
      </c>
      <c r="K363" s="18" t="str">
        <f>IF(NOT(Anime!AC364=""),Anime!AC364,"")</f>
        <v/>
      </c>
      <c r="L363" s="19" t="str">
        <f>IF(NOT(Anime!AD364=""),Anime!AD364,"")</f>
        <v/>
      </c>
      <c r="M363" s="72" t="str">
        <f>IF(NOT(Anime!AE364=""),Anime!AE364,"")</f>
        <v/>
      </c>
      <c r="N363" s="21" t="str">
        <f>IF(NOT(Anime!AF364=""),Anime!AF364,"")</f>
        <v/>
      </c>
      <c r="O363" s="129" t="str">
        <f>IF(NOT(Anime!AG364=""),Anime!AG364,"")</f>
        <v/>
      </c>
      <c r="P363" s="21" t="str">
        <f>IF(NOT(Anime!AH364=""),Anime!AH364,"")</f>
        <v/>
      </c>
      <c r="Q363" s="21" t="str">
        <f>IF(NOT(Anime!AI364=""),Anime!AI364,"")</f>
        <v/>
      </c>
      <c r="R363" s="66" t="str">
        <f>IF(NOT(Anime!AJ364=""),Anime!AJ364,"")</f>
        <v/>
      </c>
      <c r="S363" s="15" t="str">
        <f>IF(NOT(Anime!AK364=""),Anime!AK364,"")</f>
        <v/>
      </c>
    </row>
    <row r="364" spans="1:19" ht="16.5">
      <c r="A364" s="12" t="str">
        <f>IF(NOT(Anime!R365=""),Anime!R365,"")</f>
        <v/>
      </c>
      <c r="B364" s="14" t="str">
        <f>IF(NOT(Anime!S365=""),Anime!S365,"")</f>
        <v/>
      </c>
      <c r="C364" s="14" t="str">
        <f>IF(NOT(Anime!T365=""),Anime!T365,"")</f>
        <v/>
      </c>
      <c r="D364" s="68" t="str">
        <f>IF(NOT(Anime!U365=""),Anime!U365,"")</f>
        <v/>
      </c>
      <c r="E364" s="131" t="str">
        <f>IF(NOT(Anime!W365=""),Anime!W365,"")</f>
        <v/>
      </c>
      <c r="F364" s="16" t="str">
        <f>IF(NOT(Anime!X365=""),Anime!X365,"")</f>
        <v/>
      </c>
      <c r="G364" s="16" t="str">
        <f>IF(NOT(Anime!Y365=""),Anime!Y365,"")</f>
        <v/>
      </c>
      <c r="H364" s="16" t="str">
        <f>IF(NOT(Anime!Z365=""),Anime!Z365,"")</f>
        <v/>
      </c>
      <c r="I364" s="16" t="str">
        <f>IF(NOT(Anime!AA365=""),Anime!AA365,"")</f>
        <v/>
      </c>
      <c r="J364" s="17" t="str">
        <f>IF(NOT(Anime!AB365=""),Anime!AB365,"")</f>
        <v/>
      </c>
      <c r="K364" s="18" t="str">
        <f>IF(NOT(Anime!AC365=""),Anime!AC365,"")</f>
        <v/>
      </c>
      <c r="L364" s="19" t="str">
        <f>IF(NOT(Anime!AD365=""),Anime!AD365,"")</f>
        <v/>
      </c>
      <c r="M364" s="72" t="str">
        <f>IF(NOT(Anime!AE365=""),Anime!AE365,"")</f>
        <v/>
      </c>
      <c r="N364" s="21" t="str">
        <f>IF(NOT(Anime!AF365=""),Anime!AF365,"")</f>
        <v/>
      </c>
      <c r="O364" s="129" t="str">
        <f>IF(NOT(Anime!AG365=""),Anime!AG365,"")</f>
        <v/>
      </c>
      <c r="P364" s="21" t="str">
        <f>IF(NOT(Anime!AH365=""),Anime!AH365,"")</f>
        <v/>
      </c>
      <c r="Q364" s="21" t="str">
        <f>IF(NOT(Anime!AI365=""),Anime!AI365,"")</f>
        <v/>
      </c>
      <c r="R364" s="66" t="str">
        <f>IF(NOT(Anime!AJ365=""),Anime!AJ365,"")</f>
        <v/>
      </c>
      <c r="S364" s="15" t="str">
        <f>IF(NOT(Anime!AK365=""),Anime!AK365,"")</f>
        <v/>
      </c>
    </row>
    <row r="365" spans="1:19" ht="16.5">
      <c r="A365" s="12" t="str">
        <f>IF(NOT(Anime!R366=""),Anime!R366,"")</f>
        <v/>
      </c>
      <c r="B365" s="14" t="str">
        <f>IF(NOT(Anime!S366=""),Anime!S366,"")</f>
        <v/>
      </c>
      <c r="C365" s="14" t="str">
        <f>IF(NOT(Anime!T366=""),Anime!T366,"")</f>
        <v/>
      </c>
      <c r="D365" s="68" t="str">
        <f>IF(NOT(Anime!U366=""),Anime!U366,"")</f>
        <v/>
      </c>
      <c r="E365" s="131" t="str">
        <f>IF(NOT(Anime!W366=""),Anime!W366,"")</f>
        <v/>
      </c>
      <c r="F365" s="16" t="str">
        <f>IF(NOT(Anime!X366=""),Anime!X366,"")</f>
        <v/>
      </c>
      <c r="G365" s="16" t="str">
        <f>IF(NOT(Anime!Y366=""),Anime!Y366,"")</f>
        <v/>
      </c>
      <c r="H365" s="16" t="str">
        <f>IF(NOT(Anime!Z366=""),Anime!Z366,"")</f>
        <v/>
      </c>
      <c r="I365" s="16" t="str">
        <f>IF(NOT(Anime!AA366=""),Anime!AA366,"")</f>
        <v/>
      </c>
      <c r="J365" s="17" t="str">
        <f>IF(NOT(Anime!AB366=""),Anime!AB366,"")</f>
        <v/>
      </c>
      <c r="K365" s="18" t="str">
        <f>IF(NOT(Anime!AC366=""),Anime!AC366,"")</f>
        <v/>
      </c>
      <c r="L365" s="19" t="str">
        <f>IF(NOT(Anime!AD366=""),Anime!AD366,"")</f>
        <v/>
      </c>
      <c r="M365" s="72" t="str">
        <f>IF(NOT(Anime!AE366=""),Anime!AE366,"")</f>
        <v/>
      </c>
      <c r="N365" s="21" t="str">
        <f>IF(NOT(Anime!AF366=""),Anime!AF366,"")</f>
        <v/>
      </c>
      <c r="O365" s="129" t="str">
        <f>IF(NOT(Anime!AG366=""),Anime!AG366,"")</f>
        <v/>
      </c>
      <c r="P365" s="21" t="str">
        <f>IF(NOT(Anime!AH366=""),Anime!AH366,"")</f>
        <v/>
      </c>
      <c r="Q365" s="21" t="str">
        <f>IF(NOT(Anime!AI366=""),Anime!AI366,"")</f>
        <v/>
      </c>
      <c r="R365" s="66" t="str">
        <f>IF(NOT(Anime!AJ366=""),Anime!AJ366,"")</f>
        <v/>
      </c>
      <c r="S365" s="15" t="str">
        <f>IF(NOT(Anime!AK366=""),Anime!AK366,"")</f>
        <v/>
      </c>
    </row>
    <row r="366" spans="1:19" ht="16.5">
      <c r="A366" s="12" t="str">
        <f>IF(NOT(Anime!R367=""),Anime!R367,"")</f>
        <v/>
      </c>
      <c r="B366" s="14" t="str">
        <f>IF(NOT(Anime!S367=""),Anime!S367,"")</f>
        <v/>
      </c>
      <c r="C366" s="14" t="str">
        <f>IF(NOT(Anime!T367=""),Anime!T367,"")</f>
        <v/>
      </c>
      <c r="D366" s="68" t="str">
        <f>IF(NOT(Anime!U367=""),Anime!U367,"")</f>
        <v/>
      </c>
      <c r="E366" s="131" t="str">
        <f>IF(NOT(Anime!W367=""),Anime!W367,"")</f>
        <v/>
      </c>
      <c r="F366" s="16" t="str">
        <f>IF(NOT(Anime!X367=""),Anime!X367,"")</f>
        <v/>
      </c>
      <c r="G366" s="16" t="str">
        <f>IF(NOT(Anime!Y367=""),Anime!Y367,"")</f>
        <v/>
      </c>
      <c r="H366" s="16" t="str">
        <f>IF(NOT(Anime!Z367=""),Anime!Z367,"")</f>
        <v/>
      </c>
      <c r="I366" s="16" t="str">
        <f>IF(NOT(Anime!AA367=""),Anime!AA367,"")</f>
        <v/>
      </c>
      <c r="J366" s="17" t="str">
        <f>IF(NOT(Anime!AB367=""),Anime!AB367,"")</f>
        <v/>
      </c>
      <c r="K366" s="18" t="str">
        <f>IF(NOT(Anime!AC367=""),Anime!AC367,"")</f>
        <v/>
      </c>
      <c r="L366" s="19" t="str">
        <f>IF(NOT(Anime!AD367=""),Anime!AD367,"")</f>
        <v/>
      </c>
      <c r="M366" s="72" t="str">
        <f>IF(NOT(Anime!AE367=""),Anime!AE367,"")</f>
        <v/>
      </c>
      <c r="N366" s="21" t="str">
        <f>IF(NOT(Anime!AF367=""),Anime!AF367,"")</f>
        <v/>
      </c>
      <c r="O366" s="129" t="str">
        <f>IF(NOT(Anime!AG367=""),Anime!AG367,"")</f>
        <v/>
      </c>
      <c r="P366" s="21" t="str">
        <f>IF(NOT(Anime!AH367=""),Anime!AH367,"")</f>
        <v/>
      </c>
      <c r="Q366" s="21" t="str">
        <f>IF(NOT(Anime!AI367=""),Anime!AI367,"")</f>
        <v/>
      </c>
      <c r="R366" s="66" t="str">
        <f>IF(NOT(Anime!AJ367=""),Anime!AJ367,"")</f>
        <v/>
      </c>
      <c r="S366" s="15" t="str">
        <f>IF(NOT(Anime!AK367=""),Anime!AK367,"")</f>
        <v/>
      </c>
    </row>
    <row r="367" spans="1:19" ht="16.5">
      <c r="A367" s="12" t="str">
        <f>IF(NOT(Anime!R368=""),Anime!R368,"")</f>
        <v/>
      </c>
      <c r="B367" s="14" t="str">
        <f>IF(NOT(Anime!S368=""),Anime!S368,"")</f>
        <v/>
      </c>
      <c r="C367" s="14" t="str">
        <f>IF(NOT(Anime!T368=""),Anime!T368,"")</f>
        <v/>
      </c>
      <c r="D367" s="68" t="str">
        <f>IF(NOT(Anime!U368=""),Anime!U368,"")</f>
        <v/>
      </c>
      <c r="E367" s="131" t="str">
        <f>IF(NOT(Anime!W368=""),Anime!W368,"")</f>
        <v/>
      </c>
      <c r="F367" s="16" t="str">
        <f>IF(NOT(Anime!X368=""),Anime!X368,"")</f>
        <v/>
      </c>
      <c r="G367" s="16" t="str">
        <f>IF(NOT(Anime!Y368=""),Anime!Y368,"")</f>
        <v/>
      </c>
      <c r="H367" s="16" t="str">
        <f>IF(NOT(Anime!Z368=""),Anime!Z368,"")</f>
        <v/>
      </c>
      <c r="I367" s="16" t="str">
        <f>IF(NOT(Anime!AA368=""),Anime!AA368,"")</f>
        <v/>
      </c>
      <c r="J367" s="17" t="str">
        <f>IF(NOT(Anime!AB368=""),Anime!AB368,"")</f>
        <v/>
      </c>
      <c r="K367" s="18" t="str">
        <f>IF(NOT(Anime!AC368=""),Anime!AC368,"")</f>
        <v/>
      </c>
      <c r="L367" s="19" t="str">
        <f>IF(NOT(Anime!AD368=""),Anime!AD368,"")</f>
        <v/>
      </c>
      <c r="M367" s="72" t="str">
        <f>IF(NOT(Anime!AE368=""),Anime!AE368,"")</f>
        <v/>
      </c>
      <c r="N367" s="21" t="str">
        <f>IF(NOT(Anime!AF368=""),Anime!AF368,"")</f>
        <v/>
      </c>
      <c r="O367" s="129" t="str">
        <f>IF(NOT(Anime!AG368=""),Anime!AG368,"")</f>
        <v/>
      </c>
      <c r="P367" s="21" t="str">
        <f>IF(NOT(Anime!AH368=""),Anime!AH368,"")</f>
        <v/>
      </c>
      <c r="Q367" s="21" t="str">
        <f>IF(NOT(Anime!AI368=""),Anime!AI368,"")</f>
        <v/>
      </c>
      <c r="R367" s="66" t="str">
        <f>IF(NOT(Anime!AJ368=""),Anime!AJ368,"")</f>
        <v/>
      </c>
      <c r="S367" s="15" t="str">
        <f>IF(NOT(Anime!AK368=""),Anime!AK368,"")</f>
        <v/>
      </c>
    </row>
    <row r="368" spans="1:19" ht="16.5">
      <c r="A368" s="12" t="str">
        <f>IF(NOT(Anime!R369=""),Anime!R369,"")</f>
        <v/>
      </c>
      <c r="B368" s="14" t="str">
        <f>IF(NOT(Anime!S369=""),Anime!S369,"")</f>
        <v/>
      </c>
      <c r="C368" s="14" t="str">
        <f>IF(NOT(Anime!T369=""),Anime!T369,"")</f>
        <v/>
      </c>
      <c r="D368" s="68" t="str">
        <f>IF(NOT(Anime!U369=""),Anime!U369,"")</f>
        <v/>
      </c>
      <c r="E368" s="131" t="str">
        <f>IF(NOT(Anime!W369=""),Anime!W369,"")</f>
        <v/>
      </c>
      <c r="F368" s="16" t="str">
        <f>IF(NOT(Anime!X369=""),Anime!X369,"")</f>
        <v/>
      </c>
      <c r="G368" s="16" t="str">
        <f>IF(NOT(Anime!Y369=""),Anime!Y369,"")</f>
        <v/>
      </c>
      <c r="H368" s="16" t="str">
        <f>IF(NOT(Anime!Z369=""),Anime!Z369,"")</f>
        <v/>
      </c>
      <c r="I368" s="16" t="str">
        <f>IF(NOT(Anime!AA369=""),Anime!AA369,"")</f>
        <v/>
      </c>
      <c r="J368" s="17" t="str">
        <f>IF(NOT(Anime!AB369=""),Anime!AB369,"")</f>
        <v/>
      </c>
      <c r="K368" s="18" t="str">
        <f>IF(NOT(Anime!AC369=""),Anime!AC369,"")</f>
        <v/>
      </c>
      <c r="L368" s="19" t="str">
        <f>IF(NOT(Anime!AD369=""),Anime!AD369,"")</f>
        <v/>
      </c>
      <c r="M368" s="72" t="str">
        <f>IF(NOT(Anime!AE369=""),Anime!AE369,"")</f>
        <v/>
      </c>
      <c r="N368" s="21" t="str">
        <f>IF(NOT(Anime!AF369=""),Anime!AF369,"")</f>
        <v/>
      </c>
      <c r="O368" s="129" t="str">
        <f>IF(NOT(Anime!AG369=""),Anime!AG369,"")</f>
        <v/>
      </c>
      <c r="P368" s="21" t="str">
        <f>IF(NOT(Anime!AH369=""),Anime!AH369,"")</f>
        <v/>
      </c>
      <c r="Q368" s="21" t="str">
        <f>IF(NOT(Anime!AI369=""),Anime!AI369,"")</f>
        <v/>
      </c>
      <c r="R368" s="66" t="str">
        <f>IF(NOT(Anime!AJ369=""),Anime!AJ369,"")</f>
        <v/>
      </c>
      <c r="S368" s="15" t="str">
        <f>IF(NOT(Anime!AK369=""),Anime!AK369,"")</f>
        <v/>
      </c>
    </row>
    <row r="369" spans="1:19" ht="16.5">
      <c r="A369" s="12" t="str">
        <f>IF(NOT(Anime!R370=""),Anime!R370,"")</f>
        <v/>
      </c>
      <c r="B369" s="14" t="str">
        <f>IF(NOT(Anime!S370=""),Anime!S370,"")</f>
        <v/>
      </c>
      <c r="C369" s="14" t="str">
        <f>IF(NOT(Anime!T370=""),Anime!T370,"")</f>
        <v/>
      </c>
      <c r="D369" s="68" t="str">
        <f>IF(NOT(Anime!U370=""),Anime!U370,"")</f>
        <v/>
      </c>
      <c r="E369" s="131" t="str">
        <f>IF(NOT(Anime!W370=""),Anime!W370,"")</f>
        <v/>
      </c>
      <c r="F369" s="16" t="str">
        <f>IF(NOT(Anime!X370=""),Anime!X370,"")</f>
        <v/>
      </c>
      <c r="G369" s="16" t="str">
        <f>IF(NOT(Anime!Y370=""),Anime!Y370,"")</f>
        <v/>
      </c>
      <c r="H369" s="16" t="str">
        <f>IF(NOT(Anime!Z370=""),Anime!Z370,"")</f>
        <v/>
      </c>
      <c r="I369" s="16" t="str">
        <f>IF(NOT(Anime!AA370=""),Anime!AA370,"")</f>
        <v/>
      </c>
      <c r="J369" s="17" t="str">
        <f>IF(NOT(Anime!AB370=""),Anime!AB370,"")</f>
        <v/>
      </c>
      <c r="K369" s="18" t="str">
        <f>IF(NOT(Anime!AC370=""),Anime!AC370,"")</f>
        <v/>
      </c>
      <c r="L369" s="19" t="str">
        <f>IF(NOT(Anime!AD370=""),Anime!AD370,"")</f>
        <v/>
      </c>
      <c r="M369" s="72" t="str">
        <f>IF(NOT(Anime!AE370=""),Anime!AE370,"")</f>
        <v/>
      </c>
      <c r="N369" s="21" t="str">
        <f>IF(NOT(Anime!AF370=""),Anime!AF370,"")</f>
        <v/>
      </c>
      <c r="O369" s="129" t="str">
        <f>IF(NOT(Anime!AG370=""),Anime!AG370,"")</f>
        <v/>
      </c>
      <c r="P369" s="21" t="str">
        <f>IF(NOT(Anime!AH370=""),Anime!AH370,"")</f>
        <v/>
      </c>
      <c r="Q369" s="21" t="str">
        <f>IF(NOT(Anime!AI370=""),Anime!AI370,"")</f>
        <v/>
      </c>
      <c r="R369" s="66" t="str">
        <f>IF(NOT(Anime!AJ370=""),Anime!AJ370,"")</f>
        <v/>
      </c>
      <c r="S369" s="15" t="str">
        <f>IF(NOT(Anime!AK370=""),Anime!AK370,"")</f>
        <v/>
      </c>
    </row>
    <row r="370" spans="1:19" ht="16.5">
      <c r="A370" s="12" t="str">
        <f>IF(NOT(Anime!R371=""),Anime!R371,"")</f>
        <v/>
      </c>
      <c r="B370" s="14" t="str">
        <f>IF(NOT(Anime!S371=""),Anime!S371,"")</f>
        <v/>
      </c>
      <c r="C370" s="14" t="str">
        <f>IF(NOT(Anime!T371=""),Anime!T371,"")</f>
        <v/>
      </c>
      <c r="D370" s="68" t="str">
        <f>IF(NOT(Anime!U371=""),Anime!U371,"")</f>
        <v/>
      </c>
      <c r="E370" s="131" t="str">
        <f>IF(NOT(Anime!W371=""),Anime!W371,"")</f>
        <v/>
      </c>
      <c r="F370" s="16" t="str">
        <f>IF(NOT(Anime!X371=""),Anime!X371,"")</f>
        <v/>
      </c>
      <c r="G370" s="16" t="str">
        <f>IF(NOT(Anime!Y371=""),Anime!Y371,"")</f>
        <v/>
      </c>
      <c r="H370" s="16" t="str">
        <f>IF(NOT(Anime!Z371=""),Anime!Z371,"")</f>
        <v/>
      </c>
      <c r="I370" s="16" t="str">
        <f>IF(NOT(Anime!AA371=""),Anime!AA371,"")</f>
        <v/>
      </c>
      <c r="J370" s="17" t="str">
        <f>IF(NOT(Anime!AB371=""),Anime!AB371,"")</f>
        <v/>
      </c>
      <c r="K370" s="18" t="str">
        <f>IF(NOT(Anime!AC371=""),Anime!AC371,"")</f>
        <v/>
      </c>
      <c r="L370" s="19" t="str">
        <f>IF(NOT(Anime!AD371=""),Anime!AD371,"")</f>
        <v/>
      </c>
      <c r="M370" s="72" t="str">
        <f>IF(NOT(Anime!AE371=""),Anime!AE371,"")</f>
        <v/>
      </c>
      <c r="N370" s="21" t="str">
        <f>IF(NOT(Anime!AF371=""),Anime!AF371,"")</f>
        <v/>
      </c>
      <c r="O370" s="129" t="str">
        <f>IF(NOT(Anime!AG371=""),Anime!AG371,"")</f>
        <v/>
      </c>
      <c r="P370" s="21" t="str">
        <f>IF(NOT(Anime!AH371=""),Anime!AH371,"")</f>
        <v/>
      </c>
      <c r="Q370" s="21" t="str">
        <f>IF(NOT(Anime!AI371=""),Anime!AI371,"")</f>
        <v/>
      </c>
      <c r="R370" s="66" t="str">
        <f>IF(NOT(Anime!AJ371=""),Anime!AJ371,"")</f>
        <v/>
      </c>
      <c r="S370" s="15" t="str">
        <f>IF(NOT(Anime!AK371=""),Anime!AK371,"")</f>
        <v/>
      </c>
    </row>
    <row r="371" spans="1:19" ht="16.5">
      <c r="A371" s="12" t="str">
        <f>IF(NOT(Anime!R372=""),Anime!R372,"")</f>
        <v/>
      </c>
      <c r="B371" s="14" t="str">
        <f>IF(NOT(Anime!S372=""),Anime!S372,"")</f>
        <v/>
      </c>
      <c r="C371" s="14" t="str">
        <f>IF(NOT(Anime!T372=""),Anime!T372,"")</f>
        <v/>
      </c>
      <c r="D371" s="68" t="str">
        <f>IF(NOT(Anime!U372=""),Anime!U372,"")</f>
        <v/>
      </c>
      <c r="E371" s="131" t="str">
        <f>IF(NOT(Anime!W372=""),Anime!W372,"")</f>
        <v/>
      </c>
      <c r="F371" s="16" t="str">
        <f>IF(NOT(Anime!X372=""),Anime!X372,"")</f>
        <v/>
      </c>
      <c r="G371" s="16" t="str">
        <f>IF(NOT(Anime!Y372=""),Anime!Y372,"")</f>
        <v/>
      </c>
      <c r="H371" s="16" t="str">
        <f>IF(NOT(Anime!Z372=""),Anime!Z372,"")</f>
        <v/>
      </c>
      <c r="I371" s="16" t="str">
        <f>IF(NOT(Anime!AA372=""),Anime!AA372,"")</f>
        <v/>
      </c>
      <c r="J371" s="17" t="str">
        <f>IF(NOT(Anime!AB372=""),Anime!AB372,"")</f>
        <v/>
      </c>
      <c r="K371" s="18" t="str">
        <f>IF(NOT(Anime!AC372=""),Anime!AC372,"")</f>
        <v/>
      </c>
      <c r="L371" s="19" t="str">
        <f>IF(NOT(Anime!AD372=""),Anime!AD372,"")</f>
        <v/>
      </c>
      <c r="M371" s="72" t="str">
        <f>IF(NOT(Anime!AE372=""),Anime!AE372,"")</f>
        <v/>
      </c>
      <c r="N371" s="21" t="str">
        <f>IF(NOT(Anime!AF372=""),Anime!AF372,"")</f>
        <v/>
      </c>
      <c r="O371" s="129" t="str">
        <f>IF(NOT(Anime!AG372=""),Anime!AG372,"")</f>
        <v/>
      </c>
      <c r="P371" s="21" t="str">
        <f>IF(NOT(Anime!AH372=""),Anime!AH372,"")</f>
        <v/>
      </c>
      <c r="Q371" s="21" t="str">
        <f>IF(NOT(Anime!AI372=""),Anime!AI372,"")</f>
        <v/>
      </c>
      <c r="R371" s="66" t="str">
        <f>IF(NOT(Anime!AJ372=""),Anime!AJ372,"")</f>
        <v/>
      </c>
      <c r="S371" s="15" t="str">
        <f>IF(NOT(Anime!AK372=""),Anime!AK372,"")</f>
        <v/>
      </c>
    </row>
    <row r="372" spans="1:19" ht="16.5">
      <c r="A372" s="12" t="str">
        <f>IF(NOT(Anime!R373=""),Anime!R373,"")</f>
        <v/>
      </c>
      <c r="B372" s="14" t="str">
        <f>IF(NOT(Anime!S373=""),Anime!S373,"")</f>
        <v/>
      </c>
      <c r="C372" s="14" t="str">
        <f>IF(NOT(Anime!T373=""),Anime!T373,"")</f>
        <v/>
      </c>
      <c r="D372" s="68" t="str">
        <f>IF(NOT(Anime!U373=""),Anime!U373,"")</f>
        <v/>
      </c>
      <c r="E372" s="131" t="str">
        <f>IF(NOT(Anime!W373=""),Anime!W373,"")</f>
        <v/>
      </c>
      <c r="F372" s="16" t="str">
        <f>IF(NOT(Anime!X373=""),Anime!X373,"")</f>
        <v/>
      </c>
      <c r="G372" s="16" t="str">
        <f>IF(NOT(Anime!Y373=""),Anime!Y373,"")</f>
        <v/>
      </c>
      <c r="H372" s="16" t="str">
        <f>IF(NOT(Anime!Z373=""),Anime!Z373,"")</f>
        <v/>
      </c>
      <c r="I372" s="16" t="str">
        <f>IF(NOT(Anime!AA373=""),Anime!AA373,"")</f>
        <v/>
      </c>
      <c r="J372" s="17" t="str">
        <f>IF(NOT(Anime!AB373=""),Anime!AB373,"")</f>
        <v/>
      </c>
      <c r="K372" s="18" t="str">
        <f>IF(NOT(Anime!AC373=""),Anime!AC373,"")</f>
        <v/>
      </c>
      <c r="L372" s="19" t="str">
        <f>IF(NOT(Anime!AD373=""),Anime!AD373,"")</f>
        <v/>
      </c>
      <c r="M372" s="72" t="str">
        <f>IF(NOT(Anime!AE373=""),Anime!AE373,"")</f>
        <v/>
      </c>
      <c r="N372" s="21" t="str">
        <f>IF(NOT(Anime!AF373=""),Anime!AF373,"")</f>
        <v/>
      </c>
      <c r="O372" s="129" t="str">
        <f>IF(NOT(Anime!AG373=""),Anime!AG373,"")</f>
        <v/>
      </c>
      <c r="P372" s="21" t="str">
        <f>IF(NOT(Anime!AH373=""),Anime!AH373,"")</f>
        <v/>
      </c>
      <c r="Q372" s="21" t="str">
        <f>IF(NOT(Anime!AI373=""),Anime!AI373,"")</f>
        <v/>
      </c>
      <c r="R372" s="66" t="str">
        <f>IF(NOT(Anime!AJ373=""),Anime!AJ373,"")</f>
        <v/>
      </c>
      <c r="S372" s="15" t="str">
        <f>IF(NOT(Anime!AK373=""),Anime!AK373,"")</f>
        <v/>
      </c>
    </row>
    <row r="373" spans="1:19" ht="16.5">
      <c r="A373" s="12" t="str">
        <f>IF(NOT(Anime!R374=""),Anime!R374,"")</f>
        <v/>
      </c>
      <c r="B373" s="14" t="str">
        <f>IF(NOT(Anime!S374=""),Anime!S374,"")</f>
        <v/>
      </c>
      <c r="C373" s="14" t="str">
        <f>IF(NOT(Anime!T374=""),Anime!T374,"")</f>
        <v/>
      </c>
      <c r="D373" s="68" t="str">
        <f>IF(NOT(Anime!U374=""),Anime!U374,"")</f>
        <v/>
      </c>
      <c r="E373" s="131" t="str">
        <f>IF(NOT(Anime!W374=""),Anime!W374,"")</f>
        <v/>
      </c>
      <c r="F373" s="16" t="str">
        <f>IF(NOT(Anime!X374=""),Anime!X374,"")</f>
        <v/>
      </c>
      <c r="G373" s="16" t="str">
        <f>IF(NOT(Anime!Y374=""),Anime!Y374,"")</f>
        <v/>
      </c>
      <c r="H373" s="16" t="str">
        <f>IF(NOT(Anime!Z374=""),Anime!Z374,"")</f>
        <v/>
      </c>
      <c r="I373" s="16" t="str">
        <f>IF(NOT(Anime!AA374=""),Anime!AA374,"")</f>
        <v/>
      </c>
      <c r="J373" s="17" t="str">
        <f>IF(NOT(Anime!AB374=""),Anime!AB374,"")</f>
        <v/>
      </c>
      <c r="K373" s="18" t="str">
        <f>IF(NOT(Anime!AC374=""),Anime!AC374,"")</f>
        <v/>
      </c>
      <c r="L373" s="19" t="str">
        <f>IF(NOT(Anime!AD374=""),Anime!AD374,"")</f>
        <v/>
      </c>
      <c r="M373" s="72" t="str">
        <f>IF(NOT(Anime!AE374=""),Anime!AE374,"")</f>
        <v/>
      </c>
      <c r="N373" s="21" t="str">
        <f>IF(NOT(Anime!AF374=""),Anime!AF374,"")</f>
        <v/>
      </c>
      <c r="O373" s="129" t="str">
        <f>IF(NOT(Anime!AG374=""),Anime!AG374,"")</f>
        <v/>
      </c>
      <c r="P373" s="21" t="str">
        <f>IF(NOT(Anime!AH374=""),Anime!AH374,"")</f>
        <v/>
      </c>
      <c r="Q373" s="21" t="str">
        <f>IF(NOT(Anime!AI374=""),Anime!AI374,"")</f>
        <v/>
      </c>
      <c r="R373" s="66" t="str">
        <f>IF(NOT(Anime!AJ374=""),Anime!AJ374,"")</f>
        <v/>
      </c>
      <c r="S373" s="15" t="str">
        <f>IF(NOT(Anime!AK374=""),Anime!AK374,"")</f>
        <v/>
      </c>
    </row>
    <row r="374" spans="1:19" ht="16.5">
      <c r="A374" s="12" t="str">
        <f>IF(NOT(Anime!R375=""),Anime!R375,"")</f>
        <v/>
      </c>
      <c r="B374" s="14" t="str">
        <f>IF(NOT(Anime!S375=""),Anime!S375,"")</f>
        <v/>
      </c>
      <c r="C374" s="14" t="str">
        <f>IF(NOT(Anime!T375=""),Anime!T375,"")</f>
        <v/>
      </c>
      <c r="D374" s="68" t="str">
        <f>IF(NOT(Anime!U375=""),Anime!U375,"")</f>
        <v/>
      </c>
      <c r="E374" s="131" t="str">
        <f>IF(NOT(Anime!W375=""),Anime!W375,"")</f>
        <v/>
      </c>
      <c r="F374" s="16" t="str">
        <f>IF(NOT(Anime!X375=""),Anime!X375,"")</f>
        <v/>
      </c>
      <c r="G374" s="16" t="str">
        <f>IF(NOT(Anime!Y375=""),Anime!Y375,"")</f>
        <v/>
      </c>
      <c r="H374" s="16" t="str">
        <f>IF(NOT(Anime!Z375=""),Anime!Z375,"")</f>
        <v/>
      </c>
      <c r="I374" s="16" t="str">
        <f>IF(NOT(Anime!AA375=""),Anime!AA375,"")</f>
        <v/>
      </c>
      <c r="J374" s="17" t="str">
        <f>IF(NOT(Anime!AB375=""),Anime!AB375,"")</f>
        <v/>
      </c>
      <c r="K374" s="18" t="str">
        <f>IF(NOT(Anime!AC375=""),Anime!AC375,"")</f>
        <v/>
      </c>
      <c r="L374" s="19" t="str">
        <f>IF(NOT(Anime!AD375=""),Anime!AD375,"")</f>
        <v/>
      </c>
      <c r="M374" s="72" t="str">
        <f>IF(NOT(Anime!AE375=""),Anime!AE375,"")</f>
        <v/>
      </c>
      <c r="N374" s="21" t="str">
        <f>IF(NOT(Anime!AF375=""),Anime!AF375,"")</f>
        <v/>
      </c>
      <c r="O374" s="129" t="str">
        <f>IF(NOT(Anime!AG375=""),Anime!AG375,"")</f>
        <v/>
      </c>
      <c r="P374" s="21" t="str">
        <f>IF(NOT(Anime!AH375=""),Anime!AH375,"")</f>
        <v/>
      </c>
      <c r="Q374" s="21" t="str">
        <f>IF(NOT(Anime!AI375=""),Anime!AI375,"")</f>
        <v/>
      </c>
      <c r="R374" s="66" t="str">
        <f>IF(NOT(Anime!AJ375=""),Anime!AJ375,"")</f>
        <v/>
      </c>
      <c r="S374" s="15" t="str">
        <f>IF(NOT(Anime!AK375=""),Anime!AK375,"")</f>
        <v/>
      </c>
    </row>
    <row r="375" spans="1:19" ht="16.5">
      <c r="A375" s="12" t="str">
        <f>IF(NOT(Anime!R376=""),Anime!R376,"")</f>
        <v/>
      </c>
      <c r="B375" s="14" t="str">
        <f>IF(NOT(Anime!S376=""),Anime!S376,"")</f>
        <v/>
      </c>
      <c r="C375" s="14" t="str">
        <f>IF(NOT(Anime!T376=""),Anime!T376,"")</f>
        <v/>
      </c>
      <c r="D375" s="68" t="str">
        <f>IF(NOT(Anime!U376=""),Anime!U376,"")</f>
        <v/>
      </c>
      <c r="E375" s="131" t="str">
        <f>IF(NOT(Anime!W376=""),Anime!W376,"")</f>
        <v/>
      </c>
      <c r="F375" s="16" t="str">
        <f>IF(NOT(Anime!X376=""),Anime!X376,"")</f>
        <v/>
      </c>
      <c r="G375" s="16" t="str">
        <f>IF(NOT(Anime!Y376=""),Anime!Y376,"")</f>
        <v/>
      </c>
      <c r="H375" s="16" t="str">
        <f>IF(NOT(Anime!Z376=""),Anime!Z376,"")</f>
        <v/>
      </c>
      <c r="I375" s="16" t="str">
        <f>IF(NOT(Anime!AA376=""),Anime!AA376,"")</f>
        <v/>
      </c>
      <c r="J375" s="17" t="str">
        <f>IF(NOT(Anime!AB376=""),Anime!AB376,"")</f>
        <v/>
      </c>
      <c r="K375" s="18" t="str">
        <f>IF(NOT(Anime!AC376=""),Anime!AC376,"")</f>
        <v/>
      </c>
      <c r="L375" s="19" t="str">
        <f>IF(NOT(Anime!AD376=""),Anime!AD376,"")</f>
        <v/>
      </c>
      <c r="M375" s="72" t="str">
        <f>IF(NOT(Anime!AE376=""),Anime!AE376,"")</f>
        <v/>
      </c>
      <c r="N375" s="21" t="str">
        <f>IF(NOT(Anime!AF376=""),Anime!AF376,"")</f>
        <v/>
      </c>
      <c r="O375" s="129" t="str">
        <f>IF(NOT(Anime!AG376=""),Anime!AG376,"")</f>
        <v/>
      </c>
      <c r="P375" s="21" t="str">
        <f>IF(NOT(Anime!AH376=""),Anime!AH376,"")</f>
        <v/>
      </c>
      <c r="Q375" s="21" t="str">
        <f>IF(NOT(Anime!AI376=""),Anime!AI376,"")</f>
        <v/>
      </c>
      <c r="R375" s="66" t="str">
        <f>IF(NOT(Anime!AJ376=""),Anime!AJ376,"")</f>
        <v/>
      </c>
      <c r="S375" s="15" t="str">
        <f>IF(NOT(Anime!AK376=""),Anime!AK376,"")</f>
        <v/>
      </c>
    </row>
    <row r="376" spans="1:19" ht="16.5">
      <c r="A376" s="12" t="str">
        <f>IF(NOT(Anime!R377=""),Anime!R377,"")</f>
        <v/>
      </c>
      <c r="B376" s="14" t="str">
        <f>IF(NOT(Anime!S377=""),Anime!S377,"")</f>
        <v/>
      </c>
      <c r="C376" s="14" t="str">
        <f>IF(NOT(Anime!T377=""),Anime!T377,"")</f>
        <v/>
      </c>
      <c r="D376" s="68" t="str">
        <f>IF(NOT(Anime!U377=""),Anime!U377,"")</f>
        <v/>
      </c>
      <c r="E376" s="131" t="str">
        <f>IF(NOT(Anime!W377=""),Anime!W377,"")</f>
        <v/>
      </c>
      <c r="F376" s="16" t="str">
        <f>IF(NOT(Anime!X377=""),Anime!X377,"")</f>
        <v/>
      </c>
      <c r="G376" s="16" t="str">
        <f>IF(NOT(Anime!Y377=""),Anime!Y377,"")</f>
        <v/>
      </c>
      <c r="H376" s="16" t="str">
        <f>IF(NOT(Anime!Z377=""),Anime!Z377,"")</f>
        <v/>
      </c>
      <c r="I376" s="16" t="str">
        <f>IF(NOT(Anime!AA377=""),Anime!AA377,"")</f>
        <v/>
      </c>
      <c r="J376" s="17" t="str">
        <f>IF(NOT(Anime!AB377=""),Anime!AB377,"")</f>
        <v/>
      </c>
      <c r="K376" s="18" t="str">
        <f>IF(NOT(Anime!AC377=""),Anime!AC377,"")</f>
        <v/>
      </c>
      <c r="L376" s="19" t="str">
        <f>IF(NOT(Anime!AD377=""),Anime!AD377,"")</f>
        <v/>
      </c>
      <c r="M376" s="72" t="str">
        <f>IF(NOT(Anime!AE377=""),Anime!AE377,"")</f>
        <v/>
      </c>
      <c r="N376" s="21" t="str">
        <f>IF(NOT(Anime!AF377=""),Anime!AF377,"")</f>
        <v/>
      </c>
      <c r="O376" s="129" t="str">
        <f>IF(NOT(Anime!AG377=""),Anime!AG377,"")</f>
        <v/>
      </c>
      <c r="P376" s="21" t="str">
        <f>IF(NOT(Anime!AH377=""),Anime!AH377,"")</f>
        <v/>
      </c>
      <c r="Q376" s="21" t="str">
        <f>IF(NOT(Anime!AI377=""),Anime!AI377,"")</f>
        <v/>
      </c>
      <c r="R376" s="66" t="str">
        <f>IF(NOT(Anime!AJ377=""),Anime!AJ377,"")</f>
        <v/>
      </c>
      <c r="S376" s="15" t="str">
        <f>IF(NOT(Anime!AK377=""),Anime!AK377,"")</f>
        <v/>
      </c>
    </row>
    <row r="377" spans="1:19" ht="16.5">
      <c r="A377" s="12" t="str">
        <f>IF(NOT(Anime!R378=""),Anime!R378,"")</f>
        <v/>
      </c>
      <c r="B377" s="14" t="str">
        <f>IF(NOT(Anime!S378=""),Anime!S378,"")</f>
        <v/>
      </c>
      <c r="C377" s="14" t="str">
        <f>IF(NOT(Anime!T378=""),Anime!T378,"")</f>
        <v/>
      </c>
      <c r="D377" s="68" t="str">
        <f>IF(NOT(Anime!U378=""),Anime!U378,"")</f>
        <v/>
      </c>
      <c r="E377" s="131" t="str">
        <f>IF(NOT(Anime!W378=""),Anime!W378,"")</f>
        <v/>
      </c>
      <c r="F377" s="16" t="str">
        <f>IF(NOT(Anime!X378=""),Anime!X378,"")</f>
        <v/>
      </c>
      <c r="G377" s="16" t="str">
        <f>IF(NOT(Anime!Y378=""),Anime!Y378,"")</f>
        <v/>
      </c>
      <c r="H377" s="16" t="str">
        <f>IF(NOT(Anime!Z378=""),Anime!Z378,"")</f>
        <v/>
      </c>
      <c r="I377" s="16" t="str">
        <f>IF(NOT(Anime!AA378=""),Anime!AA378,"")</f>
        <v/>
      </c>
      <c r="J377" s="17" t="str">
        <f>IF(NOT(Anime!AB378=""),Anime!AB378,"")</f>
        <v/>
      </c>
      <c r="K377" s="18" t="str">
        <f>IF(NOT(Anime!AC378=""),Anime!AC378,"")</f>
        <v/>
      </c>
      <c r="L377" s="19" t="str">
        <f>IF(NOT(Anime!AD378=""),Anime!AD378,"")</f>
        <v/>
      </c>
      <c r="M377" s="72" t="str">
        <f>IF(NOT(Anime!AE378=""),Anime!AE378,"")</f>
        <v/>
      </c>
      <c r="N377" s="21" t="str">
        <f>IF(NOT(Anime!AF378=""),Anime!AF378,"")</f>
        <v/>
      </c>
      <c r="O377" s="129" t="str">
        <f>IF(NOT(Anime!AG378=""),Anime!AG378,"")</f>
        <v/>
      </c>
      <c r="P377" s="21" t="str">
        <f>IF(NOT(Anime!AH378=""),Anime!AH378,"")</f>
        <v/>
      </c>
      <c r="Q377" s="21" t="str">
        <f>IF(NOT(Anime!AI378=""),Anime!AI378,"")</f>
        <v/>
      </c>
      <c r="R377" s="66" t="str">
        <f>IF(NOT(Anime!AJ378=""),Anime!AJ378,"")</f>
        <v/>
      </c>
      <c r="S377" s="15" t="str">
        <f>IF(NOT(Anime!AK378=""),Anime!AK378,"")</f>
        <v/>
      </c>
    </row>
    <row r="378" spans="1:19" ht="16.5">
      <c r="A378" s="12" t="str">
        <f>IF(NOT(Anime!R379=""),Anime!R379,"")</f>
        <v/>
      </c>
      <c r="B378" s="14" t="str">
        <f>IF(NOT(Anime!S379=""),Anime!S379,"")</f>
        <v/>
      </c>
      <c r="C378" s="14" t="str">
        <f>IF(NOT(Anime!T379=""),Anime!T379,"")</f>
        <v/>
      </c>
      <c r="D378" s="68" t="str">
        <f>IF(NOT(Anime!U379=""),Anime!U379,"")</f>
        <v/>
      </c>
      <c r="E378" s="131" t="str">
        <f>IF(NOT(Anime!W379=""),Anime!W379,"")</f>
        <v/>
      </c>
      <c r="F378" s="16" t="str">
        <f>IF(NOT(Anime!X379=""),Anime!X379,"")</f>
        <v/>
      </c>
      <c r="G378" s="16" t="str">
        <f>IF(NOT(Anime!Y379=""),Anime!Y379,"")</f>
        <v/>
      </c>
      <c r="H378" s="16" t="str">
        <f>IF(NOT(Anime!Z379=""),Anime!Z379,"")</f>
        <v/>
      </c>
      <c r="I378" s="16" t="str">
        <f>IF(NOT(Anime!AA379=""),Anime!AA379,"")</f>
        <v/>
      </c>
      <c r="J378" s="17" t="str">
        <f>IF(NOT(Anime!AB379=""),Anime!AB379,"")</f>
        <v/>
      </c>
      <c r="K378" s="18" t="str">
        <f>IF(NOT(Anime!AC379=""),Anime!AC379,"")</f>
        <v/>
      </c>
      <c r="L378" s="19" t="str">
        <f>IF(NOT(Anime!AD379=""),Anime!AD379,"")</f>
        <v/>
      </c>
      <c r="M378" s="72" t="str">
        <f>IF(NOT(Anime!AE379=""),Anime!AE379,"")</f>
        <v/>
      </c>
      <c r="N378" s="21" t="str">
        <f>IF(NOT(Anime!AF379=""),Anime!AF379,"")</f>
        <v/>
      </c>
      <c r="O378" s="129" t="str">
        <f>IF(NOT(Anime!AG379=""),Anime!AG379,"")</f>
        <v/>
      </c>
      <c r="P378" s="21" t="str">
        <f>IF(NOT(Anime!AH379=""),Anime!AH379,"")</f>
        <v/>
      </c>
      <c r="Q378" s="21" t="str">
        <f>IF(NOT(Anime!AI379=""),Anime!AI379,"")</f>
        <v/>
      </c>
      <c r="R378" s="66" t="str">
        <f>IF(NOT(Anime!AJ379=""),Anime!AJ379,"")</f>
        <v/>
      </c>
      <c r="S378" s="15" t="str">
        <f>IF(NOT(Anime!AK379=""),Anime!AK379,"")</f>
        <v/>
      </c>
    </row>
    <row r="379" spans="1:19" ht="16.5">
      <c r="A379" s="12" t="str">
        <f>IF(NOT(Anime!R380=""),Anime!R380,"")</f>
        <v/>
      </c>
      <c r="B379" s="14" t="str">
        <f>IF(NOT(Anime!S380=""),Anime!S380,"")</f>
        <v/>
      </c>
      <c r="C379" s="14" t="str">
        <f>IF(NOT(Anime!T380=""),Anime!T380,"")</f>
        <v/>
      </c>
      <c r="D379" s="68" t="str">
        <f>IF(NOT(Anime!U380=""),Anime!U380,"")</f>
        <v/>
      </c>
      <c r="E379" s="131" t="str">
        <f>IF(NOT(Anime!W380=""),Anime!W380,"")</f>
        <v/>
      </c>
      <c r="F379" s="16" t="str">
        <f>IF(NOT(Anime!X380=""),Anime!X380,"")</f>
        <v/>
      </c>
      <c r="G379" s="16" t="str">
        <f>IF(NOT(Anime!Y380=""),Anime!Y380,"")</f>
        <v/>
      </c>
      <c r="H379" s="16" t="str">
        <f>IF(NOT(Anime!Z380=""),Anime!Z380,"")</f>
        <v/>
      </c>
      <c r="I379" s="16" t="str">
        <f>IF(NOT(Anime!AA380=""),Anime!AA380,"")</f>
        <v/>
      </c>
      <c r="J379" s="17" t="str">
        <f>IF(NOT(Anime!AB380=""),Anime!AB380,"")</f>
        <v/>
      </c>
      <c r="K379" s="18" t="str">
        <f>IF(NOT(Anime!AC380=""),Anime!AC380,"")</f>
        <v/>
      </c>
      <c r="L379" s="19" t="str">
        <f>IF(NOT(Anime!AD380=""),Anime!AD380,"")</f>
        <v/>
      </c>
      <c r="M379" s="72" t="str">
        <f>IF(NOT(Anime!AE380=""),Anime!AE380,"")</f>
        <v/>
      </c>
      <c r="N379" s="21" t="str">
        <f>IF(NOT(Anime!AF380=""),Anime!AF380,"")</f>
        <v/>
      </c>
      <c r="O379" s="129" t="str">
        <f>IF(NOT(Anime!AG380=""),Anime!AG380,"")</f>
        <v/>
      </c>
      <c r="P379" s="21" t="str">
        <f>IF(NOT(Anime!AH380=""),Anime!AH380,"")</f>
        <v/>
      </c>
      <c r="Q379" s="21" t="str">
        <f>IF(NOT(Anime!AI380=""),Anime!AI380,"")</f>
        <v/>
      </c>
      <c r="R379" s="66" t="str">
        <f>IF(NOT(Anime!AJ380=""),Anime!AJ380,"")</f>
        <v/>
      </c>
      <c r="S379" s="15" t="str">
        <f>IF(NOT(Anime!AK380=""),Anime!AK380,"")</f>
        <v/>
      </c>
    </row>
    <row r="380" spans="1:19" ht="16.5">
      <c r="A380" s="12" t="str">
        <f>IF(NOT(Anime!R381=""),Anime!R381,"")</f>
        <v/>
      </c>
      <c r="B380" s="14" t="str">
        <f>IF(NOT(Anime!S381=""),Anime!S381,"")</f>
        <v/>
      </c>
      <c r="C380" s="14" t="str">
        <f>IF(NOT(Anime!T381=""),Anime!T381,"")</f>
        <v/>
      </c>
      <c r="D380" s="68" t="str">
        <f>IF(NOT(Anime!U381=""),Anime!U381,"")</f>
        <v/>
      </c>
      <c r="E380" s="131" t="str">
        <f>IF(NOT(Anime!W381=""),Anime!W381,"")</f>
        <v/>
      </c>
      <c r="F380" s="16" t="str">
        <f>IF(NOT(Anime!X381=""),Anime!X381,"")</f>
        <v/>
      </c>
      <c r="G380" s="16" t="str">
        <f>IF(NOT(Anime!Y381=""),Anime!Y381,"")</f>
        <v/>
      </c>
      <c r="H380" s="16" t="str">
        <f>IF(NOT(Anime!Z381=""),Anime!Z381,"")</f>
        <v/>
      </c>
      <c r="I380" s="16" t="str">
        <f>IF(NOT(Anime!AA381=""),Anime!AA381,"")</f>
        <v/>
      </c>
      <c r="J380" s="17" t="str">
        <f>IF(NOT(Anime!AB381=""),Anime!AB381,"")</f>
        <v/>
      </c>
      <c r="K380" s="18" t="str">
        <f>IF(NOT(Anime!AC381=""),Anime!AC381,"")</f>
        <v/>
      </c>
      <c r="L380" s="19" t="str">
        <f>IF(NOT(Anime!AD381=""),Anime!AD381,"")</f>
        <v/>
      </c>
      <c r="M380" s="72" t="str">
        <f>IF(NOT(Anime!AE381=""),Anime!AE381,"")</f>
        <v/>
      </c>
      <c r="N380" s="21" t="str">
        <f>IF(NOT(Anime!AF381=""),Anime!AF381,"")</f>
        <v/>
      </c>
      <c r="O380" s="129" t="str">
        <f>IF(NOT(Anime!AG381=""),Anime!AG381,"")</f>
        <v/>
      </c>
      <c r="P380" s="21" t="str">
        <f>IF(NOT(Anime!AH381=""),Anime!AH381,"")</f>
        <v/>
      </c>
      <c r="Q380" s="21" t="str">
        <f>IF(NOT(Anime!AI381=""),Anime!AI381,"")</f>
        <v/>
      </c>
      <c r="R380" s="66" t="str">
        <f>IF(NOT(Anime!AJ381=""),Anime!AJ381,"")</f>
        <v/>
      </c>
      <c r="S380" s="15" t="str">
        <f>IF(NOT(Anime!AK381=""),Anime!AK381,"")</f>
        <v/>
      </c>
    </row>
    <row r="381" spans="1:19" ht="16.5">
      <c r="A381" s="12" t="str">
        <f>IF(NOT(Anime!R382=""),Anime!R382,"")</f>
        <v/>
      </c>
      <c r="B381" s="14" t="str">
        <f>IF(NOT(Anime!S382=""),Anime!S382,"")</f>
        <v/>
      </c>
      <c r="C381" s="14" t="str">
        <f>IF(NOT(Anime!T382=""),Anime!T382,"")</f>
        <v/>
      </c>
      <c r="D381" s="68" t="str">
        <f>IF(NOT(Anime!U382=""),Anime!U382,"")</f>
        <v/>
      </c>
      <c r="E381" s="131" t="str">
        <f>IF(NOT(Anime!W382=""),Anime!W382,"")</f>
        <v/>
      </c>
      <c r="F381" s="16" t="str">
        <f>IF(NOT(Anime!X382=""),Anime!X382,"")</f>
        <v/>
      </c>
      <c r="G381" s="16" t="str">
        <f>IF(NOT(Anime!Y382=""),Anime!Y382,"")</f>
        <v/>
      </c>
      <c r="H381" s="16" t="str">
        <f>IF(NOT(Anime!Z382=""),Anime!Z382,"")</f>
        <v/>
      </c>
      <c r="I381" s="16" t="str">
        <f>IF(NOT(Anime!AA382=""),Anime!AA382,"")</f>
        <v/>
      </c>
      <c r="J381" s="17" t="str">
        <f>IF(NOT(Anime!AB382=""),Anime!AB382,"")</f>
        <v/>
      </c>
      <c r="K381" s="18" t="str">
        <f>IF(NOT(Anime!AC382=""),Anime!AC382,"")</f>
        <v/>
      </c>
      <c r="L381" s="19" t="str">
        <f>IF(NOT(Anime!AD382=""),Anime!AD382,"")</f>
        <v/>
      </c>
      <c r="M381" s="72" t="str">
        <f>IF(NOT(Anime!AE382=""),Anime!AE382,"")</f>
        <v/>
      </c>
      <c r="N381" s="21" t="str">
        <f>IF(NOT(Anime!AF382=""),Anime!AF382,"")</f>
        <v/>
      </c>
      <c r="O381" s="129" t="str">
        <f>IF(NOT(Anime!AG382=""),Anime!AG382,"")</f>
        <v/>
      </c>
      <c r="P381" s="21" t="str">
        <f>IF(NOT(Anime!AH382=""),Anime!AH382,"")</f>
        <v/>
      </c>
      <c r="Q381" s="21" t="str">
        <f>IF(NOT(Anime!AI382=""),Anime!AI382,"")</f>
        <v/>
      </c>
      <c r="R381" s="66" t="str">
        <f>IF(NOT(Anime!AJ382=""),Anime!AJ382,"")</f>
        <v/>
      </c>
      <c r="S381" s="15" t="str">
        <f>IF(NOT(Anime!AK382=""),Anime!AK382,"")</f>
        <v/>
      </c>
    </row>
    <row r="382" spans="1:19" ht="16.5">
      <c r="A382" s="12" t="str">
        <f>IF(NOT(Anime!R383=""),Anime!R383,"")</f>
        <v/>
      </c>
      <c r="B382" s="14" t="str">
        <f>IF(NOT(Anime!S383=""),Anime!S383,"")</f>
        <v/>
      </c>
      <c r="C382" s="14" t="str">
        <f>IF(NOT(Anime!T383=""),Anime!T383,"")</f>
        <v/>
      </c>
      <c r="D382" s="68" t="str">
        <f>IF(NOT(Anime!U383=""),Anime!U383,"")</f>
        <v/>
      </c>
      <c r="E382" s="131" t="str">
        <f>IF(NOT(Anime!W383=""),Anime!W383,"")</f>
        <v/>
      </c>
      <c r="F382" s="16" t="str">
        <f>IF(NOT(Anime!X383=""),Anime!X383,"")</f>
        <v/>
      </c>
      <c r="G382" s="16" t="str">
        <f>IF(NOT(Anime!Y383=""),Anime!Y383,"")</f>
        <v/>
      </c>
      <c r="H382" s="16" t="str">
        <f>IF(NOT(Anime!Z383=""),Anime!Z383,"")</f>
        <v/>
      </c>
      <c r="I382" s="16" t="str">
        <f>IF(NOT(Anime!AA383=""),Anime!AA383,"")</f>
        <v/>
      </c>
      <c r="J382" s="17" t="str">
        <f>IF(NOT(Anime!AB383=""),Anime!AB383,"")</f>
        <v/>
      </c>
      <c r="K382" s="18" t="str">
        <f>IF(NOT(Anime!AC383=""),Anime!AC383,"")</f>
        <v/>
      </c>
      <c r="L382" s="19" t="str">
        <f>IF(NOT(Anime!AD383=""),Anime!AD383,"")</f>
        <v/>
      </c>
      <c r="M382" s="72" t="str">
        <f>IF(NOT(Anime!AE383=""),Anime!AE383,"")</f>
        <v/>
      </c>
      <c r="N382" s="21" t="str">
        <f>IF(NOT(Anime!AF383=""),Anime!AF383,"")</f>
        <v/>
      </c>
      <c r="O382" s="129" t="str">
        <f>IF(NOT(Anime!AG383=""),Anime!AG383,"")</f>
        <v/>
      </c>
      <c r="P382" s="21" t="str">
        <f>IF(NOT(Anime!AH383=""),Anime!AH383,"")</f>
        <v/>
      </c>
      <c r="Q382" s="21" t="str">
        <f>IF(NOT(Anime!AI383=""),Anime!AI383,"")</f>
        <v/>
      </c>
      <c r="R382" s="66" t="str">
        <f>IF(NOT(Anime!AJ383=""),Anime!AJ383,"")</f>
        <v/>
      </c>
      <c r="S382" s="15" t="str">
        <f>IF(NOT(Anime!AK383=""),Anime!AK383,"")</f>
        <v/>
      </c>
    </row>
    <row r="383" spans="1:19" ht="16.5">
      <c r="A383" s="12" t="str">
        <f>IF(NOT(Anime!R384=""),Anime!R384,"")</f>
        <v/>
      </c>
      <c r="B383" s="14" t="str">
        <f>IF(NOT(Anime!S384=""),Anime!S384,"")</f>
        <v/>
      </c>
      <c r="C383" s="14" t="str">
        <f>IF(NOT(Anime!T384=""),Anime!T384,"")</f>
        <v/>
      </c>
      <c r="D383" s="68" t="str">
        <f>IF(NOT(Anime!U384=""),Anime!U384,"")</f>
        <v/>
      </c>
      <c r="E383" s="131" t="str">
        <f>IF(NOT(Anime!W384=""),Anime!W384,"")</f>
        <v/>
      </c>
      <c r="F383" s="16" t="str">
        <f>IF(NOT(Anime!X384=""),Anime!X384,"")</f>
        <v/>
      </c>
      <c r="G383" s="16" t="str">
        <f>IF(NOT(Anime!Y384=""),Anime!Y384,"")</f>
        <v/>
      </c>
      <c r="H383" s="16" t="str">
        <f>IF(NOT(Anime!Z384=""),Anime!Z384,"")</f>
        <v/>
      </c>
      <c r="I383" s="16" t="str">
        <f>IF(NOT(Anime!AA384=""),Anime!AA384,"")</f>
        <v/>
      </c>
      <c r="J383" s="17" t="str">
        <f>IF(NOT(Anime!AB384=""),Anime!AB384,"")</f>
        <v/>
      </c>
      <c r="K383" s="18" t="str">
        <f>IF(NOT(Anime!AC384=""),Anime!AC384,"")</f>
        <v/>
      </c>
      <c r="L383" s="19" t="str">
        <f>IF(NOT(Anime!AD384=""),Anime!AD384,"")</f>
        <v/>
      </c>
      <c r="M383" s="72" t="str">
        <f>IF(NOT(Anime!AE384=""),Anime!AE384,"")</f>
        <v/>
      </c>
      <c r="N383" s="21" t="str">
        <f>IF(NOT(Anime!AF384=""),Anime!AF384,"")</f>
        <v/>
      </c>
      <c r="O383" s="129" t="str">
        <f>IF(NOT(Anime!AG384=""),Anime!AG384,"")</f>
        <v/>
      </c>
      <c r="P383" s="21" t="str">
        <f>IF(NOT(Anime!AH384=""),Anime!AH384,"")</f>
        <v/>
      </c>
      <c r="Q383" s="21" t="str">
        <f>IF(NOT(Anime!AI384=""),Anime!AI384,"")</f>
        <v/>
      </c>
      <c r="R383" s="66" t="str">
        <f>IF(NOT(Anime!AJ384=""),Anime!AJ384,"")</f>
        <v/>
      </c>
      <c r="S383" s="15" t="str">
        <f>IF(NOT(Anime!AK384=""),Anime!AK384,"")</f>
        <v/>
      </c>
    </row>
    <row r="384" spans="1:19" ht="16.5">
      <c r="A384" s="12" t="str">
        <f>IF(NOT(Anime!R385=""),Anime!R385,"")</f>
        <v/>
      </c>
      <c r="B384" s="14" t="str">
        <f>IF(NOT(Anime!S385=""),Anime!S385,"")</f>
        <v/>
      </c>
      <c r="C384" s="14" t="str">
        <f>IF(NOT(Anime!T385=""),Anime!T385,"")</f>
        <v/>
      </c>
      <c r="D384" s="68" t="str">
        <f>IF(NOT(Anime!U385=""),Anime!U385,"")</f>
        <v/>
      </c>
      <c r="E384" s="131" t="str">
        <f>IF(NOT(Anime!W385=""),Anime!W385,"")</f>
        <v/>
      </c>
      <c r="F384" s="16" t="str">
        <f>IF(NOT(Anime!X385=""),Anime!X385,"")</f>
        <v/>
      </c>
      <c r="G384" s="16" t="str">
        <f>IF(NOT(Anime!Y385=""),Anime!Y385,"")</f>
        <v/>
      </c>
      <c r="H384" s="16" t="str">
        <f>IF(NOT(Anime!Z385=""),Anime!Z385,"")</f>
        <v/>
      </c>
      <c r="I384" s="16" t="str">
        <f>IF(NOT(Anime!AA385=""),Anime!AA385,"")</f>
        <v/>
      </c>
      <c r="J384" s="17" t="str">
        <f>IF(NOT(Anime!AB385=""),Anime!AB385,"")</f>
        <v/>
      </c>
      <c r="K384" s="18" t="str">
        <f>IF(NOT(Anime!AC385=""),Anime!AC385,"")</f>
        <v/>
      </c>
      <c r="L384" s="19" t="str">
        <f>IF(NOT(Anime!AD385=""),Anime!AD385,"")</f>
        <v/>
      </c>
      <c r="M384" s="72" t="str">
        <f>IF(NOT(Anime!AE385=""),Anime!AE385,"")</f>
        <v/>
      </c>
      <c r="N384" s="21" t="str">
        <f>IF(NOT(Anime!AF385=""),Anime!AF385,"")</f>
        <v/>
      </c>
      <c r="O384" s="129" t="str">
        <f>IF(NOT(Anime!AG385=""),Anime!AG385,"")</f>
        <v/>
      </c>
      <c r="P384" s="21" t="str">
        <f>IF(NOT(Anime!AH385=""),Anime!AH385,"")</f>
        <v/>
      </c>
      <c r="Q384" s="21" t="str">
        <f>IF(NOT(Anime!AI385=""),Anime!AI385,"")</f>
        <v/>
      </c>
      <c r="R384" s="66" t="str">
        <f>IF(NOT(Anime!AJ385=""),Anime!AJ385,"")</f>
        <v/>
      </c>
      <c r="S384" s="15" t="str">
        <f>IF(NOT(Anime!AK385=""),Anime!AK385,"")</f>
        <v/>
      </c>
    </row>
    <row r="385" spans="1:19" ht="16.5">
      <c r="A385" s="12" t="str">
        <f>IF(NOT(Anime!R386=""),Anime!R386,"")</f>
        <v/>
      </c>
      <c r="B385" s="14" t="str">
        <f>IF(NOT(Anime!S386=""),Anime!S386,"")</f>
        <v/>
      </c>
      <c r="C385" s="14" t="str">
        <f>IF(NOT(Anime!T386=""),Anime!T386,"")</f>
        <v/>
      </c>
      <c r="D385" s="68" t="str">
        <f>IF(NOT(Anime!U386=""),Anime!U386,"")</f>
        <v/>
      </c>
      <c r="E385" s="131" t="str">
        <f>IF(NOT(Anime!W386=""),Anime!W386,"")</f>
        <v/>
      </c>
      <c r="F385" s="16" t="str">
        <f>IF(NOT(Anime!X386=""),Anime!X386,"")</f>
        <v/>
      </c>
      <c r="G385" s="16" t="str">
        <f>IF(NOT(Anime!Y386=""),Anime!Y386,"")</f>
        <v/>
      </c>
      <c r="H385" s="16" t="str">
        <f>IF(NOT(Anime!Z386=""),Anime!Z386,"")</f>
        <v/>
      </c>
      <c r="I385" s="16" t="str">
        <f>IF(NOT(Anime!AA386=""),Anime!AA386,"")</f>
        <v/>
      </c>
      <c r="J385" s="17" t="str">
        <f>IF(NOT(Anime!AB386=""),Anime!AB386,"")</f>
        <v/>
      </c>
      <c r="K385" s="18" t="str">
        <f>IF(NOT(Anime!AC386=""),Anime!AC386,"")</f>
        <v/>
      </c>
      <c r="L385" s="19" t="str">
        <f>IF(NOT(Anime!AD386=""),Anime!AD386,"")</f>
        <v/>
      </c>
      <c r="M385" s="72" t="str">
        <f>IF(NOT(Anime!AE386=""),Anime!AE386,"")</f>
        <v/>
      </c>
      <c r="N385" s="21" t="str">
        <f>IF(NOT(Anime!AF386=""),Anime!AF386,"")</f>
        <v/>
      </c>
      <c r="O385" s="129" t="str">
        <f>IF(NOT(Anime!AG386=""),Anime!AG386,"")</f>
        <v/>
      </c>
      <c r="P385" s="21" t="str">
        <f>IF(NOT(Anime!AH386=""),Anime!AH386,"")</f>
        <v/>
      </c>
      <c r="Q385" s="21" t="str">
        <f>IF(NOT(Anime!AI386=""),Anime!AI386,"")</f>
        <v/>
      </c>
      <c r="R385" s="66" t="str">
        <f>IF(NOT(Anime!AJ386=""),Anime!AJ386,"")</f>
        <v/>
      </c>
      <c r="S385" s="15" t="str">
        <f>IF(NOT(Anime!AK386=""),Anime!AK386,"")</f>
        <v/>
      </c>
    </row>
    <row r="386" spans="1:19" ht="16.5">
      <c r="A386" s="12" t="str">
        <f>IF(NOT(Anime!R387=""),Anime!R387,"")</f>
        <v/>
      </c>
      <c r="B386" s="14" t="str">
        <f>IF(NOT(Anime!S387=""),Anime!S387,"")</f>
        <v/>
      </c>
      <c r="C386" s="14" t="str">
        <f>IF(NOT(Anime!T387=""),Anime!T387,"")</f>
        <v/>
      </c>
      <c r="D386" s="68" t="str">
        <f>IF(NOT(Anime!U387=""),Anime!U387,"")</f>
        <v/>
      </c>
      <c r="E386" s="131" t="str">
        <f>IF(NOT(Anime!W387=""),Anime!W387,"")</f>
        <v/>
      </c>
      <c r="F386" s="16" t="str">
        <f>IF(NOT(Anime!X387=""),Anime!X387,"")</f>
        <v/>
      </c>
      <c r="G386" s="16" t="str">
        <f>IF(NOT(Anime!Y387=""),Anime!Y387,"")</f>
        <v/>
      </c>
      <c r="H386" s="16" t="str">
        <f>IF(NOT(Anime!Z387=""),Anime!Z387,"")</f>
        <v/>
      </c>
      <c r="I386" s="16" t="str">
        <f>IF(NOT(Anime!AA387=""),Anime!AA387,"")</f>
        <v/>
      </c>
      <c r="J386" s="17" t="str">
        <f>IF(NOT(Anime!AB387=""),Anime!AB387,"")</f>
        <v/>
      </c>
      <c r="K386" s="18" t="str">
        <f>IF(NOT(Anime!AC387=""),Anime!AC387,"")</f>
        <v/>
      </c>
      <c r="L386" s="19" t="str">
        <f>IF(NOT(Anime!AD387=""),Anime!AD387,"")</f>
        <v/>
      </c>
      <c r="M386" s="72" t="str">
        <f>IF(NOT(Anime!AE387=""),Anime!AE387,"")</f>
        <v/>
      </c>
      <c r="N386" s="21" t="str">
        <f>IF(NOT(Anime!AF387=""),Anime!AF387,"")</f>
        <v/>
      </c>
      <c r="O386" s="129" t="str">
        <f>IF(NOT(Anime!AG387=""),Anime!AG387,"")</f>
        <v/>
      </c>
      <c r="P386" s="21" t="str">
        <f>IF(NOT(Anime!AH387=""),Anime!AH387,"")</f>
        <v/>
      </c>
      <c r="Q386" s="21" t="str">
        <f>IF(NOT(Anime!AI387=""),Anime!AI387,"")</f>
        <v/>
      </c>
      <c r="R386" s="66" t="str">
        <f>IF(NOT(Anime!AJ387=""),Anime!AJ387,"")</f>
        <v/>
      </c>
      <c r="S386" s="15" t="str">
        <f>IF(NOT(Anime!AK387=""),Anime!AK387,"")</f>
        <v/>
      </c>
    </row>
    <row r="387" spans="1:19" ht="16.5">
      <c r="A387" s="12" t="str">
        <f>IF(NOT(Anime!R388=""),Anime!R388,"")</f>
        <v/>
      </c>
      <c r="B387" s="14" t="str">
        <f>IF(NOT(Anime!S388=""),Anime!S388,"")</f>
        <v/>
      </c>
      <c r="C387" s="14" t="str">
        <f>IF(NOT(Anime!T388=""),Anime!T388,"")</f>
        <v/>
      </c>
      <c r="D387" s="68" t="str">
        <f>IF(NOT(Anime!U388=""),Anime!U388,"")</f>
        <v/>
      </c>
      <c r="E387" s="131" t="str">
        <f>IF(NOT(Anime!W388=""),Anime!W388,"")</f>
        <v/>
      </c>
      <c r="F387" s="16" t="str">
        <f>IF(NOT(Anime!X388=""),Anime!X388,"")</f>
        <v/>
      </c>
      <c r="G387" s="16" t="str">
        <f>IF(NOT(Anime!Y388=""),Anime!Y388,"")</f>
        <v/>
      </c>
      <c r="H387" s="16" t="str">
        <f>IF(NOT(Anime!Z388=""),Anime!Z388,"")</f>
        <v/>
      </c>
      <c r="I387" s="16" t="str">
        <f>IF(NOT(Anime!AA388=""),Anime!AA388,"")</f>
        <v/>
      </c>
      <c r="J387" s="17" t="str">
        <f>IF(NOT(Anime!AB388=""),Anime!AB388,"")</f>
        <v/>
      </c>
      <c r="K387" s="18" t="str">
        <f>IF(NOT(Anime!AC388=""),Anime!AC388,"")</f>
        <v/>
      </c>
      <c r="L387" s="19" t="str">
        <f>IF(NOT(Anime!AD388=""),Anime!AD388,"")</f>
        <v/>
      </c>
      <c r="M387" s="72" t="str">
        <f>IF(NOT(Anime!AE388=""),Anime!AE388,"")</f>
        <v/>
      </c>
      <c r="N387" s="21" t="str">
        <f>IF(NOT(Anime!AF388=""),Anime!AF388,"")</f>
        <v/>
      </c>
      <c r="O387" s="129" t="str">
        <f>IF(NOT(Anime!AG388=""),Anime!AG388,"")</f>
        <v/>
      </c>
      <c r="P387" s="21" t="str">
        <f>IF(NOT(Anime!AH388=""),Anime!AH388,"")</f>
        <v/>
      </c>
      <c r="Q387" s="21" t="str">
        <f>IF(NOT(Anime!AI388=""),Anime!AI388,"")</f>
        <v/>
      </c>
      <c r="R387" s="66" t="str">
        <f>IF(NOT(Anime!AJ388=""),Anime!AJ388,"")</f>
        <v/>
      </c>
      <c r="S387" s="15" t="str">
        <f>IF(NOT(Anime!AK388=""),Anime!AK388,"")</f>
        <v/>
      </c>
    </row>
    <row r="388" spans="1:19" ht="16.5">
      <c r="A388" s="12" t="str">
        <f>IF(NOT(Anime!R389=""),Anime!R389,"")</f>
        <v/>
      </c>
      <c r="B388" s="14" t="str">
        <f>IF(NOT(Anime!S389=""),Anime!S389,"")</f>
        <v/>
      </c>
      <c r="C388" s="14" t="str">
        <f>IF(NOT(Anime!T389=""),Anime!T389,"")</f>
        <v/>
      </c>
      <c r="D388" s="68" t="str">
        <f>IF(NOT(Anime!U389=""),Anime!U389,"")</f>
        <v/>
      </c>
      <c r="E388" s="131" t="str">
        <f>IF(NOT(Anime!W389=""),Anime!W389,"")</f>
        <v/>
      </c>
      <c r="F388" s="16" t="str">
        <f>IF(NOT(Anime!X389=""),Anime!X389,"")</f>
        <v/>
      </c>
      <c r="G388" s="16" t="str">
        <f>IF(NOT(Anime!Y389=""),Anime!Y389,"")</f>
        <v/>
      </c>
      <c r="H388" s="16" t="str">
        <f>IF(NOT(Anime!Z389=""),Anime!Z389,"")</f>
        <v/>
      </c>
      <c r="I388" s="16" t="str">
        <f>IF(NOT(Anime!AA389=""),Anime!AA389,"")</f>
        <v/>
      </c>
      <c r="J388" s="17" t="str">
        <f>IF(NOT(Anime!AB389=""),Anime!AB389,"")</f>
        <v/>
      </c>
      <c r="K388" s="18" t="str">
        <f>IF(NOT(Anime!AC389=""),Anime!AC389,"")</f>
        <v/>
      </c>
      <c r="L388" s="19" t="str">
        <f>IF(NOT(Anime!AD389=""),Anime!AD389,"")</f>
        <v/>
      </c>
      <c r="M388" s="72" t="str">
        <f>IF(NOT(Anime!AE389=""),Anime!AE389,"")</f>
        <v/>
      </c>
      <c r="N388" s="21" t="str">
        <f>IF(NOT(Anime!AF389=""),Anime!AF389,"")</f>
        <v/>
      </c>
      <c r="O388" s="129" t="str">
        <f>IF(NOT(Anime!AG389=""),Anime!AG389,"")</f>
        <v/>
      </c>
      <c r="P388" s="21" t="str">
        <f>IF(NOT(Anime!AH389=""),Anime!AH389,"")</f>
        <v/>
      </c>
      <c r="Q388" s="21" t="str">
        <f>IF(NOT(Anime!AI389=""),Anime!AI389,"")</f>
        <v/>
      </c>
      <c r="R388" s="66" t="str">
        <f>IF(NOT(Anime!AJ389=""),Anime!AJ389,"")</f>
        <v/>
      </c>
      <c r="S388" s="15" t="str">
        <f>IF(NOT(Anime!AK389=""),Anime!AK389,"")</f>
        <v/>
      </c>
    </row>
    <row r="389" spans="1:19" ht="16.5">
      <c r="A389" s="12" t="str">
        <f>IF(NOT(Anime!R390=""),Anime!R390,"")</f>
        <v/>
      </c>
      <c r="B389" s="14" t="str">
        <f>IF(NOT(Anime!S390=""),Anime!S390,"")</f>
        <v/>
      </c>
      <c r="C389" s="14" t="str">
        <f>IF(NOT(Anime!T390=""),Anime!T390,"")</f>
        <v/>
      </c>
      <c r="D389" s="68" t="str">
        <f>IF(NOT(Anime!U390=""),Anime!U390,"")</f>
        <v/>
      </c>
      <c r="E389" s="131" t="str">
        <f>IF(NOT(Anime!W390=""),Anime!W390,"")</f>
        <v/>
      </c>
      <c r="F389" s="16" t="str">
        <f>IF(NOT(Anime!X390=""),Anime!X390,"")</f>
        <v/>
      </c>
      <c r="G389" s="16" t="str">
        <f>IF(NOT(Anime!Y390=""),Anime!Y390,"")</f>
        <v/>
      </c>
      <c r="H389" s="16" t="str">
        <f>IF(NOT(Anime!Z390=""),Anime!Z390,"")</f>
        <v/>
      </c>
      <c r="I389" s="16" t="str">
        <f>IF(NOT(Anime!AA390=""),Anime!AA390,"")</f>
        <v/>
      </c>
      <c r="J389" s="17" t="str">
        <f>IF(NOT(Anime!AB390=""),Anime!AB390,"")</f>
        <v/>
      </c>
      <c r="K389" s="18" t="str">
        <f>IF(NOT(Anime!AC390=""),Anime!AC390,"")</f>
        <v/>
      </c>
      <c r="L389" s="19" t="str">
        <f>IF(NOT(Anime!AD390=""),Anime!AD390,"")</f>
        <v/>
      </c>
      <c r="M389" s="72" t="str">
        <f>IF(NOT(Anime!AE390=""),Anime!AE390,"")</f>
        <v/>
      </c>
      <c r="N389" s="21" t="str">
        <f>IF(NOT(Anime!AF390=""),Anime!AF390,"")</f>
        <v/>
      </c>
      <c r="O389" s="129" t="str">
        <f>IF(NOT(Anime!AG390=""),Anime!AG390,"")</f>
        <v/>
      </c>
      <c r="P389" s="21" t="str">
        <f>IF(NOT(Anime!AH390=""),Anime!AH390,"")</f>
        <v/>
      </c>
      <c r="Q389" s="21" t="str">
        <f>IF(NOT(Anime!AI390=""),Anime!AI390,"")</f>
        <v/>
      </c>
      <c r="R389" s="66" t="str">
        <f>IF(NOT(Anime!AJ390=""),Anime!AJ390,"")</f>
        <v/>
      </c>
      <c r="S389" s="15" t="str">
        <f>IF(NOT(Anime!AK390=""),Anime!AK390,"")</f>
        <v/>
      </c>
    </row>
    <row r="390" spans="1:19" ht="16.5">
      <c r="A390" s="12" t="str">
        <f>IF(NOT(Anime!R391=""),Anime!R391,"")</f>
        <v/>
      </c>
      <c r="B390" s="14" t="str">
        <f>IF(NOT(Anime!S391=""),Anime!S391,"")</f>
        <v/>
      </c>
      <c r="C390" s="14" t="str">
        <f>IF(NOT(Anime!T391=""),Anime!T391,"")</f>
        <v/>
      </c>
      <c r="D390" s="68" t="str">
        <f>IF(NOT(Anime!U391=""),Anime!U391,"")</f>
        <v/>
      </c>
      <c r="E390" s="131" t="str">
        <f>IF(NOT(Anime!W391=""),Anime!W391,"")</f>
        <v/>
      </c>
      <c r="F390" s="16" t="str">
        <f>IF(NOT(Anime!X391=""),Anime!X391,"")</f>
        <v/>
      </c>
      <c r="G390" s="16" t="str">
        <f>IF(NOT(Anime!Y391=""),Anime!Y391,"")</f>
        <v/>
      </c>
      <c r="H390" s="16" t="str">
        <f>IF(NOT(Anime!Z391=""),Anime!Z391,"")</f>
        <v/>
      </c>
      <c r="I390" s="16" t="str">
        <f>IF(NOT(Anime!AA391=""),Anime!AA391,"")</f>
        <v/>
      </c>
      <c r="J390" s="17" t="str">
        <f>IF(NOT(Anime!AB391=""),Anime!AB391,"")</f>
        <v/>
      </c>
      <c r="K390" s="18" t="str">
        <f>IF(NOT(Anime!AC391=""),Anime!AC391,"")</f>
        <v/>
      </c>
      <c r="L390" s="19" t="str">
        <f>IF(NOT(Anime!AD391=""),Anime!AD391,"")</f>
        <v/>
      </c>
      <c r="M390" s="72" t="str">
        <f>IF(NOT(Anime!AE391=""),Anime!AE391,"")</f>
        <v/>
      </c>
      <c r="N390" s="21" t="str">
        <f>IF(NOT(Anime!AF391=""),Anime!AF391,"")</f>
        <v/>
      </c>
      <c r="O390" s="129" t="str">
        <f>IF(NOT(Anime!AG391=""),Anime!AG391,"")</f>
        <v/>
      </c>
      <c r="P390" s="21" t="str">
        <f>IF(NOT(Anime!AH391=""),Anime!AH391,"")</f>
        <v/>
      </c>
      <c r="Q390" s="21" t="str">
        <f>IF(NOT(Anime!AI391=""),Anime!AI391,"")</f>
        <v/>
      </c>
      <c r="R390" s="66" t="str">
        <f>IF(NOT(Anime!AJ391=""),Anime!AJ391,"")</f>
        <v/>
      </c>
      <c r="S390" s="15" t="str">
        <f>IF(NOT(Anime!AK391=""),Anime!AK391,"")</f>
        <v/>
      </c>
    </row>
    <row r="391" spans="1:19" ht="16.5">
      <c r="A391" s="12" t="str">
        <f>IF(NOT(Anime!R392=""),Anime!R392,"")</f>
        <v/>
      </c>
      <c r="B391" s="14" t="str">
        <f>IF(NOT(Anime!S392=""),Anime!S392,"")</f>
        <v/>
      </c>
      <c r="C391" s="14" t="str">
        <f>IF(NOT(Anime!T392=""),Anime!T392,"")</f>
        <v/>
      </c>
      <c r="D391" s="68" t="str">
        <f>IF(NOT(Anime!U392=""),Anime!U392,"")</f>
        <v/>
      </c>
      <c r="E391" s="131" t="str">
        <f>IF(NOT(Anime!W392=""),Anime!W392,"")</f>
        <v/>
      </c>
      <c r="F391" s="16" t="str">
        <f>IF(NOT(Anime!X392=""),Anime!X392,"")</f>
        <v/>
      </c>
      <c r="G391" s="16" t="str">
        <f>IF(NOT(Anime!Y392=""),Anime!Y392,"")</f>
        <v/>
      </c>
      <c r="H391" s="16" t="str">
        <f>IF(NOT(Anime!Z392=""),Anime!Z392,"")</f>
        <v/>
      </c>
      <c r="I391" s="16" t="str">
        <f>IF(NOT(Anime!AA392=""),Anime!AA392,"")</f>
        <v/>
      </c>
      <c r="J391" s="17" t="str">
        <f>IF(NOT(Anime!AB392=""),Anime!AB392,"")</f>
        <v/>
      </c>
      <c r="K391" s="18" t="str">
        <f>IF(NOT(Anime!AC392=""),Anime!AC392,"")</f>
        <v/>
      </c>
      <c r="L391" s="19" t="str">
        <f>IF(NOT(Anime!AD392=""),Anime!AD392,"")</f>
        <v/>
      </c>
      <c r="M391" s="72" t="str">
        <f>IF(NOT(Anime!AE392=""),Anime!AE392,"")</f>
        <v/>
      </c>
      <c r="N391" s="21" t="str">
        <f>IF(NOT(Anime!AF392=""),Anime!AF392,"")</f>
        <v/>
      </c>
      <c r="O391" s="129" t="str">
        <f>IF(NOT(Anime!AG392=""),Anime!AG392,"")</f>
        <v/>
      </c>
      <c r="P391" s="21" t="str">
        <f>IF(NOT(Anime!AH392=""),Anime!AH392,"")</f>
        <v/>
      </c>
      <c r="Q391" s="21" t="str">
        <f>IF(NOT(Anime!AI392=""),Anime!AI392,"")</f>
        <v/>
      </c>
      <c r="R391" s="66" t="str">
        <f>IF(NOT(Anime!AJ392=""),Anime!AJ392,"")</f>
        <v/>
      </c>
      <c r="S391" s="15" t="str">
        <f>IF(NOT(Anime!AK392=""),Anime!AK392,"")</f>
        <v/>
      </c>
    </row>
    <row r="392" spans="1:19" ht="16.5">
      <c r="A392" s="12" t="str">
        <f>IF(NOT(Anime!R393=""),Anime!R393,"")</f>
        <v/>
      </c>
      <c r="B392" s="14" t="str">
        <f>IF(NOT(Anime!S393=""),Anime!S393,"")</f>
        <v/>
      </c>
      <c r="C392" s="14" t="str">
        <f>IF(NOT(Anime!T393=""),Anime!T393,"")</f>
        <v/>
      </c>
      <c r="D392" s="68" t="str">
        <f>IF(NOT(Anime!U393=""),Anime!U393,"")</f>
        <v/>
      </c>
      <c r="E392" s="131" t="str">
        <f>IF(NOT(Anime!W393=""),Anime!W393,"")</f>
        <v/>
      </c>
      <c r="F392" s="16" t="str">
        <f>IF(NOT(Anime!X393=""),Anime!X393,"")</f>
        <v/>
      </c>
      <c r="G392" s="16" t="str">
        <f>IF(NOT(Anime!Y393=""),Anime!Y393,"")</f>
        <v/>
      </c>
      <c r="H392" s="16" t="str">
        <f>IF(NOT(Anime!Z393=""),Anime!Z393,"")</f>
        <v/>
      </c>
      <c r="I392" s="16" t="str">
        <f>IF(NOT(Anime!AA393=""),Anime!AA393,"")</f>
        <v/>
      </c>
      <c r="J392" s="17" t="str">
        <f>IF(NOT(Anime!AB393=""),Anime!AB393,"")</f>
        <v/>
      </c>
      <c r="K392" s="18" t="str">
        <f>IF(NOT(Anime!AC393=""),Anime!AC393,"")</f>
        <v/>
      </c>
      <c r="L392" s="19" t="str">
        <f>IF(NOT(Anime!AD393=""),Anime!AD393,"")</f>
        <v/>
      </c>
      <c r="M392" s="72" t="str">
        <f>IF(NOT(Anime!AE393=""),Anime!AE393,"")</f>
        <v/>
      </c>
      <c r="N392" s="21" t="str">
        <f>IF(NOT(Anime!AF393=""),Anime!AF393,"")</f>
        <v/>
      </c>
      <c r="O392" s="129" t="str">
        <f>IF(NOT(Anime!AG393=""),Anime!AG393,"")</f>
        <v/>
      </c>
      <c r="P392" s="21" t="str">
        <f>IF(NOT(Anime!AH393=""),Anime!AH393,"")</f>
        <v/>
      </c>
      <c r="Q392" s="21" t="str">
        <f>IF(NOT(Anime!AI393=""),Anime!AI393,"")</f>
        <v/>
      </c>
      <c r="R392" s="66" t="str">
        <f>IF(NOT(Anime!AJ393=""),Anime!AJ393,"")</f>
        <v/>
      </c>
      <c r="S392" s="15" t="str">
        <f>IF(NOT(Anime!AK393=""),Anime!AK393,"")</f>
        <v/>
      </c>
    </row>
    <row r="393" spans="1:19" ht="16.5">
      <c r="A393" s="12" t="str">
        <f>IF(NOT(Anime!R394=""),Anime!R394,"")</f>
        <v/>
      </c>
      <c r="B393" s="14" t="str">
        <f>IF(NOT(Anime!S394=""),Anime!S394,"")</f>
        <v/>
      </c>
      <c r="C393" s="14" t="str">
        <f>IF(NOT(Anime!T394=""),Anime!T394,"")</f>
        <v/>
      </c>
      <c r="D393" s="68" t="str">
        <f>IF(NOT(Anime!U394=""),Anime!U394,"")</f>
        <v/>
      </c>
      <c r="E393" s="131" t="str">
        <f>IF(NOT(Anime!W394=""),Anime!W394,"")</f>
        <v/>
      </c>
      <c r="F393" s="16" t="str">
        <f>IF(NOT(Anime!X394=""),Anime!X394,"")</f>
        <v/>
      </c>
      <c r="G393" s="16" t="str">
        <f>IF(NOT(Anime!Y394=""),Anime!Y394,"")</f>
        <v/>
      </c>
      <c r="H393" s="16" t="str">
        <f>IF(NOT(Anime!Z394=""),Anime!Z394,"")</f>
        <v/>
      </c>
      <c r="I393" s="16" t="str">
        <f>IF(NOT(Anime!AA394=""),Anime!AA394,"")</f>
        <v/>
      </c>
      <c r="J393" s="17" t="str">
        <f>IF(NOT(Anime!AB394=""),Anime!AB394,"")</f>
        <v/>
      </c>
      <c r="K393" s="18" t="str">
        <f>IF(NOT(Anime!AC394=""),Anime!AC394,"")</f>
        <v/>
      </c>
      <c r="L393" s="19" t="str">
        <f>IF(NOT(Anime!AD394=""),Anime!AD394,"")</f>
        <v/>
      </c>
      <c r="M393" s="72" t="str">
        <f>IF(NOT(Anime!AE394=""),Anime!AE394,"")</f>
        <v/>
      </c>
      <c r="N393" s="21" t="str">
        <f>IF(NOT(Anime!AF394=""),Anime!AF394,"")</f>
        <v/>
      </c>
      <c r="O393" s="129" t="str">
        <f>IF(NOT(Anime!AG394=""),Anime!AG394,"")</f>
        <v/>
      </c>
      <c r="P393" s="21" t="str">
        <f>IF(NOT(Anime!AH394=""),Anime!AH394,"")</f>
        <v/>
      </c>
      <c r="Q393" s="21" t="str">
        <f>IF(NOT(Anime!AI394=""),Anime!AI394,"")</f>
        <v/>
      </c>
      <c r="R393" s="66" t="str">
        <f>IF(NOT(Anime!AJ394=""),Anime!AJ394,"")</f>
        <v/>
      </c>
      <c r="S393" s="15" t="str">
        <f>IF(NOT(Anime!AK394=""),Anime!AK394,"")</f>
        <v/>
      </c>
    </row>
    <row r="394" spans="1:19" ht="16.5">
      <c r="A394" s="12" t="str">
        <f>IF(NOT(Anime!R395=""),Anime!R395,"")</f>
        <v/>
      </c>
      <c r="B394" s="14" t="str">
        <f>IF(NOT(Anime!S395=""),Anime!S395,"")</f>
        <v/>
      </c>
      <c r="C394" s="14" t="str">
        <f>IF(NOT(Anime!T395=""),Anime!T395,"")</f>
        <v/>
      </c>
      <c r="D394" s="68" t="str">
        <f>IF(NOT(Anime!U395=""),Anime!U395,"")</f>
        <v/>
      </c>
      <c r="E394" s="131" t="str">
        <f>IF(NOT(Anime!W395=""),Anime!W395,"")</f>
        <v/>
      </c>
      <c r="F394" s="16" t="str">
        <f>IF(NOT(Anime!X395=""),Anime!X395,"")</f>
        <v/>
      </c>
      <c r="G394" s="16" t="str">
        <f>IF(NOT(Anime!Y395=""),Anime!Y395,"")</f>
        <v/>
      </c>
      <c r="H394" s="16" t="str">
        <f>IF(NOT(Anime!Z395=""),Anime!Z395,"")</f>
        <v/>
      </c>
      <c r="I394" s="16" t="str">
        <f>IF(NOT(Anime!AA395=""),Anime!AA395,"")</f>
        <v/>
      </c>
      <c r="J394" s="17" t="str">
        <f>IF(NOT(Anime!AB395=""),Anime!AB395,"")</f>
        <v/>
      </c>
      <c r="K394" s="18" t="str">
        <f>IF(NOT(Anime!AC395=""),Anime!AC395,"")</f>
        <v/>
      </c>
      <c r="L394" s="19" t="str">
        <f>IF(NOT(Anime!AD395=""),Anime!AD395,"")</f>
        <v/>
      </c>
      <c r="M394" s="72" t="str">
        <f>IF(NOT(Anime!AE395=""),Anime!AE395,"")</f>
        <v/>
      </c>
      <c r="N394" s="21" t="str">
        <f>IF(NOT(Anime!AF395=""),Anime!AF395,"")</f>
        <v/>
      </c>
      <c r="O394" s="129" t="str">
        <f>IF(NOT(Anime!AG395=""),Anime!AG395,"")</f>
        <v/>
      </c>
      <c r="P394" s="21" t="str">
        <f>IF(NOT(Anime!AH395=""),Anime!AH395,"")</f>
        <v/>
      </c>
      <c r="Q394" s="21" t="str">
        <f>IF(NOT(Anime!AI395=""),Anime!AI395,"")</f>
        <v/>
      </c>
      <c r="R394" s="66" t="str">
        <f>IF(NOT(Anime!AJ395=""),Anime!AJ395,"")</f>
        <v/>
      </c>
      <c r="S394" s="15" t="str">
        <f>IF(NOT(Anime!AK395=""),Anime!AK395,"")</f>
        <v/>
      </c>
    </row>
    <row r="395" spans="1:19" ht="16.5">
      <c r="A395" s="12" t="str">
        <f>IF(NOT(Anime!R396=""),Anime!R396,"")</f>
        <v/>
      </c>
      <c r="B395" s="14" t="str">
        <f>IF(NOT(Anime!S396=""),Anime!S396,"")</f>
        <v/>
      </c>
      <c r="C395" s="14" t="str">
        <f>IF(NOT(Anime!T396=""),Anime!T396,"")</f>
        <v/>
      </c>
      <c r="D395" s="68" t="str">
        <f>IF(NOT(Anime!U396=""),Anime!U396,"")</f>
        <v/>
      </c>
      <c r="E395" s="131" t="str">
        <f>IF(NOT(Anime!W396=""),Anime!W396,"")</f>
        <v/>
      </c>
      <c r="F395" s="16" t="str">
        <f>IF(NOT(Anime!X396=""),Anime!X396,"")</f>
        <v/>
      </c>
      <c r="G395" s="16" t="str">
        <f>IF(NOT(Anime!Y396=""),Anime!Y396,"")</f>
        <v/>
      </c>
      <c r="H395" s="16" t="str">
        <f>IF(NOT(Anime!Z396=""),Anime!Z396,"")</f>
        <v/>
      </c>
      <c r="I395" s="16" t="str">
        <f>IF(NOT(Anime!AA396=""),Anime!AA396,"")</f>
        <v/>
      </c>
      <c r="J395" s="17" t="str">
        <f>IF(NOT(Anime!AB396=""),Anime!AB396,"")</f>
        <v/>
      </c>
      <c r="K395" s="18" t="str">
        <f>IF(NOT(Anime!AC396=""),Anime!AC396,"")</f>
        <v/>
      </c>
      <c r="L395" s="19" t="str">
        <f>IF(NOT(Anime!AD396=""),Anime!AD396,"")</f>
        <v/>
      </c>
      <c r="M395" s="72" t="str">
        <f>IF(NOT(Anime!AE396=""),Anime!AE396,"")</f>
        <v/>
      </c>
      <c r="N395" s="21" t="str">
        <f>IF(NOT(Anime!AF396=""),Anime!AF396,"")</f>
        <v/>
      </c>
      <c r="O395" s="129" t="str">
        <f>IF(NOT(Anime!AG396=""),Anime!AG396,"")</f>
        <v/>
      </c>
      <c r="P395" s="21" t="str">
        <f>IF(NOT(Anime!AH396=""),Anime!AH396,"")</f>
        <v/>
      </c>
      <c r="Q395" s="21" t="str">
        <f>IF(NOT(Anime!AI396=""),Anime!AI396,"")</f>
        <v/>
      </c>
      <c r="R395" s="66" t="str">
        <f>IF(NOT(Anime!AJ396=""),Anime!AJ396,"")</f>
        <v/>
      </c>
      <c r="S395" s="15" t="str">
        <f>IF(NOT(Anime!AK396=""),Anime!AK396,"")</f>
        <v/>
      </c>
    </row>
    <row r="396" spans="1:19" ht="16.5">
      <c r="A396" s="12" t="str">
        <f>IF(NOT(Anime!R397=""),Anime!R397,"")</f>
        <v/>
      </c>
      <c r="B396" s="14" t="str">
        <f>IF(NOT(Anime!S397=""),Anime!S397,"")</f>
        <v/>
      </c>
      <c r="C396" s="14" t="str">
        <f>IF(NOT(Anime!T397=""),Anime!T397,"")</f>
        <v/>
      </c>
      <c r="D396" s="68" t="str">
        <f>IF(NOT(Anime!U397=""),Anime!U397,"")</f>
        <v/>
      </c>
      <c r="E396" s="131" t="str">
        <f>IF(NOT(Anime!W397=""),Anime!W397,"")</f>
        <v/>
      </c>
      <c r="F396" s="16" t="str">
        <f>IF(NOT(Anime!X397=""),Anime!X397,"")</f>
        <v/>
      </c>
      <c r="G396" s="16" t="str">
        <f>IF(NOT(Anime!Y397=""),Anime!Y397,"")</f>
        <v/>
      </c>
      <c r="H396" s="16" t="str">
        <f>IF(NOT(Anime!Z397=""),Anime!Z397,"")</f>
        <v/>
      </c>
      <c r="I396" s="16" t="str">
        <f>IF(NOT(Anime!AA397=""),Anime!AA397,"")</f>
        <v/>
      </c>
      <c r="J396" s="17" t="str">
        <f>IF(NOT(Anime!AB397=""),Anime!AB397,"")</f>
        <v/>
      </c>
      <c r="K396" s="18" t="str">
        <f>IF(NOT(Anime!AC397=""),Anime!AC397,"")</f>
        <v/>
      </c>
      <c r="L396" s="19" t="str">
        <f>IF(NOT(Anime!AD397=""),Anime!AD397,"")</f>
        <v/>
      </c>
      <c r="M396" s="72" t="str">
        <f>IF(NOT(Anime!AE397=""),Anime!AE397,"")</f>
        <v/>
      </c>
      <c r="N396" s="21" t="str">
        <f>IF(NOT(Anime!AF397=""),Anime!AF397,"")</f>
        <v/>
      </c>
      <c r="O396" s="129" t="str">
        <f>IF(NOT(Anime!AG397=""),Anime!AG397,"")</f>
        <v/>
      </c>
      <c r="P396" s="21" t="str">
        <f>IF(NOT(Anime!AH397=""),Anime!AH397,"")</f>
        <v/>
      </c>
      <c r="Q396" s="21" t="str">
        <f>IF(NOT(Anime!AI397=""),Anime!AI397,"")</f>
        <v/>
      </c>
      <c r="R396" s="66" t="str">
        <f>IF(NOT(Anime!AJ397=""),Anime!AJ397,"")</f>
        <v/>
      </c>
      <c r="S396" s="15" t="str">
        <f>IF(NOT(Anime!AK397=""),Anime!AK397,"")</f>
        <v/>
      </c>
    </row>
    <row r="397" spans="1:19" ht="16.5">
      <c r="A397" s="12" t="str">
        <f>IF(NOT(Anime!R398=""),Anime!R398,"")</f>
        <v/>
      </c>
      <c r="B397" s="14" t="str">
        <f>IF(NOT(Anime!S398=""),Anime!S398,"")</f>
        <v/>
      </c>
      <c r="C397" s="14" t="str">
        <f>IF(NOT(Anime!T398=""),Anime!T398,"")</f>
        <v/>
      </c>
      <c r="D397" s="68" t="str">
        <f>IF(NOT(Anime!U398=""),Anime!U398,"")</f>
        <v/>
      </c>
      <c r="E397" s="131" t="str">
        <f>IF(NOT(Anime!W398=""),Anime!W398,"")</f>
        <v/>
      </c>
      <c r="F397" s="16" t="str">
        <f>IF(NOT(Anime!X398=""),Anime!X398,"")</f>
        <v/>
      </c>
      <c r="G397" s="16" t="str">
        <f>IF(NOT(Anime!Y398=""),Anime!Y398,"")</f>
        <v/>
      </c>
      <c r="H397" s="16" t="str">
        <f>IF(NOT(Anime!Z398=""),Anime!Z398,"")</f>
        <v/>
      </c>
      <c r="I397" s="16" t="str">
        <f>IF(NOT(Anime!AA398=""),Anime!AA398,"")</f>
        <v/>
      </c>
      <c r="J397" s="17" t="str">
        <f>IF(NOT(Anime!AB398=""),Anime!AB398,"")</f>
        <v/>
      </c>
      <c r="K397" s="18" t="str">
        <f>IF(NOT(Anime!AC398=""),Anime!AC398,"")</f>
        <v/>
      </c>
      <c r="L397" s="19" t="str">
        <f>IF(NOT(Anime!AD398=""),Anime!AD398,"")</f>
        <v/>
      </c>
      <c r="M397" s="72" t="str">
        <f>IF(NOT(Anime!AE398=""),Anime!AE398,"")</f>
        <v/>
      </c>
      <c r="N397" s="21" t="str">
        <f>IF(NOT(Anime!AF398=""),Anime!AF398,"")</f>
        <v/>
      </c>
      <c r="O397" s="129" t="str">
        <f>IF(NOT(Anime!AG398=""),Anime!AG398,"")</f>
        <v/>
      </c>
      <c r="P397" s="21" t="str">
        <f>IF(NOT(Anime!AH398=""),Anime!AH398,"")</f>
        <v/>
      </c>
      <c r="Q397" s="21" t="str">
        <f>IF(NOT(Anime!AI398=""),Anime!AI398,"")</f>
        <v/>
      </c>
      <c r="R397" s="66" t="str">
        <f>IF(NOT(Anime!AJ398=""),Anime!AJ398,"")</f>
        <v/>
      </c>
      <c r="S397" s="15" t="str">
        <f>IF(NOT(Anime!AK398=""),Anime!AK398,"")</f>
        <v/>
      </c>
    </row>
    <row r="398" spans="1:19" ht="16.5">
      <c r="A398" s="12" t="str">
        <f>IF(NOT(Anime!R399=""),Anime!R399,"")</f>
        <v/>
      </c>
      <c r="B398" s="14" t="str">
        <f>IF(NOT(Anime!S399=""),Anime!S399,"")</f>
        <v/>
      </c>
      <c r="C398" s="14" t="str">
        <f>IF(NOT(Anime!T399=""),Anime!T399,"")</f>
        <v/>
      </c>
      <c r="D398" s="68" t="str">
        <f>IF(NOT(Anime!U399=""),Anime!U399,"")</f>
        <v/>
      </c>
      <c r="E398" s="131" t="str">
        <f>IF(NOT(Anime!W399=""),Anime!W399,"")</f>
        <v/>
      </c>
      <c r="F398" s="16" t="str">
        <f>IF(NOT(Anime!X399=""),Anime!X399,"")</f>
        <v/>
      </c>
      <c r="G398" s="16" t="str">
        <f>IF(NOT(Anime!Y399=""),Anime!Y399,"")</f>
        <v/>
      </c>
      <c r="H398" s="16" t="str">
        <f>IF(NOT(Anime!Z399=""),Anime!Z399,"")</f>
        <v/>
      </c>
      <c r="I398" s="16" t="str">
        <f>IF(NOT(Anime!AA399=""),Anime!AA399,"")</f>
        <v/>
      </c>
      <c r="J398" s="17" t="str">
        <f>IF(NOT(Anime!AB399=""),Anime!AB399,"")</f>
        <v/>
      </c>
      <c r="K398" s="18" t="str">
        <f>IF(NOT(Anime!AC399=""),Anime!AC399,"")</f>
        <v/>
      </c>
      <c r="L398" s="19" t="str">
        <f>IF(NOT(Anime!AD399=""),Anime!AD399,"")</f>
        <v/>
      </c>
      <c r="M398" s="72" t="str">
        <f>IF(NOT(Anime!AE399=""),Anime!AE399,"")</f>
        <v/>
      </c>
      <c r="N398" s="21" t="str">
        <f>IF(NOT(Anime!AF399=""),Anime!AF399,"")</f>
        <v/>
      </c>
      <c r="O398" s="129" t="str">
        <f>IF(NOT(Anime!AG399=""),Anime!AG399,"")</f>
        <v/>
      </c>
      <c r="P398" s="21" t="str">
        <f>IF(NOT(Anime!AH399=""),Anime!AH399,"")</f>
        <v/>
      </c>
      <c r="Q398" s="21" t="str">
        <f>IF(NOT(Anime!AI399=""),Anime!AI399,"")</f>
        <v/>
      </c>
      <c r="R398" s="66" t="str">
        <f>IF(NOT(Anime!AJ399=""),Anime!AJ399,"")</f>
        <v/>
      </c>
      <c r="S398" s="15" t="str">
        <f>IF(NOT(Anime!AK399=""),Anime!AK399,"")</f>
        <v/>
      </c>
    </row>
    <row r="399" spans="1:19" ht="16.5">
      <c r="A399" s="12" t="str">
        <f>IF(NOT(Anime!R400=""),Anime!R400,"")</f>
        <v/>
      </c>
      <c r="B399" s="14" t="str">
        <f>IF(NOT(Anime!S400=""),Anime!S400,"")</f>
        <v/>
      </c>
      <c r="C399" s="14" t="str">
        <f>IF(NOT(Anime!T400=""),Anime!T400,"")</f>
        <v/>
      </c>
      <c r="D399" s="68" t="str">
        <f>IF(NOT(Anime!U400=""),Anime!U400,"")</f>
        <v/>
      </c>
      <c r="E399" s="131" t="str">
        <f>IF(NOT(Anime!W400=""),Anime!W400,"")</f>
        <v/>
      </c>
      <c r="F399" s="16" t="str">
        <f>IF(NOT(Anime!X400=""),Anime!X400,"")</f>
        <v/>
      </c>
      <c r="G399" s="16" t="str">
        <f>IF(NOT(Anime!Y400=""),Anime!Y400,"")</f>
        <v/>
      </c>
      <c r="H399" s="16" t="str">
        <f>IF(NOT(Anime!Z400=""),Anime!Z400,"")</f>
        <v/>
      </c>
      <c r="I399" s="16" t="str">
        <f>IF(NOT(Anime!AA400=""),Anime!AA400,"")</f>
        <v/>
      </c>
      <c r="J399" s="17" t="str">
        <f>IF(NOT(Anime!AB400=""),Anime!AB400,"")</f>
        <v/>
      </c>
      <c r="K399" s="18" t="str">
        <f>IF(NOT(Anime!AC400=""),Anime!AC400,"")</f>
        <v/>
      </c>
      <c r="L399" s="19" t="str">
        <f>IF(NOT(Anime!AD400=""),Anime!AD400,"")</f>
        <v/>
      </c>
      <c r="M399" s="72" t="str">
        <f>IF(NOT(Anime!AE400=""),Anime!AE400,"")</f>
        <v/>
      </c>
      <c r="N399" s="21" t="str">
        <f>IF(NOT(Anime!AF400=""),Anime!AF400,"")</f>
        <v/>
      </c>
      <c r="O399" s="129" t="str">
        <f>IF(NOT(Anime!AG400=""),Anime!AG400,"")</f>
        <v/>
      </c>
      <c r="P399" s="21" t="str">
        <f>IF(NOT(Anime!AH400=""),Anime!AH400,"")</f>
        <v/>
      </c>
      <c r="Q399" s="21" t="str">
        <f>IF(NOT(Anime!AI400=""),Anime!AI400,"")</f>
        <v/>
      </c>
      <c r="R399" s="66" t="str">
        <f>IF(NOT(Anime!AJ400=""),Anime!AJ400,"")</f>
        <v/>
      </c>
      <c r="S399" s="15" t="str">
        <f>IF(NOT(Anime!AK400=""),Anime!AK400,"")</f>
        <v/>
      </c>
    </row>
    <row r="400" spans="1:19" ht="16.5">
      <c r="A400" s="12" t="str">
        <f>IF(NOT(Anime!R401=""),Anime!R401,"")</f>
        <v/>
      </c>
      <c r="B400" s="14" t="str">
        <f>IF(NOT(Anime!S401=""),Anime!S401,"")</f>
        <v/>
      </c>
      <c r="C400" s="14" t="str">
        <f>IF(NOT(Anime!T401=""),Anime!T401,"")</f>
        <v/>
      </c>
      <c r="D400" s="68" t="str">
        <f>IF(NOT(Anime!U401=""),Anime!U401,"")</f>
        <v/>
      </c>
      <c r="E400" s="131" t="str">
        <f>IF(NOT(Anime!W401=""),Anime!W401,"")</f>
        <v/>
      </c>
      <c r="F400" s="16" t="str">
        <f>IF(NOT(Anime!X401=""),Anime!X401,"")</f>
        <v/>
      </c>
      <c r="G400" s="16" t="str">
        <f>IF(NOT(Anime!Y401=""),Anime!Y401,"")</f>
        <v/>
      </c>
      <c r="H400" s="16" t="str">
        <f>IF(NOT(Anime!Z401=""),Anime!Z401,"")</f>
        <v/>
      </c>
      <c r="I400" s="16" t="str">
        <f>IF(NOT(Anime!AA401=""),Anime!AA401,"")</f>
        <v/>
      </c>
      <c r="J400" s="17" t="str">
        <f>IF(NOT(Anime!AB401=""),Anime!AB401,"")</f>
        <v/>
      </c>
      <c r="K400" s="18" t="str">
        <f>IF(NOT(Anime!AC401=""),Anime!AC401,"")</f>
        <v/>
      </c>
      <c r="L400" s="19" t="str">
        <f>IF(NOT(Anime!AD401=""),Anime!AD401,"")</f>
        <v/>
      </c>
      <c r="M400" s="72" t="str">
        <f>IF(NOT(Anime!AE401=""),Anime!AE401,"")</f>
        <v/>
      </c>
      <c r="N400" s="21" t="str">
        <f>IF(NOT(Anime!AF401=""),Anime!AF401,"")</f>
        <v/>
      </c>
      <c r="O400" s="129" t="str">
        <f>IF(NOT(Anime!AG401=""),Anime!AG401,"")</f>
        <v/>
      </c>
      <c r="P400" s="21" t="str">
        <f>IF(NOT(Anime!AH401=""),Anime!AH401,"")</f>
        <v/>
      </c>
      <c r="Q400" s="21" t="str">
        <f>IF(NOT(Anime!AI401=""),Anime!AI401,"")</f>
        <v/>
      </c>
      <c r="R400" s="66" t="str">
        <f>IF(NOT(Anime!AJ401=""),Anime!AJ401,"")</f>
        <v/>
      </c>
      <c r="S400" s="15" t="str">
        <f>IF(NOT(Anime!AK401=""),Anime!AK401,"")</f>
        <v/>
      </c>
    </row>
  </sheetData>
  <mergeCells count="1">
    <mergeCell ref="A1:S1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4"/>
  <sheetViews>
    <sheetView showGridLines="0" workbookViewId="0">
      <selection activeCell="G17" sqref="G17"/>
    </sheetView>
  </sheetViews>
  <sheetFormatPr defaultRowHeight="15"/>
  <cols>
    <col min="1" max="1" width="35.140625" style="6" customWidth="1"/>
    <col min="2" max="2" width="6.42578125" style="3" bestFit="1" customWidth="1"/>
    <col min="3" max="3" width="7.5703125" style="3" bestFit="1" customWidth="1"/>
    <col min="4" max="4" width="7.28515625" style="3" bestFit="1" customWidth="1"/>
    <col min="5" max="5" width="12.7109375" style="3" customWidth="1"/>
    <col min="6" max="6" width="14.7109375" style="3" customWidth="1"/>
    <col min="7" max="7" width="15.7109375" style="7" customWidth="1"/>
  </cols>
  <sheetData>
    <row r="1" spans="1:7" ht="16.5">
      <c r="A1" s="170" t="s">
        <v>629</v>
      </c>
      <c r="B1" s="171"/>
      <c r="C1" s="171"/>
      <c r="D1" s="171"/>
      <c r="E1" s="171"/>
      <c r="F1" s="171"/>
      <c r="G1" s="172"/>
    </row>
    <row r="2" spans="1:7" ht="16.5">
      <c r="A2" s="138" t="s">
        <v>4</v>
      </c>
      <c r="B2" s="137" t="s">
        <v>228</v>
      </c>
      <c r="C2" s="137" t="s">
        <v>209</v>
      </c>
      <c r="D2" s="137" t="s">
        <v>404</v>
      </c>
      <c r="E2" s="137" t="s">
        <v>257</v>
      </c>
      <c r="F2" s="137" t="s">
        <v>614</v>
      </c>
      <c r="G2" s="139" t="s">
        <v>620</v>
      </c>
    </row>
    <row r="3" spans="1:7" ht="16.5">
      <c r="A3" s="134" t="s">
        <v>102</v>
      </c>
      <c r="B3" s="14">
        <v>1</v>
      </c>
      <c r="C3" s="14">
        <v>13</v>
      </c>
      <c r="D3" s="68" t="s">
        <v>403</v>
      </c>
      <c r="E3" s="136" t="s">
        <v>449</v>
      </c>
      <c r="F3" s="141">
        <v>41798</v>
      </c>
      <c r="G3" s="140"/>
    </row>
    <row r="4" spans="1:7" ht="16.5">
      <c r="A4" s="144" t="s">
        <v>28</v>
      </c>
      <c r="B4" s="145">
        <v>1</v>
      </c>
      <c r="C4" s="146">
        <v>13</v>
      </c>
      <c r="D4" s="142" t="s">
        <v>403</v>
      </c>
      <c r="E4" s="147" t="s">
        <v>429</v>
      </c>
      <c r="F4" s="148">
        <v>41793</v>
      </c>
      <c r="G4" s="143">
        <v>41793</v>
      </c>
    </row>
    <row r="5" spans="1:7" ht="16.5">
      <c r="A5" s="144" t="s">
        <v>187</v>
      </c>
      <c r="B5" s="145">
        <v>1</v>
      </c>
      <c r="C5" s="146">
        <v>26</v>
      </c>
      <c r="D5" s="142" t="s">
        <v>403</v>
      </c>
      <c r="E5" s="147" t="s">
        <v>470</v>
      </c>
      <c r="F5" s="142"/>
      <c r="G5" s="143"/>
    </row>
    <row r="6" spans="1:7" ht="16.5">
      <c r="A6" s="134" t="s">
        <v>32</v>
      </c>
      <c r="B6" s="14">
        <v>1</v>
      </c>
      <c r="C6" s="14">
        <v>25</v>
      </c>
      <c r="D6" s="68" t="s">
        <v>403</v>
      </c>
      <c r="E6" s="136" t="s">
        <v>472</v>
      </c>
      <c r="F6" s="142"/>
      <c r="G6" s="143"/>
    </row>
    <row r="7" spans="1:7" ht="16.5">
      <c r="A7" s="144" t="s">
        <v>251</v>
      </c>
      <c r="B7" s="145">
        <v>1</v>
      </c>
      <c r="C7" s="146">
        <v>12</v>
      </c>
      <c r="D7" s="142" t="s">
        <v>403</v>
      </c>
      <c r="E7" s="147" t="s">
        <v>456</v>
      </c>
      <c r="F7" s="142"/>
      <c r="G7" s="143"/>
    </row>
    <row r="8" spans="1:7" ht="16.5">
      <c r="A8" s="144" t="s">
        <v>127</v>
      </c>
      <c r="B8" s="145">
        <v>1</v>
      </c>
      <c r="C8" s="146">
        <v>25</v>
      </c>
      <c r="D8" s="142" t="s">
        <v>403</v>
      </c>
      <c r="E8" s="147" t="s">
        <v>474</v>
      </c>
      <c r="F8" s="142"/>
      <c r="G8" s="143"/>
    </row>
    <row r="9" spans="1:7" ht="16.5">
      <c r="A9" s="144" t="s">
        <v>53</v>
      </c>
      <c r="B9" s="145">
        <v>1</v>
      </c>
      <c r="C9" s="146">
        <v>13</v>
      </c>
      <c r="D9" s="142" t="s">
        <v>403</v>
      </c>
      <c r="E9" s="147" t="s">
        <v>462</v>
      </c>
      <c r="F9" s="142"/>
      <c r="G9" s="143"/>
    </row>
    <row r="10" spans="1:7" ht="16.5">
      <c r="A10" s="144" t="s">
        <v>53</v>
      </c>
      <c r="B10" s="145">
        <v>1</v>
      </c>
      <c r="C10" s="146">
        <v>13</v>
      </c>
      <c r="D10" s="142" t="s">
        <v>403</v>
      </c>
      <c r="E10" s="147" t="s">
        <v>462</v>
      </c>
      <c r="F10" s="142"/>
      <c r="G10" s="143"/>
    </row>
    <row r="11" spans="1:7" ht="16.5">
      <c r="A11" s="144" t="s">
        <v>192</v>
      </c>
      <c r="B11" s="145">
        <v>1</v>
      </c>
      <c r="C11" s="146">
        <v>16</v>
      </c>
      <c r="D11" s="142" t="s">
        <v>403</v>
      </c>
      <c r="E11" s="147" t="s">
        <v>450</v>
      </c>
      <c r="F11" s="142"/>
      <c r="G11" s="143"/>
    </row>
    <row r="12" spans="1:7" ht="16.5">
      <c r="A12" s="144" t="s">
        <v>106</v>
      </c>
      <c r="B12" s="145">
        <v>1</v>
      </c>
      <c r="C12" s="146">
        <v>13</v>
      </c>
      <c r="D12" s="142" t="s">
        <v>403</v>
      </c>
      <c r="E12" s="147" t="s">
        <v>447</v>
      </c>
      <c r="F12" s="142"/>
      <c r="G12" s="143"/>
    </row>
    <row r="13" spans="1:7" ht="16.5">
      <c r="A13" s="144" t="s">
        <v>268</v>
      </c>
      <c r="B13" s="145">
        <v>1</v>
      </c>
      <c r="C13" s="146">
        <v>13</v>
      </c>
      <c r="D13" s="142" t="s">
        <v>403</v>
      </c>
      <c r="E13" s="147" t="s">
        <v>450</v>
      </c>
      <c r="F13" s="142"/>
      <c r="G13" s="143"/>
    </row>
    <row r="14" spans="1:7" ht="16.5">
      <c r="A14" s="144" t="s">
        <v>219</v>
      </c>
      <c r="B14" s="145">
        <v>1</v>
      </c>
      <c r="C14" s="146">
        <v>26</v>
      </c>
      <c r="D14" s="142" t="s">
        <v>403</v>
      </c>
      <c r="E14" s="147" t="s">
        <v>448</v>
      </c>
      <c r="F14" s="142"/>
      <c r="G14" s="143"/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="85" zoomScaleNormal="85" workbookViewId="0">
      <selection activeCell="K25" sqref="K2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179" t="s">
        <v>128</v>
      </c>
      <c r="B1" s="180"/>
      <c r="C1" s="180"/>
      <c r="D1" s="180"/>
      <c r="E1" s="180"/>
      <c r="F1" s="180"/>
      <c r="G1" s="180"/>
      <c r="H1" s="180"/>
      <c r="I1" s="181"/>
    </row>
    <row r="2" spans="1:12" ht="15" customHeight="1">
      <c r="A2" s="167" t="s">
        <v>129</v>
      </c>
      <c r="B2" s="168"/>
      <c r="C2" s="169"/>
      <c r="D2" s="9"/>
      <c r="E2" s="167" t="s">
        <v>3</v>
      </c>
      <c r="F2" s="168"/>
      <c r="G2" s="168"/>
      <c r="H2" s="168"/>
      <c r="I2" s="169"/>
    </row>
    <row r="3" spans="1:12" ht="15" customHeight="1">
      <c r="A3" s="54" t="s">
        <v>130</v>
      </c>
      <c r="B3" s="54" t="s">
        <v>131</v>
      </c>
      <c r="C3" s="54" t="s">
        <v>5</v>
      </c>
      <c r="D3" s="9"/>
      <c r="E3" s="54" t="s">
        <v>130</v>
      </c>
      <c r="F3" s="54" t="s">
        <v>5</v>
      </c>
      <c r="G3" s="54" t="s">
        <v>131</v>
      </c>
      <c r="H3" s="55" t="s">
        <v>125</v>
      </c>
      <c r="I3" s="54" t="s">
        <v>12</v>
      </c>
    </row>
    <row r="4" spans="1:12" ht="15" customHeight="1">
      <c r="A4" s="12" t="s">
        <v>177</v>
      </c>
      <c r="B4" s="14" t="s">
        <v>132</v>
      </c>
      <c r="C4" s="15" t="s">
        <v>15</v>
      </c>
      <c r="D4" s="9"/>
      <c r="E4" s="12" t="s">
        <v>185</v>
      </c>
      <c r="F4" s="14" t="s">
        <v>15</v>
      </c>
      <c r="G4" s="14" t="s">
        <v>132</v>
      </c>
      <c r="H4" s="56">
        <v>9.81</v>
      </c>
      <c r="I4" s="57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6">
        <v>9.56</v>
      </c>
      <c r="I5" s="57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6">
        <v>9.5399999999999991</v>
      </c>
      <c r="I6" s="57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6">
        <v>9.49</v>
      </c>
      <c r="I7" s="57">
        <v>41400</v>
      </c>
      <c r="L7" t="s">
        <v>607</v>
      </c>
    </row>
    <row r="8" spans="1:12" ht="15" customHeight="1">
      <c r="A8" s="12" t="s">
        <v>171</v>
      </c>
      <c r="B8" s="14" t="s">
        <v>146</v>
      </c>
      <c r="C8" s="15" t="s">
        <v>15</v>
      </c>
      <c r="D8" s="9"/>
      <c r="E8" s="12" t="s">
        <v>381</v>
      </c>
      <c r="F8" s="14" t="s">
        <v>384</v>
      </c>
      <c r="G8" s="14" t="s">
        <v>382</v>
      </c>
      <c r="H8" s="56">
        <v>9.35</v>
      </c>
      <c r="I8" s="57">
        <v>41507</v>
      </c>
    </row>
    <row r="9" spans="1:12" ht="15" customHeight="1">
      <c r="A9" s="12" t="s">
        <v>179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6">
        <v>9.1199999999999992</v>
      </c>
      <c r="I9" s="57">
        <v>41381</v>
      </c>
    </row>
    <row r="10" spans="1:12" ht="15" customHeight="1">
      <c r="A10" s="12" t="s">
        <v>180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6">
        <v>8.6199999999999992</v>
      </c>
      <c r="I10" s="57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6">
        <v>8.59</v>
      </c>
      <c r="I11" s="57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6">
        <v>7.21</v>
      </c>
      <c r="I12" s="57">
        <v>41372</v>
      </c>
    </row>
    <row r="13" spans="1:12" ht="15" customHeight="1">
      <c r="A13" s="12"/>
      <c r="B13" s="14"/>
      <c r="C13" s="15"/>
      <c r="D13" s="9"/>
      <c r="E13" s="67" t="s">
        <v>342</v>
      </c>
      <c r="F13" s="14" t="s">
        <v>383</v>
      </c>
      <c r="G13" s="14" t="s">
        <v>341</v>
      </c>
      <c r="H13" s="56">
        <v>9.56</v>
      </c>
      <c r="I13" s="57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6">
        <v>9.32</v>
      </c>
      <c r="I14" s="57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6">
        <v>9.2100000000000009</v>
      </c>
      <c r="I15" s="57">
        <v>41421</v>
      </c>
    </row>
    <row r="16" spans="1:12" ht="15" customHeight="1">
      <c r="A16" s="12"/>
      <c r="B16" s="14"/>
      <c r="C16" s="15"/>
      <c r="D16" s="9"/>
      <c r="E16" s="12" t="s">
        <v>178</v>
      </c>
      <c r="F16" s="14" t="s">
        <v>15</v>
      </c>
      <c r="G16" s="14" t="s">
        <v>146</v>
      </c>
      <c r="H16" s="56">
        <v>9.2100000000000009</v>
      </c>
      <c r="I16" s="57">
        <v>41446</v>
      </c>
    </row>
    <row r="17" spans="1:11" ht="15" customHeight="1">
      <c r="A17" s="12"/>
      <c r="B17" s="14"/>
      <c r="C17" s="15"/>
      <c r="D17" s="9"/>
      <c r="E17" s="12" t="s">
        <v>170</v>
      </c>
      <c r="F17" s="14" t="s">
        <v>15</v>
      </c>
      <c r="G17" s="14" t="s">
        <v>146</v>
      </c>
      <c r="H17" s="56">
        <v>9.17</v>
      </c>
      <c r="I17" s="57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6">
        <v>9.6199999999999992</v>
      </c>
      <c r="I18" s="57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6">
        <v>9.43</v>
      </c>
      <c r="I19" s="57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6">
        <v>9.36</v>
      </c>
      <c r="I20" s="57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6">
        <v>9.27</v>
      </c>
      <c r="I21" s="57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6">
        <v>9.23</v>
      </c>
      <c r="I22" s="57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6">
        <v>9.0500000000000007</v>
      </c>
      <c r="I23" s="57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6">
        <v>8.9700000000000006</v>
      </c>
      <c r="I24" s="57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6">
        <v>8.9700000000000006</v>
      </c>
      <c r="I25" s="57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6">
        <v>8.58</v>
      </c>
      <c r="I26" s="57">
        <v>41336</v>
      </c>
    </row>
    <row r="27" spans="1:11" ht="15" customHeight="1">
      <c r="A27" s="12"/>
      <c r="B27" s="14"/>
      <c r="C27" s="15"/>
      <c r="D27" s="9"/>
      <c r="E27" s="12" t="s">
        <v>181</v>
      </c>
      <c r="F27" s="14" t="s">
        <v>15</v>
      </c>
      <c r="G27" s="14" t="s">
        <v>139</v>
      </c>
      <c r="H27" s="56">
        <v>8.31</v>
      </c>
      <c r="I27" s="57">
        <v>41440</v>
      </c>
    </row>
    <row r="28" spans="1:11" ht="15" customHeight="1">
      <c r="A28" s="12"/>
      <c r="B28" s="14"/>
      <c r="C28" s="15"/>
      <c r="D28" s="9"/>
      <c r="E28" s="12" t="s">
        <v>198</v>
      </c>
      <c r="F28" s="14" t="s">
        <v>15</v>
      </c>
      <c r="G28" s="14" t="s">
        <v>139</v>
      </c>
      <c r="H28" s="56">
        <v>8.31</v>
      </c>
      <c r="I28" s="57">
        <v>41451</v>
      </c>
    </row>
    <row r="29" spans="1:11" ht="15" customHeight="1">
      <c r="A29" s="12"/>
      <c r="B29" s="14"/>
      <c r="C29" s="15"/>
      <c r="D29" s="9"/>
      <c r="E29" s="12" t="s">
        <v>262</v>
      </c>
      <c r="F29" s="14" t="s">
        <v>15</v>
      </c>
      <c r="G29" s="14" t="s">
        <v>139</v>
      </c>
      <c r="H29" s="56">
        <v>8.2799999999999994</v>
      </c>
      <c r="I29" s="57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6">
        <v>8.1199999999999992</v>
      </c>
      <c r="I30" s="57">
        <v>41412</v>
      </c>
    </row>
    <row r="31" spans="1:11" ht="15" customHeight="1">
      <c r="A31" s="12"/>
      <c r="B31" s="14"/>
      <c r="C31" s="15"/>
      <c r="D31" s="9"/>
      <c r="E31" s="12" t="s">
        <v>261</v>
      </c>
      <c r="F31" s="14" t="s">
        <v>15</v>
      </c>
      <c r="G31" s="14" t="s">
        <v>139</v>
      </c>
      <c r="H31" s="56">
        <v>7.89</v>
      </c>
      <c r="I31" s="57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6">
        <v>7.62</v>
      </c>
      <c r="I32" s="57">
        <v>41400</v>
      </c>
    </row>
    <row r="33" spans="1:9" ht="15" customHeight="1">
      <c r="A33" s="12"/>
      <c r="B33" s="14"/>
      <c r="C33" s="15"/>
      <c r="D33" s="9"/>
      <c r="E33" s="12" t="s">
        <v>407</v>
      </c>
      <c r="F33" s="14" t="s">
        <v>15</v>
      </c>
      <c r="G33" s="14" t="s">
        <v>132</v>
      </c>
      <c r="H33" s="56">
        <v>9.2100000000000009</v>
      </c>
      <c r="I33" s="57">
        <v>41543</v>
      </c>
    </row>
    <row r="34" spans="1:9" ht="15" customHeight="1">
      <c r="A34" s="12"/>
      <c r="B34" s="14"/>
      <c r="C34" s="15"/>
      <c r="D34" s="9"/>
      <c r="E34" s="12" t="s">
        <v>435</v>
      </c>
      <c r="F34" s="14" t="s">
        <v>15</v>
      </c>
      <c r="G34" s="14" t="s">
        <v>139</v>
      </c>
      <c r="H34" s="56">
        <v>9.24</v>
      </c>
      <c r="I34" s="57" t="s">
        <v>436</v>
      </c>
    </row>
    <row r="35" spans="1:9" ht="15" customHeight="1">
      <c r="A35" s="12"/>
      <c r="B35" s="14"/>
      <c r="C35" s="15"/>
      <c r="D35" s="9"/>
      <c r="E35" s="12" t="s">
        <v>437</v>
      </c>
      <c r="F35" s="14" t="s">
        <v>15</v>
      </c>
      <c r="G35" s="14" t="s">
        <v>139</v>
      </c>
      <c r="H35" s="56">
        <v>7.15</v>
      </c>
      <c r="I35" s="57" t="s">
        <v>436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6"/>
      <c r="I36" s="57"/>
    </row>
    <row r="37" spans="1:9" ht="15" customHeight="1">
      <c r="A37" s="12"/>
      <c r="B37" s="14"/>
      <c r="C37" s="15"/>
      <c r="D37" s="9"/>
      <c r="E37" s="12"/>
      <c r="F37" s="14"/>
      <c r="G37" s="14"/>
      <c r="H37" s="56"/>
      <c r="I37" s="57"/>
    </row>
    <row r="38" spans="1:9" ht="15" customHeight="1">
      <c r="A38" s="12"/>
      <c r="B38" s="14"/>
      <c r="C38" s="15"/>
      <c r="D38" s="9"/>
      <c r="E38" s="12"/>
      <c r="F38" s="14"/>
      <c r="G38" s="14"/>
      <c r="H38" s="56"/>
      <c r="I38" s="57"/>
    </row>
    <row r="39" spans="1:9" ht="15" customHeight="1">
      <c r="A39" s="12"/>
      <c r="B39" s="14"/>
      <c r="C39" s="15"/>
      <c r="D39" s="9"/>
      <c r="E39" s="12"/>
      <c r="F39" s="14"/>
      <c r="G39" s="14"/>
      <c r="H39" s="56"/>
      <c r="I39" s="57"/>
    </row>
    <row r="40" spans="1:9" ht="15" customHeight="1">
      <c r="A40" s="12"/>
      <c r="B40" s="14"/>
      <c r="C40" s="15"/>
      <c r="D40" s="9"/>
      <c r="E40" s="12"/>
      <c r="F40" s="14"/>
      <c r="G40" s="14"/>
      <c r="H40" s="56"/>
      <c r="I40" s="57"/>
    </row>
    <row r="41" spans="1:9" ht="15" customHeight="1">
      <c r="A41" s="12"/>
      <c r="B41" s="14"/>
      <c r="C41" s="15"/>
      <c r="D41" s="9"/>
      <c r="E41" s="12"/>
      <c r="F41" s="14"/>
      <c r="G41" s="14"/>
      <c r="H41" s="56"/>
      <c r="I41" s="57"/>
    </row>
    <row r="42" spans="1:9" ht="15" customHeight="1">
      <c r="A42" s="12"/>
      <c r="B42" s="14"/>
      <c r="C42" s="15"/>
      <c r="D42" s="9"/>
      <c r="E42" s="12"/>
      <c r="F42" s="14"/>
      <c r="G42" s="14"/>
      <c r="H42" s="56"/>
      <c r="I42" s="57"/>
    </row>
    <row r="43" spans="1:9" ht="15" customHeight="1">
      <c r="A43" s="12"/>
      <c r="B43" s="14"/>
      <c r="C43" s="15"/>
      <c r="D43" s="9"/>
      <c r="E43" s="12"/>
      <c r="F43" s="14"/>
      <c r="G43" s="14"/>
      <c r="H43" s="56"/>
      <c r="I43" s="57"/>
    </row>
    <row r="44" spans="1:9" ht="15" customHeight="1">
      <c r="A44" s="12"/>
      <c r="B44" s="14"/>
      <c r="C44" s="15"/>
      <c r="D44" s="9"/>
      <c r="E44" s="12"/>
      <c r="F44" s="14"/>
      <c r="G44" s="14"/>
      <c r="H44" s="56"/>
      <c r="I44" s="57"/>
    </row>
    <row r="45" spans="1:9" ht="15" customHeight="1">
      <c r="A45" s="12"/>
      <c r="B45" s="14"/>
      <c r="C45" s="15"/>
      <c r="D45" s="9"/>
      <c r="E45" s="12"/>
      <c r="F45" s="14"/>
      <c r="G45" s="14"/>
      <c r="H45" s="56"/>
      <c r="I45" s="57"/>
    </row>
    <row r="46" spans="1:9" ht="15" customHeight="1">
      <c r="A46" s="12"/>
      <c r="B46" s="14"/>
      <c r="C46" s="15"/>
      <c r="D46" s="9"/>
      <c r="E46" s="12"/>
      <c r="F46" s="14"/>
      <c r="G46" s="14"/>
      <c r="H46" s="56"/>
      <c r="I46" s="57"/>
    </row>
    <row r="47" spans="1:9" ht="15" customHeight="1">
      <c r="A47" s="12"/>
      <c r="B47" s="14"/>
      <c r="C47" s="15"/>
      <c r="D47" s="9"/>
      <c r="E47" s="12"/>
      <c r="F47" s="14"/>
      <c r="G47" s="14"/>
      <c r="H47" s="56"/>
      <c r="I47" s="57"/>
    </row>
    <row r="48" spans="1:9" ht="15" customHeight="1">
      <c r="A48" s="12"/>
      <c r="B48" s="14"/>
      <c r="C48" s="15"/>
      <c r="D48" s="9"/>
      <c r="E48" s="12"/>
      <c r="F48" s="14"/>
      <c r="G48" s="14"/>
      <c r="H48" s="56"/>
      <c r="I48" s="57"/>
    </row>
    <row r="49" spans="1:9" ht="15" customHeight="1">
      <c r="A49" s="12"/>
      <c r="B49" s="14"/>
      <c r="C49" s="15"/>
      <c r="D49" s="9"/>
      <c r="E49" s="12"/>
      <c r="F49" s="14"/>
      <c r="G49" s="14"/>
      <c r="H49" s="56"/>
      <c r="I49" s="57"/>
    </row>
    <row r="50" spans="1:9" ht="15" customHeight="1">
      <c r="A50" s="12"/>
      <c r="B50" s="14"/>
      <c r="C50" s="15"/>
      <c r="D50" s="9"/>
      <c r="E50" s="12"/>
      <c r="F50" s="14"/>
      <c r="G50" s="14"/>
      <c r="H50" s="56"/>
      <c r="I50" s="57"/>
    </row>
    <row r="51" spans="1:9" ht="15" customHeight="1">
      <c r="A51" s="12"/>
      <c r="B51" s="14"/>
      <c r="C51" s="15"/>
      <c r="D51" s="9"/>
      <c r="E51" s="12"/>
      <c r="F51" s="14"/>
      <c r="G51" s="14"/>
      <c r="H51" s="56"/>
      <c r="I51" s="57"/>
    </row>
    <row r="52" spans="1:9" ht="15" customHeight="1">
      <c r="A52" s="12"/>
      <c r="B52" s="14"/>
      <c r="C52" s="15"/>
      <c r="D52" s="9"/>
      <c r="E52" s="12"/>
      <c r="F52" s="14"/>
      <c r="G52" s="14"/>
      <c r="H52" s="56"/>
      <c r="I52" s="57"/>
    </row>
    <row r="53" spans="1:9" ht="15" customHeight="1">
      <c r="A53" s="12"/>
      <c r="B53" s="14"/>
      <c r="C53" s="15"/>
      <c r="D53" s="9"/>
      <c r="E53" s="12"/>
      <c r="F53" s="14"/>
      <c r="G53" s="14"/>
      <c r="H53" s="56"/>
      <c r="I53" s="57"/>
    </row>
    <row r="54" spans="1:9" ht="15" customHeight="1">
      <c r="A54" s="12"/>
      <c r="B54" s="14"/>
      <c r="C54" s="15"/>
      <c r="D54" s="9"/>
      <c r="E54" s="12"/>
      <c r="F54" s="14"/>
      <c r="G54" s="14"/>
      <c r="H54" s="56"/>
      <c r="I54" s="57"/>
    </row>
    <row r="55" spans="1:9" ht="15" customHeight="1">
      <c r="A55" s="12"/>
      <c r="B55" s="14"/>
      <c r="C55" s="15"/>
      <c r="D55" s="9"/>
      <c r="E55" s="12"/>
      <c r="F55" s="14"/>
      <c r="G55" s="14"/>
      <c r="H55" s="56"/>
      <c r="I55" s="57"/>
    </row>
    <row r="56" spans="1:9" ht="15" customHeight="1">
      <c r="A56" s="12"/>
      <c r="B56" s="14"/>
      <c r="C56" s="15"/>
      <c r="D56" s="9"/>
      <c r="E56" s="12"/>
      <c r="F56" s="14"/>
      <c r="G56" s="14"/>
      <c r="H56" s="56"/>
      <c r="I56" s="57"/>
    </row>
    <row r="57" spans="1:9" ht="15" customHeight="1">
      <c r="A57" s="12"/>
      <c r="B57" s="14"/>
      <c r="C57" s="15"/>
      <c r="D57" s="9"/>
      <c r="E57" s="12"/>
      <c r="F57" s="14"/>
      <c r="G57" s="14"/>
      <c r="H57" s="56"/>
      <c r="I57" s="57"/>
    </row>
    <row r="58" spans="1:9" ht="15" customHeight="1">
      <c r="A58" s="12"/>
      <c r="B58" s="14"/>
      <c r="C58" s="15"/>
      <c r="D58" s="9"/>
      <c r="E58" s="12"/>
      <c r="F58" s="14"/>
      <c r="G58" s="14"/>
      <c r="H58" s="56"/>
      <c r="I58" s="57"/>
    </row>
    <row r="59" spans="1:9" ht="15" customHeight="1">
      <c r="A59" s="12"/>
      <c r="B59" s="14"/>
      <c r="C59" s="15"/>
      <c r="D59" s="9"/>
      <c r="E59" s="12"/>
      <c r="F59" s="14"/>
      <c r="G59" s="14"/>
      <c r="H59" s="56"/>
      <c r="I59" s="57"/>
    </row>
    <row r="60" spans="1:9" ht="15" customHeight="1">
      <c r="A60" s="12"/>
      <c r="B60" s="14"/>
      <c r="C60" s="15"/>
      <c r="D60" s="9"/>
      <c r="E60" s="12"/>
      <c r="F60" s="14"/>
      <c r="G60" s="14"/>
      <c r="H60" s="56"/>
      <c r="I60" s="57"/>
    </row>
    <row r="61" spans="1:9" ht="15" customHeight="1">
      <c r="A61" s="12"/>
      <c r="B61" s="14"/>
      <c r="C61" s="15"/>
      <c r="D61" s="9"/>
      <c r="E61" s="12"/>
      <c r="F61" s="14"/>
      <c r="G61" s="14"/>
      <c r="H61" s="56"/>
      <c r="I61" s="57"/>
    </row>
    <row r="62" spans="1:9" ht="15" customHeight="1">
      <c r="A62" s="12"/>
      <c r="B62" s="14"/>
      <c r="C62" s="15"/>
      <c r="D62" s="9"/>
      <c r="E62" s="12"/>
      <c r="F62" s="14"/>
      <c r="G62" s="14"/>
      <c r="H62" s="56"/>
      <c r="I62" s="57"/>
    </row>
    <row r="63" spans="1:9" ht="15" customHeight="1">
      <c r="A63" s="12"/>
      <c r="B63" s="14"/>
      <c r="C63" s="15"/>
      <c r="D63" s="9"/>
      <c r="E63" s="12"/>
      <c r="F63" s="14"/>
      <c r="G63" s="14"/>
      <c r="H63" s="56"/>
      <c r="I63" s="57"/>
    </row>
    <row r="64" spans="1:9" ht="15" customHeight="1">
      <c r="A64" s="12"/>
      <c r="B64" s="14"/>
      <c r="C64" s="15"/>
      <c r="D64" s="9"/>
      <c r="E64" s="12"/>
      <c r="F64" s="14"/>
      <c r="G64" s="14"/>
      <c r="H64" s="56"/>
      <c r="I64" s="57"/>
    </row>
    <row r="65" spans="1:9" ht="15" customHeight="1">
      <c r="A65" s="12"/>
      <c r="B65" s="14"/>
      <c r="C65" s="15"/>
      <c r="D65" s="9"/>
      <c r="E65" s="12"/>
      <c r="F65" s="14"/>
      <c r="G65" s="14"/>
      <c r="H65" s="56"/>
      <c r="I65" s="57"/>
    </row>
    <row r="66" spans="1:9" ht="15" customHeight="1">
      <c r="A66" s="12"/>
      <c r="B66" s="14"/>
      <c r="C66" s="15"/>
      <c r="D66" s="9"/>
      <c r="E66" s="12"/>
      <c r="F66" s="14"/>
      <c r="G66" s="14"/>
      <c r="H66" s="56"/>
      <c r="I66" s="57"/>
    </row>
    <row r="67" spans="1:9" ht="15" customHeight="1">
      <c r="A67" s="12"/>
      <c r="B67" s="14"/>
      <c r="C67" s="15"/>
      <c r="D67" s="9"/>
      <c r="E67" s="12"/>
      <c r="F67" s="14"/>
      <c r="G67" s="14"/>
      <c r="H67" s="56"/>
      <c r="I67" s="57"/>
    </row>
    <row r="68" spans="1:9" ht="15" customHeight="1">
      <c r="A68" s="12"/>
      <c r="B68" s="14"/>
      <c r="C68" s="15"/>
      <c r="D68" s="9"/>
      <c r="E68" s="12"/>
      <c r="F68" s="14"/>
      <c r="G68" s="14"/>
      <c r="H68" s="56"/>
      <c r="I68" s="57"/>
    </row>
    <row r="69" spans="1:9" ht="15" customHeight="1">
      <c r="A69" s="12"/>
      <c r="B69" s="14"/>
      <c r="C69" s="15"/>
      <c r="D69" s="9"/>
      <c r="E69" s="12"/>
      <c r="F69" s="14"/>
      <c r="G69" s="14"/>
      <c r="H69" s="56"/>
      <c r="I69" s="57"/>
    </row>
    <row r="70" spans="1:9" ht="15" customHeight="1">
      <c r="A70" s="12"/>
      <c r="B70" s="14"/>
      <c r="C70" s="15"/>
      <c r="D70" s="9"/>
      <c r="E70" s="12"/>
      <c r="F70" s="14"/>
      <c r="G70" s="14"/>
      <c r="H70" s="56"/>
      <c r="I70" s="57"/>
    </row>
    <row r="71" spans="1:9" ht="15" customHeight="1">
      <c r="A71" s="12"/>
      <c r="B71" s="14"/>
      <c r="C71" s="15"/>
      <c r="D71" s="9"/>
      <c r="E71" s="12"/>
      <c r="F71" s="14"/>
      <c r="G71" s="14"/>
      <c r="H71" s="56"/>
      <c r="I71" s="57"/>
    </row>
    <row r="72" spans="1:9" ht="15" customHeight="1">
      <c r="A72" s="12"/>
      <c r="B72" s="14"/>
      <c r="C72" s="15"/>
      <c r="D72" s="9"/>
      <c r="E72" s="12"/>
      <c r="F72" s="14"/>
      <c r="G72" s="14"/>
      <c r="H72" s="56"/>
      <c r="I72" s="57"/>
    </row>
    <row r="73" spans="1:9" ht="15" customHeight="1">
      <c r="A73" s="12"/>
      <c r="B73" s="14"/>
      <c r="C73" s="15"/>
      <c r="D73" s="9"/>
      <c r="E73" s="12"/>
      <c r="F73" s="14"/>
      <c r="G73" s="14"/>
      <c r="H73" s="56"/>
      <c r="I73" s="57"/>
    </row>
    <row r="74" spans="1:9" ht="15" customHeight="1">
      <c r="A74" s="12"/>
      <c r="B74" s="14"/>
      <c r="C74" s="15"/>
      <c r="D74" s="9"/>
      <c r="E74" s="12"/>
      <c r="F74" s="14"/>
      <c r="G74" s="14"/>
      <c r="H74" s="56"/>
      <c r="I74" s="57"/>
    </row>
    <row r="75" spans="1:9" ht="15" customHeight="1">
      <c r="A75" s="12"/>
      <c r="B75" s="14"/>
      <c r="C75" s="15"/>
      <c r="D75" s="9"/>
      <c r="E75" s="12"/>
      <c r="F75" s="14"/>
      <c r="G75" s="14"/>
      <c r="H75" s="56"/>
      <c r="I75" s="57"/>
    </row>
    <row r="76" spans="1:9" ht="15" customHeight="1">
      <c r="A76" s="12"/>
      <c r="B76" s="14"/>
      <c r="C76" s="15"/>
      <c r="D76" s="9"/>
      <c r="E76" s="12"/>
      <c r="F76" s="14"/>
      <c r="G76" s="14"/>
      <c r="H76" s="56"/>
      <c r="I76" s="57"/>
    </row>
    <row r="77" spans="1:9" ht="15" customHeight="1">
      <c r="A77" s="12"/>
      <c r="B77" s="14"/>
      <c r="C77" s="15"/>
      <c r="D77" s="9"/>
      <c r="E77" s="12"/>
      <c r="F77" s="14"/>
      <c r="G77" s="14"/>
      <c r="H77" s="56"/>
      <c r="I77" s="57"/>
    </row>
    <row r="78" spans="1:9" ht="15" customHeight="1">
      <c r="A78" s="12"/>
      <c r="B78" s="14"/>
      <c r="C78" s="15"/>
      <c r="D78" s="9"/>
      <c r="E78" s="12"/>
      <c r="F78" s="14"/>
      <c r="G78" s="14"/>
      <c r="H78" s="56"/>
      <c r="I78" s="57"/>
    </row>
    <row r="79" spans="1:9" ht="15" customHeight="1">
      <c r="A79" s="12"/>
      <c r="B79" s="14"/>
      <c r="C79" s="15"/>
      <c r="D79" s="9"/>
      <c r="E79" s="12"/>
      <c r="F79" s="14"/>
      <c r="G79" s="14"/>
      <c r="H79" s="56"/>
      <c r="I79" s="57"/>
    </row>
    <row r="80" spans="1:9" ht="15" customHeight="1">
      <c r="A80" s="12"/>
      <c r="B80" s="14"/>
      <c r="C80" s="15"/>
      <c r="D80" s="9"/>
      <c r="E80" s="12"/>
      <c r="F80" s="14"/>
      <c r="G80" s="14"/>
      <c r="H80" s="56"/>
      <c r="I80" s="57"/>
    </row>
    <row r="81" spans="1:9" ht="15" customHeight="1">
      <c r="A81" s="12"/>
      <c r="B81" s="14"/>
      <c r="C81" s="15"/>
      <c r="D81" s="9"/>
      <c r="E81" s="12"/>
      <c r="F81" s="14"/>
      <c r="G81" s="14"/>
      <c r="H81" s="56"/>
      <c r="I81" s="57"/>
    </row>
    <row r="82" spans="1:9" ht="15" customHeight="1">
      <c r="A82" s="12"/>
      <c r="B82" s="14"/>
      <c r="C82" s="15"/>
      <c r="D82" s="9"/>
      <c r="E82" s="12"/>
      <c r="F82" s="14"/>
      <c r="G82" s="14"/>
      <c r="H82" s="56"/>
      <c r="I82" s="57"/>
    </row>
    <row r="83" spans="1:9" ht="15" customHeight="1">
      <c r="A83" s="12"/>
      <c r="B83" s="14"/>
      <c r="C83" s="15"/>
      <c r="D83" s="9"/>
      <c r="E83" s="12"/>
      <c r="F83" s="14"/>
      <c r="G83" s="14"/>
      <c r="H83" s="56"/>
      <c r="I83" s="57"/>
    </row>
    <row r="84" spans="1:9" ht="15" customHeight="1">
      <c r="A84" s="12"/>
      <c r="B84" s="14"/>
      <c r="C84" s="15"/>
      <c r="D84" s="9"/>
      <c r="E84" s="12"/>
      <c r="F84" s="14"/>
      <c r="G84" s="14"/>
      <c r="H84" s="56"/>
      <c r="I84" s="57"/>
    </row>
    <row r="85" spans="1:9" ht="15" customHeight="1">
      <c r="A85" s="12"/>
      <c r="B85" s="14"/>
      <c r="C85" s="15"/>
      <c r="D85" s="9"/>
      <c r="E85" s="12"/>
      <c r="F85" s="14"/>
      <c r="G85" s="14"/>
      <c r="H85" s="56"/>
      <c r="I85" s="57"/>
    </row>
    <row r="86" spans="1:9" ht="15" customHeight="1">
      <c r="A86" s="12"/>
      <c r="B86" s="14"/>
      <c r="C86" s="15"/>
      <c r="D86" s="9"/>
      <c r="E86" s="12"/>
      <c r="F86" s="14"/>
      <c r="G86" s="14"/>
      <c r="H86" s="56"/>
      <c r="I86" s="57"/>
    </row>
    <row r="87" spans="1:9" ht="15" customHeight="1">
      <c r="A87" s="12"/>
      <c r="B87" s="14"/>
      <c r="C87" s="15"/>
      <c r="D87" s="9"/>
      <c r="E87" s="12"/>
      <c r="F87" s="14"/>
      <c r="G87" s="14"/>
      <c r="H87" s="56"/>
      <c r="I87" s="57"/>
    </row>
    <row r="88" spans="1:9" ht="15" customHeight="1">
      <c r="A88" s="12"/>
      <c r="B88" s="14"/>
      <c r="C88" s="15"/>
      <c r="D88" s="9"/>
      <c r="E88" s="12"/>
      <c r="F88" s="14"/>
      <c r="G88" s="14"/>
      <c r="H88" s="56"/>
      <c r="I88" s="57"/>
    </row>
    <row r="89" spans="1:9" ht="15" customHeight="1">
      <c r="A89" s="12"/>
      <c r="B89" s="14"/>
      <c r="C89" s="15"/>
      <c r="D89" s="9"/>
      <c r="E89" s="12"/>
      <c r="F89" s="14"/>
      <c r="G89" s="14"/>
      <c r="H89" s="56"/>
      <c r="I89" s="57"/>
    </row>
    <row r="90" spans="1:9" ht="15" customHeight="1">
      <c r="A90" s="12"/>
      <c r="B90" s="14"/>
      <c r="C90" s="15"/>
      <c r="D90" s="9"/>
      <c r="E90" s="12"/>
      <c r="F90" s="14"/>
      <c r="G90" s="14"/>
      <c r="H90" s="56"/>
      <c r="I90" s="57"/>
    </row>
    <row r="91" spans="1:9" ht="15" customHeight="1">
      <c r="A91" s="12"/>
      <c r="B91" s="14"/>
      <c r="C91" s="15"/>
      <c r="D91" s="9"/>
      <c r="E91" s="12"/>
      <c r="F91" s="14"/>
      <c r="G91" s="14"/>
      <c r="H91" s="56"/>
      <c r="I91" s="57"/>
    </row>
    <row r="92" spans="1:9" ht="15" customHeight="1">
      <c r="A92" s="12"/>
      <c r="B92" s="14"/>
      <c r="C92" s="15"/>
      <c r="D92" s="9"/>
      <c r="E92" s="12"/>
      <c r="F92" s="14"/>
      <c r="G92" s="14"/>
      <c r="H92" s="56"/>
      <c r="I92" s="57"/>
    </row>
    <row r="93" spans="1:9" ht="15" customHeight="1">
      <c r="A93" s="12"/>
      <c r="B93" s="14"/>
      <c r="C93" s="15"/>
      <c r="D93" s="9"/>
      <c r="E93" s="12"/>
      <c r="F93" s="14"/>
      <c r="G93" s="14"/>
      <c r="H93" s="56"/>
      <c r="I93" s="57"/>
    </row>
    <row r="94" spans="1:9" ht="15" customHeight="1">
      <c r="A94" s="12"/>
      <c r="B94" s="14"/>
      <c r="C94" s="15"/>
      <c r="D94" s="9"/>
      <c r="E94" s="12"/>
      <c r="F94" s="14"/>
      <c r="G94" s="14"/>
      <c r="H94" s="56"/>
      <c r="I94" s="57"/>
    </row>
    <row r="95" spans="1:9" ht="15" customHeight="1">
      <c r="A95" s="12"/>
      <c r="B95" s="14"/>
      <c r="C95" s="15"/>
      <c r="D95" s="9"/>
      <c r="E95" s="12"/>
      <c r="F95" s="14"/>
      <c r="G95" s="14"/>
      <c r="H95" s="56"/>
      <c r="I95" s="57"/>
    </row>
    <row r="96" spans="1:9" ht="15" customHeight="1">
      <c r="A96" s="12"/>
      <c r="B96" s="14"/>
      <c r="C96" s="15"/>
      <c r="D96" s="9"/>
      <c r="E96" s="12"/>
      <c r="F96" s="14"/>
      <c r="G96" s="14"/>
      <c r="H96" s="56"/>
      <c r="I96" s="57"/>
    </row>
    <row r="97" spans="1:9" ht="15" customHeight="1">
      <c r="A97" s="12"/>
      <c r="B97" s="14"/>
      <c r="C97" s="15"/>
      <c r="D97" s="9"/>
      <c r="E97" s="12"/>
      <c r="F97" s="14"/>
      <c r="G97" s="14"/>
      <c r="H97" s="56"/>
      <c r="I97" s="57"/>
    </row>
    <row r="98" spans="1:9" ht="15" customHeight="1">
      <c r="A98" s="12"/>
      <c r="B98" s="14"/>
      <c r="C98" s="15"/>
      <c r="D98" s="9"/>
      <c r="E98" s="12"/>
      <c r="F98" s="14"/>
      <c r="G98" s="14"/>
      <c r="H98" s="56"/>
      <c r="I98" s="57"/>
    </row>
    <row r="99" spans="1:9" ht="15" customHeight="1">
      <c r="A99" s="12"/>
      <c r="B99" s="14"/>
      <c r="C99" s="15"/>
      <c r="D99" s="9"/>
      <c r="E99" s="12"/>
      <c r="F99" s="14"/>
      <c r="G99" s="14"/>
      <c r="H99" s="56"/>
      <c r="I99" s="57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6"/>
      <c r="I100" s="57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6"/>
      <c r="I101" s="57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6"/>
      <c r="I102" s="57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6"/>
      <c r="I103" s="57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6"/>
      <c r="I104" s="57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6"/>
      <c r="I105" s="57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6"/>
      <c r="I106" s="57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6"/>
      <c r="I107" s="57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6"/>
      <c r="I108" s="57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6"/>
      <c r="I109" s="57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6"/>
      <c r="I110" s="57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6"/>
      <c r="I111" s="57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6"/>
      <c r="I112" s="57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6"/>
      <c r="I113" s="57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6"/>
      <c r="I114" s="57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6"/>
      <c r="I115" s="57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6"/>
      <c r="I116" s="57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6"/>
      <c r="I117" s="57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6"/>
      <c r="I118" s="57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6"/>
      <c r="I119" s="57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6"/>
      <c r="I120" s="57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6"/>
      <c r="I121" s="57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6"/>
      <c r="I122" s="57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6"/>
      <c r="I123" s="57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6"/>
      <c r="I124" s="57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6"/>
      <c r="I125" s="57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6"/>
      <c r="I126" s="57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6"/>
      <c r="I127" s="57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6"/>
      <c r="I128" s="57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6"/>
      <c r="I129" s="57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6"/>
      <c r="I130" s="57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6"/>
      <c r="I131" s="57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6"/>
      <c r="I132" s="57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6"/>
      <c r="I133" s="57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6"/>
      <c r="I134" s="57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6"/>
      <c r="I135" s="57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6"/>
      <c r="I136" s="57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6"/>
      <c r="I137" s="57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6"/>
      <c r="I138" s="57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6"/>
      <c r="I139" s="57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6"/>
      <c r="I140" s="57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6"/>
      <c r="I141" s="57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6"/>
      <c r="I142" s="57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6"/>
      <c r="I143" s="57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6"/>
      <c r="I144" s="57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6"/>
      <c r="I145" s="57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6"/>
      <c r="I146" s="57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6"/>
      <c r="I147" s="57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6"/>
      <c r="I148" s="57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6"/>
      <c r="I149" s="57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6"/>
      <c r="I150" s="57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00"/>
  <sheetViews>
    <sheetView showGridLines="0" zoomScale="85" zoomScaleNormal="85" workbookViewId="0">
      <selection activeCell="J42" sqref="J42"/>
    </sheetView>
  </sheetViews>
  <sheetFormatPr defaultRowHeight="15"/>
  <cols>
    <col min="1" max="1" width="27.7109375" customWidth="1"/>
    <col min="3" max="3" width="9.140625" style="7"/>
  </cols>
  <sheetData>
    <row r="1" spans="1:7" ht="16.5">
      <c r="A1" s="179" t="s">
        <v>159</v>
      </c>
      <c r="B1" s="180"/>
      <c r="C1" s="181"/>
    </row>
    <row r="2" spans="1:7" ht="16.5">
      <c r="A2" s="10" t="s">
        <v>4</v>
      </c>
      <c r="B2" s="11" t="s">
        <v>160</v>
      </c>
      <c r="C2" s="11" t="s">
        <v>161</v>
      </c>
    </row>
    <row r="3" spans="1:7" ht="16.5">
      <c r="A3" s="50" t="s">
        <v>126</v>
      </c>
      <c r="B3" s="14" t="s">
        <v>162</v>
      </c>
      <c r="C3" s="15" t="s">
        <v>55</v>
      </c>
    </row>
    <row r="4" spans="1:7" ht="16.5">
      <c r="A4" s="50" t="s">
        <v>163</v>
      </c>
      <c r="B4" s="14" t="s">
        <v>162</v>
      </c>
      <c r="C4" s="15" t="s">
        <v>55</v>
      </c>
    </row>
    <row r="5" spans="1:7" ht="16.5">
      <c r="A5" s="50" t="s">
        <v>268</v>
      </c>
      <c r="B5" s="14" t="s">
        <v>162</v>
      </c>
      <c r="C5" s="15" t="s">
        <v>55</v>
      </c>
    </row>
    <row r="6" spans="1:7" ht="16.5">
      <c r="A6" s="50" t="s">
        <v>127</v>
      </c>
      <c r="B6" s="14" t="s">
        <v>162</v>
      </c>
      <c r="C6" s="15" t="s">
        <v>55</v>
      </c>
    </row>
    <row r="7" spans="1:7" ht="16.5">
      <c r="A7" s="50" t="s">
        <v>45</v>
      </c>
      <c r="B7" s="14" t="s">
        <v>162</v>
      </c>
      <c r="C7" s="15" t="s">
        <v>55</v>
      </c>
      <c r="G7" t="s">
        <v>607</v>
      </c>
    </row>
    <row r="8" spans="1:7" ht="16.5">
      <c r="A8" s="50" t="s">
        <v>24</v>
      </c>
      <c r="B8" s="14" t="s">
        <v>55</v>
      </c>
      <c r="C8" s="15" t="s">
        <v>164</v>
      </c>
    </row>
    <row r="9" spans="1:7" ht="16.5">
      <c r="A9" s="50" t="s">
        <v>385</v>
      </c>
      <c r="B9" s="14" t="s">
        <v>55</v>
      </c>
      <c r="C9" s="15" t="s">
        <v>164</v>
      </c>
    </row>
    <row r="10" spans="1:7" ht="16.5">
      <c r="A10" s="50" t="s">
        <v>182</v>
      </c>
      <c r="B10" s="14" t="s">
        <v>55</v>
      </c>
      <c r="C10" s="15" t="s">
        <v>164</v>
      </c>
    </row>
    <row r="11" spans="1:7" ht="16.5">
      <c r="A11" s="50" t="s">
        <v>271</v>
      </c>
      <c r="B11" s="14" t="s">
        <v>55</v>
      </c>
      <c r="C11" s="15" t="s">
        <v>164</v>
      </c>
    </row>
    <row r="12" spans="1:7" ht="16.5">
      <c r="A12" s="50" t="s">
        <v>165</v>
      </c>
      <c r="B12" s="14" t="s">
        <v>55</v>
      </c>
      <c r="C12" s="15" t="s">
        <v>164</v>
      </c>
    </row>
    <row r="13" spans="1:7" ht="16.5">
      <c r="A13" s="50" t="s">
        <v>30</v>
      </c>
      <c r="B13" s="14" t="s">
        <v>55</v>
      </c>
      <c r="C13" s="15" t="s">
        <v>164</v>
      </c>
    </row>
    <row r="14" spans="1:7" ht="16.5">
      <c r="A14" s="50" t="s">
        <v>166</v>
      </c>
      <c r="B14" s="14" t="s">
        <v>55</v>
      </c>
      <c r="C14" s="15" t="s">
        <v>164</v>
      </c>
    </row>
    <row r="15" spans="1:7" ht="16.5">
      <c r="A15" s="50" t="s">
        <v>167</v>
      </c>
      <c r="B15" s="14" t="s">
        <v>55</v>
      </c>
      <c r="C15" s="15" t="s">
        <v>164</v>
      </c>
    </row>
    <row r="16" spans="1:7" ht="16.5">
      <c r="A16" s="50" t="s">
        <v>34</v>
      </c>
      <c r="B16" s="14" t="s">
        <v>162</v>
      </c>
      <c r="C16" s="15" t="s">
        <v>162</v>
      </c>
    </row>
    <row r="17" spans="1:3" ht="16.5">
      <c r="A17" s="50" t="s">
        <v>63</v>
      </c>
      <c r="B17" s="14" t="s">
        <v>162</v>
      </c>
      <c r="C17" s="15" t="s">
        <v>162</v>
      </c>
    </row>
    <row r="18" spans="1:3" ht="16.5">
      <c r="A18" s="50" t="s">
        <v>168</v>
      </c>
      <c r="B18" s="14" t="s">
        <v>162</v>
      </c>
      <c r="C18" s="15" t="s">
        <v>162</v>
      </c>
    </row>
    <row r="19" spans="1:3" ht="16.5">
      <c r="A19" s="50" t="s">
        <v>104</v>
      </c>
      <c r="B19" s="14" t="s">
        <v>162</v>
      </c>
      <c r="C19" s="15" t="s">
        <v>162</v>
      </c>
    </row>
    <row r="20" spans="1:3" ht="16.5">
      <c r="A20" s="50" t="s">
        <v>74</v>
      </c>
      <c r="B20" s="14" t="s">
        <v>162</v>
      </c>
      <c r="C20" s="15" t="s">
        <v>162</v>
      </c>
    </row>
    <row r="21" spans="1:3" ht="16.5">
      <c r="A21" s="50" t="s">
        <v>169</v>
      </c>
      <c r="B21" s="14" t="s">
        <v>162</v>
      </c>
      <c r="C21" s="15" t="s">
        <v>162</v>
      </c>
    </row>
    <row r="22" spans="1:3" ht="16.5">
      <c r="A22" s="50" t="s">
        <v>119</v>
      </c>
      <c r="B22" s="14" t="s">
        <v>162</v>
      </c>
      <c r="C22" s="15" t="s">
        <v>162</v>
      </c>
    </row>
    <row r="23" spans="1:3" ht="16.5">
      <c r="A23" s="50" t="s">
        <v>529</v>
      </c>
      <c r="B23" s="14"/>
      <c r="C23" s="15"/>
    </row>
    <row r="24" spans="1:3" ht="16.5">
      <c r="A24" s="50"/>
      <c r="B24" s="14"/>
      <c r="C24" s="15"/>
    </row>
    <row r="25" spans="1:3" ht="16.5">
      <c r="A25" s="50"/>
      <c r="B25" s="14"/>
      <c r="C25" s="15"/>
    </row>
    <row r="26" spans="1:3" ht="16.5">
      <c r="A26" s="50"/>
      <c r="B26" s="14"/>
      <c r="C26" s="15"/>
    </row>
    <row r="27" spans="1:3" ht="16.5">
      <c r="A27" s="50"/>
      <c r="B27" s="14"/>
      <c r="C27" s="15"/>
    </row>
    <row r="28" spans="1:3" ht="16.5">
      <c r="A28" s="50"/>
      <c r="B28" s="14"/>
      <c r="C28" s="15"/>
    </row>
    <row r="29" spans="1:3" ht="16.5">
      <c r="A29" s="50"/>
      <c r="B29" s="14"/>
      <c r="C29" s="15"/>
    </row>
    <row r="30" spans="1:3" ht="16.5">
      <c r="A30" s="50"/>
      <c r="B30" s="14"/>
      <c r="C30" s="15"/>
    </row>
    <row r="31" spans="1:3" ht="16.5">
      <c r="A31" s="50"/>
      <c r="B31" s="14"/>
      <c r="C31" s="15"/>
    </row>
    <row r="32" spans="1:3" ht="16.5">
      <c r="A32" s="50"/>
      <c r="B32" s="14"/>
      <c r="C32" s="15"/>
    </row>
    <row r="33" spans="1:3" ht="16.5">
      <c r="A33" s="50"/>
      <c r="B33" s="14"/>
      <c r="C33" s="15"/>
    </row>
    <row r="34" spans="1:3" ht="16.5">
      <c r="A34" s="50"/>
      <c r="B34" s="14"/>
      <c r="C34" s="15"/>
    </row>
    <row r="35" spans="1:3" ht="16.5">
      <c r="A35" s="50"/>
      <c r="B35" s="14"/>
      <c r="C35" s="15"/>
    </row>
    <row r="36" spans="1:3" ht="16.5">
      <c r="A36" s="50"/>
      <c r="B36" s="14"/>
      <c r="C36" s="15"/>
    </row>
    <row r="37" spans="1:3" ht="16.5">
      <c r="A37" s="50"/>
      <c r="B37" s="14"/>
      <c r="C37" s="15"/>
    </row>
    <row r="38" spans="1:3" ht="16.5">
      <c r="A38" s="50"/>
      <c r="B38" s="14"/>
      <c r="C38" s="15"/>
    </row>
    <row r="39" spans="1:3" ht="16.5">
      <c r="A39" s="50"/>
      <c r="B39" s="14"/>
      <c r="C39" s="15"/>
    </row>
    <row r="40" spans="1:3" ht="16.5">
      <c r="A40" s="50"/>
      <c r="B40" s="14"/>
      <c r="C40" s="15"/>
    </row>
    <row r="41" spans="1:3" ht="16.5">
      <c r="A41" s="50"/>
      <c r="B41" s="14"/>
      <c r="C41" s="15"/>
    </row>
    <row r="42" spans="1:3" ht="16.5">
      <c r="A42" s="50"/>
      <c r="B42" s="14"/>
      <c r="C42" s="15"/>
    </row>
    <row r="43" spans="1:3" ht="16.5">
      <c r="A43" s="50"/>
      <c r="B43" s="14"/>
      <c r="C43" s="15"/>
    </row>
    <row r="44" spans="1:3" ht="16.5">
      <c r="A44" s="50"/>
      <c r="B44" s="14"/>
      <c r="C44" s="15"/>
    </row>
    <row r="45" spans="1:3" ht="16.5">
      <c r="A45" s="50"/>
      <c r="B45" s="14"/>
      <c r="C45" s="15"/>
    </row>
    <row r="46" spans="1:3" ht="16.5">
      <c r="A46" s="50"/>
      <c r="B46" s="14"/>
      <c r="C46" s="15"/>
    </row>
    <row r="47" spans="1:3" ht="16.5">
      <c r="A47" s="50"/>
      <c r="B47" s="14"/>
      <c r="C47" s="15"/>
    </row>
    <row r="48" spans="1:3" ht="16.5">
      <c r="A48" s="50"/>
      <c r="B48" s="14"/>
      <c r="C48" s="15"/>
    </row>
    <row r="49" spans="1:3" ht="16.5">
      <c r="A49" s="50"/>
      <c r="B49" s="14"/>
      <c r="C49" s="15"/>
    </row>
    <row r="50" spans="1:3" ht="16.5">
      <c r="A50" s="50"/>
      <c r="B50" s="14"/>
      <c r="C50" s="15"/>
    </row>
    <row r="51" spans="1:3" ht="16.5">
      <c r="A51" s="50"/>
      <c r="B51" s="14"/>
      <c r="C51" s="15"/>
    </row>
    <row r="52" spans="1:3" ht="16.5">
      <c r="A52" s="50"/>
      <c r="B52" s="14"/>
      <c r="C52" s="15"/>
    </row>
    <row r="53" spans="1:3" ht="16.5">
      <c r="A53" s="50"/>
      <c r="B53" s="14"/>
      <c r="C53" s="15"/>
    </row>
    <row r="54" spans="1:3" ht="16.5">
      <c r="A54" s="50"/>
      <c r="B54" s="14"/>
      <c r="C54" s="15"/>
    </row>
    <row r="55" spans="1:3" ht="16.5">
      <c r="A55" s="50"/>
      <c r="B55" s="14"/>
      <c r="C55" s="15"/>
    </row>
    <row r="56" spans="1:3" ht="16.5">
      <c r="A56" s="50"/>
      <c r="B56" s="14"/>
      <c r="C56" s="15"/>
    </row>
    <row r="57" spans="1:3" ht="16.5">
      <c r="A57" s="50"/>
      <c r="B57" s="14"/>
      <c r="C57" s="15"/>
    </row>
    <row r="58" spans="1:3" ht="16.5">
      <c r="A58" s="50"/>
      <c r="B58" s="14"/>
      <c r="C58" s="15"/>
    </row>
    <row r="59" spans="1:3" ht="16.5">
      <c r="A59" s="50"/>
      <c r="B59" s="14"/>
      <c r="C59" s="15"/>
    </row>
    <row r="60" spans="1:3" ht="16.5">
      <c r="A60" s="50"/>
      <c r="B60" s="14"/>
      <c r="C60" s="15"/>
    </row>
    <row r="61" spans="1:3" ht="16.5">
      <c r="A61" s="50"/>
      <c r="B61" s="14"/>
      <c r="C61" s="15"/>
    </row>
    <row r="62" spans="1:3" ht="16.5">
      <c r="A62" s="50"/>
      <c r="B62" s="14"/>
      <c r="C62" s="15"/>
    </row>
    <row r="63" spans="1:3" ht="16.5">
      <c r="A63" s="50"/>
      <c r="B63" s="14"/>
      <c r="C63" s="15"/>
    </row>
    <row r="64" spans="1:3" ht="16.5">
      <c r="A64" s="50"/>
      <c r="B64" s="14"/>
      <c r="C64" s="15"/>
    </row>
    <row r="65" spans="1:3" ht="16.5">
      <c r="A65" s="50"/>
      <c r="B65" s="14"/>
      <c r="C65" s="15"/>
    </row>
    <row r="66" spans="1:3" ht="16.5">
      <c r="A66" s="50"/>
      <c r="B66" s="14"/>
      <c r="C66" s="15"/>
    </row>
    <row r="67" spans="1:3" ht="16.5">
      <c r="A67" s="50"/>
      <c r="B67" s="14"/>
      <c r="C67" s="15"/>
    </row>
    <row r="68" spans="1:3" ht="16.5">
      <c r="A68" s="50"/>
      <c r="B68" s="14"/>
      <c r="C68" s="15"/>
    </row>
    <row r="69" spans="1:3" ht="16.5">
      <c r="A69" s="50"/>
      <c r="B69" s="14"/>
      <c r="C69" s="15"/>
    </row>
    <row r="70" spans="1:3" ht="16.5">
      <c r="A70" s="50"/>
      <c r="B70" s="14"/>
      <c r="C70" s="15"/>
    </row>
    <row r="71" spans="1:3" ht="16.5">
      <c r="A71" s="50"/>
      <c r="B71" s="14"/>
      <c r="C71" s="15"/>
    </row>
    <row r="72" spans="1:3" ht="16.5">
      <c r="A72" s="50"/>
      <c r="B72" s="14"/>
      <c r="C72" s="15"/>
    </row>
    <row r="73" spans="1:3" ht="16.5">
      <c r="A73" s="50"/>
      <c r="B73" s="14"/>
      <c r="C73" s="15"/>
    </row>
    <row r="74" spans="1:3" ht="16.5">
      <c r="A74" s="50"/>
      <c r="B74" s="14"/>
      <c r="C74" s="15"/>
    </row>
    <row r="75" spans="1:3" ht="16.5">
      <c r="A75" s="50"/>
      <c r="B75" s="14"/>
      <c r="C75" s="15"/>
    </row>
    <row r="76" spans="1:3" ht="16.5">
      <c r="A76" s="50"/>
      <c r="B76" s="14"/>
      <c r="C76" s="15"/>
    </row>
    <row r="77" spans="1:3" ht="16.5">
      <c r="A77" s="50"/>
      <c r="B77" s="14"/>
      <c r="C77" s="15"/>
    </row>
    <row r="78" spans="1:3" ht="16.5">
      <c r="A78" s="50"/>
      <c r="B78" s="14"/>
      <c r="C78" s="15"/>
    </row>
    <row r="79" spans="1:3" ht="16.5">
      <c r="A79" s="50"/>
      <c r="B79" s="14"/>
      <c r="C79" s="15"/>
    </row>
    <row r="80" spans="1:3" ht="16.5">
      <c r="A80" s="50"/>
      <c r="B80" s="14"/>
      <c r="C80" s="15"/>
    </row>
    <row r="81" spans="1:3" ht="16.5">
      <c r="A81" s="50"/>
      <c r="B81" s="14"/>
      <c r="C81" s="15"/>
    </row>
    <row r="82" spans="1:3" ht="16.5">
      <c r="A82" s="50"/>
      <c r="B82" s="14"/>
      <c r="C82" s="15"/>
    </row>
    <row r="83" spans="1:3" ht="16.5">
      <c r="A83" s="50"/>
      <c r="B83" s="14"/>
      <c r="C83" s="15"/>
    </row>
    <row r="84" spans="1:3" ht="16.5">
      <c r="A84" s="50"/>
      <c r="B84" s="14"/>
      <c r="C84" s="15"/>
    </row>
    <row r="85" spans="1:3" ht="16.5">
      <c r="A85" s="50"/>
      <c r="B85" s="14"/>
      <c r="C85" s="15"/>
    </row>
    <row r="86" spans="1:3" ht="16.5">
      <c r="A86" s="50"/>
      <c r="B86" s="14"/>
      <c r="C86" s="15"/>
    </row>
    <row r="87" spans="1:3" ht="16.5">
      <c r="A87" s="50"/>
      <c r="B87" s="14"/>
      <c r="C87" s="15"/>
    </row>
    <row r="88" spans="1:3" ht="16.5">
      <c r="A88" s="50"/>
      <c r="B88" s="14"/>
      <c r="C88" s="15"/>
    </row>
    <row r="89" spans="1:3" ht="16.5">
      <c r="A89" s="50"/>
      <c r="B89" s="14"/>
      <c r="C89" s="15"/>
    </row>
    <row r="90" spans="1:3" ht="16.5">
      <c r="A90" s="50"/>
      <c r="B90" s="14"/>
      <c r="C90" s="15"/>
    </row>
    <row r="91" spans="1:3" ht="16.5">
      <c r="A91" s="50"/>
      <c r="B91" s="14"/>
      <c r="C91" s="15"/>
    </row>
    <row r="92" spans="1:3" ht="16.5">
      <c r="A92" s="50"/>
      <c r="B92" s="14"/>
      <c r="C92" s="15"/>
    </row>
    <row r="93" spans="1:3" ht="16.5">
      <c r="A93" s="50"/>
      <c r="B93" s="14"/>
      <c r="C93" s="15"/>
    </row>
    <row r="94" spans="1:3" ht="16.5">
      <c r="A94" s="50"/>
      <c r="B94" s="14"/>
      <c r="C94" s="15"/>
    </row>
    <row r="95" spans="1:3" ht="16.5">
      <c r="A95" s="50"/>
      <c r="B95" s="14"/>
      <c r="C95" s="15"/>
    </row>
    <row r="96" spans="1:3" ht="16.5">
      <c r="A96" s="50"/>
      <c r="B96" s="14"/>
      <c r="C96" s="15"/>
    </row>
    <row r="97" spans="1:3" ht="16.5">
      <c r="A97" s="50"/>
      <c r="B97" s="14"/>
      <c r="C97" s="15"/>
    </row>
    <row r="98" spans="1:3" ht="16.5">
      <c r="A98" s="50"/>
      <c r="B98" s="14"/>
      <c r="C98" s="15"/>
    </row>
    <row r="99" spans="1:3" ht="16.5">
      <c r="A99" s="50"/>
      <c r="B99" s="14"/>
      <c r="C99" s="15"/>
    </row>
    <row r="100" spans="1:3" ht="16.5">
      <c r="A100" s="50"/>
      <c r="B100" s="14"/>
      <c r="C100" s="15"/>
    </row>
    <row r="101" spans="1:3" ht="16.5">
      <c r="A101" s="50"/>
      <c r="B101" s="14"/>
      <c r="C101" s="15"/>
    </row>
    <row r="102" spans="1:3" ht="16.5">
      <c r="A102" s="50"/>
      <c r="B102" s="14"/>
      <c r="C102" s="15"/>
    </row>
    <row r="103" spans="1:3" ht="16.5">
      <c r="A103" s="50"/>
      <c r="B103" s="14"/>
      <c r="C103" s="15"/>
    </row>
    <row r="104" spans="1:3" ht="16.5">
      <c r="A104" s="50"/>
      <c r="B104" s="14"/>
      <c r="C104" s="15"/>
    </row>
    <row r="105" spans="1:3" ht="16.5">
      <c r="A105" s="50"/>
      <c r="B105" s="14"/>
      <c r="C105" s="15"/>
    </row>
    <row r="106" spans="1:3" ht="16.5">
      <c r="A106" s="50"/>
      <c r="B106" s="14"/>
      <c r="C106" s="15"/>
    </row>
    <row r="107" spans="1:3" ht="16.5">
      <c r="A107" s="50"/>
      <c r="B107" s="14"/>
      <c r="C107" s="15"/>
    </row>
    <row r="108" spans="1:3" ht="16.5">
      <c r="A108" s="50"/>
      <c r="B108" s="14"/>
      <c r="C108" s="15"/>
    </row>
    <row r="109" spans="1:3" ht="16.5">
      <c r="A109" s="50"/>
      <c r="B109" s="14"/>
      <c r="C109" s="15"/>
    </row>
    <row r="110" spans="1:3" ht="16.5">
      <c r="A110" s="50"/>
      <c r="B110" s="14"/>
      <c r="C110" s="15"/>
    </row>
    <row r="111" spans="1:3" ht="16.5">
      <c r="A111" s="50"/>
      <c r="B111" s="14"/>
      <c r="C111" s="15"/>
    </row>
    <row r="112" spans="1:3" ht="16.5">
      <c r="A112" s="50"/>
      <c r="B112" s="14"/>
      <c r="C112" s="15"/>
    </row>
    <row r="113" spans="1:3" ht="16.5">
      <c r="A113" s="50"/>
      <c r="B113" s="14"/>
      <c r="C113" s="15"/>
    </row>
    <row r="114" spans="1:3" ht="16.5">
      <c r="A114" s="50"/>
      <c r="B114" s="14"/>
      <c r="C114" s="15"/>
    </row>
    <row r="115" spans="1:3" ht="16.5">
      <c r="A115" s="50"/>
      <c r="B115" s="14"/>
      <c r="C115" s="15"/>
    </row>
    <row r="116" spans="1:3" ht="16.5">
      <c r="A116" s="50"/>
      <c r="B116" s="14"/>
      <c r="C116" s="15"/>
    </row>
    <row r="117" spans="1:3" ht="16.5">
      <c r="A117" s="50"/>
      <c r="B117" s="14"/>
      <c r="C117" s="15"/>
    </row>
    <row r="118" spans="1:3" ht="16.5">
      <c r="A118" s="50"/>
      <c r="B118" s="14"/>
      <c r="C118" s="15"/>
    </row>
    <row r="119" spans="1:3" ht="16.5">
      <c r="A119" s="50"/>
      <c r="B119" s="14"/>
      <c r="C119" s="15"/>
    </row>
    <row r="120" spans="1:3" ht="16.5">
      <c r="A120" s="50"/>
      <c r="B120" s="14"/>
      <c r="C120" s="15"/>
    </row>
    <row r="121" spans="1:3" ht="16.5">
      <c r="A121" s="50"/>
      <c r="B121" s="14"/>
      <c r="C121" s="15"/>
    </row>
    <row r="122" spans="1:3" ht="16.5">
      <c r="A122" s="50"/>
      <c r="B122" s="14"/>
      <c r="C122" s="15"/>
    </row>
    <row r="123" spans="1:3" ht="16.5">
      <c r="A123" s="50"/>
      <c r="B123" s="14"/>
      <c r="C123" s="15"/>
    </row>
    <row r="124" spans="1:3" ht="16.5">
      <c r="A124" s="50"/>
      <c r="B124" s="14"/>
      <c r="C124" s="15"/>
    </row>
    <row r="125" spans="1:3" ht="16.5">
      <c r="A125" s="50"/>
      <c r="B125" s="14"/>
      <c r="C125" s="15"/>
    </row>
    <row r="126" spans="1:3" ht="16.5">
      <c r="A126" s="50"/>
      <c r="B126" s="14"/>
      <c r="C126" s="15"/>
    </row>
    <row r="127" spans="1:3" ht="16.5">
      <c r="A127" s="50"/>
      <c r="B127" s="14"/>
      <c r="C127" s="15"/>
    </row>
    <row r="128" spans="1:3" ht="16.5">
      <c r="A128" s="50"/>
      <c r="B128" s="14"/>
      <c r="C128" s="15"/>
    </row>
    <row r="129" spans="1:3" ht="16.5">
      <c r="A129" s="50"/>
      <c r="B129" s="14"/>
      <c r="C129" s="15"/>
    </row>
    <row r="130" spans="1:3" ht="16.5">
      <c r="A130" s="50"/>
      <c r="B130" s="14"/>
      <c r="C130" s="15"/>
    </row>
    <row r="131" spans="1:3" ht="16.5">
      <c r="A131" s="50"/>
      <c r="B131" s="14"/>
      <c r="C131" s="15"/>
    </row>
    <row r="132" spans="1:3" ht="16.5">
      <c r="A132" s="50"/>
      <c r="B132" s="14"/>
      <c r="C132" s="15"/>
    </row>
    <row r="133" spans="1:3" ht="16.5">
      <c r="A133" s="50"/>
      <c r="B133" s="14"/>
      <c r="C133" s="15"/>
    </row>
    <row r="134" spans="1:3" ht="16.5">
      <c r="A134" s="50"/>
      <c r="B134" s="14"/>
      <c r="C134" s="15"/>
    </row>
    <row r="135" spans="1:3" ht="16.5">
      <c r="A135" s="50"/>
      <c r="B135" s="14"/>
      <c r="C135" s="15"/>
    </row>
    <row r="136" spans="1:3" ht="16.5">
      <c r="A136" s="50"/>
      <c r="B136" s="14"/>
      <c r="C136" s="15"/>
    </row>
    <row r="137" spans="1:3" ht="16.5">
      <c r="A137" s="50"/>
      <c r="B137" s="14"/>
      <c r="C137" s="15"/>
    </row>
    <row r="138" spans="1:3" ht="16.5">
      <c r="A138" s="50"/>
      <c r="B138" s="14"/>
      <c r="C138" s="15"/>
    </row>
    <row r="139" spans="1:3" ht="16.5">
      <c r="A139" s="50"/>
      <c r="B139" s="14"/>
      <c r="C139" s="15"/>
    </row>
    <row r="140" spans="1:3" ht="16.5">
      <c r="A140" s="50"/>
      <c r="B140" s="14"/>
      <c r="C140" s="15"/>
    </row>
    <row r="141" spans="1:3" ht="16.5">
      <c r="A141" s="50"/>
      <c r="B141" s="14"/>
      <c r="C141" s="15"/>
    </row>
    <row r="142" spans="1:3" ht="16.5">
      <c r="A142" s="50"/>
      <c r="B142" s="14"/>
      <c r="C142" s="15"/>
    </row>
    <row r="143" spans="1:3" ht="16.5">
      <c r="A143" s="50"/>
      <c r="B143" s="14"/>
      <c r="C143" s="15"/>
    </row>
    <row r="144" spans="1:3" ht="16.5">
      <c r="A144" s="50"/>
      <c r="B144" s="14"/>
      <c r="C144" s="15"/>
    </row>
    <row r="145" spans="1:3" ht="16.5">
      <c r="A145" s="50"/>
      <c r="B145" s="14"/>
      <c r="C145" s="15"/>
    </row>
    <row r="146" spans="1:3" ht="16.5">
      <c r="A146" s="50"/>
      <c r="B146" s="14"/>
      <c r="C146" s="15"/>
    </row>
    <row r="147" spans="1:3" ht="16.5">
      <c r="A147" s="50"/>
      <c r="B147" s="14"/>
      <c r="C147" s="15"/>
    </row>
    <row r="148" spans="1:3" ht="16.5">
      <c r="A148" s="50"/>
      <c r="B148" s="14"/>
      <c r="C148" s="15"/>
    </row>
    <row r="149" spans="1:3" ht="16.5">
      <c r="A149" s="50"/>
      <c r="B149" s="14"/>
      <c r="C149" s="15"/>
    </row>
    <row r="150" spans="1:3" ht="16.5">
      <c r="A150" s="50"/>
      <c r="B150" s="14"/>
      <c r="C150" s="15"/>
    </row>
    <row r="151" spans="1:3" ht="16.5">
      <c r="A151" s="50"/>
      <c r="B151" s="14"/>
      <c r="C151" s="15"/>
    </row>
    <row r="152" spans="1:3" ht="16.5">
      <c r="A152" s="50"/>
      <c r="B152" s="14"/>
      <c r="C152" s="15"/>
    </row>
    <row r="153" spans="1:3" ht="16.5">
      <c r="A153" s="50"/>
      <c r="B153" s="14"/>
      <c r="C153" s="15"/>
    </row>
    <row r="154" spans="1:3" ht="16.5">
      <c r="A154" s="50"/>
      <c r="B154" s="14"/>
      <c r="C154" s="15"/>
    </row>
    <row r="155" spans="1:3" ht="16.5">
      <c r="A155" s="50"/>
      <c r="B155" s="14"/>
      <c r="C155" s="15"/>
    </row>
    <row r="156" spans="1:3" ht="16.5">
      <c r="A156" s="50"/>
      <c r="B156" s="14"/>
      <c r="C156" s="15"/>
    </row>
    <row r="157" spans="1:3" ht="16.5">
      <c r="A157" s="50"/>
      <c r="B157" s="14"/>
      <c r="C157" s="15"/>
    </row>
    <row r="158" spans="1:3" ht="16.5">
      <c r="A158" s="50"/>
      <c r="B158" s="14"/>
      <c r="C158" s="15"/>
    </row>
    <row r="159" spans="1:3" ht="16.5">
      <c r="A159" s="50"/>
      <c r="B159" s="14"/>
      <c r="C159" s="15"/>
    </row>
    <row r="160" spans="1:3" ht="16.5">
      <c r="A160" s="50"/>
      <c r="B160" s="14"/>
      <c r="C160" s="15"/>
    </row>
    <row r="161" spans="1:3" ht="16.5">
      <c r="A161" s="50"/>
      <c r="B161" s="14"/>
      <c r="C161" s="15"/>
    </row>
    <row r="162" spans="1:3" ht="16.5">
      <c r="A162" s="50"/>
      <c r="B162" s="14"/>
      <c r="C162" s="15"/>
    </row>
    <row r="163" spans="1:3" ht="16.5">
      <c r="A163" s="50"/>
      <c r="B163" s="14"/>
      <c r="C163" s="15"/>
    </row>
    <row r="164" spans="1:3" ht="16.5">
      <c r="A164" s="50"/>
      <c r="B164" s="14"/>
      <c r="C164" s="15"/>
    </row>
    <row r="165" spans="1:3" ht="16.5">
      <c r="A165" s="50"/>
      <c r="B165" s="14"/>
      <c r="C165" s="15"/>
    </row>
    <row r="166" spans="1:3" ht="16.5">
      <c r="A166" s="50"/>
      <c r="B166" s="14"/>
      <c r="C166" s="15"/>
    </row>
    <row r="167" spans="1:3" ht="16.5">
      <c r="A167" s="50"/>
      <c r="B167" s="14"/>
      <c r="C167" s="15"/>
    </row>
    <row r="168" spans="1:3" ht="16.5">
      <c r="A168" s="50"/>
      <c r="B168" s="14"/>
      <c r="C168" s="15"/>
    </row>
    <row r="169" spans="1:3" ht="16.5">
      <c r="A169" s="50"/>
      <c r="B169" s="14"/>
      <c r="C169" s="15"/>
    </row>
    <row r="170" spans="1:3" ht="16.5">
      <c r="A170" s="50"/>
      <c r="B170" s="14"/>
      <c r="C170" s="15"/>
    </row>
    <row r="171" spans="1:3" ht="16.5">
      <c r="A171" s="50"/>
      <c r="B171" s="14"/>
      <c r="C171" s="15"/>
    </row>
    <row r="172" spans="1:3" ht="16.5">
      <c r="A172" s="50"/>
      <c r="B172" s="14"/>
      <c r="C172" s="15"/>
    </row>
    <row r="173" spans="1:3" ht="16.5">
      <c r="A173" s="50"/>
      <c r="B173" s="14"/>
      <c r="C173" s="15"/>
    </row>
    <row r="174" spans="1:3" ht="16.5">
      <c r="A174" s="50"/>
      <c r="B174" s="14"/>
      <c r="C174" s="15"/>
    </row>
    <row r="175" spans="1:3" ht="16.5">
      <c r="A175" s="50"/>
      <c r="B175" s="14"/>
      <c r="C175" s="15"/>
    </row>
    <row r="176" spans="1:3" ht="16.5">
      <c r="A176" s="50"/>
      <c r="B176" s="14"/>
      <c r="C176" s="15"/>
    </row>
    <row r="177" spans="1:3" ht="16.5">
      <c r="A177" s="50"/>
      <c r="B177" s="14"/>
      <c r="C177" s="15"/>
    </row>
    <row r="178" spans="1:3" ht="16.5">
      <c r="A178" s="50"/>
      <c r="B178" s="14"/>
      <c r="C178" s="15"/>
    </row>
    <row r="179" spans="1:3" ht="16.5">
      <c r="A179" s="50"/>
      <c r="B179" s="14"/>
      <c r="C179" s="15"/>
    </row>
    <row r="180" spans="1:3" ht="16.5">
      <c r="A180" s="50"/>
      <c r="B180" s="14"/>
      <c r="C180" s="15"/>
    </row>
    <row r="181" spans="1:3" ht="16.5">
      <c r="A181" s="50"/>
      <c r="B181" s="14"/>
      <c r="C181" s="15"/>
    </row>
    <row r="182" spans="1:3" ht="16.5">
      <c r="A182" s="50"/>
      <c r="B182" s="14"/>
      <c r="C182" s="15"/>
    </row>
    <row r="183" spans="1:3" ht="16.5">
      <c r="A183" s="50"/>
      <c r="B183" s="14"/>
      <c r="C183" s="15"/>
    </row>
    <row r="184" spans="1:3" ht="16.5">
      <c r="A184" s="50"/>
      <c r="B184" s="14"/>
      <c r="C184" s="15"/>
    </row>
    <row r="185" spans="1:3" ht="16.5">
      <c r="A185" s="50"/>
      <c r="B185" s="14"/>
      <c r="C185" s="15"/>
    </row>
    <row r="186" spans="1:3" ht="16.5">
      <c r="A186" s="50"/>
      <c r="B186" s="14"/>
      <c r="C186" s="15"/>
    </row>
    <row r="187" spans="1:3" ht="16.5">
      <c r="A187" s="50"/>
      <c r="B187" s="14"/>
      <c r="C187" s="15"/>
    </row>
    <row r="188" spans="1:3" ht="16.5">
      <c r="A188" s="50"/>
      <c r="B188" s="14"/>
      <c r="C188" s="15"/>
    </row>
    <row r="189" spans="1:3" ht="16.5">
      <c r="A189" s="50"/>
      <c r="B189" s="14"/>
      <c r="C189" s="15"/>
    </row>
    <row r="190" spans="1:3" ht="16.5">
      <c r="A190" s="50"/>
      <c r="B190" s="14"/>
      <c r="C190" s="15"/>
    </row>
    <row r="191" spans="1:3" ht="16.5">
      <c r="A191" s="50"/>
      <c r="B191" s="14"/>
      <c r="C191" s="15"/>
    </row>
    <row r="192" spans="1:3" ht="16.5">
      <c r="A192" s="50"/>
      <c r="B192" s="14"/>
      <c r="C192" s="15"/>
    </row>
    <row r="193" spans="1:3" ht="16.5">
      <c r="A193" s="50"/>
      <c r="B193" s="14"/>
      <c r="C193" s="15"/>
    </row>
    <row r="194" spans="1:3" ht="16.5">
      <c r="A194" s="50"/>
      <c r="B194" s="14"/>
      <c r="C194" s="15"/>
    </row>
    <row r="195" spans="1:3" ht="16.5">
      <c r="A195" s="50"/>
      <c r="B195" s="14"/>
      <c r="C195" s="15"/>
    </row>
    <row r="196" spans="1:3" ht="16.5">
      <c r="A196" s="50"/>
      <c r="B196" s="14"/>
      <c r="C196" s="15"/>
    </row>
    <row r="197" spans="1:3" ht="16.5">
      <c r="A197" s="50"/>
      <c r="B197" s="14"/>
      <c r="C197" s="15"/>
    </row>
    <row r="198" spans="1:3" ht="16.5">
      <c r="A198" s="50"/>
      <c r="B198" s="14"/>
      <c r="C198" s="15"/>
    </row>
    <row r="199" spans="1:3" ht="16.5">
      <c r="A199" s="50"/>
      <c r="B199" s="14"/>
      <c r="C199" s="15"/>
    </row>
    <row r="200" spans="1:3" ht="16.5">
      <c r="A200" s="50"/>
      <c r="B200" s="14"/>
      <c r="C200" s="15"/>
    </row>
  </sheetData>
  <sortState ref="A3:C22">
    <sortCondition ref="C3:C22"/>
    <sortCondition ref="B3:B22"/>
    <sortCondition ref="A3:A22"/>
  </sortState>
  <mergeCells count="1">
    <mergeCell ref="A1:C1"/>
  </mergeCells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50"/>
  <sheetViews>
    <sheetView showGridLines="0" workbookViewId="0">
      <selection activeCell="D23" sqref="D23"/>
    </sheetView>
  </sheetViews>
  <sheetFormatPr defaultRowHeight="15"/>
  <cols>
    <col min="1" max="1" width="5.7109375" style="105" customWidth="1"/>
    <col min="2" max="2" width="5.28515625" style="83" bestFit="1" customWidth="1"/>
    <col min="3" max="3" width="12.85546875" style="83" customWidth="1"/>
    <col min="4" max="4" width="13.5703125" style="83" customWidth="1"/>
    <col min="5" max="5" width="60.28515625" style="7" customWidth="1"/>
    <col min="7" max="7" width="4.7109375" style="105" customWidth="1"/>
    <col min="8" max="8" width="36.42578125" style="102" customWidth="1"/>
    <col min="10" max="10" width="32.85546875" customWidth="1"/>
  </cols>
  <sheetData>
    <row r="1" spans="1:10" ht="16.5">
      <c r="A1" s="179" t="s">
        <v>551</v>
      </c>
      <c r="B1" s="180"/>
      <c r="C1" s="180"/>
      <c r="D1" s="180"/>
      <c r="E1" s="181"/>
      <c r="G1" s="179" t="s">
        <v>602</v>
      </c>
      <c r="H1" s="180"/>
    </row>
    <row r="2" spans="1:10" ht="16.5">
      <c r="A2" s="124" t="s">
        <v>550</v>
      </c>
      <c r="B2" s="124" t="s">
        <v>209</v>
      </c>
      <c r="C2" s="124" t="s">
        <v>614</v>
      </c>
      <c r="D2" s="124" t="s">
        <v>615</v>
      </c>
      <c r="E2" s="123" t="s">
        <v>124</v>
      </c>
      <c r="G2" s="103" t="s">
        <v>550</v>
      </c>
      <c r="H2" s="58" t="s">
        <v>603</v>
      </c>
      <c r="J2" s="116" t="s">
        <v>604</v>
      </c>
    </row>
    <row r="3" spans="1:10" ht="16.5">
      <c r="A3" s="104">
        <v>1</v>
      </c>
      <c r="B3" s="122">
        <v>26</v>
      </c>
      <c r="C3" s="84" t="s">
        <v>616</v>
      </c>
      <c r="D3" s="84" t="s">
        <v>616</v>
      </c>
      <c r="E3" s="15" t="s">
        <v>219</v>
      </c>
      <c r="G3" s="104">
        <v>1</v>
      </c>
      <c r="H3" s="115" t="s">
        <v>30</v>
      </c>
      <c r="J3" s="117" t="str">
        <f ca="1">INDIRECT(ADDRESS(RANDBETWEEN(3, COUNT(G:G)+2), 8))</f>
        <v>Gatchaman Crowds</v>
      </c>
    </row>
    <row r="4" spans="1:10" ht="16.5">
      <c r="A4" s="104">
        <v>2</v>
      </c>
      <c r="B4" s="122">
        <v>13</v>
      </c>
      <c r="C4" s="122"/>
      <c r="D4" s="122"/>
      <c r="E4" s="15" t="s">
        <v>53</v>
      </c>
      <c r="G4" s="104">
        <v>2</v>
      </c>
      <c r="H4" s="115" t="s">
        <v>226</v>
      </c>
    </row>
    <row r="5" spans="1:10" ht="16.5">
      <c r="A5" s="104">
        <v>3</v>
      </c>
      <c r="B5" s="122">
        <v>16</v>
      </c>
      <c r="C5" s="122"/>
      <c r="D5" s="122"/>
      <c r="E5" s="15" t="s">
        <v>192</v>
      </c>
      <c r="G5" s="104">
        <v>3</v>
      </c>
      <c r="H5" s="115" t="s">
        <v>391</v>
      </c>
    </row>
    <row r="6" spans="1:10" ht="16.5">
      <c r="A6" s="104">
        <v>4</v>
      </c>
      <c r="B6" s="122">
        <v>25</v>
      </c>
      <c r="C6" s="122"/>
      <c r="D6" s="122"/>
      <c r="E6" s="15" t="s">
        <v>127</v>
      </c>
      <c r="G6" s="104">
        <v>4</v>
      </c>
      <c r="H6" s="115" t="s">
        <v>496</v>
      </c>
    </row>
    <row r="7" spans="1:10" ht="16.5">
      <c r="A7" s="104">
        <v>5</v>
      </c>
      <c r="B7" s="122">
        <v>12</v>
      </c>
      <c r="C7" s="122"/>
      <c r="D7" s="122"/>
      <c r="E7" s="15" t="s">
        <v>251</v>
      </c>
      <c r="G7" s="104">
        <v>5</v>
      </c>
      <c r="H7" s="115" t="s">
        <v>74</v>
      </c>
    </row>
    <row r="8" spans="1:10" ht="16.5">
      <c r="A8" s="104">
        <v>6</v>
      </c>
      <c r="B8" s="122">
        <v>25</v>
      </c>
      <c r="C8" s="122"/>
      <c r="D8" s="122"/>
      <c r="E8" s="15" t="s">
        <v>600</v>
      </c>
      <c r="G8" s="104">
        <v>6</v>
      </c>
      <c r="H8" s="115" t="s">
        <v>63</v>
      </c>
    </row>
    <row r="9" spans="1:10" ht="16.5">
      <c r="A9" s="104">
        <v>7</v>
      </c>
      <c r="B9" s="122">
        <v>11</v>
      </c>
      <c r="C9" s="125">
        <v>41742</v>
      </c>
      <c r="D9" s="125">
        <v>41746</v>
      </c>
      <c r="E9" s="15" t="s">
        <v>33</v>
      </c>
      <c r="G9" s="104">
        <v>7</v>
      </c>
      <c r="H9" s="115" t="s">
        <v>24</v>
      </c>
    </row>
    <row r="10" spans="1:10" ht="16.5">
      <c r="A10" s="104">
        <v>8</v>
      </c>
      <c r="B10" s="122">
        <v>25</v>
      </c>
      <c r="C10" s="125">
        <v>41750</v>
      </c>
      <c r="D10" s="125">
        <v>41756</v>
      </c>
      <c r="E10" s="15" t="s">
        <v>601</v>
      </c>
      <c r="G10" s="104"/>
      <c r="H10" s="115"/>
    </row>
    <row r="11" spans="1:10" ht="16.5">
      <c r="A11" s="104">
        <v>9</v>
      </c>
      <c r="B11" s="122">
        <v>26</v>
      </c>
      <c r="C11" s="122"/>
      <c r="D11" s="122"/>
      <c r="E11" s="15" t="s">
        <v>187</v>
      </c>
      <c r="G11" s="104"/>
      <c r="H11" s="115"/>
    </row>
    <row r="12" spans="1:10" ht="16.5">
      <c r="A12" s="104">
        <v>10</v>
      </c>
      <c r="B12" s="122">
        <v>12</v>
      </c>
      <c r="C12" s="122"/>
      <c r="D12" s="122"/>
      <c r="E12" s="15" t="s">
        <v>74</v>
      </c>
      <c r="G12" s="104"/>
      <c r="H12" s="115"/>
    </row>
    <row r="13" spans="1:10" ht="16.5">
      <c r="A13" s="104"/>
      <c r="B13" s="122"/>
      <c r="C13" s="122"/>
      <c r="D13" s="122"/>
      <c r="E13" s="15"/>
      <c r="G13" s="104"/>
      <c r="H13" s="115"/>
    </row>
    <row r="14" spans="1:10" ht="16.5">
      <c r="A14" s="104"/>
      <c r="B14" s="122"/>
      <c r="C14" s="122"/>
      <c r="D14" s="122"/>
      <c r="E14" s="15"/>
      <c r="G14" s="104"/>
      <c r="H14" s="115"/>
    </row>
    <row r="15" spans="1:10" ht="16.5">
      <c r="A15" s="104"/>
      <c r="B15" s="122"/>
      <c r="C15" s="122"/>
      <c r="D15" s="122"/>
      <c r="E15" s="15"/>
      <c r="G15" s="104"/>
      <c r="H15" s="115"/>
    </row>
    <row r="16" spans="1:10" ht="16.5">
      <c r="A16" s="104"/>
      <c r="B16" s="122"/>
      <c r="C16" s="122"/>
      <c r="D16" s="122"/>
      <c r="E16" s="15"/>
      <c r="G16" s="104"/>
      <c r="H16" s="115"/>
    </row>
    <row r="17" spans="1:8" ht="16.5">
      <c r="A17" s="104"/>
      <c r="B17" s="122"/>
      <c r="C17" s="122"/>
      <c r="D17" s="122"/>
      <c r="E17" s="15"/>
      <c r="G17" s="104"/>
      <c r="H17" s="115"/>
    </row>
    <row r="18" spans="1:8" ht="16.5">
      <c r="A18" s="104"/>
      <c r="B18" s="122"/>
      <c r="C18" s="122"/>
      <c r="D18" s="122"/>
      <c r="E18" s="15"/>
      <c r="G18" s="104"/>
      <c r="H18" s="115"/>
    </row>
    <row r="19" spans="1:8" ht="16.5">
      <c r="A19" s="104"/>
      <c r="B19" s="122"/>
      <c r="C19" s="122"/>
      <c r="D19" s="122"/>
      <c r="E19" s="15"/>
      <c r="G19" s="104"/>
      <c r="H19" s="115"/>
    </row>
    <row r="20" spans="1:8" ht="16.5">
      <c r="A20" s="104"/>
      <c r="B20" s="122"/>
      <c r="C20" s="122"/>
      <c r="D20" s="122"/>
      <c r="E20" s="15"/>
      <c r="G20" s="104"/>
      <c r="H20" s="115"/>
    </row>
    <row r="21" spans="1:8" ht="16.5">
      <c r="A21" s="104"/>
      <c r="B21" s="122"/>
      <c r="C21" s="122"/>
      <c r="D21" s="122"/>
      <c r="E21" s="15"/>
      <c r="G21" s="104"/>
      <c r="H21" s="115"/>
    </row>
    <row r="22" spans="1:8" ht="16.5">
      <c r="A22" s="104"/>
      <c r="B22" s="122"/>
      <c r="C22" s="122"/>
      <c r="D22" s="122"/>
      <c r="E22" s="15"/>
      <c r="G22" s="104"/>
      <c r="H22" s="115"/>
    </row>
    <row r="23" spans="1:8" ht="16.5">
      <c r="A23" s="104"/>
      <c r="B23" s="122"/>
      <c r="C23" s="122"/>
      <c r="D23" s="122"/>
      <c r="E23" s="15"/>
      <c r="G23" s="104"/>
      <c r="H23" s="115"/>
    </row>
    <row r="24" spans="1:8" ht="16.5">
      <c r="A24" s="104"/>
      <c r="B24" s="122"/>
      <c r="C24" s="122"/>
      <c r="D24" s="122"/>
      <c r="E24" s="15"/>
      <c r="G24" s="104"/>
      <c r="H24" s="115"/>
    </row>
    <row r="25" spans="1:8" ht="16.5">
      <c r="A25" s="104"/>
      <c r="B25" s="122"/>
      <c r="C25" s="122"/>
      <c r="D25" s="122"/>
      <c r="E25" s="15"/>
      <c r="G25" s="104"/>
      <c r="H25" s="115"/>
    </row>
    <row r="26" spans="1:8" ht="16.5">
      <c r="A26" s="104"/>
      <c r="B26" s="122"/>
      <c r="C26" s="122"/>
      <c r="D26" s="122"/>
      <c r="E26" s="15"/>
      <c r="G26" s="104"/>
      <c r="H26" s="115"/>
    </row>
    <row r="27" spans="1:8" ht="16.5">
      <c r="A27" s="104"/>
      <c r="B27" s="122"/>
      <c r="C27" s="122"/>
      <c r="D27" s="122"/>
      <c r="E27" s="15"/>
      <c r="G27" s="104"/>
      <c r="H27" s="115"/>
    </row>
    <row r="28" spans="1:8" ht="16.5">
      <c r="A28" s="104"/>
      <c r="B28" s="122"/>
      <c r="C28" s="122"/>
      <c r="D28" s="122"/>
      <c r="E28" s="15"/>
      <c r="G28" s="104"/>
      <c r="H28" s="115"/>
    </row>
    <row r="29" spans="1:8" ht="16.5">
      <c r="A29" s="104"/>
      <c r="B29" s="122"/>
      <c r="C29" s="122"/>
      <c r="D29" s="122"/>
      <c r="E29" s="15"/>
      <c r="G29" s="104"/>
      <c r="H29" s="115"/>
    </row>
    <row r="30" spans="1:8" ht="16.5">
      <c r="A30" s="104"/>
      <c r="B30" s="122"/>
      <c r="C30" s="122"/>
      <c r="D30" s="122"/>
      <c r="E30" s="15"/>
      <c r="G30" s="104"/>
      <c r="H30" s="115"/>
    </row>
    <row r="31" spans="1:8" ht="16.5">
      <c r="A31" s="104"/>
      <c r="B31" s="122"/>
      <c r="C31" s="122"/>
      <c r="D31" s="122"/>
      <c r="E31" s="15"/>
      <c r="G31" s="104"/>
      <c r="H31" s="115"/>
    </row>
    <row r="32" spans="1:8" ht="16.5">
      <c r="A32" s="104"/>
      <c r="B32" s="122"/>
      <c r="C32" s="122"/>
      <c r="D32" s="122"/>
      <c r="E32" s="15"/>
      <c r="G32" s="104"/>
      <c r="H32" s="115"/>
    </row>
    <row r="33" spans="1:8" ht="16.5">
      <c r="A33" s="104"/>
      <c r="B33" s="122"/>
      <c r="C33" s="122"/>
      <c r="D33" s="122"/>
      <c r="E33" s="15"/>
      <c r="G33" s="104"/>
      <c r="H33" s="115"/>
    </row>
    <row r="34" spans="1:8" ht="16.5">
      <c r="A34" s="104"/>
      <c r="B34" s="122"/>
      <c r="C34" s="122"/>
      <c r="D34" s="122"/>
      <c r="E34" s="15"/>
      <c r="G34" s="104"/>
      <c r="H34" s="115"/>
    </row>
    <row r="35" spans="1:8" ht="16.5">
      <c r="A35" s="104"/>
      <c r="B35" s="122"/>
      <c r="C35" s="122"/>
      <c r="D35" s="122"/>
      <c r="E35" s="15"/>
      <c r="G35" s="104"/>
      <c r="H35" s="115"/>
    </row>
    <row r="36" spans="1:8" ht="16.5">
      <c r="A36" s="104"/>
      <c r="B36" s="122"/>
      <c r="C36" s="122"/>
      <c r="D36" s="122"/>
      <c r="E36" s="15"/>
      <c r="G36" s="104"/>
      <c r="H36" s="115"/>
    </row>
    <row r="37" spans="1:8" ht="16.5">
      <c r="A37" s="104"/>
      <c r="B37" s="122"/>
      <c r="C37" s="122"/>
      <c r="D37" s="122"/>
      <c r="E37" s="15"/>
      <c r="G37" s="104"/>
      <c r="H37" s="115"/>
    </row>
    <row r="38" spans="1:8" ht="16.5">
      <c r="A38" s="104"/>
      <c r="B38" s="122"/>
      <c r="C38" s="122"/>
      <c r="D38" s="122"/>
      <c r="E38" s="15"/>
      <c r="G38" s="104"/>
      <c r="H38" s="115"/>
    </row>
    <row r="39" spans="1:8" ht="16.5">
      <c r="A39" s="104"/>
      <c r="B39" s="122"/>
      <c r="C39" s="122"/>
      <c r="D39" s="122"/>
      <c r="E39" s="15"/>
      <c r="G39" s="104"/>
      <c r="H39" s="115"/>
    </row>
    <row r="40" spans="1:8" ht="16.5">
      <c r="A40" s="104"/>
      <c r="B40" s="122"/>
      <c r="C40" s="122"/>
      <c r="D40" s="122"/>
      <c r="E40" s="15"/>
      <c r="G40" s="104"/>
      <c r="H40" s="115"/>
    </row>
    <row r="41" spans="1:8" ht="16.5">
      <c r="A41" s="104"/>
      <c r="B41" s="122"/>
      <c r="C41" s="122"/>
      <c r="D41" s="122"/>
      <c r="E41" s="15"/>
      <c r="G41" s="104"/>
      <c r="H41" s="115"/>
    </row>
    <row r="42" spans="1:8" ht="16.5">
      <c r="A42" s="104"/>
      <c r="B42" s="122"/>
      <c r="C42" s="122"/>
      <c r="D42" s="122"/>
      <c r="E42" s="15"/>
      <c r="G42" s="104"/>
      <c r="H42" s="115"/>
    </row>
    <row r="43" spans="1:8" ht="16.5">
      <c r="A43" s="104"/>
      <c r="B43" s="122"/>
      <c r="C43" s="122"/>
      <c r="D43" s="122"/>
      <c r="E43" s="15"/>
      <c r="G43" s="104"/>
      <c r="H43" s="115"/>
    </row>
    <row r="44" spans="1:8" ht="16.5">
      <c r="A44" s="104"/>
      <c r="B44" s="122"/>
      <c r="C44" s="122"/>
      <c r="D44" s="122"/>
      <c r="E44" s="15"/>
      <c r="G44" s="104"/>
      <c r="H44" s="115"/>
    </row>
    <row r="45" spans="1:8" ht="16.5">
      <c r="A45" s="104"/>
      <c r="B45" s="122"/>
      <c r="C45" s="122"/>
      <c r="D45" s="122"/>
      <c r="E45" s="15"/>
      <c r="G45" s="104"/>
      <c r="H45" s="115"/>
    </row>
    <row r="46" spans="1:8" ht="16.5">
      <c r="A46" s="104"/>
      <c r="B46" s="122"/>
      <c r="C46" s="122"/>
      <c r="D46" s="122"/>
      <c r="E46" s="15"/>
      <c r="G46" s="104"/>
      <c r="H46" s="115"/>
    </row>
    <row r="47" spans="1:8" ht="16.5">
      <c r="A47" s="104"/>
      <c r="B47" s="122"/>
      <c r="C47" s="122"/>
      <c r="D47" s="122"/>
      <c r="E47" s="15"/>
      <c r="G47" s="104"/>
      <c r="H47" s="115"/>
    </row>
    <row r="48" spans="1:8" ht="16.5">
      <c r="A48" s="104"/>
      <c r="B48" s="122"/>
      <c r="C48" s="122"/>
      <c r="D48" s="122"/>
      <c r="E48" s="15"/>
      <c r="G48" s="104"/>
      <c r="H48" s="115"/>
    </row>
    <row r="49" spans="1:8" ht="16.5">
      <c r="A49" s="104"/>
      <c r="B49" s="122"/>
      <c r="C49" s="122"/>
      <c r="D49" s="122"/>
      <c r="E49" s="15"/>
      <c r="G49" s="104"/>
      <c r="H49" s="115"/>
    </row>
    <row r="50" spans="1:8" ht="16.5">
      <c r="A50" s="104"/>
      <c r="B50" s="122"/>
      <c r="C50" s="122"/>
      <c r="D50" s="122"/>
      <c r="E50" s="15"/>
      <c r="G50" s="104"/>
      <c r="H50" s="115"/>
    </row>
  </sheetData>
  <mergeCells count="2">
    <mergeCell ref="A1:E1"/>
    <mergeCell ref="G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"/>
  <sheetViews>
    <sheetView workbookViewId="0">
      <selection activeCell="A13" sqref="A13"/>
    </sheetView>
  </sheetViews>
  <sheetFormatPr defaultRowHeight="15"/>
  <cols>
    <col min="1" max="2" width="20.7109375" customWidth="1"/>
    <col min="3" max="3" width="5.7109375" customWidth="1"/>
    <col min="4" max="5" width="20.7109375" customWidth="1"/>
    <col min="6" max="6" width="5.7109375" customWidth="1"/>
    <col min="7" max="8" width="20.7109375" customWidth="1"/>
    <col min="9" max="9" width="5.7109375" customWidth="1"/>
    <col min="10" max="11" width="20.7109375" customWidth="1"/>
  </cols>
  <sheetData>
    <row r="1" spans="1:11">
      <c r="A1" s="182" t="s">
        <v>368</v>
      </c>
      <c r="B1" s="182"/>
      <c r="D1" s="182" t="s">
        <v>369</v>
      </c>
      <c r="E1" s="182"/>
      <c r="G1" s="182" t="s">
        <v>370</v>
      </c>
      <c r="H1" s="182"/>
      <c r="J1" s="182"/>
      <c r="K1" s="182"/>
    </row>
    <row r="2" spans="1:11">
      <c r="A2" t="s">
        <v>343</v>
      </c>
      <c r="B2" t="s">
        <v>344</v>
      </c>
      <c r="D2" t="s">
        <v>345</v>
      </c>
      <c r="E2" t="s">
        <v>346</v>
      </c>
      <c r="G2" t="s">
        <v>345</v>
      </c>
      <c r="H2" t="s">
        <v>347</v>
      </c>
    </row>
    <row r="3" spans="1:11">
      <c r="A3" t="s">
        <v>355</v>
      </c>
      <c r="B3" t="s">
        <v>356</v>
      </c>
      <c r="C3" t="s">
        <v>357</v>
      </c>
      <c r="D3" t="s">
        <v>350</v>
      </c>
      <c r="E3" t="s">
        <v>350</v>
      </c>
      <c r="G3" t="s">
        <v>348</v>
      </c>
      <c r="H3" t="s">
        <v>349</v>
      </c>
    </row>
    <row r="4" spans="1:11">
      <c r="A4" t="s">
        <v>360</v>
      </c>
      <c r="B4" t="s">
        <v>361</v>
      </c>
      <c r="C4" t="s">
        <v>357</v>
      </c>
      <c r="D4" t="s">
        <v>351</v>
      </c>
      <c r="E4" t="s">
        <v>353</v>
      </c>
      <c r="G4" t="s">
        <v>358</v>
      </c>
      <c r="H4" t="s">
        <v>359</v>
      </c>
      <c r="I4" t="s">
        <v>357</v>
      </c>
    </row>
    <row r="5" spans="1:11">
      <c r="A5" t="s">
        <v>366</v>
      </c>
      <c r="B5" t="s">
        <v>367</v>
      </c>
      <c r="D5" t="s">
        <v>352</v>
      </c>
      <c r="E5" t="s">
        <v>354</v>
      </c>
      <c r="G5" t="s">
        <v>362</v>
      </c>
      <c r="H5" t="s">
        <v>363</v>
      </c>
    </row>
    <row r="6" spans="1:11">
      <c r="A6" t="s">
        <v>371</v>
      </c>
      <c r="B6" t="s">
        <v>372</v>
      </c>
      <c r="D6" t="s">
        <v>378</v>
      </c>
      <c r="E6" t="s">
        <v>375</v>
      </c>
      <c r="G6" t="s">
        <v>364</v>
      </c>
      <c r="H6" t="s">
        <v>365</v>
      </c>
    </row>
    <row r="7" spans="1:11">
      <c r="A7" t="s">
        <v>379</v>
      </c>
      <c r="B7" t="s">
        <v>380</v>
      </c>
      <c r="C7" t="s">
        <v>357</v>
      </c>
      <c r="D7" t="s">
        <v>373</v>
      </c>
      <c r="E7" t="s">
        <v>374</v>
      </c>
      <c r="F7" t="s">
        <v>357</v>
      </c>
      <c r="G7" t="s">
        <v>376</v>
      </c>
      <c r="H7" t="s">
        <v>377</v>
      </c>
    </row>
    <row r="8" spans="1:11">
      <c r="I8" t="s">
        <v>357</v>
      </c>
    </row>
    <row r="11" spans="1:11">
      <c r="A11" t="s">
        <v>445</v>
      </c>
    </row>
    <row r="12" spans="1:11">
      <c r="A12" t="s">
        <v>444</v>
      </c>
    </row>
    <row r="13" spans="1:11">
      <c r="A13" t="s">
        <v>446</v>
      </c>
    </row>
    <row r="14" spans="1:11">
      <c r="A14" t="s">
        <v>497</v>
      </c>
    </row>
    <row r="15" spans="1:11">
      <c r="A15" t="s">
        <v>630</v>
      </c>
    </row>
  </sheetData>
  <mergeCells count="4">
    <mergeCell ref="A1:B1"/>
    <mergeCell ref="D1:E1"/>
    <mergeCell ref="G1:H1"/>
    <mergeCell ref="J1:K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showGridLines="0" zoomScale="85" zoomScaleNormal="85" workbookViewId="0">
      <selection activeCell="L42" sqref="L42"/>
    </sheetView>
  </sheetViews>
  <sheetFormatPr defaultRowHeight="15"/>
  <cols>
    <col min="1" max="1" width="23" bestFit="1" customWidth="1"/>
    <col min="2" max="2" width="20" customWidth="1"/>
    <col min="5" max="5" width="5.7109375" customWidth="1"/>
    <col min="6" max="6" width="17.5703125" customWidth="1"/>
    <col min="7" max="7" width="7.42578125" customWidth="1"/>
  </cols>
  <sheetData>
    <row r="1" spans="1:8" ht="16.5">
      <c r="A1" s="183" t="s">
        <v>240</v>
      </c>
      <c r="B1" s="184"/>
      <c r="C1" s="184"/>
      <c r="D1" s="184"/>
      <c r="E1" s="9"/>
      <c r="F1" s="9"/>
      <c r="G1" s="9"/>
      <c r="H1" s="9"/>
    </row>
    <row r="2" spans="1:8" ht="16.5">
      <c r="A2" s="10" t="s">
        <v>124</v>
      </c>
      <c r="B2" s="11" t="s">
        <v>4</v>
      </c>
      <c r="C2" s="63" t="s">
        <v>241</v>
      </c>
      <c r="D2" s="58" t="s">
        <v>263</v>
      </c>
      <c r="E2" s="9"/>
      <c r="F2" s="9"/>
      <c r="G2" s="9"/>
      <c r="H2" s="9"/>
    </row>
    <row r="3" spans="1:8" ht="16.5">
      <c r="A3" s="50" t="s">
        <v>232</v>
      </c>
      <c r="B3" s="14" t="s">
        <v>163</v>
      </c>
      <c r="C3" s="14" t="s">
        <v>233</v>
      </c>
      <c r="D3" s="15" t="s">
        <v>162</v>
      </c>
      <c r="E3" s="9"/>
      <c r="F3" s="9"/>
      <c r="G3" s="9"/>
      <c r="H3" s="9"/>
    </row>
    <row r="4" spans="1:8" ht="16.5">
      <c r="A4" s="50" t="s">
        <v>246</v>
      </c>
      <c r="B4" s="14" t="s">
        <v>45</v>
      </c>
      <c r="C4" s="14" t="s">
        <v>234</v>
      </c>
      <c r="D4" s="15" t="s">
        <v>162</v>
      </c>
      <c r="E4" s="9"/>
      <c r="F4" s="38" t="s">
        <v>250</v>
      </c>
      <c r="G4" s="59">
        <v>1.2</v>
      </c>
      <c r="H4" s="9"/>
    </row>
    <row r="5" spans="1:8" ht="16.5">
      <c r="A5" s="50" t="s">
        <v>245</v>
      </c>
      <c r="B5" s="14" t="s">
        <v>126</v>
      </c>
      <c r="C5" s="14" t="s">
        <v>236</v>
      </c>
      <c r="D5" s="15" t="s">
        <v>162</v>
      </c>
      <c r="E5" s="9"/>
      <c r="F5" s="9"/>
      <c r="G5" s="9"/>
      <c r="H5" s="9"/>
    </row>
    <row r="6" spans="1:8" ht="16.5">
      <c r="A6" s="50" t="s">
        <v>443</v>
      </c>
      <c r="B6" s="14" t="s">
        <v>424</v>
      </c>
      <c r="C6" s="14" t="s">
        <v>248</v>
      </c>
      <c r="D6" s="15" t="s">
        <v>162</v>
      </c>
      <c r="E6" s="9"/>
      <c r="F6" s="9"/>
      <c r="G6" s="9"/>
      <c r="H6" s="9"/>
    </row>
    <row r="7" spans="1:8" ht="16.5">
      <c r="A7" s="50" t="s">
        <v>434</v>
      </c>
      <c r="B7" s="14" t="s">
        <v>422</v>
      </c>
      <c r="C7" s="14" t="s">
        <v>442</v>
      </c>
      <c r="D7" s="15" t="s">
        <v>162</v>
      </c>
      <c r="E7" s="9"/>
      <c r="F7" s="9"/>
      <c r="G7" s="9"/>
      <c r="H7" s="9"/>
    </row>
    <row r="8" spans="1:8" ht="16.5">
      <c r="A8" s="50" t="s">
        <v>247</v>
      </c>
      <c r="B8" s="14" t="s">
        <v>189</v>
      </c>
      <c r="C8" s="14" t="s">
        <v>235</v>
      </c>
      <c r="D8" s="15" t="s">
        <v>55</v>
      </c>
      <c r="E8" s="9"/>
      <c r="F8" s="9"/>
      <c r="G8" s="9"/>
      <c r="H8" s="9"/>
    </row>
    <row r="9" spans="1:8" ht="16.5">
      <c r="A9" s="50" t="s">
        <v>244</v>
      </c>
      <c r="B9" s="14" t="s">
        <v>183</v>
      </c>
      <c r="C9" s="14" t="s">
        <v>239</v>
      </c>
      <c r="D9" s="15" t="s">
        <v>55</v>
      </c>
      <c r="E9" s="9"/>
      <c r="F9" s="9"/>
      <c r="G9" s="9"/>
      <c r="H9" s="9"/>
    </row>
    <row r="10" spans="1:8" ht="16.5">
      <c r="A10" s="50" t="s">
        <v>242</v>
      </c>
      <c r="B10" s="14" t="s">
        <v>34</v>
      </c>
      <c r="C10" s="14" t="s">
        <v>238</v>
      </c>
      <c r="D10" s="15" t="s">
        <v>55</v>
      </c>
      <c r="E10" s="9"/>
      <c r="F10" s="9"/>
      <c r="G10" s="9"/>
      <c r="H10" s="9"/>
    </row>
    <row r="11" spans="1:8" ht="16.5">
      <c r="A11" s="51" t="s">
        <v>53</v>
      </c>
      <c r="B11" s="52" t="s">
        <v>53</v>
      </c>
      <c r="C11" s="52" t="s">
        <v>237</v>
      </c>
      <c r="D11" s="53" t="s">
        <v>55</v>
      </c>
      <c r="E11" s="9"/>
      <c r="F11" s="9"/>
      <c r="G11" s="9"/>
      <c r="H11" s="9"/>
    </row>
    <row r="12" spans="1:8" ht="16.5">
      <c r="A12" s="9"/>
      <c r="B12" s="9"/>
      <c r="C12" s="9"/>
      <c r="D12" s="9"/>
      <c r="E12" s="9"/>
      <c r="F12" s="9"/>
      <c r="G12" s="9"/>
      <c r="H12" s="9"/>
    </row>
  </sheetData>
  <sortState ref="A3:D11">
    <sortCondition descending="1" ref="D3:D11"/>
  </sortState>
  <mergeCells count="1">
    <mergeCell ref="A1:D1"/>
  </mergeCells>
  <phoneticPr fontId="6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27"/>
  <sheetViews>
    <sheetView showGridLines="0" topLeftCell="D1" workbookViewId="0">
      <selection activeCell="O30" sqref="O30"/>
    </sheetView>
  </sheetViews>
  <sheetFormatPr defaultRowHeight="15"/>
  <cols>
    <col min="1" max="1" width="12" style="5" hidden="1" customWidth="1"/>
    <col min="2" max="2" width="0" hidden="1" customWidth="1"/>
    <col min="3" max="3" width="15.7109375" hidden="1" customWidth="1"/>
  </cols>
  <sheetData>
    <row r="1" spans="1:3">
      <c r="A1" s="5" t="s">
        <v>611</v>
      </c>
      <c r="B1" t="s">
        <v>619</v>
      </c>
      <c r="C1" t="s">
        <v>620</v>
      </c>
    </row>
    <row r="2" spans="1:3">
      <c r="A2" s="5">
        <v>40674</v>
      </c>
      <c r="B2">
        <v>1</v>
      </c>
    </row>
    <row r="3" spans="1:3">
      <c r="A3" s="5">
        <v>41270</v>
      </c>
      <c r="B3">
        <v>11</v>
      </c>
    </row>
    <row r="4" spans="1:3">
      <c r="A4" s="5">
        <v>41088</v>
      </c>
      <c r="B4">
        <v>2</v>
      </c>
    </row>
    <row r="5" spans="1:3">
      <c r="A5" s="5">
        <v>41228</v>
      </c>
      <c r="B5">
        <v>3</v>
      </c>
    </row>
    <row r="6" spans="1:3">
      <c r="A6" s="5">
        <v>41229</v>
      </c>
      <c r="B6">
        <v>4</v>
      </c>
    </row>
    <row r="7" spans="1:3">
      <c r="A7" s="5">
        <v>41245</v>
      </c>
      <c r="B7">
        <v>5</v>
      </c>
    </row>
    <row r="8" spans="1:3">
      <c r="A8" s="5">
        <v>41250</v>
      </c>
      <c r="B8">
        <v>6</v>
      </c>
    </row>
    <row r="9" spans="1:3">
      <c r="A9" s="5">
        <v>41251</v>
      </c>
      <c r="B9">
        <v>7</v>
      </c>
    </row>
    <row r="10" spans="1:3">
      <c r="A10" s="5">
        <v>41254</v>
      </c>
      <c r="B10">
        <v>8</v>
      </c>
    </row>
    <row r="11" spans="1:3">
      <c r="A11" s="5">
        <v>41255</v>
      </c>
      <c r="B11">
        <v>9</v>
      </c>
    </row>
    <row r="12" spans="1:3">
      <c r="A12" s="5">
        <v>41261</v>
      </c>
      <c r="B12">
        <v>10</v>
      </c>
    </row>
    <row r="13" spans="1:3">
      <c r="A13" s="5">
        <v>41280</v>
      </c>
      <c r="B13">
        <v>12</v>
      </c>
    </row>
    <row r="14" spans="1:3">
      <c r="A14" s="5">
        <v>41286</v>
      </c>
      <c r="B14">
        <v>13</v>
      </c>
    </row>
    <row r="15" spans="1:3">
      <c r="A15" s="5">
        <v>41288</v>
      </c>
      <c r="B15">
        <v>14</v>
      </c>
    </row>
    <row r="16" spans="1:3">
      <c r="A16" s="5">
        <v>41289</v>
      </c>
      <c r="B16">
        <v>15</v>
      </c>
    </row>
    <row r="17" spans="1:2">
      <c r="A17" s="5">
        <v>41290</v>
      </c>
      <c r="B17">
        <v>16</v>
      </c>
    </row>
    <row r="18" spans="1:2">
      <c r="A18" s="5">
        <v>41291</v>
      </c>
      <c r="B18">
        <v>17</v>
      </c>
    </row>
    <row r="19" spans="1:2">
      <c r="A19" s="5">
        <v>41292</v>
      </c>
      <c r="B19">
        <v>18</v>
      </c>
    </row>
    <row r="20" spans="1:2">
      <c r="A20" s="5">
        <v>41293</v>
      </c>
      <c r="B20">
        <v>19</v>
      </c>
    </row>
    <row r="21" spans="1:2">
      <c r="A21" s="5">
        <v>41295</v>
      </c>
      <c r="B21">
        <v>20</v>
      </c>
    </row>
    <row r="22" spans="1:2">
      <c r="A22" s="5">
        <v>41300</v>
      </c>
      <c r="B22">
        <v>21</v>
      </c>
    </row>
    <row r="23" spans="1:2">
      <c r="A23" s="5">
        <v>41302</v>
      </c>
      <c r="B23">
        <v>22</v>
      </c>
    </row>
    <row r="24" spans="1:2">
      <c r="A24" s="5">
        <v>41304</v>
      </c>
      <c r="B24">
        <v>23</v>
      </c>
    </row>
    <row r="25" spans="1:2">
      <c r="A25" s="5">
        <v>41316</v>
      </c>
      <c r="B25">
        <v>25</v>
      </c>
    </row>
    <row r="26" spans="1:2">
      <c r="A26" s="5">
        <v>41316</v>
      </c>
      <c r="B26">
        <v>25</v>
      </c>
    </row>
    <row r="27" spans="1:2">
      <c r="A27" s="5">
        <v>41328</v>
      </c>
      <c r="B27">
        <v>26</v>
      </c>
    </row>
    <row r="28" spans="1:2">
      <c r="A28" s="5">
        <v>41330</v>
      </c>
      <c r="B28">
        <v>27</v>
      </c>
    </row>
    <row r="29" spans="1:2">
      <c r="A29" s="5">
        <v>41337</v>
      </c>
      <c r="B29">
        <v>28</v>
      </c>
    </row>
    <row r="30" spans="1:2">
      <c r="A30" s="5">
        <v>41338</v>
      </c>
      <c r="B30">
        <v>29</v>
      </c>
    </row>
    <row r="31" spans="1:2">
      <c r="A31" s="5">
        <v>41345</v>
      </c>
      <c r="B31">
        <v>30</v>
      </c>
    </row>
    <row r="32" spans="1:2">
      <c r="A32" s="5">
        <v>41347</v>
      </c>
      <c r="B32">
        <v>31</v>
      </c>
    </row>
    <row r="33" spans="1:2">
      <c r="A33" s="5">
        <v>41354</v>
      </c>
      <c r="B33">
        <v>32</v>
      </c>
    </row>
    <row r="34" spans="1:2">
      <c r="A34" s="5">
        <v>41355</v>
      </c>
      <c r="B34">
        <v>33</v>
      </c>
    </row>
    <row r="35" spans="1:2">
      <c r="A35" s="5">
        <v>41357</v>
      </c>
      <c r="B35">
        <v>34</v>
      </c>
    </row>
    <row r="36" spans="1:2">
      <c r="A36" s="5">
        <v>41358</v>
      </c>
      <c r="B36">
        <v>35</v>
      </c>
    </row>
    <row r="37" spans="1:2">
      <c r="A37" s="5">
        <v>41360</v>
      </c>
      <c r="B37">
        <v>36</v>
      </c>
    </row>
    <row r="38" spans="1:2">
      <c r="A38" s="5">
        <v>41363</v>
      </c>
      <c r="B38">
        <v>37</v>
      </c>
    </row>
    <row r="39" spans="1:2">
      <c r="A39" s="5">
        <v>41365</v>
      </c>
      <c r="B39">
        <v>38</v>
      </c>
    </row>
    <row r="40" spans="1:2">
      <c r="A40" s="5">
        <v>41369</v>
      </c>
      <c r="B40">
        <v>39</v>
      </c>
    </row>
    <row r="41" spans="1:2">
      <c r="A41" s="5">
        <v>41370</v>
      </c>
      <c r="B41">
        <v>41</v>
      </c>
    </row>
    <row r="42" spans="1:2">
      <c r="A42" s="5">
        <v>41370</v>
      </c>
      <c r="B42">
        <v>41</v>
      </c>
    </row>
    <row r="43" spans="1:2">
      <c r="A43" s="5">
        <v>41371</v>
      </c>
      <c r="B43">
        <v>44</v>
      </c>
    </row>
    <row r="44" spans="1:2">
      <c r="A44" s="5">
        <v>41371</v>
      </c>
      <c r="B44">
        <v>44</v>
      </c>
    </row>
    <row r="45" spans="1:2">
      <c r="A45" s="5">
        <v>41371</v>
      </c>
      <c r="B45">
        <v>44</v>
      </c>
    </row>
    <row r="46" spans="1:2">
      <c r="A46" s="5">
        <v>41378</v>
      </c>
      <c r="B46">
        <v>45</v>
      </c>
    </row>
    <row r="47" spans="1:2">
      <c r="A47" s="5">
        <v>41379</v>
      </c>
      <c r="B47">
        <v>46</v>
      </c>
    </row>
    <row r="48" spans="1:2">
      <c r="A48" s="5">
        <v>41394</v>
      </c>
      <c r="B48">
        <v>47</v>
      </c>
    </row>
    <row r="49" spans="1:2">
      <c r="A49" s="5">
        <v>41395</v>
      </c>
      <c r="B49">
        <v>48</v>
      </c>
    </row>
    <row r="50" spans="1:2">
      <c r="A50" s="5">
        <v>41397</v>
      </c>
      <c r="B50">
        <v>49</v>
      </c>
    </row>
    <row r="51" spans="1:2">
      <c r="A51" s="5">
        <v>41400</v>
      </c>
      <c r="B51">
        <v>50</v>
      </c>
    </row>
    <row r="52" spans="1:2">
      <c r="A52" s="5">
        <v>41411</v>
      </c>
      <c r="B52">
        <v>51</v>
      </c>
    </row>
    <row r="53" spans="1:2">
      <c r="A53" s="5">
        <v>41424</v>
      </c>
      <c r="B53">
        <v>52</v>
      </c>
    </row>
    <row r="54" spans="1:2">
      <c r="A54" s="5">
        <v>41430</v>
      </c>
      <c r="B54">
        <v>53</v>
      </c>
    </row>
    <row r="55" spans="1:2">
      <c r="A55" s="5">
        <v>41431</v>
      </c>
      <c r="B55">
        <v>54</v>
      </c>
    </row>
    <row r="56" spans="1:2">
      <c r="A56" s="5">
        <v>41436</v>
      </c>
      <c r="B56">
        <v>55</v>
      </c>
    </row>
    <row r="57" spans="1:2">
      <c r="A57" s="5">
        <v>41443</v>
      </c>
      <c r="B57">
        <v>56</v>
      </c>
    </row>
    <row r="58" spans="1:2">
      <c r="A58" s="5">
        <v>41448</v>
      </c>
      <c r="B58">
        <v>57</v>
      </c>
    </row>
    <row r="59" spans="1:2">
      <c r="A59" s="5">
        <v>41449</v>
      </c>
      <c r="B59">
        <v>58</v>
      </c>
    </row>
    <row r="60" spans="1:2">
      <c r="A60" s="5">
        <v>41450</v>
      </c>
      <c r="B60">
        <v>59</v>
      </c>
    </row>
    <row r="61" spans="1:2">
      <c r="A61" s="5">
        <v>41453</v>
      </c>
      <c r="B61">
        <v>61</v>
      </c>
    </row>
    <row r="62" spans="1:2">
      <c r="A62" s="5">
        <v>41453</v>
      </c>
      <c r="B62">
        <v>61</v>
      </c>
    </row>
    <row r="63" spans="1:2">
      <c r="A63" s="5">
        <v>41456</v>
      </c>
      <c r="B63">
        <v>62</v>
      </c>
    </row>
    <row r="64" spans="1:2">
      <c r="A64" s="5">
        <v>41457</v>
      </c>
      <c r="B64">
        <v>63</v>
      </c>
    </row>
    <row r="65" spans="1:2">
      <c r="A65" s="5">
        <v>41459</v>
      </c>
      <c r="B65">
        <v>64</v>
      </c>
    </row>
    <row r="66" spans="1:2">
      <c r="A66" s="5">
        <v>41461</v>
      </c>
      <c r="B66">
        <v>67</v>
      </c>
    </row>
    <row r="67" spans="1:2">
      <c r="A67" s="5">
        <v>41461</v>
      </c>
      <c r="B67">
        <v>67</v>
      </c>
    </row>
    <row r="68" spans="1:2">
      <c r="A68" s="5">
        <v>41461</v>
      </c>
      <c r="B68">
        <v>67</v>
      </c>
    </row>
    <row r="69" spans="1:2">
      <c r="A69" s="5">
        <v>41462</v>
      </c>
      <c r="B69">
        <v>68</v>
      </c>
    </row>
    <row r="70" spans="1:2">
      <c r="A70" s="5">
        <v>41464</v>
      </c>
      <c r="B70">
        <v>69</v>
      </c>
    </row>
    <row r="71" spans="1:2">
      <c r="A71" s="5">
        <v>41465</v>
      </c>
      <c r="B71">
        <v>71</v>
      </c>
    </row>
    <row r="72" spans="1:2">
      <c r="A72" s="5">
        <v>41465</v>
      </c>
      <c r="B72">
        <v>71</v>
      </c>
    </row>
    <row r="73" spans="1:2">
      <c r="A73" s="5">
        <v>41468</v>
      </c>
      <c r="B73">
        <v>73</v>
      </c>
    </row>
    <row r="74" spans="1:2">
      <c r="A74" s="5">
        <v>41468</v>
      </c>
      <c r="B74">
        <v>73</v>
      </c>
    </row>
    <row r="75" spans="1:2">
      <c r="A75" s="5">
        <v>41470</v>
      </c>
      <c r="B75">
        <v>74</v>
      </c>
    </row>
    <row r="76" spans="1:2">
      <c r="A76" s="5">
        <v>41473</v>
      </c>
      <c r="B76">
        <v>75</v>
      </c>
    </row>
    <row r="77" spans="1:2">
      <c r="A77" s="5">
        <v>41477</v>
      </c>
      <c r="B77">
        <v>76</v>
      </c>
    </row>
    <row r="78" spans="1:2">
      <c r="A78" s="5">
        <v>41479</v>
      </c>
      <c r="B78">
        <v>77</v>
      </c>
    </row>
    <row r="79" spans="1:2">
      <c r="A79" s="5">
        <v>41485</v>
      </c>
      <c r="B79">
        <v>78</v>
      </c>
    </row>
    <row r="80" spans="1:2">
      <c r="A80" s="5">
        <v>41488</v>
      </c>
      <c r="B80">
        <v>79</v>
      </c>
    </row>
    <row r="81" spans="1:2">
      <c r="A81" s="5">
        <v>41496</v>
      </c>
      <c r="B81">
        <v>80</v>
      </c>
    </row>
    <row r="82" spans="1:2">
      <c r="A82" s="5">
        <v>41530</v>
      </c>
      <c r="B82">
        <v>81</v>
      </c>
    </row>
    <row r="83" spans="1:2">
      <c r="A83" s="5">
        <v>41537</v>
      </c>
      <c r="B83">
        <v>82</v>
      </c>
    </row>
    <row r="84" spans="1:2">
      <c r="A84" s="5">
        <v>41541</v>
      </c>
      <c r="B84">
        <v>83</v>
      </c>
    </row>
    <row r="85" spans="1:2">
      <c r="A85" s="5">
        <v>41550</v>
      </c>
      <c r="B85">
        <v>85</v>
      </c>
    </row>
    <row r="86" spans="1:2">
      <c r="A86" s="5">
        <v>41550</v>
      </c>
      <c r="B86">
        <v>85</v>
      </c>
    </row>
    <row r="87" spans="1:2">
      <c r="A87" s="5">
        <v>41553</v>
      </c>
      <c r="B87">
        <v>86</v>
      </c>
    </row>
    <row r="88" spans="1:2">
      <c r="A88" s="5">
        <v>41555</v>
      </c>
      <c r="B88">
        <v>91</v>
      </c>
    </row>
    <row r="89" spans="1:2">
      <c r="A89" s="5">
        <v>41555</v>
      </c>
      <c r="B89">
        <v>91</v>
      </c>
    </row>
    <row r="90" spans="1:2">
      <c r="A90" s="5">
        <v>41555</v>
      </c>
      <c r="B90">
        <v>91</v>
      </c>
    </row>
    <row r="91" spans="1:2">
      <c r="A91" s="5">
        <v>41555</v>
      </c>
      <c r="B91">
        <v>91</v>
      </c>
    </row>
    <row r="92" spans="1:2">
      <c r="A92" s="5">
        <v>41555</v>
      </c>
      <c r="B92">
        <v>91</v>
      </c>
    </row>
    <row r="93" spans="1:2">
      <c r="A93" s="5">
        <v>41560</v>
      </c>
      <c r="B93">
        <v>92</v>
      </c>
    </row>
    <row r="94" spans="1:2">
      <c r="A94" s="5">
        <v>41562</v>
      </c>
      <c r="B94">
        <v>94</v>
      </c>
    </row>
    <row r="95" spans="1:2">
      <c r="A95" s="5">
        <v>41562</v>
      </c>
      <c r="B95">
        <v>94</v>
      </c>
    </row>
    <row r="96" spans="1:2">
      <c r="A96" s="5">
        <v>41607</v>
      </c>
      <c r="B96">
        <v>95</v>
      </c>
    </row>
    <row r="97" spans="1:2">
      <c r="A97" s="5">
        <v>41633</v>
      </c>
      <c r="B97">
        <v>96</v>
      </c>
    </row>
    <row r="98" spans="1:2">
      <c r="A98" s="5">
        <v>41636</v>
      </c>
      <c r="B98">
        <v>97</v>
      </c>
    </row>
    <row r="99" spans="1:2">
      <c r="A99" s="5">
        <v>41638</v>
      </c>
      <c r="B99">
        <v>98</v>
      </c>
    </row>
    <row r="100" spans="1:2">
      <c r="A100" s="5">
        <v>41645</v>
      </c>
      <c r="B100">
        <v>99</v>
      </c>
    </row>
    <row r="101" spans="1:2">
      <c r="A101" s="5">
        <v>41646</v>
      </c>
      <c r="B101">
        <v>100</v>
      </c>
    </row>
    <row r="102" spans="1:2">
      <c r="A102" s="5">
        <v>41647</v>
      </c>
      <c r="B102">
        <v>102</v>
      </c>
    </row>
    <row r="103" spans="1:2">
      <c r="A103" s="5">
        <v>41647</v>
      </c>
      <c r="B103">
        <v>102</v>
      </c>
    </row>
    <row r="104" spans="1:2">
      <c r="A104" s="5">
        <v>41648</v>
      </c>
      <c r="B104">
        <v>105</v>
      </c>
    </row>
    <row r="105" spans="1:2">
      <c r="A105" s="5">
        <v>41648</v>
      </c>
      <c r="B105">
        <v>105</v>
      </c>
    </row>
    <row r="106" spans="1:2">
      <c r="A106" s="5">
        <v>41648</v>
      </c>
      <c r="B106">
        <v>105</v>
      </c>
    </row>
    <row r="107" spans="1:2">
      <c r="A107" s="5">
        <v>41650</v>
      </c>
      <c r="B107">
        <v>109</v>
      </c>
    </row>
    <row r="108" spans="1:2">
      <c r="A108" s="5">
        <v>41650</v>
      </c>
      <c r="B108">
        <v>109</v>
      </c>
    </row>
    <row r="109" spans="1:2">
      <c r="A109" s="5">
        <v>41650</v>
      </c>
      <c r="B109">
        <v>109</v>
      </c>
    </row>
    <row r="110" spans="1:2">
      <c r="A110" s="5">
        <v>41650</v>
      </c>
      <c r="B110">
        <v>109</v>
      </c>
    </row>
    <row r="111" spans="1:2">
      <c r="A111" s="5">
        <v>41661</v>
      </c>
      <c r="B111">
        <v>110</v>
      </c>
    </row>
    <row r="112" spans="1:2">
      <c r="A112" s="5">
        <v>41705</v>
      </c>
      <c r="B112">
        <v>111</v>
      </c>
    </row>
    <row r="113" spans="1:3">
      <c r="A113" s="5">
        <v>41742</v>
      </c>
      <c r="B113">
        <v>112</v>
      </c>
    </row>
    <row r="114" spans="1:3">
      <c r="A114" s="5">
        <v>41750</v>
      </c>
      <c r="B114">
        <v>113</v>
      </c>
    </row>
    <row r="115" spans="1:3">
      <c r="A115" s="5">
        <v>40675</v>
      </c>
      <c r="C115">
        <v>1</v>
      </c>
    </row>
    <row r="116" spans="1:3">
      <c r="A116" s="5">
        <v>41279</v>
      </c>
      <c r="C116">
        <v>10</v>
      </c>
    </row>
    <row r="117" spans="1:3">
      <c r="A117" s="5">
        <v>41108</v>
      </c>
      <c r="C117">
        <v>2</v>
      </c>
    </row>
    <row r="118" spans="1:3">
      <c r="A118" s="5">
        <v>41229</v>
      </c>
      <c r="C118">
        <v>3</v>
      </c>
    </row>
    <row r="119" spans="1:3">
      <c r="A119" s="5">
        <v>41230</v>
      </c>
      <c r="C119">
        <v>4</v>
      </c>
    </row>
    <row r="120" spans="1:3">
      <c r="A120" s="5">
        <v>41250</v>
      </c>
      <c r="C120">
        <v>5</v>
      </c>
    </row>
    <row r="121" spans="1:3">
      <c r="A121" s="5">
        <v>41265</v>
      </c>
      <c r="C121">
        <v>9</v>
      </c>
    </row>
    <row r="122" spans="1:3">
      <c r="A122" s="5">
        <v>41263</v>
      </c>
      <c r="C122">
        <v>7</v>
      </c>
    </row>
    <row r="123" spans="1:3">
      <c r="A123" s="5">
        <v>41264</v>
      </c>
      <c r="C123">
        <v>8</v>
      </c>
    </row>
    <row r="124" spans="1:3">
      <c r="A124" s="5">
        <v>41256</v>
      </c>
      <c r="C124">
        <v>6</v>
      </c>
    </row>
    <row r="125" spans="1:3">
      <c r="A125" s="5">
        <v>41359</v>
      </c>
      <c r="C125">
        <v>32</v>
      </c>
    </row>
    <row r="126" spans="1:3">
      <c r="A126" s="5">
        <v>41281</v>
      </c>
      <c r="C126">
        <v>11</v>
      </c>
    </row>
    <row r="127" spans="1:3">
      <c r="A127" s="5">
        <v>41292</v>
      </c>
      <c r="C127">
        <v>14</v>
      </c>
    </row>
    <row r="128" spans="1:3">
      <c r="A128" s="5">
        <v>41288</v>
      </c>
      <c r="C128">
        <v>12</v>
      </c>
    </row>
    <row r="129" spans="1:3">
      <c r="A129" s="5">
        <v>41289</v>
      </c>
      <c r="C129">
        <v>13</v>
      </c>
    </row>
    <row r="130" spans="1:3">
      <c r="A130" s="5">
        <v>41352</v>
      </c>
      <c r="C130">
        <v>27</v>
      </c>
    </row>
    <row r="131" spans="1:3">
      <c r="A131" s="5">
        <v>41298</v>
      </c>
      <c r="C131">
        <v>16</v>
      </c>
    </row>
    <row r="132" spans="1:3">
      <c r="A132" s="5">
        <v>41369</v>
      </c>
      <c r="C132">
        <v>37</v>
      </c>
    </row>
    <row r="133" spans="1:3">
      <c r="A133" s="5">
        <v>41294</v>
      </c>
      <c r="C133">
        <v>15</v>
      </c>
    </row>
    <row r="134" spans="1:3">
      <c r="A134" s="5">
        <v>41300</v>
      </c>
      <c r="C134">
        <v>17</v>
      </c>
    </row>
    <row r="135" spans="1:3">
      <c r="A135" s="5">
        <v>41302</v>
      </c>
      <c r="C135">
        <v>18</v>
      </c>
    </row>
    <row r="136" spans="1:3">
      <c r="A136" s="5">
        <v>41360</v>
      </c>
      <c r="C136">
        <v>33</v>
      </c>
    </row>
    <row r="137" spans="1:3">
      <c r="A137" s="5">
        <v>41312</v>
      </c>
      <c r="C137">
        <v>19</v>
      </c>
    </row>
    <row r="138" spans="1:3">
      <c r="A138" s="5">
        <v>41316</v>
      </c>
      <c r="C138">
        <v>20</v>
      </c>
    </row>
    <row r="139" spans="1:3">
      <c r="A139" s="5">
        <v>41323</v>
      </c>
      <c r="C139">
        <v>21</v>
      </c>
    </row>
    <row r="140" spans="1:3">
      <c r="A140" s="5">
        <v>41329</v>
      </c>
      <c r="C140">
        <v>22</v>
      </c>
    </row>
    <row r="141" spans="1:3">
      <c r="A141" s="5">
        <v>41346</v>
      </c>
      <c r="C141">
        <v>25</v>
      </c>
    </row>
    <row r="142" spans="1:3">
      <c r="A142" s="5">
        <v>41338</v>
      </c>
      <c r="C142">
        <v>23</v>
      </c>
    </row>
    <row r="143" spans="1:3">
      <c r="A143" s="5">
        <v>41340</v>
      </c>
      <c r="C143">
        <v>24</v>
      </c>
    </row>
    <row r="144" spans="1:3">
      <c r="A144" s="5">
        <v>41350</v>
      </c>
      <c r="C144">
        <v>26</v>
      </c>
    </row>
    <row r="145" spans="1:3">
      <c r="A145" s="5">
        <v>41354</v>
      </c>
      <c r="C145">
        <v>28</v>
      </c>
    </row>
    <row r="146" spans="1:3">
      <c r="A146" s="5">
        <v>41355</v>
      </c>
      <c r="C146">
        <v>29</v>
      </c>
    </row>
    <row r="147" spans="1:3">
      <c r="A147" s="5">
        <v>41451</v>
      </c>
      <c r="C147">
        <v>49</v>
      </c>
    </row>
    <row r="148" spans="1:3">
      <c r="A148" s="5">
        <v>41357</v>
      </c>
      <c r="C148">
        <v>30</v>
      </c>
    </row>
    <row r="149" spans="1:3">
      <c r="A149" s="5">
        <v>41359</v>
      </c>
      <c r="C149">
        <v>32</v>
      </c>
    </row>
    <row r="150" spans="1:3">
      <c r="A150" s="5">
        <v>41363</v>
      </c>
      <c r="C150">
        <v>34</v>
      </c>
    </row>
    <row r="151" spans="1:3">
      <c r="A151" s="5">
        <v>41364</v>
      </c>
      <c r="C151">
        <v>35</v>
      </c>
    </row>
    <row r="152" spans="1:3">
      <c r="A152" s="5">
        <v>41369</v>
      </c>
      <c r="C152">
        <v>37</v>
      </c>
    </row>
    <row r="153" spans="1:3">
      <c r="A153" s="5">
        <v>41389</v>
      </c>
      <c r="C153">
        <v>38</v>
      </c>
    </row>
    <row r="154" spans="1:3">
      <c r="A154" s="5">
        <v>41454</v>
      </c>
      <c r="C154">
        <v>54</v>
      </c>
    </row>
    <row r="155" spans="1:3">
      <c r="A155" s="5">
        <v>41512</v>
      </c>
      <c r="C155">
        <v>69</v>
      </c>
    </row>
    <row r="156" spans="1:3">
      <c r="A156" s="5">
        <v>41452</v>
      </c>
      <c r="C156">
        <v>51</v>
      </c>
    </row>
    <row r="157" spans="1:3">
      <c r="A157" s="5">
        <v>41453</v>
      </c>
      <c r="C157">
        <v>52</v>
      </c>
    </row>
    <row r="158" spans="1:3">
      <c r="A158" s="5">
        <v>41455</v>
      </c>
      <c r="C158">
        <v>56</v>
      </c>
    </row>
    <row r="159" spans="1:3">
      <c r="A159" s="5">
        <v>41454</v>
      </c>
      <c r="C159">
        <v>54</v>
      </c>
    </row>
    <row r="160" spans="1:3">
      <c r="A160" s="5">
        <v>41464</v>
      </c>
      <c r="C160">
        <v>60</v>
      </c>
    </row>
    <row r="161" spans="1:3">
      <c r="A161" s="5">
        <v>41397</v>
      </c>
      <c r="C161">
        <v>39</v>
      </c>
    </row>
    <row r="162" spans="1:3">
      <c r="A162" s="5">
        <v>41400</v>
      </c>
      <c r="C162">
        <v>40</v>
      </c>
    </row>
    <row r="163" spans="1:3">
      <c r="A163" s="5">
        <v>41546</v>
      </c>
      <c r="C163">
        <v>80</v>
      </c>
    </row>
    <row r="164" spans="1:3">
      <c r="A164" s="5">
        <v>41402</v>
      </c>
      <c r="C164">
        <v>41</v>
      </c>
    </row>
    <row r="165" spans="1:3">
      <c r="A165" s="5">
        <v>41413</v>
      </c>
      <c r="C165">
        <v>42</v>
      </c>
    </row>
    <row r="166" spans="1:3">
      <c r="A166" s="5">
        <v>41430</v>
      </c>
      <c r="C166">
        <v>43</v>
      </c>
    </row>
    <row r="167" spans="1:3">
      <c r="A167" s="5">
        <v>41431</v>
      </c>
      <c r="C167">
        <v>44</v>
      </c>
    </row>
    <row r="168" spans="1:3">
      <c r="A168" s="5">
        <v>41436</v>
      </c>
      <c r="C168">
        <v>45</v>
      </c>
    </row>
    <row r="169" spans="1:3">
      <c r="A169" s="5">
        <v>41438</v>
      </c>
      <c r="C169">
        <v>46</v>
      </c>
    </row>
    <row r="170" spans="1:3">
      <c r="A170" s="5">
        <v>41444</v>
      </c>
      <c r="C170">
        <v>47</v>
      </c>
    </row>
    <row r="171" spans="1:3">
      <c r="A171" s="5">
        <v>41455</v>
      </c>
      <c r="C171">
        <v>56</v>
      </c>
    </row>
    <row r="172" spans="1:3">
      <c r="A172" s="5">
        <v>41451</v>
      </c>
      <c r="C172">
        <v>49</v>
      </c>
    </row>
    <row r="173" spans="1:3">
      <c r="A173" s="5">
        <v>41452</v>
      </c>
      <c r="C173">
        <v>51</v>
      </c>
    </row>
    <row r="174" spans="1:3">
      <c r="A174" s="5">
        <v>41456</v>
      </c>
      <c r="C174">
        <v>57</v>
      </c>
    </row>
    <row r="175" spans="1:3">
      <c r="A175" s="5">
        <v>41457</v>
      </c>
      <c r="C175">
        <v>58</v>
      </c>
    </row>
    <row r="176" spans="1:3">
      <c r="A176" s="5">
        <v>41535</v>
      </c>
      <c r="C176">
        <v>71</v>
      </c>
    </row>
    <row r="177" spans="1:3">
      <c r="A177" s="5">
        <v>41463</v>
      </c>
      <c r="C177">
        <v>59</v>
      </c>
    </row>
    <row r="178" spans="1:3">
      <c r="A178" s="5">
        <v>41543</v>
      </c>
      <c r="C178">
        <v>77</v>
      </c>
    </row>
    <row r="179" spans="1:3">
      <c r="A179" s="5">
        <v>41543</v>
      </c>
      <c r="C179">
        <v>77</v>
      </c>
    </row>
    <row r="180" spans="1:3">
      <c r="A180" s="5">
        <v>41638</v>
      </c>
      <c r="C180">
        <v>93</v>
      </c>
    </row>
    <row r="181" spans="1:3">
      <c r="A181" s="5">
        <v>41546</v>
      </c>
      <c r="C181">
        <v>80</v>
      </c>
    </row>
    <row r="182" spans="1:3">
      <c r="A182" s="5">
        <v>41538</v>
      </c>
      <c r="C182">
        <v>72</v>
      </c>
    </row>
    <row r="183" spans="1:3">
      <c r="A183" s="5">
        <v>41543</v>
      </c>
      <c r="C183">
        <v>77</v>
      </c>
    </row>
    <row r="184" spans="1:3">
      <c r="A184" s="5">
        <v>41543</v>
      </c>
      <c r="C184">
        <v>77</v>
      </c>
    </row>
    <row r="185" spans="1:3">
      <c r="A185" s="5">
        <v>41465</v>
      </c>
      <c r="C185">
        <v>61</v>
      </c>
    </row>
    <row r="186" spans="1:3">
      <c r="A186" s="5">
        <v>41470</v>
      </c>
      <c r="C186">
        <v>62</v>
      </c>
    </row>
    <row r="187" spans="1:3">
      <c r="A187" s="5">
        <v>41589</v>
      </c>
      <c r="C187">
        <v>83</v>
      </c>
    </row>
    <row r="188" spans="1:3">
      <c r="A188" s="5">
        <v>41482</v>
      </c>
      <c r="C188">
        <v>65</v>
      </c>
    </row>
    <row r="189" spans="1:3">
      <c r="A189" s="5">
        <v>41546</v>
      </c>
      <c r="C189">
        <v>80</v>
      </c>
    </row>
    <row r="190" spans="1:3">
      <c r="A190" s="5">
        <v>41479</v>
      </c>
      <c r="C190">
        <v>63</v>
      </c>
    </row>
    <row r="191" spans="1:3">
      <c r="A191" s="5">
        <v>41481</v>
      </c>
      <c r="C191">
        <v>64</v>
      </c>
    </row>
    <row r="192" spans="1:3">
      <c r="A192" s="5">
        <v>41491</v>
      </c>
      <c r="C192">
        <v>66</v>
      </c>
    </row>
    <row r="193" spans="1:3">
      <c r="A193" s="5">
        <v>41492</v>
      </c>
      <c r="C193">
        <v>67</v>
      </c>
    </row>
    <row r="194" spans="1:3">
      <c r="A194" s="5">
        <v>41512</v>
      </c>
      <c r="C194">
        <v>69</v>
      </c>
    </row>
    <row r="195" spans="1:3">
      <c r="A195" s="5">
        <v>41532</v>
      </c>
      <c r="C195">
        <v>70</v>
      </c>
    </row>
    <row r="196" spans="1:3">
      <c r="A196" s="5">
        <v>41559</v>
      </c>
      <c r="C196">
        <v>81</v>
      </c>
    </row>
    <row r="197" spans="1:3">
      <c r="A197" s="5">
        <v>41541</v>
      </c>
      <c r="C197">
        <v>73</v>
      </c>
    </row>
    <row r="198" spans="1:3">
      <c r="A198" s="5">
        <v>41628</v>
      </c>
      <c r="C198">
        <v>85</v>
      </c>
    </row>
    <row r="199" spans="1:3">
      <c r="A199" s="5">
        <v>41634</v>
      </c>
      <c r="C199">
        <v>90</v>
      </c>
    </row>
    <row r="200" spans="1:3">
      <c r="A200" s="5">
        <v>41632</v>
      </c>
      <c r="C200">
        <v>87</v>
      </c>
    </row>
    <row r="201" spans="1:3">
      <c r="A201" s="5">
        <v>41720</v>
      </c>
      <c r="C201">
        <v>98</v>
      </c>
    </row>
    <row r="202" spans="1:3">
      <c r="A202" s="5">
        <v>41726</v>
      </c>
      <c r="C202">
        <v>101</v>
      </c>
    </row>
    <row r="203" spans="1:3">
      <c r="A203" s="5">
        <v>41631</v>
      </c>
      <c r="C203">
        <v>86</v>
      </c>
    </row>
    <row r="204" spans="1:3">
      <c r="A204" s="5">
        <v>41748</v>
      </c>
      <c r="C204">
        <v>110</v>
      </c>
    </row>
    <row r="205" spans="1:3">
      <c r="A205" s="5">
        <v>41634</v>
      </c>
      <c r="C205">
        <v>90</v>
      </c>
    </row>
    <row r="206" spans="1:3">
      <c r="A206" s="5">
        <v>41618</v>
      </c>
      <c r="C206">
        <v>84</v>
      </c>
    </row>
    <row r="207" spans="1:3">
      <c r="A207" s="5">
        <v>41574</v>
      </c>
      <c r="C207">
        <v>82</v>
      </c>
    </row>
    <row r="208" spans="1:3">
      <c r="A208" s="5">
        <v>41728</v>
      </c>
      <c r="C208">
        <v>102</v>
      </c>
    </row>
    <row r="209" spans="1:3">
      <c r="A209" s="5">
        <v>41634</v>
      </c>
      <c r="C209">
        <v>90</v>
      </c>
    </row>
    <row r="210" spans="1:3">
      <c r="A210" s="5">
        <v>41635</v>
      </c>
      <c r="C210">
        <v>91</v>
      </c>
    </row>
    <row r="211" spans="1:3">
      <c r="A211" s="5">
        <v>41636</v>
      </c>
      <c r="C211">
        <v>92</v>
      </c>
    </row>
    <row r="212" spans="1:3">
      <c r="A212" s="5">
        <v>41641</v>
      </c>
      <c r="C212">
        <v>94</v>
      </c>
    </row>
    <row r="213" spans="1:3">
      <c r="A213" s="5">
        <v>41645</v>
      </c>
      <c r="C213">
        <v>95</v>
      </c>
    </row>
    <row r="214" spans="1:3">
      <c r="A214" s="5">
        <v>41647</v>
      </c>
      <c r="C214">
        <v>96</v>
      </c>
    </row>
    <row r="215" spans="1:3">
      <c r="A215" s="5">
        <v>41726</v>
      </c>
      <c r="C215">
        <v>101</v>
      </c>
    </row>
    <row r="216" spans="1:3">
      <c r="A216" s="5">
        <v>41733</v>
      </c>
      <c r="C216">
        <v>105</v>
      </c>
    </row>
    <row r="217" spans="1:3">
      <c r="A217" s="5">
        <v>41730</v>
      </c>
      <c r="C217">
        <v>103</v>
      </c>
    </row>
    <row r="218" spans="1:3">
      <c r="A218" s="5">
        <v>41746</v>
      </c>
      <c r="C218">
        <v>109</v>
      </c>
    </row>
    <row r="219" spans="1:3">
      <c r="A219" s="5">
        <v>41785</v>
      </c>
      <c r="C219">
        <v>113</v>
      </c>
    </row>
    <row r="220" spans="1:3">
      <c r="A220" s="5">
        <v>41733</v>
      </c>
      <c r="C220">
        <v>105</v>
      </c>
    </row>
    <row r="221" spans="1:3">
      <c r="A221" s="5">
        <v>41749</v>
      </c>
      <c r="C221">
        <v>111</v>
      </c>
    </row>
    <row r="222" spans="1:3">
      <c r="A222" s="5">
        <v>41745</v>
      </c>
      <c r="C222">
        <v>107</v>
      </c>
    </row>
    <row r="223" spans="1:3">
      <c r="A223" s="5">
        <v>41744</v>
      </c>
      <c r="C223">
        <v>106</v>
      </c>
    </row>
    <row r="224" spans="1:3">
      <c r="A224" s="5">
        <v>41722</v>
      </c>
      <c r="C224">
        <v>99</v>
      </c>
    </row>
    <row r="225" spans="1:3">
      <c r="A225" s="5">
        <v>41705</v>
      </c>
      <c r="C225">
        <v>97</v>
      </c>
    </row>
    <row r="226" spans="1:3">
      <c r="A226" s="5">
        <v>41746</v>
      </c>
      <c r="C226">
        <v>109</v>
      </c>
    </row>
    <row r="227" spans="1:3">
      <c r="A227" s="5">
        <v>41756</v>
      </c>
      <c r="C227">
        <v>112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Anime</vt:lpstr>
      <vt:lpstr>Watched Shows</vt:lpstr>
      <vt:lpstr>Rewatches</vt:lpstr>
      <vt:lpstr>Movies and OVAs</vt:lpstr>
      <vt:lpstr>Soundtracks</vt:lpstr>
      <vt:lpstr>Patrick's Anime</vt:lpstr>
      <vt:lpstr>Sheet1</vt:lpstr>
      <vt:lpstr>Sheet2</vt:lpstr>
      <vt:lpstr>Chart Calculations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2014-06-16T21:41:40Z</dcterms:modified>
</cp:coreProperties>
</file>