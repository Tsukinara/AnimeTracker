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N60" i="5" l="1"/>
  <c r="AN59" i="5"/>
  <c r="AN58" i="5"/>
  <c r="AN57" i="5"/>
  <c r="AI5" i="5" l="1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2" i="5"/>
  <c r="AG41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2" i="5"/>
  <c r="AG93" i="5"/>
  <c r="AG94" i="5"/>
  <c r="AG95" i="5"/>
  <c r="AG97" i="5"/>
  <c r="AG98" i="5"/>
  <c r="AG99" i="5"/>
  <c r="AG100" i="5"/>
  <c r="AG102" i="5"/>
  <c r="AG101" i="5"/>
  <c r="AG103" i="5"/>
  <c r="AG106" i="5"/>
  <c r="AG96" i="5"/>
  <c r="AG107" i="5"/>
  <c r="AG105" i="5"/>
  <c r="AG108" i="5"/>
  <c r="AG109" i="5"/>
  <c r="AG91" i="5"/>
  <c r="AG110" i="5"/>
  <c r="AG111" i="5"/>
  <c r="AG104" i="5"/>
  <c r="AG112" i="5"/>
  <c r="AG113" i="5"/>
  <c r="AG114" i="5"/>
  <c r="AG115" i="5"/>
  <c r="AG116" i="5"/>
  <c r="AG4" i="5"/>
  <c r="AN39" i="5" l="1"/>
  <c r="B28" i="5" l="1"/>
  <c r="I28" i="5" s="1"/>
  <c r="B29" i="5"/>
  <c r="I29" i="5" s="1"/>
  <c r="AN53" i="5" l="1"/>
  <c r="AN52" i="5"/>
  <c r="AN49" i="5"/>
  <c r="AN51" i="5"/>
  <c r="AN50" i="5"/>
  <c r="AN46" i="5"/>
  <c r="AN48" i="5"/>
  <c r="AN47" i="5"/>
  <c r="AN43" i="5" l="1"/>
  <c r="AN40" i="5"/>
  <c r="AN41" i="5" s="1"/>
  <c r="AN42" i="5" s="1"/>
  <c r="AN54" i="5" l="1"/>
  <c r="AN61" i="5"/>
  <c r="AN13" i="5"/>
  <c r="AC10" i="5" l="1"/>
  <c r="AC78" i="5"/>
  <c r="AC85" i="5"/>
  <c r="AC63" i="5"/>
  <c r="AC8" i="5"/>
  <c r="AC72" i="5"/>
  <c r="AC88" i="5"/>
  <c r="AC89" i="5"/>
  <c r="AC102" i="5"/>
  <c r="AC58" i="5"/>
  <c r="AC54" i="5"/>
  <c r="AC70" i="5"/>
  <c r="AC68" i="5"/>
  <c r="AC12" i="5"/>
  <c r="AC17" i="5"/>
  <c r="AC38" i="5"/>
  <c r="AC114" i="5"/>
  <c r="AC6" i="5"/>
  <c r="AC26" i="5"/>
  <c r="AC55" i="5"/>
  <c r="AC42" i="5"/>
  <c r="AC41" i="5"/>
  <c r="AC15" i="5"/>
  <c r="AC116" i="5"/>
  <c r="AC115" i="5"/>
  <c r="AC16" i="5"/>
  <c r="AC74" i="5"/>
  <c r="AC9" i="5"/>
  <c r="AC39" i="5"/>
  <c r="AC106" i="5"/>
  <c r="AC19" i="5"/>
  <c r="AC43" i="5"/>
  <c r="AC109" i="5"/>
  <c r="AC59" i="5"/>
  <c r="AC110" i="5"/>
  <c r="AC86" i="5"/>
  <c r="AC36" i="5"/>
  <c r="AC94" i="5"/>
  <c r="AC113" i="5"/>
  <c r="AC57" i="5"/>
  <c r="AC99" i="5"/>
  <c r="AC95" i="5"/>
  <c r="AC97" i="5"/>
  <c r="AC60" i="5"/>
  <c r="AC51" i="5"/>
  <c r="AC90" i="5"/>
  <c r="AC98" i="5"/>
  <c r="AC23" i="5"/>
  <c r="AC73" i="5"/>
  <c r="AC37" i="5"/>
  <c r="AC24" i="5"/>
  <c r="AC35" i="5"/>
  <c r="AC61" i="5"/>
  <c r="AC79" i="5"/>
  <c r="AC93" i="5"/>
  <c r="AC81" i="5"/>
  <c r="AC84" i="5"/>
  <c r="AC83" i="5"/>
  <c r="AC21" i="5"/>
  <c r="AC112" i="5"/>
  <c r="AC80" i="5"/>
  <c r="AC25" i="5"/>
  <c r="AC30" i="5"/>
  <c r="AC27" i="5"/>
  <c r="AC20" i="5"/>
  <c r="AC34" i="5"/>
  <c r="AC71" i="5"/>
  <c r="AC76" i="5"/>
  <c r="AC100" i="5"/>
  <c r="AC7" i="5"/>
  <c r="AC32" i="5"/>
  <c r="AC103" i="5"/>
  <c r="AC28" i="5"/>
  <c r="AC50" i="5"/>
  <c r="AC107" i="5"/>
  <c r="AC82" i="5"/>
  <c r="AC77" i="5"/>
  <c r="AC101" i="5"/>
  <c r="AC13" i="5"/>
  <c r="AC29" i="5"/>
  <c r="AC66" i="5"/>
  <c r="AC53" i="5"/>
  <c r="AC111" i="5"/>
  <c r="AC31" i="5"/>
  <c r="AC48" i="5"/>
  <c r="AC75" i="5"/>
  <c r="AC11" i="5"/>
  <c r="AC5" i="5"/>
  <c r="AC4" i="5"/>
  <c r="AC14" i="5"/>
  <c r="AC33" i="5"/>
  <c r="AC52" i="5"/>
  <c r="AC46" i="5"/>
  <c r="AC47" i="5"/>
  <c r="AC49" i="5"/>
  <c r="AC67" i="5"/>
  <c r="AC64" i="5"/>
  <c r="AC87" i="5"/>
  <c r="AC92" i="5"/>
  <c r="AC62" i="5"/>
  <c r="AC105" i="5"/>
  <c r="AC108" i="5"/>
  <c r="AC96" i="5"/>
  <c r="AC91" i="5"/>
  <c r="AC104" i="5"/>
  <c r="AC18" i="5"/>
  <c r="AC44" i="5"/>
  <c r="AC69" i="5"/>
  <c r="AC22" i="5"/>
  <c r="AC45" i="5"/>
  <c r="AC40" i="5"/>
  <c r="AC56" i="5"/>
  <c r="AC65" i="5"/>
  <c r="AN11" i="5" l="1"/>
  <c r="AN10" i="5"/>
  <c r="AN12" i="5" l="1"/>
  <c r="AD116" i="5" s="1"/>
  <c r="AD4" i="5" l="1"/>
  <c r="AD32" i="5"/>
  <c r="AD42" i="5"/>
  <c r="AD114" i="5"/>
  <c r="AD12" i="5"/>
  <c r="AD102" i="5"/>
  <c r="AD8" i="5"/>
  <c r="AD15" i="5"/>
  <c r="AD6" i="5"/>
  <c r="AD38" i="5"/>
  <c r="AD58" i="5"/>
  <c r="AD72" i="5"/>
  <c r="AD10" i="5"/>
  <c r="AD56" i="5"/>
  <c r="AD41" i="5"/>
  <c r="AD26" i="5"/>
  <c r="AD68" i="5"/>
  <c r="AD70" i="5"/>
  <c r="AD88" i="5"/>
  <c r="AD85" i="5"/>
  <c r="AD55" i="5"/>
  <c r="AD17" i="5"/>
  <c r="AD54" i="5"/>
  <c r="AD89" i="5"/>
  <c r="AD63" i="5"/>
  <c r="AD78" i="5"/>
  <c r="AD87" i="5"/>
  <c r="AD75" i="5"/>
  <c r="AD69" i="5"/>
  <c r="AD62" i="5"/>
  <c r="AD92" i="5"/>
  <c r="AD22" i="5"/>
  <c r="AD48" i="5"/>
  <c r="AD44" i="5"/>
  <c r="AD53" i="5"/>
  <c r="AD52" i="5"/>
  <c r="AD45" i="5"/>
  <c r="AD5" i="5"/>
  <c r="AD28" i="5"/>
  <c r="AD111" i="5"/>
  <c r="AD11" i="5"/>
  <c r="AD33" i="5"/>
  <c r="AD96" i="5"/>
  <c r="AD7" i="5"/>
  <c r="AD13" i="5"/>
  <c r="AD101" i="5"/>
  <c r="AD82" i="5"/>
  <c r="AD71" i="5"/>
  <c r="AD27" i="5"/>
  <c r="AD83" i="5"/>
  <c r="AD81" i="5"/>
  <c r="AD73" i="5"/>
  <c r="AD113" i="5"/>
  <c r="AD97" i="5"/>
  <c r="AD57" i="5"/>
  <c r="AD110" i="5"/>
  <c r="AD9" i="5"/>
  <c r="AD16" i="5"/>
  <c r="AD31" i="5"/>
  <c r="AD49" i="5"/>
  <c r="AD104" i="5"/>
  <c r="AD64" i="5"/>
  <c r="AD47" i="5"/>
  <c r="AD18" i="5"/>
  <c r="AD91" i="5"/>
  <c r="AD66" i="5"/>
  <c r="AD103" i="5"/>
  <c r="AD50" i="5"/>
  <c r="AD100" i="5"/>
  <c r="AD77" i="5"/>
  <c r="AD30" i="5"/>
  <c r="AD21" i="5"/>
  <c r="AD61" i="5"/>
  <c r="AD37" i="5"/>
  <c r="AD90" i="5"/>
  <c r="AD94" i="5"/>
  <c r="AD86" i="5"/>
  <c r="AD19" i="5"/>
  <c r="AD43" i="5"/>
  <c r="AD39" i="5"/>
  <c r="AD105" i="5"/>
  <c r="AD65" i="5"/>
  <c r="AD40" i="5"/>
  <c r="AD67" i="5"/>
  <c r="AD46" i="5"/>
  <c r="AD14" i="5"/>
  <c r="AD108" i="5"/>
  <c r="AD25" i="5"/>
  <c r="AD107" i="5"/>
  <c r="AD76" i="5"/>
  <c r="AD29" i="5"/>
  <c r="AD20" i="5"/>
  <c r="AD80" i="5"/>
  <c r="AD79" i="5"/>
  <c r="AD35" i="5"/>
  <c r="AD23" i="5"/>
  <c r="AD99" i="5"/>
  <c r="AD36" i="5"/>
  <c r="AD60" i="5"/>
  <c r="AD109" i="5"/>
  <c r="AD74" i="5"/>
  <c r="AD115" i="5"/>
  <c r="AD34" i="5"/>
  <c r="AD112" i="5"/>
  <c r="AD84" i="5"/>
  <c r="AD93" i="5"/>
  <c r="AD24" i="5"/>
  <c r="AD95" i="5"/>
  <c r="AD98" i="5"/>
  <c r="AD51" i="5"/>
  <c r="AD59" i="5"/>
  <c r="AD106" i="5"/>
  <c r="AE78" i="5" l="1"/>
  <c r="AE10" i="5"/>
  <c r="AE85" i="5"/>
  <c r="AE63" i="5"/>
  <c r="AE8" i="5"/>
  <c r="AE72" i="5"/>
  <c r="AE88" i="5"/>
  <c r="AE89" i="5"/>
  <c r="AE102" i="5"/>
  <c r="AE58" i="5"/>
  <c r="AE70" i="5"/>
  <c r="AE54" i="5"/>
  <c r="AE12" i="5"/>
  <c r="AE38" i="5"/>
  <c r="AE68" i="5"/>
  <c r="AE17" i="5"/>
  <c r="AE114" i="5"/>
  <c r="AE6" i="5"/>
  <c r="AE26" i="5"/>
  <c r="AE55" i="5"/>
  <c r="AE42" i="5"/>
  <c r="AE15" i="5"/>
  <c r="AE41" i="5"/>
  <c r="AE93" i="5"/>
  <c r="AN38" i="5"/>
  <c r="AE31" i="5"/>
  <c r="AE13" i="5"/>
  <c r="AE106" i="5"/>
  <c r="AE76" i="5"/>
  <c r="AN23" i="5"/>
  <c r="AE75" i="5"/>
  <c r="AE79" i="5"/>
  <c r="AE37" i="5"/>
  <c r="AE66" i="5"/>
  <c r="AE82" i="5"/>
  <c r="AE96" i="5"/>
  <c r="AN32" i="5"/>
  <c r="AE101" i="5"/>
  <c r="AE69" i="5"/>
  <c r="AE14" i="5"/>
  <c r="AE27" i="5"/>
  <c r="AE19" i="5"/>
  <c r="AN31" i="5"/>
  <c r="AE11" i="5"/>
  <c r="AE56" i="5"/>
  <c r="AE21" i="5"/>
  <c r="AE112" i="5"/>
  <c r="AN20" i="5"/>
  <c r="AE65" i="5"/>
  <c r="AE18" i="5"/>
  <c r="AE103" i="5"/>
  <c r="AE61" i="5"/>
  <c r="AE51" i="5"/>
  <c r="AE24" i="5"/>
  <c r="AE60" i="5"/>
  <c r="AE35" i="5"/>
  <c r="AE29" i="5"/>
  <c r="AE40" i="5"/>
  <c r="AE43" i="5"/>
  <c r="AE49" i="5"/>
  <c r="AE110" i="5"/>
  <c r="AE71" i="5"/>
  <c r="AN33" i="5"/>
  <c r="AN24" i="5"/>
  <c r="AE25" i="5"/>
  <c r="AE105" i="5"/>
  <c r="AE87" i="5"/>
  <c r="AE64" i="5"/>
  <c r="AE46" i="5"/>
  <c r="AE22" i="5"/>
  <c r="AE30" i="5"/>
  <c r="AE81" i="5"/>
  <c r="AE73" i="5"/>
  <c r="AE99" i="5"/>
  <c r="AE90" i="5"/>
  <c r="AE98" i="5"/>
  <c r="AE113" i="5"/>
  <c r="AE59" i="5"/>
  <c r="AE109" i="5"/>
  <c r="AE74" i="5"/>
  <c r="AE16" i="5"/>
  <c r="AN18" i="5"/>
  <c r="AN21" i="5"/>
  <c r="AN27" i="5"/>
  <c r="AN30" i="5"/>
  <c r="AE100" i="5"/>
  <c r="AE53" i="5"/>
  <c r="AE45" i="5"/>
  <c r="AE92" i="5"/>
  <c r="AE104" i="5"/>
  <c r="AE32" i="5"/>
  <c r="AE62" i="5"/>
  <c r="AE116" i="5"/>
  <c r="AE52" i="5"/>
  <c r="AE91" i="5"/>
  <c r="AE34" i="5"/>
  <c r="AE84" i="5"/>
  <c r="AN17" i="5"/>
  <c r="AN35" i="5"/>
  <c r="AE77" i="5"/>
  <c r="AE44" i="5"/>
  <c r="AE108" i="5"/>
  <c r="AE50" i="5"/>
  <c r="AE107" i="5"/>
  <c r="AE48" i="5"/>
  <c r="AE7" i="5"/>
  <c r="AE83" i="5"/>
  <c r="AE86" i="5"/>
  <c r="AE57" i="5"/>
  <c r="AE36" i="5"/>
  <c r="AN19" i="5"/>
  <c r="AN26" i="5"/>
  <c r="AN25" i="5"/>
  <c r="AN22" i="5"/>
  <c r="AN34" i="5"/>
  <c r="AE111" i="5"/>
  <c r="AE33" i="5"/>
  <c r="AE28" i="5"/>
  <c r="AE5" i="5"/>
  <c r="AE4" i="5"/>
  <c r="AE67" i="5"/>
  <c r="AE47" i="5"/>
  <c r="AE20" i="5"/>
  <c r="AE80" i="5"/>
  <c r="AE23" i="5"/>
  <c r="AE94" i="5"/>
  <c r="AE97" i="5"/>
  <c r="AE115" i="5"/>
  <c r="AE95" i="5"/>
  <c r="AE9" i="5"/>
  <c r="AE39" i="5"/>
  <c r="AN37" i="5" l="1"/>
  <c r="AN36" i="5"/>
</calcChain>
</file>

<file path=xl/sharedStrings.xml><?xml version="1.0" encoding="utf-8"?>
<sst xmlns="http://schemas.openxmlformats.org/spreadsheetml/2006/main" count="3315" uniqueCount="717">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</sst>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3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  <font>
      <sz val="11"/>
      <color theme="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8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9" fillId="0" borderId="30" xfId="0" quotePrefix="1" applyFont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12" fillId="0" borderId="0" xfId="0" applyFont="1" applyBorder="1"/>
    <xf numFmtId="0" fontId="9" fillId="0" borderId="15" xfId="0" quotePrefix="1" applyFont="1" applyBorder="1" applyAlignment="1"/>
    <xf numFmtId="14" fontId="9" fillId="0" borderId="15" xfId="0" quotePrefix="1" applyNumberFormat="1" applyFont="1" applyBorder="1" applyAlignment="1">
      <alignment horizontal="left"/>
    </xf>
    <xf numFmtId="14" fontId="9" fillId="0" borderId="0" xfId="0" applyNumberFormat="1" applyFont="1" applyBorder="1" applyAlignment="1">
      <alignment horizontal="left"/>
    </xf>
    <xf numFmtId="0" fontId="9" fillId="0" borderId="15" xfId="0" quotePrefix="1" applyFont="1" applyBorder="1"/>
  </cellXfs>
  <cellStyles count="1">
    <cellStyle name="Normal" xfId="0" builtinId="0"/>
  </cellStyles>
  <dxfs count="58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57"/>
      <tableStyleElement type="totalRow" dxfId="56"/>
      <tableStyleElement type="firstRowStripe" dxfId="55"/>
      <tableStyleElement type="secondRowStripe" dxfId="5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096320"/>
        <c:axId val="527099584"/>
      </c:barChart>
      <c:catAx>
        <c:axId val="527096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27099584"/>
        <c:crossesAt val="0"/>
        <c:auto val="1"/>
        <c:lblAlgn val="ctr"/>
        <c:lblOffset val="100"/>
        <c:noMultiLvlLbl val="1"/>
      </c:catAx>
      <c:valAx>
        <c:axId val="527099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27096320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085440"/>
        <c:axId val="527086528"/>
      </c:lineChart>
      <c:dateAx>
        <c:axId val="527085440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86528"/>
        <c:crosses val="autoZero"/>
        <c:auto val="1"/>
        <c:lblOffset val="100"/>
        <c:baseTimeUnit val="days"/>
      </c:dateAx>
      <c:valAx>
        <c:axId val="527086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27085440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091968"/>
        <c:axId val="526971264"/>
      </c:barChart>
      <c:catAx>
        <c:axId val="527091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26971264"/>
        <c:crosses val="autoZero"/>
        <c:auto val="1"/>
        <c:lblAlgn val="ctr"/>
        <c:lblOffset val="100"/>
        <c:noMultiLvlLbl val="0"/>
      </c:catAx>
      <c:valAx>
        <c:axId val="526971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7091968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925456"/>
        <c:axId val="734916752"/>
      </c:lineChart>
      <c:dateAx>
        <c:axId val="73492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916752"/>
        <c:crosses val="autoZero"/>
        <c:auto val="1"/>
        <c:lblOffset val="100"/>
        <c:baseTimeUnit val="days"/>
        <c:majorUnit val="3"/>
        <c:majorTimeUnit val="months"/>
      </c:dateAx>
      <c:valAx>
        <c:axId val="73491675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734925456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49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D2:D193"/>
  </sortState>
  <tableColumns count="8">
    <tableColumn id="1" name="Anime Name" dataDxfId="53" totalsRowDxfId="52"/>
    <tableColumn id="2" name="Sn." dataDxfId="51" totalsRowDxfId="50"/>
    <tableColumn id="3" name="Eps. " dataDxfId="49" totalsRowDxfId="48"/>
    <tableColumn id="4" name="Dr. #" dataDxfId="47" totalsRowDxfId="46"/>
    <tableColumn id="5" name="Quality" dataDxfId="45" totalsRowDxfId="44"/>
    <tableColumn id="6" name="Type" dataDxfId="43" totalsRowDxfId="42"/>
    <tableColumn id="7" name="Airtime" dataDxfId="41" totalsRowDxfId="40"/>
    <tableColumn id="8" name="Subber(s)" dataDxfId="39" totalsRowDxfId="38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37" tableBorderDxfId="36">
  <autoFilter ref="A2:C64"/>
  <tableColumns count="3">
    <tableColumn id="1" name="Anime Name" dataDxfId="35"/>
    <tableColumn id="8" name="Sn." dataDxfId="34"/>
    <tableColumn id="2" name="Status" dataDxfId="3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32" tableBorderDxfId="31">
  <autoFilter ref="A2:M3"/>
  <tableColumns count="13">
    <tableColumn id="1" name="Anime Name" dataDxfId="3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2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28" dataDxfId="27" tableBorderDxfId="26">
  <autoFilter ref="A2:D14"/>
  <tableColumns count="4">
    <tableColumn id="1" name="Anime Name" dataDxfId="25"/>
    <tableColumn id="2" name="Sn." dataDxfId="24"/>
    <tableColumn id="6" name="Start" dataDxfId="23"/>
    <tableColumn id="7" name="End" dataDxfId="2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tabSelected="1" zoomScale="85" zoomScaleNormal="85" workbookViewId="0">
      <selection activeCell="A30" sqref="A30:I30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5" hidden="1" customWidth="1"/>
    <col min="17" max="17" width="15.7109375" style="78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hidden="1" customWidth="1"/>
    <col min="29" max="29" width="8.7109375" style="3" hidden="1" customWidth="1"/>
    <col min="30" max="30" width="8.28515625" style="3" customWidth="1"/>
    <col min="31" max="31" width="5.7109375" style="57" customWidth="1"/>
    <col min="32" max="32" width="15.28515625" style="57" hidden="1" customWidth="1"/>
    <col min="33" max="33" width="5.85546875" style="57" hidden="1" customWidth="1"/>
    <col min="34" max="34" width="15.85546875" style="110" hidden="1" customWidth="1"/>
    <col min="35" max="35" width="5.7109375" style="3" hidden="1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21" t="s">
        <v>0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3"/>
      <c r="AL1" s="111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27" t="s">
        <v>1</v>
      </c>
      <c r="B2" s="228"/>
      <c r="C2" s="228"/>
      <c r="D2" s="228"/>
      <c r="E2" s="228"/>
      <c r="F2" s="228"/>
      <c r="G2" s="228"/>
      <c r="H2" s="228"/>
      <c r="I2" s="229"/>
      <c r="J2" s="67" t="s">
        <v>181</v>
      </c>
      <c r="K2" s="224" t="s">
        <v>2</v>
      </c>
      <c r="L2" s="225"/>
      <c r="M2" s="225"/>
      <c r="N2" s="225"/>
      <c r="O2" s="225"/>
      <c r="P2" s="225"/>
      <c r="Q2" s="226"/>
      <c r="R2" s="9"/>
      <c r="S2" s="227" t="s">
        <v>3</v>
      </c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229"/>
      <c r="AL2" s="111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3" t="s">
        <v>541</v>
      </c>
      <c r="H3" s="93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6" t="s">
        <v>308</v>
      </c>
      <c r="N3" s="63" t="s">
        <v>346</v>
      </c>
      <c r="O3" s="63" t="s">
        <v>131</v>
      </c>
      <c r="P3" s="63" t="s">
        <v>540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539</v>
      </c>
      <c r="AG3" s="63" t="s">
        <v>545</v>
      </c>
      <c r="AH3" s="63" t="s">
        <v>12</v>
      </c>
      <c r="AI3" s="11" t="s">
        <v>546</v>
      </c>
      <c r="AJ3" s="11" t="s">
        <v>256</v>
      </c>
      <c r="AK3" s="11" t="s">
        <v>13</v>
      </c>
      <c r="AL3" s="111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6">
        <v>41652</v>
      </c>
      <c r="H4" s="106" t="s">
        <v>557</v>
      </c>
      <c r="I4" s="130" t="s">
        <v>370</v>
      </c>
      <c r="J4" s="68" t="s">
        <v>221</v>
      </c>
      <c r="K4" s="12" t="s">
        <v>48</v>
      </c>
      <c r="L4" s="14" t="s">
        <v>15</v>
      </c>
      <c r="M4" s="14">
        <v>13</v>
      </c>
      <c r="N4" s="61" t="s">
        <v>344</v>
      </c>
      <c r="O4" s="133" t="s">
        <v>558</v>
      </c>
      <c r="P4" s="141"/>
      <c r="Q4" s="131" t="s">
        <v>388</v>
      </c>
      <c r="R4" s="9" t="s">
        <v>221</v>
      </c>
      <c r="S4" s="12" t="s">
        <v>53</v>
      </c>
      <c r="T4" s="14">
        <v>1</v>
      </c>
      <c r="U4" s="14">
        <v>13</v>
      </c>
      <c r="V4" s="141" t="s">
        <v>347</v>
      </c>
      <c r="W4" s="141" t="s">
        <v>559</v>
      </c>
      <c r="X4" s="154" t="s">
        <v>401</v>
      </c>
      <c r="Y4" s="16">
        <v>11</v>
      </c>
      <c r="Z4" s="16">
        <v>11</v>
      </c>
      <c r="AA4" s="16">
        <v>0</v>
      </c>
      <c r="AB4" s="16">
        <v>11</v>
      </c>
      <c r="AC4" s="17">
        <f t="shared" ref="AC4:AC35" si="0">(Y4*$AN$5+Z4*$AN$6+AA4*$AN$7+AB4*$AN$8)/$AN$13</f>
        <v>9.9809264305177106</v>
      </c>
      <c r="AD4" s="18">
        <f t="shared" ref="AD4:AD35" si="1">IF($AN$15="Y",10*(AC4-$AN$11)/$AN$12, 10*AC4/$AN$10)</f>
        <v>10</v>
      </c>
      <c r="AE4" s="19">
        <f t="shared" ref="AE4:AE35" si="2">RANK(AD4,AD:AD,0)</f>
        <v>1</v>
      </c>
      <c r="AF4" s="65">
        <v>41290</v>
      </c>
      <c r="AG4" s="21">
        <f t="shared" ref="AG4:AG35" si="3">COUNTIF(AF:AF, "&lt;="&amp;AF4)</f>
        <v>16</v>
      </c>
      <c r="AH4" s="109">
        <v>41352</v>
      </c>
      <c r="AI4" s="21">
        <f t="shared" ref="AI4:AI35" si="4">COUNTIF(AH:AH, "&lt;="&amp;AH4)</f>
        <v>27</v>
      </c>
      <c r="AJ4" s="140" t="s">
        <v>53</v>
      </c>
      <c r="AK4" s="137"/>
      <c r="AL4" s="111"/>
      <c r="AM4" s="22" t="s">
        <v>17</v>
      </c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6" t="s">
        <v>543</v>
      </c>
      <c r="H5" s="146" t="s">
        <v>557</v>
      </c>
      <c r="I5" s="137" t="s">
        <v>388</v>
      </c>
      <c r="J5" s="68" t="s">
        <v>221</v>
      </c>
      <c r="K5" s="12" t="s">
        <v>425</v>
      </c>
      <c r="L5" s="14" t="s">
        <v>15</v>
      </c>
      <c r="M5" s="14">
        <v>12</v>
      </c>
      <c r="N5" s="61" t="s">
        <v>344</v>
      </c>
      <c r="O5" s="133" t="s">
        <v>557</v>
      </c>
      <c r="P5" s="141"/>
      <c r="Q5" s="131" t="s">
        <v>401</v>
      </c>
      <c r="R5" s="9" t="s">
        <v>221</v>
      </c>
      <c r="S5" s="12" t="s">
        <v>127</v>
      </c>
      <c r="T5" s="14">
        <v>1</v>
      </c>
      <c r="U5" s="14">
        <v>25</v>
      </c>
      <c r="V5" s="141" t="s">
        <v>344</v>
      </c>
      <c r="W5" s="141" t="s">
        <v>558</v>
      </c>
      <c r="X5" s="154" t="s">
        <v>522</v>
      </c>
      <c r="Y5" s="16">
        <v>10</v>
      </c>
      <c r="Z5" s="16">
        <v>9.5</v>
      </c>
      <c r="AA5" s="16">
        <v>4</v>
      </c>
      <c r="AB5" s="16">
        <v>10</v>
      </c>
      <c r="AC5" s="17">
        <f t="shared" si="0"/>
        <v>9.3583106267029965</v>
      </c>
      <c r="AD5" s="18">
        <f t="shared" si="1"/>
        <v>9.173149990953501</v>
      </c>
      <c r="AE5" s="19">
        <f t="shared" si="2"/>
        <v>2</v>
      </c>
      <c r="AF5" s="65">
        <v>41270</v>
      </c>
      <c r="AG5" s="21">
        <f t="shared" si="3"/>
        <v>11</v>
      </c>
      <c r="AH5" s="109">
        <v>41279</v>
      </c>
      <c r="AI5" s="21">
        <f t="shared" si="4"/>
        <v>10</v>
      </c>
      <c r="AJ5" s="59" t="s">
        <v>257</v>
      </c>
      <c r="AK5" s="137" t="s">
        <v>484</v>
      </c>
      <c r="AL5" s="111" t="s">
        <v>221</v>
      </c>
      <c r="AM5" s="24" t="s">
        <v>195</v>
      </c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46" t="s">
        <v>543</v>
      </c>
      <c r="H6" s="146" t="s">
        <v>557</v>
      </c>
      <c r="I6" s="155" t="s">
        <v>240</v>
      </c>
      <c r="J6" s="68" t="s">
        <v>221</v>
      </c>
      <c r="K6" s="12" t="s">
        <v>342</v>
      </c>
      <c r="L6" s="14" t="s">
        <v>15</v>
      </c>
      <c r="M6" s="14">
        <v>26</v>
      </c>
      <c r="N6" s="61" t="s">
        <v>347</v>
      </c>
      <c r="O6" s="133" t="s">
        <v>561</v>
      </c>
      <c r="P6" s="141"/>
      <c r="Q6" s="131" t="s">
        <v>428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347</v>
      </c>
      <c r="W6" s="61" t="s">
        <v>559</v>
      </c>
      <c r="X6" s="124" t="s">
        <v>391</v>
      </c>
      <c r="Y6" s="16">
        <v>9.5</v>
      </c>
      <c r="Z6" s="16">
        <v>10</v>
      </c>
      <c r="AA6" s="16">
        <v>3.5</v>
      </c>
      <c r="AB6" s="16">
        <v>10</v>
      </c>
      <c r="AC6" s="17">
        <f t="shared" si="0"/>
        <v>9.2411444141689376</v>
      </c>
      <c r="AD6" s="18">
        <f t="shared" si="1"/>
        <v>9.017550208069478</v>
      </c>
      <c r="AE6" s="19">
        <f t="shared" si="2"/>
        <v>3</v>
      </c>
      <c r="AF6" s="65">
        <v>41646</v>
      </c>
      <c r="AG6" s="21">
        <f t="shared" si="3"/>
        <v>100</v>
      </c>
      <c r="AH6" s="109">
        <v>41647</v>
      </c>
      <c r="AI6" s="21">
        <f t="shared" si="4"/>
        <v>96</v>
      </c>
      <c r="AJ6" s="139" t="s">
        <v>473</v>
      </c>
      <c r="AK6" s="137" t="s">
        <v>474</v>
      </c>
      <c r="AL6" s="111" t="s">
        <v>221</v>
      </c>
      <c r="AM6" s="27" t="s">
        <v>194</v>
      </c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2" t="s">
        <v>344</v>
      </c>
      <c r="G7" s="108">
        <v>41653</v>
      </c>
      <c r="H7" s="108" t="s">
        <v>558</v>
      </c>
      <c r="I7" s="150" t="s">
        <v>415</v>
      </c>
      <c r="J7" s="68" t="s">
        <v>221</v>
      </c>
      <c r="K7" s="12" t="s">
        <v>436</v>
      </c>
      <c r="L7" s="14" t="s">
        <v>15</v>
      </c>
      <c r="M7" s="14">
        <v>25</v>
      </c>
      <c r="N7" s="61" t="s">
        <v>347</v>
      </c>
      <c r="O7" s="133" t="s">
        <v>557</v>
      </c>
      <c r="P7" s="141"/>
      <c r="Q7" s="131" t="s">
        <v>458</v>
      </c>
      <c r="R7" s="9" t="s">
        <v>221</v>
      </c>
      <c r="S7" s="12" t="s">
        <v>216</v>
      </c>
      <c r="T7" s="14">
        <v>3</v>
      </c>
      <c r="U7" s="14">
        <v>24</v>
      </c>
      <c r="V7" s="61" t="s">
        <v>344</v>
      </c>
      <c r="W7" s="61" t="s">
        <v>558</v>
      </c>
      <c r="X7" s="73" t="s">
        <v>388</v>
      </c>
      <c r="Y7" s="16">
        <v>10</v>
      </c>
      <c r="Z7" s="16">
        <v>8.5</v>
      </c>
      <c r="AA7" s="16">
        <v>6</v>
      </c>
      <c r="AB7" s="16">
        <v>9.5</v>
      </c>
      <c r="AC7" s="17">
        <f t="shared" si="0"/>
        <v>9.1607629427792912</v>
      </c>
      <c r="AD7" s="18">
        <f t="shared" si="1"/>
        <v>8.9108015198118338</v>
      </c>
      <c r="AE7" s="19">
        <f t="shared" si="2"/>
        <v>4</v>
      </c>
      <c r="AF7" s="65">
        <v>41400</v>
      </c>
      <c r="AG7" s="21">
        <f t="shared" si="3"/>
        <v>50</v>
      </c>
      <c r="AH7" s="109">
        <v>41402</v>
      </c>
      <c r="AI7" s="21">
        <f t="shared" si="4"/>
        <v>41</v>
      </c>
      <c r="AJ7" s="59" t="s">
        <v>223</v>
      </c>
      <c r="AK7" s="137"/>
      <c r="AL7" s="111" t="s">
        <v>221</v>
      </c>
      <c r="AM7" s="27" t="s">
        <v>8</v>
      </c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520</v>
      </c>
      <c r="B8" s="23" t="s">
        <v>527</v>
      </c>
      <c r="C8" s="14">
        <v>1</v>
      </c>
      <c r="D8" s="14">
        <v>12</v>
      </c>
      <c r="E8" s="14">
        <v>12</v>
      </c>
      <c r="F8" s="141" t="s">
        <v>347</v>
      </c>
      <c r="G8" s="106">
        <v>41785</v>
      </c>
      <c r="H8" s="106" t="s">
        <v>557</v>
      </c>
      <c r="I8" s="137" t="s">
        <v>388</v>
      </c>
      <c r="J8" s="68" t="s">
        <v>221</v>
      </c>
      <c r="K8" s="12" t="s">
        <v>456</v>
      </c>
      <c r="L8" s="14" t="s">
        <v>15</v>
      </c>
      <c r="M8" s="14">
        <v>24</v>
      </c>
      <c r="N8" s="64" t="s">
        <v>347</v>
      </c>
      <c r="O8" s="134" t="s">
        <v>557</v>
      </c>
      <c r="P8" s="142"/>
      <c r="Q8" s="132" t="s">
        <v>459</v>
      </c>
      <c r="R8" s="9" t="s">
        <v>221</v>
      </c>
      <c r="S8" s="12" t="s">
        <v>33</v>
      </c>
      <c r="T8" s="14">
        <v>1</v>
      </c>
      <c r="U8" s="14">
        <v>11</v>
      </c>
      <c r="V8" s="61" t="s">
        <v>347</v>
      </c>
      <c r="W8" s="61" t="s">
        <v>558</v>
      </c>
      <c r="X8" s="73" t="s">
        <v>397</v>
      </c>
      <c r="Y8" s="16">
        <v>10</v>
      </c>
      <c r="Z8" s="16">
        <v>9</v>
      </c>
      <c r="AA8" s="16">
        <v>5</v>
      </c>
      <c r="AB8" s="16">
        <v>9.5</v>
      </c>
      <c r="AC8" s="17">
        <f t="shared" si="0"/>
        <v>9.1539509536784731</v>
      </c>
      <c r="AD8" s="18">
        <f t="shared" si="1"/>
        <v>8.9017550208069469</v>
      </c>
      <c r="AE8" s="19">
        <f t="shared" si="2"/>
        <v>5</v>
      </c>
      <c r="AF8" s="65">
        <v>41742</v>
      </c>
      <c r="AG8" s="21">
        <f t="shared" si="3"/>
        <v>112</v>
      </c>
      <c r="AH8" s="109">
        <v>41746</v>
      </c>
      <c r="AI8" s="21">
        <f t="shared" si="4"/>
        <v>109</v>
      </c>
      <c r="AJ8" s="59" t="s">
        <v>517</v>
      </c>
      <c r="AK8" s="137" t="s">
        <v>518</v>
      </c>
      <c r="AL8" s="111" t="s">
        <v>221</v>
      </c>
      <c r="AM8" s="29" t="s">
        <v>196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1" t="s">
        <v>347</v>
      </c>
      <c r="G9" s="106">
        <v>41750</v>
      </c>
      <c r="H9" s="106" t="s">
        <v>557</v>
      </c>
      <c r="I9" s="137" t="s">
        <v>530</v>
      </c>
      <c r="J9" s="68" t="s">
        <v>221</v>
      </c>
      <c r="K9" s="12" t="s">
        <v>457</v>
      </c>
      <c r="L9" s="14" t="s">
        <v>15</v>
      </c>
      <c r="M9" s="14">
        <v>25</v>
      </c>
      <c r="N9" s="61" t="s">
        <v>347</v>
      </c>
      <c r="O9" s="133" t="s">
        <v>557</v>
      </c>
      <c r="P9" s="141"/>
      <c r="Q9" s="131" t="s">
        <v>459</v>
      </c>
      <c r="R9" s="9" t="s">
        <v>221</v>
      </c>
      <c r="S9" s="12" t="s">
        <v>183</v>
      </c>
      <c r="T9" s="14">
        <v>1</v>
      </c>
      <c r="U9" s="14">
        <v>16</v>
      </c>
      <c r="V9" s="61" t="s">
        <v>347</v>
      </c>
      <c r="W9" s="61" t="s">
        <v>558</v>
      </c>
      <c r="X9" s="73" t="s">
        <v>389</v>
      </c>
      <c r="Y9" s="16">
        <v>10</v>
      </c>
      <c r="Z9" s="16">
        <v>10</v>
      </c>
      <c r="AA9" s="16">
        <v>3</v>
      </c>
      <c r="AB9" s="16">
        <v>9.5</v>
      </c>
      <c r="AC9" s="17">
        <f t="shared" si="0"/>
        <v>9.1403269754768406</v>
      </c>
      <c r="AD9" s="18">
        <f t="shared" si="1"/>
        <v>8.8836620227971803</v>
      </c>
      <c r="AE9" s="19">
        <f t="shared" si="2"/>
        <v>6</v>
      </c>
      <c r="AF9" s="65">
        <v>41607</v>
      </c>
      <c r="AG9" s="21">
        <f t="shared" si="3"/>
        <v>95</v>
      </c>
      <c r="AH9" s="109">
        <v>41634</v>
      </c>
      <c r="AI9" s="21">
        <f t="shared" si="4"/>
        <v>90</v>
      </c>
      <c r="AJ9" s="139" t="s">
        <v>438</v>
      </c>
      <c r="AK9" s="137" t="s">
        <v>439</v>
      </c>
      <c r="AL9" s="111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1" t="s">
        <v>347</v>
      </c>
      <c r="G10" s="106">
        <v>41789</v>
      </c>
      <c r="H10" s="106" t="s">
        <v>557</v>
      </c>
      <c r="I10" s="156" t="s">
        <v>394</v>
      </c>
      <c r="J10" s="68" t="s">
        <v>221</v>
      </c>
      <c r="K10" s="12" t="s">
        <v>309</v>
      </c>
      <c r="L10" s="14" t="s">
        <v>15</v>
      </c>
      <c r="M10" s="14">
        <v>25</v>
      </c>
      <c r="N10" s="61" t="s">
        <v>344</v>
      </c>
      <c r="O10" s="133" t="s">
        <v>558</v>
      </c>
      <c r="P10" s="141"/>
      <c r="Q10" s="131" t="s">
        <v>389</v>
      </c>
      <c r="R10" s="9" t="s">
        <v>221</v>
      </c>
      <c r="S10" s="12" t="s">
        <v>184</v>
      </c>
      <c r="T10" s="14">
        <v>1</v>
      </c>
      <c r="U10" s="14">
        <v>25</v>
      </c>
      <c r="V10" s="61" t="s">
        <v>347</v>
      </c>
      <c r="W10" s="61" t="s">
        <v>558</v>
      </c>
      <c r="X10" s="73" t="s">
        <v>389</v>
      </c>
      <c r="Y10" s="16">
        <v>10</v>
      </c>
      <c r="Z10" s="16">
        <v>9</v>
      </c>
      <c r="AA10" s="16">
        <v>4</v>
      </c>
      <c r="AB10" s="16">
        <v>9.5</v>
      </c>
      <c r="AC10" s="17">
        <f t="shared" si="0"/>
        <v>9.061307901907357</v>
      </c>
      <c r="AD10" s="18">
        <f t="shared" si="1"/>
        <v>8.7787226343405109</v>
      </c>
      <c r="AE10" s="19">
        <f t="shared" si="2"/>
        <v>7</v>
      </c>
      <c r="AF10" s="65">
        <v>41750</v>
      </c>
      <c r="AG10" s="21">
        <f t="shared" si="3"/>
        <v>113</v>
      </c>
      <c r="AH10" s="109">
        <v>41756</v>
      </c>
      <c r="AI10" s="21">
        <f t="shared" si="4"/>
        <v>112</v>
      </c>
      <c r="AJ10" s="59" t="s">
        <v>533</v>
      </c>
      <c r="AK10" s="137"/>
      <c r="AL10" s="111" t="s">
        <v>221</v>
      </c>
      <c r="AM10" s="32" t="s">
        <v>36</v>
      </c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1" t="s">
        <v>347</v>
      </c>
      <c r="G11" s="106">
        <v>41750</v>
      </c>
      <c r="H11" s="106" t="s">
        <v>557</v>
      </c>
      <c r="I11" s="137" t="s">
        <v>531</v>
      </c>
      <c r="J11" s="68" t="s">
        <v>221</v>
      </c>
      <c r="K11" s="12" t="s">
        <v>310</v>
      </c>
      <c r="L11" s="14" t="s">
        <v>301</v>
      </c>
      <c r="M11" s="14">
        <v>25</v>
      </c>
      <c r="N11" s="61" t="s">
        <v>344</v>
      </c>
      <c r="O11" s="133" t="s">
        <v>558</v>
      </c>
      <c r="P11" s="141"/>
      <c r="Q11" s="132" t="s">
        <v>389</v>
      </c>
      <c r="R11" s="9" t="s">
        <v>221</v>
      </c>
      <c r="S11" s="12" t="s">
        <v>209</v>
      </c>
      <c r="T11" s="14">
        <v>2</v>
      </c>
      <c r="U11" s="14">
        <v>22</v>
      </c>
      <c r="V11" s="61" t="s">
        <v>344</v>
      </c>
      <c r="W11" s="61" t="s">
        <v>558</v>
      </c>
      <c r="X11" s="104" t="s">
        <v>388</v>
      </c>
      <c r="Y11" s="16">
        <v>9.5</v>
      </c>
      <c r="Z11" s="16">
        <v>10</v>
      </c>
      <c r="AA11" s="16">
        <v>6</v>
      </c>
      <c r="AB11" s="16">
        <v>9</v>
      </c>
      <c r="AC11" s="17">
        <f t="shared" si="0"/>
        <v>9.0504087193460485</v>
      </c>
      <c r="AD11" s="18">
        <f t="shared" si="1"/>
        <v>8.7642482359326923</v>
      </c>
      <c r="AE11" s="19">
        <f t="shared" si="2"/>
        <v>8</v>
      </c>
      <c r="AF11" s="65">
        <v>41293</v>
      </c>
      <c r="AG11" s="21">
        <f t="shared" si="3"/>
        <v>19</v>
      </c>
      <c r="AH11" s="109">
        <v>41294</v>
      </c>
      <c r="AI11" s="21">
        <f t="shared" si="4"/>
        <v>15</v>
      </c>
      <c r="AJ11" s="59" t="s">
        <v>228</v>
      </c>
      <c r="AK11" s="137" t="s">
        <v>23</v>
      </c>
      <c r="AL11" s="111" t="s">
        <v>221</v>
      </c>
      <c r="AM11" s="34" t="s">
        <v>40</v>
      </c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57" t="s">
        <v>514</v>
      </c>
      <c r="B12" s="23" t="s">
        <v>526</v>
      </c>
      <c r="C12" s="14">
        <v>1</v>
      </c>
      <c r="D12" s="14">
        <v>10</v>
      </c>
      <c r="E12" s="14">
        <v>11</v>
      </c>
      <c r="F12" s="61" t="s">
        <v>347</v>
      </c>
      <c r="G12" s="106">
        <v>41750</v>
      </c>
      <c r="H12" s="106" t="s">
        <v>557</v>
      </c>
      <c r="I12" s="130" t="s">
        <v>522</v>
      </c>
      <c r="J12" s="68" t="s">
        <v>221</v>
      </c>
      <c r="K12" s="12" t="s">
        <v>356</v>
      </c>
      <c r="L12" s="14" t="s">
        <v>15</v>
      </c>
      <c r="M12" s="14">
        <v>12</v>
      </c>
      <c r="N12" s="64" t="s">
        <v>347</v>
      </c>
      <c r="O12" s="134" t="s">
        <v>557</v>
      </c>
      <c r="P12" s="142"/>
      <c r="Q12" s="131" t="s">
        <v>368</v>
      </c>
      <c r="R12" s="9" t="s">
        <v>221</v>
      </c>
      <c r="S12" s="12" t="s">
        <v>363</v>
      </c>
      <c r="T12" s="14">
        <v>1</v>
      </c>
      <c r="U12" s="14">
        <v>25</v>
      </c>
      <c r="V12" s="61" t="s">
        <v>347</v>
      </c>
      <c r="W12" s="61" t="s">
        <v>557</v>
      </c>
      <c r="X12" s="112" t="s">
        <v>391</v>
      </c>
      <c r="Y12" s="16">
        <v>9</v>
      </c>
      <c r="Z12" s="16">
        <v>9</v>
      </c>
      <c r="AA12" s="16">
        <v>6.5</v>
      </c>
      <c r="AB12" s="16">
        <v>9.5</v>
      </c>
      <c r="AC12" s="17">
        <f t="shared" si="0"/>
        <v>8.9795640326975477</v>
      </c>
      <c r="AD12" s="18">
        <f t="shared" si="1"/>
        <v>8.67016464628189</v>
      </c>
      <c r="AE12" s="19">
        <f t="shared" si="2"/>
        <v>9</v>
      </c>
      <c r="AF12" s="65">
        <v>41555</v>
      </c>
      <c r="AG12" s="21">
        <f t="shared" si="3"/>
        <v>91</v>
      </c>
      <c r="AH12" s="109">
        <v>41720</v>
      </c>
      <c r="AI12" s="21">
        <f t="shared" si="4"/>
        <v>98</v>
      </c>
      <c r="AJ12" s="59" t="s">
        <v>375</v>
      </c>
      <c r="AK12" s="137" t="s">
        <v>489</v>
      </c>
      <c r="AL12" s="111" t="s">
        <v>221</v>
      </c>
      <c r="AM12" s="34" t="s">
        <v>43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57" t="s">
        <v>504</v>
      </c>
      <c r="B13" s="23" t="s">
        <v>526</v>
      </c>
      <c r="C13" s="14">
        <v>1</v>
      </c>
      <c r="D13" s="14">
        <v>12</v>
      </c>
      <c r="E13" s="14">
        <v>12</v>
      </c>
      <c r="F13" s="61" t="s">
        <v>347</v>
      </c>
      <c r="G13" s="106">
        <v>41759</v>
      </c>
      <c r="H13" s="106" t="s">
        <v>559</v>
      </c>
      <c r="I13" s="130" t="s">
        <v>240</v>
      </c>
      <c r="J13" s="68" t="s">
        <v>221</v>
      </c>
      <c r="K13" s="12" t="s">
        <v>311</v>
      </c>
      <c r="L13" s="14" t="s">
        <v>301</v>
      </c>
      <c r="M13" s="14">
        <v>26</v>
      </c>
      <c r="N13" s="61" t="s">
        <v>344</v>
      </c>
      <c r="O13" s="133" t="s">
        <v>558</v>
      </c>
      <c r="P13" s="141"/>
      <c r="Q13" s="131" t="s">
        <v>389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558</v>
      </c>
      <c r="X13" s="73" t="s">
        <v>397</v>
      </c>
      <c r="Y13" s="16">
        <v>9.5</v>
      </c>
      <c r="Z13" s="16">
        <v>9</v>
      </c>
      <c r="AA13" s="16">
        <v>6.5</v>
      </c>
      <c r="AB13" s="16">
        <v>9</v>
      </c>
      <c r="AC13" s="17">
        <f t="shared" si="0"/>
        <v>8.9250681198910087</v>
      </c>
      <c r="AD13" s="18">
        <f t="shared" si="1"/>
        <v>8.5977926542428094</v>
      </c>
      <c r="AE13" s="19">
        <f t="shared" si="2"/>
        <v>10</v>
      </c>
      <c r="AF13" s="65">
        <v>41369</v>
      </c>
      <c r="AG13" s="21">
        <f t="shared" si="3"/>
        <v>39</v>
      </c>
      <c r="AH13" s="109">
        <v>41389</v>
      </c>
      <c r="AI13" s="21">
        <f t="shared" si="4"/>
        <v>38</v>
      </c>
      <c r="AJ13" s="59" t="s">
        <v>223</v>
      </c>
      <c r="AK13" s="137" t="s">
        <v>16</v>
      </c>
      <c r="AL13" s="111" t="s">
        <v>221</v>
      </c>
      <c r="AM13" s="36" t="s">
        <v>46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57" t="s">
        <v>515</v>
      </c>
      <c r="B14" s="23" t="s">
        <v>526</v>
      </c>
      <c r="C14" s="14">
        <v>1</v>
      </c>
      <c r="D14" s="14">
        <v>11</v>
      </c>
      <c r="E14" s="14">
        <v>12</v>
      </c>
      <c r="F14" s="61" t="s">
        <v>347</v>
      </c>
      <c r="G14" s="108">
        <v>41796</v>
      </c>
      <c r="H14" s="146" t="s">
        <v>557</v>
      </c>
      <c r="I14" s="130" t="s">
        <v>530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347</v>
      </c>
      <c r="O14" s="133" t="s">
        <v>558</v>
      </c>
      <c r="P14" s="141"/>
      <c r="Q14" s="131" t="s">
        <v>389</v>
      </c>
      <c r="R14" s="9" t="s">
        <v>221</v>
      </c>
      <c r="S14" s="12" t="s">
        <v>30</v>
      </c>
      <c r="T14" s="14">
        <v>1</v>
      </c>
      <c r="U14" s="14">
        <v>13</v>
      </c>
      <c r="V14" s="61" t="s">
        <v>347</v>
      </c>
      <c r="W14" s="61" t="s">
        <v>558</v>
      </c>
      <c r="X14" s="73" t="s">
        <v>389</v>
      </c>
      <c r="Y14" s="16">
        <v>9</v>
      </c>
      <c r="Z14" s="16">
        <v>9.5</v>
      </c>
      <c r="AA14" s="16">
        <v>4.5</v>
      </c>
      <c r="AB14" s="16">
        <v>9.5</v>
      </c>
      <c r="AC14" s="17">
        <f t="shared" si="0"/>
        <v>8.8801089918256135</v>
      </c>
      <c r="AD14" s="18">
        <f t="shared" si="1"/>
        <v>8.5380857608105689</v>
      </c>
      <c r="AE14" s="19">
        <f t="shared" si="2"/>
        <v>11</v>
      </c>
      <c r="AF14" s="65">
        <v>41357</v>
      </c>
      <c r="AG14" s="21">
        <f t="shared" si="3"/>
        <v>34</v>
      </c>
      <c r="AH14" s="109">
        <v>41357</v>
      </c>
      <c r="AI14" s="21">
        <f t="shared" si="4"/>
        <v>30</v>
      </c>
      <c r="AJ14" s="59" t="s">
        <v>258</v>
      </c>
      <c r="AK14" s="135"/>
      <c r="AL14" s="111" t="s">
        <v>221</v>
      </c>
      <c r="AM14" s="8"/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57" t="s">
        <v>507</v>
      </c>
      <c r="B15" s="23" t="s">
        <v>526</v>
      </c>
      <c r="C15" s="14">
        <v>1</v>
      </c>
      <c r="D15" s="58">
        <v>11</v>
      </c>
      <c r="E15" s="14">
        <v>11</v>
      </c>
      <c r="F15" s="61" t="s">
        <v>347</v>
      </c>
      <c r="G15" s="106">
        <v>41762</v>
      </c>
      <c r="H15" s="106" t="s">
        <v>557</v>
      </c>
      <c r="I15" s="130" t="s">
        <v>521</v>
      </c>
      <c r="J15" s="68" t="s">
        <v>221</v>
      </c>
      <c r="K15" s="12" t="s">
        <v>335</v>
      </c>
      <c r="L15" s="77" t="s">
        <v>15</v>
      </c>
      <c r="M15" s="8">
        <v>24</v>
      </c>
      <c r="N15" s="61" t="s">
        <v>344</v>
      </c>
      <c r="O15" s="133" t="s">
        <v>558</v>
      </c>
      <c r="P15" s="141"/>
      <c r="Q15" s="131" t="s">
        <v>389</v>
      </c>
      <c r="R15" s="9" t="s">
        <v>221</v>
      </c>
      <c r="S15" s="12" t="s">
        <v>167</v>
      </c>
      <c r="T15" s="14">
        <v>1</v>
      </c>
      <c r="U15" s="14">
        <v>12</v>
      </c>
      <c r="V15" s="61" t="s">
        <v>344</v>
      </c>
      <c r="W15" s="61" t="s">
        <v>558</v>
      </c>
      <c r="X15" s="73" t="s">
        <v>388</v>
      </c>
      <c r="Y15" s="16">
        <v>9</v>
      </c>
      <c r="Z15" s="16">
        <v>9.5</v>
      </c>
      <c r="AA15" s="16">
        <v>6.5</v>
      </c>
      <c r="AB15" s="16">
        <v>9</v>
      </c>
      <c r="AC15" s="17">
        <f t="shared" si="0"/>
        <v>8.8542234332425078</v>
      </c>
      <c r="AD15" s="18">
        <f t="shared" si="1"/>
        <v>8.5037090645920053</v>
      </c>
      <c r="AE15" s="19">
        <f t="shared" si="2"/>
        <v>12</v>
      </c>
      <c r="AF15" s="65">
        <v>41636</v>
      </c>
      <c r="AG15" s="21">
        <f t="shared" si="3"/>
        <v>97</v>
      </c>
      <c r="AH15" s="109">
        <v>41636</v>
      </c>
      <c r="AI15" s="21">
        <f t="shared" si="4"/>
        <v>92</v>
      </c>
      <c r="AJ15" s="59" t="s">
        <v>460</v>
      </c>
      <c r="AK15" s="137" t="s">
        <v>461</v>
      </c>
      <c r="AL15" s="111" t="s">
        <v>221</v>
      </c>
      <c r="AM15" s="38" t="s">
        <v>54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57" t="s">
        <v>523</v>
      </c>
      <c r="B16" s="23" t="s">
        <v>369</v>
      </c>
      <c r="C16" s="14">
        <v>1</v>
      </c>
      <c r="D16" s="14">
        <v>11</v>
      </c>
      <c r="E16" s="14">
        <v>11</v>
      </c>
      <c r="F16" s="61" t="s">
        <v>347</v>
      </c>
      <c r="G16" s="106">
        <v>41785</v>
      </c>
      <c r="H16" s="106" t="s">
        <v>557</v>
      </c>
      <c r="I16" s="130" t="s">
        <v>240</v>
      </c>
      <c r="J16" s="68" t="s">
        <v>221</v>
      </c>
      <c r="K16" s="12" t="s">
        <v>52</v>
      </c>
      <c r="L16" s="14" t="s">
        <v>15</v>
      </c>
      <c r="M16" s="14">
        <v>12</v>
      </c>
      <c r="N16" s="61" t="s">
        <v>347</v>
      </c>
      <c r="O16" s="133" t="s">
        <v>558</v>
      </c>
      <c r="P16" s="141"/>
      <c r="Q16" s="131" t="s">
        <v>389</v>
      </c>
      <c r="R16" s="9" t="s">
        <v>221</v>
      </c>
      <c r="S16" s="12" t="s">
        <v>365</v>
      </c>
      <c r="T16" s="14">
        <v>2</v>
      </c>
      <c r="U16" s="14">
        <v>12</v>
      </c>
      <c r="V16" s="61" t="s">
        <v>347</v>
      </c>
      <c r="W16" s="61" t="s">
        <v>557</v>
      </c>
      <c r="X16" s="73" t="s">
        <v>368</v>
      </c>
      <c r="Y16" s="16">
        <v>9</v>
      </c>
      <c r="Z16" s="16">
        <v>9.5</v>
      </c>
      <c r="AA16" s="16">
        <v>6</v>
      </c>
      <c r="AB16" s="16">
        <v>9</v>
      </c>
      <c r="AC16" s="17">
        <f t="shared" si="0"/>
        <v>8.8079019073569498</v>
      </c>
      <c r="AD16" s="18">
        <f t="shared" si="1"/>
        <v>8.4421928713587864</v>
      </c>
      <c r="AE16" s="19">
        <f t="shared" si="2"/>
        <v>13</v>
      </c>
      <c r="AF16" s="65">
        <v>41553</v>
      </c>
      <c r="AG16" s="21">
        <f t="shared" si="3"/>
        <v>86</v>
      </c>
      <c r="AH16" s="109">
        <v>41632</v>
      </c>
      <c r="AI16" s="21">
        <f t="shared" si="4"/>
        <v>87</v>
      </c>
      <c r="AJ16" s="59" t="s">
        <v>383</v>
      </c>
      <c r="AK16" s="137"/>
      <c r="AL16" s="111" t="s">
        <v>221</v>
      </c>
      <c r="AM16" s="8"/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57" t="s">
        <v>528</v>
      </c>
      <c r="B17" s="158" t="s">
        <v>369</v>
      </c>
      <c r="C17" s="172">
        <v>1</v>
      </c>
      <c r="D17" s="172">
        <v>11</v>
      </c>
      <c r="E17" s="172">
        <v>11</v>
      </c>
      <c r="F17" s="159" t="s">
        <v>347</v>
      </c>
      <c r="G17" s="173">
        <v>41786</v>
      </c>
      <c r="H17" s="173" t="s">
        <v>557</v>
      </c>
      <c r="I17" s="174" t="s">
        <v>370</v>
      </c>
      <c r="J17" s="263" t="s">
        <v>221</v>
      </c>
      <c r="K17" s="157" t="s">
        <v>334</v>
      </c>
      <c r="L17" s="14" t="s">
        <v>15</v>
      </c>
      <c r="M17" s="14">
        <v>25</v>
      </c>
      <c r="N17" s="61" t="s">
        <v>344</v>
      </c>
      <c r="O17" s="133" t="s">
        <v>558</v>
      </c>
      <c r="P17" s="141"/>
      <c r="Q17" s="131" t="s">
        <v>368</v>
      </c>
      <c r="R17" s="9" t="s">
        <v>221</v>
      </c>
      <c r="S17" s="12" t="s">
        <v>362</v>
      </c>
      <c r="T17" s="14">
        <v>1</v>
      </c>
      <c r="U17" s="14">
        <v>24</v>
      </c>
      <c r="V17" s="61" t="s">
        <v>347</v>
      </c>
      <c r="W17" s="61" t="s">
        <v>557</v>
      </c>
      <c r="X17" s="73" t="s">
        <v>391</v>
      </c>
      <c r="Y17" s="16">
        <v>9</v>
      </c>
      <c r="Z17" s="16">
        <v>8.5</v>
      </c>
      <c r="AA17" s="16">
        <v>5</v>
      </c>
      <c r="AB17" s="16">
        <v>9.5</v>
      </c>
      <c r="AC17" s="17">
        <f t="shared" si="0"/>
        <v>8.7547683923705737</v>
      </c>
      <c r="AD17" s="18">
        <f t="shared" si="1"/>
        <v>8.3716301791206824</v>
      </c>
      <c r="AE17" s="19">
        <f t="shared" si="2"/>
        <v>14</v>
      </c>
      <c r="AF17" s="65">
        <v>41555</v>
      </c>
      <c r="AG17" s="21">
        <f t="shared" si="3"/>
        <v>91</v>
      </c>
      <c r="AH17" s="147">
        <v>41726</v>
      </c>
      <c r="AI17" s="21">
        <f t="shared" si="4"/>
        <v>101</v>
      </c>
      <c r="AJ17" s="59" t="s">
        <v>485</v>
      </c>
      <c r="AK17" s="137" t="s">
        <v>486</v>
      </c>
      <c r="AL17" s="111" t="s">
        <v>221</v>
      </c>
      <c r="AM17" s="32" t="s">
        <v>61</v>
      </c>
      <c r="AN17" s="33">
        <f>AVERAGE(AD:AD)</f>
        <v>6.895001368983479</v>
      </c>
      <c r="AO17" s="8"/>
      <c r="AP17" s="8"/>
      <c r="AQ17" s="2"/>
      <c r="AR17" s="2"/>
      <c r="AS17" s="1"/>
      <c r="AT17" s="1"/>
      <c r="AU17" s="1"/>
    </row>
    <row r="18" spans="1:47" ht="16.5">
      <c r="A18" s="157" t="s">
        <v>509</v>
      </c>
      <c r="B18" s="264" t="s">
        <v>467</v>
      </c>
      <c r="C18" s="172">
        <v>1</v>
      </c>
      <c r="D18" s="172">
        <v>11</v>
      </c>
      <c r="E18" s="172">
        <v>12</v>
      </c>
      <c r="F18" s="159" t="s">
        <v>347</v>
      </c>
      <c r="G18" s="173">
        <v>41749</v>
      </c>
      <c r="H18" s="173" t="s">
        <v>557</v>
      </c>
      <c r="I18" s="174" t="s">
        <v>475</v>
      </c>
      <c r="J18" s="263" t="s">
        <v>221</v>
      </c>
      <c r="K18" s="157" t="s">
        <v>341</v>
      </c>
      <c r="L18" s="14" t="s">
        <v>15</v>
      </c>
      <c r="M18" s="14">
        <v>7</v>
      </c>
      <c r="N18" s="61" t="s">
        <v>347</v>
      </c>
      <c r="O18" s="133" t="s">
        <v>558</v>
      </c>
      <c r="P18" s="141"/>
      <c r="Q18" s="131" t="s">
        <v>397</v>
      </c>
      <c r="R18" s="9" t="s">
        <v>221</v>
      </c>
      <c r="S18" s="12" t="s">
        <v>34</v>
      </c>
      <c r="T18" s="14">
        <v>1</v>
      </c>
      <c r="U18" s="14">
        <v>14</v>
      </c>
      <c r="V18" s="61" t="s">
        <v>344</v>
      </c>
      <c r="W18" s="61" t="s">
        <v>558</v>
      </c>
      <c r="X18" s="73" t="s">
        <v>388</v>
      </c>
      <c r="Y18" s="16">
        <v>9</v>
      </c>
      <c r="Z18" s="16">
        <v>9</v>
      </c>
      <c r="AA18" s="16">
        <v>4</v>
      </c>
      <c r="AB18" s="16">
        <v>9.5</v>
      </c>
      <c r="AC18" s="17">
        <f t="shared" si="0"/>
        <v>8.7479564032697539</v>
      </c>
      <c r="AD18" s="18">
        <f t="shared" si="1"/>
        <v>8.3625836801157956</v>
      </c>
      <c r="AE18" s="19">
        <f t="shared" si="2"/>
        <v>15</v>
      </c>
      <c r="AF18" s="65">
        <v>41295</v>
      </c>
      <c r="AG18" s="21">
        <f t="shared" si="3"/>
        <v>20</v>
      </c>
      <c r="AH18" s="109">
        <v>41300</v>
      </c>
      <c r="AI18" s="21">
        <f t="shared" si="4"/>
        <v>17</v>
      </c>
      <c r="AJ18" s="59" t="s">
        <v>225</v>
      </c>
      <c r="AK18" s="137" t="s">
        <v>35</v>
      </c>
      <c r="AL18" s="111" t="s">
        <v>221</v>
      </c>
      <c r="AM18" s="34" t="s">
        <v>222</v>
      </c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57" t="s">
        <v>511</v>
      </c>
      <c r="B19" s="264" t="s">
        <v>467</v>
      </c>
      <c r="C19" s="172">
        <v>1</v>
      </c>
      <c r="D19" s="172">
        <v>12</v>
      </c>
      <c r="E19" s="172">
        <v>12</v>
      </c>
      <c r="F19" s="159" t="s">
        <v>347</v>
      </c>
      <c r="G19" s="265">
        <v>41796</v>
      </c>
      <c r="H19" s="185" t="s">
        <v>557</v>
      </c>
      <c r="I19" s="174" t="s">
        <v>530</v>
      </c>
      <c r="J19" s="263" t="s">
        <v>221</v>
      </c>
      <c r="K19" s="157" t="s">
        <v>562</v>
      </c>
      <c r="L19" s="14" t="s">
        <v>15</v>
      </c>
      <c r="M19" s="14">
        <v>64</v>
      </c>
      <c r="N19" s="61" t="s">
        <v>347</v>
      </c>
      <c r="O19" s="133" t="s">
        <v>557</v>
      </c>
      <c r="P19" s="141"/>
      <c r="Q19" s="131" t="s">
        <v>412</v>
      </c>
      <c r="R19" s="9" t="s">
        <v>221</v>
      </c>
      <c r="S19" s="12" t="s">
        <v>332</v>
      </c>
      <c r="T19" s="14">
        <v>1</v>
      </c>
      <c r="U19" s="14">
        <v>12</v>
      </c>
      <c r="V19" s="61" t="s">
        <v>344</v>
      </c>
      <c r="W19" s="61" t="s">
        <v>557</v>
      </c>
      <c r="X19" s="73" t="s">
        <v>391</v>
      </c>
      <c r="Y19" s="16">
        <v>9.5</v>
      </c>
      <c r="Z19" s="16">
        <v>8.5</v>
      </c>
      <c r="AA19" s="16">
        <v>5.5</v>
      </c>
      <c r="AB19" s="16">
        <v>9</v>
      </c>
      <c r="AC19" s="17">
        <f t="shared" si="0"/>
        <v>8.746594005449591</v>
      </c>
      <c r="AD19" s="18">
        <f t="shared" si="1"/>
        <v>8.3607743803148189</v>
      </c>
      <c r="AE19" s="19">
        <f t="shared" si="2"/>
        <v>16</v>
      </c>
      <c r="AF19" s="65">
        <v>41562</v>
      </c>
      <c r="AG19" s="21">
        <f t="shared" si="3"/>
        <v>94</v>
      </c>
      <c r="AH19" s="109">
        <v>41574</v>
      </c>
      <c r="AI19" s="21">
        <f t="shared" si="4"/>
        <v>82</v>
      </c>
      <c r="AJ19" s="59" t="s">
        <v>379</v>
      </c>
      <c r="AK19" s="137" t="s">
        <v>380</v>
      </c>
      <c r="AL19" s="111" t="s">
        <v>221</v>
      </c>
      <c r="AM19" s="34" t="s">
        <v>66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57" t="s">
        <v>506</v>
      </c>
      <c r="B20" s="264" t="s">
        <v>467</v>
      </c>
      <c r="C20" s="172">
        <v>1</v>
      </c>
      <c r="D20" s="14">
        <v>11</v>
      </c>
      <c r="E20" s="14">
        <v>11</v>
      </c>
      <c r="F20" s="159" t="s">
        <v>347</v>
      </c>
      <c r="G20" s="173">
        <v>41751</v>
      </c>
      <c r="H20" s="173" t="s">
        <v>557</v>
      </c>
      <c r="I20" s="174" t="s">
        <v>522</v>
      </c>
      <c r="J20" s="263" t="s">
        <v>221</v>
      </c>
      <c r="K20" s="157" t="s">
        <v>57</v>
      </c>
      <c r="L20" s="14" t="s">
        <v>15</v>
      </c>
      <c r="M20" s="14">
        <v>12</v>
      </c>
      <c r="N20" s="61" t="s">
        <v>344</v>
      </c>
      <c r="O20" s="133" t="s">
        <v>558</v>
      </c>
      <c r="P20" s="141"/>
      <c r="Q20" s="131" t="s">
        <v>573</v>
      </c>
      <c r="R20" s="9" t="s">
        <v>221</v>
      </c>
      <c r="S20" s="12" t="s">
        <v>168</v>
      </c>
      <c r="T20" s="14">
        <v>1</v>
      </c>
      <c r="U20" s="14">
        <v>25</v>
      </c>
      <c r="V20" s="61" t="s">
        <v>344</v>
      </c>
      <c r="W20" s="61" t="s">
        <v>557</v>
      </c>
      <c r="X20" s="73" t="s">
        <v>391</v>
      </c>
      <c r="Y20" s="16">
        <v>9.5</v>
      </c>
      <c r="Z20" s="16">
        <v>8.5</v>
      </c>
      <c r="AA20" s="16">
        <v>3</v>
      </c>
      <c r="AB20" s="16">
        <v>9.5</v>
      </c>
      <c r="AC20" s="17">
        <f t="shared" si="0"/>
        <v>8.7261580381471386</v>
      </c>
      <c r="AD20" s="18">
        <f t="shared" si="1"/>
        <v>8.3336348833001637</v>
      </c>
      <c r="AE20" s="19">
        <f t="shared" si="2"/>
        <v>17</v>
      </c>
      <c r="AF20" s="65">
        <v>41477</v>
      </c>
      <c r="AG20" s="21">
        <f t="shared" si="3"/>
        <v>76</v>
      </c>
      <c r="AH20" s="109">
        <v>41479</v>
      </c>
      <c r="AI20" s="21">
        <f t="shared" si="4"/>
        <v>63</v>
      </c>
      <c r="AJ20" s="59" t="s">
        <v>261</v>
      </c>
      <c r="AK20" s="137"/>
      <c r="AL20" s="111" t="s">
        <v>221</v>
      </c>
      <c r="AM20" s="34" t="s">
        <v>69</v>
      </c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57" t="s">
        <v>532</v>
      </c>
      <c r="B21" s="267" t="s">
        <v>181</v>
      </c>
      <c r="C21" s="172">
        <v>1</v>
      </c>
      <c r="D21" s="14">
        <v>6</v>
      </c>
      <c r="E21" s="14">
        <v>12</v>
      </c>
      <c r="F21" s="159" t="s">
        <v>347</v>
      </c>
      <c r="G21" s="266">
        <v>41814</v>
      </c>
      <c r="H21" s="187" t="s">
        <v>557</v>
      </c>
      <c r="I21" s="205" t="s">
        <v>406</v>
      </c>
      <c r="J21" s="263" t="s">
        <v>221</v>
      </c>
      <c r="K21" s="157" t="s">
        <v>98</v>
      </c>
      <c r="L21" s="14" t="s">
        <v>15</v>
      </c>
      <c r="M21" s="14">
        <v>12</v>
      </c>
      <c r="N21" s="64" t="s">
        <v>347</v>
      </c>
      <c r="O21" s="134" t="s">
        <v>558</v>
      </c>
      <c r="P21" s="142"/>
      <c r="Q21" s="131" t="s">
        <v>388</v>
      </c>
      <c r="R21" s="9" t="s">
        <v>221</v>
      </c>
      <c r="S21" s="12" t="s">
        <v>246</v>
      </c>
      <c r="T21" s="14">
        <v>1</v>
      </c>
      <c r="U21" s="14">
        <v>11</v>
      </c>
      <c r="V21" s="61" t="s">
        <v>344</v>
      </c>
      <c r="W21" s="61" t="s">
        <v>558</v>
      </c>
      <c r="X21" s="73" t="s">
        <v>388</v>
      </c>
      <c r="Y21" s="16">
        <v>9.5</v>
      </c>
      <c r="Z21" s="16">
        <v>8</v>
      </c>
      <c r="AA21" s="16">
        <v>6</v>
      </c>
      <c r="AB21" s="16">
        <v>9</v>
      </c>
      <c r="AC21" s="17">
        <f t="shared" si="0"/>
        <v>8.7070844686648492</v>
      </c>
      <c r="AD21" s="18">
        <f t="shared" si="1"/>
        <v>8.3083046860864833</v>
      </c>
      <c r="AE21" s="19">
        <f t="shared" si="2"/>
        <v>18</v>
      </c>
      <c r="AF21" s="65">
        <v>41530</v>
      </c>
      <c r="AG21" s="21">
        <f t="shared" si="3"/>
        <v>81</v>
      </c>
      <c r="AH21" s="109">
        <v>41532</v>
      </c>
      <c r="AI21" s="21">
        <f t="shared" si="4"/>
        <v>70</v>
      </c>
      <c r="AJ21" s="59" t="s">
        <v>330</v>
      </c>
      <c r="AK21" s="137" t="s">
        <v>331</v>
      </c>
      <c r="AL21" s="111" t="s">
        <v>221</v>
      </c>
      <c r="AM21" s="34" t="s">
        <v>71</v>
      </c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57"/>
      <c r="B22" s="264"/>
      <c r="C22" s="172"/>
      <c r="D22" s="14"/>
      <c r="E22" s="14"/>
      <c r="F22" s="182"/>
      <c r="G22" s="265"/>
      <c r="H22" s="265"/>
      <c r="I22" s="174"/>
      <c r="J22" s="263" t="s">
        <v>221</v>
      </c>
      <c r="K22" s="157" t="s">
        <v>302</v>
      </c>
      <c r="L22" s="14" t="s">
        <v>301</v>
      </c>
      <c r="M22" s="14">
        <v>52</v>
      </c>
      <c r="N22" s="61" t="s">
        <v>344</v>
      </c>
      <c r="O22" s="133" t="s">
        <v>561</v>
      </c>
      <c r="P22" s="141"/>
      <c r="Q22" s="131" t="s">
        <v>410</v>
      </c>
      <c r="R22" s="9" t="s">
        <v>221</v>
      </c>
      <c r="S22" s="12" t="s">
        <v>208</v>
      </c>
      <c r="T22" s="14">
        <v>1</v>
      </c>
      <c r="U22" s="14">
        <v>25</v>
      </c>
      <c r="V22" s="61" t="s">
        <v>344</v>
      </c>
      <c r="W22" s="61" t="s">
        <v>558</v>
      </c>
      <c r="X22" s="73" t="s">
        <v>389</v>
      </c>
      <c r="Y22" s="16">
        <v>9</v>
      </c>
      <c r="Z22" s="16">
        <v>9</v>
      </c>
      <c r="AA22" s="16">
        <v>5.5</v>
      </c>
      <c r="AB22" s="16">
        <v>9</v>
      </c>
      <c r="AC22" s="17">
        <f t="shared" si="0"/>
        <v>8.6757493188010919</v>
      </c>
      <c r="AD22" s="18">
        <f t="shared" si="1"/>
        <v>8.2666907906640166</v>
      </c>
      <c r="AE22" s="19">
        <f t="shared" si="2"/>
        <v>19</v>
      </c>
      <c r="AF22" s="65">
        <v>41280</v>
      </c>
      <c r="AG22" s="21">
        <f t="shared" si="3"/>
        <v>12</v>
      </c>
      <c r="AH22" s="147">
        <v>41281</v>
      </c>
      <c r="AI22" s="21">
        <f t="shared" si="4"/>
        <v>11</v>
      </c>
      <c r="AJ22" s="59" t="s">
        <v>433</v>
      </c>
      <c r="AK22" s="137"/>
      <c r="AL22" s="111" t="s">
        <v>221</v>
      </c>
      <c r="AM22" s="34" t="s">
        <v>75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57"/>
      <c r="B23" s="264"/>
      <c r="C23" s="172"/>
      <c r="D23" s="14"/>
      <c r="E23" s="14"/>
      <c r="F23" s="159"/>
      <c r="G23" s="173"/>
      <c r="H23" s="173"/>
      <c r="I23" s="174"/>
      <c r="J23" s="263" t="s">
        <v>221</v>
      </c>
      <c r="K23" s="157" t="s">
        <v>62</v>
      </c>
      <c r="L23" s="14" t="s">
        <v>15</v>
      </c>
      <c r="M23" s="14">
        <v>12</v>
      </c>
      <c r="N23" s="61" t="s">
        <v>344</v>
      </c>
      <c r="O23" s="133" t="s">
        <v>558</v>
      </c>
      <c r="P23" s="141"/>
      <c r="Q23" s="131" t="s">
        <v>414</v>
      </c>
      <c r="R23" s="9" t="s">
        <v>221</v>
      </c>
      <c r="S23" s="12" t="s">
        <v>333</v>
      </c>
      <c r="T23" s="14">
        <v>1</v>
      </c>
      <c r="U23" s="14">
        <v>24</v>
      </c>
      <c r="V23" s="141" t="s">
        <v>344</v>
      </c>
      <c r="W23" s="141" t="s">
        <v>558</v>
      </c>
      <c r="X23" s="145" t="s">
        <v>389</v>
      </c>
      <c r="Y23" s="16">
        <v>9</v>
      </c>
      <c r="Z23" s="16">
        <v>9</v>
      </c>
      <c r="AA23" s="16">
        <v>5</v>
      </c>
      <c r="AB23" s="16">
        <v>9</v>
      </c>
      <c r="AC23" s="17">
        <f t="shared" si="0"/>
        <v>8.6294277929155321</v>
      </c>
      <c r="AD23" s="18">
        <f t="shared" si="1"/>
        <v>8.2051745974307959</v>
      </c>
      <c r="AE23" s="19">
        <f t="shared" si="2"/>
        <v>20</v>
      </c>
      <c r="AF23" s="65">
        <v>41537</v>
      </c>
      <c r="AG23" s="21">
        <f t="shared" si="3"/>
        <v>82</v>
      </c>
      <c r="AH23" s="144">
        <v>41559</v>
      </c>
      <c r="AI23" s="21">
        <f t="shared" si="4"/>
        <v>81</v>
      </c>
      <c r="AJ23" s="59" t="s">
        <v>371</v>
      </c>
      <c r="AK23" s="137"/>
      <c r="AL23" s="111" t="s">
        <v>221</v>
      </c>
      <c r="AM23" s="34" t="s">
        <v>78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57"/>
      <c r="B24" s="264"/>
      <c r="C24" s="172"/>
      <c r="D24" s="14"/>
      <c r="E24" s="14"/>
      <c r="F24" s="159"/>
      <c r="G24" s="183"/>
      <c r="H24" s="183"/>
      <c r="I24" s="174"/>
      <c r="J24" s="263" t="s">
        <v>221</v>
      </c>
      <c r="K24" s="157" t="s">
        <v>303</v>
      </c>
      <c r="L24" s="14" t="s">
        <v>301</v>
      </c>
      <c r="M24" s="14">
        <v>12</v>
      </c>
      <c r="N24" s="61" t="s">
        <v>344</v>
      </c>
      <c r="O24" s="133" t="s">
        <v>557</v>
      </c>
      <c r="P24" s="141"/>
      <c r="Q24" s="131" t="s">
        <v>368</v>
      </c>
      <c r="R24" s="9" t="s">
        <v>221</v>
      </c>
      <c r="S24" s="136" t="s">
        <v>32</v>
      </c>
      <c r="T24" s="14">
        <v>1</v>
      </c>
      <c r="U24" s="14">
        <v>25</v>
      </c>
      <c r="V24" s="61" t="s">
        <v>347</v>
      </c>
      <c r="W24" s="61" t="s">
        <v>558</v>
      </c>
      <c r="X24" s="73" t="s">
        <v>389</v>
      </c>
      <c r="Y24" s="16">
        <v>10</v>
      </c>
      <c r="Z24" s="16">
        <v>8</v>
      </c>
      <c r="AA24" s="16">
        <v>1</v>
      </c>
      <c r="AB24" s="16">
        <v>9.5</v>
      </c>
      <c r="AC24" s="17">
        <f t="shared" si="0"/>
        <v>8.6117166212534055</v>
      </c>
      <c r="AD24" s="18">
        <f t="shared" si="1"/>
        <v>8.181653700018094</v>
      </c>
      <c r="AE24" s="19">
        <f t="shared" si="2"/>
        <v>21</v>
      </c>
      <c r="AF24" s="65">
        <v>41397</v>
      </c>
      <c r="AG24" s="21">
        <f t="shared" si="3"/>
        <v>49</v>
      </c>
      <c r="AH24" s="109">
        <v>41546</v>
      </c>
      <c r="AI24" s="21">
        <f t="shared" si="4"/>
        <v>80</v>
      </c>
      <c r="AJ24" s="139" t="s">
        <v>358</v>
      </c>
      <c r="AK24" s="137"/>
      <c r="AL24" s="111" t="s">
        <v>221</v>
      </c>
      <c r="AM24" s="34" t="s">
        <v>83</v>
      </c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57"/>
      <c r="B25" s="158"/>
      <c r="C25" s="172"/>
      <c r="D25" s="14"/>
      <c r="E25" s="14"/>
      <c r="F25" s="159"/>
      <c r="G25" s="183"/>
      <c r="H25" s="183"/>
      <c r="I25" s="174"/>
      <c r="J25" s="263" t="s">
        <v>221</v>
      </c>
      <c r="K25" s="157" t="s">
        <v>20</v>
      </c>
      <c r="L25" s="14" t="s">
        <v>15</v>
      </c>
      <c r="M25" s="14">
        <v>24</v>
      </c>
      <c r="N25" s="64" t="s">
        <v>347</v>
      </c>
      <c r="O25" s="133" t="s">
        <v>561</v>
      </c>
      <c r="P25" s="141"/>
      <c r="Q25" s="132" t="s">
        <v>416</v>
      </c>
      <c r="R25" s="9" t="s">
        <v>221</v>
      </c>
      <c r="S25" s="12" t="s">
        <v>39</v>
      </c>
      <c r="T25" s="14">
        <v>2</v>
      </c>
      <c r="U25" s="14">
        <v>12</v>
      </c>
      <c r="V25" s="61" t="s">
        <v>347</v>
      </c>
      <c r="W25" s="61" t="s">
        <v>558</v>
      </c>
      <c r="X25" s="96" t="s">
        <v>389</v>
      </c>
      <c r="Y25" s="16">
        <v>8.5</v>
      </c>
      <c r="Z25" s="16">
        <v>9</v>
      </c>
      <c r="AA25" s="16">
        <v>4</v>
      </c>
      <c r="AB25" s="16">
        <v>9.5</v>
      </c>
      <c r="AC25" s="17">
        <f t="shared" si="0"/>
        <v>8.591280653950955</v>
      </c>
      <c r="AD25" s="18">
        <f t="shared" si="1"/>
        <v>8.1545142030034388</v>
      </c>
      <c r="AE25" s="19">
        <f t="shared" si="2"/>
        <v>22</v>
      </c>
      <c r="AF25" s="65">
        <v>41358</v>
      </c>
      <c r="AG25" s="21">
        <f t="shared" si="3"/>
        <v>35</v>
      </c>
      <c r="AH25" s="109">
        <v>41359</v>
      </c>
      <c r="AI25" s="21">
        <f t="shared" si="4"/>
        <v>32</v>
      </c>
      <c r="AJ25" s="59" t="s">
        <v>259</v>
      </c>
      <c r="AK25" s="137"/>
      <c r="AL25" s="111" t="s">
        <v>221</v>
      </c>
      <c r="AM25" s="34" t="s">
        <v>86</v>
      </c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57"/>
      <c r="B26" s="264"/>
      <c r="C26" s="172"/>
      <c r="D26" s="14"/>
      <c r="E26" s="14"/>
      <c r="F26" s="159"/>
      <c r="G26" s="183"/>
      <c r="H26" s="183"/>
      <c r="I26" s="174"/>
      <c r="J26" s="263" t="s">
        <v>221</v>
      </c>
      <c r="K26" s="157" t="s">
        <v>312</v>
      </c>
      <c r="L26" s="14" t="s">
        <v>15</v>
      </c>
      <c r="M26" s="14">
        <v>12</v>
      </c>
      <c r="N26" s="64" t="s">
        <v>347</v>
      </c>
      <c r="O26" s="133" t="s">
        <v>561</v>
      </c>
      <c r="P26" s="141"/>
      <c r="Q26" s="132" t="s">
        <v>567</v>
      </c>
      <c r="R26" s="9" t="s">
        <v>221</v>
      </c>
      <c r="S26" s="12" t="s">
        <v>65</v>
      </c>
      <c r="T26" s="14">
        <v>1</v>
      </c>
      <c r="U26" s="14">
        <v>13</v>
      </c>
      <c r="V26" s="61" t="s">
        <v>344</v>
      </c>
      <c r="W26" s="61" t="s">
        <v>558</v>
      </c>
      <c r="X26" s="73" t="s">
        <v>388</v>
      </c>
      <c r="Y26" s="16">
        <v>9</v>
      </c>
      <c r="Z26" s="16">
        <v>9</v>
      </c>
      <c r="AA26" s="16">
        <v>4.5</v>
      </c>
      <c r="AB26" s="16">
        <v>9</v>
      </c>
      <c r="AC26" s="17">
        <f t="shared" si="0"/>
        <v>8.5831062670299723</v>
      </c>
      <c r="AD26" s="18">
        <f t="shared" si="1"/>
        <v>8.1436584041975753</v>
      </c>
      <c r="AE26" s="19">
        <f t="shared" si="2"/>
        <v>23</v>
      </c>
      <c r="AF26" s="65">
        <v>41645</v>
      </c>
      <c r="AG26" s="21">
        <f t="shared" si="3"/>
        <v>99</v>
      </c>
      <c r="AH26" s="109">
        <v>41645</v>
      </c>
      <c r="AI26" s="21">
        <f t="shared" si="4"/>
        <v>95</v>
      </c>
      <c r="AJ26" s="59" t="s">
        <v>471</v>
      </c>
      <c r="AK26" s="137" t="s">
        <v>470</v>
      </c>
      <c r="AL26" s="111" t="s">
        <v>221</v>
      </c>
      <c r="AM26" s="34" t="s">
        <v>91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57"/>
      <c r="B27" s="193"/>
      <c r="C27" s="193"/>
      <c r="D27" s="193"/>
      <c r="E27" s="193"/>
      <c r="F27" s="193"/>
      <c r="G27" s="187"/>
      <c r="H27" s="187"/>
      <c r="I27" s="180"/>
      <c r="J27" s="263" t="s">
        <v>221</v>
      </c>
      <c r="K27" s="157" t="s">
        <v>339</v>
      </c>
      <c r="L27" s="14" t="s">
        <v>15</v>
      </c>
      <c r="M27" s="14">
        <v>16</v>
      </c>
      <c r="N27" s="64" t="s">
        <v>347</v>
      </c>
      <c r="O27" s="134" t="s">
        <v>558</v>
      </c>
      <c r="P27" s="142"/>
      <c r="Q27" s="131" t="s">
        <v>388</v>
      </c>
      <c r="R27" s="9" t="s">
        <v>221</v>
      </c>
      <c r="S27" s="113" t="s">
        <v>252</v>
      </c>
      <c r="T27" s="14">
        <v>2</v>
      </c>
      <c r="U27" s="14">
        <v>25</v>
      </c>
      <c r="V27" s="61" t="s">
        <v>344</v>
      </c>
      <c r="W27" s="61" t="s">
        <v>557</v>
      </c>
      <c r="X27" s="73" t="s">
        <v>391</v>
      </c>
      <c r="Y27" s="16">
        <v>9</v>
      </c>
      <c r="Z27" s="16">
        <v>8.5</v>
      </c>
      <c r="AA27" s="16">
        <v>3</v>
      </c>
      <c r="AB27" s="16">
        <v>9.5</v>
      </c>
      <c r="AC27" s="17">
        <f t="shared" si="0"/>
        <v>8.569482288828338</v>
      </c>
      <c r="AD27" s="18">
        <f t="shared" si="1"/>
        <v>8.1255654061878069</v>
      </c>
      <c r="AE27" s="19">
        <f t="shared" si="2"/>
        <v>24</v>
      </c>
      <c r="AF27" s="65">
        <v>41479</v>
      </c>
      <c r="AG27" s="21">
        <f t="shared" si="3"/>
        <v>77</v>
      </c>
      <c r="AH27" s="147">
        <v>41481</v>
      </c>
      <c r="AI27" s="21">
        <f t="shared" si="4"/>
        <v>64</v>
      </c>
      <c r="AJ27" s="59" t="s">
        <v>261</v>
      </c>
      <c r="AK27" s="137" t="s">
        <v>253</v>
      </c>
      <c r="AL27" s="111" t="s">
        <v>221</v>
      </c>
      <c r="AM27" s="36" t="s">
        <v>96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552</v>
      </c>
      <c r="B28" s="70">
        <f>(SUM(E4:E27)-SUMIF(B4:B27, J2, E4:E27))-(SUM(D4:D27)-SUMIF(B4:B27, J2, D4:D27))</f>
        <v>20</v>
      </c>
      <c r="C28" s="230" t="s">
        <v>554</v>
      </c>
      <c r="D28" s="231"/>
      <c r="E28" s="231"/>
      <c r="F28" s="231"/>
      <c r="G28" s="232"/>
      <c r="H28" s="125"/>
      <c r="I28" s="100">
        <f>(B28*22)/60</f>
        <v>7.333333333333333</v>
      </c>
      <c r="J28" s="68" t="s">
        <v>221</v>
      </c>
      <c r="K28" s="12" t="s">
        <v>22</v>
      </c>
      <c r="L28" s="14" t="s">
        <v>15</v>
      </c>
      <c r="M28" s="14">
        <v>12</v>
      </c>
      <c r="N28" s="61" t="s">
        <v>344</v>
      </c>
      <c r="O28" s="133" t="s">
        <v>557</v>
      </c>
      <c r="P28" s="141"/>
      <c r="Q28" s="131" t="s">
        <v>417</v>
      </c>
      <c r="R28" s="9" t="s">
        <v>221</v>
      </c>
      <c r="S28" s="12" t="s">
        <v>215</v>
      </c>
      <c r="T28" s="14">
        <v>2</v>
      </c>
      <c r="U28" s="14">
        <v>24</v>
      </c>
      <c r="V28" s="61" t="s">
        <v>344</v>
      </c>
      <c r="W28" s="61" t="s">
        <v>557</v>
      </c>
      <c r="X28" s="73" t="s">
        <v>409</v>
      </c>
      <c r="Y28" s="16">
        <v>9</v>
      </c>
      <c r="Z28" s="16">
        <v>9</v>
      </c>
      <c r="AA28" s="16">
        <v>6.5</v>
      </c>
      <c r="AB28" s="16">
        <v>8.5</v>
      </c>
      <c r="AC28" s="17">
        <f t="shared" si="0"/>
        <v>8.5572207084468666</v>
      </c>
      <c r="AD28" s="18">
        <f t="shared" si="1"/>
        <v>8.1092817079790134</v>
      </c>
      <c r="AE28" s="19">
        <f t="shared" si="2"/>
        <v>25</v>
      </c>
      <c r="AF28" s="65">
        <v>41395</v>
      </c>
      <c r="AG28" s="21">
        <f t="shared" si="3"/>
        <v>48</v>
      </c>
      <c r="AH28" s="109">
        <v>41400</v>
      </c>
      <c r="AI28" s="21">
        <f t="shared" si="4"/>
        <v>40</v>
      </c>
      <c r="AJ28" s="59" t="s">
        <v>223</v>
      </c>
      <c r="AK28" s="137" t="s">
        <v>580</v>
      </c>
      <c r="AL28" s="111" t="s">
        <v>221</v>
      </c>
      <c r="AM28" s="8"/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553</v>
      </c>
      <c r="B29" s="72">
        <f>SUMIF(B$4:B$27, J$2, E$4:E$27)-SUMIF(B$4:B$27, J$2, D$4:D$27)</f>
        <v>24</v>
      </c>
      <c r="C29" s="233" t="s">
        <v>554</v>
      </c>
      <c r="D29" s="234"/>
      <c r="E29" s="234"/>
      <c r="F29" s="234"/>
      <c r="G29" s="235"/>
      <c r="H29" s="126"/>
      <c r="I29" s="101">
        <f>(B29*22)/60</f>
        <v>8.8000000000000007</v>
      </c>
      <c r="J29" s="68" t="s">
        <v>221</v>
      </c>
      <c r="K29" s="12" t="s">
        <v>185</v>
      </c>
      <c r="L29" s="14" t="s">
        <v>15</v>
      </c>
      <c r="M29" s="14">
        <v>27</v>
      </c>
      <c r="N29" s="61" t="s">
        <v>344</v>
      </c>
      <c r="O29" s="133" t="s">
        <v>557</v>
      </c>
      <c r="P29" s="141"/>
      <c r="Q29" s="131" t="s">
        <v>370</v>
      </c>
      <c r="R29" s="9" t="s">
        <v>221</v>
      </c>
      <c r="S29" s="12" t="s">
        <v>126</v>
      </c>
      <c r="T29" s="14">
        <v>1</v>
      </c>
      <c r="U29" s="14">
        <v>22</v>
      </c>
      <c r="V29" s="61" t="s">
        <v>344</v>
      </c>
      <c r="W29" s="61" t="s">
        <v>558</v>
      </c>
      <c r="X29" s="73" t="s">
        <v>389</v>
      </c>
      <c r="Y29" s="16">
        <v>8</v>
      </c>
      <c r="Z29" s="16">
        <v>8.5</v>
      </c>
      <c r="AA29" s="16">
        <v>6</v>
      </c>
      <c r="AB29" s="16">
        <v>9.5</v>
      </c>
      <c r="AC29" s="17">
        <f t="shared" si="0"/>
        <v>8.5340599455040866</v>
      </c>
      <c r="AD29" s="18">
        <f t="shared" si="1"/>
        <v>8.078523611362403</v>
      </c>
      <c r="AE29" s="19">
        <f t="shared" si="2"/>
        <v>26</v>
      </c>
      <c r="AF29" s="65">
        <v>41286</v>
      </c>
      <c r="AG29" s="21">
        <f t="shared" si="3"/>
        <v>13</v>
      </c>
      <c r="AH29" s="109">
        <v>41292</v>
      </c>
      <c r="AI29" s="21">
        <f t="shared" si="4"/>
        <v>14</v>
      </c>
      <c r="AJ29" s="59" t="s">
        <v>228</v>
      </c>
      <c r="AK29" s="137"/>
      <c r="AL29" s="111" t="s">
        <v>221</v>
      </c>
      <c r="AM29" s="214" t="s">
        <v>99</v>
      </c>
      <c r="AN29" s="215"/>
      <c r="AO29" s="8"/>
      <c r="AP29" s="8"/>
      <c r="AQ29" s="2"/>
      <c r="AR29" s="2"/>
      <c r="AS29" s="1"/>
      <c r="AT29" s="1"/>
      <c r="AU29" s="1"/>
    </row>
    <row r="30" spans="1:47" ht="16.5">
      <c r="A30" s="224" t="s">
        <v>70</v>
      </c>
      <c r="B30" s="225"/>
      <c r="C30" s="225"/>
      <c r="D30" s="225"/>
      <c r="E30" s="225"/>
      <c r="F30" s="225"/>
      <c r="G30" s="225"/>
      <c r="H30" s="225"/>
      <c r="I30" s="226"/>
      <c r="J30" s="68" t="s">
        <v>221</v>
      </c>
      <c r="K30" s="12" t="s">
        <v>67</v>
      </c>
      <c r="L30" s="14" t="s">
        <v>15</v>
      </c>
      <c r="M30" s="14">
        <v>24</v>
      </c>
      <c r="N30" s="61" t="s">
        <v>344</v>
      </c>
      <c r="O30" s="133" t="s">
        <v>558</v>
      </c>
      <c r="P30" s="141"/>
      <c r="Q30" s="131" t="s">
        <v>389</v>
      </c>
      <c r="R30" s="9" t="s">
        <v>221</v>
      </c>
      <c r="S30" s="12" t="s">
        <v>306</v>
      </c>
      <c r="T30" s="14">
        <v>1</v>
      </c>
      <c r="U30" s="14">
        <v>26</v>
      </c>
      <c r="V30" s="61" t="s">
        <v>344</v>
      </c>
      <c r="W30" s="61" t="s">
        <v>558</v>
      </c>
      <c r="X30" s="129" t="s">
        <v>390</v>
      </c>
      <c r="Y30" s="16">
        <v>9.5</v>
      </c>
      <c r="Z30" s="16">
        <v>7.5</v>
      </c>
      <c r="AA30" s="16">
        <v>5</v>
      </c>
      <c r="AB30" s="16">
        <v>9</v>
      </c>
      <c r="AC30" s="17">
        <f t="shared" si="0"/>
        <v>8.5286103542234333</v>
      </c>
      <c r="AD30" s="18">
        <f t="shared" si="1"/>
        <v>8.0712864121584946</v>
      </c>
      <c r="AE30" s="19">
        <f t="shared" si="2"/>
        <v>27</v>
      </c>
      <c r="AF30" s="65">
        <v>41485</v>
      </c>
      <c r="AG30" s="21">
        <f t="shared" si="3"/>
        <v>78</v>
      </c>
      <c r="AH30" s="109">
        <v>41491</v>
      </c>
      <c r="AI30" s="21">
        <f t="shared" si="4"/>
        <v>66</v>
      </c>
      <c r="AJ30" s="59" t="s">
        <v>307</v>
      </c>
      <c r="AK30" s="137" t="s">
        <v>329</v>
      </c>
      <c r="AL30" s="111" t="s">
        <v>221</v>
      </c>
      <c r="AM30" s="42" t="s">
        <v>101</v>
      </c>
      <c r="AN30" s="43">
        <f>AVERAGE(AD:AD)</f>
        <v>6.895001368983479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18" t="s">
        <v>72</v>
      </c>
      <c r="E31" s="219"/>
      <c r="F31" s="219"/>
      <c r="G31" s="219"/>
      <c r="H31" s="219"/>
      <c r="I31" s="220"/>
      <c r="J31" s="68" t="s">
        <v>221</v>
      </c>
      <c r="K31" s="12" t="s">
        <v>337</v>
      </c>
      <c r="L31" s="14" t="s">
        <v>558</v>
      </c>
      <c r="M31" s="14">
        <v>12</v>
      </c>
      <c r="N31" s="61" t="s">
        <v>347</v>
      </c>
      <c r="O31" s="133" t="s">
        <v>557</v>
      </c>
      <c r="P31" s="141"/>
      <c r="Q31" s="131" t="s">
        <v>389</v>
      </c>
      <c r="R31" s="9" t="s">
        <v>221</v>
      </c>
      <c r="S31" s="12" t="s">
        <v>63</v>
      </c>
      <c r="T31" s="14">
        <v>1</v>
      </c>
      <c r="U31" s="14">
        <v>15</v>
      </c>
      <c r="V31" s="61" t="s">
        <v>344</v>
      </c>
      <c r="W31" s="61" t="s">
        <v>558</v>
      </c>
      <c r="X31" s="73" t="s">
        <v>389</v>
      </c>
      <c r="Y31" s="16">
        <v>8.5</v>
      </c>
      <c r="Z31" s="16">
        <v>9.5</v>
      </c>
      <c r="AA31" s="16">
        <v>4.5</v>
      </c>
      <c r="AB31" s="16">
        <v>9</v>
      </c>
      <c r="AC31" s="17">
        <f t="shared" si="0"/>
        <v>8.5122615803814714</v>
      </c>
      <c r="AD31" s="18">
        <f t="shared" si="1"/>
        <v>8.0495748145467712</v>
      </c>
      <c r="AE31" s="19">
        <f t="shared" si="2"/>
        <v>28</v>
      </c>
      <c r="AF31" s="65">
        <v>41304</v>
      </c>
      <c r="AG31" s="21">
        <f t="shared" si="3"/>
        <v>23</v>
      </c>
      <c r="AH31" s="109">
        <v>41312</v>
      </c>
      <c r="AI31" s="21">
        <f t="shared" si="4"/>
        <v>19</v>
      </c>
      <c r="AJ31" s="139" t="s">
        <v>266</v>
      </c>
      <c r="AK31" s="137" t="s">
        <v>64</v>
      </c>
      <c r="AL31" s="111" t="s">
        <v>221</v>
      </c>
      <c r="AM31" s="42" t="s">
        <v>103</v>
      </c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16" t="s">
        <v>77</v>
      </c>
      <c r="E32" s="216"/>
      <c r="F32" s="216"/>
      <c r="G32" s="216"/>
      <c r="H32" s="216"/>
      <c r="I32" s="217"/>
      <c r="J32" s="68" t="s">
        <v>221</v>
      </c>
      <c r="K32" s="12" t="s">
        <v>563</v>
      </c>
      <c r="L32" s="14" t="s">
        <v>15</v>
      </c>
      <c r="M32" s="14">
        <v>13</v>
      </c>
      <c r="N32" s="64" t="s">
        <v>347</v>
      </c>
      <c r="O32" s="134" t="s">
        <v>558</v>
      </c>
      <c r="P32" s="142"/>
      <c r="Q32" s="131" t="s">
        <v>370</v>
      </c>
      <c r="R32" s="9" t="s">
        <v>221</v>
      </c>
      <c r="S32" s="12" t="s">
        <v>28</v>
      </c>
      <c r="T32" s="14">
        <v>1</v>
      </c>
      <c r="U32" s="14">
        <v>13</v>
      </c>
      <c r="V32" s="61" t="s">
        <v>344</v>
      </c>
      <c r="W32" s="61" t="s">
        <v>558</v>
      </c>
      <c r="X32" s="73" t="s">
        <v>389</v>
      </c>
      <c r="Y32" s="16">
        <v>8</v>
      </c>
      <c r="Z32" s="16">
        <v>9.5</v>
      </c>
      <c r="AA32" s="16">
        <v>5</v>
      </c>
      <c r="AB32" s="16">
        <v>9</v>
      </c>
      <c r="AC32" s="17">
        <f t="shared" si="0"/>
        <v>8.4019073569482288</v>
      </c>
      <c r="AD32" s="18">
        <f t="shared" si="1"/>
        <v>7.9030215306676324</v>
      </c>
      <c r="AE32" s="19">
        <f t="shared" si="2"/>
        <v>29</v>
      </c>
      <c r="AF32" s="65">
        <v>41370</v>
      </c>
      <c r="AG32" s="21">
        <f t="shared" si="3"/>
        <v>41</v>
      </c>
      <c r="AH32" s="109">
        <v>41454</v>
      </c>
      <c r="AI32" s="21">
        <f t="shared" si="4"/>
        <v>54</v>
      </c>
      <c r="AJ32" s="59" t="s">
        <v>262</v>
      </c>
      <c r="AK32" s="137" t="s">
        <v>550</v>
      </c>
      <c r="AL32" s="111" t="s">
        <v>221</v>
      </c>
      <c r="AM32" s="44" t="s">
        <v>105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16" t="s">
        <v>80</v>
      </c>
      <c r="E33" s="216"/>
      <c r="F33" s="216"/>
      <c r="G33" s="216"/>
      <c r="H33" s="216"/>
      <c r="I33" s="217"/>
      <c r="J33" s="68" t="s">
        <v>221</v>
      </c>
      <c r="K33" s="12" t="s">
        <v>532</v>
      </c>
      <c r="L33" s="14" t="s">
        <v>15</v>
      </c>
      <c r="M33" s="14">
        <v>12</v>
      </c>
      <c r="N33" s="61" t="s">
        <v>347</v>
      </c>
      <c r="O33" s="133" t="s">
        <v>557</v>
      </c>
      <c r="P33" s="141"/>
      <c r="Q33" s="131" t="s">
        <v>406</v>
      </c>
      <c r="R33" s="9" t="s">
        <v>221</v>
      </c>
      <c r="S33" s="12" t="s">
        <v>50</v>
      </c>
      <c r="T33" s="14">
        <v>1</v>
      </c>
      <c r="U33" s="14">
        <v>17</v>
      </c>
      <c r="V33" s="61" t="s">
        <v>344</v>
      </c>
      <c r="W33" s="61" t="s">
        <v>558</v>
      </c>
      <c r="X33" s="73" t="s">
        <v>568</v>
      </c>
      <c r="Y33" s="16">
        <v>8.5</v>
      </c>
      <c r="Z33" s="16">
        <v>9</v>
      </c>
      <c r="AA33" s="16">
        <v>4</v>
      </c>
      <c r="AB33" s="16">
        <v>9</v>
      </c>
      <c r="AC33" s="17">
        <f t="shared" si="0"/>
        <v>8.3801089918256135</v>
      </c>
      <c r="AD33" s="18">
        <f t="shared" si="1"/>
        <v>7.8740727338520013</v>
      </c>
      <c r="AE33" s="19">
        <f t="shared" si="2"/>
        <v>30</v>
      </c>
      <c r="AF33" s="65">
        <v>41328</v>
      </c>
      <c r="AG33" s="21">
        <f t="shared" si="3"/>
        <v>26</v>
      </c>
      <c r="AH33" s="109">
        <v>41329</v>
      </c>
      <c r="AI33" s="21">
        <f t="shared" si="4"/>
        <v>22</v>
      </c>
      <c r="AJ33" s="59" t="s">
        <v>260</v>
      </c>
      <c r="AK33" s="137"/>
      <c r="AL33" s="111" t="s">
        <v>221</v>
      </c>
      <c r="AM33" s="44" t="s">
        <v>108</v>
      </c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16" t="s">
        <v>77</v>
      </c>
      <c r="E34" s="216"/>
      <c r="F34" s="216"/>
      <c r="G34" s="216"/>
      <c r="H34" s="216"/>
      <c r="I34" s="217"/>
      <c r="J34" s="68" t="s">
        <v>221</v>
      </c>
      <c r="K34" s="12" t="s">
        <v>426</v>
      </c>
      <c r="L34" s="14" t="s">
        <v>15</v>
      </c>
      <c r="M34" s="14">
        <v>26</v>
      </c>
      <c r="N34" s="61" t="s">
        <v>344</v>
      </c>
      <c r="O34" s="133" t="s">
        <v>561</v>
      </c>
      <c r="P34" s="141"/>
      <c r="Q34" s="131" t="s">
        <v>427</v>
      </c>
      <c r="R34" s="9" t="s">
        <v>221</v>
      </c>
      <c r="S34" s="12" t="s">
        <v>191</v>
      </c>
      <c r="T34" s="14">
        <v>2</v>
      </c>
      <c r="U34" s="14">
        <v>24</v>
      </c>
      <c r="V34" s="61" t="s">
        <v>344</v>
      </c>
      <c r="W34" s="61" t="s">
        <v>558</v>
      </c>
      <c r="X34" s="73" t="s">
        <v>389</v>
      </c>
      <c r="Y34" s="16">
        <v>9</v>
      </c>
      <c r="Z34" s="16">
        <v>8</v>
      </c>
      <c r="AA34" s="16">
        <v>4</v>
      </c>
      <c r="AB34" s="16">
        <v>9</v>
      </c>
      <c r="AC34" s="17">
        <f t="shared" si="0"/>
        <v>8.3651226158038163</v>
      </c>
      <c r="AD34" s="18">
        <f t="shared" si="1"/>
        <v>7.8541704360412545</v>
      </c>
      <c r="AE34" s="19">
        <f t="shared" si="2"/>
        <v>31</v>
      </c>
      <c r="AF34" s="65">
        <v>41468</v>
      </c>
      <c r="AG34" s="21">
        <f t="shared" si="3"/>
        <v>73</v>
      </c>
      <c r="AH34" s="109">
        <v>41470</v>
      </c>
      <c r="AI34" s="21">
        <f t="shared" si="4"/>
        <v>62</v>
      </c>
      <c r="AJ34" s="59" t="s">
        <v>263</v>
      </c>
      <c r="AK34" s="137" t="s">
        <v>251</v>
      </c>
      <c r="AL34" s="111" t="s">
        <v>221</v>
      </c>
      <c r="AM34" s="44" t="s">
        <v>110</v>
      </c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16" t="s">
        <v>88</v>
      </c>
      <c r="E35" s="216"/>
      <c r="F35" s="216"/>
      <c r="G35" s="216"/>
      <c r="H35" s="216"/>
      <c r="I35" s="217"/>
      <c r="J35" s="68" t="s">
        <v>221</v>
      </c>
      <c r="K35" s="12" t="s">
        <v>26</v>
      </c>
      <c r="L35" s="14" t="s">
        <v>15</v>
      </c>
      <c r="M35" s="14">
        <v>23</v>
      </c>
      <c r="N35" s="61" t="s">
        <v>344</v>
      </c>
      <c r="O35" s="133" t="s">
        <v>557</v>
      </c>
      <c r="P35" s="141"/>
      <c r="Q35" s="131" t="s">
        <v>566</v>
      </c>
      <c r="R35" s="9" t="s">
        <v>221</v>
      </c>
      <c r="S35" s="12" t="s">
        <v>241</v>
      </c>
      <c r="T35" s="14">
        <v>1</v>
      </c>
      <c r="U35" s="14">
        <v>13</v>
      </c>
      <c r="V35" s="61" t="s">
        <v>344</v>
      </c>
      <c r="W35" s="61" t="s">
        <v>559</v>
      </c>
      <c r="X35" s="73" t="s">
        <v>391</v>
      </c>
      <c r="Y35" s="16">
        <v>8</v>
      </c>
      <c r="Z35" s="16">
        <v>9</v>
      </c>
      <c r="AA35" s="16">
        <v>5.5</v>
      </c>
      <c r="AB35" s="16">
        <v>9</v>
      </c>
      <c r="AC35" s="17">
        <f t="shared" si="0"/>
        <v>8.362397820163487</v>
      </c>
      <c r="AD35" s="18">
        <f t="shared" si="1"/>
        <v>7.8505518364392977</v>
      </c>
      <c r="AE35" s="19">
        <f t="shared" si="2"/>
        <v>32</v>
      </c>
      <c r="AF35" s="65">
        <v>41461</v>
      </c>
      <c r="AG35" s="21">
        <f t="shared" si="3"/>
        <v>67</v>
      </c>
      <c r="AH35" s="109">
        <v>41543</v>
      </c>
      <c r="AI35" s="21">
        <f t="shared" si="4"/>
        <v>77</v>
      </c>
      <c r="AJ35" s="59" t="s">
        <v>354</v>
      </c>
      <c r="AK35" s="137" t="s">
        <v>355</v>
      </c>
      <c r="AL35" s="111" t="s">
        <v>221</v>
      </c>
      <c r="AM35" s="46" t="s">
        <v>111</v>
      </c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16" t="s">
        <v>93</v>
      </c>
      <c r="E36" s="216"/>
      <c r="F36" s="216"/>
      <c r="G36" s="216"/>
      <c r="H36" s="216"/>
      <c r="I36" s="217"/>
      <c r="J36" s="68" t="s">
        <v>221</v>
      </c>
      <c r="K36" s="12" t="s">
        <v>313</v>
      </c>
      <c r="L36" s="14" t="s">
        <v>301</v>
      </c>
      <c r="M36" s="14">
        <v>11</v>
      </c>
      <c r="N36" s="61" t="s">
        <v>344</v>
      </c>
      <c r="O36" s="133" t="s">
        <v>557</v>
      </c>
      <c r="P36" s="141"/>
      <c r="Q36" s="131" t="s">
        <v>418</v>
      </c>
      <c r="R36" s="9" t="s">
        <v>221</v>
      </c>
      <c r="S36" s="12" t="s">
        <v>357</v>
      </c>
      <c r="T36" s="14">
        <v>2</v>
      </c>
      <c r="U36" s="14">
        <v>16</v>
      </c>
      <c r="V36" s="61" t="s">
        <v>344</v>
      </c>
      <c r="W36" s="61" t="s">
        <v>558</v>
      </c>
      <c r="X36" s="73" t="s">
        <v>389</v>
      </c>
      <c r="Y36" s="16">
        <v>8.5</v>
      </c>
      <c r="Z36" s="16">
        <v>8</v>
      </c>
      <c r="AA36" s="16">
        <v>5.5</v>
      </c>
      <c r="AB36" s="16">
        <v>9</v>
      </c>
      <c r="AC36" s="17">
        <f t="shared" ref="AC36:AC67" si="5">(Y36*$AN$5+Z36*$AN$6+AA36*$AN$7+AB36*$AN$8)/$AN$13</f>
        <v>8.3474114441416898</v>
      </c>
      <c r="AD36" s="18">
        <f t="shared" ref="AD36:AD67" si="6">IF($AN$15="Y",10*(AC36-$AN$11)/$AN$12, 10*AC36/$AN$10)</f>
        <v>7.8306495386285526</v>
      </c>
      <c r="AE36" s="19">
        <f t="shared" ref="AE36:AE67" si="7">RANK(AD36,AD:AD,0)</f>
        <v>33</v>
      </c>
      <c r="AF36" s="65">
        <v>41370</v>
      </c>
      <c r="AG36" s="21">
        <f t="shared" ref="AG36:AG67" si="8">COUNTIF(AF:AF, "&lt;="&amp;AF36)</f>
        <v>41</v>
      </c>
      <c r="AH36" s="109">
        <v>41512</v>
      </c>
      <c r="AI36" s="21">
        <f t="shared" ref="AI36:AI67" si="9">COUNTIF(AH:AH, "&lt;="&amp;AH36)</f>
        <v>69</v>
      </c>
      <c r="AJ36" s="59" t="s">
        <v>297</v>
      </c>
      <c r="AK36" s="137"/>
      <c r="AL36" s="111" t="s">
        <v>221</v>
      </c>
      <c r="AM36" s="44" t="s">
        <v>43</v>
      </c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16" t="s">
        <v>295</v>
      </c>
      <c r="E37" s="216"/>
      <c r="F37" s="216"/>
      <c r="G37" s="216"/>
      <c r="H37" s="216"/>
      <c r="I37" s="217"/>
      <c r="J37" s="68" t="s">
        <v>221</v>
      </c>
      <c r="K37" s="12" t="s">
        <v>314</v>
      </c>
      <c r="L37" s="14" t="s">
        <v>301</v>
      </c>
      <c r="M37" s="14">
        <v>12</v>
      </c>
      <c r="N37" s="61" t="s">
        <v>344</v>
      </c>
      <c r="O37" s="133" t="s">
        <v>557</v>
      </c>
      <c r="P37" s="141"/>
      <c r="Q37" s="131" t="s">
        <v>402</v>
      </c>
      <c r="R37" s="9" t="s">
        <v>221</v>
      </c>
      <c r="S37" s="12" t="s">
        <v>570</v>
      </c>
      <c r="T37" s="14">
        <v>2</v>
      </c>
      <c r="U37" s="14">
        <v>24</v>
      </c>
      <c r="V37" s="61" t="s">
        <v>344</v>
      </c>
      <c r="W37" s="61" t="s">
        <v>558</v>
      </c>
      <c r="X37" s="73" t="s">
        <v>389</v>
      </c>
      <c r="Y37" s="16">
        <v>8.5</v>
      </c>
      <c r="Z37" s="16">
        <v>8.5</v>
      </c>
      <c r="AA37" s="16">
        <v>4.5</v>
      </c>
      <c r="AB37" s="16">
        <v>9</v>
      </c>
      <c r="AC37" s="17">
        <f t="shared" si="5"/>
        <v>8.3405994550408717</v>
      </c>
      <c r="AD37" s="18">
        <f t="shared" si="6"/>
        <v>7.8216030396236667</v>
      </c>
      <c r="AE37" s="19">
        <f t="shared" si="7"/>
        <v>34</v>
      </c>
      <c r="AF37" s="65">
        <v>41473</v>
      </c>
      <c r="AG37" s="21">
        <f t="shared" si="8"/>
        <v>75</v>
      </c>
      <c r="AH37" s="109">
        <v>41546</v>
      </c>
      <c r="AI37" s="21">
        <f t="shared" si="9"/>
        <v>80</v>
      </c>
      <c r="AJ37" s="139" t="s">
        <v>263</v>
      </c>
      <c r="AK37" s="137"/>
      <c r="AL37" s="111" t="s">
        <v>221</v>
      </c>
      <c r="AM37" s="44" t="s">
        <v>114</v>
      </c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16" t="s">
        <v>381</v>
      </c>
      <c r="E38" s="216"/>
      <c r="F38" s="216"/>
      <c r="G38" s="216"/>
      <c r="H38" s="216"/>
      <c r="I38" s="217"/>
      <c r="J38" s="68" t="s">
        <v>221</v>
      </c>
      <c r="K38" s="12" t="s">
        <v>340</v>
      </c>
      <c r="L38" s="14" t="s">
        <v>15</v>
      </c>
      <c r="M38" s="14">
        <v>12</v>
      </c>
      <c r="N38" s="61" t="s">
        <v>347</v>
      </c>
      <c r="O38" s="133" t="s">
        <v>558</v>
      </c>
      <c r="P38" s="141"/>
      <c r="Q38" s="131" t="s">
        <v>389</v>
      </c>
      <c r="R38" s="9" t="s">
        <v>221</v>
      </c>
      <c r="S38" s="12" t="s">
        <v>466</v>
      </c>
      <c r="T38" s="14">
        <v>1</v>
      </c>
      <c r="U38" s="14">
        <v>12</v>
      </c>
      <c r="V38" s="61" t="s">
        <v>347</v>
      </c>
      <c r="W38" s="61" t="s">
        <v>557</v>
      </c>
      <c r="X38" s="73" t="s">
        <v>370</v>
      </c>
      <c r="Y38" s="16">
        <v>9</v>
      </c>
      <c r="Z38" s="16">
        <v>8.5</v>
      </c>
      <c r="AA38" s="16">
        <v>5</v>
      </c>
      <c r="AB38" s="16">
        <v>8.5</v>
      </c>
      <c r="AC38" s="17">
        <f t="shared" si="5"/>
        <v>8.3324250681198908</v>
      </c>
      <c r="AD38" s="18">
        <f t="shared" si="6"/>
        <v>7.8107472408178031</v>
      </c>
      <c r="AE38" s="19">
        <f t="shared" si="7"/>
        <v>35</v>
      </c>
      <c r="AF38" s="65">
        <v>41647</v>
      </c>
      <c r="AG38" s="21">
        <f t="shared" si="8"/>
        <v>102</v>
      </c>
      <c r="AH38" s="109">
        <v>41726</v>
      </c>
      <c r="AI38" s="21">
        <f t="shared" si="9"/>
        <v>101</v>
      </c>
      <c r="AJ38" s="59" t="s">
        <v>488</v>
      </c>
      <c r="AK38" s="137"/>
      <c r="AL38" s="111" t="s">
        <v>221</v>
      </c>
      <c r="AM38" s="46" t="s">
        <v>116</v>
      </c>
      <c r="AN38" s="47">
        <f>STDEV(AD:AD)</f>
        <v>1.5919411866189701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16"/>
      <c r="E39" s="216"/>
      <c r="F39" s="216"/>
      <c r="G39" s="216"/>
      <c r="H39" s="216"/>
      <c r="I39" s="217"/>
      <c r="J39" s="68" t="s">
        <v>221</v>
      </c>
      <c r="K39" s="12" t="s">
        <v>29</v>
      </c>
      <c r="L39" s="14" t="s">
        <v>15</v>
      </c>
      <c r="M39" s="14">
        <v>13</v>
      </c>
      <c r="N39" s="61" t="s">
        <v>344</v>
      </c>
      <c r="O39" s="133" t="s">
        <v>557</v>
      </c>
      <c r="P39" s="141"/>
      <c r="Q39" s="131" t="s">
        <v>391</v>
      </c>
      <c r="R39" s="9" t="s">
        <v>221</v>
      </c>
      <c r="S39" s="113" t="s">
        <v>373</v>
      </c>
      <c r="T39" s="14">
        <v>1</v>
      </c>
      <c r="U39" s="14">
        <v>12</v>
      </c>
      <c r="V39" s="61" t="s">
        <v>347</v>
      </c>
      <c r="W39" s="61" t="s">
        <v>557</v>
      </c>
      <c r="X39" s="73" t="s">
        <v>391</v>
      </c>
      <c r="Y39" s="16">
        <v>8.5</v>
      </c>
      <c r="Z39" s="16">
        <v>8.5</v>
      </c>
      <c r="AA39" s="16">
        <v>6.5</v>
      </c>
      <c r="AB39" s="16">
        <v>8.5</v>
      </c>
      <c r="AC39" s="17">
        <f t="shared" si="5"/>
        <v>8.314713896457766</v>
      </c>
      <c r="AD39" s="18">
        <f t="shared" si="6"/>
        <v>7.7872263434051039</v>
      </c>
      <c r="AE39" s="19">
        <f t="shared" si="7"/>
        <v>36</v>
      </c>
      <c r="AF39" s="65">
        <v>41555</v>
      </c>
      <c r="AG39" s="21">
        <f t="shared" si="8"/>
        <v>91</v>
      </c>
      <c r="AH39" s="109">
        <v>41631</v>
      </c>
      <c r="AI39" s="21">
        <f t="shared" si="9"/>
        <v>86</v>
      </c>
      <c r="AJ39" s="59" t="s">
        <v>443</v>
      </c>
      <c r="AK39" s="137" t="s">
        <v>444</v>
      </c>
      <c r="AL39" s="111" t="s">
        <v>221</v>
      </c>
      <c r="AM39" s="44" t="s">
        <v>206</v>
      </c>
      <c r="AN39" s="39">
        <f>SUM(U:U)+SUM(C32:C200)+SUM(D4:D27)</f>
        <v>3126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16"/>
      <c r="E40" s="216"/>
      <c r="F40" s="216"/>
      <c r="G40" s="216"/>
      <c r="H40" s="216"/>
      <c r="I40" s="217"/>
      <c r="J40" s="68" t="s">
        <v>221</v>
      </c>
      <c r="K40" s="12" t="s">
        <v>493</v>
      </c>
      <c r="L40" s="14" t="s">
        <v>15</v>
      </c>
      <c r="M40" s="14">
        <v>22</v>
      </c>
      <c r="N40" s="61" t="s">
        <v>347</v>
      </c>
      <c r="O40" s="133" t="s">
        <v>558</v>
      </c>
      <c r="P40" s="141"/>
      <c r="Q40" s="131" t="s">
        <v>401</v>
      </c>
      <c r="R40" s="9" t="s">
        <v>221</v>
      </c>
      <c r="S40" s="12" t="s">
        <v>213</v>
      </c>
      <c r="T40" s="14">
        <v>1</v>
      </c>
      <c r="U40" s="14">
        <v>24</v>
      </c>
      <c r="V40" s="61" t="s">
        <v>344</v>
      </c>
      <c r="W40" s="61" t="s">
        <v>558</v>
      </c>
      <c r="X40" s="73" t="s">
        <v>389</v>
      </c>
      <c r="Y40" s="16">
        <v>8.5</v>
      </c>
      <c r="Z40" s="16">
        <v>8</v>
      </c>
      <c r="AA40" s="16">
        <v>5</v>
      </c>
      <c r="AB40" s="16">
        <v>9</v>
      </c>
      <c r="AC40" s="17">
        <f t="shared" si="5"/>
        <v>8.30108991825613</v>
      </c>
      <c r="AD40" s="18">
        <f t="shared" si="6"/>
        <v>7.769133345395332</v>
      </c>
      <c r="AE40" s="19">
        <f t="shared" si="7"/>
        <v>37</v>
      </c>
      <c r="AF40" s="65">
        <v>41261</v>
      </c>
      <c r="AG40" s="21">
        <f t="shared" si="8"/>
        <v>10</v>
      </c>
      <c r="AH40" s="109">
        <v>41359</v>
      </c>
      <c r="AI40" s="21">
        <f t="shared" si="9"/>
        <v>32</v>
      </c>
      <c r="AJ40" s="139" t="s">
        <v>226</v>
      </c>
      <c r="AK40" s="135"/>
      <c r="AL40" s="111" t="s">
        <v>221</v>
      </c>
      <c r="AM40" s="44" t="s">
        <v>204</v>
      </c>
      <c r="AN40" s="39">
        <f>AN39*24</f>
        <v>75024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16"/>
      <c r="E41" s="216"/>
      <c r="F41" s="216"/>
      <c r="G41" s="216"/>
      <c r="H41" s="216"/>
      <c r="I41" s="217"/>
      <c r="J41" s="68" t="s">
        <v>221</v>
      </c>
      <c r="K41" s="12" t="s">
        <v>304</v>
      </c>
      <c r="L41" s="14" t="s">
        <v>301</v>
      </c>
      <c r="M41" s="14">
        <v>13</v>
      </c>
      <c r="N41" s="61" t="s">
        <v>344</v>
      </c>
      <c r="O41" s="133" t="s">
        <v>558</v>
      </c>
      <c r="P41" s="141"/>
      <c r="Q41" s="131" t="s">
        <v>389</v>
      </c>
      <c r="R41" s="9" t="s">
        <v>221</v>
      </c>
      <c r="S41" s="12" t="s">
        <v>298</v>
      </c>
      <c r="T41" s="14">
        <v>2</v>
      </c>
      <c r="U41" s="14">
        <v>12</v>
      </c>
      <c r="V41" s="61" t="s">
        <v>344</v>
      </c>
      <c r="W41" s="61" t="s">
        <v>557</v>
      </c>
      <c r="X41" s="73" t="s">
        <v>400</v>
      </c>
      <c r="Y41" s="16">
        <v>9</v>
      </c>
      <c r="Z41" s="16">
        <v>8</v>
      </c>
      <c r="AA41" s="16">
        <v>5.5</v>
      </c>
      <c r="AB41" s="16">
        <v>8.5</v>
      </c>
      <c r="AC41" s="17">
        <f t="shared" si="5"/>
        <v>8.2929155313351508</v>
      </c>
      <c r="AD41" s="18">
        <f t="shared" si="6"/>
        <v>7.758277546589472</v>
      </c>
      <c r="AE41" s="19">
        <f t="shared" si="7"/>
        <v>38</v>
      </c>
      <c r="AF41" s="65">
        <v>41633</v>
      </c>
      <c r="AG41" s="21">
        <f t="shared" si="8"/>
        <v>96</v>
      </c>
      <c r="AH41" s="109">
        <v>41635</v>
      </c>
      <c r="AI41" s="21">
        <f t="shared" si="9"/>
        <v>91</v>
      </c>
      <c r="AJ41" s="139" t="s">
        <v>454</v>
      </c>
      <c r="AK41" s="137" t="s">
        <v>455</v>
      </c>
      <c r="AL41" s="111" t="s">
        <v>221</v>
      </c>
      <c r="AM41" s="44" t="s">
        <v>205</v>
      </c>
      <c r="AN41" s="45">
        <f>AN40/60</f>
        <v>1250.4000000000001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16"/>
      <c r="E42" s="216"/>
      <c r="F42" s="216"/>
      <c r="G42" s="216"/>
      <c r="H42" s="216"/>
      <c r="I42" s="217"/>
      <c r="J42" s="68" t="s">
        <v>221</v>
      </c>
      <c r="K42" s="12" t="s">
        <v>94</v>
      </c>
      <c r="L42" s="14" t="s">
        <v>15</v>
      </c>
      <c r="M42" s="14">
        <v>25</v>
      </c>
      <c r="N42" s="64" t="s">
        <v>347</v>
      </c>
      <c r="O42" s="134" t="s">
        <v>557</v>
      </c>
      <c r="P42" s="142"/>
      <c r="Q42" s="131" t="s">
        <v>368</v>
      </c>
      <c r="R42" s="9" t="s">
        <v>221</v>
      </c>
      <c r="S42" s="12" t="s">
        <v>462</v>
      </c>
      <c r="T42" s="14">
        <v>2</v>
      </c>
      <c r="U42" s="14">
        <v>26</v>
      </c>
      <c r="V42" s="61" t="s">
        <v>344</v>
      </c>
      <c r="W42" s="61" t="s">
        <v>557</v>
      </c>
      <c r="X42" s="73" t="s">
        <v>391</v>
      </c>
      <c r="Y42" s="16">
        <v>9</v>
      </c>
      <c r="Z42" s="16">
        <v>8</v>
      </c>
      <c r="AA42" s="16">
        <v>5.5</v>
      </c>
      <c r="AB42" s="16">
        <v>8.5</v>
      </c>
      <c r="AC42" s="17">
        <f t="shared" si="5"/>
        <v>8.2929155313351508</v>
      </c>
      <c r="AD42" s="18">
        <f t="shared" si="6"/>
        <v>7.758277546589472</v>
      </c>
      <c r="AE42" s="19">
        <f t="shared" si="7"/>
        <v>38</v>
      </c>
      <c r="AF42" s="65">
        <v>41461</v>
      </c>
      <c r="AG42" s="21">
        <f t="shared" si="8"/>
        <v>67</v>
      </c>
      <c r="AH42" s="109">
        <v>41638</v>
      </c>
      <c r="AI42" s="21">
        <f t="shared" si="9"/>
        <v>93</v>
      </c>
      <c r="AJ42" s="59" t="s">
        <v>266</v>
      </c>
      <c r="AK42" s="137" t="s">
        <v>463</v>
      </c>
      <c r="AL42" s="111" t="s">
        <v>221</v>
      </c>
      <c r="AM42" s="46" t="s">
        <v>203</v>
      </c>
      <c r="AN42" s="47">
        <f>AN41/24</f>
        <v>52.1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16"/>
      <c r="E43" s="216"/>
      <c r="F43" s="216"/>
      <c r="G43" s="216"/>
      <c r="H43" s="216"/>
      <c r="I43" s="217"/>
      <c r="J43" s="68" t="s">
        <v>221</v>
      </c>
      <c r="K43" s="12" t="s">
        <v>315</v>
      </c>
      <c r="L43" s="14" t="s">
        <v>301</v>
      </c>
      <c r="M43" s="14">
        <v>12</v>
      </c>
      <c r="N43" s="61" t="s">
        <v>344</v>
      </c>
      <c r="O43" s="133" t="s">
        <v>558</v>
      </c>
      <c r="P43" s="141"/>
      <c r="Q43" s="131" t="s">
        <v>419</v>
      </c>
      <c r="R43" s="9" t="s">
        <v>221</v>
      </c>
      <c r="S43" s="12" t="s">
        <v>359</v>
      </c>
      <c r="T43" s="14">
        <v>1</v>
      </c>
      <c r="U43" s="14">
        <v>12</v>
      </c>
      <c r="V43" s="61" t="s">
        <v>347</v>
      </c>
      <c r="W43" s="61" t="s">
        <v>557</v>
      </c>
      <c r="X43" s="79" t="s">
        <v>368</v>
      </c>
      <c r="Y43" s="16">
        <v>8.5</v>
      </c>
      <c r="Z43" s="16">
        <v>8.5</v>
      </c>
      <c r="AA43" s="16">
        <v>6</v>
      </c>
      <c r="AB43" s="16">
        <v>8.5</v>
      </c>
      <c r="AC43" s="17">
        <f t="shared" si="5"/>
        <v>8.2683923705722062</v>
      </c>
      <c r="AD43" s="18">
        <f t="shared" si="6"/>
        <v>7.7257101501718832</v>
      </c>
      <c r="AE43" s="19">
        <f t="shared" si="7"/>
        <v>40</v>
      </c>
      <c r="AF43" s="65">
        <v>41550</v>
      </c>
      <c r="AG43" s="21">
        <f t="shared" si="8"/>
        <v>85</v>
      </c>
      <c r="AH43" s="109">
        <v>41628</v>
      </c>
      <c r="AI43" s="21">
        <f t="shared" si="9"/>
        <v>85</v>
      </c>
      <c r="AJ43" s="59" t="s">
        <v>435</v>
      </c>
      <c r="AK43" s="137" t="s">
        <v>551</v>
      </c>
      <c r="AL43" s="111" t="s">
        <v>221</v>
      </c>
      <c r="AM43" s="89" t="s">
        <v>477</v>
      </c>
      <c r="AN43" s="88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16"/>
      <c r="E44" s="216"/>
      <c r="F44" s="216"/>
      <c r="G44" s="216"/>
      <c r="H44" s="216"/>
      <c r="I44" s="217"/>
      <c r="J44" s="9"/>
      <c r="K44" s="12" t="s">
        <v>182</v>
      </c>
      <c r="L44" s="14" t="s">
        <v>15</v>
      </c>
      <c r="M44" s="14">
        <v>26</v>
      </c>
      <c r="N44" s="61" t="s">
        <v>344</v>
      </c>
      <c r="O44" s="133" t="s">
        <v>561</v>
      </c>
      <c r="P44" s="141"/>
      <c r="Q44" s="131" t="s">
        <v>420</v>
      </c>
      <c r="R44" s="9" t="s">
        <v>221</v>
      </c>
      <c r="S44" s="12" t="s">
        <v>569</v>
      </c>
      <c r="T44" s="14">
        <v>1</v>
      </c>
      <c r="U44" s="14">
        <v>24</v>
      </c>
      <c r="V44" s="61" t="s">
        <v>344</v>
      </c>
      <c r="W44" s="61" t="s">
        <v>558</v>
      </c>
      <c r="X44" s="73" t="s">
        <v>397</v>
      </c>
      <c r="Y44" s="16">
        <v>7.5</v>
      </c>
      <c r="Z44" s="16">
        <v>9</v>
      </c>
      <c r="AA44" s="16">
        <v>6</v>
      </c>
      <c r="AB44" s="16">
        <v>9</v>
      </c>
      <c r="AC44" s="17">
        <f t="shared" si="5"/>
        <v>8.2520435967302461</v>
      </c>
      <c r="AD44" s="18">
        <f t="shared" si="6"/>
        <v>7.7039985525601606</v>
      </c>
      <c r="AE44" s="19">
        <f t="shared" si="7"/>
        <v>41</v>
      </c>
      <c r="AF44" s="65">
        <v>41436</v>
      </c>
      <c r="AG44" s="21">
        <f t="shared" si="8"/>
        <v>55</v>
      </c>
      <c r="AH44" s="109">
        <v>41438</v>
      </c>
      <c r="AI44" s="21">
        <f t="shared" si="9"/>
        <v>46</v>
      </c>
      <c r="AJ44" s="139" t="s">
        <v>263</v>
      </c>
      <c r="AK44" s="135"/>
      <c r="AL44" s="111" t="s">
        <v>221</v>
      </c>
      <c r="AM44" s="8"/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16"/>
      <c r="E45" s="216"/>
      <c r="F45" s="216"/>
      <c r="G45" s="216"/>
      <c r="H45" s="216"/>
      <c r="I45" s="217"/>
      <c r="J45" s="9"/>
      <c r="K45" s="12" t="s">
        <v>38</v>
      </c>
      <c r="L45" s="14" t="s">
        <v>15</v>
      </c>
      <c r="M45" s="14">
        <v>12</v>
      </c>
      <c r="N45" s="61" t="s">
        <v>344</v>
      </c>
      <c r="O45" s="133" t="s">
        <v>558</v>
      </c>
      <c r="P45" s="141"/>
      <c r="Q45" s="131" t="s">
        <v>421</v>
      </c>
      <c r="R45" s="9" t="s">
        <v>221</v>
      </c>
      <c r="S45" s="12" t="s">
        <v>217</v>
      </c>
      <c r="T45" s="14">
        <v>1</v>
      </c>
      <c r="U45" s="14">
        <v>22</v>
      </c>
      <c r="V45" s="61" t="s">
        <v>344</v>
      </c>
      <c r="W45" s="61" t="s">
        <v>558</v>
      </c>
      <c r="X45" s="83" t="s">
        <v>389</v>
      </c>
      <c r="Y45" s="16">
        <v>9</v>
      </c>
      <c r="Z45" s="16">
        <v>8</v>
      </c>
      <c r="AA45" s="16">
        <v>5</v>
      </c>
      <c r="AB45" s="16">
        <v>8.5</v>
      </c>
      <c r="AC45" s="17">
        <f t="shared" si="5"/>
        <v>8.246594005449591</v>
      </c>
      <c r="AD45" s="18">
        <f t="shared" si="6"/>
        <v>7.6967613533562513</v>
      </c>
      <c r="AE45" s="19">
        <f t="shared" si="7"/>
        <v>42</v>
      </c>
      <c r="AF45" s="65">
        <v>41424</v>
      </c>
      <c r="AG45" s="21">
        <f t="shared" si="8"/>
        <v>52</v>
      </c>
      <c r="AH45" s="109">
        <v>41430</v>
      </c>
      <c r="AI45" s="21">
        <f t="shared" si="9"/>
        <v>43</v>
      </c>
      <c r="AJ45" s="59" t="s">
        <v>264</v>
      </c>
      <c r="AK45" s="137" t="s">
        <v>164</v>
      </c>
      <c r="AL45" s="111" t="s">
        <v>221</v>
      </c>
      <c r="AM45" s="214" t="s">
        <v>478</v>
      </c>
      <c r="AN45" s="215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16"/>
      <c r="E46" s="216"/>
      <c r="F46" s="216"/>
      <c r="G46" s="216"/>
      <c r="H46" s="216"/>
      <c r="I46" s="217"/>
      <c r="J46" s="9"/>
      <c r="K46" s="12" t="s">
        <v>316</v>
      </c>
      <c r="L46" s="14" t="s">
        <v>301</v>
      </c>
      <c r="M46" s="14">
        <v>12</v>
      </c>
      <c r="N46" s="61" t="s">
        <v>344</v>
      </c>
      <c r="O46" s="133" t="s">
        <v>558</v>
      </c>
      <c r="P46" s="141"/>
      <c r="Q46" s="131" t="s">
        <v>421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558</v>
      </c>
      <c r="X46" s="73" t="s">
        <v>370</v>
      </c>
      <c r="Y46" s="16">
        <v>8</v>
      </c>
      <c r="Z46" s="16">
        <v>8.5</v>
      </c>
      <c r="AA46" s="16">
        <v>5</v>
      </c>
      <c r="AB46" s="16">
        <v>9</v>
      </c>
      <c r="AC46" s="17">
        <f t="shared" si="5"/>
        <v>8.2302452316076291</v>
      </c>
      <c r="AD46" s="18">
        <f t="shared" si="6"/>
        <v>7.675049755744527</v>
      </c>
      <c r="AE46" s="19">
        <f t="shared" si="7"/>
        <v>43</v>
      </c>
      <c r="AF46" s="65">
        <v>41371</v>
      </c>
      <c r="AG46" s="21">
        <f t="shared" si="8"/>
        <v>44</v>
      </c>
      <c r="AH46" s="109">
        <v>41452</v>
      </c>
      <c r="AI46" s="21">
        <f t="shared" si="9"/>
        <v>51</v>
      </c>
      <c r="AJ46" s="139" t="s">
        <v>268</v>
      </c>
      <c r="AK46" s="137"/>
      <c r="AL46" s="111" t="s">
        <v>221</v>
      </c>
      <c r="AM46" s="42" t="s">
        <v>389</v>
      </c>
      <c r="AN46" s="90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16"/>
      <c r="E47" s="216"/>
      <c r="F47" s="216"/>
      <c r="G47" s="216"/>
      <c r="H47" s="216"/>
      <c r="I47" s="217"/>
      <c r="J47" s="9"/>
      <c r="K47" s="12" t="s">
        <v>42</v>
      </c>
      <c r="L47" s="14" t="s">
        <v>15</v>
      </c>
      <c r="M47" s="14">
        <v>12</v>
      </c>
      <c r="N47" s="61" t="s">
        <v>344</v>
      </c>
      <c r="O47" s="133" t="s">
        <v>558</v>
      </c>
      <c r="P47" s="141"/>
      <c r="Q47" s="131" t="s">
        <v>397</v>
      </c>
      <c r="R47" s="9" t="s">
        <v>221</v>
      </c>
      <c r="S47" s="12" t="s">
        <v>218</v>
      </c>
      <c r="T47" s="14">
        <v>1</v>
      </c>
      <c r="U47" s="14">
        <v>24</v>
      </c>
      <c r="V47" s="61" t="s">
        <v>344</v>
      </c>
      <c r="W47" s="61" t="s">
        <v>558</v>
      </c>
      <c r="X47" s="73" t="s">
        <v>389</v>
      </c>
      <c r="Y47" s="16">
        <v>8.5</v>
      </c>
      <c r="Z47" s="16">
        <v>7.5</v>
      </c>
      <c r="AA47" s="16">
        <v>5</v>
      </c>
      <c r="AB47" s="16">
        <v>9</v>
      </c>
      <c r="AC47" s="17">
        <f t="shared" si="5"/>
        <v>8.2152588555858301</v>
      </c>
      <c r="AD47" s="18">
        <f t="shared" si="6"/>
        <v>7.6551474579337793</v>
      </c>
      <c r="AE47" s="19">
        <f t="shared" si="7"/>
        <v>44</v>
      </c>
      <c r="AF47" s="65">
        <v>41431</v>
      </c>
      <c r="AG47" s="21">
        <f t="shared" si="8"/>
        <v>54</v>
      </c>
      <c r="AH47" s="109">
        <v>41436</v>
      </c>
      <c r="AI47" s="21">
        <f t="shared" si="9"/>
        <v>45</v>
      </c>
      <c r="AJ47" s="59" t="s">
        <v>263</v>
      </c>
      <c r="AK47" s="137"/>
      <c r="AL47" s="111" t="s">
        <v>221</v>
      </c>
      <c r="AM47" s="44" t="s">
        <v>391</v>
      </c>
      <c r="AN47" s="91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16"/>
      <c r="E48" s="216"/>
      <c r="F48" s="216"/>
      <c r="G48" s="216"/>
      <c r="H48" s="216"/>
      <c r="I48" s="217"/>
      <c r="J48" s="9"/>
      <c r="K48" s="12" t="s">
        <v>496</v>
      </c>
      <c r="L48" s="14" t="s">
        <v>15</v>
      </c>
      <c r="M48" s="14">
        <v>13</v>
      </c>
      <c r="N48" s="61" t="s">
        <v>347</v>
      </c>
      <c r="O48" s="133" t="s">
        <v>557</v>
      </c>
      <c r="P48" s="141"/>
      <c r="Q48" s="131" t="s">
        <v>475</v>
      </c>
      <c r="R48" s="9" t="s">
        <v>221</v>
      </c>
      <c r="S48" s="12" t="s">
        <v>212</v>
      </c>
      <c r="T48" s="14">
        <v>2</v>
      </c>
      <c r="U48" s="14">
        <v>24</v>
      </c>
      <c r="V48" s="61" t="s">
        <v>344</v>
      </c>
      <c r="W48" s="61" t="s">
        <v>558</v>
      </c>
      <c r="X48" s="79" t="s">
        <v>397</v>
      </c>
      <c r="Y48" s="16">
        <v>6.5</v>
      </c>
      <c r="Z48" s="16">
        <v>7.5</v>
      </c>
      <c r="AA48" s="16">
        <v>9</v>
      </c>
      <c r="AB48" s="16">
        <v>9.5</v>
      </c>
      <c r="AC48" s="17">
        <f t="shared" si="5"/>
        <v>8.1702997275204368</v>
      </c>
      <c r="AD48" s="18">
        <f t="shared" si="6"/>
        <v>7.5954405645015397</v>
      </c>
      <c r="AE48" s="19">
        <f t="shared" si="7"/>
        <v>45</v>
      </c>
      <c r="AF48" s="65">
        <v>41338</v>
      </c>
      <c r="AG48" s="21">
        <f t="shared" si="8"/>
        <v>29</v>
      </c>
      <c r="AH48" s="109">
        <v>41340</v>
      </c>
      <c r="AI48" s="21">
        <f t="shared" si="9"/>
        <v>24</v>
      </c>
      <c r="AJ48" s="139" t="s">
        <v>231</v>
      </c>
      <c r="AK48" s="137" t="s">
        <v>68</v>
      </c>
      <c r="AL48" s="111" t="s">
        <v>221</v>
      </c>
      <c r="AM48" s="44" t="s">
        <v>370</v>
      </c>
      <c r="AN48" s="91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16"/>
      <c r="E49" s="216"/>
      <c r="F49" s="216"/>
      <c r="G49" s="216"/>
      <c r="H49" s="216"/>
      <c r="I49" s="217"/>
      <c r="J49" s="9"/>
      <c r="K49" s="12" t="s">
        <v>422</v>
      </c>
      <c r="L49" s="14" t="s">
        <v>15</v>
      </c>
      <c r="M49" s="14">
        <v>11</v>
      </c>
      <c r="N49" s="61" t="s">
        <v>344</v>
      </c>
      <c r="O49" s="133" t="s">
        <v>558</v>
      </c>
      <c r="P49" s="141"/>
      <c r="Q49" s="131" t="s">
        <v>423</v>
      </c>
      <c r="R49" s="9" t="s">
        <v>221</v>
      </c>
      <c r="S49" s="12" t="s">
        <v>190</v>
      </c>
      <c r="T49" s="14">
        <v>1</v>
      </c>
      <c r="U49" s="14">
        <v>13</v>
      </c>
      <c r="V49" s="61" t="s">
        <v>344</v>
      </c>
      <c r="W49" s="61" t="s">
        <v>558</v>
      </c>
      <c r="X49" s="73" t="s">
        <v>388</v>
      </c>
      <c r="Y49" s="16">
        <v>7</v>
      </c>
      <c r="Z49" s="16">
        <v>8.5</v>
      </c>
      <c r="AA49" s="16">
        <v>10</v>
      </c>
      <c r="AB49" s="16">
        <v>8.5</v>
      </c>
      <c r="AC49" s="17">
        <f t="shared" si="5"/>
        <v>8.1689373297002721</v>
      </c>
      <c r="AD49" s="18">
        <f t="shared" si="6"/>
        <v>7.5936312647005604</v>
      </c>
      <c r="AE49" s="19">
        <f t="shared" si="7"/>
        <v>46</v>
      </c>
      <c r="AF49" s="65">
        <v>41378</v>
      </c>
      <c r="AG49" s="21">
        <f t="shared" si="8"/>
        <v>45</v>
      </c>
      <c r="AH49" s="109">
        <v>41454</v>
      </c>
      <c r="AI49" s="21">
        <f t="shared" si="9"/>
        <v>54</v>
      </c>
      <c r="AJ49" s="59" t="s">
        <v>272</v>
      </c>
      <c r="AK49" s="135"/>
      <c r="AL49" s="111" t="s">
        <v>221</v>
      </c>
      <c r="AM49" s="44" t="s">
        <v>388</v>
      </c>
      <c r="AN49" s="91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16"/>
      <c r="E50" s="216"/>
      <c r="F50" s="216"/>
      <c r="G50" s="216"/>
      <c r="H50" s="216"/>
      <c r="I50" s="217"/>
      <c r="J50" s="9"/>
      <c r="K50" s="12" t="s">
        <v>343</v>
      </c>
      <c r="L50" s="14" t="s">
        <v>15</v>
      </c>
      <c r="M50" s="14">
        <v>24</v>
      </c>
      <c r="N50" s="61" t="s">
        <v>344</v>
      </c>
      <c r="O50" s="133" t="s">
        <v>561</v>
      </c>
      <c r="P50" s="141"/>
      <c r="Q50" s="131" t="s">
        <v>424</v>
      </c>
      <c r="R50" s="9" t="s">
        <v>221</v>
      </c>
      <c r="S50" s="12" t="s">
        <v>201</v>
      </c>
      <c r="T50" s="14">
        <v>1</v>
      </c>
      <c r="U50" s="14">
        <v>14</v>
      </c>
      <c r="V50" s="61" t="s">
        <v>344</v>
      </c>
      <c r="W50" s="61" t="s">
        <v>558</v>
      </c>
      <c r="X50" s="73" t="s">
        <v>389</v>
      </c>
      <c r="Y50" s="16">
        <v>8.5</v>
      </c>
      <c r="Z50" s="16">
        <v>8</v>
      </c>
      <c r="AA50" s="16">
        <v>3.5</v>
      </c>
      <c r="AB50" s="16">
        <v>9</v>
      </c>
      <c r="AC50" s="17">
        <f t="shared" si="5"/>
        <v>8.162125340599454</v>
      </c>
      <c r="AD50" s="18">
        <f t="shared" si="6"/>
        <v>7.5845847656956744</v>
      </c>
      <c r="AE50" s="19">
        <f t="shared" si="7"/>
        <v>47</v>
      </c>
      <c r="AF50" s="65">
        <v>41245</v>
      </c>
      <c r="AG50" s="21">
        <f t="shared" si="8"/>
        <v>5</v>
      </c>
      <c r="AH50" s="109">
        <v>41250</v>
      </c>
      <c r="AI50" s="21">
        <f t="shared" si="9"/>
        <v>5</v>
      </c>
      <c r="AJ50" s="59" t="s">
        <v>299</v>
      </c>
      <c r="AK50" s="137" t="s">
        <v>60</v>
      </c>
      <c r="AL50" s="111" t="s">
        <v>221</v>
      </c>
      <c r="AM50" s="44" t="s">
        <v>368</v>
      </c>
      <c r="AN50" s="91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16"/>
      <c r="E51" s="216"/>
      <c r="F51" s="216"/>
      <c r="G51" s="216"/>
      <c r="H51" s="216"/>
      <c r="I51" s="217"/>
      <c r="J51" s="9"/>
      <c r="K51" s="12" t="s">
        <v>382</v>
      </c>
      <c r="L51" s="14" t="s">
        <v>15</v>
      </c>
      <c r="M51" s="14">
        <v>26</v>
      </c>
      <c r="N51" s="64" t="s">
        <v>347</v>
      </c>
      <c r="O51" s="134" t="s">
        <v>558</v>
      </c>
      <c r="P51" s="142"/>
      <c r="Q51" s="131" t="s">
        <v>389</v>
      </c>
      <c r="R51" s="9" t="s">
        <v>221</v>
      </c>
      <c r="S51" s="12" t="s">
        <v>74</v>
      </c>
      <c r="T51" s="14">
        <v>1</v>
      </c>
      <c r="U51" s="14">
        <v>12</v>
      </c>
      <c r="V51" s="61" t="s">
        <v>347</v>
      </c>
      <c r="W51" s="61" t="s">
        <v>558</v>
      </c>
      <c r="X51" s="83" t="s">
        <v>388</v>
      </c>
      <c r="Y51" s="16">
        <v>9</v>
      </c>
      <c r="Z51" s="16">
        <v>7.5</v>
      </c>
      <c r="AA51" s="16">
        <v>5</v>
      </c>
      <c r="AB51" s="16">
        <v>8.5</v>
      </c>
      <c r="AC51" s="17">
        <f t="shared" si="5"/>
        <v>8.1607629427792912</v>
      </c>
      <c r="AD51" s="18">
        <f t="shared" si="6"/>
        <v>7.5827754658946995</v>
      </c>
      <c r="AE51" s="19">
        <f t="shared" si="7"/>
        <v>48</v>
      </c>
      <c r="AF51" s="65">
        <v>41255</v>
      </c>
      <c r="AG51" s="21">
        <f t="shared" si="8"/>
        <v>9</v>
      </c>
      <c r="AH51" s="109">
        <v>41256</v>
      </c>
      <c r="AI51" s="21">
        <f t="shared" si="9"/>
        <v>6</v>
      </c>
      <c r="AJ51" s="59" t="s">
        <v>267</v>
      </c>
      <c r="AK51" s="137"/>
      <c r="AL51" s="111" t="s">
        <v>221</v>
      </c>
      <c r="AM51" s="44" t="s">
        <v>397</v>
      </c>
      <c r="AN51" s="91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16"/>
      <c r="E52" s="216"/>
      <c r="F52" s="216"/>
      <c r="G52" s="216"/>
      <c r="H52" s="216"/>
      <c r="I52" s="217"/>
      <c r="J52" s="9"/>
      <c r="K52" s="12" t="s">
        <v>494</v>
      </c>
      <c r="L52" s="14" t="s">
        <v>15</v>
      </c>
      <c r="M52" s="14">
        <v>13</v>
      </c>
      <c r="N52" s="61" t="s">
        <v>347</v>
      </c>
      <c r="O52" s="133" t="s">
        <v>558</v>
      </c>
      <c r="P52" s="141"/>
      <c r="Q52" s="131" t="s">
        <v>388</v>
      </c>
      <c r="R52" s="9" t="s">
        <v>221</v>
      </c>
      <c r="S52" s="12" t="s">
        <v>58</v>
      </c>
      <c r="T52" s="14">
        <v>1</v>
      </c>
      <c r="U52" s="14">
        <v>12</v>
      </c>
      <c r="V52" s="61" t="s">
        <v>344</v>
      </c>
      <c r="W52" s="61" t="s">
        <v>558</v>
      </c>
      <c r="X52" s="73" t="s">
        <v>395</v>
      </c>
      <c r="Y52" s="16">
        <v>9</v>
      </c>
      <c r="Z52" s="16">
        <v>8.5</v>
      </c>
      <c r="AA52" s="16">
        <v>3</v>
      </c>
      <c r="AB52" s="16">
        <v>8.5</v>
      </c>
      <c r="AC52" s="17">
        <f t="shared" si="5"/>
        <v>8.1471389645776568</v>
      </c>
      <c r="AD52" s="18">
        <f t="shared" si="6"/>
        <v>7.5646824678849294</v>
      </c>
      <c r="AE52" s="19">
        <f t="shared" si="7"/>
        <v>49</v>
      </c>
      <c r="AF52" s="65">
        <v>41411</v>
      </c>
      <c r="AG52" s="21">
        <f t="shared" si="8"/>
        <v>51</v>
      </c>
      <c r="AH52" s="109">
        <v>41413</v>
      </c>
      <c r="AI52" s="21">
        <f t="shared" si="9"/>
        <v>42</v>
      </c>
      <c r="AJ52" s="59" t="s">
        <v>265</v>
      </c>
      <c r="AK52" s="137"/>
      <c r="AL52" s="111" t="s">
        <v>221</v>
      </c>
      <c r="AM52" s="44" t="s">
        <v>400</v>
      </c>
      <c r="AN52" s="91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28" t="s">
        <v>547</v>
      </c>
    </row>
    <row r="53" spans="1:58" ht="16.5">
      <c r="A53" s="12"/>
      <c r="B53" s="23"/>
      <c r="C53" s="14"/>
      <c r="D53" s="216"/>
      <c r="E53" s="216"/>
      <c r="F53" s="216"/>
      <c r="G53" s="216"/>
      <c r="H53" s="216"/>
      <c r="I53" s="217"/>
      <c r="J53" s="9"/>
      <c r="K53" s="12" t="s">
        <v>495</v>
      </c>
      <c r="L53" s="14" t="s">
        <v>15</v>
      </c>
      <c r="M53" s="14">
        <v>12</v>
      </c>
      <c r="N53" s="61" t="s">
        <v>347</v>
      </c>
      <c r="O53" s="133" t="s">
        <v>558</v>
      </c>
      <c r="P53" s="141"/>
      <c r="Q53" s="131" t="s">
        <v>388</v>
      </c>
      <c r="R53" s="9" t="s">
        <v>221</v>
      </c>
      <c r="S53" s="12" t="s">
        <v>106</v>
      </c>
      <c r="T53" s="14">
        <v>1</v>
      </c>
      <c r="U53" s="14">
        <v>13</v>
      </c>
      <c r="V53" s="61" t="s">
        <v>344</v>
      </c>
      <c r="W53" s="61" t="s">
        <v>558</v>
      </c>
      <c r="X53" s="73" t="s">
        <v>387</v>
      </c>
      <c r="Y53" s="16">
        <v>5</v>
      </c>
      <c r="Z53" s="16">
        <v>9</v>
      </c>
      <c r="AA53" s="16">
        <v>10</v>
      </c>
      <c r="AB53" s="16">
        <v>9.5</v>
      </c>
      <c r="AC53" s="17">
        <f t="shared" si="5"/>
        <v>8.0504087193460503</v>
      </c>
      <c r="AD53" s="18">
        <f t="shared" si="6"/>
        <v>7.4362221820155625</v>
      </c>
      <c r="AE53" s="19">
        <f t="shared" si="7"/>
        <v>50</v>
      </c>
      <c r="AF53" s="65">
        <v>41316</v>
      </c>
      <c r="AG53" s="21">
        <f t="shared" si="8"/>
        <v>25</v>
      </c>
      <c r="AH53" s="109">
        <v>41316</v>
      </c>
      <c r="AI53" s="21">
        <f t="shared" si="9"/>
        <v>20</v>
      </c>
      <c r="AJ53" s="59" t="s">
        <v>286</v>
      </c>
      <c r="AK53" s="137" t="s">
        <v>107</v>
      </c>
      <c r="AL53" s="111" t="s">
        <v>221</v>
      </c>
      <c r="AM53" s="44" t="s">
        <v>399</v>
      </c>
      <c r="AN53" s="91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16"/>
      <c r="E54" s="216"/>
      <c r="F54" s="216"/>
      <c r="G54" s="216"/>
      <c r="H54" s="216"/>
      <c r="I54" s="217"/>
      <c r="J54" s="9"/>
      <c r="K54" s="12" t="s">
        <v>565</v>
      </c>
      <c r="L54" s="14" t="s">
        <v>15</v>
      </c>
      <c r="M54" s="14">
        <v>12</v>
      </c>
      <c r="N54" s="61" t="s">
        <v>347</v>
      </c>
      <c r="O54" s="133" t="s">
        <v>558</v>
      </c>
      <c r="P54" s="141"/>
      <c r="Q54" s="131" t="s">
        <v>388</v>
      </c>
      <c r="R54" s="9" t="s">
        <v>221</v>
      </c>
      <c r="S54" s="12" t="s">
        <v>364</v>
      </c>
      <c r="T54" s="14">
        <v>1</v>
      </c>
      <c r="U54" s="14">
        <v>22</v>
      </c>
      <c r="V54" s="61" t="s">
        <v>347</v>
      </c>
      <c r="W54" s="61" t="s">
        <v>557</v>
      </c>
      <c r="X54" s="73" t="s">
        <v>391</v>
      </c>
      <c r="Y54" s="16">
        <v>8.5</v>
      </c>
      <c r="Z54" s="16">
        <v>8</v>
      </c>
      <c r="AA54" s="16">
        <v>4</v>
      </c>
      <c r="AB54" s="16">
        <v>8.5</v>
      </c>
      <c r="AC54" s="17">
        <f t="shared" si="5"/>
        <v>7.9972752043596724</v>
      </c>
      <c r="AD54" s="18">
        <f t="shared" si="6"/>
        <v>7.3656594897774568</v>
      </c>
      <c r="AE54" s="19">
        <f t="shared" si="7"/>
        <v>51</v>
      </c>
      <c r="AF54" s="65">
        <v>41562</v>
      </c>
      <c r="AG54" s="21">
        <f t="shared" si="8"/>
        <v>94</v>
      </c>
      <c r="AH54" s="109">
        <v>41728</v>
      </c>
      <c r="AI54" s="21">
        <f t="shared" si="9"/>
        <v>102</v>
      </c>
      <c r="AJ54" s="59" t="s">
        <v>490</v>
      </c>
      <c r="AK54" s="137" t="s">
        <v>491</v>
      </c>
      <c r="AL54" s="111" t="s">
        <v>221</v>
      </c>
      <c r="AM54" s="89" t="s">
        <v>479</v>
      </c>
      <c r="AN54" s="88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16"/>
      <c r="E55" s="216"/>
      <c r="F55" s="216"/>
      <c r="G55" s="216"/>
      <c r="H55" s="216"/>
      <c r="I55" s="217"/>
      <c r="J55" s="9"/>
      <c r="K55" s="12" t="s">
        <v>564</v>
      </c>
      <c r="L55" s="14" t="s">
        <v>15</v>
      </c>
      <c r="M55" s="14">
        <v>12</v>
      </c>
      <c r="N55" s="61" t="s">
        <v>347</v>
      </c>
      <c r="O55" s="133" t="s">
        <v>558</v>
      </c>
      <c r="P55" s="141"/>
      <c r="Q55" s="131" t="s">
        <v>388</v>
      </c>
      <c r="R55" s="9" t="s">
        <v>221</v>
      </c>
      <c r="S55" s="12" t="s">
        <v>464</v>
      </c>
      <c r="T55" s="14">
        <v>1</v>
      </c>
      <c r="U55" s="14">
        <v>12</v>
      </c>
      <c r="V55" s="61" t="s">
        <v>347</v>
      </c>
      <c r="W55" s="61" t="s">
        <v>557</v>
      </c>
      <c r="X55" s="73" t="s">
        <v>391</v>
      </c>
      <c r="Y55" s="16">
        <v>4</v>
      </c>
      <c r="Z55" s="16">
        <v>9.5</v>
      </c>
      <c r="AA55" s="16">
        <v>9.5</v>
      </c>
      <c r="AB55" s="16">
        <v>10</v>
      </c>
      <c r="AC55" s="17">
        <f t="shared" si="5"/>
        <v>7.9877384196185295</v>
      </c>
      <c r="AD55" s="18">
        <f t="shared" si="6"/>
        <v>7.3529943911706184</v>
      </c>
      <c r="AE55" s="19">
        <f t="shared" si="7"/>
        <v>52</v>
      </c>
      <c r="AF55" s="65">
        <v>41638</v>
      </c>
      <c r="AG55" s="21">
        <f t="shared" si="8"/>
        <v>98</v>
      </c>
      <c r="AH55" s="109">
        <v>41641</v>
      </c>
      <c r="AI55" s="21">
        <f t="shared" si="9"/>
        <v>94</v>
      </c>
      <c r="AJ55" s="59" t="s">
        <v>465</v>
      </c>
      <c r="AK55" s="137"/>
      <c r="AL55" s="111" t="s">
        <v>221</v>
      </c>
      <c r="AM55" s="8"/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16"/>
      <c r="E56" s="216"/>
      <c r="F56" s="216"/>
      <c r="G56" s="216"/>
      <c r="H56" s="216"/>
      <c r="I56" s="217"/>
      <c r="J56" s="9"/>
      <c r="K56" s="12" t="s">
        <v>480</v>
      </c>
      <c r="L56" s="14" t="s">
        <v>49</v>
      </c>
      <c r="M56" s="14">
        <v>70</v>
      </c>
      <c r="N56" s="64" t="s">
        <v>181</v>
      </c>
      <c r="O56" s="64" t="s">
        <v>181</v>
      </c>
      <c r="P56" s="142"/>
      <c r="Q56" s="132" t="s">
        <v>181</v>
      </c>
      <c r="R56" s="9" t="s">
        <v>221</v>
      </c>
      <c r="S56" s="12" t="s">
        <v>249</v>
      </c>
      <c r="T56" s="14">
        <v>1</v>
      </c>
      <c r="U56" s="14">
        <v>13</v>
      </c>
      <c r="V56" s="61" t="s">
        <v>344</v>
      </c>
      <c r="W56" s="61" t="s">
        <v>558</v>
      </c>
      <c r="X56" s="73" t="s">
        <v>389</v>
      </c>
      <c r="Y56" s="16">
        <v>8</v>
      </c>
      <c r="Z56" s="16">
        <v>6.5</v>
      </c>
      <c r="AA56" s="16">
        <v>6</v>
      </c>
      <c r="AB56" s="16">
        <v>9</v>
      </c>
      <c r="AC56" s="17">
        <f t="shared" si="5"/>
        <v>7.9795640326975468</v>
      </c>
      <c r="AD56" s="18">
        <f t="shared" si="6"/>
        <v>7.3421385923647531</v>
      </c>
      <c r="AE56" s="19">
        <f t="shared" si="7"/>
        <v>53</v>
      </c>
      <c r="AF56" s="65">
        <v>41316</v>
      </c>
      <c r="AG56" s="21">
        <f t="shared" si="8"/>
        <v>25</v>
      </c>
      <c r="AH56" s="109">
        <v>41323</v>
      </c>
      <c r="AI56" s="21">
        <f t="shared" si="9"/>
        <v>21</v>
      </c>
      <c r="AJ56" s="139" t="s">
        <v>271</v>
      </c>
      <c r="AK56" s="137"/>
      <c r="AL56" s="111" t="s">
        <v>221</v>
      </c>
      <c r="AM56" s="214" t="s">
        <v>571</v>
      </c>
      <c r="AN56" s="215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16"/>
      <c r="E57" s="216"/>
      <c r="F57" s="216"/>
      <c r="G57" s="216"/>
      <c r="H57" s="216"/>
      <c r="I57" s="217"/>
      <c r="J57" s="9"/>
      <c r="K57" s="12" t="s">
        <v>317</v>
      </c>
      <c r="L57" s="14" t="s">
        <v>318</v>
      </c>
      <c r="M57" s="14">
        <v>12</v>
      </c>
      <c r="N57" s="64" t="s">
        <v>181</v>
      </c>
      <c r="O57" s="61" t="s">
        <v>181</v>
      </c>
      <c r="P57" s="141"/>
      <c r="Q57" s="131" t="s">
        <v>181</v>
      </c>
      <c r="R57" s="9" t="s">
        <v>221</v>
      </c>
      <c r="S57" s="12" t="s">
        <v>180</v>
      </c>
      <c r="T57" s="14">
        <v>1</v>
      </c>
      <c r="U57" s="14">
        <v>12</v>
      </c>
      <c r="V57" s="61" t="s">
        <v>344</v>
      </c>
      <c r="W57" s="61" t="s">
        <v>558</v>
      </c>
      <c r="X57" s="73" t="s">
        <v>389</v>
      </c>
      <c r="Y57" s="16">
        <v>7.5</v>
      </c>
      <c r="Z57" s="16">
        <v>7.5</v>
      </c>
      <c r="AA57" s="16">
        <v>9.5</v>
      </c>
      <c r="AB57" s="16">
        <v>8</v>
      </c>
      <c r="AC57" s="17">
        <f t="shared" si="5"/>
        <v>7.8964577656675745</v>
      </c>
      <c r="AD57" s="18">
        <f t="shared" si="6"/>
        <v>7.2317713045051555</v>
      </c>
      <c r="AE57" s="19">
        <f t="shared" si="7"/>
        <v>54</v>
      </c>
      <c r="AF57" s="65">
        <v>41453</v>
      </c>
      <c r="AG57" s="21">
        <f t="shared" si="8"/>
        <v>61</v>
      </c>
      <c r="AH57" s="109">
        <v>41456</v>
      </c>
      <c r="AI57" s="21">
        <f t="shared" si="9"/>
        <v>57</v>
      </c>
      <c r="AJ57" s="59" t="s">
        <v>230</v>
      </c>
      <c r="AK57" s="137"/>
      <c r="AL57" s="111" t="s">
        <v>221</v>
      </c>
      <c r="AM57" s="42" t="s">
        <v>558</v>
      </c>
      <c r="AN57" s="90">
        <f>COUNTIF(W:W,AM57) + COUNTIF(O:O,AM57)</f>
        <v>90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16"/>
      <c r="E58" s="216"/>
      <c r="F58" s="216"/>
      <c r="G58" s="216"/>
      <c r="H58" s="216"/>
      <c r="I58" s="217"/>
      <c r="J58" s="9"/>
      <c r="K58" s="12" t="s">
        <v>537</v>
      </c>
      <c r="L58" s="14" t="s">
        <v>305</v>
      </c>
      <c r="M58" s="14">
        <v>13</v>
      </c>
      <c r="N58" s="64" t="s">
        <v>181</v>
      </c>
      <c r="O58" s="61" t="s">
        <v>181</v>
      </c>
      <c r="P58" s="141"/>
      <c r="Q58" s="131" t="s">
        <v>181</v>
      </c>
      <c r="R58" s="9" t="s">
        <v>221</v>
      </c>
      <c r="S58" s="12" t="s">
        <v>449</v>
      </c>
      <c r="T58" s="14">
        <v>1</v>
      </c>
      <c r="U58" s="14">
        <v>12</v>
      </c>
      <c r="V58" s="141" t="s">
        <v>347</v>
      </c>
      <c r="W58" s="141" t="s">
        <v>557</v>
      </c>
      <c r="X58" s="151" t="s">
        <v>388</v>
      </c>
      <c r="Y58" s="16">
        <v>6.5</v>
      </c>
      <c r="Z58" s="16">
        <v>8</v>
      </c>
      <c r="AA58" s="16">
        <v>9</v>
      </c>
      <c r="AB58" s="16">
        <v>8.5</v>
      </c>
      <c r="AC58" s="17">
        <f t="shared" si="5"/>
        <v>7.8337874659400546</v>
      </c>
      <c r="AD58" s="18">
        <f t="shared" si="6"/>
        <v>7.1485435136602131</v>
      </c>
      <c r="AE58" s="19">
        <f t="shared" si="7"/>
        <v>55</v>
      </c>
      <c r="AF58" s="65">
        <v>41650</v>
      </c>
      <c r="AG58" s="21">
        <f t="shared" si="8"/>
        <v>109</v>
      </c>
      <c r="AH58" s="109">
        <v>41733</v>
      </c>
      <c r="AI58" s="21">
        <f t="shared" si="9"/>
        <v>105</v>
      </c>
      <c r="AJ58" s="59" t="s">
        <v>497</v>
      </c>
      <c r="AK58" s="137"/>
      <c r="AL58" s="111" t="s">
        <v>221</v>
      </c>
      <c r="AM58" s="44" t="s">
        <v>557</v>
      </c>
      <c r="AN58" s="91">
        <f>COUNTIF(W:W,AM58) + COUNTIF(O:O,AM58)</f>
        <v>55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16"/>
      <c r="E59" s="216"/>
      <c r="F59" s="216"/>
      <c r="G59" s="216"/>
      <c r="H59" s="216"/>
      <c r="I59" s="217"/>
      <c r="J59" s="9"/>
      <c r="K59" s="12" t="s">
        <v>538</v>
      </c>
      <c r="L59" s="14" t="s">
        <v>318</v>
      </c>
      <c r="M59" s="14">
        <v>12</v>
      </c>
      <c r="N59" s="64" t="s">
        <v>181</v>
      </c>
      <c r="O59" s="61" t="s">
        <v>181</v>
      </c>
      <c r="P59" s="141"/>
      <c r="Q59" s="131" t="s">
        <v>181</v>
      </c>
      <c r="R59" s="9" t="s">
        <v>221</v>
      </c>
      <c r="S59" s="12" t="s">
        <v>235</v>
      </c>
      <c r="T59" s="14">
        <v>2</v>
      </c>
      <c r="U59" s="14">
        <v>12</v>
      </c>
      <c r="V59" s="61" t="s">
        <v>344</v>
      </c>
      <c r="W59" s="61" t="s">
        <v>558</v>
      </c>
      <c r="X59" s="73" t="s">
        <v>574</v>
      </c>
      <c r="Y59" s="16">
        <v>7</v>
      </c>
      <c r="Z59" s="16">
        <v>8</v>
      </c>
      <c r="AA59" s="16">
        <v>9.5</v>
      </c>
      <c r="AB59" s="16">
        <v>8</v>
      </c>
      <c r="AC59" s="17">
        <f t="shared" si="5"/>
        <v>7.8256130790190737</v>
      </c>
      <c r="AD59" s="18">
        <f t="shared" si="6"/>
        <v>7.1376877148543505</v>
      </c>
      <c r="AE59" s="19">
        <f t="shared" si="7"/>
        <v>56</v>
      </c>
      <c r="AF59" s="65">
        <v>41468</v>
      </c>
      <c r="AG59" s="21">
        <f t="shared" si="8"/>
        <v>73</v>
      </c>
      <c r="AH59" s="109">
        <v>41589</v>
      </c>
      <c r="AI59" s="21">
        <f t="shared" si="9"/>
        <v>83</v>
      </c>
      <c r="AJ59" s="139" t="s">
        <v>230</v>
      </c>
      <c r="AK59" s="137"/>
      <c r="AL59" s="111" t="s">
        <v>221</v>
      </c>
      <c r="AM59" s="44" t="s">
        <v>561</v>
      </c>
      <c r="AN59" s="91">
        <f>COUNTIF(W:W,AM59) + COUNTIF(O:O,AM59)</f>
        <v>9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16"/>
      <c r="E60" s="216"/>
      <c r="F60" s="216"/>
      <c r="G60" s="216"/>
      <c r="H60" s="216"/>
      <c r="I60" s="217"/>
      <c r="J60" s="9"/>
      <c r="K60" s="12" t="s">
        <v>437</v>
      </c>
      <c r="L60" s="14" t="s">
        <v>49</v>
      </c>
      <c r="M60" s="14">
        <v>13</v>
      </c>
      <c r="N60" s="64" t="s">
        <v>181</v>
      </c>
      <c r="O60" s="61" t="s">
        <v>181</v>
      </c>
      <c r="P60" s="141"/>
      <c r="Q60" s="131" t="s">
        <v>181</v>
      </c>
      <c r="R60" s="9" t="s">
        <v>221</v>
      </c>
      <c r="S60" s="12" t="s">
        <v>193</v>
      </c>
      <c r="T60" s="14">
        <v>1</v>
      </c>
      <c r="U60" s="14">
        <v>16</v>
      </c>
      <c r="V60" s="61" t="s">
        <v>344</v>
      </c>
      <c r="W60" s="61" t="s">
        <v>558</v>
      </c>
      <c r="X60" s="73" t="s">
        <v>389</v>
      </c>
      <c r="Y60" s="16">
        <v>8</v>
      </c>
      <c r="Z60" s="16">
        <v>8.5</v>
      </c>
      <c r="AA60" s="16">
        <v>5</v>
      </c>
      <c r="AB60" s="16">
        <v>8</v>
      </c>
      <c r="AC60" s="17">
        <f t="shared" si="5"/>
        <v>7.8079019073569489</v>
      </c>
      <c r="AD60" s="18">
        <f t="shared" si="6"/>
        <v>7.1141668174416512</v>
      </c>
      <c r="AE60" s="19">
        <f t="shared" si="7"/>
        <v>57</v>
      </c>
      <c r="AF60" s="65">
        <v>41360</v>
      </c>
      <c r="AG60" s="21">
        <f t="shared" si="8"/>
        <v>36</v>
      </c>
      <c r="AH60" s="109">
        <v>41363</v>
      </c>
      <c r="AI60" s="21">
        <f t="shared" si="9"/>
        <v>34</v>
      </c>
      <c r="AJ60" s="59" t="s">
        <v>273</v>
      </c>
      <c r="AK60" s="137" t="s">
        <v>199</v>
      </c>
      <c r="AL60" s="111" t="s">
        <v>221</v>
      </c>
      <c r="AM60" s="44" t="s">
        <v>559</v>
      </c>
      <c r="AN60" s="127">
        <f>COUNTIF(W:W,AM60) + COUNTIF(O:O,AM60)</f>
        <v>9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16"/>
      <c r="E61" s="216"/>
      <c r="F61" s="216"/>
      <c r="G61" s="216"/>
      <c r="H61" s="216"/>
      <c r="I61" s="217"/>
      <c r="J61" s="9"/>
      <c r="K61" s="12" t="s">
        <v>503</v>
      </c>
      <c r="L61" s="14" t="s">
        <v>49</v>
      </c>
      <c r="M61" s="58" t="s">
        <v>181</v>
      </c>
      <c r="N61" s="64" t="s">
        <v>181</v>
      </c>
      <c r="O61" s="61" t="s">
        <v>181</v>
      </c>
      <c r="P61" s="141"/>
      <c r="Q61" s="131" t="s">
        <v>181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558</v>
      </c>
      <c r="X61" s="73" t="s">
        <v>401</v>
      </c>
      <c r="Y61" s="16">
        <v>8.5</v>
      </c>
      <c r="Z61" s="16">
        <v>7.5</v>
      </c>
      <c r="AA61" s="16">
        <v>2.5</v>
      </c>
      <c r="AB61" s="16">
        <v>8.5</v>
      </c>
      <c r="AC61" s="17">
        <f t="shared" si="5"/>
        <v>7.7724795640326976</v>
      </c>
      <c r="AD61" s="18">
        <f t="shared" si="6"/>
        <v>7.0671250226162465</v>
      </c>
      <c r="AE61" s="19">
        <f t="shared" si="7"/>
        <v>58</v>
      </c>
      <c r="AF61" s="65">
        <v>41459</v>
      </c>
      <c r="AG61" s="21">
        <f t="shared" si="8"/>
        <v>64</v>
      </c>
      <c r="AH61" s="109">
        <v>41543</v>
      </c>
      <c r="AI61" s="21">
        <f t="shared" si="9"/>
        <v>77</v>
      </c>
      <c r="AJ61" s="59" t="s">
        <v>350</v>
      </c>
      <c r="AK61" s="137" t="s">
        <v>536</v>
      </c>
      <c r="AL61" s="111" t="s">
        <v>221</v>
      </c>
      <c r="AM61" s="89" t="s">
        <v>572</v>
      </c>
      <c r="AN61" s="88">
        <f>AN43-SUM(AN57:AN60)+COUNTIF(O:O, NOT(""))+COUNTA(O:O)-1</f>
        <v>12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16"/>
      <c r="E62" s="216"/>
      <c r="F62" s="216"/>
      <c r="G62" s="216"/>
      <c r="H62" s="216"/>
      <c r="I62" s="217"/>
      <c r="J62" s="9"/>
      <c r="K62" s="12" t="s">
        <v>500</v>
      </c>
      <c r="L62" s="14" t="s">
        <v>49</v>
      </c>
      <c r="M62" s="14">
        <v>12</v>
      </c>
      <c r="N62" s="64" t="s">
        <v>181</v>
      </c>
      <c r="O62" s="61" t="s">
        <v>181</v>
      </c>
      <c r="P62" s="141"/>
      <c r="Q62" s="131" t="s">
        <v>181</v>
      </c>
      <c r="R62" s="9" t="s">
        <v>221</v>
      </c>
      <c r="S62" s="12" t="s">
        <v>211</v>
      </c>
      <c r="T62" s="14">
        <v>1</v>
      </c>
      <c r="U62" s="14">
        <v>24</v>
      </c>
      <c r="V62" s="61" t="s">
        <v>344</v>
      </c>
      <c r="W62" s="61" t="s">
        <v>558</v>
      </c>
      <c r="X62" s="80" t="s">
        <v>388</v>
      </c>
      <c r="Y62" s="16">
        <v>4</v>
      </c>
      <c r="Z62" s="16">
        <v>9</v>
      </c>
      <c r="AA62" s="16">
        <v>10</v>
      </c>
      <c r="AB62" s="16">
        <v>9.5</v>
      </c>
      <c r="AC62" s="17">
        <f t="shared" si="5"/>
        <v>7.7370572207084471</v>
      </c>
      <c r="AD62" s="18">
        <f t="shared" si="6"/>
        <v>7.0200832277908463</v>
      </c>
      <c r="AE62" s="19">
        <f t="shared" si="7"/>
        <v>59</v>
      </c>
      <c r="AF62" s="65">
        <v>41300</v>
      </c>
      <c r="AG62" s="21">
        <f t="shared" si="8"/>
        <v>21</v>
      </c>
      <c r="AH62" s="109">
        <v>41302</v>
      </c>
      <c r="AI62" s="21">
        <f t="shared" si="9"/>
        <v>18</v>
      </c>
      <c r="AJ62" s="59" t="s">
        <v>285</v>
      </c>
      <c r="AK62" s="137" t="s">
        <v>109</v>
      </c>
      <c r="AL62" s="111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16"/>
      <c r="E63" s="216"/>
      <c r="F63" s="216"/>
      <c r="G63" s="216"/>
      <c r="H63" s="216"/>
      <c r="I63" s="217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41"/>
      <c r="Q63" s="131" t="s">
        <v>181</v>
      </c>
      <c r="R63" s="9" t="s">
        <v>221</v>
      </c>
      <c r="S63" s="12" t="s">
        <v>360</v>
      </c>
      <c r="T63" s="14">
        <v>1</v>
      </c>
      <c r="U63" s="14">
        <v>24</v>
      </c>
      <c r="V63" s="61" t="s">
        <v>344</v>
      </c>
      <c r="W63" s="61" t="s">
        <v>557</v>
      </c>
      <c r="X63" s="124" t="s">
        <v>370</v>
      </c>
      <c r="Y63" s="16">
        <v>8</v>
      </c>
      <c r="Z63" s="16">
        <v>8</v>
      </c>
      <c r="AA63" s="16">
        <v>5</v>
      </c>
      <c r="AB63" s="16">
        <v>8</v>
      </c>
      <c r="AC63" s="17">
        <f t="shared" si="5"/>
        <v>7.7220708446866473</v>
      </c>
      <c r="AD63" s="18">
        <f t="shared" si="6"/>
        <v>7.0001809299800959</v>
      </c>
      <c r="AE63" s="19">
        <f t="shared" si="7"/>
        <v>60</v>
      </c>
      <c r="AF63" s="65">
        <v>41555</v>
      </c>
      <c r="AG63" s="21">
        <f t="shared" si="8"/>
        <v>91</v>
      </c>
      <c r="AH63" s="109">
        <v>41748</v>
      </c>
      <c r="AI63" s="21">
        <f t="shared" si="9"/>
        <v>110</v>
      </c>
      <c r="AJ63" s="59" t="s">
        <v>519</v>
      </c>
      <c r="AK63" s="137"/>
      <c r="AL63" s="111" t="s">
        <v>221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16"/>
      <c r="E64" s="216"/>
      <c r="F64" s="216"/>
      <c r="G64" s="216"/>
      <c r="H64" s="216"/>
      <c r="I64" s="217"/>
      <c r="J64" s="9"/>
      <c r="K64" s="12" t="s">
        <v>89</v>
      </c>
      <c r="L64" s="14" t="s">
        <v>49</v>
      </c>
      <c r="M64" s="14">
        <v>24</v>
      </c>
      <c r="N64" s="64" t="s">
        <v>181</v>
      </c>
      <c r="O64" s="61" t="s">
        <v>181</v>
      </c>
      <c r="P64" s="141"/>
      <c r="Q64" s="131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558</v>
      </c>
      <c r="X64" s="73" t="s">
        <v>402</v>
      </c>
      <c r="Y64" s="16">
        <v>6</v>
      </c>
      <c r="Z64" s="16">
        <v>7</v>
      </c>
      <c r="AA64" s="16">
        <v>9</v>
      </c>
      <c r="AB64" s="16">
        <v>9</v>
      </c>
      <c r="AC64" s="17">
        <f t="shared" si="5"/>
        <v>7.7166212534059948</v>
      </c>
      <c r="AD64" s="18">
        <f t="shared" si="6"/>
        <v>6.992943730776191</v>
      </c>
      <c r="AE64" s="19">
        <f t="shared" si="7"/>
        <v>61</v>
      </c>
      <c r="AF64" s="65">
        <v>41337</v>
      </c>
      <c r="AG64" s="21">
        <f t="shared" si="8"/>
        <v>28</v>
      </c>
      <c r="AH64" s="109">
        <v>41338</v>
      </c>
      <c r="AI64" s="21">
        <f t="shared" si="9"/>
        <v>23</v>
      </c>
      <c r="AJ64" s="59" t="s">
        <v>231</v>
      </c>
      <c r="AK64" s="137" t="s">
        <v>198</v>
      </c>
      <c r="AL64" s="111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16"/>
      <c r="E65" s="216"/>
      <c r="F65" s="216"/>
      <c r="G65" s="216"/>
      <c r="H65" s="216"/>
      <c r="I65" s="217"/>
      <c r="J65" s="9"/>
      <c r="K65" s="12" t="s">
        <v>319</v>
      </c>
      <c r="L65" s="14" t="s">
        <v>305</v>
      </c>
      <c r="M65" s="14">
        <v>12</v>
      </c>
      <c r="N65" s="64" t="s">
        <v>181</v>
      </c>
      <c r="O65" s="61" t="s">
        <v>181</v>
      </c>
      <c r="P65" s="141"/>
      <c r="Q65" s="131" t="s">
        <v>181</v>
      </c>
      <c r="R65" s="9" t="s">
        <v>221</v>
      </c>
      <c r="S65" s="12" t="s">
        <v>97</v>
      </c>
      <c r="T65" s="14">
        <v>2</v>
      </c>
      <c r="U65" s="14">
        <v>13</v>
      </c>
      <c r="V65" s="61" t="s">
        <v>344</v>
      </c>
      <c r="W65" s="61" t="s">
        <v>558</v>
      </c>
      <c r="X65" s="81" t="s">
        <v>575</v>
      </c>
      <c r="Y65" s="16">
        <v>7</v>
      </c>
      <c r="Z65" s="16">
        <v>8</v>
      </c>
      <c r="AA65" s="16">
        <v>3.5</v>
      </c>
      <c r="AB65" s="16">
        <v>9</v>
      </c>
      <c r="AC65" s="17">
        <f t="shared" si="5"/>
        <v>7.692098092643052</v>
      </c>
      <c r="AD65" s="18">
        <f t="shared" si="6"/>
        <v>6.960376334358604</v>
      </c>
      <c r="AE65" s="19">
        <f t="shared" si="7"/>
        <v>62</v>
      </c>
      <c r="AF65" s="65">
        <v>41354</v>
      </c>
      <c r="AG65" s="21">
        <f t="shared" si="8"/>
        <v>32</v>
      </c>
      <c r="AH65" s="109">
        <v>41355</v>
      </c>
      <c r="AI65" s="21">
        <f t="shared" si="9"/>
        <v>29</v>
      </c>
      <c r="AJ65" s="139" t="s">
        <v>430</v>
      </c>
      <c r="AK65" s="137"/>
      <c r="AL65" s="111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16"/>
      <c r="E66" s="216"/>
      <c r="F66" s="216"/>
      <c r="G66" s="216"/>
      <c r="H66" s="216"/>
      <c r="I66" s="217"/>
      <c r="J66" s="9"/>
      <c r="K66" s="12"/>
      <c r="L66" s="14"/>
      <c r="M66" s="14"/>
      <c r="N66" s="61"/>
      <c r="O66" s="61"/>
      <c r="P66" s="141"/>
      <c r="Q66" s="123"/>
      <c r="R66" s="9" t="s">
        <v>221</v>
      </c>
      <c r="S66" s="12" t="s">
        <v>214</v>
      </c>
      <c r="T66" s="14">
        <v>1</v>
      </c>
      <c r="U66" s="14">
        <v>26</v>
      </c>
      <c r="V66" s="141" t="s">
        <v>344</v>
      </c>
      <c r="W66" s="141" t="s">
        <v>558</v>
      </c>
      <c r="X66" s="151" t="s">
        <v>389</v>
      </c>
      <c r="Y66" s="16">
        <v>6.5</v>
      </c>
      <c r="Z66" s="16">
        <v>8.5</v>
      </c>
      <c r="AA66" s="16">
        <v>6.5</v>
      </c>
      <c r="AB66" s="16">
        <v>8.5</v>
      </c>
      <c r="AC66" s="17">
        <f t="shared" si="5"/>
        <v>7.6880108991825615</v>
      </c>
      <c r="AD66" s="18">
        <f t="shared" si="6"/>
        <v>6.9549484349556732</v>
      </c>
      <c r="AE66" s="19">
        <f t="shared" si="7"/>
        <v>63</v>
      </c>
      <c r="AF66" s="65">
        <v>41394</v>
      </c>
      <c r="AG66" s="21">
        <f t="shared" si="8"/>
        <v>47</v>
      </c>
      <c r="AH66" s="109">
        <v>41397</v>
      </c>
      <c r="AI66" s="21">
        <f t="shared" si="9"/>
        <v>39</v>
      </c>
      <c r="AJ66" s="59" t="s">
        <v>274</v>
      </c>
      <c r="AK66" s="137" t="s">
        <v>82</v>
      </c>
      <c r="AL66" s="111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16"/>
      <c r="E67" s="216"/>
      <c r="F67" s="216"/>
      <c r="G67" s="216"/>
      <c r="H67" s="216"/>
      <c r="I67" s="217"/>
      <c r="J67" s="9"/>
      <c r="K67" s="12"/>
      <c r="L67" s="14"/>
      <c r="M67" s="14"/>
      <c r="N67" s="61"/>
      <c r="O67" s="61"/>
      <c r="P67" s="141"/>
      <c r="Q67" s="123"/>
      <c r="R67" s="9" t="s">
        <v>221</v>
      </c>
      <c r="S67" s="12" t="s">
        <v>90</v>
      </c>
      <c r="T67" s="14">
        <v>1</v>
      </c>
      <c r="U67" s="14">
        <v>13</v>
      </c>
      <c r="V67" s="61" t="s">
        <v>344</v>
      </c>
      <c r="W67" s="61" t="s">
        <v>558</v>
      </c>
      <c r="X67" s="81" t="s">
        <v>389</v>
      </c>
      <c r="Y67" s="16">
        <v>7</v>
      </c>
      <c r="Z67" s="16">
        <v>8</v>
      </c>
      <c r="AA67" s="16">
        <v>5.5</v>
      </c>
      <c r="AB67" s="16">
        <v>8.5</v>
      </c>
      <c r="AC67" s="17">
        <f t="shared" si="5"/>
        <v>7.6662125340599463</v>
      </c>
      <c r="AD67" s="18">
        <f t="shared" si="6"/>
        <v>6.9259996381400413</v>
      </c>
      <c r="AE67" s="19">
        <f t="shared" si="7"/>
        <v>64</v>
      </c>
      <c r="AF67" s="65">
        <v>41363</v>
      </c>
      <c r="AG67" s="21">
        <f t="shared" si="8"/>
        <v>37</v>
      </c>
      <c r="AH67" s="109">
        <v>41364</v>
      </c>
      <c r="AI67" s="21">
        <f t="shared" si="9"/>
        <v>35</v>
      </c>
      <c r="AJ67" s="59" t="s">
        <v>300</v>
      </c>
      <c r="AK67" s="137"/>
      <c r="AL67" s="111" t="s">
        <v>221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16"/>
      <c r="E68" s="216"/>
      <c r="F68" s="216"/>
      <c r="G68" s="216"/>
      <c r="H68" s="216"/>
      <c r="I68" s="217"/>
      <c r="J68" s="9"/>
      <c r="K68" s="12"/>
      <c r="L68" s="14"/>
      <c r="M68" s="14"/>
      <c r="N68" s="61"/>
      <c r="O68" s="61"/>
      <c r="P68" s="141"/>
      <c r="Q68" s="123"/>
      <c r="R68" s="9" t="s">
        <v>221</v>
      </c>
      <c r="S68" s="12" t="s">
        <v>453</v>
      </c>
      <c r="T68" s="14">
        <v>1</v>
      </c>
      <c r="U68" s="14">
        <v>10</v>
      </c>
      <c r="V68" s="61" t="s">
        <v>344</v>
      </c>
      <c r="W68" s="61" t="s">
        <v>557</v>
      </c>
      <c r="X68" s="82" t="s">
        <v>475</v>
      </c>
      <c r="Y68" s="16">
        <v>7.5</v>
      </c>
      <c r="Z68" s="16">
        <v>8</v>
      </c>
      <c r="AA68" s="16">
        <v>6</v>
      </c>
      <c r="AB68" s="16">
        <v>8</v>
      </c>
      <c r="AC68" s="17">
        <f t="shared" ref="AC68:AC99" si="10">(Y68*$AN$5+Z68*$AN$6+AA68*$AN$7+AB68*$AN$8)/$AN$13</f>
        <v>7.6580381471389636</v>
      </c>
      <c r="AD68" s="18">
        <f t="shared" ref="AD68:AD99" si="11">IF($AN$15="Y",10*(AC68-$AN$11)/$AN$12, 10*AC68/$AN$10)</f>
        <v>6.9151438393341769</v>
      </c>
      <c r="AE68" s="19">
        <f t="shared" ref="AE68:AE99" si="12">RANK(AD68,AD:AD,0)</f>
        <v>65</v>
      </c>
      <c r="AF68" s="65">
        <v>41661</v>
      </c>
      <c r="AG68" s="21">
        <f t="shared" ref="AG68:AG99" si="13">COUNTIF(AF:AF, "&lt;="&amp;AF68)</f>
        <v>110</v>
      </c>
      <c r="AH68" s="109">
        <v>41722</v>
      </c>
      <c r="AI68" s="21">
        <f t="shared" ref="AI68:AI99" si="14">COUNTIF(AH:AH, "&lt;="&amp;AH68)</f>
        <v>99</v>
      </c>
      <c r="AJ68" s="59" t="s">
        <v>487</v>
      </c>
      <c r="AK68" s="135"/>
      <c r="AL68" s="111" t="s">
        <v>221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16"/>
      <c r="E69" s="216"/>
      <c r="F69" s="216"/>
      <c r="G69" s="216"/>
      <c r="H69" s="216"/>
      <c r="I69" s="217"/>
      <c r="J69" s="9"/>
      <c r="K69" s="12"/>
      <c r="L69" s="14"/>
      <c r="M69" s="14"/>
      <c r="N69" s="61"/>
      <c r="O69" s="61"/>
      <c r="P69" s="141"/>
      <c r="Q69" s="123"/>
      <c r="R69" s="9" t="s">
        <v>221</v>
      </c>
      <c r="S69" s="12" t="s">
        <v>85</v>
      </c>
      <c r="T69" s="14">
        <v>1</v>
      </c>
      <c r="U69" s="14">
        <v>12</v>
      </c>
      <c r="V69" s="61" t="s">
        <v>344</v>
      </c>
      <c r="W69" s="61" t="s">
        <v>557</v>
      </c>
      <c r="X69" s="83" t="s">
        <v>392</v>
      </c>
      <c r="Y69" s="16">
        <v>8</v>
      </c>
      <c r="Z69" s="16">
        <v>7</v>
      </c>
      <c r="AA69" s="16">
        <v>6</v>
      </c>
      <c r="AB69" s="16">
        <v>8</v>
      </c>
      <c r="AC69" s="17">
        <f t="shared" si="10"/>
        <v>7.6430517711171655</v>
      </c>
      <c r="AD69" s="18">
        <f t="shared" si="11"/>
        <v>6.8952415415234292</v>
      </c>
      <c r="AE69" s="19">
        <f t="shared" si="12"/>
        <v>66</v>
      </c>
      <c r="AF69" s="65">
        <v>41251</v>
      </c>
      <c r="AG69" s="21">
        <f t="shared" si="13"/>
        <v>7</v>
      </c>
      <c r="AH69" s="109">
        <v>41263</v>
      </c>
      <c r="AI69" s="21">
        <f t="shared" si="14"/>
        <v>7</v>
      </c>
      <c r="AJ69" s="59" t="s">
        <v>289</v>
      </c>
      <c r="AK69" s="137"/>
      <c r="AL69" s="111" t="s">
        <v>221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16"/>
      <c r="E70" s="216"/>
      <c r="F70" s="216"/>
      <c r="G70" s="216"/>
      <c r="H70" s="216"/>
      <c r="I70" s="217"/>
      <c r="J70" s="9"/>
      <c r="K70" s="12"/>
      <c r="L70" s="14"/>
      <c r="M70" s="14"/>
      <c r="N70" s="61"/>
      <c r="O70" s="61"/>
      <c r="P70" s="141"/>
      <c r="Q70" s="123"/>
      <c r="R70" s="9" t="s">
        <v>221</v>
      </c>
      <c r="S70" s="12" t="s">
        <v>448</v>
      </c>
      <c r="T70" s="14">
        <v>2</v>
      </c>
      <c r="U70" s="14">
        <v>12</v>
      </c>
      <c r="V70" s="61" t="s">
        <v>344</v>
      </c>
      <c r="W70" s="61" t="s">
        <v>557</v>
      </c>
      <c r="X70" s="83" t="s">
        <v>413</v>
      </c>
      <c r="Y70" s="16">
        <v>8</v>
      </c>
      <c r="Z70" s="16">
        <v>8</v>
      </c>
      <c r="AA70" s="16">
        <v>6</v>
      </c>
      <c r="AB70" s="16">
        <v>7.5</v>
      </c>
      <c r="AC70" s="17">
        <f t="shared" si="10"/>
        <v>7.6035422343324246</v>
      </c>
      <c r="AD70" s="18">
        <f t="shared" si="11"/>
        <v>6.8427718472950962</v>
      </c>
      <c r="AE70" s="19">
        <f t="shared" si="12"/>
        <v>67</v>
      </c>
      <c r="AF70" s="65">
        <v>41648</v>
      </c>
      <c r="AG70" s="21">
        <f t="shared" si="13"/>
        <v>105</v>
      </c>
      <c r="AH70" s="109">
        <v>41730</v>
      </c>
      <c r="AI70" s="21">
        <f t="shared" si="14"/>
        <v>103</v>
      </c>
      <c r="AJ70" s="139" t="s">
        <v>492</v>
      </c>
      <c r="AK70" s="137"/>
      <c r="AL70" s="111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16"/>
      <c r="E71" s="216"/>
      <c r="F71" s="216"/>
      <c r="G71" s="216"/>
      <c r="H71" s="216"/>
      <c r="I71" s="217"/>
      <c r="J71" s="9"/>
      <c r="K71" s="12"/>
      <c r="L71" s="14"/>
      <c r="M71" s="14"/>
      <c r="N71" s="61"/>
      <c r="O71" s="61"/>
      <c r="P71" s="141"/>
      <c r="Q71" s="123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558</v>
      </c>
      <c r="X71" s="73" t="s">
        <v>389</v>
      </c>
      <c r="Y71" s="16">
        <v>7</v>
      </c>
      <c r="Z71" s="16">
        <v>8</v>
      </c>
      <c r="AA71" s="16">
        <v>7</v>
      </c>
      <c r="AB71" s="16">
        <v>8</v>
      </c>
      <c r="AC71" s="17">
        <f t="shared" si="10"/>
        <v>7.5940054495912808</v>
      </c>
      <c r="AD71" s="18">
        <f t="shared" si="11"/>
        <v>6.8301067486882578</v>
      </c>
      <c r="AE71" s="19">
        <f t="shared" si="12"/>
        <v>68</v>
      </c>
      <c r="AF71" s="65">
        <v>41457</v>
      </c>
      <c r="AG71" s="21">
        <f t="shared" si="13"/>
        <v>63</v>
      </c>
      <c r="AH71" s="109">
        <v>41463</v>
      </c>
      <c r="AI71" s="21">
        <f t="shared" si="14"/>
        <v>59</v>
      </c>
      <c r="AJ71" s="59" t="s">
        <v>229</v>
      </c>
      <c r="AK71" s="137"/>
      <c r="AL71" s="111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16"/>
      <c r="E72" s="216"/>
      <c r="F72" s="216"/>
      <c r="G72" s="216"/>
      <c r="H72" s="216"/>
      <c r="I72" s="217"/>
      <c r="J72" s="9"/>
      <c r="K72" s="12"/>
      <c r="L72" s="14"/>
      <c r="M72" s="14"/>
      <c r="N72" s="61"/>
      <c r="O72" s="61"/>
      <c r="P72" s="141"/>
      <c r="Q72" s="123"/>
      <c r="R72" s="9" t="s">
        <v>221</v>
      </c>
      <c r="S72" s="12" t="s">
        <v>451</v>
      </c>
      <c r="T72" s="14">
        <v>1</v>
      </c>
      <c r="U72" s="14">
        <v>12</v>
      </c>
      <c r="V72" s="61" t="s">
        <v>347</v>
      </c>
      <c r="W72" s="61" t="s">
        <v>557</v>
      </c>
      <c r="X72" s="73" t="s">
        <v>475</v>
      </c>
      <c r="Y72" s="16">
        <v>7.5</v>
      </c>
      <c r="Z72" s="16">
        <v>8</v>
      </c>
      <c r="AA72" s="16">
        <v>5</v>
      </c>
      <c r="AB72" s="16">
        <v>8</v>
      </c>
      <c r="AC72" s="17">
        <f t="shared" si="10"/>
        <v>7.5653950953678475</v>
      </c>
      <c r="AD72" s="18">
        <f t="shared" si="11"/>
        <v>6.7921114528677409</v>
      </c>
      <c r="AE72" s="19">
        <f t="shared" si="12"/>
        <v>69</v>
      </c>
      <c r="AF72" s="65">
        <v>41648</v>
      </c>
      <c r="AG72" s="21">
        <f t="shared" si="13"/>
        <v>105</v>
      </c>
      <c r="AH72" s="147">
        <v>41746</v>
      </c>
      <c r="AI72" s="21">
        <f t="shared" si="14"/>
        <v>109</v>
      </c>
      <c r="AJ72" s="59" t="s">
        <v>516</v>
      </c>
      <c r="AK72" s="137"/>
      <c r="AL72" s="111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16"/>
      <c r="E73" s="216"/>
      <c r="F73" s="216"/>
      <c r="G73" s="216"/>
      <c r="H73" s="216"/>
      <c r="I73" s="217"/>
      <c r="J73" s="9"/>
      <c r="K73" s="12"/>
      <c r="L73" s="14"/>
      <c r="M73" s="14"/>
      <c r="N73" s="61"/>
      <c r="O73" s="61"/>
      <c r="P73" s="141"/>
      <c r="Q73" s="123"/>
      <c r="R73" s="9" t="s">
        <v>221</v>
      </c>
      <c r="S73" s="12" t="s">
        <v>238</v>
      </c>
      <c r="T73" s="14">
        <v>1</v>
      </c>
      <c r="U73" s="14">
        <v>13</v>
      </c>
      <c r="V73" s="61" t="s">
        <v>344</v>
      </c>
      <c r="W73" s="61" t="s">
        <v>557</v>
      </c>
      <c r="X73" s="73" t="s">
        <v>370</v>
      </c>
      <c r="Y73" s="16">
        <v>8</v>
      </c>
      <c r="Z73" s="16">
        <v>8</v>
      </c>
      <c r="AA73" s="16">
        <v>5.5</v>
      </c>
      <c r="AB73" s="16">
        <v>7.5</v>
      </c>
      <c r="AC73" s="17">
        <f t="shared" si="10"/>
        <v>7.5572207084468666</v>
      </c>
      <c r="AD73" s="18">
        <f t="shared" si="11"/>
        <v>6.7812556540618791</v>
      </c>
      <c r="AE73" s="19">
        <f t="shared" si="12"/>
        <v>70</v>
      </c>
      <c r="AF73" s="65">
        <v>41461</v>
      </c>
      <c r="AG73" s="21">
        <f t="shared" si="13"/>
        <v>67</v>
      </c>
      <c r="AH73" s="109">
        <v>41546</v>
      </c>
      <c r="AI73" s="21">
        <f t="shared" si="14"/>
        <v>80</v>
      </c>
      <c r="AJ73" s="59" t="s">
        <v>429</v>
      </c>
      <c r="AK73" s="137"/>
      <c r="AL73" s="111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16"/>
      <c r="E74" s="216"/>
      <c r="F74" s="216"/>
      <c r="G74" s="216"/>
      <c r="H74" s="216"/>
      <c r="I74" s="217"/>
      <c r="J74" s="9"/>
      <c r="K74" s="12"/>
      <c r="L74" s="14"/>
      <c r="M74" s="14"/>
      <c r="N74" s="61"/>
      <c r="O74" s="61"/>
      <c r="P74" s="141"/>
      <c r="Q74" s="123"/>
      <c r="R74" s="9" t="s">
        <v>221</v>
      </c>
      <c r="S74" s="12" t="s">
        <v>361</v>
      </c>
      <c r="T74" s="14">
        <v>1</v>
      </c>
      <c r="U74" s="14">
        <v>13</v>
      </c>
      <c r="V74" s="61" t="s">
        <v>344</v>
      </c>
      <c r="W74" s="61" t="s">
        <v>559</v>
      </c>
      <c r="X74" s="73" t="s">
        <v>391</v>
      </c>
      <c r="Y74" s="16">
        <v>8.5</v>
      </c>
      <c r="Z74" s="16">
        <v>7.5</v>
      </c>
      <c r="AA74" s="16">
        <v>2</v>
      </c>
      <c r="AB74" s="16">
        <v>8</v>
      </c>
      <c r="AC74" s="17">
        <f t="shared" si="10"/>
        <v>7.5149863760217981</v>
      </c>
      <c r="AD74" s="18">
        <f t="shared" si="11"/>
        <v>6.7251673602315893</v>
      </c>
      <c r="AE74" s="19">
        <f t="shared" si="12"/>
        <v>71</v>
      </c>
      <c r="AF74" s="65">
        <v>41555</v>
      </c>
      <c r="AG74" s="21">
        <f t="shared" si="13"/>
        <v>91</v>
      </c>
      <c r="AH74" s="109">
        <v>41634</v>
      </c>
      <c r="AI74" s="21">
        <f t="shared" si="14"/>
        <v>90</v>
      </c>
      <c r="AJ74" s="139" t="s">
        <v>441</v>
      </c>
      <c r="AK74" s="137" t="s">
        <v>442</v>
      </c>
      <c r="AL74" s="111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16"/>
      <c r="E75" s="216"/>
      <c r="F75" s="216"/>
      <c r="G75" s="216"/>
      <c r="H75" s="216"/>
      <c r="I75" s="217"/>
      <c r="J75" s="9"/>
      <c r="K75" s="12"/>
      <c r="L75" s="14"/>
      <c r="M75" s="14"/>
      <c r="N75" s="61"/>
      <c r="O75" s="61"/>
      <c r="P75" s="141"/>
      <c r="Q75" s="123"/>
      <c r="R75" s="9" t="s">
        <v>221</v>
      </c>
      <c r="S75" s="12" t="s">
        <v>102</v>
      </c>
      <c r="T75" s="14">
        <v>1</v>
      </c>
      <c r="U75" s="14">
        <v>13</v>
      </c>
      <c r="V75" s="61" t="s">
        <v>344</v>
      </c>
      <c r="W75" s="61" t="s">
        <v>558</v>
      </c>
      <c r="X75" s="73" t="s">
        <v>397</v>
      </c>
      <c r="Y75" s="16">
        <v>6.5</v>
      </c>
      <c r="Z75" s="16">
        <v>7.5</v>
      </c>
      <c r="AA75" s="16">
        <v>4</v>
      </c>
      <c r="AB75" s="16">
        <v>9</v>
      </c>
      <c r="AC75" s="17">
        <f t="shared" si="10"/>
        <v>7.4959128065395095</v>
      </c>
      <c r="AD75" s="18">
        <f t="shared" si="11"/>
        <v>6.6998371630179125</v>
      </c>
      <c r="AE75" s="19">
        <f t="shared" si="12"/>
        <v>72</v>
      </c>
      <c r="AF75" s="65">
        <v>41347</v>
      </c>
      <c r="AG75" s="21">
        <f t="shared" si="13"/>
        <v>31</v>
      </c>
      <c r="AH75" s="109">
        <v>41354</v>
      </c>
      <c r="AI75" s="21">
        <f t="shared" si="14"/>
        <v>28</v>
      </c>
      <c r="AJ75" s="148" t="s">
        <v>430</v>
      </c>
      <c r="AK75" s="137"/>
      <c r="AL75" s="111" t="s">
        <v>221</v>
      </c>
      <c r="AM75" s="8"/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16"/>
      <c r="E76" s="216"/>
      <c r="F76" s="216"/>
      <c r="G76" s="216"/>
      <c r="H76" s="216"/>
      <c r="I76" s="217"/>
      <c r="J76" s="9"/>
      <c r="K76" s="12"/>
      <c r="L76" s="14"/>
      <c r="M76" s="14"/>
      <c r="N76" s="61"/>
      <c r="O76" s="61"/>
      <c r="P76" s="141"/>
      <c r="Q76" s="123"/>
      <c r="R76" s="9" t="s">
        <v>221</v>
      </c>
      <c r="S76" s="12" t="s">
        <v>165</v>
      </c>
      <c r="T76" s="14">
        <v>1</v>
      </c>
      <c r="U76" s="14">
        <v>12</v>
      </c>
      <c r="V76" s="61" t="s">
        <v>344</v>
      </c>
      <c r="W76" s="61" t="s">
        <v>557</v>
      </c>
      <c r="X76" s="84" t="s">
        <v>391</v>
      </c>
      <c r="Y76" s="16">
        <v>7</v>
      </c>
      <c r="Z76" s="16">
        <v>7.5</v>
      </c>
      <c r="AA76" s="16">
        <v>6.5</v>
      </c>
      <c r="AB76" s="16">
        <v>8</v>
      </c>
      <c r="AC76" s="17">
        <f t="shared" si="10"/>
        <v>7.461852861035422</v>
      </c>
      <c r="AD76" s="18">
        <f t="shared" si="11"/>
        <v>6.6546046679934854</v>
      </c>
      <c r="AE76" s="19">
        <f t="shared" si="12"/>
        <v>73</v>
      </c>
      <c r="AF76" s="65">
        <v>41430</v>
      </c>
      <c r="AG76" s="21">
        <f t="shared" si="13"/>
        <v>53</v>
      </c>
      <c r="AH76" s="109">
        <v>41431</v>
      </c>
      <c r="AI76" s="21">
        <f t="shared" si="14"/>
        <v>44</v>
      </c>
      <c r="AJ76" s="140" t="s">
        <v>431</v>
      </c>
      <c r="AK76" s="137" t="s">
        <v>166</v>
      </c>
      <c r="AL76" s="111" t="s">
        <v>221</v>
      </c>
      <c r="AM76" s="8"/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16"/>
      <c r="E77" s="216"/>
      <c r="F77" s="216"/>
      <c r="G77" s="216"/>
      <c r="H77" s="216"/>
      <c r="I77" s="217"/>
      <c r="J77" s="9"/>
      <c r="K77" s="12"/>
      <c r="L77" s="14"/>
      <c r="M77" s="14"/>
      <c r="N77" s="61"/>
      <c r="O77" s="61"/>
      <c r="P77" s="141"/>
      <c r="Q77" s="123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5" t="s">
        <v>394</v>
      </c>
      <c r="Y77" s="16">
        <v>8</v>
      </c>
      <c r="Z77" s="16">
        <v>7.5</v>
      </c>
      <c r="AA77" s="16">
        <v>5</v>
      </c>
      <c r="AB77" s="16">
        <v>7.5</v>
      </c>
      <c r="AC77" s="17">
        <f t="shared" si="10"/>
        <v>7.4250681198910087</v>
      </c>
      <c r="AD77" s="18">
        <f t="shared" si="11"/>
        <v>6.6057535733671084</v>
      </c>
      <c r="AE77" s="19">
        <f t="shared" si="12"/>
        <v>74</v>
      </c>
      <c r="AF77" s="143">
        <v>41453</v>
      </c>
      <c r="AG77" s="21">
        <f t="shared" si="13"/>
        <v>61</v>
      </c>
      <c r="AH77" s="109">
        <v>41457</v>
      </c>
      <c r="AI77" s="21">
        <f t="shared" si="14"/>
        <v>58</v>
      </c>
      <c r="AJ77" s="59" t="s">
        <v>288</v>
      </c>
      <c r="AK77" s="137" t="s">
        <v>207</v>
      </c>
      <c r="AL77" s="111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16"/>
      <c r="E78" s="216"/>
      <c r="F78" s="216"/>
      <c r="G78" s="216"/>
      <c r="H78" s="216"/>
      <c r="I78" s="217"/>
      <c r="J78" s="9"/>
      <c r="K78" s="12"/>
      <c r="L78" s="14"/>
      <c r="M78" s="14"/>
      <c r="N78" s="61"/>
      <c r="O78" s="61"/>
      <c r="P78" s="141"/>
      <c r="Q78" s="123"/>
      <c r="R78" s="9" t="s">
        <v>221</v>
      </c>
      <c r="S78" s="12" t="s">
        <v>468</v>
      </c>
      <c r="T78" s="14">
        <v>1</v>
      </c>
      <c r="U78" s="14">
        <v>21</v>
      </c>
      <c r="V78" s="61" t="s">
        <v>347</v>
      </c>
      <c r="W78" s="61" t="s">
        <v>557</v>
      </c>
      <c r="X78" s="86" t="s">
        <v>475</v>
      </c>
      <c r="Y78" s="16">
        <v>5</v>
      </c>
      <c r="Z78" s="16">
        <v>9</v>
      </c>
      <c r="AA78" s="16">
        <v>5</v>
      </c>
      <c r="AB78" s="16">
        <v>9</v>
      </c>
      <c r="AC78" s="17">
        <f t="shared" si="10"/>
        <v>7.3760217983651231</v>
      </c>
      <c r="AD78" s="18">
        <f t="shared" si="11"/>
        <v>6.5406187805319354</v>
      </c>
      <c r="AE78" s="19">
        <f t="shared" si="12"/>
        <v>75</v>
      </c>
      <c r="AF78" s="147">
        <v>41648</v>
      </c>
      <c r="AG78" s="21">
        <f t="shared" si="13"/>
        <v>105</v>
      </c>
      <c r="AH78" s="109">
        <v>41785</v>
      </c>
      <c r="AI78" s="21">
        <f t="shared" si="14"/>
        <v>113</v>
      </c>
      <c r="AJ78" s="59" t="s">
        <v>544</v>
      </c>
      <c r="AK78" s="137"/>
      <c r="AL78" s="111" t="s">
        <v>221</v>
      </c>
      <c r="AM78" s="8"/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16"/>
      <c r="E79" s="216"/>
      <c r="F79" s="216"/>
      <c r="G79" s="216"/>
      <c r="H79" s="216"/>
      <c r="I79" s="217"/>
      <c r="J79" s="9"/>
      <c r="K79" s="12"/>
      <c r="L79" s="14"/>
      <c r="M79" s="14"/>
      <c r="N79" s="61"/>
      <c r="O79" s="61"/>
      <c r="P79" s="141"/>
      <c r="Q79" s="123"/>
      <c r="R79" s="9" t="s">
        <v>221</v>
      </c>
      <c r="S79" s="12" t="s">
        <v>403</v>
      </c>
      <c r="T79" s="14">
        <v>1</v>
      </c>
      <c r="U79" s="14">
        <v>8</v>
      </c>
      <c r="V79" s="61" t="s">
        <v>344</v>
      </c>
      <c r="W79" s="61" t="s">
        <v>558</v>
      </c>
      <c r="X79" s="87" t="s">
        <v>390</v>
      </c>
      <c r="Y79" s="16">
        <v>7.5</v>
      </c>
      <c r="Z79" s="16">
        <v>7.5</v>
      </c>
      <c r="AA79" s="16">
        <v>3.5</v>
      </c>
      <c r="AB79" s="16">
        <v>8</v>
      </c>
      <c r="AC79" s="17">
        <f t="shared" si="10"/>
        <v>7.3405994550408717</v>
      </c>
      <c r="AD79" s="18">
        <f t="shared" si="11"/>
        <v>6.4935769857065324</v>
      </c>
      <c r="AE79" s="19">
        <f t="shared" si="12"/>
        <v>76</v>
      </c>
      <c r="AF79" s="65">
        <v>41541</v>
      </c>
      <c r="AG79" s="21">
        <f t="shared" si="13"/>
        <v>83</v>
      </c>
      <c r="AH79" s="109">
        <v>41541</v>
      </c>
      <c r="AI79" s="21">
        <f t="shared" si="14"/>
        <v>73</v>
      </c>
      <c r="AJ79" s="59" t="s">
        <v>349</v>
      </c>
      <c r="AK79" s="137"/>
      <c r="AL79" s="111" t="s">
        <v>221</v>
      </c>
      <c r="AM79" s="8"/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16"/>
      <c r="E80" s="216"/>
      <c r="F80" s="216"/>
      <c r="G80" s="216"/>
      <c r="H80" s="216"/>
      <c r="I80" s="217"/>
      <c r="J80" s="9"/>
      <c r="K80" s="12"/>
      <c r="L80" s="14"/>
      <c r="M80" s="14"/>
      <c r="N80" s="61"/>
      <c r="O80" s="61"/>
      <c r="P80" s="141"/>
      <c r="Q80" s="123"/>
      <c r="R80" s="9" t="s">
        <v>221</v>
      </c>
      <c r="S80" s="12" t="s">
        <v>327</v>
      </c>
      <c r="T80" s="14">
        <v>1</v>
      </c>
      <c r="U80" s="14">
        <v>13</v>
      </c>
      <c r="V80" s="61" t="s">
        <v>344</v>
      </c>
      <c r="W80" s="61" t="s">
        <v>561</v>
      </c>
      <c r="X80" s="94" t="s">
        <v>411</v>
      </c>
      <c r="Y80" s="16">
        <v>7</v>
      </c>
      <c r="Z80" s="16">
        <v>7</v>
      </c>
      <c r="AA80" s="16">
        <v>7.5</v>
      </c>
      <c r="AB80" s="16">
        <v>7.5</v>
      </c>
      <c r="AC80" s="17">
        <f t="shared" si="10"/>
        <v>7.2574931880108986</v>
      </c>
      <c r="AD80" s="18">
        <f t="shared" si="11"/>
        <v>6.3832096978469322</v>
      </c>
      <c r="AE80" s="19">
        <f t="shared" si="12"/>
        <v>77</v>
      </c>
      <c r="AF80" s="65">
        <v>41496</v>
      </c>
      <c r="AG80" s="21">
        <f t="shared" si="13"/>
        <v>80</v>
      </c>
      <c r="AH80" s="109">
        <v>41512</v>
      </c>
      <c r="AI80" s="21">
        <f t="shared" si="14"/>
        <v>69</v>
      </c>
      <c r="AJ80" s="59" t="s">
        <v>328</v>
      </c>
      <c r="AK80" s="137" t="s">
        <v>548</v>
      </c>
      <c r="AL80" s="111" t="s">
        <v>221</v>
      </c>
      <c r="AM80" s="8"/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16"/>
      <c r="E81" s="216"/>
      <c r="F81" s="216"/>
      <c r="G81" s="216"/>
      <c r="H81" s="216"/>
      <c r="I81" s="217"/>
      <c r="J81" s="9"/>
      <c r="K81" s="12"/>
      <c r="L81" s="14"/>
      <c r="M81" s="14"/>
      <c r="N81" s="61"/>
      <c r="O81" s="61"/>
      <c r="P81" s="141"/>
      <c r="Q81" s="123"/>
      <c r="R81" s="9" t="s">
        <v>221</v>
      </c>
      <c r="S81" s="12" t="s">
        <v>236</v>
      </c>
      <c r="T81" s="14">
        <v>1</v>
      </c>
      <c r="U81" s="14">
        <v>12</v>
      </c>
      <c r="V81" s="61" t="s">
        <v>344</v>
      </c>
      <c r="W81" s="61" t="s">
        <v>559</v>
      </c>
      <c r="X81" s="73" t="s">
        <v>391</v>
      </c>
      <c r="Y81" s="16">
        <v>7</v>
      </c>
      <c r="Z81" s="16">
        <v>7.5</v>
      </c>
      <c r="AA81" s="16">
        <v>3.5</v>
      </c>
      <c r="AB81" s="16">
        <v>8</v>
      </c>
      <c r="AC81" s="17">
        <f t="shared" si="10"/>
        <v>7.1839237057220702</v>
      </c>
      <c r="AD81" s="18">
        <f t="shared" si="11"/>
        <v>6.285507508594173</v>
      </c>
      <c r="AE81" s="19">
        <f t="shared" si="12"/>
        <v>78</v>
      </c>
      <c r="AF81" s="65">
        <v>41465</v>
      </c>
      <c r="AG81" s="21">
        <f t="shared" si="13"/>
        <v>71</v>
      </c>
      <c r="AH81" s="109">
        <v>41543</v>
      </c>
      <c r="AI81" s="21">
        <f t="shared" si="14"/>
        <v>77</v>
      </c>
      <c r="AJ81" s="59" t="s">
        <v>352</v>
      </c>
      <c r="AK81" s="137" t="s">
        <v>351</v>
      </c>
      <c r="AL81" s="111" t="s">
        <v>221</v>
      </c>
      <c r="AM81" s="8"/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16"/>
      <c r="E82" s="216"/>
      <c r="F82" s="216"/>
      <c r="G82" s="216"/>
      <c r="H82" s="216"/>
      <c r="I82" s="217"/>
      <c r="J82" s="9"/>
      <c r="K82" s="12"/>
      <c r="L82" s="14"/>
      <c r="M82" s="14"/>
      <c r="N82" s="61"/>
      <c r="O82" s="61"/>
      <c r="P82" s="141"/>
      <c r="Q82" s="123"/>
      <c r="R82" s="9" t="s">
        <v>221</v>
      </c>
      <c r="S82" s="12" t="s">
        <v>398</v>
      </c>
      <c r="T82" s="14">
        <v>1</v>
      </c>
      <c r="U82" s="14">
        <v>28</v>
      </c>
      <c r="V82" s="61" t="s">
        <v>344</v>
      </c>
      <c r="W82" s="61" t="s">
        <v>558</v>
      </c>
      <c r="X82" s="73" t="s">
        <v>397</v>
      </c>
      <c r="Y82" s="16">
        <v>7.5</v>
      </c>
      <c r="Z82" s="16">
        <v>7.5</v>
      </c>
      <c r="AA82" s="16">
        <v>4</v>
      </c>
      <c r="AB82" s="16">
        <v>7.5</v>
      </c>
      <c r="AC82" s="17">
        <f t="shared" si="10"/>
        <v>7.1757493188010901</v>
      </c>
      <c r="AD82" s="18">
        <f t="shared" si="11"/>
        <v>6.2746517097883121</v>
      </c>
      <c r="AE82" s="19">
        <f t="shared" si="12"/>
        <v>79</v>
      </c>
      <c r="AF82" s="65">
        <v>41330</v>
      </c>
      <c r="AG82" s="21">
        <f t="shared" si="13"/>
        <v>27</v>
      </c>
      <c r="AH82" s="109">
        <v>41346</v>
      </c>
      <c r="AI82" s="21">
        <f t="shared" si="14"/>
        <v>25</v>
      </c>
      <c r="AJ82" s="59" t="s">
        <v>275</v>
      </c>
      <c r="AK82" s="137" t="s">
        <v>100</v>
      </c>
      <c r="AL82" s="111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16"/>
      <c r="E83" s="216"/>
      <c r="F83" s="216"/>
      <c r="G83" s="216"/>
      <c r="H83" s="216"/>
      <c r="I83" s="217"/>
      <c r="J83" s="9"/>
      <c r="K83" s="12"/>
      <c r="L83" s="14"/>
      <c r="M83" s="14"/>
      <c r="N83" s="61"/>
      <c r="O83" s="61"/>
      <c r="P83" s="141"/>
      <c r="Q83" s="123"/>
      <c r="R83" s="9" t="s">
        <v>221</v>
      </c>
      <c r="S83" s="12" t="s">
        <v>197</v>
      </c>
      <c r="T83" s="14">
        <v>1</v>
      </c>
      <c r="U83" s="14">
        <v>12</v>
      </c>
      <c r="V83" s="61" t="s">
        <v>344</v>
      </c>
      <c r="W83" s="61" t="s">
        <v>557</v>
      </c>
      <c r="X83" s="94" t="s">
        <v>391</v>
      </c>
      <c r="Y83" s="16">
        <v>6.5</v>
      </c>
      <c r="Z83" s="16">
        <v>7.5</v>
      </c>
      <c r="AA83" s="16">
        <v>5</v>
      </c>
      <c r="AB83" s="16">
        <v>8</v>
      </c>
      <c r="AC83" s="17">
        <f t="shared" si="10"/>
        <v>7.1662125340599445</v>
      </c>
      <c r="AD83" s="18">
        <f t="shared" si="11"/>
        <v>6.2619866111814719</v>
      </c>
      <c r="AE83" s="19">
        <f t="shared" si="12"/>
        <v>80</v>
      </c>
      <c r="AF83" s="65">
        <v>41456</v>
      </c>
      <c r="AG83" s="21">
        <f t="shared" si="13"/>
        <v>62</v>
      </c>
      <c r="AH83" s="109">
        <v>41535</v>
      </c>
      <c r="AI83" s="21">
        <f t="shared" si="14"/>
        <v>71</v>
      </c>
      <c r="AJ83" s="59" t="s">
        <v>336</v>
      </c>
      <c r="AK83" s="137"/>
      <c r="AL83" s="111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16"/>
      <c r="E84" s="216"/>
      <c r="F84" s="216"/>
      <c r="G84" s="216"/>
      <c r="H84" s="216"/>
      <c r="I84" s="217"/>
      <c r="J84" s="9"/>
      <c r="K84" s="12"/>
      <c r="L84" s="14"/>
      <c r="M84" s="14"/>
      <c r="N84" s="61"/>
      <c r="O84" s="61"/>
      <c r="P84" s="141"/>
      <c r="Q84" s="74"/>
      <c r="R84" s="9" t="s">
        <v>221</v>
      </c>
      <c r="S84" s="12" t="s">
        <v>234</v>
      </c>
      <c r="T84" s="14">
        <v>1</v>
      </c>
      <c r="U84" s="14">
        <v>12</v>
      </c>
      <c r="V84" s="61" t="s">
        <v>344</v>
      </c>
      <c r="W84" s="61" t="s">
        <v>558</v>
      </c>
      <c r="X84" s="95" t="s">
        <v>388</v>
      </c>
      <c r="Y84" s="16">
        <v>3.5</v>
      </c>
      <c r="Z84" s="16">
        <v>8</v>
      </c>
      <c r="AA84" s="16">
        <v>9.5</v>
      </c>
      <c r="AB84" s="16">
        <v>9</v>
      </c>
      <c r="AC84" s="17">
        <f t="shared" si="10"/>
        <v>7.1512261580381473</v>
      </c>
      <c r="AD84" s="18">
        <f t="shared" si="11"/>
        <v>6.2420843133707269</v>
      </c>
      <c r="AE84" s="19">
        <f t="shared" si="12"/>
        <v>81</v>
      </c>
      <c r="AF84" s="65">
        <v>41462</v>
      </c>
      <c r="AG84" s="21">
        <f t="shared" si="13"/>
        <v>68</v>
      </c>
      <c r="AH84" s="109">
        <v>41538</v>
      </c>
      <c r="AI84" s="21">
        <f t="shared" si="14"/>
        <v>72</v>
      </c>
      <c r="AJ84" s="59" t="s">
        <v>338</v>
      </c>
      <c r="AK84" s="137"/>
      <c r="AL84" s="111" t="s">
        <v>221</v>
      </c>
      <c r="AM84" s="8"/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16"/>
      <c r="E85" s="216"/>
      <c r="F85" s="216"/>
      <c r="G85" s="216"/>
      <c r="H85" s="216"/>
      <c r="I85" s="217"/>
      <c r="J85" s="9"/>
      <c r="K85" s="12"/>
      <c r="L85" s="14"/>
      <c r="M85" s="14"/>
      <c r="N85" s="61"/>
      <c r="O85" s="61"/>
      <c r="P85" s="141"/>
      <c r="Q85" s="74"/>
      <c r="R85" s="9" t="s">
        <v>221</v>
      </c>
      <c r="S85" s="12" t="s">
        <v>472</v>
      </c>
      <c r="T85" s="14">
        <v>1</v>
      </c>
      <c r="U85" s="14">
        <v>12</v>
      </c>
      <c r="V85" s="61" t="s">
        <v>344</v>
      </c>
      <c r="W85" s="61" t="s">
        <v>557</v>
      </c>
      <c r="X85" s="95" t="s">
        <v>370</v>
      </c>
      <c r="Y85" s="16">
        <v>7.5</v>
      </c>
      <c r="Z85" s="16">
        <v>7.5</v>
      </c>
      <c r="AA85" s="16">
        <v>3.5</v>
      </c>
      <c r="AB85" s="16">
        <v>7.5</v>
      </c>
      <c r="AC85" s="17">
        <f t="shared" si="10"/>
        <v>7.1294277929155312</v>
      </c>
      <c r="AD85" s="18">
        <f t="shared" si="11"/>
        <v>6.2131355165550914</v>
      </c>
      <c r="AE85" s="19">
        <f t="shared" si="12"/>
        <v>82</v>
      </c>
      <c r="AF85" s="65">
        <v>41650</v>
      </c>
      <c r="AG85" s="21">
        <f t="shared" si="13"/>
        <v>109</v>
      </c>
      <c r="AH85" s="109">
        <v>41749</v>
      </c>
      <c r="AI85" s="21">
        <f t="shared" si="14"/>
        <v>111</v>
      </c>
      <c r="AJ85" s="59" t="s">
        <v>524</v>
      </c>
      <c r="AK85" s="137"/>
      <c r="AL85" s="111" t="s">
        <v>221</v>
      </c>
      <c r="AM85" s="8"/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16"/>
      <c r="E86" s="216"/>
      <c r="F86" s="216"/>
      <c r="G86" s="216"/>
      <c r="H86" s="216"/>
      <c r="I86" s="217"/>
      <c r="J86" s="9"/>
      <c r="K86" s="12"/>
      <c r="L86" s="14"/>
      <c r="M86" s="14"/>
      <c r="N86" s="61"/>
      <c r="O86" s="61"/>
      <c r="P86" s="141"/>
      <c r="Q86" s="74"/>
      <c r="R86" s="9" t="s">
        <v>221</v>
      </c>
      <c r="S86" s="12" t="s">
        <v>104</v>
      </c>
      <c r="T86" s="14">
        <v>2</v>
      </c>
      <c r="U86" s="14">
        <v>11</v>
      </c>
      <c r="V86" s="61" t="s">
        <v>344</v>
      </c>
      <c r="W86" s="61" t="s">
        <v>558</v>
      </c>
      <c r="X86" s="96" t="s">
        <v>389</v>
      </c>
      <c r="Y86" s="16">
        <v>7</v>
      </c>
      <c r="Z86" s="16">
        <v>7.5</v>
      </c>
      <c r="AA86" s="16">
        <v>4.5</v>
      </c>
      <c r="AB86" s="16">
        <v>7.5</v>
      </c>
      <c r="AC86" s="17">
        <f t="shared" si="10"/>
        <v>7.0653950953678475</v>
      </c>
      <c r="AD86" s="18">
        <f t="shared" si="11"/>
        <v>6.1280984259091742</v>
      </c>
      <c r="AE86" s="19">
        <f t="shared" si="12"/>
        <v>83</v>
      </c>
      <c r="AF86" s="65">
        <v>41345</v>
      </c>
      <c r="AG86" s="21">
        <f t="shared" si="13"/>
        <v>30</v>
      </c>
      <c r="AH86" s="109">
        <v>41350</v>
      </c>
      <c r="AI86" s="21">
        <f t="shared" si="14"/>
        <v>26</v>
      </c>
      <c r="AJ86" s="139" t="s">
        <v>266</v>
      </c>
      <c r="AK86" s="137"/>
      <c r="AL86" s="111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16"/>
      <c r="E87" s="216"/>
      <c r="F87" s="216"/>
      <c r="G87" s="216"/>
      <c r="H87" s="216"/>
      <c r="I87" s="217"/>
      <c r="J87" s="9"/>
      <c r="K87" s="12"/>
      <c r="L87" s="14"/>
      <c r="M87" s="14"/>
      <c r="N87" s="61"/>
      <c r="O87" s="61"/>
      <c r="P87" s="141"/>
      <c r="Q87" s="74"/>
      <c r="R87" s="9" t="s">
        <v>221</v>
      </c>
      <c r="S87" s="12" t="s">
        <v>95</v>
      </c>
      <c r="T87" s="14">
        <v>1</v>
      </c>
      <c r="U87" s="14">
        <v>13</v>
      </c>
      <c r="V87" s="61" t="s">
        <v>344</v>
      </c>
      <c r="W87" s="61" t="s">
        <v>557</v>
      </c>
      <c r="X87" s="103" t="s">
        <v>396</v>
      </c>
      <c r="Y87" s="16">
        <v>6</v>
      </c>
      <c r="Z87" s="16">
        <v>7</v>
      </c>
      <c r="AA87" s="16">
        <v>6</v>
      </c>
      <c r="AB87" s="16">
        <v>8</v>
      </c>
      <c r="AC87" s="17">
        <f t="shared" si="10"/>
        <v>7.0163487738419619</v>
      </c>
      <c r="AD87" s="18">
        <f t="shared" si="11"/>
        <v>6.0629636330740011</v>
      </c>
      <c r="AE87" s="19">
        <f t="shared" si="12"/>
        <v>84</v>
      </c>
      <c r="AF87" s="65">
        <v>41365</v>
      </c>
      <c r="AG87" s="21">
        <f t="shared" si="13"/>
        <v>38</v>
      </c>
      <c r="AH87" s="109">
        <v>41369</v>
      </c>
      <c r="AI87" s="21">
        <f t="shared" si="14"/>
        <v>37</v>
      </c>
      <c r="AJ87" s="148" t="s">
        <v>270</v>
      </c>
      <c r="AK87" s="137"/>
      <c r="AL87" s="111" t="s">
        <v>221</v>
      </c>
      <c r="AM87" s="8"/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16"/>
      <c r="E88" s="216"/>
      <c r="F88" s="216"/>
      <c r="G88" s="216"/>
      <c r="H88" s="216"/>
      <c r="I88" s="217"/>
      <c r="J88" s="9"/>
      <c r="K88" s="12"/>
      <c r="L88" s="14"/>
      <c r="M88" s="14"/>
      <c r="N88" s="61"/>
      <c r="O88" s="61"/>
      <c r="P88" s="141"/>
      <c r="Q88" s="74"/>
      <c r="R88" s="9" t="s">
        <v>221</v>
      </c>
      <c r="S88" s="12" t="s">
        <v>450</v>
      </c>
      <c r="T88" s="14">
        <v>1</v>
      </c>
      <c r="U88" s="14">
        <v>12</v>
      </c>
      <c r="V88" s="61" t="s">
        <v>344</v>
      </c>
      <c r="W88" s="61" t="s">
        <v>557</v>
      </c>
      <c r="X88" s="107" t="s">
        <v>370</v>
      </c>
      <c r="Y88" s="16">
        <v>6.5</v>
      </c>
      <c r="Z88" s="16">
        <v>9</v>
      </c>
      <c r="AA88" s="16">
        <v>5</v>
      </c>
      <c r="AB88" s="16">
        <v>7</v>
      </c>
      <c r="AC88" s="17">
        <f t="shared" si="10"/>
        <v>7.0013623978201638</v>
      </c>
      <c r="AD88" s="18">
        <f t="shared" si="11"/>
        <v>6.0430613352632525</v>
      </c>
      <c r="AE88" s="19">
        <f t="shared" si="12"/>
        <v>85</v>
      </c>
      <c r="AF88" s="65">
        <v>41650</v>
      </c>
      <c r="AG88" s="21">
        <f t="shared" si="13"/>
        <v>109</v>
      </c>
      <c r="AH88" s="109">
        <v>41745</v>
      </c>
      <c r="AI88" s="21">
        <f t="shared" si="14"/>
        <v>107</v>
      </c>
      <c r="AJ88" s="139" t="s">
        <v>501</v>
      </c>
      <c r="AK88" s="137" t="s">
        <v>502</v>
      </c>
      <c r="AL88" s="111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16"/>
      <c r="E89" s="216"/>
      <c r="F89" s="216"/>
      <c r="G89" s="216"/>
      <c r="H89" s="216"/>
      <c r="I89" s="217"/>
      <c r="J89" s="9"/>
      <c r="K89" s="12"/>
      <c r="L89" s="14"/>
      <c r="M89" s="14"/>
      <c r="N89" s="61"/>
      <c r="O89" s="61"/>
      <c r="P89" s="141"/>
      <c r="Q89" s="74"/>
      <c r="R89" s="9" t="s">
        <v>221</v>
      </c>
      <c r="S89" s="12" t="s">
        <v>452</v>
      </c>
      <c r="T89" s="14">
        <v>1</v>
      </c>
      <c r="U89" s="14">
        <v>13</v>
      </c>
      <c r="V89" s="141" t="s">
        <v>347</v>
      </c>
      <c r="W89" s="141" t="s">
        <v>559</v>
      </c>
      <c r="X89" s="145" t="s">
        <v>391</v>
      </c>
      <c r="Y89" s="16">
        <v>5</v>
      </c>
      <c r="Z89" s="16">
        <v>7</v>
      </c>
      <c r="AA89" s="16">
        <v>4</v>
      </c>
      <c r="AB89" s="16">
        <v>9</v>
      </c>
      <c r="AC89" s="17">
        <f t="shared" si="10"/>
        <v>6.9400544959128068</v>
      </c>
      <c r="AD89" s="18">
        <f t="shared" si="11"/>
        <v>5.9616428442192859</v>
      </c>
      <c r="AE89" s="19">
        <f t="shared" si="12"/>
        <v>86</v>
      </c>
      <c r="AF89" s="65">
        <v>41650</v>
      </c>
      <c r="AG89" s="21">
        <f t="shared" si="13"/>
        <v>109</v>
      </c>
      <c r="AH89" s="109">
        <v>41744</v>
      </c>
      <c r="AI89" s="21">
        <f t="shared" si="14"/>
        <v>106</v>
      </c>
      <c r="AJ89" s="59" t="s">
        <v>499</v>
      </c>
      <c r="AK89" s="137"/>
      <c r="AL89" s="111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16"/>
      <c r="E90" s="216"/>
      <c r="F90" s="216"/>
      <c r="G90" s="216"/>
      <c r="H90" s="216"/>
      <c r="I90" s="217"/>
      <c r="J90" s="9"/>
      <c r="K90" s="12"/>
      <c r="L90" s="14"/>
      <c r="M90" s="14"/>
      <c r="N90" s="61"/>
      <c r="O90" s="61"/>
      <c r="P90" s="141"/>
      <c r="Q90" s="74"/>
      <c r="R90" s="9" t="s">
        <v>221</v>
      </c>
      <c r="S90" s="12" t="s">
        <v>113</v>
      </c>
      <c r="T90" s="14">
        <v>5</v>
      </c>
      <c r="U90" s="14">
        <v>220</v>
      </c>
      <c r="V90" s="142" t="s">
        <v>181</v>
      </c>
      <c r="W90" s="142" t="s">
        <v>181</v>
      </c>
      <c r="X90" s="146" t="s">
        <v>560</v>
      </c>
      <c r="Y90" s="16">
        <v>7.5</v>
      </c>
      <c r="Z90" s="16">
        <v>8</v>
      </c>
      <c r="AA90" s="16">
        <v>0.5</v>
      </c>
      <c r="AB90" s="16">
        <v>7.5</v>
      </c>
      <c r="AC90" s="17">
        <f t="shared" si="10"/>
        <v>6.9373297002724801</v>
      </c>
      <c r="AD90" s="18">
        <f t="shared" si="11"/>
        <v>5.9580242446173335</v>
      </c>
      <c r="AE90" s="19">
        <f t="shared" si="12"/>
        <v>87</v>
      </c>
      <c r="AF90" s="65">
        <v>41088</v>
      </c>
      <c r="AG90" s="21">
        <f t="shared" si="13"/>
        <v>2</v>
      </c>
      <c r="AH90" s="109">
        <v>41108</v>
      </c>
      <c r="AI90" s="21">
        <f t="shared" si="14"/>
        <v>2</v>
      </c>
      <c r="AJ90" s="139" t="s">
        <v>287</v>
      </c>
      <c r="AK90" s="137" t="s">
        <v>407</v>
      </c>
      <c r="AL90" s="111" t="s">
        <v>221</v>
      </c>
      <c r="AM90" s="8"/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16"/>
      <c r="E91" s="216"/>
      <c r="F91" s="216"/>
      <c r="G91" s="216"/>
      <c r="H91" s="216"/>
      <c r="I91" s="217"/>
      <c r="J91" s="9"/>
      <c r="K91" s="12"/>
      <c r="L91" s="14"/>
      <c r="M91" s="14"/>
      <c r="N91" s="61"/>
      <c r="O91" s="61"/>
      <c r="P91" s="141"/>
      <c r="Q91" s="74"/>
      <c r="R91" s="9" t="s">
        <v>221</v>
      </c>
      <c r="S91" s="12" t="s">
        <v>233</v>
      </c>
      <c r="T91" s="14">
        <v>1</v>
      </c>
      <c r="U91" s="14">
        <v>12</v>
      </c>
      <c r="V91" s="61" t="s">
        <v>344</v>
      </c>
      <c r="W91" s="61" t="s">
        <v>558</v>
      </c>
      <c r="X91" s="81" t="s">
        <v>395</v>
      </c>
      <c r="Y91" s="16">
        <v>4</v>
      </c>
      <c r="Z91" s="16">
        <v>8</v>
      </c>
      <c r="AA91" s="16">
        <v>3</v>
      </c>
      <c r="AB91" s="16">
        <v>9.5</v>
      </c>
      <c r="AC91" s="17">
        <f t="shared" si="10"/>
        <v>6.9168937329700269</v>
      </c>
      <c r="AD91" s="18">
        <f t="shared" si="11"/>
        <v>5.9308847476026765</v>
      </c>
      <c r="AE91" s="19">
        <f t="shared" si="12"/>
        <v>88</v>
      </c>
      <c r="AF91" s="143">
        <v>41443</v>
      </c>
      <c r="AG91" s="21">
        <f t="shared" si="13"/>
        <v>56</v>
      </c>
      <c r="AH91" s="109">
        <v>41444</v>
      </c>
      <c r="AI91" s="21">
        <f t="shared" si="14"/>
        <v>47</v>
      </c>
      <c r="AJ91" s="59" t="s">
        <v>278</v>
      </c>
      <c r="AK91" s="137"/>
      <c r="AL91" s="111" t="s">
        <v>221</v>
      </c>
      <c r="AM91" s="8"/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16"/>
      <c r="E92" s="216"/>
      <c r="F92" s="216"/>
      <c r="G92" s="216"/>
      <c r="H92" s="216"/>
      <c r="I92" s="217"/>
      <c r="J92" s="9"/>
      <c r="K92" s="12"/>
      <c r="L92" s="14"/>
      <c r="M92" s="14"/>
      <c r="N92" s="61"/>
      <c r="O92" s="61"/>
      <c r="P92" s="141"/>
      <c r="Q92" s="74"/>
      <c r="R92" s="9" t="s">
        <v>221</v>
      </c>
      <c r="S92" s="136" t="s">
        <v>202</v>
      </c>
      <c r="T92" s="14">
        <v>2</v>
      </c>
      <c r="U92" s="14">
        <v>11</v>
      </c>
      <c r="V92" s="61" t="s">
        <v>344</v>
      </c>
      <c r="W92" s="61" t="s">
        <v>558</v>
      </c>
      <c r="X92" s="102" t="s">
        <v>389</v>
      </c>
      <c r="Y92" s="16">
        <v>6.5</v>
      </c>
      <c r="Z92" s="16">
        <v>7</v>
      </c>
      <c r="AA92" s="16">
        <v>7.5</v>
      </c>
      <c r="AB92" s="16">
        <v>7</v>
      </c>
      <c r="AC92" s="17">
        <f t="shared" si="10"/>
        <v>6.8896457765667574</v>
      </c>
      <c r="AD92" s="18">
        <f t="shared" si="11"/>
        <v>5.8946987515831379</v>
      </c>
      <c r="AE92" s="19">
        <f t="shared" si="12"/>
        <v>89</v>
      </c>
      <c r="AF92" s="143">
        <v>41250</v>
      </c>
      <c r="AG92" s="21">
        <f t="shared" si="13"/>
        <v>6</v>
      </c>
      <c r="AH92" s="109">
        <v>41265</v>
      </c>
      <c r="AI92" s="21">
        <f t="shared" si="14"/>
        <v>9</v>
      </c>
      <c r="AJ92" s="59" t="s">
        <v>296</v>
      </c>
      <c r="AK92" s="137" t="s">
        <v>60</v>
      </c>
      <c r="AL92" s="111" t="s">
        <v>221</v>
      </c>
      <c r="AM92" s="8"/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16"/>
      <c r="E93" s="216"/>
      <c r="F93" s="216"/>
      <c r="G93" s="216"/>
      <c r="H93" s="216"/>
      <c r="I93" s="217"/>
      <c r="J93" s="9"/>
      <c r="K93" s="12"/>
      <c r="L93" s="14"/>
      <c r="M93" s="14"/>
      <c r="N93" s="61"/>
      <c r="O93" s="61"/>
      <c r="P93" s="141"/>
      <c r="Q93" s="74"/>
      <c r="R93" s="9" t="s">
        <v>221</v>
      </c>
      <c r="S93" s="149" t="s">
        <v>242</v>
      </c>
      <c r="T93" s="14">
        <v>1</v>
      </c>
      <c r="U93" s="14">
        <v>12</v>
      </c>
      <c r="V93" s="61" t="s">
        <v>344</v>
      </c>
      <c r="W93" s="61" t="s">
        <v>557</v>
      </c>
      <c r="X93" s="83" t="s">
        <v>413</v>
      </c>
      <c r="Y93" s="16">
        <v>6.5</v>
      </c>
      <c r="Z93" s="16">
        <v>7</v>
      </c>
      <c r="AA93" s="16">
        <v>4.5</v>
      </c>
      <c r="AB93" s="16">
        <v>7.5</v>
      </c>
      <c r="AC93" s="17">
        <f t="shared" si="10"/>
        <v>6.8228882833787461</v>
      </c>
      <c r="AD93" s="18">
        <f t="shared" si="11"/>
        <v>5.806043061335262</v>
      </c>
      <c r="AE93" s="19">
        <f t="shared" si="12"/>
        <v>90</v>
      </c>
      <c r="AF93" s="65">
        <v>41464</v>
      </c>
      <c r="AG93" s="21">
        <f t="shared" si="13"/>
        <v>69</v>
      </c>
      <c r="AH93" s="109">
        <v>41543</v>
      </c>
      <c r="AI93" s="21">
        <f t="shared" si="14"/>
        <v>77</v>
      </c>
      <c r="AJ93" s="59" t="s">
        <v>353</v>
      </c>
      <c r="AK93" s="137"/>
      <c r="AL93" s="111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16"/>
      <c r="E94" s="216"/>
      <c r="F94" s="216"/>
      <c r="G94" s="216"/>
      <c r="H94" s="216"/>
      <c r="I94" s="217"/>
      <c r="J94" s="9"/>
      <c r="K94" s="12"/>
      <c r="L94" s="14"/>
      <c r="M94" s="14"/>
      <c r="N94" s="61"/>
      <c r="O94" s="61"/>
      <c r="P94" s="141"/>
      <c r="Q94" s="74"/>
      <c r="R94" s="9" t="s">
        <v>221</v>
      </c>
      <c r="S94" s="12" t="s">
        <v>19</v>
      </c>
      <c r="T94" s="14">
        <v>1</v>
      </c>
      <c r="U94" s="14">
        <v>12</v>
      </c>
      <c r="V94" s="61" t="s">
        <v>344</v>
      </c>
      <c r="W94" s="61" t="s">
        <v>557</v>
      </c>
      <c r="X94" s="102" t="s">
        <v>391</v>
      </c>
      <c r="Y94" s="16">
        <v>7</v>
      </c>
      <c r="Z94" s="16">
        <v>6</v>
      </c>
      <c r="AA94" s="16">
        <v>4.5</v>
      </c>
      <c r="AB94" s="16">
        <v>7.5</v>
      </c>
      <c r="AC94" s="17">
        <f t="shared" si="10"/>
        <v>6.807901907356948</v>
      </c>
      <c r="AD94" s="18">
        <f t="shared" si="11"/>
        <v>5.786140763524517</v>
      </c>
      <c r="AE94" s="19">
        <f t="shared" si="12"/>
        <v>91</v>
      </c>
      <c r="AF94" s="65">
        <v>41379</v>
      </c>
      <c r="AG94" s="21">
        <f t="shared" si="13"/>
        <v>46</v>
      </c>
      <c r="AH94" s="109">
        <v>41464</v>
      </c>
      <c r="AI94" s="21">
        <f t="shared" si="14"/>
        <v>60</v>
      </c>
      <c r="AJ94" s="59" t="s">
        <v>290</v>
      </c>
      <c r="AK94" s="137" t="s">
        <v>248</v>
      </c>
      <c r="AL94" s="111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16"/>
      <c r="E95" s="216"/>
      <c r="F95" s="216"/>
      <c r="G95" s="216"/>
      <c r="H95" s="216"/>
      <c r="I95" s="217"/>
      <c r="J95" s="9"/>
      <c r="K95" s="12"/>
      <c r="L95" s="14"/>
      <c r="M95" s="14"/>
      <c r="N95" s="61"/>
      <c r="O95" s="61"/>
      <c r="P95" s="141"/>
      <c r="Q95" s="74"/>
      <c r="R95" s="9" t="s">
        <v>221</v>
      </c>
      <c r="S95" s="12" t="s">
        <v>177</v>
      </c>
      <c r="T95" s="14">
        <v>1</v>
      </c>
      <c r="U95" s="14">
        <v>13</v>
      </c>
      <c r="V95" s="61" t="s">
        <v>344</v>
      </c>
      <c r="W95" s="61" t="s">
        <v>557</v>
      </c>
      <c r="X95" s="85" t="s">
        <v>391</v>
      </c>
      <c r="Y95" s="16">
        <v>6.5</v>
      </c>
      <c r="Z95" s="16">
        <v>7</v>
      </c>
      <c r="AA95" s="16">
        <v>6.5</v>
      </c>
      <c r="AB95" s="16">
        <v>7</v>
      </c>
      <c r="AC95" s="17">
        <f t="shared" si="10"/>
        <v>6.7970027247956404</v>
      </c>
      <c r="AD95" s="18">
        <f t="shared" si="11"/>
        <v>5.7716663651166993</v>
      </c>
      <c r="AE95" s="19">
        <f t="shared" si="12"/>
        <v>92</v>
      </c>
      <c r="AF95" s="65">
        <v>41371</v>
      </c>
      <c r="AG95" s="21">
        <f t="shared" si="13"/>
        <v>44</v>
      </c>
      <c r="AH95" s="109">
        <v>41453</v>
      </c>
      <c r="AI95" s="21">
        <f t="shared" si="14"/>
        <v>52</v>
      </c>
      <c r="AJ95" s="139" t="s">
        <v>276</v>
      </c>
      <c r="AK95" s="137"/>
      <c r="AL95" s="111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16"/>
      <c r="E96" s="216"/>
      <c r="F96" s="216"/>
      <c r="G96" s="216"/>
      <c r="H96" s="216"/>
      <c r="I96" s="217"/>
      <c r="J96" s="9"/>
      <c r="K96" s="12"/>
      <c r="L96" s="14"/>
      <c r="M96" s="14"/>
      <c r="N96" s="61"/>
      <c r="O96" s="61"/>
      <c r="P96" s="141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558</v>
      </c>
      <c r="X96" s="86" t="s">
        <v>401</v>
      </c>
      <c r="Y96" s="16">
        <v>4</v>
      </c>
      <c r="Z96" s="16">
        <v>7</v>
      </c>
      <c r="AA96" s="16">
        <v>8</v>
      </c>
      <c r="AB96" s="16">
        <v>8.5</v>
      </c>
      <c r="AC96" s="17">
        <f t="shared" si="10"/>
        <v>6.7861035422343328</v>
      </c>
      <c r="AD96" s="18">
        <f t="shared" si="11"/>
        <v>5.7571919667088842</v>
      </c>
      <c r="AE96" s="19">
        <f t="shared" si="12"/>
        <v>93</v>
      </c>
      <c r="AF96" s="65">
        <v>41449</v>
      </c>
      <c r="AG96" s="21">
        <f t="shared" si="13"/>
        <v>58</v>
      </c>
      <c r="AH96" s="109">
        <v>41451</v>
      </c>
      <c r="AI96" s="21">
        <f t="shared" si="14"/>
        <v>49</v>
      </c>
      <c r="AJ96" s="59" t="s">
        <v>280</v>
      </c>
      <c r="AK96" s="137"/>
      <c r="AL96" s="111" t="s">
        <v>221</v>
      </c>
      <c r="AM96" s="8"/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16"/>
      <c r="E97" s="216"/>
      <c r="F97" s="216"/>
      <c r="G97" s="216"/>
      <c r="H97" s="216"/>
      <c r="I97" s="217"/>
      <c r="J97" s="9"/>
      <c r="K97" s="12"/>
      <c r="L97" s="14"/>
      <c r="M97" s="14"/>
      <c r="N97" s="61"/>
      <c r="O97" s="61"/>
      <c r="P97" s="141"/>
      <c r="Q97" s="74"/>
      <c r="R97" s="9" t="s">
        <v>221</v>
      </c>
      <c r="S97" s="136" t="s">
        <v>210</v>
      </c>
      <c r="T97" s="14">
        <v>1</v>
      </c>
      <c r="U97" s="14">
        <v>26</v>
      </c>
      <c r="V97" s="61" t="s">
        <v>344</v>
      </c>
      <c r="W97" s="61" t="s">
        <v>558</v>
      </c>
      <c r="X97" s="87" t="s">
        <v>388</v>
      </c>
      <c r="Y97" s="16">
        <v>2</v>
      </c>
      <c r="Z97" s="16">
        <v>8.5</v>
      </c>
      <c r="AA97" s="16">
        <v>7</v>
      </c>
      <c r="AB97" s="16">
        <v>9.5</v>
      </c>
      <c r="AC97" s="17">
        <f t="shared" si="10"/>
        <v>6.746594005449591</v>
      </c>
      <c r="AD97" s="18">
        <f t="shared" si="11"/>
        <v>5.7047222724805504</v>
      </c>
      <c r="AE97" s="19">
        <f t="shared" si="12"/>
        <v>94</v>
      </c>
      <c r="AF97" s="65">
        <v>41291</v>
      </c>
      <c r="AG97" s="21">
        <f t="shared" si="13"/>
        <v>17</v>
      </c>
      <c r="AH97" s="109">
        <v>41298</v>
      </c>
      <c r="AI97" s="21">
        <f t="shared" si="14"/>
        <v>16</v>
      </c>
      <c r="AJ97" s="59" t="s">
        <v>282</v>
      </c>
      <c r="AK97" s="137" t="s">
        <v>118</v>
      </c>
      <c r="AL97" s="111" t="s">
        <v>221</v>
      </c>
      <c r="AM97" s="8"/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16"/>
      <c r="E98" s="216"/>
      <c r="F98" s="216"/>
      <c r="G98" s="216"/>
      <c r="H98" s="216"/>
      <c r="I98" s="217"/>
      <c r="J98" s="9"/>
      <c r="K98" s="12"/>
      <c r="L98" s="14"/>
      <c r="M98" s="14"/>
      <c r="N98" s="61"/>
      <c r="O98" s="61"/>
      <c r="P98" s="141"/>
      <c r="Q98" s="74"/>
      <c r="R98" s="9" t="s">
        <v>221</v>
      </c>
      <c r="S98" s="12" t="s">
        <v>254</v>
      </c>
      <c r="T98" s="14">
        <v>1</v>
      </c>
      <c r="U98" s="14">
        <v>13</v>
      </c>
      <c r="V98" s="61" t="s">
        <v>344</v>
      </c>
      <c r="W98" s="61" t="s">
        <v>558</v>
      </c>
      <c r="X98" s="92" t="s">
        <v>522</v>
      </c>
      <c r="Y98" s="16">
        <v>5.5</v>
      </c>
      <c r="Z98" s="16">
        <v>7</v>
      </c>
      <c r="AA98" s="16">
        <v>4.5</v>
      </c>
      <c r="AB98" s="16">
        <v>8</v>
      </c>
      <c r="AC98" s="17">
        <f t="shared" si="10"/>
        <v>6.7207084468664853</v>
      </c>
      <c r="AD98" s="18">
        <f t="shared" si="11"/>
        <v>5.6703455762619877</v>
      </c>
      <c r="AE98" s="19">
        <f t="shared" si="12"/>
        <v>95</v>
      </c>
      <c r="AF98" s="65">
        <v>41470</v>
      </c>
      <c r="AG98" s="21">
        <f t="shared" si="13"/>
        <v>74</v>
      </c>
      <c r="AH98" s="109">
        <v>41482</v>
      </c>
      <c r="AI98" s="21">
        <f t="shared" si="14"/>
        <v>65</v>
      </c>
      <c r="AJ98" s="59" t="s">
        <v>284</v>
      </c>
      <c r="AK98" s="137" t="s">
        <v>255</v>
      </c>
      <c r="AL98" s="111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16"/>
      <c r="E99" s="216"/>
      <c r="F99" s="216"/>
      <c r="G99" s="216"/>
      <c r="H99" s="216"/>
      <c r="I99" s="217"/>
      <c r="J99" s="9"/>
      <c r="K99" s="12"/>
      <c r="L99" s="14"/>
      <c r="M99" s="14"/>
      <c r="N99" s="61"/>
      <c r="O99" s="61"/>
      <c r="P99" s="141"/>
      <c r="Q99" s="74"/>
      <c r="R99" s="9" t="s">
        <v>221</v>
      </c>
      <c r="S99" s="12" t="s">
        <v>250</v>
      </c>
      <c r="T99" s="14">
        <v>1</v>
      </c>
      <c r="U99" s="14">
        <v>4</v>
      </c>
      <c r="V99" s="61" t="s">
        <v>344</v>
      </c>
      <c r="W99" s="61" t="s">
        <v>558</v>
      </c>
      <c r="X99" s="94" t="s">
        <v>389</v>
      </c>
      <c r="Y99" s="16">
        <v>7</v>
      </c>
      <c r="Z99" s="16">
        <v>6.5</v>
      </c>
      <c r="AA99" s="16">
        <v>2.5</v>
      </c>
      <c r="AB99" s="16">
        <v>7.5</v>
      </c>
      <c r="AC99" s="17">
        <f t="shared" si="10"/>
        <v>6.708446866485013</v>
      </c>
      <c r="AD99" s="18">
        <f t="shared" si="11"/>
        <v>5.6540618780531915</v>
      </c>
      <c r="AE99" s="19">
        <f t="shared" si="12"/>
        <v>96</v>
      </c>
      <c r="AF99" s="65">
        <v>41465</v>
      </c>
      <c r="AG99" s="21">
        <f t="shared" si="13"/>
        <v>71</v>
      </c>
      <c r="AH99" s="109">
        <v>41465</v>
      </c>
      <c r="AI99" s="21">
        <f t="shared" si="14"/>
        <v>61</v>
      </c>
      <c r="AJ99" s="59" t="s">
        <v>266</v>
      </c>
      <c r="AK99" s="137" t="s">
        <v>534</v>
      </c>
      <c r="AL99" s="111" t="s">
        <v>221</v>
      </c>
      <c r="AM99" s="8"/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16"/>
      <c r="E100" s="216"/>
      <c r="F100" s="216"/>
      <c r="G100" s="216"/>
      <c r="H100" s="216"/>
      <c r="I100" s="217"/>
      <c r="J100" s="9"/>
      <c r="K100" s="12"/>
      <c r="L100" s="14"/>
      <c r="M100" s="14"/>
      <c r="N100" s="61"/>
      <c r="O100" s="61"/>
      <c r="P100" s="141"/>
      <c r="Q100" s="74"/>
      <c r="R100" s="9" t="s">
        <v>221</v>
      </c>
      <c r="S100" s="12" t="s">
        <v>14</v>
      </c>
      <c r="T100" s="14">
        <v>2</v>
      </c>
      <c r="U100" s="14">
        <v>12</v>
      </c>
      <c r="V100" s="61" t="s">
        <v>344</v>
      </c>
      <c r="W100" s="61" t="s">
        <v>558</v>
      </c>
      <c r="X100" s="73" t="s">
        <v>390</v>
      </c>
      <c r="Y100" s="16">
        <v>5.5</v>
      </c>
      <c r="Z100" s="16">
        <v>7</v>
      </c>
      <c r="AA100" s="16">
        <v>6.5</v>
      </c>
      <c r="AB100" s="16">
        <v>7.5</v>
      </c>
      <c r="AC100" s="17">
        <f t="shared" ref="AC100:AC116" si="15">(Y100*$AN$5+Z100*$AN$6+AA100*$AN$7+AB100*$AN$8)/$AN$13</f>
        <v>6.6948228882833787</v>
      </c>
      <c r="AD100" s="18">
        <f t="shared" ref="AD100:AD116" si="16">IF($AN$15="Y",10*(AC100-$AN$11)/$AN$12, 10*AC100/$AN$10)</f>
        <v>5.6359688800434222</v>
      </c>
      <c r="AE100" s="19">
        <f t="shared" ref="AE100:AE116" si="17">RANK(AD100,AD:AD,0)</f>
        <v>97</v>
      </c>
      <c r="AF100" s="65">
        <v>41371</v>
      </c>
      <c r="AG100" s="21">
        <f t="shared" ref="AG100:AG116" si="18">COUNTIF(AF:AF, "&lt;="&amp;AF100)</f>
        <v>44</v>
      </c>
      <c r="AH100" s="109">
        <v>41455</v>
      </c>
      <c r="AI100" s="21">
        <f t="shared" ref="AI100:AI116" si="19">COUNTIF(AH:AH, "&lt;="&amp;AH100)</f>
        <v>56</v>
      </c>
      <c r="AJ100" s="59" t="s">
        <v>270</v>
      </c>
      <c r="AK100" s="137"/>
      <c r="AL100" s="111" t="s">
        <v>221</v>
      </c>
      <c r="AM100" s="8"/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16"/>
      <c r="E101" s="216"/>
      <c r="F101" s="216"/>
      <c r="G101" s="216"/>
      <c r="H101" s="216"/>
      <c r="I101" s="217"/>
      <c r="J101" s="9"/>
      <c r="K101" s="12"/>
      <c r="L101" s="14"/>
      <c r="M101" s="14"/>
      <c r="N101" s="61"/>
      <c r="O101" s="61"/>
      <c r="P101" s="141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344</v>
      </c>
      <c r="W101" s="61" t="s">
        <v>558</v>
      </c>
      <c r="X101" s="73" t="s">
        <v>370</v>
      </c>
      <c r="Y101" s="16">
        <v>3</v>
      </c>
      <c r="Z101" s="16">
        <v>8</v>
      </c>
      <c r="AA101" s="16">
        <v>9</v>
      </c>
      <c r="AB101" s="16">
        <v>8</v>
      </c>
      <c r="AC101" s="17">
        <f t="shared" si="15"/>
        <v>6.5258855585831075</v>
      </c>
      <c r="AD101" s="18">
        <f t="shared" si="16"/>
        <v>5.4116157047222737</v>
      </c>
      <c r="AE101" s="19">
        <f t="shared" si="17"/>
        <v>98</v>
      </c>
      <c r="AF101" s="65">
        <v>41288</v>
      </c>
      <c r="AG101" s="21">
        <f t="shared" si="18"/>
        <v>14</v>
      </c>
      <c r="AH101" s="109">
        <v>41288</v>
      </c>
      <c r="AI101" s="21">
        <f t="shared" si="19"/>
        <v>12</v>
      </c>
      <c r="AJ101" s="59" t="s">
        <v>283</v>
      </c>
      <c r="AK101" s="137"/>
      <c r="AL101" s="111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16"/>
      <c r="E102" s="216"/>
      <c r="F102" s="216"/>
      <c r="G102" s="216"/>
      <c r="H102" s="216"/>
      <c r="I102" s="217"/>
      <c r="J102" s="9"/>
      <c r="K102" s="12"/>
      <c r="L102" s="14"/>
      <c r="M102" s="14"/>
      <c r="N102" s="61"/>
      <c r="O102" s="61"/>
      <c r="P102" s="141"/>
      <c r="Q102" s="74"/>
      <c r="R102" s="9" t="s">
        <v>221</v>
      </c>
      <c r="S102" s="12" t="s">
        <v>476</v>
      </c>
      <c r="T102" s="14">
        <v>1</v>
      </c>
      <c r="U102" s="14">
        <v>12</v>
      </c>
      <c r="V102" s="61" t="s">
        <v>344</v>
      </c>
      <c r="W102" s="61" t="s">
        <v>559</v>
      </c>
      <c r="X102" s="94" t="s">
        <v>391</v>
      </c>
      <c r="Y102" s="16">
        <v>5.5</v>
      </c>
      <c r="Z102" s="16">
        <v>7</v>
      </c>
      <c r="AA102" s="16">
        <v>4.5</v>
      </c>
      <c r="AB102" s="16">
        <v>7.5</v>
      </c>
      <c r="AC102" s="17">
        <f t="shared" si="15"/>
        <v>6.5095367847411447</v>
      </c>
      <c r="AD102" s="18">
        <f t="shared" si="16"/>
        <v>5.3899041071105476</v>
      </c>
      <c r="AE102" s="19">
        <f t="shared" si="17"/>
        <v>99</v>
      </c>
      <c r="AF102" s="65">
        <v>41647</v>
      </c>
      <c r="AG102" s="21">
        <f t="shared" si="18"/>
        <v>102</v>
      </c>
      <c r="AH102" s="109">
        <v>41733</v>
      </c>
      <c r="AI102" s="21">
        <f t="shared" si="19"/>
        <v>105</v>
      </c>
      <c r="AJ102" s="59" t="s">
        <v>498</v>
      </c>
      <c r="AK102" s="137"/>
      <c r="AL102" s="111" t="s">
        <v>221</v>
      </c>
      <c r="AM102" s="8"/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16"/>
      <c r="E103" s="216"/>
      <c r="F103" s="216"/>
      <c r="G103" s="216"/>
      <c r="H103" s="216"/>
      <c r="I103" s="217"/>
      <c r="J103" s="9"/>
      <c r="K103" s="12"/>
      <c r="L103" s="14"/>
      <c r="M103" s="14"/>
      <c r="N103" s="61"/>
      <c r="O103" s="61"/>
      <c r="P103" s="141"/>
      <c r="Q103" s="74"/>
      <c r="R103" s="9" t="s">
        <v>221</v>
      </c>
      <c r="S103" s="12" t="s">
        <v>112</v>
      </c>
      <c r="T103" s="14">
        <v>2</v>
      </c>
      <c r="U103" s="14">
        <v>12</v>
      </c>
      <c r="V103" s="61" t="s">
        <v>344</v>
      </c>
      <c r="W103" s="61" t="s">
        <v>558</v>
      </c>
      <c r="X103" s="95" t="s">
        <v>370</v>
      </c>
      <c r="Y103" s="16">
        <v>3.5</v>
      </c>
      <c r="Z103" s="16">
        <v>8</v>
      </c>
      <c r="AA103" s="16">
        <v>9</v>
      </c>
      <c r="AB103" s="16">
        <v>7.5</v>
      </c>
      <c r="AC103" s="17">
        <f t="shared" si="15"/>
        <v>6.4713896457765667</v>
      </c>
      <c r="AD103" s="18">
        <f t="shared" si="16"/>
        <v>5.3392437126831922</v>
      </c>
      <c r="AE103" s="19">
        <f t="shared" si="17"/>
        <v>100</v>
      </c>
      <c r="AF103" s="65">
        <v>41289</v>
      </c>
      <c r="AG103" s="21">
        <f t="shared" si="18"/>
        <v>15</v>
      </c>
      <c r="AH103" s="109">
        <v>41289</v>
      </c>
      <c r="AI103" s="21">
        <f t="shared" si="19"/>
        <v>13</v>
      </c>
      <c r="AJ103" s="59" t="s">
        <v>283</v>
      </c>
      <c r="AK103" s="137"/>
      <c r="AL103" s="111" t="s">
        <v>221</v>
      </c>
      <c r="AM103" s="8"/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16"/>
      <c r="E104" s="216"/>
      <c r="F104" s="216"/>
      <c r="G104" s="216"/>
      <c r="H104" s="216"/>
      <c r="I104" s="217"/>
      <c r="J104" s="9"/>
      <c r="K104" s="12"/>
      <c r="L104" s="14"/>
      <c r="M104" s="14"/>
      <c r="N104" s="61"/>
      <c r="O104" s="61"/>
      <c r="P104" s="141"/>
      <c r="Q104" s="74"/>
      <c r="R104" s="9" t="s">
        <v>221</v>
      </c>
      <c r="S104" s="12" t="s">
        <v>178</v>
      </c>
      <c r="T104" s="14">
        <v>1</v>
      </c>
      <c r="U104" s="14">
        <v>26</v>
      </c>
      <c r="V104" s="61" t="s">
        <v>344</v>
      </c>
      <c r="W104" s="61" t="s">
        <v>561</v>
      </c>
      <c r="X104" s="95" t="s">
        <v>408</v>
      </c>
      <c r="Y104" s="16">
        <v>4</v>
      </c>
      <c r="Z104" s="16">
        <v>8</v>
      </c>
      <c r="AA104" s="16">
        <v>0</v>
      </c>
      <c r="AB104" s="16">
        <v>9</v>
      </c>
      <c r="AC104" s="17">
        <f t="shared" si="15"/>
        <v>6.4277929155313362</v>
      </c>
      <c r="AD104" s="18">
        <f t="shared" si="16"/>
        <v>5.2813461190519284</v>
      </c>
      <c r="AE104" s="19">
        <f t="shared" si="17"/>
        <v>101</v>
      </c>
      <c r="AF104" s="65">
        <v>41450</v>
      </c>
      <c r="AG104" s="21">
        <f t="shared" si="18"/>
        <v>59</v>
      </c>
      <c r="AH104" s="109">
        <v>41452</v>
      </c>
      <c r="AI104" s="21">
        <f t="shared" si="19"/>
        <v>51</v>
      </c>
      <c r="AJ104" s="59" t="s">
        <v>277</v>
      </c>
      <c r="AK104" s="137" t="s">
        <v>179</v>
      </c>
      <c r="AL104" s="111" t="s">
        <v>221</v>
      </c>
      <c r="AM104" s="8"/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16"/>
      <c r="E105" s="216"/>
      <c r="F105" s="216"/>
      <c r="G105" s="216"/>
      <c r="H105" s="216"/>
      <c r="I105" s="217"/>
      <c r="J105" s="9"/>
      <c r="K105" s="12"/>
      <c r="L105" s="14"/>
      <c r="M105" s="14"/>
      <c r="N105" s="61"/>
      <c r="O105" s="61"/>
      <c r="P105" s="141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557</v>
      </c>
      <c r="X105" s="96" t="s">
        <v>370</v>
      </c>
      <c r="Y105" s="16">
        <v>6.5</v>
      </c>
      <c r="Z105" s="16">
        <v>7</v>
      </c>
      <c r="AA105" s="16">
        <v>4.5</v>
      </c>
      <c r="AB105" s="16">
        <v>6.5</v>
      </c>
      <c r="AC105" s="17">
        <f t="shared" si="15"/>
        <v>6.4005449591280659</v>
      </c>
      <c r="AD105" s="18">
        <f t="shared" si="16"/>
        <v>5.2451601230323863</v>
      </c>
      <c r="AE105" s="19">
        <f t="shared" si="17"/>
        <v>102</v>
      </c>
      <c r="AF105" s="65">
        <v>41292</v>
      </c>
      <c r="AG105" s="21">
        <f t="shared" si="18"/>
        <v>18</v>
      </c>
      <c r="AH105" s="109">
        <v>41369</v>
      </c>
      <c r="AI105" s="21">
        <f t="shared" si="19"/>
        <v>37</v>
      </c>
      <c r="AJ105" s="139" t="s">
        <v>291</v>
      </c>
      <c r="AK105" s="137"/>
      <c r="AL105" s="111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16"/>
      <c r="E106" s="216"/>
      <c r="F106" s="216"/>
      <c r="G106" s="216"/>
      <c r="H106" s="216"/>
      <c r="I106" s="217"/>
      <c r="J106" s="9"/>
      <c r="K106" s="12"/>
      <c r="L106" s="14"/>
      <c r="M106" s="14"/>
      <c r="N106" s="61"/>
      <c r="O106" s="61"/>
      <c r="P106" s="141"/>
      <c r="Q106" s="74"/>
      <c r="R106" s="9" t="s">
        <v>221</v>
      </c>
      <c r="S106" s="12" t="s">
        <v>367</v>
      </c>
      <c r="T106" s="14">
        <v>1</v>
      </c>
      <c r="U106" s="14">
        <v>13</v>
      </c>
      <c r="V106" s="61" t="s">
        <v>347</v>
      </c>
      <c r="W106" s="61" t="s">
        <v>559</v>
      </c>
      <c r="X106" s="96" t="s">
        <v>391</v>
      </c>
      <c r="Y106" s="16">
        <v>5</v>
      </c>
      <c r="Z106" s="16">
        <v>7.5</v>
      </c>
      <c r="AA106" s="16">
        <v>7.5</v>
      </c>
      <c r="AB106" s="16">
        <v>6.5</v>
      </c>
      <c r="AC106" s="17">
        <f t="shared" si="15"/>
        <v>6.2942779291553137</v>
      </c>
      <c r="AD106" s="18">
        <f t="shared" si="16"/>
        <v>5.1040347385561784</v>
      </c>
      <c r="AE106" s="19">
        <f t="shared" si="17"/>
        <v>103</v>
      </c>
      <c r="AF106" s="65">
        <v>41550</v>
      </c>
      <c r="AG106" s="21">
        <f t="shared" si="18"/>
        <v>85</v>
      </c>
      <c r="AH106" s="109">
        <v>41634</v>
      </c>
      <c r="AI106" s="21">
        <f t="shared" si="19"/>
        <v>90</v>
      </c>
      <c r="AJ106" s="59" t="s">
        <v>367</v>
      </c>
      <c r="AK106" s="137" t="s">
        <v>440</v>
      </c>
      <c r="AL106" s="111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16"/>
      <c r="E107" s="216"/>
      <c r="F107" s="216"/>
      <c r="G107" s="216"/>
      <c r="H107" s="216"/>
      <c r="I107" s="217"/>
      <c r="J107" s="9"/>
      <c r="K107" s="12"/>
      <c r="L107" s="14"/>
      <c r="M107" s="14"/>
      <c r="N107" s="61"/>
      <c r="O107" s="61"/>
      <c r="P107" s="141"/>
      <c r="Q107" s="74"/>
      <c r="R107" s="9" t="s">
        <v>221</v>
      </c>
      <c r="S107" s="12" t="s">
        <v>120</v>
      </c>
      <c r="T107" s="14">
        <v>2</v>
      </c>
      <c r="U107" s="14">
        <v>12</v>
      </c>
      <c r="V107" s="61" t="s">
        <v>344</v>
      </c>
      <c r="W107" s="61" t="s">
        <v>558</v>
      </c>
      <c r="X107" s="97" t="s">
        <v>388</v>
      </c>
      <c r="Y107" s="16">
        <v>2</v>
      </c>
      <c r="Z107" s="16">
        <v>7.5</v>
      </c>
      <c r="AA107" s="16">
        <v>10</v>
      </c>
      <c r="AB107" s="16">
        <v>8</v>
      </c>
      <c r="AC107" s="17">
        <f t="shared" si="15"/>
        <v>6.2193460490463224</v>
      </c>
      <c r="AD107" s="18">
        <f t="shared" si="16"/>
        <v>5.0045232495024434</v>
      </c>
      <c r="AE107" s="19">
        <f t="shared" si="17"/>
        <v>104</v>
      </c>
      <c r="AF107" s="143">
        <v>41229</v>
      </c>
      <c r="AG107" s="21">
        <f t="shared" si="18"/>
        <v>4</v>
      </c>
      <c r="AH107" s="109">
        <v>41230</v>
      </c>
      <c r="AI107" s="21">
        <f t="shared" si="19"/>
        <v>4</v>
      </c>
      <c r="AJ107" s="59" t="s">
        <v>269</v>
      </c>
      <c r="AK107" s="137"/>
      <c r="AL107" s="111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16"/>
      <c r="E108" s="216"/>
      <c r="F108" s="216"/>
      <c r="G108" s="216"/>
      <c r="H108" s="216"/>
      <c r="I108" s="217"/>
      <c r="J108" s="9"/>
      <c r="K108" s="12"/>
      <c r="L108" s="14"/>
      <c r="M108" s="14"/>
      <c r="N108" s="61"/>
      <c r="O108" s="61"/>
      <c r="P108" s="141"/>
      <c r="Q108" s="74"/>
      <c r="R108" s="9" t="s">
        <v>221</v>
      </c>
      <c r="S108" s="12" t="s">
        <v>119</v>
      </c>
      <c r="T108" s="14">
        <v>1</v>
      </c>
      <c r="U108" s="14">
        <v>12</v>
      </c>
      <c r="V108" s="61" t="s">
        <v>344</v>
      </c>
      <c r="W108" s="61" t="s">
        <v>558</v>
      </c>
      <c r="X108" s="105" t="s">
        <v>388</v>
      </c>
      <c r="Y108" s="16">
        <v>2</v>
      </c>
      <c r="Z108" s="16">
        <v>7.5</v>
      </c>
      <c r="AA108" s="16">
        <v>9.5</v>
      </c>
      <c r="AB108" s="16">
        <v>8</v>
      </c>
      <c r="AC108" s="17">
        <f t="shared" si="15"/>
        <v>6.1730245231607634</v>
      </c>
      <c r="AD108" s="18">
        <f t="shared" si="16"/>
        <v>4.9430070562692245</v>
      </c>
      <c r="AE108" s="19">
        <f t="shared" si="17"/>
        <v>105</v>
      </c>
      <c r="AF108" s="65">
        <v>41228</v>
      </c>
      <c r="AG108" s="21">
        <f t="shared" si="18"/>
        <v>3</v>
      </c>
      <c r="AH108" s="109">
        <v>41229</v>
      </c>
      <c r="AI108" s="21">
        <f t="shared" si="19"/>
        <v>3</v>
      </c>
      <c r="AJ108" s="139" t="s">
        <v>269</v>
      </c>
      <c r="AK108" s="137"/>
      <c r="AL108" s="111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16"/>
      <c r="E109" s="216"/>
      <c r="F109" s="216"/>
      <c r="G109" s="216"/>
      <c r="H109" s="216"/>
      <c r="I109" s="217"/>
      <c r="J109" s="9"/>
      <c r="K109" s="12"/>
      <c r="L109" s="14"/>
      <c r="M109" s="14"/>
      <c r="N109" s="61"/>
      <c r="O109" s="61"/>
      <c r="P109" s="141"/>
      <c r="Q109" s="74"/>
      <c r="R109" s="9" t="s">
        <v>221</v>
      </c>
      <c r="S109" s="136" t="s">
        <v>374</v>
      </c>
      <c r="T109" s="14">
        <v>1</v>
      </c>
      <c r="U109" s="14">
        <v>10</v>
      </c>
      <c r="V109" s="61" t="s">
        <v>344</v>
      </c>
      <c r="W109" s="61" t="s">
        <v>557</v>
      </c>
      <c r="X109" s="73" t="s">
        <v>391</v>
      </c>
      <c r="Y109" s="16">
        <v>6</v>
      </c>
      <c r="Z109" s="16">
        <v>5.5</v>
      </c>
      <c r="AA109" s="16">
        <v>7.5</v>
      </c>
      <c r="AB109" s="16">
        <v>6</v>
      </c>
      <c r="AC109" s="17">
        <f t="shared" si="15"/>
        <v>6.0531335149863761</v>
      </c>
      <c r="AD109" s="18">
        <f t="shared" si="16"/>
        <v>4.7837886737832456</v>
      </c>
      <c r="AE109" s="19">
        <f t="shared" si="17"/>
        <v>106</v>
      </c>
      <c r="AF109" s="65">
        <v>41560</v>
      </c>
      <c r="AG109" s="21">
        <f t="shared" si="18"/>
        <v>92</v>
      </c>
      <c r="AH109" s="109">
        <v>41618</v>
      </c>
      <c r="AI109" s="21">
        <f t="shared" si="19"/>
        <v>84</v>
      </c>
      <c r="AJ109" s="59" t="s">
        <v>434</v>
      </c>
      <c r="AK109" s="137"/>
      <c r="AL109" s="111" t="s">
        <v>221</v>
      </c>
      <c r="AM109" s="8"/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16"/>
      <c r="E110" s="216"/>
      <c r="F110" s="216"/>
      <c r="G110" s="216"/>
      <c r="H110" s="216"/>
      <c r="I110" s="217"/>
      <c r="J110" s="9"/>
      <c r="K110" s="12"/>
      <c r="L110" s="14"/>
      <c r="M110" s="14"/>
      <c r="N110" s="61"/>
      <c r="O110" s="61"/>
      <c r="P110" s="141"/>
      <c r="Q110" s="74"/>
      <c r="R110" s="9" t="s">
        <v>221</v>
      </c>
      <c r="S110" s="12" t="s">
        <v>188</v>
      </c>
      <c r="T110" s="14">
        <v>1</v>
      </c>
      <c r="U110" s="14">
        <v>13</v>
      </c>
      <c r="V110" s="61" t="s">
        <v>344</v>
      </c>
      <c r="W110" s="61" t="s">
        <v>559</v>
      </c>
      <c r="X110" s="98" t="s">
        <v>391</v>
      </c>
      <c r="Y110" s="16">
        <v>3</v>
      </c>
      <c r="Z110" s="16">
        <v>6.5</v>
      </c>
      <c r="AA110" s="16">
        <v>6.5</v>
      </c>
      <c r="AB110" s="16">
        <v>7.5</v>
      </c>
      <c r="AC110" s="17">
        <f t="shared" si="15"/>
        <v>5.8256130790190737</v>
      </c>
      <c r="AD110" s="18">
        <f t="shared" si="16"/>
        <v>4.4816356070200829</v>
      </c>
      <c r="AE110" s="19">
        <f t="shared" si="17"/>
        <v>107</v>
      </c>
      <c r="AF110" s="65">
        <v>41448</v>
      </c>
      <c r="AG110" s="21">
        <f t="shared" si="18"/>
        <v>57</v>
      </c>
      <c r="AH110" s="109">
        <v>41455</v>
      </c>
      <c r="AI110" s="21">
        <f t="shared" si="19"/>
        <v>56</v>
      </c>
      <c r="AJ110" s="59" t="s">
        <v>279</v>
      </c>
      <c r="AK110" s="137" t="s">
        <v>192</v>
      </c>
      <c r="AL110" s="111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16"/>
      <c r="E111" s="216"/>
      <c r="F111" s="216"/>
      <c r="G111" s="216"/>
      <c r="H111" s="216"/>
      <c r="I111" s="217"/>
      <c r="J111" s="9"/>
      <c r="K111" s="12"/>
      <c r="L111" s="14"/>
      <c r="M111" s="14"/>
      <c r="N111" s="61"/>
      <c r="O111" s="61"/>
      <c r="P111" s="141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557</v>
      </c>
      <c r="X111" s="99" t="s">
        <v>400</v>
      </c>
      <c r="Y111" s="16">
        <v>5.5</v>
      </c>
      <c r="Z111" s="16">
        <v>5.5</v>
      </c>
      <c r="AA111" s="16">
        <v>5</v>
      </c>
      <c r="AB111" s="16">
        <v>6</v>
      </c>
      <c r="AC111" s="17">
        <f t="shared" si="15"/>
        <v>5.6648501362397816</v>
      </c>
      <c r="AD111" s="18">
        <f t="shared" si="16"/>
        <v>4.2681382305047935</v>
      </c>
      <c r="AE111" s="19">
        <f t="shared" si="17"/>
        <v>108</v>
      </c>
      <c r="AF111" s="65">
        <v>41302</v>
      </c>
      <c r="AG111" s="21">
        <f t="shared" si="18"/>
        <v>22</v>
      </c>
      <c r="AH111" s="109">
        <v>41360</v>
      </c>
      <c r="AI111" s="21">
        <f t="shared" si="19"/>
        <v>33</v>
      </c>
      <c r="AJ111" s="59" t="s">
        <v>281</v>
      </c>
      <c r="AK111" s="137"/>
      <c r="AL111" s="111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16"/>
      <c r="E112" s="216"/>
      <c r="F112" s="216"/>
      <c r="G112" s="216"/>
      <c r="H112" s="216"/>
      <c r="I112" s="217"/>
      <c r="J112" s="9"/>
      <c r="K112" s="12"/>
      <c r="L112" s="14"/>
      <c r="M112" s="14"/>
      <c r="N112" s="61"/>
      <c r="O112" s="61"/>
      <c r="P112" s="141"/>
      <c r="Q112" s="74"/>
      <c r="R112" s="9" t="s">
        <v>221</v>
      </c>
      <c r="S112" s="12" t="s">
        <v>245</v>
      </c>
      <c r="T112" s="14">
        <v>1</v>
      </c>
      <c r="U112" s="14">
        <v>10</v>
      </c>
      <c r="V112" s="61" t="s">
        <v>344</v>
      </c>
      <c r="W112" s="61" t="s">
        <v>557</v>
      </c>
      <c r="X112" s="73" t="s">
        <v>404</v>
      </c>
      <c r="Y112" s="16">
        <v>2.5</v>
      </c>
      <c r="Z112" s="16">
        <v>7.5</v>
      </c>
      <c r="AA112" s="16">
        <v>5.5</v>
      </c>
      <c r="AB112" s="16">
        <v>6</v>
      </c>
      <c r="AC112" s="17">
        <f t="shared" si="15"/>
        <v>5.1144414168937331</v>
      </c>
      <c r="AD112" s="18">
        <f t="shared" si="16"/>
        <v>3.5371811109100779</v>
      </c>
      <c r="AE112" s="19">
        <f t="shared" si="17"/>
        <v>109</v>
      </c>
      <c r="AF112" s="65">
        <v>41488</v>
      </c>
      <c r="AG112" s="21">
        <f t="shared" si="18"/>
        <v>79</v>
      </c>
      <c r="AH112" s="109">
        <v>41492</v>
      </c>
      <c r="AI112" s="21">
        <f t="shared" si="19"/>
        <v>67</v>
      </c>
      <c r="AJ112" s="139" t="s">
        <v>320</v>
      </c>
      <c r="AK112" s="137" t="s">
        <v>549</v>
      </c>
      <c r="AL112" s="111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16"/>
      <c r="E113" s="216"/>
      <c r="F113" s="216"/>
      <c r="G113" s="216"/>
      <c r="H113" s="216"/>
      <c r="I113" s="217"/>
      <c r="J113" s="9"/>
      <c r="K113" s="12"/>
      <c r="L113" s="14"/>
      <c r="M113" s="14"/>
      <c r="N113" s="61"/>
      <c r="O113" s="61"/>
      <c r="P113" s="141"/>
      <c r="Q113" s="74"/>
      <c r="R113" s="9" t="s">
        <v>221</v>
      </c>
      <c r="S113" s="12" t="s">
        <v>122</v>
      </c>
      <c r="T113" s="14">
        <v>1</v>
      </c>
      <c r="U113" s="14">
        <v>13</v>
      </c>
      <c r="V113" s="61" t="s">
        <v>344</v>
      </c>
      <c r="W113" s="61" t="s">
        <v>557</v>
      </c>
      <c r="X113" s="103" t="s">
        <v>405</v>
      </c>
      <c r="Y113" s="16">
        <v>3.5</v>
      </c>
      <c r="Z113" s="16">
        <v>5.5</v>
      </c>
      <c r="AA113" s="16">
        <v>6</v>
      </c>
      <c r="AB113" s="16">
        <v>5</v>
      </c>
      <c r="AC113" s="17">
        <f t="shared" si="15"/>
        <v>4.7084468664850139</v>
      </c>
      <c r="AD113" s="18">
        <f t="shared" si="16"/>
        <v>2.9980097702189252</v>
      </c>
      <c r="AE113" s="19">
        <f t="shared" si="17"/>
        <v>110</v>
      </c>
      <c r="AF113" s="65">
        <v>40674</v>
      </c>
      <c r="AG113" s="21">
        <f t="shared" si="18"/>
        <v>1</v>
      </c>
      <c r="AH113" s="109">
        <v>40675</v>
      </c>
      <c r="AI113" s="21">
        <f t="shared" si="19"/>
        <v>1</v>
      </c>
      <c r="AJ113" s="140" t="s">
        <v>181</v>
      </c>
      <c r="AK113" s="137"/>
      <c r="AL113" s="111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16"/>
      <c r="E114" s="216"/>
      <c r="F114" s="216"/>
      <c r="G114" s="216"/>
      <c r="H114" s="216"/>
      <c r="I114" s="217"/>
      <c r="J114" s="9"/>
      <c r="K114" s="12"/>
      <c r="L114" s="14"/>
      <c r="M114" s="14"/>
      <c r="N114" s="61"/>
      <c r="O114" s="61"/>
      <c r="P114" s="141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41" t="s">
        <v>347</v>
      </c>
      <c r="W114" s="141" t="s">
        <v>557</v>
      </c>
      <c r="X114" s="145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 t="shared" si="15"/>
        <v>4.4441416893732981</v>
      </c>
      <c r="AD114" s="18">
        <f t="shared" si="16"/>
        <v>2.6470056088293843</v>
      </c>
      <c r="AE114" s="19">
        <f t="shared" si="17"/>
        <v>111</v>
      </c>
      <c r="AF114" s="65">
        <v>41705</v>
      </c>
      <c r="AG114" s="21">
        <f t="shared" si="18"/>
        <v>111</v>
      </c>
      <c r="AH114" s="109">
        <v>41705</v>
      </c>
      <c r="AI114" s="21">
        <f t="shared" si="19"/>
        <v>97</v>
      </c>
      <c r="AJ114" s="59" t="s">
        <v>482</v>
      </c>
      <c r="AK114" s="137" t="s">
        <v>483</v>
      </c>
      <c r="AL114" s="111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16"/>
      <c r="E115" s="216"/>
      <c r="F115" s="216"/>
      <c r="G115" s="216"/>
      <c r="H115" s="216"/>
      <c r="I115" s="217"/>
      <c r="J115" s="9"/>
      <c r="K115" s="12"/>
      <c r="L115" s="14"/>
      <c r="M115" s="14"/>
      <c r="N115" s="61"/>
      <c r="O115" s="61"/>
      <c r="P115" s="141"/>
      <c r="Q115" s="74"/>
      <c r="R115" s="9" t="s">
        <v>221</v>
      </c>
      <c r="S115" s="12" t="s">
        <v>123</v>
      </c>
      <c r="T115" s="14">
        <v>1</v>
      </c>
      <c r="U115" s="14">
        <v>12</v>
      </c>
      <c r="V115" s="142" t="s">
        <v>181</v>
      </c>
      <c r="W115" s="142" t="s">
        <v>181</v>
      </c>
      <c r="X115" s="146" t="s">
        <v>560</v>
      </c>
      <c r="Y115" s="16">
        <v>3</v>
      </c>
      <c r="Z115" s="16">
        <v>2</v>
      </c>
      <c r="AA115" s="16">
        <v>5</v>
      </c>
      <c r="AB115" s="16">
        <v>3</v>
      </c>
      <c r="AC115" s="17">
        <f t="shared" si="15"/>
        <v>3.0136239782016352</v>
      </c>
      <c r="AD115" s="18">
        <f t="shared" si="16"/>
        <v>0.74724081780351004</v>
      </c>
      <c r="AE115" s="19">
        <f t="shared" si="17"/>
        <v>112</v>
      </c>
      <c r="AF115" s="65">
        <v>41254</v>
      </c>
      <c r="AG115" s="21">
        <f t="shared" si="18"/>
        <v>8</v>
      </c>
      <c r="AH115" s="109">
        <v>41264</v>
      </c>
      <c r="AI115" s="21">
        <f t="shared" si="19"/>
        <v>8</v>
      </c>
      <c r="AJ115" s="59" t="s">
        <v>292</v>
      </c>
      <c r="AK115" s="137"/>
      <c r="AL115" s="111" t="s">
        <v>221</v>
      </c>
      <c r="AM115" s="9"/>
      <c r="AN115" s="9"/>
      <c r="AO115" s="9"/>
      <c r="AP115" s="9"/>
    </row>
    <row r="116" spans="1:47" ht="16.5">
      <c r="A116" s="12"/>
      <c r="B116" s="23"/>
      <c r="C116" s="14"/>
      <c r="D116" s="216"/>
      <c r="E116" s="216"/>
      <c r="F116" s="216"/>
      <c r="G116" s="216"/>
      <c r="H116" s="216"/>
      <c r="I116" s="217"/>
      <c r="J116" s="9"/>
      <c r="K116" s="12"/>
      <c r="L116" s="14"/>
      <c r="M116" s="14"/>
      <c r="N116" s="61"/>
      <c r="O116" s="61"/>
      <c r="P116" s="141"/>
      <c r="Q116" s="74"/>
      <c r="R116" s="9" t="s">
        <v>221</v>
      </c>
      <c r="S116" s="12" t="s">
        <v>21</v>
      </c>
      <c r="T116" s="14">
        <v>1</v>
      </c>
      <c r="U116" s="14">
        <v>12</v>
      </c>
      <c r="V116" s="61" t="s">
        <v>344</v>
      </c>
      <c r="W116" s="61" t="s">
        <v>557</v>
      </c>
      <c r="X116" s="73" t="s">
        <v>393</v>
      </c>
      <c r="Y116" s="16">
        <v>1.5</v>
      </c>
      <c r="Z116" s="16">
        <v>2</v>
      </c>
      <c r="AA116" s="16">
        <v>4</v>
      </c>
      <c r="AB116" s="16">
        <v>3</v>
      </c>
      <c r="AC116" s="17">
        <f t="shared" si="15"/>
        <v>2.4509536784741148</v>
      </c>
      <c r="AD116" s="138">
        <f t="shared" si="16"/>
        <v>0</v>
      </c>
      <c r="AE116" s="19">
        <f t="shared" si="17"/>
        <v>113</v>
      </c>
      <c r="AF116" s="65">
        <v>41355</v>
      </c>
      <c r="AG116" s="21">
        <f t="shared" si="18"/>
        <v>33</v>
      </c>
      <c r="AH116" s="109">
        <v>41451</v>
      </c>
      <c r="AI116" s="21">
        <f t="shared" si="19"/>
        <v>49</v>
      </c>
      <c r="AJ116" s="139" t="s">
        <v>181</v>
      </c>
      <c r="AK116" s="137" t="s">
        <v>186</v>
      </c>
      <c r="AL116" s="111" t="s">
        <v>221</v>
      </c>
      <c r="AM116" s="9"/>
      <c r="AN116" s="9"/>
      <c r="AO116" s="9"/>
      <c r="AP116" s="9"/>
    </row>
    <row r="117" spans="1:47" ht="16.5">
      <c r="A117" s="12"/>
      <c r="B117" s="23"/>
      <c r="C117" s="14"/>
      <c r="D117" s="216"/>
      <c r="E117" s="216"/>
      <c r="F117" s="216"/>
      <c r="G117" s="216"/>
      <c r="H117" s="216"/>
      <c r="I117" s="217"/>
      <c r="J117" s="9"/>
      <c r="K117" s="12"/>
      <c r="L117" s="14"/>
      <c r="M117" s="14"/>
      <c r="N117" s="61"/>
      <c r="O117" s="61"/>
      <c r="P117" s="141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09"/>
      <c r="AI117" s="20"/>
      <c r="AJ117" s="59"/>
      <c r="AK117" s="137"/>
      <c r="AL117" s="111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16"/>
      <c r="E118" s="216"/>
      <c r="F118" s="216"/>
      <c r="G118" s="216"/>
      <c r="H118" s="216"/>
      <c r="I118" s="217"/>
      <c r="J118" s="9"/>
      <c r="K118" s="12"/>
      <c r="L118" s="14"/>
      <c r="M118" s="14"/>
      <c r="N118" s="61"/>
      <c r="O118" s="61"/>
      <c r="P118" s="141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09"/>
      <c r="AI118" s="20"/>
      <c r="AJ118" s="59"/>
      <c r="AK118" s="137"/>
      <c r="AL118" s="111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16"/>
      <c r="E119" s="216"/>
      <c r="F119" s="216"/>
      <c r="G119" s="216"/>
      <c r="H119" s="216"/>
      <c r="I119" s="217"/>
      <c r="J119" s="9"/>
      <c r="K119" s="12"/>
      <c r="L119" s="14"/>
      <c r="M119" s="14"/>
      <c r="N119" s="61"/>
      <c r="O119" s="61"/>
      <c r="P119" s="141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09"/>
      <c r="AI119" s="20"/>
      <c r="AJ119" s="59"/>
      <c r="AK119" s="137"/>
      <c r="AL119" s="111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16"/>
      <c r="E120" s="216"/>
      <c r="F120" s="216"/>
      <c r="G120" s="216"/>
      <c r="H120" s="216"/>
      <c r="I120" s="217"/>
      <c r="J120" s="9"/>
      <c r="K120" s="12"/>
      <c r="L120" s="14"/>
      <c r="M120" s="14"/>
      <c r="N120" s="61"/>
      <c r="O120" s="61"/>
      <c r="P120" s="141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09"/>
      <c r="AI120" s="20"/>
      <c r="AJ120" s="59"/>
      <c r="AK120" s="137"/>
      <c r="AL120" s="111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16"/>
      <c r="E121" s="216"/>
      <c r="F121" s="216"/>
      <c r="G121" s="216"/>
      <c r="H121" s="216"/>
      <c r="I121" s="217"/>
      <c r="J121" s="9"/>
      <c r="K121" s="12"/>
      <c r="L121" s="14"/>
      <c r="M121" s="14"/>
      <c r="N121" s="61"/>
      <c r="O121" s="61"/>
      <c r="P121" s="141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09"/>
      <c r="AI121" s="20"/>
      <c r="AJ121" s="59"/>
      <c r="AK121" s="137"/>
      <c r="AL121" s="111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16"/>
      <c r="E122" s="216"/>
      <c r="F122" s="216"/>
      <c r="G122" s="216"/>
      <c r="H122" s="216"/>
      <c r="I122" s="217"/>
      <c r="J122" s="9"/>
      <c r="K122" s="12"/>
      <c r="L122" s="14"/>
      <c r="M122" s="14"/>
      <c r="N122" s="61"/>
      <c r="O122" s="61"/>
      <c r="P122" s="141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09"/>
      <c r="AI122" s="20"/>
      <c r="AJ122" s="59"/>
      <c r="AK122" s="137"/>
      <c r="AL122" s="111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16"/>
      <c r="E123" s="216"/>
      <c r="F123" s="216"/>
      <c r="G123" s="216"/>
      <c r="H123" s="216"/>
      <c r="I123" s="217"/>
      <c r="J123" s="9"/>
      <c r="K123" s="12"/>
      <c r="L123" s="14"/>
      <c r="M123" s="14"/>
      <c r="N123" s="61"/>
      <c r="O123" s="61"/>
      <c r="P123" s="141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09"/>
      <c r="AI123" s="20"/>
      <c r="AJ123" s="59"/>
      <c r="AK123" s="137"/>
      <c r="AL123" s="111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16"/>
      <c r="E124" s="216"/>
      <c r="F124" s="216"/>
      <c r="G124" s="216"/>
      <c r="H124" s="216"/>
      <c r="I124" s="217"/>
      <c r="J124" s="9"/>
      <c r="K124" s="12"/>
      <c r="L124" s="14"/>
      <c r="M124" s="14"/>
      <c r="N124" s="61"/>
      <c r="O124" s="61"/>
      <c r="P124" s="141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09"/>
      <c r="AI124" s="20"/>
      <c r="AJ124" s="59"/>
      <c r="AK124" s="137"/>
      <c r="AL124" s="111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16"/>
      <c r="E125" s="216"/>
      <c r="F125" s="216"/>
      <c r="G125" s="216"/>
      <c r="H125" s="216"/>
      <c r="I125" s="217"/>
      <c r="J125" s="9"/>
      <c r="K125" s="12"/>
      <c r="L125" s="14"/>
      <c r="M125" s="14"/>
      <c r="N125" s="61"/>
      <c r="O125" s="61"/>
      <c r="P125" s="141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09"/>
      <c r="AI125" s="20"/>
      <c r="AJ125" s="59"/>
      <c r="AK125" s="137"/>
      <c r="AL125" s="111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16"/>
      <c r="E126" s="216"/>
      <c r="F126" s="216"/>
      <c r="G126" s="216"/>
      <c r="H126" s="216"/>
      <c r="I126" s="217"/>
      <c r="J126" s="9"/>
      <c r="K126" s="12"/>
      <c r="L126" s="14"/>
      <c r="M126" s="14"/>
      <c r="N126" s="61"/>
      <c r="O126" s="61"/>
      <c r="P126" s="141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09"/>
      <c r="AI126" s="20"/>
      <c r="AJ126" s="59"/>
      <c r="AK126" s="137"/>
      <c r="AL126" s="111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16"/>
      <c r="E127" s="216"/>
      <c r="F127" s="216"/>
      <c r="G127" s="216"/>
      <c r="H127" s="216"/>
      <c r="I127" s="217"/>
      <c r="J127" s="9"/>
      <c r="K127" s="12"/>
      <c r="L127" s="14"/>
      <c r="M127" s="14"/>
      <c r="N127" s="61"/>
      <c r="O127" s="61"/>
      <c r="P127" s="141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09"/>
      <c r="AI127" s="20"/>
      <c r="AJ127" s="59"/>
      <c r="AK127" s="137"/>
      <c r="AL127" s="111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16"/>
      <c r="E128" s="216"/>
      <c r="F128" s="216"/>
      <c r="G128" s="216"/>
      <c r="H128" s="216"/>
      <c r="I128" s="217"/>
      <c r="J128" s="9"/>
      <c r="K128" s="12"/>
      <c r="L128" s="14"/>
      <c r="M128" s="14"/>
      <c r="N128" s="61"/>
      <c r="O128" s="61"/>
      <c r="P128" s="141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09"/>
      <c r="AI128" s="20"/>
      <c r="AJ128" s="59"/>
      <c r="AK128" s="137"/>
      <c r="AL128" s="111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16"/>
      <c r="E129" s="216"/>
      <c r="F129" s="216"/>
      <c r="G129" s="216"/>
      <c r="H129" s="216"/>
      <c r="I129" s="217"/>
      <c r="J129" s="9"/>
      <c r="K129" s="12"/>
      <c r="L129" s="14"/>
      <c r="M129" s="14"/>
      <c r="N129" s="61"/>
      <c r="O129" s="61"/>
      <c r="P129" s="141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09"/>
      <c r="AI129" s="20"/>
      <c r="AJ129" s="59"/>
      <c r="AK129" s="137"/>
      <c r="AL129" s="111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16"/>
      <c r="E130" s="216"/>
      <c r="F130" s="216"/>
      <c r="G130" s="216"/>
      <c r="H130" s="216"/>
      <c r="I130" s="217"/>
      <c r="J130" s="9"/>
      <c r="K130" s="12"/>
      <c r="L130" s="14"/>
      <c r="M130" s="14"/>
      <c r="N130" s="61"/>
      <c r="O130" s="61"/>
      <c r="P130" s="141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09"/>
      <c r="AI130" s="20"/>
      <c r="AJ130" s="59"/>
      <c r="AK130" s="137"/>
      <c r="AL130" s="111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16"/>
      <c r="E131" s="216"/>
      <c r="F131" s="216"/>
      <c r="G131" s="216"/>
      <c r="H131" s="216"/>
      <c r="I131" s="217"/>
      <c r="J131" s="9"/>
      <c r="K131" s="12"/>
      <c r="L131" s="14"/>
      <c r="M131" s="14"/>
      <c r="N131" s="61"/>
      <c r="O131" s="61"/>
      <c r="P131" s="141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09"/>
      <c r="AI131" s="20"/>
      <c r="AJ131" s="59"/>
      <c r="AK131" s="137"/>
      <c r="AL131" s="111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16"/>
      <c r="E132" s="216"/>
      <c r="F132" s="216"/>
      <c r="G132" s="216"/>
      <c r="H132" s="216"/>
      <c r="I132" s="217"/>
      <c r="J132" s="9"/>
      <c r="K132" s="12"/>
      <c r="L132" s="14"/>
      <c r="M132" s="14"/>
      <c r="N132" s="61"/>
      <c r="O132" s="61"/>
      <c r="P132" s="141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09"/>
      <c r="AI132" s="20"/>
      <c r="AJ132" s="59"/>
      <c r="AK132" s="137"/>
      <c r="AL132" s="111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16"/>
      <c r="E133" s="216"/>
      <c r="F133" s="216"/>
      <c r="G133" s="216"/>
      <c r="H133" s="216"/>
      <c r="I133" s="217"/>
      <c r="J133" s="9"/>
      <c r="K133" s="12"/>
      <c r="L133" s="14"/>
      <c r="M133" s="14"/>
      <c r="N133" s="61"/>
      <c r="O133" s="61"/>
      <c r="P133" s="141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09"/>
      <c r="AI133" s="20"/>
      <c r="AJ133" s="59"/>
      <c r="AK133" s="137"/>
      <c r="AL133" s="111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16"/>
      <c r="E134" s="216"/>
      <c r="F134" s="216"/>
      <c r="G134" s="216"/>
      <c r="H134" s="216"/>
      <c r="I134" s="217"/>
      <c r="J134" s="9"/>
      <c r="K134" s="12"/>
      <c r="L134" s="14"/>
      <c r="M134" s="14"/>
      <c r="N134" s="61"/>
      <c r="O134" s="61"/>
      <c r="P134" s="141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09"/>
      <c r="AI134" s="20"/>
      <c r="AJ134" s="59"/>
      <c r="AK134" s="137"/>
      <c r="AL134" s="111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16"/>
      <c r="E135" s="216"/>
      <c r="F135" s="216"/>
      <c r="G135" s="216"/>
      <c r="H135" s="216"/>
      <c r="I135" s="217"/>
      <c r="J135" s="9"/>
      <c r="K135" s="12"/>
      <c r="L135" s="14"/>
      <c r="M135" s="14"/>
      <c r="N135" s="61"/>
      <c r="O135" s="61"/>
      <c r="P135" s="141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09"/>
      <c r="AI135" s="20"/>
      <c r="AJ135" s="59"/>
      <c r="AK135" s="137"/>
      <c r="AL135" s="111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16"/>
      <c r="E136" s="216"/>
      <c r="F136" s="216"/>
      <c r="G136" s="216"/>
      <c r="H136" s="216"/>
      <c r="I136" s="217"/>
      <c r="J136" s="9"/>
      <c r="K136" s="12"/>
      <c r="L136" s="14"/>
      <c r="M136" s="14"/>
      <c r="N136" s="61"/>
      <c r="O136" s="61"/>
      <c r="P136" s="141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09"/>
      <c r="AI136" s="20"/>
      <c r="AJ136" s="59"/>
      <c r="AK136" s="137"/>
      <c r="AL136" s="111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16"/>
      <c r="E137" s="216"/>
      <c r="F137" s="216"/>
      <c r="G137" s="216"/>
      <c r="H137" s="216"/>
      <c r="I137" s="217"/>
      <c r="J137" s="9"/>
      <c r="K137" s="12"/>
      <c r="L137" s="14"/>
      <c r="M137" s="14"/>
      <c r="N137" s="61"/>
      <c r="O137" s="61"/>
      <c r="P137" s="141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09"/>
      <c r="AI137" s="20"/>
      <c r="AJ137" s="59"/>
      <c r="AK137" s="137"/>
      <c r="AL137" s="111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16"/>
      <c r="E138" s="216"/>
      <c r="F138" s="216"/>
      <c r="G138" s="216"/>
      <c r="H138" s="216"/>
      <c r="I138" s="217"/>
      <c r="J138" s="9"/>
      <c r="K138" s="12"/>
      <c r="L138" s="14"/>
      <c r="M138" s="14"/>
      <c r="N138" s="61"/>
      <c r="O138" s="61"/>
      <c r="P138" s="141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09"/>
      <c r="AI138" s="20"/>
      <c r="AJ138" s="59"/>
      <c r="AK138" s="137"/>
      <c r="AL138" s="111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16"/>
      <c r="E139" s="216"/>
      <c r="F139" s="216"/>
      <c r="G139" s="216"/>
      <c r="H139" s="216"/>
      <c r="I139" s="217"/>
      <c r="J139" s="9"/>
      <c r="K139" s="12"/>
      <c r="L139" s="14"/>
      <c r="M139" s="14"/>
      <c r="N139" s="61"/>
      <c r="O139" s="61"/>
      <c r="P139" s="141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09"/>
      <c r="AI139" s="20"/>
      <c r="AJ139" s="59"/>
      <c r="AK139" s="137"/>
      <c r="AL139" s="111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16"/>
      <c r="E140" s="216"/>
      <c r="F140" s="216"/>
      <c r="G140" s="216"/>
      <c r="H140" s="216"/>
      <c r="I140" s="217"/>
      <c r="J140" s="9"/>
      <c r="K140" s="12"/>
      <c r="L140" s="14"/>
      <c r="M140" s="14"/>
      <c r="N140" s="61"/>
      <c r="O140" s="61"/>
      <c r="P140" s="141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09"/>
      <c r="AI140" s="20"/>
      <c r="AJ140" s="59"/>
      <c r="AK140" s="114"/>
      <c r="AL140" s="111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16"/>
      <c r="E141" s="216"/>
      <c r="F141" s="216"/>
      <c r="G141" s="216"/>
      <c r="H141" s="216"/>
      <c r="I141" s="217"/>
      <c r="J141" s="9"/>
      <c r="K141" s="12"/>
      <c r="L141" s="14"/>
      <c r="M141" s="14"/>
      <c r="N141" s="61"/>
      <c r="O141" s="61"/>
      <c r="P141" s="141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09"/>
      <c r="AI141" s="20"/>
      <c r="AJ141" s="59"/>
      <c r="AK141" s="114"/>
      <c r="AL141" s="111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16"/>
      <c r="E142" s="216"/>
      <c r="F142" s="216"/>
      <c r="G142" s="216"/>
      <c r="H142" s="216"/>
      <c r="I142" s="217"/>
      <c r="J142" s="9"/>
      <c r="K142" s="12"/>
      <c r="L142" s="14"/>
      <c r="M142" s="14"/>
      <c r="N142" s="61"/>
      <c r="O142" s="61"/>
      <c r="P142" s="141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09"/>
      <c r="AI142" s="20"/>
      <c r="AJ142" s="59"/>
      <c r="AK142" s="114"/>
      <c r="AL142" s="111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16"/>
      <c r="E143" s="216"/>
      <c r="F143" s="216"/>
      <c r="G143" s="216"/>
      <c r="H143" s="216"/>
      <c r="I143" s="217"/>
      <c r="J143" s="9"/>
      <c r="K143" s="12"/>
      <c r="L143" s="14"/>
      <c r="M143" s="14"/>
      <c r="N143" s="61"/>
      <c r="O143" s="61"/>
      <c r="P143" s="141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09"/>
      <c r="AI143" s="20"/>
      <c r="AJ143" s="59"/>
      <c r="AK143" s="114"/>
      <c r="AL143" s="111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16"/>
      <c r="E144" s="216"/>
      <c r="F144" s="216"/>
      <c r="G144" s="216"/>
      <c r="H144" s="216"/>
      <c r="I144" s="217"/>
      <c r="J144" s="9"/>
      <c r="K144" s="12"/>
      <c r="L144" s="14"/>
      <c r="M144" s="14"/>
      <c r="N144" s="61"/>
      <c r="O144" s="61"/>
      <c r="P144" s="141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09"/>
      <c r="AI144" s="20"/>
      <c r="AJ144" s="59"/>
      <c r="AK144" s="114"/>
      <c r="AL144" s="111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16"/>
      <c r="E145" s="216"/>
      <c r="F145" s="216"/>
      <c r="G145" s="216"/>
      <c r="H145" s="216"/>
      <c r="I145" s="217"/>
      <c r="J145" s="9"/>
      <c r="K145" s="12"/>
      <c r="L145" s="14"/>
      <c r="M145" s="14"/>
      <c r="N145" s="61"/>
      <c r="O145" s="61"/>
      <c r="P145" s="141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09"/>
      <c r="AI145" s="20"/>
      <c r="AJ145" s="59"/>
      <c r="AK145" s="114"/>
      <c r="AL145" s="111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16"/>
      <c r="E146" s="216"/>
      <c r="F146" s="216"/>
      <c r="G146" s="216"/>
      <c r="H146" s="216"/>
      <c r="I146" s="217"/>
      <c r="J146" s="9"/>
      <c r="K146" s="12"/>
      <c r="L146" s="14"/>
      <c r="M146" s="14"/>
      <c r="N146" s="61"/>
      <c r="O146" s="61"/>
      <c r="P146" s="141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09"/>
      <c r="AI146" s="20"/>
      <c r="AJ146" s="59"/>
      <c r="AK146" s="114"/>
      <c r="AL146" s="111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16"/>
      <c r="E147" s="216"/>
      <c r="F147" s="216"/>
      <c r="G147" s="216"/>
      <c r="H147" s="216"/>
      <c r="I147" s="217"/>
      <c r="J147" s="9"/>
      <c r="K147" s="12"/>
      <c r="L147" s="14"/>
      <c r="M147" s="14"/>
      <c r="N147" s="61"/>
      <c r="O147" s="61"/>
      <c r="P147" s="141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09"/>
      <c r="AI147" s="20"/>
      <c r="AJ147" s="59"/>
      <c r="AK147" s="114"/>
      <c r="AL147" s="111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16"/>
      <c r="E148" s="216"/>
      <c r="F148" s="216"/>
      <c r="G148" s="216"/>
      <c r="H148" s="216"/>
      <c r="I148" s="217"/>
      <c r="J148" s="9"/>
      <c r="K148" s="12"/>
      <c r="L148" s="14"/>
      <c r="M148" s="14"/>
      <c r="N148" s="61"/>
      <c r="O148" s="61"/>
      <c r="P148" s="141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09"/>
      <c r="AI148" s="20"/>
      <c r="AJ148" s="59"/>
      <c r="AK148" s="114"/>
      <c r="AL148" s="111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16"/>
      <c r="E149" s="216"/>
      <c r="F149" s="216"/>
      <c r="G149" s="216"/>
      <c r="H149" s="216"/>
      <c r="I149" s="217"/>
      <c r="J149" s="9"/>
      <c r="K149" s="12"/>
      <c r="L149" s="14"/>
      <c r="M149" s="14"/>
      <c r="N149" s="61"/>
      <c r="O149" s="61"/>
      <c r="P149" s="141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4"/>
      <c r="AL149" s="111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16"/>
      <c r="E150" s="216"/>
      <c r="F150" s="216"/>
      <c r="G150" s="216"/>
      <c r="H150" s="216"/>
      <c r="I150" s="217"/>
      <c r="J150" s="9"/>
      <c r="K150" s="12"/>
      <c r="L150" s="14"/>
      <c r="M150" s="14"/>
      <c r="N150" s="61"/>
      <c r="O150" s="61"/>
      <c r="P150" s="141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4"/>
      <c r="AL150" s="111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16"/>
      <c r="E151" s="216"/>
      <c r="F151" s="216"/>
      <c r="G151" s="216"/>
      <c r="H151" s="216"/>
      <c r="I151" s="217"/>
      <c r="J151" s="9"/>
      <c r="K151" s="12"/>
      <c r="L151" s="14"/>
      <c r="M151" s="14"/>
      <c r="N151" s="61"/>
      <c r="O151" s="61"/>
      <c r="P151" s="141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4"/>
    </row>
    <row r="152" spans="1:42" ht="16.5">
      <c r="A152" s="12"/>
      <c r="B152" s="23"/>
      <c r="C152" s="14"/>
      <c r="D152" s="216"/>
      <c r="E152" s="216"/>
      <c r="F152" s="216"/>
      <c r="G152" s="216"/>
      <c r="H152" s="216"/>
      <c r="I152" s="217"/>
      <c r="J152" s="9"/>
      <c r="K152" s="12"/>
      <c r="L152" s="14"/>
      <c r="M152" s="14"/>
      <c r="N152" s="61"/>
      <c r="O152" s="61"/>
      <c r="P152" s="141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4"/>
    </row>
    <row r="153" spans="1:42" ht="16.5">
      <c r="A153" s="12"/>
      <c r="B153" s="23"/>
      <c r="C153" s="14"/>
      <c r="D153" s="216"/>
      <c r="E153" s="216"/>
      <c r="F153" s="216"/>
      <c r="G153" s="216"/>
      <c r="H153" s="216"/>
      <c r="I153" s="217"/>
      <c r="J153" s="9"/>
      <c r="K153" s="12"/>
      <c r="L153" s="14"/>
      <c r="M153" s="14"/>
      <c r="N153" s="61"/>
      <c r="O153" s="61"/>
      <c r="P153" s="141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4"/>
    </row>
    <row r="154" spans="1:42" ht="16.5">
      <c r="A154" s="12"/>
      <c r="B154" s="23"/>
      <c r="C154" s="14"/>
      <c r="D154" s="216"/>
      <c r="E154" s="216"/>
      <c r="F154" s="216"/>
      <c r="G154" s="216"/>
      <c r="H154" s="216"/>
      <c r="I154" s="217"/>
      <c r="J154" s="9"/>
      <c r="K154" s="12"/>
      <c r="L154" s="14"/>
      <c r="M154" s="14"/>
      <c r="N154" s="61"/>
      <c r="O154" s="61"/>
      <c r="P154" s="141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4"/>
    </row>
    <row r="155" spans="1:42" ht="16.5">
      <c r="A155" s="12"/>
      <c r="B155" s="23"/>
      <c r="C155" s="14"/>
      <c r="D155" s="216"/>
      <c r="E155" s="216"/>
      <c r="F155" s="216"/>
      <c r="G155" s="216"/>
      <c r="H155" s="216"/>
      <c r="I155" s="217"/>
      <c r="J155" s="9"/>
      <c r="K155" s="12"/>
      <c r="L155" s="14"/>
      <c r="M155" s="14"/>
      <c r="N155" s="61"/>
      <c r="O155" s="61"/>
      <c r="P155" s="141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4"/>
    </row>
    <row r="156" spans="1:42" ht="16.5">
      <c r="A156" s="12"/>
      <c r="B156" s="23"/>
      <c r="C156" s="14"/>
      <c r="D156" s="216"/>
      <c r="E156" s="216"/>
      <c r="F156" s="216"/>
      <c r="G156" s="216"/>
      <c r="H156" s="216"/>
      <c r="I156" s="217"/>
      <c r="J156" s="9"/>
      <c r="K156" s="12"/>
      <c r="L156" s="14"/>
      <c r="M156" s="14"/>
      <c r="N156" s="61"/>
      <c r="O156" s="61"/>
      <c r="P156" s="141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4"/>
    </row>
    <row r="157" spans="1:42" ht="16.5">
      <c r="A157" s="12"/>
      <c r="B157" s="23"/>
      <c r="C157" s="14"/>
      <c r="D157" s="216"/>
      <c r="E157" s="216"/>
      <c r="F157" s="216"/>
      <c r="G157" s="216"/>
      <c r="H157" s="216"/>
      <c r="I157" s="217"/>
      <c r="J157" s="9"/>
      <c r="K157" s="12"/>
      <c r="L157" s="14"/>
      <c r="M157" s="14"/>
      <c r="N157" s="61"/>
      <c r="O157" s="61"/>
      <c r="P157" s="141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4"/>
    </row>
    <row r="158" spans="1:42" ht="16.5">
      <c r="A158" s="12"/>
      <c r="B158" s="23"/>
      <c r="C158" s="14"/>
      <c r="D158" s="216"/>
      <c r="E158" s="216"/>
      <c r="F158" s="216"/>
      <c r="G158" s="216"/>
      <c r="H158" s="216"/>
      <c r="I158" s="217"/>
      <c r="J158" s="9"/>
      <c r="K158" s="12"/>
      <c r="L158" s="14"/>
      <c r="M158" s="14"/>
      <c r="N158" s="61"/>
      <c r="O158" s="61"/>
      <c r="P158" s="141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4"/>
    </row>
    <row r="159" spans="1:42" ht="16.5">
      <c r="A159" s="12"/>
      <c r="B159" s="23"/>
      <c r="C159" s="14"/>
      <c r="D159" s="216"/>
      <c r="E159" s="216"/>
      <c r="F159" s="216"/>
      <c r="G159" s="216"/>
      <c r="H159" s="216"/>
      <c r="I159" s="217"/>
      <c r="J159" s="9"/>
      <c r="K159" s="12"/>
      <c r="L159" s="14"/>
      <c r="M159" s="14"/>
      <c r="N159" s="61"/>
      <c r="O159" s="61"/>
      <c r="P159" s="141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4"/>
    </row>
    <row r="160" spans="1:42" ht="16.5">
      <c r="A160" s="12"/>
      <c r="B160" s="23"/>
      <c r="C160" s="14"/>
      <c r="D160" s="216"/>
      <c r="E160" s="216"/>
      <c r="F160" s="216"/>
      <c r="G160" s="216"/>
      <c r="H160" s="216"/>
      <c r="I160" s="217"/>
      <c r="J160" s="9"/>
      <c r="K160" s="12"/>
      <c r="L160" s="14"/>
      <c r="M160" s="14"/>
      <c r="N160" s="61"/>
      <c r="O160" s="61"/>
      <c r="P160" s="141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4"/>
    </row>
    <row r="161" spans="1:37" ht="16.5">
      <c r="A161" s="12"/>
      <c r="B161" s="23"/>
      <c r="C161" s="14"/>
      <c r="D161" s="216"/>
      <c r="E161" s="216"/>
      <c r="F161" s="216"/>
      <c r="G161" s="216"/>
      <c r="H161" s="216"/>
      <c r="I161" s="217"/>
      <c r="J161" s="9"/>
      <c r="K161" s="12"/>
      <c r="L161" s="14"/>
      <c r="M161" s="14"/>
      <c r="N161" s="61"/>
      <c r="O161" s="61"/>
      <c r="P161" s="141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4"/>
    </row>
    <row r="162" spans="1:37" ht="16.5">
      <c r="A162" s="12"/>
      <c r="B162" s="23"/>
      <c r="C162" s="14"/>
      <c r="D162" s="216"/>
      <c r="E162" s="216"/>
      <c r="F162" s="216"/>
      <c r="G162" s="216"/>
      <c r="H162" s="216"/>
      <c r="I162" s="217"/>
      <c r="J162" s="9"/>
      <c r="K162" s="12"/>
      <c r="L162" s="14"/>
      <c r="M162" s="14"/>
      <c r="N162" s="61"/>
      <c r="O162" s="61"/>
      <c r="P162" s="141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4"/>
    </row>
    <row r="163" spans="1:37" ht="16.5">
      <c r="A163" s="12"/>
      <c r="B163" s="23"/>
      <c r="C163" s="14"/>
      <c r="D163" s="216"/>
      <c r="E163" s="216"/>
      <c r="F163" s="216"/>
      <c r="G163" s="216"/>
      <c r="H163" s="216"/>
      <c r="I163" s="217"/>
      <c r="J163" s="9"/>
      <c r="K163" s="12"/>
      <c r="L163" s="14"/>
      <c r="M163" s="14"/>
      <c r="N163" s="61"/>
      <c r="O163" s="61"/>
      <c r="P163" s="141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4"/>
    </row>
    <row r="164" spans="1:37" ht="16.5">
      <c r="A164" s="12"/>
      <c r="B164" s="23"/>
      <c r="C164" s="14"/>
      <c r="D164" s="216"/>
      <c r="E164" s="216"/>
      <c r="F164" s="216"/>
      <c r="G164" s="216"/>
      <c r="H164" s="216"/>
      <c r="I164" s="217"/>
      <c r="J164" s="9"/>
      <c r="K164" s="12"/>
      <c r="L164" s="14"/>
      <c r="M164" s="14"/>
      <c r="N164" s="61"/>
      <c r="O164" s="61"/>
      <c r="P164" s="141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4"/>
    </row>
    <row r="165" spans="1:37" ht="16.5">
      <c r="A165" s="12"/>
      <c r="B165" s="23"/>
      <c r="C165" s="14"/>
      <c r="D165" s="216"/>
      <c r="E165" s="216"/>
      <c r="F165" s="216"/>
      <c r="G165" s="216"/>
      <c r="H165" s="216"/>
      <c r="I165" s="217"/>
      <c r="J165" s="9"/>
      <c r="K165" s="12"/>
      <c r="L165" s="14"/>
      <c r="M165" s="14"/>
      <c r="N165" s="61"/>
      <c r="O165" s="61"/>
      <c r="P165" s="141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4"/>
    </row>
    <row r="166" spans="1:37" ht="16.5">
      <c r="A166" s="12"/>
      <c r="B166" s="23"/>
      <c r="C166" s="14"/>
      <c r="D166" s="216"/>
      <c r="E166" s="216"/>
      <c r="F166" s="216"/>
      <c r="G166" s="216"/>
      <c r="H166" s="216"/>
      <c r="I166" s="217"/>
      <c r="J166" s="9"/>
      <c r="K166" s="12"/>
      <c r="L166" s="14"/>
      <c r="M166" s="14"/>
      <c r="N166" s="61"/>
      <c r="O166" s="61"/>
      <c r="P166" s="141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4"/>
    </row>
    <row r="167" spans="1:37" ht="16.5">
      <c r="A167" s="12"/>
      <c r="B167" s="23"/>
      <c r="C167" s="14"/>
      <c r="D167" s="216"/>
      <c r="E167" s="216"/>
      <c r="F167" s="216"/>
      <c r="G167" s="216"/>
      <c r="H167" s="216"/>
      <c r="I167" s="217"/>
      <c r="J167" s="9"/>
      <c r="K167" s="12"/>
      <c r="L167" s="14"/>
      <c r="M167" s="14"/>
      <c r="N167" s="61"/>
      <c r="O167" s="61"/>
      <c r="P167" s="141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4"/>
    </row>
    <row r="168" spans="1:37" ht="16.5">
      <c r="A168" s="12"/>
      <c r="B168" s="23"/>
      <c r="C168" s="14"/>
      <c r="D168" s="216"/>
      <c r="E168" s="216"/>
      <c r="F168" s="216"/>
      <c r="G168" s="216"/>
      <c r="H168" s="216"/>
      <c r="I168" s="217"/>
      <c r="J168" s="9"/>
      <c r="K168" s="12"/>
      <c r="L168" s="14"/>
      <c r="M168" s="14"/>
      <c r="N168" s="61"/>
      <c r="O168" s="61"/>
      <c r="P168" s="141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4"/>
    </row>
    <row r="169" spans="1:37" ht="16.5">
      <c r="A169" s="12"/>
      <c r="B169" s="23"/>
      <c r="C169" s="14"/>
      <c r="D169" s="216"/>
      <c r="E169" s="216"/>
      <c r="F169" s="216"/>
      <c r="G169" s="216"/>
      <c r="H169" s="216"/>
      <c r="I169" s="217"/>
      <c r="J169" s="9"/>
      <c r="K169" s="12"/>
      <c r="L169" s="14"/>
      <c r="M169" s="14"/>
      <c r="N169" s="61"/>
      <c r="O169" s="61"/>
      <c r="P169" s="141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4"/>
    </row>
    <row r="170" spans="1:37" ht="16.5">
      <c r="A170" s="12"/>
      <c r="B170" s="23"/>
      <c r="C170" s="14"/>
      <c r="D170" s="216"/>
      <c r="E170" s="216"/>
      <c r="F170" s="216"/>
      <c r="G170" s="216"/>
      <c r="H170" s="216"/>
      <c r="I170" s="217"/>
      <c r="J170" s="9"/>
      <c r="K170" s="12"/>
      <c r="L170" s="14"/>
      <c r="M170" s="14"/>
      <c r="N170" s="61"/>
      <c r="O170" s="61"/>
      <c r="P170" s="141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4"/>
    </row>
    <row r="171" spans="1:37" ht="16.5">
      <c r="A171" s="12"/>
      <c r="B171" s="23"/>
      <c r="C171" s="14"/>
      <c r="D171" s="216"/>
      <c r="E171" s="216"/>
      <c r="F171" s="216"/>
      <c r="G171" s="216"/>
      <c r="H171" s="216"/>
      <c r="I171" s="217"/>
      <c r="J171" s="9"/>
      <c r="K171" s="12"/>
      <c r="L171" s="14"/>
      <c r="M171" s="14"/>
      <c r="N171" s="61"/>
      <c r="O171" s="61"/>
      <c r="P171" s="141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4"/>
    </row>
    <row r="172" spans="1:37" ht="16.5">
      <c r="A172" s="12"/>
      <c r="B172" s="23"/>
      <c r="C172" s="14"/>
      <c r="D172" s="216"/>
      <c r="E172" s="216"/>
      <c r="F172" s="216"/>
      <c r="G172" s="216"/>
      <c r="H172" s="216"/>
      <c r="I172" s="217"/>
      <c r="J172" s="9"/>
      <c r="K172" s="12"/>
      <c r="L172" s="14"/>
      <c r="M172" s="14"/>
      <c r="N172" s="61"/>
      <c r="O172" s="61"/>
      <c r="P172" s="141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4"/>
    </row>
    <row r="173" spans="1:37" ht="16.5">
      <c r="A173" s="12"/>
      <c r="B173" s="23"/>
      <c r="C173" s="14"/>
      <c r="D173" s="216"/>
      <c r="E173" s="216"/>
      <c r="F173" s="216"/>
      <c r="G173" s="216"/>
      <c r="H173" s="216"/>
      <c r="I173" s="217"/>
      <c r="J173" s="9"/>
      <c r="K173" s="12"/>
      <c r="L173" s="14"/>
      <c r="M173" s="14"/>
      <c r="N173" s="61"/>
      <c r="O173" s="61"/>
      <c r="P173" s="141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4"/>
    </row>
    <row r="174" spans="1:37" ht="16.5">
      <c r="A174" s="12"/>
      <c r="B174" s="23"/>
      <c r="C174" s="14"/>
      <c r="D174" s="216"/>
      <c r="E174" s="216"/>
      <c r="F174" s="216"/>
      <c r="G174" s="216"/>
      <c r="H174" s="216"/>
      <c r="I174" s="217"/>
      <c r="J174" s="9"/>
      <c r="K174" s="12"/>
      <c r="L174" s="14"/>
      <c r="M174" s="14"/>
      <c r="N174" s="61"/>
      <c r="O174" s="61"/>
      <c r="P174" s="141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4"/>
    </row>
    <row r="175" spans="1:37" ht="16.5">
      <c r="A175" s="12"/>
      <c r="B175" s="23"/>
      <c r="C175" s="14"/>
      <c r="D175" s="216"/>
      <c r="E175" s="216"/>
      <c r="F175" s="216"/>
      <c r="G175" s="216"/>
      <c r="H175" s="216"/>
      <c r="I175" s="217"/>
      <c r="J175" s="9"/>
      <c r="K175" s="12"/>
      <c r="L175" s="14"/>
      <c r="M175" s="14"/>
      <c r="N175" s="61"/>
      <c r="O175" s="61"/>
      <c r="P175" s="141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4"/>
    </row>
    <row r="176" spans="1:37" ht="16.5">
      <c r="A176" s="12"/>
      <c r="B176" s="23"/>
      <c r="C176" s="14"/>
      <c r="D176" s="216"/>
      <c r="E176" s="216"/>
      <c r="F176" s="216"/>
      <c r="G176" s="216"/>
      <c r="H176" s="216"/>
      <c r="I176" s="217"/>
      <c r="J176" s="9"/>
      <c r="K176" s="12"/>
      <c r="L176" s="14"/>
      <c r="M176" s="14"/>
      <c r="N176" s="61"/>
      <c r="O176" s="61"/>
      <c r="P176" s="141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4"/>
    </row>
    <row r="177" spans="1:37" ht="16.5">
      <c r="A177" s="12"/>
      <c r="B177" s="23"/>
      <c r="C177" s="14"/>
      <c r="D177" s="216"/>
      <c r="E177" s="216"/>
      <c r="F177" s="216"/>
      <c r="G177" s="216"/>
      <c r="H177" s="216"/>
      <c r="I177" s="217"/>
      <c r="J177" s="9"/>
      <c r="K177" s="12"/>
      <c r="L177" s="14"/>
      <c r="M177" s="14"/>
      <c r="N177" s="61"/>
      <c r="O177" s="61"/>
      <c r="P177" s="141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4"/>
    </row>
    <row r="178" spans="1:37" ht="16.5">
      <c r="A178" s="12"/>
      <c r="B178" s="23"/>
      <c r="C178" s="14"/>
      <c r="D178" s="216"/>
      <c r="E178" s="216"/>
      <c r="F178" s="216"/>
      <c r="G178" s="216"/>
      <c r="H178" s="216"/>
      <c r="I178" s="217"/>
      <c r="J178" s="9"/>
      <c r="K178" s="12"/>
      <c r="L178" s="14"/>
      <c r="M178" s="14"/>
      <c r="N178" s="61"/>
      <c r="O178" s="61"/>
      <c r="P178" s="141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4"/>
    </row>
    <row r="179" spans="1:37" ht="16.5">
      <c r="A179" s="12"/>
      <c r="B179" s="23"/>
      <c r="C179" s="14"/>
      <c r="D179" s="216"/>
      <c r="E179" s="216"/>
      <c r="F179" s="216"/>
      <c r="G179" s="216"/>
      <c r="H179" s="216"/>
      <c r="I179" s="217"/>
      <c r="J179" s="9"/>
      <c r="K179" s="12"/>
      <c r="L179" s="14"/>
      <c r="M179" s="14"/>
      <c r="N179" s="61"/>
      <c r="O179" s="61"/>
      <c r="P179" s="141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4"/>
    </row>
    <row r="180" spans="1:37" ht="16.5">
      <c r="A180" s="12"/>
      <c r="B180" s="23"/>
      <c r="C180" s="14"/>
      <c r="D180" s="216"/>
      <c r="E180" s="216"/>
      <c r="F180" s="216"/>
      <c r="G180" s="216"/>
      <c r="H180" s="216"/>
      <c r="I180" s="217"/>
      <c r="J180" s="9"/>
      <c r="K180" s="12"/>
      <c r="L180" s="14"/>
      <c r="M180" s="14"/>
      <c r="N180" s="61"/>
      <c r="O180" s="61"/>
      <c r="P180" s="141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4"/>
    </row>
    <row r="181" spans="1:37" ht="16.5">
      <c r="A181" s="12"/>
      <c r="B181" s="23"/>
      <c r="C181" s="14"/>
      <c r="D181" s="216"/>
      <c r="E181" s="216"/>
      <c r="F181" s="216"/>
      <c r="G181" s="216"/>
      <c r="H181" s="216"/>
      <c r="I181" s="217"/>
      <c r="J181" s="9"/>
      <c r="K181" s="12"/>
      <c r="L181" s="14"/>
      <c r="M181" s="14"/>
      <c r="N181" s="61"/>
      <c r="O181" s="61"/>
      <c r="P181" s="141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4"/>
    </row>
    <row r="182" spans="1:37" ht="16.5">
      <c r="A182" s="12"/>
      <c r="B182" s="23"/>
      <c r="C182" s="14"/>
      <c r="D182" s="216"/>
      <c r="E182" s="216"/>
      <c r="F182" s="216"/>
      <c r="G182" s="216"/>
      <c r="H182" s="216"/>
      <c r="I182" s="217"/>
      <c r="J182" s="9"/>
      <c r="K182" s="12"/>
      <c r="L182" s="14"/>
      <c r="M182" s="14"/>
      <c r="N182" s="61"/>
      <c r="O182" s="61"/>
      <c r="P182" s="141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4"/>
    </row>
    <row r="183" spans="1:37" ht="16.5">
      <c r="A183" s="12"/>
      <c r="B183" s="23"/>
      <c r="C183" s="14"/>
      <c r="D183" s="216"/>
      <c r="E183" s="216"/>
      <c r="F183" s="216"/>
      <c r="G183" s="216"/>
      <c r="H183" s="216"/>
      <c r="I183" s="217"/>
      <c r="J183" s="9"/>
      <c r="K183" s="12"/>
      <c r="L183" s="14"/>
      <c r="M183" s="14"/>
      <c r="N183" s="61"/>
      <c r="O183" s="61"/>
      <c r="P183" s="141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4"/>
    </row>
    <row r="184" spans="1:37" ht="16.5">
      <c r="A184" s="12"/>
      <c r="B184" s="23"/>
      <c r="C184" s="14"/>
      <c r="D184" s="216"/>
      <c r="E184" s="216"/>
      <c r="F184" s="216"/>
      <c r="G184" s="216"/>
      <c r="H184" s="216"/>
      <c r="I184" s="217"/>
      <c r="J184" s="9"/>
      <c r="K184" s="12"/>
      <c r="L184" s="14"/>
      <c r="M184" s="14"/>
      <c r="N184" s="61"/>
      <c r="O184" s="61"/>
      <c r="P184" s="141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4"/>
    </row>
    <row r="185" spans="1:37" ht="16.5">
      <c r="A185" s="12"/>
      <c r="B185" s="23"/>
      <c r="C185" s="14"/>
      <c r="D185" s="216"/>
      <c r="E185" s="216"/>
      <c r="F185" s="216"/>
      <c r="G185" s="216"/>
      <c r="H185" s="216"/>
      <c r="I185" s="217"/>
      <c r="J185" s="9"/>
      <c r="K185" s="12"/>
      <c r="L185" s="14"/>
      <c r="M185" s="14"/>
      <c r="N185" s="61"/>
      <c r="O185" s="61"/>
      <c r="P185" s="141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4"/>
    </row>
    <row r="186" spans="1:37" ht="16.5">
      <c r="A186" s="12"/>
      <c r="B186" s="23"/>
      <c r="C186" s="14"/>
      <c r="D186" s="216"/>
      <c r="E186" s="216"/>
      <c r="F186" s="216"/>
      <c r="G186" s="216"/>
      <c r="H186" s="216"/>
      <c r="I186" s="217"/>
      <c r="J186" s="9"/>
      <c r="K186" s="12"/>
      <c r="L186" s="14"/>
      <c r="M186" s="14"/>
      <c r="N186" s="61"/>
      <c r="O186" s="61"/>
      <c r="P186" s="141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4"/>
    </row>
    <row r="187" spans="1:37" ht="16.5">
      <c r="A187" s="12"/>
      <c r="B187" s="23"/>
      <c r="C187" s="14"/>
      <c r="D187" s="216"/>
      <c r="E187" s="216"/>
      <c r="F187" s="216"/>
      <c r="G187" s="216"/>
      <c r="H187" s="216"/>
      <c r="I187" s="217"/>
      <c r="J187" s="9"/>
      <c r="K187" s="12"/>
      <c r="L187" s="14"/>
      <c r="M187" s="14"/>
      <c r="N187" s="61"/>
      <c r="O187" s="61"/>
      <c r="P187" s="141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4"/>
    </row>
    <row r="188" spans="1:37" ht="16.5">
      <c r="A188" s="12"/>
      <c r="B188" s="23"/>
      <c r="C188" s="14"/>
      <c r="D188" s="216"/>
      <c r="E188" s="216"/>
      <c r="F188" s="216"/>
      <c r="G188" s="216"/>
      <c r="H188" s="216"/>
      <c r="I188" s="217"/>
      <c r="J188" s="9"/>
      <c r="K188" s="12"/>
      <c r="L188" s="14"/>
      <c r="M188" s="14"/>
      <c r="N188" s="61"/>
      <c r="O188" s="61"/>
      <c r="P188" s="141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4"/>
    </row>
    <row r="189" spans="1:37" ht="16.5">
      <c r="A189" s="12"/>
      <c r="B189" s="23"/>
      <c r="C189" s="14"/>
      <c r="D189" s="216"/>
      <c r="E189" s="216"/>
      <c r="F189" s="216"/>
      <c r="G189" s="216"/>
      <c r="H189" s="216"/>
      <c r="I189" s="217"/>
      <c r="J189" s="9"/>
      <c r="K189" s="12"/>
      <c r="L189" s="14"/>
      <c r="M189" s="14"/>
      <c r="N189" s="61"/>
      <c r="O189" s="61"/>
      <c r="P189" s="141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4"/>
    </row>
    <row r="190" spans="1:37" ht="16.5">
      <c r="A190" s="12"/>
      <c r="B190" s="23"/>
      <c r="C190" s="14"/>
      <c r="D190" s="216"/>
      <c r="E190" s="216"/>
      <c r="F190" s="216"/>
      <c r="G190" s="216"/>
      <c r="H190" s="216"/>
      <c r="I190" s="217"/>
      <c r="J190" s="9"/>
      <c r="K190" s="12"/>
      <c r="L190" s="14"/>
      <c r="M190" s="14"/>
      <c r="N190" s="61"/>
      <c r="O190" s="61"/>
      <c r="P190" s="141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4"/>
    </row>
    <row r="191" spans="1:37" ht="16.5">
      <c r="A191" s="12"/>
      <c r="B191" s="23"/>
      <c r="C191" s="14"/>
      <c r="D191" s="216"/>
      <c r="E191" s="216"/>
      <c r="F191" s="216"/>
      <c r="G191" s="216"/>
      <c r="H191" s="216"/>
      <c r="I191" s="217"/>
      <c r="J191" s="9"/>
      <c r="K191" s="12"/>
      <c r="L191" s="14"/>
      <c r="M191" s="14"/>
      <c r="N191" s="61"/>
      <c r="O191" s="61"/>
      <c r="P191" s="141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4"/>
    </row>
    <row r="192" spans="1:37" ht="16.5">
      <c r="A192" s="12"/>
      <c r="B192" s="23"/>
      <c r="C192" s="14"/>
      <c r="D192" s="216"/>
      <c r="E192" s="216"/>
      <c r="F192" s="216"/>
      <c r="G192" s="216"/>
      <c r="H192" s="216"/>
      <c r="I192" s="217"/>
      <c r="J192" s="9"/>
      <c r="K192" s="12"/>
      <c r="L192" s="14"/>
      <c r="M192" s="14"/>
      <c r="N192" s="61"/>
      <c r="O192" s="61"/>
      <c r="P192" s="141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4"/>
    </row>
    <row r="193" spans="1:37" ht="16.5">
      <c r="A193" s="12"/>
      <c r="B193" s="23"/>
      <c r="C193" s="14"/>
      <c r="D193" s="216"/>
      <c r="E193" s="216"/>
      <c r="F193" s="216"/>
      <c r="G193" s="216"/>
      <c r="H193" s="216"/>
      <c r="I193" s="217"/>
      <c r="J193" s="9"/>
      <c r="K193" s="12"/>
      <c r="L193" s="14"/>
      <c r="M193" s="14"/>
      <c r="N193" s="61"/>
      <c r="O193" s="61"/>
      <c r="P193" s="141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4"/>
    </row>
    <row r="194" spans="1:37" ht="16.5">
      <c r="A194" s="12"/>
      <c r="B194" s="23"/>
      <c r="C194" s="14"/>
      <c r="D194" s="216"/>
      <c r="E194" s="216"/>
      <c r="F194" s="216"/>
      <c r="G194" s="216"/>
      <c r="H194" s="216"/>
      <c r="I194" s="217"/>
      <c r="J194" s="9"/>
      <c r="K194" s="12"/>
      <c r="L194" s="14"/>
      <c r="M194" s="14"/>
      <c r="N194" s="61"/>
      <c r="O194" s="61"/>
      <c r="P194" s="141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4"/>
    </row>
    <row r="195" spans="1:37" ht="16.5">
      <c r="A195" s="12"/>
      <c r="B195" s="23"/>
      <c r="C195" s="14"/>
      <c r="D195" s="216"/>
      <c r="E195" s="216"/>
      <c r="F195" s="216"/>
      <c r="G195" s="216"/>
      <c r="H195" s="216"/>
      <c r="I195" s="217"/>
      <c r="J195" s="9"/>
      <c r="K195" s="12"/>
      <c r="L195" s="14"/>
      <c r="M195" s="14"/>
      <c r="N195" s="61"/>
      <c r="O195" s="61"/>
      <c r="P195" s="141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4"/>
    </row>
    <row r="196" spans="1:37" ht="16.5">
      <c r="A196" s="12"/>
      <c r="B196" s="23"/>
      <c r="C196" s="14"/>
      <c r="D196" s="216"/>
      <c r="E196" s="216"/>
      <c r="F196" s="216"/>
      <c r="G196" s="216"/>
      <c r="H196" s="216"/>
      <c r="I196" s="217"/>
      <c r="J196" s="9"/>
      <c r="K196" s="12"/>
      <c r="L196" s="14"/>
      <c r="M196" s="14"/>
      <c r="N196" s="61"/>
      <c r="O196" s="61"/>
      <c r="P196" s="141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4"/>
    </row>
    <row r="197" spans="1:37" ht="16.5">
      <c r="A197" s="12"/>
      <c r="B197" s="23"/>
      <c r="C197" s="14"/>
      <c r="D197" s="216"/>
      <c r="E197" s="216"/>
      <c r="F197" s="216"/>
      <c r="G197" s="216"/>
      <c r="H197" s="216"/>
      <c r="I197" s="217"/>
      <c r="J197" s="9"/>
      <c r="K197" s="12"/>
      <c r="L197" s="14"/>
      <c r="M197" s="14"/>
      <c r="N197" s="61"/>
      <c r="O197" s="61"/>
      <c r="P197" s="141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4"/>
    </row>
    <row r="198" spans="1:37" ht="16.5">
      <c r="A198" s="12"/>
      <c r="B198" s="23"/>
      <c r="C198" s="14"/>
      <c r="D198" s="216"/>
      <c r="E198" s="216"/>
      <c r="F198" s="216"/>
      <c r="G198" s="216"/>
      <c r="H198" s="216"/>
      <c r="I198" s="217"/>
      <c r="J198" s="9"/>
      <c r="K198" s="12"/>
      <c r="L198" s="14"/>
      <c r="M198" s="14"/>
      <c r="N198" s="61"/>
      <c r="O198" s="61"/>
      <c r="P198" s="141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16"/>
      <c r="E199" s="216"/>
      <c r="F199" s="216"/>
      <c r="G199" s="216"/>
      <c r="H199" s="216"/>
      <c r="I199" s="217"/>
      <c r="J199" s="9"/>
      <c r="K199" s="12"/>
      <c r="L199" s="14"/>
      <c r="M199" s="14"/>
      <c r="N199" s="61"/>
      <c r="O199" s="61"/>
      <c r="P199" s="141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16"/>
      <c r="E200" s="216"/>
      <c r="F200" s="216"/>
      <c r="G200" s="216"/>
      <c r="H200" s="216"/>
      <c r="I200" s="217"/>
      <c r="J200" s="9"/>
      <c r="K200" s="12"/>
      <c r="L200" s="14"/>
      <c r="M200" s="14"/>
      <c r="N200" s="61"/>
      <c r="O200" s="61"/>
      <c r="P200" s="141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16"/>
      <c r="E201" s="216"/>
      <c r="F201" s="216"/>
      <c r="G201" s="216"/>
      <c r="H201" s="216"/>
      <c r="I201" s="217"/>
      <c r="J201" s="9"/>
      <c r="K201" s="12"/>
      <c r="L201" s="14"/>
      <c r="M201" s="14"/>
      <c r="N201" s="61"/>
      <c r="O201" s="61"/>
      <c r="P201" s="141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16"/>
      <c r="E202" s="216"/>
      <c r="F202" s="216"/>
      <c r="G202" s="216"/>
      <c r="H202" s="216"/>
      <c r="I202" s="217"/>
      <c r="J202" s="9"/>
      <c r="K202" s="12"/>
      <c r="L202" s="14"/>
      <c r="M202" s="14"/>
      <c r="N202" s="61"/>
      <c r="O202" s="61"/>
      <c r="P202" s="141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16"/>
      <c r="E203" s="216"/>
      <c r="F203" s="216"/>
      <c r="G203" s="216"/>
      <c r="H203" s="216"/>
      <c r="I203" s="217"/>
      <c r="J203" s="9"/>
      <c r="K203" s="12"/>
      <c r="L203" s="14"/>
      <c r="M203" s="14"/>
      <c r="N203" s="61"/>
      <c r="O203" s="61"/>
      <c r="P203" s="141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16"/>
      <c r="E204" s="216"/>
      <c r="F204" s="216"/>
      <c r="G204" s="216"/>
      <c r="H204" s="216"/>
      <c r="I204" s="217"/>
      <c r="J204" s="9"/>
      <c r="K204" s="12"/>
      <c r="L204" s="14"/>
      <c r="M204" s="14"/>
      <c r="N204" s="61"/>
      <c r="O204" s="61"/>
      <c r="P204" s="141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16"/>
      <c r="E205" s="216"/>
      <c r="F205" s="216"/>
      <c r="G205" s="216"/>
      <c r="H205" s="216"/>
      <c r="I205" s="217"/>
      <c r="J205" s="9"/>
      <c r="K205" s="12"/>
      <c r="L205" s="14"/>
      <c r="M205" s="14"/>
      <c r="N205" s="61"/>
      <c r="O205" s="61"/>
      <c r="P205" s="141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16"/>
      <c r="E206" s="216"/>
      <c r="F206" s="216"/>
      <c r="G206" s="216"/>
      <c r="H206" s="216"/>
      <c r="I206" s="217"/>
      <c r="J206" s="9"/>
      <c r="K206" s="12"/>
      <c r="L206" s="14"/>
      <c r="M206" s="14"/>
      <c r="N206" s="61"/>
      <c r="O206" s="61"/>
      <c r="P206" s="141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16"/>
      <c r="E207" s="216"/>
      <c r="F207" s="216"/>
      <c r="G207" s="216"/>
      <c r="H207" s="216"/>
      <c r="I207" s="217"/>
      <c r="J207" s="9"/>
      <c r="K207" s="12"/>
      <c r="L207" s="14"/>
      <c r="M207" s="14"/>
      <c r="N207" s="61"/>
      <c r="O207" s="61"/>
      <c r="P207" s="141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16"/>
      <c r="E208" s="216"/>
      <c r="F208" s="216"/>
      <c r="G208" s="216"/>
      <c r="H208" s="216"/>
      <c r="I208" s="217"/>
      <c r="J208" s="9"/>
      <c r="K208" s="12"/>
      <c r="L208" s="14"/>
      <c r="M208" s="14"/>
      <c r="N208" s="61"/>
      <c r="O208" s="61"/>
      <c r="P208" s="141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16"/>
      <c r="E209" s="216"/>
      <c r="F209" s="216"/>
      <c r="G209" s="216"/>
      <c r="H209" s="216"/>
      <c r="I209" s="217"/>
      <c r="J209" s="9"/>
      <c r="K209" s="12"/>
      <c r="L209" s="14"/>
      <c r="M209" s="14"/>
      <c r="N209" s="61"/>
      <c r="O209" s="61"/>
      <c r="P209" s="141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16"/>
      <c r="E210" s="216"/>
      <c r="F210" s="216"/>
      <c r="G210" s="216"/>
      <c r="H210" s="216"/>
      <c r="I210" s="217"/>
      <c r="J210" s="9"/>
      <c r="K210" s="12"/>
      <c r="L210" s="14"/>
      <c r="M210" s="14"/>
      <c r="N210" s="61"/>
      <c r="O210" s="61"/>
      <c r="P210" s="141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16"/>
      <c r="E211" s="216"/>
      <c r="F211" s="216"/>
      <c r="G211" s="216"/>
      <c r="H211" s="216"/>
      <c r="I211" s="217"/>
      <c r="J211" s="9"/>
      <c r="K211" s="12"/>
      <c r="L211" s="14"/>
      <c r="M211" s="14"/>
      <c r="N211" s="61"/>
      <c r="O211" s="61"/>
      <c r="P211" s="141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16"/>
      <c r="E212" s="216"/>
      <c r="F212" s="216"/>
      <c r="G212" s="216"/>
      <c r="H212" s="216"/>
      <c r="I212" s="217"/>
      <c r="J212" s="9"/>
      <c r="K212" s="12"/>
      <c r="L212" s="14"/>
      <c r="M212" s="14"/>
      <c r="N212" s="61"/>
      <c r="O212" s="61"/>
      <c r="P212" s="141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16"/>
      <c r="E213" s="216"/>
      <c r="F213" s="216"/>
      <c r="G213" s="216"/>
      <c r="H213" s="216"/>
      <c r="I213" s="217"/>
      <c r="J213" s="9"/>
      <c r="K213" s="12"/>
      <c r="L213" s="14"/>
      <c r="M213" s="14"/>
      <c r="N213" s="61"/>
      <c r="O213" s="61"/>
      <c r="P213" s="141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16"/>
      <c r="E214" s="216"/>
      <c r="F214" s="216"/>
      <c r="G214" s="216"/>
      <c r="H214" s="216"/>
      <c r="I214" s="217"/>
      <c r="J214" s="9"/>
      <c r="K214" s="12"/>
      <c r="L214" s="14"/>
      <c r="M214" s="14"/>
      <c r="N214" s="61"/>
      <c r="O214" s="61"/>
      <c r="P214" s="141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16"/>
      <c r="E215" s="216"/>
      <c r="F215" s="216"/>
      <c r="G215" s="216"/>
      <c r="H215" s="216"/>
      <c r="I215" s="217"/>
      <c r="J215" s="9"/>
      <c r="K215" s="12"/>
      <c r="L215" s="14"/>
      <c r="M215" s="14"/>
      <c r="N215" s="61"/>
      <c r="O215" s="61"/>
      <c r="P215" s="141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16"/>
      <c r="E216" s="216"/>
      <c r="F216" s="216"/>
      <c r="G216" s="216"/>
      <c r="H216" s="216"/>
      <c r="I216" s="217"/>
      <c r="J216" s="9"/>
      <c r="K216" s="12"/>
      <c r="L216" s="14"/>
      <c r="M216" s="14"/>
      <c r="N216" s="61"/>
      <c r="O216" s="61"/>
      <c r="P216" s="141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16"/>
      <c r="E217" s="216"/>
      <c r="F217" s="216"/>
      <c r="G217" s="216"/>
      <c r="H217" s="216"/>
      <c r="I217" s="217"/>
      <c r="J217" s="9"/>
      <c r="K217" s="12"/>
      <c r="L217" s="14"/>
      <c r="M217" s="14"/>
      <c r="N217" s="61"/>
      <c r="O217" s="61"/>
      <c r="P217" s="141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16"/>
      <c r="E218" s="216"/>
      <c r="F218" s="216"/>
      <c r="G218" s="216"/>
      <c r="H218" s="216"/>
      <c r="I218" s="217"/>
      <c r="J218" s="9"/>
      <c r="K218" s="12"/>
      <c r="L218" s="14"/>
      <c r="M218" s="14"/>
      <c r="N218" s="61"/>
      <c r="O218" s="61"/>
      <c r="P218" s="141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16"/>
      <c r="E219" s="216"/>
      <c r="F219" s="216"/>
      <c r="G219" s="216"/>
      <c r="H219" s="216"/>
      <c r="I219" s="217"/>
      <c r="J219" s="9"/>
      <c r="K219" s="12"/>
      <c r="L219" s="14"/>
      <c r="M219" s="14"/>
      <c r="N219" s="61"/>
      <c r="O219" s="61"/>
      <c r="P219" s="141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16"/>
      <c r="E220" s="216"/>
      <c r="F220" s="216"/>
      <c r="G220" s="216"/>
      <c r="H220" s="216"/>
      <c r="I220" s="217"/>
      <c r="J220" s="9"/>
      <c r="K220" s="12"/>
      <c r="L220" s="14"/>
      <c r="M220" s="14"/>
      <c r="N220" s="61"/>
      <c r="O220" s="61"/>
      <c r="P220" s="141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16"/>
      <c r="E221" s="216"/>
      <c r="F221" s="216"/>
      <c r="G221" s="216"/>
      <c r="H221" s="216"/>
      <c r="I221" s="217"/>
      <c r="J221" s="9"/>
      <c r="K221" s="12"/>
      <c r="L221" s="14"/>
      <c r="M221" s="14"/>
      <c r="N221" s="61"/>
      <c r="O221" s="61"/>
      <c r="P221" s="141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16"/>
      <c r="E222" s="216"/>
      <c r="F222" s="216"/>
      <c r="G222" s="216"/>
      <c r="H222" s="216"/>
      <c r="I222" s="217"/>
      <c r="J222" s="9"/>
      <c r="K222" s="12"/>
      <c r="L222" s="14"/>
      <c r="M222" s="14"/>
      <c r="N222" s="61"/>
      <c r="O222" s="61"/>
      <c r="P222" s="141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16"/>
      <c r="E223" s="216"/>
      <c r="F223" s="216"/>
      <c r="G223" s="216"/>
      <c r="H223" s="216"/>
      <c r="I223" s="217"/>
      <c r="J223" s="9"/>
      <c r="K223" s="12"/>
      <c r="L223" s="14"/>
      <c r="M223" s="14"/>
      <c r="N223" s="61"/>
      <c r="O223" s="61"/>
      <c r="P223" s="141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16"/>
      <c r="E224" s="216"/>
      <c r="F224" s="216"/>
      <c r="G224" s="216"/>
      <c r="H224" s="216"/>
      <c r="I224" s="217"/>
      <c r="J224" s="9"/>
      <c r="K224" s="12"/>
      <c r="L224" s="14"/>
      <c r="M224" s="14"/>
      <c r="N224" s="61"/>
      <c r="O224" s="61"/>
      <c r="P224" s="141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16"/>
      <c r="E225" s="216"/>
      <c r="F225" s="216"/>
      <c r="G225" s="216"/>
      <c r="H225" s="216"/>
      <c r="I225" s="217"/>
      <c r="J225" s="9"/>
      <c r="K225" s="12"/>
      <c r="L225" s="14"/>
      <c r="M225" s="14"/>
      <c r="N225" s="61"/>
      <c r="O225" s="61"/>
      <c r="P225" s="141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16"/>
      <c r="E226" s="216"/>
      <c r="F226" s="216"/>
      <c r="G226" s="216"/>
      <c r="H226" s="216"/>
      <c r="I226" s="217"/>
      <c r="J226" s="9"/>
      <c r="K226" s="12"/>
      <c r="L226" s="14"/>
      <c r="M226" s="14"/>
      <c r="N226" s="61"/>
      <c r="O226" s="61"/>
      <c r="P226" s="141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16"/>
      <c r="E227" s="216"/>
      <c r="F227" s="216"/>
      <c r="G227" s="216"/>
      <c r="H227" s="216"/>
      <c r="I227" s="217"/>
      <c r="J227" s="9"/>
      <c r="K227" s="12"/>
      <c r="L227" s="14"/>
      <c r="M227" s="14"/>
      <c r="N227" s="61"/>
      <c r="O227" s="61"/>
      <c r="P227" s="141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16"/>
      <c r="E228" s="216"/>
      <c r="F228" s="216"/>
      <c r="G228" s="216"/>
      <c r="H228" s="216"/>
      <c r="I228" s="217"/>
      <c r="J228" s="9"/>
      <c r="K228" s="12"/>
      <c r="L228" s="14"/>
      <c r="M228" s="14"/>
      <c r="N228" s="61"/>
      <c r="O228" s="61"/>
      <c r="P228" s="141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16"/>
      <c r="E229" s="216"/>
      <c r="F229" s="216"/>
      <c r="G229" s="216"/>
      <c r="H229" s="216"/>
      <c r="I229" s="217"/>
      <c r="J229" s="9"/>
      <c r="K229" s="12"/>
      <c r="L229" s="14"/>
      <c r="M229" s="14"/>
      <c r="N229" s="61"/>
      <c r="O229" s="61"/>
      <c r="P229" s="141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16"/>
      <c r="E230" s="216"/>
      <c r="F230" s="216"/>
      <c r="G230" s="216"/>
      <c r="H230" s="216"/>
      <c r="I230" s="217"/>
      <c r="J230" s="9"/>
      <c r="K230" s="12"/>
      <c r="L230" s="14"/>
      <c r="M230" s="14"/>
      <c r="N230" s="61"/>
      <c r="O230" s="61"/>
      <c r="P230" s="141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16"/>
      <c r="E231" s="216"/>
      <c r="F231" s="216"/>
      <c r="G231" s="216"/>
      <c r="H231" s="216"/>
      <c r="I231" s="217"/>
      <c r="J231" s="9"/>
      <c r="K231" s="12"/>
      <c r="L231" s="14"/>
      <c r="M231" s="14"/>
      <c r="N231" s="61"/>
      <c r="O231" s="61"/>
      <c r="P231" s="141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16"/>
      <c r="E232" s="216"/>
      <c r="F232" s="216"/>
      <c r="G232" s="216"/>
      <c r="H232" s="216"/>
      <c r="I232" s="217"/>
      <c r="J232" s="9"/>
      <c r="K232" s="12"/>
      <c r="L232" s="14"/>
      <c r="M232" s="14"/>
      <c r="N232" s="61"/>
      <c r="O232" s="61"/>
      <c r="P232" s="141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16"/>
      <c r="E233" s="216"/>
      <c r="F233" s="216"/>
      <c r="G233" s="216"/>
      <c r="H233" s="216"/>
      <c r="I233" s="217"/>
      <c r="J233" s="9"/>
      <c r="K233" s="12"/>
      <c r="L233" s="14"/>
      <c r="M233" s="14"/>
      <c r="N233" s="61"/>
      <c r="O233" s="61"/>
      <c r="P233" s="141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16"/>
      <c r="E234" s="216"/>
      <c r="F234" s="216"/>
      <c r="G234" s="216"/>
      <c r="H234" s="216"/>
      <c r="I234" s="217"/>
      <c r="J234" s="9"/>
      <c r="K234" s="12"/>
      <c r="L234" s="14"/>
      <c r="M234" s="14"/>
      <c r="N234" s="61"/>
      <c r="O234" s="61"/>
      <c r="P234" s="141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16"/>
      <c r="E235" s="216"/>
      <c r="F235" s="216"/>
      <c r="G235" s="216"/>
      <c r="H235" s="216"/>
      <c r="I235" s="217"/>
      <c r="J235" s="9"/>
      <c r="K235" s="12"/>
      <c r="L235" s="14"/>
      <c r="M235" s="14"/>
      <c r="N235" s="61"/>
      <c r="O235" s="61"/>
      <c r="P235" s="141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16"/>
      <c r="E236" s="216"/>
      <c r="F236" s="216"/>
      <c r="G236" s="216"/>
      <c r="H236" s="216"/>
      <c r="I236" s="217"/>
      <c r="J236" s="9"/>
      <c r="K236" s="12"/>
      <c r="L236" s="14"/>
      <c r="M236" s="14"/>
      <c r="N236" s="61"/>
      <c r="O236" s="61"/>
      <c r="P236" s="141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16"/>
      <c r="E237" s="216"/>
      <c r="F237" s="216"/>
      <c r="G237" s="216"/>
      <c r="H237" s="216"/>
      <c r="I237" s="217"/>
      <c r="J237" s="9"/>
      <c r="K237" s="12"/>
      <c r="L237" s="14"/>
      <c r="M237" s="14"/>
      <c r="N237" s="61"/>
      <c r="O237" s="61"/>
      <c r="P237" s="141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16"/>
      <c r="E238" s="216"/>
      <c r="F238" s="216"/>
      <c r="G238" s="216"/>
      <c r="H238" s="216"/>
      <c r="I238" s="217"/>
      <c r="J238" s="9"/>
      <c r="K238" s="12"/>
      <c r="L238" s="14"/>
      <c r="M238" s="14"/>
      <c r="N238" s="61"/>
      <c r="O238" s="61"/>
      <c r="P238" s="141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16"/>
      <c r="E239" s="216"/>
      <c r="F239" s="216"/>
      <c r="G239" s="216"/>
      <c r="H239" s="216"/>
      <c r="I239" s="217"/>
      <c r="J239" s="9"/>
      <c r="K239" s="12"/>
      <c r="L239" s="14"/>
      <c r="M239" s="14"/>
      <c r="N239" s="61"/>
      <c r="O239" s="61"/>
      <c r="P239" s="141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16"/>
      <c r="E240" s="216"/>
      <c r="F240" s="216"/>
      <c r="G240" s="216"/>
      <c r="H240" s="216"/>
      <c r="I240" s="217"/>
      <c r="J240" s="9"/>
      <c r="K240" s="12"/>
      <c r="L240" s="14"/>
      <c r="M240" s="14"/>
      <c r="N240" s="61"/>
      <c r="O240" s="61"/>
      <c r="P240" s="141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16"/>
      <c r="E241" s="216"/>
      <c r="F241" s="216"/>
      <c r="G241" s="216"/>
      <c r="H241" s="216"/>
      <c r="I241" s="217"/>
      <c r="J241" s="9"/>
      <c r="K241" s="12"/>
      <c r="L241" s="14"/>
      <c r="M241" s="14"/>
      <c r="N241" s="61"/>
      <c r="O241" s="61"/>
      <c r="P241" s="141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16"/>
      <c r="E242" s="216"/>
      <c r="F242" s="216"/>
      <c r="G242" s="216"/>
      <c r="H242" s="216"/>
      <c r="I242" s="217"/>
      <c r="J242" s="9"/>
      <c r="K242" s="12"/>
      <c r="L242" s="14"/>
      <c r="M242" s="14"/>
      <c r="N242" s="61"/>
      <c r="O242" s="61"/>
      <c r="P242" s="141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16"/>
      <c r="E243" s="216"/>
      <c r="F243" s="216"/>
      <c r="G243" s="216"/>
      <c r="H243" s="216"/>
      <c r="I243" s="217"/>
      <c r="J243" s="9"/>
      <c r="K243" s="12"/>
      <c r="L243" s="14"/>
      <c r="M243" s="14"/>
      <c r="N243" s="61"/>
      <c r="O243" s="61"/>
      <c r="P243" s="141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16"/>
      <c r="E244" s="216"/>
      <c r="F244" s="216"/>
      <c r="G244" s="216"/>
      <c r="H244" s="216"/>
      <c r="I244" s="217"/>
      <c r="J244" s="9"/>
      <c r="K244" s="12"/>
      <c r="L244" s="14"/>
      <c r="M244" s="14"/>
      <c r="N244" s="61"/>
      <c r="O244" s="61"/>
      <c r="P244" s="141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16"/>
      <c r="E245" s="216"/>
      <c r="F245" s="216"/>
      <c r="G245" s="216"/>
      <c r="H245" s="216"/>
      <c r="I245" s="217"/>
      <c r="J245" s="9"/>
      <c r="K245" s="12"/>
      <c r="L245" s="14"/>
      <c r="M245" s="14"/>
      <c r="N245" s="61"/>
      <c r="O245" s="61"/>
      <c r="P245" s="141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16"/>
      <c r="E246" s="216"/>
      <c r="F246" s="216"/>
      <c r="G246" s="216"/>
      <c r="H246" s="216"/>
      <c r="I246" s="217"/>
      <c r="J246" s="9"/>
      <c r="K246" s="12"/>
      <c r="L246" s="14"/>
      <c r="M246" s="14"/>
      <c r="N246" s="61"/>
      <c r="O246" s="61"/>
      <c r="P246" s="141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16"/>
      <c r="E247" s="216"/>
      <c r="F247" s="216"/>
      <c r="G247" s="216"/>
      <c r="H247" s="216"/>
      <c r="I247" s="217"/>
      <c r="J247" s="9"/>
      <c r="K247" s="12"/>
      <c r="L247" s="14"/>
      <c r="M247" s="14"/>
      <c r="N247" s="61"/>
      <c r="O247" s="61"/>
      <c r="P247" s="141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16"/>
      <c r="E248" s="216"/>
      <c r="F248" s="216"/>
      <c r="G248" s="216"/>
      <c r="H248" s="216"/>
      <c r="I248" s="217"/>
      <c r="J248" s="9"/>
      <c r="K248" s="12"/>
      <c r="L248" s="14"/>
      <c r="M248" s="14"/>
      <c r="N248" s="61"/>
      <c r="O248" s="61"/>
      <c r="P248" s="141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16"/>
      <c r="E249" s="216"/>
      <c r="F249" s="216"/>
      <c r="G249" s="216"/>
      <c r="H249" s="216"/>
      <c r="I249" s="217"/>
      <c r="J249" s="9"/>
      <c r="K249" s="12"/>
      <c r="L249" s="14"/>
      <c r="M249" s="14"/>
      <c r="N249" s="61"/>
      <c r="O249" s="61"/>
      <c r="P249" s="141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16"/>
      <c r="E250" s="216"/>
      <c r="F250" s="216"/>
      <c r="G250" s="216"/>
      <c r="H250" s="216"/>
      <c r="I250" s="217"/>
      <c r="J250" s="9"/>
      <c r="K250" s="12"/>
      <c r="L250" s="14"/>
      <c r="M250" s="14"/>
      <c r="N250" s="61"/>
      <c r="O250" s="61"/>
      <c r="P250" s="141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16"/>
      <c r="E251" s="216"/>
      <c r="F251" s="216"/>
      <c r="G251" s="216"/>
      <c r="H251" s="216"/>
      <c r="I251" s="217"/>
      <c r="J251" s="9"/>
      <c r="K251" s="12"/>
      <c r="L251" s="14"/>
      <c r="M251" s="14"/>
      <c r="N251" s="61"/>
      <c r="O251" s="61"/>
      <c r="P251" s="141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16"/>
      <c r="E252" s="216"/>
      <c r="F252" s="216"/>
      <c r="G252" s="216"/>
      <c r="H252" s="216"/>
      <c r="I252" s="217"/>
      <c r="J252" s="9"/>
      <c r="K252" s="12"/>
      <c r="L252" s="14"/>
      <c r="M252" s="14"/>
      <c r="N252" s="61"/>
      <c r="O252" s="61"/>
      <c r="P252" s="141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16"/>
      <c r="E253" s="216"/>
      <c r="F253" s="216"/>
      <c r="G253" s="216"/>
      <c r="H253" s="216"/>
      <c r="I253" s="217"/>
      <c r="J253" s="9"/>
      <c r="K253" s="12"/>
      <c r="L253" s="14"/>
      <c r="M253" s="14"/>
      <c r="N253" s="61"/>
      <c r="O253" s="61"/>
      <c r="P253" s="141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16"/>
      <c r="E254" s="216"/>
      <c r="F254" s="216"/>
      <c r="G254" s="216"/>
      <c r="H254" s="216"/>
      <c r="I254" s="217"/>
      <c r="J254" s="9"/>
      <c r="K254" s="12"/>
      <c r="L254" s="14"/>
      <c r="M254" s="14"/>
      <c r="N254" s="61"/>
      <c r="O254" s="61"/>
      <c r="P254" s="141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16"/>
      <c r="E255" s="216"/>
      <c r="F255" s="216"/>
      <c r="G255" s="216"/>
      <c r="H255" s="216"/>
      <c r="I255" s="217"/>
      <c r="J255" s="9"/>
      <c r="K255" s="12"/>
      <c r="L255" s="14"/>
      <c r="M255" s="14"/>
      <c r="N255" s="61"/>
      <c r="O255" s="61"/>
      <c r="P255" s="141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16"/>
      <c r="E256" s="216"/>
      <c r="F256" s="216"/>
      <c r="G256" s="216"/>
      <c r="H256" s="216"/>
      <c r="I256" s="217"/>
      <c r="J256" s="9"/>
      <c r="K256" s="12"/>
      <c r="L256" s="14"/>
      <c r="M256" s="14"/>
      <c r="N256" s="61"/>
      <c r="O256" s="61"/>
      <c r="P256" s="141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16"/>
      <c r="E257" s="216"/>
      <c r="F257" s="216"/>
      <c r="G257" s="216"/>
      <c r="H257" s="216"/>
      <c r="I257" s="217"/>
      <c r="J257" s="9"/>
      <c r="K257" s="12"/>
      <c r="L257" s="14"/>
      <c r="M257" s="14"/>
      <c r="N257" s="61"/>
      <c r="O257" s="61"/>
      <c r="P257" s="141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16"/>
      <c r="E258" s="216"/>
      <c r="F258" s="216"/>
      <c r="G258" s="216"/>
      <c r="H258" s="216"/>
      <c r="I258" s="217"/>
      <c r="J258" s="9"/>
      <c r="K258" s="12"/>
      <c r="L258" s="14"/>
      <c r="M258" s="14"/>
      <c r="N258" s="61"/>
      <c r="O258" s="61"/>
      <c r="P258" s="141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16"/>
      <c r="E259" s="216"/>
      <c r="F259" s="216"/>
      <c r="G259" s="216"/>
      <c r="H259" s="216"/>
      <c r="I259" s="217"/>
      <c r="J259" s="9"/>
      <c r="K259" s="12"/>
      <c r="L259" s="14"/>
      <c r="M259" s="14"/>
      <c r="N259" s="61"/>
      <c r="O259" s="61"/>
      <c r="P259" s="141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16"/>
      <c r="E260" s="216"/>
      <c r="F260" s="216"/>
      <c r="G260" s="216"/>
      <c r="H260" s="216"/>
      <c r="I260" s="217"/>
      <c r="J260" s="9"/>
      <c r="K260" s="12"/>
      <c r="L260" s="14"/>
      <c r="M260" s="14"/>
      <c r="N260" s="61"/>
      <c r="O260" s="61"/>
      <c r="P260" s="141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16"/>
      <c r="E261" s="216"/>
      <c r="F261" s="216"/>
      <c r="G261" s="216"/>
      <c r="H261" s="216"/>
      <c r="I261" s="217"/>
      <c r="J261" s="9"/>
      <c r="K261" s="12"/>
      <c r="L261" s="14"/>
      <c r="M261" s="14"/>
      <c r="N261" s="61"/>
      <c r="O261" s="61"/>
      <c r="P261" s="141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16"/>
      <c r="E262" s="216"/>
      <c r="F262" s="216"/>
      <c r="G262" s="216"/>
      <c r="H262" s="216"/>
      <c r="I262" s="217"/>
      <c r="J262" s="9"/>
      <c r="K262" s="12"/>
      <c r="L262" s="14"/>
      <c r="M262" s="14"/>
      <c r="N262" s="61"/>
      <c r="O262" s="61"/>
      <c r="P262" s="141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16"/>
      <c r="E263" s="216"/>
      <c r="F263" s="216"/>
      <c r="G263" s="216"/>
      <c r="H263" s="216"/>
      <c r="I263" s="217"/>
      <c r="J263" s="9"/>
      <c r="K263" s="12"/>
      <c r="L263" s="14"/>
      <c r="M263" s="14"/>
      <c r="N263" s="61"/>
      <c r="O263" s="61"/>
      <c r="P263" s="141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16"/>
      <c r="E264" s="216"/>
      <c r="F264" s="216"/>
      <c r="G264" s="216"/>
      <c r="H264" s="216"/>
      <c r="I264" s="217"/>
      <c r="J264" s="9"/>
      <c r="K264" s="12"/>
      <c r="L264" s="14"/>
      <c r="M264" s="14"/>
      <c r="N264" s="61"/>
      <c r="O264" s="61"/>
      <c r="P264" s="141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16"/>
      <c r="E265" s="216"/>
      <c r="F265" s="216"/>
      <c r="G265" s="216"/>
      <c r="H265" s="216"/>
      <c r="I265" s="217"/>
      <c r="J265" s="9"/>
      <c r="K265" s="12"/>
      <c r="L265" s="14"/>
      <c r="M265" s="14"/>
      <c r="N265" s="61"/>
      <c r="O265" s="61"/>
      <c r="P265" s="141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16"/>
      <c r="E266" s="216"/>
      <c r="F266" s="216"/>
      <c r="G266" s="216"/>
      <c r="H266" s="216"/>
      <c r="I266" s="217"/>
      <c r="J266" s="9"/>
      <c r="K266" s="12"/>
      <c r="L266" s="14"/>
      <c r="M266" s="14"/>
      <c r="N266" s="61"/>
      <c r="O266" s="61"/>
      <c r="P266" s="141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16"/>
      <c r="E267" s="216"/>
      <c r="F267" s="216"/>
      <c r="G267" s="216"/>
      <c r="H267" s="216"/>
      <c r="I267" s="217"/>
      <c r="J267" s="9"/>
      <c r="K267" s="12"/>
      <c r="L267" s="14"/>
      <c r="M267" s="14"/>
      <c r="N267" s="61"/>
      <c r="O267" s="61"/>
      <c r="P267" s="141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16"/>
      <c r="E268" s="216"/>
      <c r="F268" s="216"/>
      <c r="G268" s="216"/>
      <c r="H268" s="216"/>
      <c r="I268" s="217"/>
      <c r="J268" s="9"/>
      <c r="K268" s="12"/>
      <c r="L268" s="14"/>
      <c r="M268" s="14"/>
      <c r="N268" s="61"/>
      <c r="O268" s="61"/>
      <c r="P268" s="141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16"/>
      <c r="E269" s="216"/>
      <c r="F269" s="216"/>
      <c r="G269" s="216"/>
      <c r="H269" s="216"/>
      <c r="I269" s="217"/>
      <c r="J269" s="9"/>
      <c r="K269" s="12"/>
      <c r="L269" s="14"/>
      <c r="M269" s="14"/>
      <c r="N269" s="61"/>
      <c r="O269" s="61"/>
      <c r="P269" s="141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16"/>
      <c r="E270" s="216"/>
      <c r="F270" s="216"/>
      <c r="G270" s="216"/>
      <c r="H270" s="216"/>
      <c r="I270" s="217"/>
      <c r="J270" s="9"/>
      <c r="K270" s="12"/>
      <c r="L270" s="14"/>
      <c r="M270" s="14"/>
      <c r="N270" s="61"/>
      <c r="O270" s="61"/>
      <c r="P270" s="141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16"/>
      <c r="E271" s="216"/>
      <c r="F271" s="216"/>
      <c r="G271" s="216"/>
      <c r="H271" s="216"/>
      <c r="I271" s="217"/>
      <c r="J271" s="9"/>
      <c r="K271" s="12"/>
      <c r="L271" s="14"/>
      <c r="M271" s="14"/>
      <c r="N271" s="61"/>
      <c r="O271" s="61"/>
      <c r="P271" s="141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16"/>
      <c r="E272" s="216"/>
      <c r="F272" s="216"/>
      <c r="G272" s="216"/>
      <c r="H272" s="216"/>
      <c r="I272" s="217"/>
      <c r="J272" s="9"/>
      <c r="K272" s="12"/>
      <c r="L272" s="14"/>
      <c r="M272" s="14"/>
      <c r="N272" s="61"/>
      <c r="O272" s="61"/>
      <c r="P272" s="141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16"/>
      <c r="E273" s="216"/>
      <c r="F273" s="216"/>
      <c r="G273" s="216"/>
      <c r="H273" s="216"/>
      <c r="I273" s="217"/>
      <c r="J273" s="9"/>
      <c r="K273" s="12"/>
      <c r="L273" s="14"/>
      <c r="M273" s="14"/>
      <c r="N273" s="61"/>
      <c r="O273" s="61"/>
      <c r="P273" s="141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16"/>
      <c r="E274" s="216"/>
      <c r="F274" s="216"/>
      <c r="G274" s="216"/>
      <c r="H274" s="216"/>
      <c r="I274" s="217"/>
      <c r="J274" s="9"/>
      <c r="K274" s="12"/>
      <c r="L274" s="14"/>
      <c r="M274" s="14"/>
      <c r="N274" s="61"/>
      <c r="O274" s="61"/>
      <c r="P274" s="141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16"/>
      <c r="E275" s="216"/>
      <c r="F275" s="216"/>
      <c r="G275" s="216"/>
      <c r="H275" s="216"/>
      <c r="I275" s="217"/>
      <c r="J275" s="9"/>
      <c r="K275" s="12"/>
      <c r="L275" s="14"/>
      <c r="M275" s="14"/>
      <c r="N275" s="61"/>
      <c r="O275" s="61"/>
      <c r="P275" s="141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16"/>
      <c r="E276" s="216"/>
      <c r="F276" s="216"/>
      <c r="G276" s="216"/>
      <c r="H276" s="216"/>
      <c r="I276" s="217"/>
      <c r="J276" s="9"/>
      <c r="K276" s="12"/>
      <c r="L276" s="14"/>
      <c r="M276" s="14"/>
      <c r="N276" s="61"/>
      <c r="O276" s="61"/>
      <c r="P276" s="141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16"/>
      <c r="E277" s="216"/>
      <c r="F277" s="216"/>
      <c r="G277" s="216"/>
      <c r="H277" s="216"/>
      <c r="I277" s="217"/>
      <c r="J277" s="9"/>
      <c r="K277" s="12"/>
      <c r="L277" s="14"/>
      <c r="M277" s="14"/>
      <c r="N277" s="61"/>
      <c r="O277" s="61"/>
      <c r="P277" s="141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16"/>
      <c r="E278" s="216"/>
      <c r="F278" s="216"/>
      <c r="G278" s="216"/>
      <c r="H278" s="216"/>
      <c r="I278" s="217"/>
      <c r="J278" s="9"/>
      <c r="K278" s="12"/>
      <c r="L278" s="14"/>
      <c r="M278" s="14"/>
      <c r="N278" s="61"/>
      <c r="O278" s="61"/>
      <c r="P278" s="141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16"/>
      <c r="E279" s="216"/>
      <c r="F279" s="216"/>
      <c r="G279" s="216"/>
      <c r="H279" s="216"/>
      <c r="I279" s="217"/>
      <c r="J279" s="9"/>
      <c r="K279" s="12"/>
      <c r="L279" s="14"/>
      <c r="M279" s="14"/>
      <c r="N279" s="61"/>
      <c r="O279" s="61"/>
      <c r="P279" s="141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16"/>
      <c r="E280" s="216"/>
      <c r="F280" s="216"/>
      <c r="G280" s="216"/>
      <c r="H280" s="216"/>
      <c r="I280" s="217"/>
      <c r="J280" s="9"/>
      <c r="K280" s="12"/>
      <c r="L280" s="14"/>
      <c r="M280" s="14"/>
      <c r="N280" s="61"/>
      <c r="O280" s="61"/>
      <c r="P280" s="141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16"/>
      <c r="E281" s="216"/>
      <c r="F281" s="216"/>
      <c r="G281" s="216"/>
      <c r="H281" s="216"/>
      <c r="I281" s="217"/>
      <c r="J281" s="9"/>
      <c r="K281" s="12"/>
      <c r="L281" s="14"/>
      <c r="M281" s="14"/>
      <c r="N281" s="61"/>
      <c r="O281" s="61"/>
      <c r="P281" s="141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16"/>
      <c r="E282" s="216"/>
      <c r="F282" s="216"/>
      <c r="G282" s="216"/>
      <c r="H282" s="216"/>
      <c r="I282" s="217"/>
      <c r="J282" s="9"/>
      <c r="K282" s="12"/>
      <c r="L282" s="14"/>
      <c r="M282" s="14"/>
      <c r="N282" s="61"/>
      <c r="O282" s="61"/>
      <c r="P282" s="141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16"/>
      <c r="E283" s="216"/>
      <c r="F283" s="216"/>
      <c r="G283" s="216"/>
      <c r="H283" s="216"/>
      <c r="I283" s="217"/>
      <c r="J283" s="9"/>
      <c r="K283" s="12"/>
      <c r="L283" s="14"/>
      <c r="M283" s="14"/>
      <c r="N283" s="61"/>
      <c r="O283" s="61"/>
      <c r="P283" s="141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16"/>
      <c r="E284" s="216"/>
      <c r="F284" s="216"/>
      <c r="G284" s="216"/>
      <c r="H284" s="216"/>
      <c r="I284" s="217"/>
      <c r="J284" s="9"/>
      <c r="K284" s="12"/>
      <c r="L284" s="14"/>
      <c r="M284" s="14"/>
      <c r="N284" s="61"/>
      <c r="O284" s="61"/>
      <c r="P284" s="141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16"/>
      <c r="E285" s="216"/>
      <c r="F285" s="216"/>
      <c r="G285" s="216"/>
      <c r="H285" s="216"/>
      <c r="I285" s="217"/>
      <c r="J285" s="9"/>
      <c r="K285" s="12"/>
      <c r="L285" s="14"/>
      <c r="M285" s="14"/>
      <c r="N285" s="61"/>
      <c r="O285" s="61"/>
      <c r="P285" s="141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16"/>
      <c r="E286" s="216"/>
      <c r="F286" s="216"/>
      <c r="G286" s="216"/>
      <c r="H286" s="216"/>
      <c r="I286" s="217"/>
      <c r="J286" s="9"/>
      <c r="K286" s="12"/>
      <c r="L286" s="14"/>
      <c r="M286" s="14"/>
      <c r="N286" s="61"/>
      <c r="O286" s="61"/>
      <c r="P286" s="141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16"/>
      <c r="E287" s="216"/>
      <c r="F287" s="216"/>
      <c r="G287" s="216"/>
      <c r="H287" s="216"/>
      <c r="I287" s="217"/>
      <c r="J287" s="9"/>
      <c r="K287" s="12"/>
      <c r="L287" s="14"/>
      <c r="M287" s="14"/>
      <c r="N287" s="61"/>
      <c r="O287" s="61"/>
      <c r="P287" s="141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16"/>
      <c r="E288" s="216"/>
      <c r="F288" s="216"/>
      <c r="G288" s="216"/>
      <c r="H288" s="216"/>
      <c r="I288" s="217"/>
      <c r="J288" s="9"/>
      <c r="K288" s="12"/>
      <c r="L288" s="14"/>
      <c r="M288" s="14"/>
      <c r="N288" s="61"/>
      <c r="O288" s="61"/>
      <c r="P288" s="141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16"/>
      <c r="E289" s="216"/>
      <c r="F289" s="216"/>
      <c r="G289" s="216"/>
      <c r="H289" s="216"/>
      <c r="I289" s="217"/>
      <c r="J289" s="9"/>
      <c r="K289" s="12"/>
      <c r="L289" s="14"/>
      <c r="M289" s="14"/>
      <c r="N289" s="61"/>
      <c r="O289" s="61"/>
      <c r="P289" s="141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16"/>
      <c r="E290" s="216"/>
      <c r="F290" s="216"/>
      <c r="G290" s="216"/>
      <c r="H290" s="216"/>
      <c r="I290" s="217"/>
      <c r="J290" s="9"/>
      <c r="K290" s="12"/>
      <c r="L290" s="14"/>
      <c r="M290" s="14"/>
      <c r="N290" s="61"/>
      <c r="O290" s="61"/>
      <c r="P290" s="141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16"/>
      <c r="E291" s="216"/>
      <c r="F291" s="216"/>
      <c r="G291" s="216"/>
      <c r="H291" s="216"/>
      <c r="I291" s="217"/>
      <c r="J291" s="9"/>
      <c r="K291" s="12"/>
      <c r="L291" s="14"/>
      <c r="M291" s="14"/>
      <c r="N291" s="61"/>
      <c r="O291" s="61"/>
      <c r="P291" s="141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16"/>
      <c r="E292" s="216"/>
      <c r="F292" s="216"/>
      <c r="G292" s="216"/>
      <c r="H292" s="216"/>
      <c r="I292" s="217"/>
      <c r="J292" s="9"/>
      <c r="K292" s="12"/>
      <c r="L292" s="14"/>
      <c r="M292" s="14"/>
      <c r="N292" s="61"/>
      <c r="O292" s="61"/>
      <c r="P292" s="141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16"/>
      <c r="E293" s="216"/>
      <c r="F293" s="216"/>
      <c r="G293" s="216"/>
      <c r="H293" s="216"/>
      <c r="I293" s="217"/>
      <c r="J293" s="9"/>
      <c r="K293" s="12"/>
      <c r="L293" s="14"/>
      <c r="M293" s="14"/>
      <c r="N293" s="61"/>
      <c r="O293" s="61"/>
      <c r="P293" s="141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16"/>
      <c r="E294" s="216"/>
      <c r="F294" s="216"/>
      <c r="G294" s="216"/>
      <c r="H294" s="216"/>
      <c r="I294" s="217"/>
      <c r="J294" s="9"/>
      <c r="K294" s="12"/>
      <c r="L294" s="14"/>
      <c r="M294" s="14"/>
      <c r="N294" s="61"/>
      <c r="O294" s="61"/>
      <c r="P294" s="141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16"/>
      <c r="E295" s="216"/>
      <c r="F295" s="216"/>
      <c r="G295" s="216"/>
      <c r="H295" s="216"/>
      <c r="I295" s="217"/>
      <c r="J295" s="9"/>
      <c r="K295" s="12"/>
      <c r="L295" s="14"/>
      <c r="M295" s="14"/>
      <c r="N295" s="61"/>
      <c r="O295" s="61"/>
      <c r="P295" s="141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16"/>
      <c r="E296" s="216"/>
      <c r="F296" s="216"/>
      <c r="G296" s="216"/>
      <c r="H296" s="216"/>
      <c r="I296" s="217"/>
      <c r="J296" s="9"/>
      <c r="K296" s="12"/>
      <c r="L296" s="14"/>
      <c r="M296" s="14"/>
      <c r="N296" s="61"/>
      <c r="O296" s="61"/>
      <c r="P296" s="141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16"/>
      <c r="E297" s="216"/>
      <c r="F297" s="216"/>
      <c r="G297" s="216"/>
      <c r="H297" s="216"/>
      <c r="I297" s="217"/>
      <c r="J297" s="9"/>
      <c r="K297" s="12"/>
      <c r="L297" s="14"/>
      <c r="M297" s="14"/>
      <c r="N297" s="61"/>
      <c r="O297" s="61"/>
      <c r="P297" s="141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16"/>
      <c r="E298" s="216"/>
      <c r="F298" s="216"/>
      <c r="G298" s="216"/>
      <c r="H298" s="216"/>
      <c r="I298" s="217"/>
      <c r="J298" s="9"/>
      <c r="K298" s="12"/>
      <c r="L298" s="14"/>
      <c r="M298" s="14"/>
      <c r="N298" s="61"/>
      <c r="O298" s="61"/>
      <c r="P298" s="141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16"/>
      <c r="E299" s="216"/>
      <c r="F299" s="216"/>
      <c r="G299" s="216"/>
      <c r="H299" s="216"/>
      <c r="I299" s="217"/>
      <c r="J299" s="9"/>
      <c r="K299" s="12"/>
      <c r="L299" s="14"/>
      <c r="M299" s="14"/>
      <c r="N299" s="61"/>
      <c r="O299" s="61"/>
      <c r="P299" s="141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16"/>
      <c r="E300" s="216"/>
      <c r="F300" s="216"/>
      <c r="G300" s="216"/>
      <c r="H300" s="216"/>
      <c r="I300" s="217"/>
      <c r="J300" s="9"/>
      <c r="K300" s="12"/>
      <c r="L300" s="14"/>
      <c r="M300" s="14"/>
      <c r="N300" s="61"/>
      <c r="O300" s="61"/>
      <c r="P300" s="141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16"/>
      <c r="E301" s="216"/>
      <c r="F301" s="216"/>
      <c r="G301" s="216"/>
      <c r="H301" s="216"/>
      <c r="I301" s="217"/>
      <c r="J301" s="9"/>
      <c r="K301" s="12"/>
      <c r="L301" s="14"/>
      <c r="M301" s="14"/>
      <c r="N301" s="61"/>
      <c r="O301" s="61"/>
      <c r="P301" s="141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16"/>
      <c r="E302" s="216"/>
      <c r="F302" s="216"/>
      <c r="G302" s="216"/>
      <c r="H302" s="216"/>
      <c r="I302" s="217"/>
      <c r="J302" s="9"/>
      <c r="K302" s="12"/>
      <c r="L302" s="14"/>
      <c r="M302" s="14"/>
      <c r="N302" s="61"/>
      <c r="O302" s="61"/>
      <c r="P302" s="141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16"/>
      <c r="E303" s="216"/>
      <c r="F303" s="216"/>
      <c r="G303" s="216"/>
      <c r="H303" s="216"/>
      <c r="I303" s="217"/>
      <c r="J303" s="9"/>
      <c r="K303" s="12"/>
      <c r="L303" s="14"/>
      <c r="M303" s="14"/>
      <c r="N303" s="61"/>
      <c r="O303" s="61"/>
      <c r="P303" s="141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16"/>
      <c r="E304" s="216"/>
      <c r="F304" s="216"/>
      <c r="G304" s="216"/>
      <c r="H304" s="216"/>
      <c r="I304" s="217"/>
      <c r="J304" s="9"/>
      <c r="K304" s="12"/>
      <c r="L304" s="14"/>
      <c r="M304" s="14"/>
      <c r="N304" s="61"/>
      <c r="O304" s="61"/>
      <c r="P304" s="141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16"/>
      <c r="E305" s="216"/>
      <c r="F305" s="216"/>
      <c r="G305" s="216"/>
      <c r="H305" s="216"/>
      <c r="I305" s="217"/>
      <c r="J305" s="9"/>
      <c r="K305" s="12"/>
      <c r="L305" s="14"/>
      <c r="M305" s="14"/>
      <c r="N305" s="61"/>
      <c r="O305" s="61"/>
      <c r="P305" s="141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16"/>
      <c r="E306" s="216"/>
      <c r="F306" s="216"/>
      <c r="G306" s="216"/>
      <c r="H306" s="216"/>
      <c r="I306" s="217"/>
      <c r="J306" s="9"/>
      <c r="K306" s="12"/>
      <c r="L306" s="14"/>
      <c r="M306" s="14"/>
      <c r="N306" s="61"/>
      <c r="O306" s="61"/>
      <c r="P306" s="141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16"/>
      <c r="E307" s="216"/>
      <c r="F307" s="216"/>
      <c r="G307" s="216"/>
      <c r="H307" s="216"/>
      <c r="I307" s="217"/>
      <c r="J307" s="9"/>
      <c r="K307" s="12"/>
      <c r="L307" s="14"/>
      <c r="M307" s="14"/>
      <c r="N307" s="61"/>
      <c r="O307" s="61"/>
      <c r="P307" s="141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16"/>
      <c r="E308" s="216"/>
      <c r="F308" s="216"/>
      <c r="G308" s="216"/>
      <c r="H308" s="216"/>
      <c r="I308" s="217"/>
      <c r="J308" s="9"/>
      <c r="K308" s="12"/>
      <c r="L308" s="14"/>
      <c r="M308" s="14"/>
      <c r="N308" s="61"/>
      <c r="O308" s="61"/>
      <c r="P308" s="141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16"/>
      <c r="E309" s="216"/>
      <c r="F309" s="216"/>
      <c r="G309" s="216"/>
      <c r="H309" s="216"/>
      <c r="I309" s="217"/>
      <c r="J309" s="9"/>
      <c r="K309" s="12"/>
      <c r="L309" s="14"/>
      <c r="M309" s="14"/>
      <c r="N309" s="61"/>
      <c r="O309" s="61"/>
      <c r="P309" s="141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16"/>
      <c r="E310" s="216"/>
      <c r="F310" s="216"/>
      <c r="G310" s="216"/>
      <c r="H310" s="216"/>
      <c r="I310" s="217"/>
      <c r="J310" s="9"/>
      <c r="K310" s="12"/>
      <c r="L310" s="14"/>
      <c r="M310" s="14"/>
      <c r="N310" s="61"/>
      <c r="O310" s="61"/>
      <c r="P310" s="141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16"/>
      <c r="E311" s="216"/>
      <c r="F311" s="216"/>
      <c r="G311" s="216"/>
      <c r="H311" s="216"/>
      <c r="I311" s="217"/>
      <c r="J311" s="9"/>
      <c r="K311" s="12"/>
      <c r="L311" s="14"/>
      <c r="M311" s="14"/>
      <c r="N311" s="61"/>
      <c r="O311" s="61"/>
      <c r="P311" s="141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16"/>
      <c r="E312" s="216"/>
      <c r="F312" s="216"/>
      <c r="G312" s="216"/>
      <c r="H312" s="216"/>
      <c r="I312" s="217"/>
      <c r="J312" s="9"/>
      <c r="K312" s="12"/>
      <c r="L312" s="14"/>
      <c r="M312" s="14"/>
      <c r="N312" s="61"/>
      <c r="O312" s="61"/>
      <c r="P312" s="141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16"/>
      <c r="E313" s="216"/>
      <c r="F313" s="216"/>
      <c r="G313" s="216"/>
      <c r="H313" s="216"/>
      <c r="I313" s="217"/>
      <c r="J313" s="9"/>
      <c r="K313" s="12"/>
      <c r="L313" s="14"/>
      <c r="M313" s="14"/>
      <c r="N313" s="61"/>
      <c r="O313" s="61"/>
      <c r="P313" s="141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16"/>
      <c r="E314" s="216"/>
      <c r="F314" s="216"/>
      <c r="G314" s="216"/>
      <c r="H314" s="216"/>
      <c r="I314" s="217"/>
      <c r="J314" s="9"/>
      <c r="K314" s="12"/>
      <c r="L314" s="14"/>
      <c r="M314" s="14"/>
      <c r="N314" s="61"/>
      <c r="O314" s="61"/>
      <c r="P314" s="141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16"/>
      <c r="E315" s="216"/>
      <c r="F315" s="216"/>
      <c r="G315" s="216"/>
      <c r="H315" s="216"/>
      <c r="I315" s="217"/>
      <c r="J315" s="9"/>
      <c r="K315" s="12"/>
      <c r="L315" s="14"/>
      <c r="M315" s="14"/>
      <c r="N315" s="61"/>
      <c r="O315" s="61"/>
      <c r="P315" s="141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16"/>
      <c r="E316" s="216"/>
      <c r="F316" s="216"/>
      <c r="G316" s="216"/>
      <c r="H316" s="216"/>
      <c r="I316" s="217"/>
      <c r="J316" s="9"/>
      <c r="K316" s="12"/>
      <c r="L316" s="14"/>
      <c r="M316" s="14"/>
      <c r="N316" s="61"/>
      <c r="O316" s="61"/>
      <c r="P316" s="141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16"/>
      <c r="E317" s="216"/>
      <c r="F317" s="216"/>
      <c r="G317" s="216"/>
      <c r="H317" s="216"/>
      <c r="I317" s="217"/>
      <c r="J317" s="9"/>
      <c r="K317" s="12"/>
      <c r="L317" s="14"/>
      <c r="M317" s="14"/>
      <c r="N317" s="61"/>
      <c r="O317" s="61"/>
      <c r="P317" s="141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16"/>
      <c r="E318" s="216"/>
      <c r="F318" s="216"/>
      <c r="G318" s="216"/>
      <c r="H318" s="216"/>
      <c r="I318" s="217"/>
      <c r="J318" s="9"/>
      <c r="K318" s="12"/>
      <c r="L318" s="14"/>
      <c r="M318" s="14"/>
      <c r="N318" s="61"/>
      <c r="O318" s="61"/>
      <c r="P318" s="141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16"/>
      <c r="E319" s="216"/>
      <c r="F319" s="216"/>
      <c r="G319" s="216"/>
      <c r="H319" s="216"/>
      <c r="I319" s="217"/>
      <c r="J319" s="9"/>
      <c r="K319" s="12"/>
      <c r="L319" s="14"/>
      <c r="M319" s="14"/>
      <c r="N319" s="61"/>
      <c r="O319" s="61"/>
      <c r="P319" s="141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16"/>
      <c r="E320" s="216"/>
      <c r="F320" s="216"/>
      <c r="G320" s="216"/>
      <c r="H320" s="216"/>
      <c r="I320" s="217"/>
      <c r="J320" s="9"/>
      <c r="K320" s="12"/>
      <c r="L320" s="14"/>
      <c r="M320" s="14"/>
      <c r="N320" s="61"/>
      <c r="O320" s="61"/>
      <c r="P320" s="141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16"/>
      <c r="E321" s="216"/>
      <c r="F321" s="216"/>
      <c r="G321" s="216"/>
      <c r="H321" s="216"/>
      <c r="I321" s="217"/>
      <c r="J321" s="9"/>
      <c r="K321" s="12"/>
      <c r="L321" s="14"/>
      <c r="M321" s="14"/>
      <c r="N321" s="61"/>
      <c r="O321" s="61"/>
      <c r="P321" s="141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16"/>
      <c r="E322" s="216"/>
      <c r="F322" s="216"/>
      <c r="G322" s="216"/>
      <c r="H322" s="216"/>
      <c r="I322" s="217"/>
      <c r="J322" s="9"/>
      <c r="K322" s="12"/>
      <c r="L322" s="14"/>
      <c r="M322" s="14"/>
      <c r="N322" s="61"/>
      <c r="O322" s="61"/>
      <c r="P322" s="141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16"/>
      <c r="E323" s="216"/>
      <c r="F323" s="216"/>
      <c r="G323" s="216"/>
      <c r="H323" s="216"/>
      <c r="I323" s="217"/>
      <c r="J323" s="9"/>
      <c r="K323" s="12"/>
      <c r="L323" s="14"/>
      <c r="M323" s="14"/>
      <c r="N323" s="61"/>
      <c r="O323" s="61"/>
      <c r="P323" s="141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16"/>
      <c r="E324" s="216"/>
      <c r="F324" s="216"/>
      <c r="G324" s="216"/>
      <c r="H324" s="216"/>
      <c r="I324" s="217"/>
      <c r="J324" s="9"/>
      <c r="K324" s="12"/>
      <c r="L324" s="14"/>
      <c r="M324" s="14"/>
      <c r="N324" s="61"/>
      <c r="O324" s="61"/>
      <c r="P324" s="141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16"/>
      <c r="E325" s="216"/>
      <c r="F325" s="216"/>
      <c r="G325" s="216"/>
      <c r="H325" s="216"/>
      <c r="I325" s="217"/>
      <c r="J325" s="9"/>
      <c r="K325" s="12"/>
      <c r="L325" s="14"/>
      <c r="M325" s="14"/>
      <c r="N325" s="61"/>
      <c r="O325" s="61"/>
      <c r="P325" s="141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16"/>
      <c r="E326" s="216"/>
      <c r="F326" s="216"/>
      <c r="G326" s="216"/>
      <c r="H326" s="216"/>
      <c r="I326" s="217"/>
      <c r="J326" s="9"/>
      <c r="K326" s="12"/>
      <c r="L326" s="14"/>
      <c r="M326" s="14"/>
      <c r="N326" s="61"/>
      <c r="O326" s="61"/>
      <c r="P326" s="141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16"/>
      <c r="E327" s="216"/>
      <c r="F327" s="216"/>
      <c r="G327" s="216"/>
      <c r="H327" s="216"/>
      <c r="I327" s="217"/>
      <c r="J327" s="9"/>
      <c r="K327" s="12"/>
      <c r="L327" s="14"/>
      <c r="M327" s="14"/>
      <c r="N327" s="61"/>
      <c r="O327" s="61"/>
      <c r="P327" s="141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16"/>
      <c r="E328" s="216"/>
      <c r="F328" s="216"/>
      <c r="G328" s="216"/>
      <c r="H328" s="216"/>
      <c r="I328" s="217"/>
      <c r="J328" s="9"/>
      <c r="K328" s="12"/>
      <c r="L328" s="14"/>
      <c r="M328" s="14"/>
      <c r="N328" s="61"/>
      <c r="O328" s="61"/>
      <c r="P328" s="141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16"/>
      <c r="E329" s="216"/>
      <c r="F329" s="216"/>
      <c r="G329" s="216"/>
      <c r="H329" s="216"/>
      <c r="I329" s="217"/>
      <c r="J329" s="9"/>
      <c r="K329" s="12"/>
      <c r="L329" s="14"/>
      <c r="M329" s="14"/>
      <c r="N329" s="61"/>
      <c r="O329" s="61"/>
      <c r="P329" s="141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16"/>
      <c r="E330" s="216"/>
      <c r="F330" s="216"/>
      <c r="G330" s="216"/>
      <c r="H330" s="216"/>
      <c r="I330" s="217"/>
      <c r="J330" s="9"/>
      <c r="K330" s="12"/>
      <c r="L330" s="14"/>
      <c r="M330" s="14"/>
      <c r="N330" s="61"/>
      <c r="O330" s="61"/>
      <c r="P330" s="141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16"/>
      <c r="E331" s="216"/>
      <c r="F331" s="216"/>
      <c r="G331" s="216"/>
      <c r="H331" s="216"/>
      <c r="I331" s="217"/>
      <c r="J331" s="9"/>
      <c r="K331" s="12"/>
      <c r="L331" s="14"/>
      <c r="M331" s="14"/>
      <c r="N331" s="61"/>
      <c r="O331" s="61"/>
      <c r="P331" s="141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16"/>
      <c r="E332" s="216"/>
      <c r="F332" s="216"/>
      <c r="G332" s="216"/>
      <c r="H332" s="216"/>
      <c r="I332" s="217"/>
      <c r="J332" s="9"/>
      <c r="K332" s="12"/>
      <c r="L332" s="14"/>
      <c r="M332" s="14"/>
      <c r="N332" s="61"/>
      <c r="O332" s="61"/>
      <c r="P332" s="141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16"/>
      <c r="E333" s="216"/>
      <c r="F333" s="216"/>
      <c r="G333" s="216"/>
      <c r="H333" s="216"/>
      <c r="I333" s="217"/>
      <c r="J333" s="9"/>
      <c r="K333" s="12"/>
      <c r="L333" s="14"/>
      <c r="M333" s="14"/>
      <c r="N333" s="61"/>
      <c r="O333" s="61"/>
      <c r="P333" s="141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16"/>
      <c r="E334" s="216"/>
      <c r="F334" s="216"/>
      <c r="G334" s="216"/>
      <c r="H334" s="216"/>
      <c r="I334" s="217"/>
      <c r="J334" s="9"/>
      <c r="K334" s="12"/>
      <c r="L334" s="14"/>
      <c r="M334" s="14"/>
      <c r="N334" s="61"/>
      <c r="O334" s="61"/>
      <c r="P334" s="141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16"/>
      <c r="E335" s="216"/>
      <c r="F335" s="216"/>
      <c r="G335" s="216"/>
      <c r="H335" s="216"/>
      <c r="I335" s="217"/>
      <c r="J335" s="9"/>
      <c r="K335" s="12"/>
      <c r="L335" s="14"/>
      <c r="M335" s="14"/>
      <c r="N335" s="61"/>
      <c r="O335" s="61"/>
      <c r="P335" s="141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16"/>
      <c r="E336" s="216"/>
      <c r="F336" s="216"/>
      <c r="G336" s="216"/>
      <c r="H336" s="216"/>
      <c r="I336" s="217"/>
      <c r="J336" s="9"/>
      <c r="K336" s="12"/>
      <c r="L336" s="14"/>
      <c r="M336" s="14"/>
      <c r="N336" s="61"/>
      <c r="O336" s="61"/>
      <c r="P336" s="141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16"/>
      <c r="E337" s="216"/>
      <c r="F337" s="216"/>
      <c r="G337" s="216"/>
      <c r="H337" s="216"/>
      <c r="I337" s="217"/>
      <c r="J337" s="9"/>
      <c r="K337" s="12"/>
      <c r="L337" s="14"/>
      <c r="M337" s="14"/>
      <c r="N337" s="61"/>
      <c r="O337" s="61"/>
      <c r="P337" s="141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16"/>
      <c r="E338" s="216"/>
      <c r="F338" s="216"/>
      <c r="G338" s="216"/>
      <c r="H338" s="216"/>
      <c r="I338" s="217"/>
      <c r="J338" s="9"/>
      <c r="K338" s="12"/>
      <c r="L338" s="14"/>
      <c r="M338" s="14"/>
      <c r="N338" s="61"/>
      <c r="O338" s="61"/>
      <c r="P338" s="141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16"/>
      <c r="E339" s="216"/>
      <c r="F339" s="216"/>
      <c r="G339" s="216"/>
      <c r="H339" s="216"/>
      <c r="I339" s="217"/>
      <c r="J339" s="9"/>
      <c r="K339" s="12"/>
      <c r="L339" s="14"/>
      <c r="M339" s="14"/>
      <c r="N339" s="61"/>
      <c r="O339" s="61"/>
      <c r="P339" s="141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16"/>
      <c r="E340" s="216"/>
      <c r="F340" s="216"/>
      <c r="G340" s="216"/>
      <c r="H340" s="216"/>
      <c r="I340" s="217"/>
      <c r="J340" s="9"/>
      <c r="K340" s="12"/>
      <c r="L340" s="14"/>
      <c r="M340" s="14"/>
      <c r="N340" s="61"/>
      <c r="O340" s="61"/>
      <c r="P340" s="141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16"/>
      <c r="E341" s="216"/>
      <c r="F341" s="216"/>
      <c r="G341" s="216"/>
      <c r="H341" s="216"/>
      <c r="I341" s="217"/>
      <c r="J341" s="9"/>
      <c r="K341" s="12"/>
      <c r="L341" s="14"/>
      <c r="M341" s="14"/>
      <c r="N341" s="61"/>
      <c r="O341" s="61"/>
      <c r="P341" s="141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16"/>
      <c r="E342" s="216"/>
      <c r="F342" s="216"/>
      <c r="G342" s="216"/>
      <c r="H342" s="216"/>
      <c r="I342" s="217"/>
      <c r="J342" s="9"/>
      <c r="K342" s="12"/>
      <c r="L342" s="14"/>
      <c r="M342" s="14"/>
      <c r="N342" s="61"/>
      <c r="O342" s="61"/>
      <c r="P342" s="141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16"/>
      <c r="E343" s="216"/>
      <c r="F343" s="216"/>
      <c r="G343" s="216"/>
      <c r="H343" s="216"/>
      <c r="I343" s="217"/>
      <c r="J343" s="9"/>
      <c r="K343" s="12"/>
      <c r="L343" s="14"/>
      <c r="M343" s="14"/>
      <c r="N343" s="61"/>
      <c r="O343" s="61"/>
      <c r="P343" s="141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16"/>
      <c r="E344" s="216"/>
      <c r="F344" s="216"/>
      <c r="G344" s="216"/>
      <c r="H344" s="216"/>
      <c r="I344" s="217"/>
      <c r="J344" s="9"/>
      <c r="K344" s="12"/>
      <c r="L344" s="14"/>
      <c r="M344" s="14"/>
      <c r="N344" s="61"/>
      <c r="O344" s="61"/>
      <c r="P344" s="141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16"/>
      <c r="E345" s="216"/>
      <c r="F345" s="216"/>
      <c r="G345" s="216"/>
      <c r="H345" s="216"/>
      <c r="I345" s="217"/>
      <c r="J345" s="9"/>
      <c r="K345" s="12"/>
      <c r="L345" s="14"/>
      <c r="M345" s="14"/>
      <c r="N345" s="61"/>
      <c r="O345" s="61"/>
      <c r="P345" s="141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16"/>
      <c r="E346" s="216"/>
      <c r="F346" s="216"/>
      <c r="G346" s="216"/>
      <c r="H346" s="216"/>
      <c r="I346" s="217"/>
      <c r="J346" s="9"/>
      <c r="K346" s="12"/>
      <c r="L346" s="14"/>
      <c r="M346" s="14"/>
      <c r="N346" s="61"/>
      <c r="O346" s="61"/>
      <c r="P346" s="141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16"/>
      <c r="E347" s="216"/>
      <c r="F347" s="216"/>
      <c r="G347" s="216"/>
      <c r="H347" s="216"/>
      <c r="I347" s="217"/>
      <c r="J347" s="9"/>
      <c r="K347" s="12"/>
      <c r="L347" s="14"/>
      <c r="M347" s="14"/>
      <c r="N347" s="61"/>
      <c r="O347" s="61"/>
      <c r="P347" s="141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16"/>
      <c r="E348" s="216"/>
      <c r="F348" s="216"/>
      <c r="G348" s="216"/>
      <c r="H348" s="216"/>
      <c r="I348" s="217"/>
      <c r="J348" s="9"/>
      <c r="K348" s="12"/>
      <c r="L348" s="14"/>
      <c r="M348" s="14"/>
      <c r="N348" s="61"/>
      <c r="O348" s="61"/>
      <c r="P348" s="141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16"/>
      <c r="E349" s="216"/>
      <c r="F349" s="216"/>
      <c r="G349" s="216"/>
      <c r="H349" s="216"/>
      <c r="I349" s="217"/>
      <c r="J349" s="9"/>
      <c r="K349" s="12"/>
      <c r="L349" s="14"/>
      <c r="M349" s="14"/>
      <c r="N349" s="61"/>
      <c r="O349" s="61"/>
      <c r="P349" s="141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16"/>
      <c r="E350" s="216"/>
      <c r="F350" s="216"/>
      <c r="G350" s="216"/>
      <c r="H350" s="216"/>
      <c r="I350" s="217"/>
      <c r="J350" s="9"/>
      <c r="K350" s="12"/>
      <c r="L350" s="14"/>
      <c r="M350" s="14"/>
      <c r="N350" s="61"/>
      <c r="O350" s="61"/>
      <c r="P350" s="141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16"/>
      <c r="E351" s="216"/>
      <c r="F351" s="216"/>
      <c r="G351" s="216"/>
      <c r="H351" s="216"/>
      <c r="I351" s="217"/>
      <c r="J351" s="9"/>
      <c r="K351" s="12"/>
      <c r="L351" s="14"/>
      <c r="M351" s="14"/>
      <c r="N351" s="61"/>
      <c r="O351" s="61"/>
      <c r="P351" s="141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16"/>
      <c r="E352" s="216"/>
      <c r="F352" s="216"/>
      <c r="G352" s="216"/>
      <c r="H352" s="216"/>
      <c r="I352" s="217"/>
      <c r="J352" s="9"/>
      <c r="K352" s="12"/>
      <c r="L352" s="14"/>
      <c r="M352" s="14"/>
      <c r="N352" s="61"/>
      <c r="O352" s="61"/>
      <c r="P352" s="141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16"/>
      <c r="E353" s="216"/>
      <c r="F353" s="216"/>
      <c r="G353" s="216"/>
      <c r="H353" s="216"/>
      <c r="I353" s="217"/>
      <c r="J353" s="9"/>
      <c r="K353" s="12"/>
      <c r="L353" s="14"/>
      <c r="M353" s="14"/>
      <c r="N353" s="61"/>
      <c r="O353" s="61"/>
      <c r="P353" s="141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16"/>
      <c r="E354" s="216"/>
      <c r="F354" s="216"/>
      <c r="G354" s="216"/>
      <c r="H354" s="216"/>
      <c r="I354" s="217"/>
      <c r="J354" s="9"/>
      <c r="K354" s="12"/>
      <c r="L354" s="14"/>
      <c r="M354" s="14"/>
      <c r="N354" s="61"/>
      <c r="O354" s="61"/>
      <c r="P354" s="141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16"/>
      <c r="E355" s="216"/>
      <c r="F355" s="216"/>
      <c r="G355" s="216"/>
      <c r="H355" s="216"/>
      <c r="I355" s="217"/>
      <c r="J355" s="9"/>
      <c r="K355" s="12"/>
      <c r="L355" s="14"/>
      <c r="M355" s="14"/>
      <c r="N355" s="61"/>
      <c r="O355" s="61"/>
      <c r="P355" s="141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16"/>
      <c r="E356" s="216"/>
      <c r="F356" s="216"/>
      <c r="G356" s="216"/>
      <c r="H356" s="216"/>
      <c r="I356" s="217"/>
      <c r="J356" s="9"/>
      <c r="K356" s="12"/>
      <c r="L356" s="14"/>
      <c r="M356" s="14"/>
      <c r="N356" s="61"/>
      <c r="O356" s="61"/>
      <c r="P356" s="141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16"/>
      <c r="E357" s="216"/>
      <c r="F357" s="216"/>
      <c r="G357" s="216"/>
      <c r="H357" s="216"/>
      <c r="I357" s="217"/>
      <c r="J357" s="9"/>
      <c r="K357" s="12"/>
      <c r="L357" s="14"/>
      <c r="M357" s="14"/>
      <c r="N357" s="61"/>
      <c r="O357" s="61"/>
      <c r="P357" s="141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16"/>
      <c r="E358" s="216"/>
      <c r="F358" s="216"/>
      <c r="G358" s="216"/>
      <c r="H358" s="216"/>
      <c r="I358" s="217"/>
      <c r="J358" s="9"/>
      <c r="K358" s="12"/>
      <c r="L358" s="14"/>
      <c r="M358" s="14"/>
      <c r="N358" s="61"/>
      <c r="O358" s="61"/>
      <c r="P358" s="141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16"/>
      <c r="E359" s="216"/>
      <c r="F359" s="216"/>
      <c r="G359" s="216"/>
      <c r="H359" s="216"/>
      <c r="I359" s="217"/>
      <c r="J359" s="9"/>
      <c r="K359" s="12"/>
      <c r="L359" s="14"/>
      <c r="M359" s="14"/>
      <c r="N359" s="61"/>
      <c r="O359" s="61"/>
      <c r="P359" s="141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16"/>
      <c r="E360" s="216"/>
      <c r="F360" s="216"/>
      <c r="G360" s="216"/>
      <c r="H360" s="216"/>
      <c r="I360" s="217"/>
      <c r="J360" s="9"/>
      <c r="K360" s="12"/>
      <c r="L360" s="14"/>
      <c r="M360" s="14"/>
      <c r="N360" s="61"/>
      <c r="O360" s="61"/>
      <c r="P360" s="141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16"/>
      <c r="E361" s="216"/>
      <c r="F361" s="216"/>
      <c r="G361" s="216"/>
      <c r="H361" s="216"/>
      <c r="I361" s="217"/>
      <c r="J361" s="9"/>
      <c r="K361" s="12"/>
      <c r="L361" s="14"/>
      <c r="M361" s="14"/>
      <c r="N361" s="61"/>
      <c r="O361" s="61"/>
      <c r="P361" s="141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16"/>
      <c r="E362" s="216"/>
      <c r="F362" s="216"/>
      <c r="G362" s="216"/>
      <c r="H362" s="216"/>
      <c r="I362" s="217"/>
      <c r="J362" s="9"/>
      <c r="K362" s="12"/>
      <c r="L362" s="14"/>
      <c r="M362" s="14"/>
      <c r="N362" s="61"/>
      <c r="O362" s="61"/>
      <c r="P362" s="141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16"/>
      <c r="E363" s="216"/>
      <c r="F363" s="216"/>
      <c r="G363" s="216"/>
      <c r="H363" s="216"/>
      <c r="I363" s="217"/>
      <c r="J363" s="9"/>
      <c r="K363" s="12"/>
      <c r="L363" s="14"/>
      <c r="M363" s="14"/>
      <c r="N363" s="61"/>
      <c r="O363" s="61"/>
      <c r="P363" s="141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16"/>
      <c r="E364" s="216"/>
      <c r="F364" s="216"/>
      <c r="G364" s="216"/>
      <c r="H364" s="216"/>
      <c r="I364" s="217"/>
      <c r="J364" s="9"/>
      <c r="K364" s="12"/>
      <c r="L364" s="14"/>
      <c r="M364" s="14"/>
      <c r="N364" s="61"/>
      <c r="O364" s="61"/>
      <c r="P364" s="141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16"/>
      <c r="E365" s="216"/>
      <c r="F365" s="216"/>
      <c r="G365" s="216"/>
      <c r="H365" s="216"/>
      <c r="I365" s="217"/>
      <c r="J365" s="9"/>
      <c r="K365" s="12"/>
      <c r="L365" s="14"/>
      <c r="M365" s="14"/>
      <c r="N365" s="61"/>
      <c r="O365" s="61"/>
      <c r="P365" s="141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16"/>
      <c r="E366" s="216"/>
      <c r="F366" s="216"/>
      <c r="G366" s="216"/>
      <c r="H366" s="216"/>
      <c r="I366" s="217"/>
      <c r="J366" s="9"/>
      <c r="K366" s="12"/>
      <c r="L366" s="14"/>
      <c r="M366" s="14"/>
      <c r="N366" s="61"/>
      <c r="O366" s="61"/>
      <c r="P366" s="141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16"/>
      <c r="E367" s="216"/>
      <c r="F367" s="216"/>
      <c r="G367" s="216"/>
      <c r="H367" s="216"/>
      <c r="I367" s="217"/>
      <c r="J367" s="9"/>
      <c r="K367" s="12"/>
      <c r="L367" s="14"/>
      <c r="M367" s="14"/>
      <c r="N367" s="61"/>
      <c r="O367" s="61"/>
      <c r="P367" s="141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16"/>
      <c r="E368" s="216"/>
      <c r="F368" s="216"/>
      <c r="G368" s="216"/>
      <c r="H368" s="216"/>
      <c r="I368" s="217"/>
      <c r="J368" s="9"/>
      <c r="K368" s="12"/>
      <c r="L368" s="14"/>
      <c r="M368" s="14"/>
      <c r="N368" s="61"/>
      <c r="O368" s="61"/>
      <c r="P368" s="141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16"/>
      <c r="E369" s="216"/>
      <c r="F369" s="216"/>
      <c r="G369" s="216"/>
      <c r="H369" s="216"/>
      <c r="I369" s="217"/>
      <c r="J369" s="9"/>
      <c r="K369" s="12"/>
      <c r="L369" s="14"/>
      <c r="M369" s="14"/>
      <c r="N369" s="61"/>
      <c r="O369" s="61"/>
      <c r="P369" s="141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16"/>
      <c r="E370" s="216"/>
      <c r="F370" s="216"/>
      <c r="G370" s="216"/>
      <c r="H370" s="216"/>
      <c r="I370" s="217"/>
      <c r="J370" s="9"/>
      <c r="K370" s="12"/>
      <c r="L370" s="14"/>
      <c r="M370" s="14"/>
      <c r="N370" s="61"/>
      <c r="O370" s="61"/>
      <c r="P370" s="141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16"/>
      <c r="E371" s="216"/>
      <c r="F371" s="216"/>
      <c r="G371" s="216"/>
      <c r="H371" s="216"/>
      <c r="I371" s="217"/>
      <c r="J371" s="9"/>
      <c r="K371" s="12"/>
      <c r="L371" s="14"/>
      <c r="M371" s="14"/>
      <c r="N371" s="61"/>
      <c r="O371" s="61"/>
      <c r="P371" s="141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16"/>
      <c r="E372" s="216"/>
      <c r="F372" s="216"/>
      <c r="G372" s="216"/>
      <c r="H372" s="216"/>
      <c r="I372" s="217"/>
      <c r="J372" s="9"/>
      <c r="K372" s="12"/>
      <c r="L372" s="14"/>
      <c r="M372" s="14"/>
      <c r="N372" s="61"/>
      <c r="O372" s="61"/>
      <c r="P372" s="141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16"/>
      <c r="E373" s="216"/>
      <c r="F373" s="216"/>
      <c r="G373" s="216"/>
      <c r="H373" s="216"/>
      <c r="I373" s="217"/>
      <c r="J373" s="9"/>
      <c r="K373" s="12"/>
      <c r="L373" s="14"/>
      <c r="M373" s="14"/>
      <c r="N373" s="61"/>
      <c r="O373" s="61"/>
      <c r="P373" s="141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16"/>
      <c r="E374" s="216"/>
      <c r="F374" s="216"/>
      <c r="G374" s="216"/>
      <c r="H374" s="216"/>
      <c r="I374" s="217"/>
      <c r="J374" s="9"/>
      <c r="K374" s="12"/>
      <c r="L374" s="14"/>
      <c r="M374" s="14"/>
      <c r="N374" s="61"/>
      <c r="O374" s="61"/>
      <c r="P374" s="141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16"/>
      <c r="E375" s="216"/>
      <c r="F375" s="216"/>
      <c r="G375" s="216"/>
      <c r="H375" s="216"/>
      <c r="I375" s="217"/>
      <c r="J375" s="9"/>
      <c r="K375" s="12"/>
      <c r="L375" s="14"/>
      <c r="M375" s="14"/>
      <c r="N375" s="61"/>
      <c r="O375" s="61"/>
      <c r="P375" s="141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16"/>
      <c r="E376" s="216"/>
      <c r="F376" s="216"/>
      <c r="G376" s="216"/>
      <c r="H376" s="216"/>
      <c r="I376" s="217"/>
      <c r="J376" s="9"/>
      <c r="K376" s="12"/>
      <c r="L376" s="14"/>
      <c r="M376" s="14"/>
      <c r="N376" s="61"/>
      <c r="O376" s="61"/>
      <c r="P376" s="141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16"/>
      <c r="E377" s="216"/>
      <c r="F377" s="216"/>
      <c r="G377" s="216"/>
      <c r="H377" s="216"/>
      <c r="I377" s="217"/>
      <c r="J377" s="9"/>
      <c r="K377" s="12"/>
      <c r="L377" s="14"/>
      <c r="M377" s="14"/>
      <c r="N377" s="61"/>
      <c r="O377" s="61"/>
      <c r="P377" s="141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16"/>
      <c r="E378" s="216"/>
      <c r="F378" s="216"/>
      <c r="G378" s="216"/>
      <c r="H378" s="216"/>
      <c r="I378" s="217"/>
      <c r="J378" s="9"/>
      <c r="K378" s="12"/>
      <c r="L378" s="14"/>
      <c r="M378" s="14"/>
      <c r="N378" s="61"/>
      <c r="O378" s="61"/>
      <c r="P378" s="141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16"/>
      <c r="E379" s="216"/>
      <c r="F379" s="216"/>
      <c r="G379" s="216"/>
      <c r="H379" s="216"/>
      <c r="I379" s="217"/>
      <c r="J379" s="9"/>
      <c r="K379" s="12"/>
      <c r="L379" s="14"/>
      <c r="M379" s="14"/>
      <c r="N379" s="61"/>
      <c r="O379" s="61"/>
      <c r="P379" s="141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16"/>
      <c r="E380" s="216"/>
      <c r="F380" s="216"/>
      <c r="G380" s="216"/>
      <c r="H380" s="216"/>
      <c r="I380" s="217"/>
      <c r="J380" s="9"/>
      <c r="K380" s="12"/>
      <c r="L380" s="14"/>
      <c r="M380" s="14"/>
      <c r="N380" s="61"/>
      <c r="O380" s="61"/>
      <c r="P380" s="141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16"/>
      <c r="E381" s="216"/>
      <c r="F381" s="216"/>
      <c r="G381" s="216"/>
      <c r="H381" s="216"/>
      <c r="I381" s="217"/>
      <c r="J381" s="9"/>
      <c r="K381" s="12"/>
      <c r="L381" s="14"/>
      <c r="M381" s="14"/>
      <c r="N381" s="61"/>
      <c r="O381" s="61"/>
      <c r="P381" s="141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16"/>
      <c r="E382" s="216"/>
      <c r="F382" s="216"/>
      <c r="G382" s="216"/>
      <c r="H382" s="216"/>
      <c r="I382" s="217"/>
      <c r="J382" s="9"/>
      <c r="K382" s="12"/>
      <c r="L382" s="14"/>
      <c r="M382" s="14"/>
      <c r="N382" s="61"/>
      <c r="O382" s="61"/>
      <c r="P382" s="141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16"/>
      <c r="E383" s="216"/>
      <c r="F383" s="216"/>
      <c r="G383" s="216"/>
      <c r="H383" s="216"/>
      <c r="I383" s="217"/>
      <c r="J383" s="9"/>
      <c r="K383" s="12"/>
      <c r="L383" s="14"/>
      <c r="M383" s="14"/>
      <c r="N383" s="61"/>
      <c r="O383" s="61"/>
      <c r="P383" s="141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16"/>
      <c r="E384" s="216"/>
      <c r="F384" s="216"/>
      <c r="G384" s="216"/>
      <c r="H384" s="216"/>
      <c r="I384" s="217"/>
      <c r="J384" s="9"/>
      <c r="K384" s="12"/>
      <c r="L384" s="14"/>
      <c r="M384" s="14"/>
      <c r="N384" s="61"/>
      <c r="O384" s="61"/>
      <c r="P384" s="141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16"/>
      <c r="E385" s="216"/>
      <c r="F385" s="216"/>
      <c r="G385" s="216"/>
      <c r="H385" s="216"/>
      <c r="I385" s="217"/>
      <c r="J385" s="9"/>
      <c r="K385" s="12"/>
      <c r="L385" s="14"/>
      <c r="M385" s="14"/>
      <c r="N385" s="61"/>
      <c r="O385" s="61"/>
      <c r="P385" s="141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16"/>
      <c r="E386" s="216"/>
      <c r="F386" s="216"/>
      <c r="G386" s="216"/>
      <c r="H386" s="216"/>
      <c r="I386" s="217"/>
      <c r="J386" s="9"/>
      <c r="K386" s="12"/>
      <c r="L386" s="14"/>
      <c r="M386" s="14"/>
      <c r="N386" s="61"/>
      <c r="O386" s="61"/>
      <c r="P386" s="141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16"/>
      <c r="E387" s="216"/>
      <c r="F387" s="216"/>
      <c r="G387" s="216"/>
      <c r="H387" s="216"/>
      <c r="I387" s="217"/>
      <c r="J387" s="9"/>
      <c r="K387" s="12"/>
      <c r="L387" s="14"/>
      <c r="M387" s="14"/>
      <c r="N387" s="61"/>
      <c r="O387" s="61"/>
      <c r="P387" s="141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16"/>
      <c r="E388" s="216"/>
      <c r="F388" s="216"/>
      <c r="G388" s="216"/>
      <c r="H388" s="216"/>
      <c r="I388" s="217"/>
      <c r="J388" s="9"/>
      <c r="K388" s="12"/>
      <c r="L388" s="14"/>
      <c r="M388" s="14"/>
      <c r="N388" s="61"/>
      <c r="O388" s="61"/>
      <c r="P388" s="141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16"/>
      <c r="E389" s="216"/>
      <c r="F389" s="216"/>
      <c r="G389" s="216"/>
      <c r="H389" s="216"/>
      <c r="I389" s="217"/>
      <c r="J389" s="9"/>
      <c r="K389" s="12"/>
      <c r="L389" s="14"/>
      <c r="M389" s="14"/>
      <c r="N389" s="61"/>
      <c r="O389" s="61"/>
      <c r="P389" s="141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16"/>
      <c r="E390" s="216"/>
      <c r="F390" s="216"/>
      <c r="G390" s="216"/>
      <c r="H390" s="216"/>
      <c r="I390" s="217"/>
      <c r="J390" s="9"/>
      <c r="K390" s="12"/>
      <c r="L390" s="14"/>
      <c r="M390" s="14"/>
      <c r="N390" s="61"/>
      <c r="O390" s="61"/>
      <c r="P390" s="141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16"/>
      <c r="E391" s="216"/>
      <c r="F391" s="216"/>
      <c r="G391" s="216"/>
      <c r="H391" s="216"/>
      <c r="I391" s="217"/>
      <c r="J391" s="9"/>
      <c r="K391" s="12"/>
      <c r="L391" s="14"/>
      <c r="M391" s="14"/>
      <c r="N391" s="61"/>
      <c r="O391" s="61"/>
      <c r="P391" s="141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16"/>
      <c r="E392" s="216"/>
      <c r="F392" s="216"/>
      <c r="G392" s="216"/>
      <c r="H392" s="216"/>
      <c r="I392" s="217"/>
      <c r="J392" s="9"/>
      <c r="K392" s="12"/>
      <c r="L392" s="14"/>
      <c r="M392" s="14"/>
      <c r="N392" s="61"/>
      <c r="O392" s="61"/>
      <c r="P392" s="141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16"/>
      <c r="E393" s="216"/>
      <c r="F393" s="216"/>
      <c r="G393" s="216"/>
      <c r="H393" s="216"/>
      <c r="I393" s="217"/>
      <c r="J393" s="9"/>
      <c r="K393" s="12"/>
      <c r="L393" s="14"/>
      <c r="M393" s="14"/>
      <c r="N393" s="61"/>
      <c r="O393" s="61"/>
      <c r="P393" s="141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16"/>
      <c r="E394" s="216"/>
      <c r="F394" s="216"/>
      <c r="G394" s="216"/>
      <c r="H394" s="216"/>
      <c r="I394" s="217"/>
      <c r="J394" s="9"/>
      <c r="K394" s="12"/>
      <c r="L394" s="14"/>
      <c r="M394" s="14"/>
      <c r="N394" s="61"/>
      <c r="O394" s="61"/>
      <c r="P394" s="141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16"/>
      <c r="E395" s="216"/>
      <c r="F395" s="216"/>
      <c r="G395" s="216"/>
      <c r="H395" s="216"/>
      <c r="I395" s="217"/>
      <c r="J395" s="9"/>
      <c r="K395" s="12"/>
      <c r="L395" s="14"/>
      <c r="M395" s="14"/>
      <c r="N395" s="61"/>
      <c r="O395" s="61"/>
      <c r="P395" s="141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16"/>
      <c r="E396" s="216"/>
      <c r="F396" s="216"/>
      <c r="G396" s="216"/>
      <c r="H396" s="216"/>
      <c r="I396" s="217"/>
      <c r="J396" s="9"/>
      <c r="K396" s="12"/>
      <c r="L396" s="14"/>
      <c r="M396" s="14"/>
      <c r="N396" s="61"/>
      <c r="O396" s="61"/>
      <c r="P396" s="141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16"/>
      <c r="E397" s="216"/>
      <c r="F397" s="216"/>
      <c r="G397" s="216"/>
      <c r="H397" s="216"/>
      <c r="I397" s="217"/>
      <c r="J397" s="9"/>
      <c r="K397" s="12"/>
      <c r="L397" s="14"/>
      <c r="M397" s="14"/>
      <c r="N397" s="61"/>
      <c r="O397" s="61"/>
      <c r="P397" s="141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16"/>
      <c r="E398" s="216"/>
      <c r="F398" s="216"/>
      <c r="G398" s="216"/>
      <c r="H398" s="216"/>
      <c r="I398" s="217"/>
      <c r="J398" s="9"/>
      <c r="K398" s="12"/>
      <c r="L398" s="14"/>
      <c r="M398" s="14"/>
      <c r="N398" s="61"/>
      <c r="O398" s="61"/>
      <c r="P398" s="141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16"/>
      <c r="E399" s="216"/>
      <c r="F399" s="216"/>
      <c r="G399" s="216"/>
      <c r="H399" s="216"/>
      <c r="I399" s="217"/>
      <c r="J399" s="9"/>
      <c r="K399" s="12"/>
      <c r="L399" s="14"/>
      <c r="M399" s="14"/>
      <c r="N399" s="61"/>
      <c r="O399" s="61"/>
      <c r="P399" s="141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16"/>
      <c r="E400" s="216"/>
      <c r="F400" s="216"/>
      <c r="G400" s="216"/>
      <c r="H400" s="216"/>
      <c r="I400" s="217"/>
      <c r="J400" s="9"/>
      <c r="K400" s="12"/>
      <c r="L400" s="14"/>
      <c r="M400" s="14"/>
      <c r="N400" s="61"/>
      <c r="O400" s="61"/>
      <c r="P400" s="141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S4:AL400">
    <sortCondition ref="AE4:AE400"/>
  </sortState>
  <mergeCells count="380">
    <mergeCell ref="D31:I31"/>
    <mergeCell ref="A1:AK1"/>
    <mergeCell ref="AM29:AN29"/>
    <mergeCell ref="K2:Q2"/>
    <mergeCell ref="S2:AK2"/>
    <mergeCell ref="A30:I30"/>
    <mergeCell ref="A2:I2"/>
    <mergeCell ref="C28:G28"/>
    <mergeCell ref="C29:G29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</mergeCells>
  <phoneticPr fontId="6"/>
  <conditionalFormatting sqref="A4:A27">
    <cfRule type="expression" dxfId="21" priority="3">
      <formula>(($E4-$D4)=0)</formula>
    </cfRule>
    <cfRule type="expression" dxfId="20" priority="17">
      <formula>(($E4-$D4)&gt;0)</formula>
    </cfRule>
  </conditionalFormatting>
  <conditionalFormatting sqref="S102">
    <cfRule type="expression" dxfId="19" priority="14">
      <formula>NOT(($E102-$D102)=0)</formula>
    </cfRule>
  </conditionalFormatting>
  <conditionalFormatting sqref="S105">
    <cfRule type="expression" dxfId="18" priority="13">
      <formula>NOT(($E105-$D105)=0)</formula>
    </cfRule>
  </conditionalFormatting>
  <conditionalFormatting sqref="S106">
    <cfRule type="expression" dxfId="17" priority="12">
      <formula>NOT(($E106-$D106)=0)</formula>
    </cfRule>
  </conditionalFormatting>
  <conditionalFormatting sqref="S108">
    <cfRule type="expression" dxfId="16" priority="11">
      <formula>NOT(($E108-$D108)=0)</formula>
    </cfRule>
  </conditionalFormatting>
  <conditionalFormatting sqref="S109">
    <cfRule type="expression" dxfId="15" priority="10">
      <formula>NOT(($E109-$D109)=0)</formula>
    </cfRule>
  </conditionalFormatting>
  <conditionalFormatting sqref="S110">
    <cfRule type="expression" dxfId="14" priority="9">
      <formula>NOT(($E110-$D110)=0)</formula>
    </cfRule>
  </conditionalFormatting>
  <conditionalFormatting sqref="S111">
    <cfRule type="expression" dxfId="13" priority="8">
      <formula>NOT(($E111-$D111)=0)</formula>
    </cfRule>
  </conditionalFormatting>
  <conditionalFormatting sqref="S113">
    <cfRule type="expression" dxfId="12" priority="7">
      <formula>NOT(($E113-$D113)=0)</formula>
    </cfRule>
  </conditionalFormatting>
  <conditionalFormatting sqref="S114">
    <cfRule type="expression" dxfId="11" priority="6">
      <formula>NOT(($E114-$D114)=0)</formula>
    </cfRule>
  </conditionalFormatting>
  <conditionalFormatting sqref="S116">
    <cfRule type="expression" dxfId="10" priority="1">
      <formula>(($E116-$D116)=0)</formula>
    </cfRule>
    <cfRule type="expression" dxfId="9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workbookViewId="0">
      <selection activeCell="E31" sqref="E3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27" t="s">
        <v>578</v>
      </c>
      <c r="B1" s="228"/>
      <c r="C1" s="228"/>
      <c r="D1" s="228"/>
      <c r="E1" s="228"/>
      <c r="F1" s="228"/>
      <c r="G1" s="228"/>
      <c r="H1" s="228"/>
    </row>
    <row r="2" spans="1:8" ht="16.5">
      <c r="A2" s="115" t="s">
        <v>4</v>
      </c>
      <c r="B2" s="115" t="s">
        <v>219</v>
      </c>
      <c r="C2" s="115" t="s">
        <v>576</v>
      </c>
      <c r="D2" s="115" t="s">
        <v>346</v>
      </c>
      <c r="E2" s="115" t="s">
        <v>577</v>
      </c>
      <c r="F2" s="115" t="s">
        <v>131</v>
      </c>
      <c r="G2" s="115" t="s">
        <v>540</v>
      </c>
      <c r="H2" s="115" t="s">
        <v>670</v>
      </c>
    </row>
    <row r="3" spans="1:8" ht="16.5">
      <c r="A3" s="157" t="s">
        <v>480</v>
      </c>
      <c r="B3" s="172">
        <v>1</v>
      </c>
      <c r="C3" s="172">
        <v>70</v>
      </c>
      <c r="D3" s="182" t="s">
        <v>181</v>
      </c>
      <c r="E3" s="182" t="s">
        <v>181</v>
      </c>
      <c r="F3" s="213" t="s">
        <v>181</v>
      </c>
      <c r="G3" s="185" t="s">
        <v>671</v>
      </c>
      <c r="H3" s="185" t="s">
        <v>181</v>
      </c>
    </row>
    <row r="4" spans="1:8" ht="16.5">
      <c r="A4" s="157" t="s">
        <v>600</v>
      </c>
      <c r="B4" s="172">
        <v>2</v>
      </c>
      <c r="C4" s="172">
        <v>12</v>
      </c>
      <c r="D4" s="182" t="s">
        <v>181</v>
      </c>
      <c r="E4" s="159" t="s">
        <v>181</v>
      </c>
      <c r="F4" s="159" t="s">
        <v>181</v>
      </c>
      <c r="G4" s="183" t="s">
        <v>677</v>
      </c>
      <c r="H4" s="183" t="s">
        <v>181</v>
      </c>
    </row>
    <row r="5" spans="1:8" ht="16.5">
      <c r="A5" s="157" t="s">
        <v>537</v>
      </c>
      <c r="B5" s="172">
        <v>3</v>
      </c>
      <c r="C5" s="172">
        <v>13</v>
      </c>
      <c r="D5" s="182" t="s">
        <v>181</v>
      </c>
      <c r="E5" s="159" t="s">
        <v>181</v>
      </c>
      <c r="F5" s="159" t="s">
        <v>181</v>
      </c>
      <c r="G5" s="183" t="s">
        <v>672</v>
      </c>
      <c r="H5" s="183" t="s">
        <v>181</v>
      </c>
    </row>
    <row r="6" spans="1:8" ht="16.5">
      <c r="A6" s="157" t="s">
        <v>538</v>
      </c>
      <c r="B6" s="172">
        <v>4</v>
      </c>
      <c r="C6" s="172">
        <v>12</v>
      </c>
      <c r="D6" s="182" t="s">
        <v>181</v>
      </c>
      <c r="E6" s="159" t="s">
        <v>181</v>
      </c>
      <c r="F6" s="159" t="s">
        <v>181</v>
      </c>
      <c r="G6" s="183" t="s">
        <v>674</v>
      </c>
      <c r="H6" s="183" t="s">
        <v>181</v>
      </c>
    </row>
    <row r="7" spans="1:8" ht="16.5">
      <c r="A7" s="157" t="s">
        <v>510</v>
      </c>
      <c r="B7" s="14">
        <v>1</v>
      </c>
      <c r="C7" s="172"/>
      <c r="D7" s="142" t="s">
        <v>181</v>
      </c>
      <c r="E7" s="182" t="s">
        <v>181</v>
      </c>
      <c r="F7" s="142" t="s">
        <v>557</v>
      </c>
      <c r="G7" s="185" t="s">
        <v>678</v>
      </c>
      <c r="H7" s="210" t="s">
        <v>391</v>
      </c>
    </row>
    <row r="8" spans="1:8" ht="16.5">
      <c r="A8" s="157" t="s">
        <v>437</v>
      </c>
      <c r="B8" s="172">
        <v>1</v>
      </c>
      <c r="C8" s="172">
        <v>13</v>
      </c>
      <c r="D8" s="182" t="s">
        <v>181</v>
      </c>
      <c r="E8" s="159" t="s">
        <v>181</v>
      </c>
      <c r="F8" s="159" t="s">
        <v>181</v>
      </c>
      <c r="G8" s="183" t="s">
        <v>675</v>
      </c>
      <c r="H8" s="183" t="s">
        <v>181</v>
      </c>
    </row>
    <row r="9" spans="1:8" ht="16.5">
      <c r="A9" s="157" t="s">
        <v>512</v>
      </c>
      <c r="B9" s="14">
        <v>1</v>
      </c>
      <c r="C9" s="172"/>
      <c r="D9" s="142" t="s">
        <v>181</v>
      </c>
      <c r="E9" s="182" t="s">
        <v>181</v>
      </c>
      <c r="F9" s="142" t="s">
        <v>557</v>
      </c>
      <c r="G9" s="183" t="s">
        <v>678</v>
      </c>
      <c r="H9" s="14" t="s">
        <v>388</v>
      </c>
    </row>
    <row r="10" spans="1:8" ht="16.5">
      <c r="A10" s="157" t="s">
        <v>503</v>
      </c>
      <c r="B10" s="172">
        <v>2</v>
      </c>
      <c r="C10" s="186">
        <v>10</v>
      </c>
      <c r="D10" s="182" t="s">
        <v>181</v>
      </c>
      <c r="E10" s="159" t="s">
        <v>181</v>
      </c>
      <c r="F10" s="159" t="s">
        <v>181</v>
      </c>
      <c r="G10" s="183" t="s">
        <v>678</v>
      </c>
      <c r="H10" s="183" t="s">
        <v>181</v>
      </c>
    </row>
    <row r="11" spans="1:8" ht="16.5">
      <c r="A11" s="136" t="s">
        <v>113</v>
      </c>
      <c r="B11" s="14">
        <v>5</v>
      </c>
      <c r="C11" s="14">
        <v>220</v>
      </c>
      <c r="D11" s="142" t="s">
        <v>181</v>
      </c>
      <c r="E11" s="182" t="s">
        <v>181</v>
      </c>
      <c r="F11" s="182" t="s">
        <v>181</v>
      </c>
      <c r="G11" s="185" t="s">
        <v>681</v>
      </c>
      <c r="H11" s="146" t="s">
        <v>560</v>
      </c>
    </row>
    <row r="12" spans="1:8" ht="16.5">
      <c r="A12" s="157" t="s">
        <v>500</v>
      </c>
      <c r="B12" s="172">
        <v>1</v>
      </c>
      <c r="C12" s="172">
        <v>12</v>
      </c>
      <c r="D12" s="182" t="s">
        <v>181</v>
      </c>
      <c r="E12" s="159" t="s">
        <v>181</v>
      </c>
      <c r="F12" s="159" t="s">
        <v>181</v>
      </c>
      <c r="G12" s="183" t="s">
        <v>678</v>
      </c>
      <c r="H12" s="183" t="s">
        <v>181</v>
      </c>
    </row>
    <row r="13" spans="1:8" ht="16.5">
      <c r="A13" s="136" t="s">
        <v>123</v>
      </c>
      <c r="B13" s="14">
        <v>1</v>
      </c>
      <c r="C13" s="14">
        <v>12</v>
      </c>
      <c r="D13" s="142" t="s">
        <v>181</v>
      </c>
      <c r="E13" s="182" t="s">
        <v>181</v>
      </c>
      <c r="F13" s="182" t="s">
        <v>181</v>
      </c>
      <c r="G13" s="185" t="s">
        <v>674</v>
      </c>
      <c r="H13" s="146" t="s">
        <v>560</v>
      </c>
    </row>
    <row r="14" spans="1:8" ht="16.5">
      <c r="A14" s="157" t="s">
        <v>81</v>
      </c>
      <c r="B14" s="172">
        <v>1</v>
      </c>
      <c r="C14" s="172">
        <v>64</v>
      </c>
      <c r="D14" s="182" t="s">
        <v>181</v>
      </c>
      <c r="E14" s="159" t="s">
        <v>181</v>
      </c>
      <c r="F14" s="159" t="s">
        <v>181</v>
      </c>
      <c r="G14" s="183" t="s">
        <v>679</v>
      </c>
      <c r="H14" s="183" t="s">
        <v>181</v>
      </c>
    </row>
    <row r="15" spans="1:8" ht="16.5">
      <c r="A15" s="157" t="s">
        <v>89</v>
      </c>
      <c r="B15" s="172">
        <v>1</v>
      </c>
      <c r="C15" s="172">
        <v>24</v>
      </c>
      <c r="D15" s="182" t="s">
        <v>181</v>
      </c>
      <c r="E15" s="159" t="s">
        <v>181</v>
      </c>
      <c r="F15" s="159" t="s">
        <v>181</v>
      </c>
      <c r="G15" s="183" t="s">
        <v>677</v>
      </c>
      <c r="H15" s="183" t="s">
        <v>181</v>
      </c>
    </row>
    <row r="16" spans="1:8" ht="16.5">
      <c r="A16" s="157" t="s">
        <v>319</v>
      </c>
      <c r="B16" s="172">
        <v>2</v>
      </c>
      <c r="C16" s="172">
        <v>12</v>
      </c>
      <c r="D16" s="182" t="s">
        <v>181</v>
      </c>
      <c r="E16" s="159" t="s">
        <v>181</v>
      </c>
      <c r="F16" s="159" t="s">
        <v>181</v>
      </c>
      <c r="G16" s="183" t="s">
        <v>680</v>
      </c>
      <c r="H16" s="183" t="s">
        <v>181</v>
      </c>
    </row>
    <row r="17" spans="1:8" ht="16.5">
      <c r="A17" s="136" t="s">
        <v>106</v>
      </c>
      <c r="B17" s="14">
        <v>1</v>
      </c>
      <c r="C17" s="14">
        <v>13</v>
      </c>
      <c r="D17" s="141" t="s">
        <v>344</v>
      </c>
      <c r="E17" s="159" t="s">
        <v>634</v>
      </c>
      <c r="F17" s="159" t="s">
        <v>558</v>
      </c>
      <c r="G17" s="183" t="s">
        <v>682</v>
      </c>
      <c r="H17" s="210" t="s">
        <v>387</v>
      </c>
    </row>
    <row r="18" spans="1:8" ht="16.5">
      <c r="A18" s="157" t="s">
        <v>48</v>
      </c>
      <c r="B18" s="172">
        <v>1</v>
      </c>
      <c r="C18" s="172">
        <v>13</v>
      </c>
      <c r="D18" s="159" t="s">
        <v>344</v>
      </c>
      <c r="E18" s="159" t="s">
        <v>634</v>
      </c>
      <c r="F18" s="159" t="s">
        <v>558</v>
      </c>
      <c r="G18" s="183" t="s">
        <v>684</v>
      </c>
      <c r="H18" s="183" t="s">
        <v>388</v>
      </c>
    </row>
    <row r="19" spans="1:8" ht="16.5">
      <c r="A19" s="136" t="s">
        <v>34</v>
      </c>
      <c r="B19" s="14">
        <v>1</v>
      </c>
      <c r="C19" s="14">
        <v>14</v>
      </c>
      <c r="D19" s="141" t="s">
        <v>344</v>
      </c>
      <c r="E19" s="159" t="s">
        <v>634</v>
      </c>
      <c r="F19" s="159" t="s">
        <v>558</v>
      </c>
      <c r="G19" s="183" t="s">
        <v>673</v>
      </c>
      <c r="H19" s="210" t="s">
        <v>388</v>
      </c>
    </row>
    <row r="20" spans="1:8" ht="16.5">
      <c r="A20" s="136" t="s">
        <v>246</v>
      </c>
      <c r="B20" s="14">
        <v>1</v>
      </c>
      <c r="C20" s="14">
        <v>11</v>
      </c>
      <c r="D20" s="141" t="s">
        <v>344</v>
      </c>
      <c r="E20" s="159" t="s">
        <v>635</v>
      </c>
      <c r="F20" s="159" t="s">
        <v>558</v>
      </c>
      <c r="G20" s="183" t="s">
        <v>680</v>
      </c>
      <c r="H20" s="210" t="s">
        <v>388</v>
      </c>
    </row>
    <row r="21" spans="1:8" ht="16.5">
      <c r="A21" s="157" t="s">
        <v>425</v>
      </c>
      <c r="B21" s="172">
        <v>1</v>
      </c>
      <c r="C21" s="172">
        <v>12</v>
      </c>
      <c r="D21" s="159" t="s">
        <v>344</v>
      </c>
      <c r="E21" s="159" t="s">
        <v>634</v>
      </c>
      <c r="F21" s="159" t="s">
        <v>557</v>
      </c>
      <c r="G21" s="183" t="s">
        <v>685</v>
      </c>
      <c r="H21" s="183" t="s">
        <v>401</v>
      </c>
    </row>
    <row r="22" spans="1:8" ht="16.5">
      <c r="A22" s="136" t="s">
        <v>102</v>
      </c>
      <c r="B22" s="14">
        <v>1</v>
      </c>
      <c r="C22" s="14">
        <v>13</v>
      </c>
      <c r="D22" s="141" t="s">
        <v>344</v>
      </c>
      <c r="E22" s="159" t="s">
        <v>635</v>
      </c>
      <c r="F22" s="159" t="s">
        <v>558</v>
      </c>
      <c r="G22" s="183" t="s">
        <v>677</v>
      </c>
      <c r="H22" s="210" t="s">
        <v>397</v>
      </c>
    </row>
    <row r="23" spans="1:8" ht="16.5">
      <c r="A23" s="136" t="s">
        <v>97</v>
      </c>
      <c r="B23" s="14">
        <v>2</v>
      </c>
      <c r="C23" s="14">
        <v>13</v>
      </c>
      <c r="D23" s="141" t="s">
        <v>344</v>
      </c>
      <c r="E23" s="159" t="s">
        <v>634</v>
      </c>
      <c r="F23" s="159" t="s">
        <v>558</v>
      </c>
      <c r="G23" s="183" t="s">
        <v>689</v>
      </c>
      <c r="H23" s="210" t="s">
        <v>575</v>
      </c>
    </row>
    <row r="24" spans="1:8" ht="16.5">
      <c r="A24" s="136" t="s">
        <v>63</v>
      </c>
      <c r="B24" s="14">
        <v>1</v>
      </c>
      <c r="C24" s="14">
        <v>15</v>
      </c>
      <c r="D24" s="141" t="s">
        <v>344</v>
      </c>
      <c r="E24" s="159" t="s">
        <v>634</v>
      </c>
      <c r="F24" s="159" t="s">
        <v>558</v>
      </c>
      <c r="G24" s="183" t="s">
        <v>690</v>
      </c>
      <c r="H24" s="210" t="s">
        <v>649</v>
      </c>
    </row>
    <row r="25" spans="1:8" ht="16.5">
      <c r="A25" s="136" t="s">
        <v>403</v>
      </c>
      <c r="B25" s="14">
        <v>1</v>
      </c>
      <c r="C25" s="14">
        <v>8</v>
      </c>
      <c r="D25" s="141" t="s">
        <v>344</v>
      </c>
      <c r="E25" s="159" t="s">
        <v>634</v>
      </c>
      <c r="F25" s="159" t="s">
        <v>558</v>
      </c>
      <c r="G25" s="183" t="s">
        <v>685</v>
      </c>
      <c r="H25" s="210" t="s">
        <v>390</v>
      </c>
    </row>
    <row r="26" spans="1:8" ht="16.5">
      <c r="A26" s="136" t="s">
        <v>90</v>
      </c>
      <c r="B26" s="14">
        <v>1</v>
      </c>
      <c r="C26" s="14">
        <v>13</v>
      </c>
      <c r="D26" s="141" t="s">
        <v>344</v>
      </c>
      <c r="E26" s="159" t="s">
        <v>634</v>
      </c>
      <c r="F26" s="159" t="s">
        <v>558</v>
      </c>
      <c r="G26" s="183" t="s">
        <v>676</v>
      </c>
      <c r="H26" s="210" t="s">
        <v>650</v>
      </c>
    </row>
    <row r="27" spans="1:8" ht="16.5">
      <c r="A27" s="136" t="s">
        <v>298</v>
      </c>
      <c r="B27" s="14">
        <v>2</v>
      </c>
      <c r="C27" s="14">
        <v>12</v>
      </c>
      <c r="D27" s="141" t="s">
        <v>344</v>
      </c>
      <c r="E27" s="159" t="s">
        <v>634</v>
      </c>
      <c r="F27" s="159" t="s">
        <v>557</v>
      </c>
      <c r="G27" s="183" t="s">
        <v>679</v>
      </c>
      <c r="H27" s="210" t="s">
        <v>400</v>
      </c>
    </row>
    <row r="28" spans="1:8" ht="16.5">
      <c r="A28" s="136" t="s">
        <v>168</v>
      </c>
      <c r="B28" s="14">
        <v>1</v>
      </c>
      <c r="C28" s="14">
        <v>25</v>
      </c>
      <c r="D28" s="141" t="s">
        <v>344</v>
      </c>
      <c r="E28" s="159" t="s">
        <v>634</v>
      </c>
      <c r="F28" s="159" t="s">
        <v>557</v>
      </c>
      <c r="G28" s="183" t="s">
        <v>676</v>
      </c>
      <c r="H28" s="181" t="s">
        <v>391</v>
      </c>
    </row>
    <row r="29" spans="1:8" ht="16.5">
      <c r="A29" s="136" t="s">
        <v>252</v>
      </c>
      <c r="B29" s="14">
        <v>2</v>
      </c>
      <c r="C29" s="14">
        <v>25</v>
      </c>
      <c r="D29" s="141" t="s">
        <v>344</v>
      </c>
      <c r="E29" s="159" t="s">
        <v>634</v>
      </c>
      <c r="F29" s="159" t="s">
        <v>557</v>
      </c>
      <c r="G29" s="183" t="s">
        <v>679</v>
      </c>
      <c r="H29" s="210" t="s">
        <v>391</v>
      </c>
    </row>
    <row r="30" spans="1:8" ht="16.5">
      <c r="A30" s="136" t="s">
        <v>85</v>
      </c>
      <c r="B30" s="14">
        <v>1</v>
      </c>
      <c r="C30" s="14">
        <v>12</v>
      </c>
      <c r="D30" s="141" t="s">
        <v>344</v>
      </c>
      <c r="E30" s="159" t="s">
        <v>634</v>
      </c>
      <c r="F30" s="159" t="s">
        <v>557</v>
      </c>
      <c r="G30" s="183" t="s">
        <v>674</v>
      </c>
      <c r="H30" s="210" t="s">
        <v>647</v>
      </c>
    </row>
    <row r="31" spans="1:8" ht="16.5">
      <c r="A31" s="136" t="s">
        <v>448</v>
      </c>
      <c r="B31" s="14">
        <v>2</v>
      </c>
      <c r="C31" s="14">
        <v>12</v>
      </c>
      <c r="D31" s="141" t="s">
        <v>344</v>
      </c>
      <c r="E31" s="159" t="s">
        <v>634</v>
      </c>
      <c r="F31" s="159" t="s">
        <v>557</v>
      </c>
      <c r="G31" s="183" t="s">
        <v>695</v>
      </c>
      <c r="H31" s="210" t="s">
        <v>646</v>
      </c>
    </row>
    <row r="32" spans="1:8" ht="16.5">
      <c r="A32" s="136" t="s">
        <v>126</v>
      </c>
      <c r="B32" s="14">
        <v>1</v>
      </c>
      <c r="C32" s="14">
        <v>22</v>
      </c>
      <c r="D32" s="141" t="s">
        <v>344</v>
      </c>
      <c r="E32" s="159" t="s">
        <v>634</v>
      </c>
      <c r="F32" s="159" t="s">
        <v>558</v>
      </c>
      <c r="G32" s="183" t="s">
        <v>697</v>
      </c>
      <c r="H32" s="209" t="s">
        <v>668</v>
      </c>
    </row>
    <row r="33" spans="1:8" ht="16.5">
      <c r="A33" s="136" t="s">
        <v>209</v>
      </c>
      <c r="B33" s="14">
        <v>2</v>
      </c>
      <c r="C33" s="14">
        <v>22</v>
      </c>
      <c r="D33" s="141" t="s">
        <v>344</v>
      </c>
      <c r="E33" s="159" t="s">
        <v>634</v>
      </c>
      <c r="F33" s="159" t="s">
        <v>558</v>
      </c>
      <c r="G33" s="183" t="s">
        <v>696</v>
      </c>
      <c r="H33" s="210" t="s">
        <v>388</v>
      </c>
    </row>
    <row r="34" spans="1:8" ht="16.5">
      <c r="A34" s="157" t="s">
        <v>309</v>
      </c>
      <c r="B34" s="172">
        <v>1</v>
      </c>
      <c r="C34" s="172">
        <v>25</v>
      </c>
      <c r="D34" s="159" t="s">
        <v>344</v>
      </c>
      <c r="E34" s="159"/>
      <c r="F34" s="159" t="s">
        <v>558</v>
      </c>
      <c r="G34" s="183" t="s">
        <v>698</v>
      </c>
      <c r="H34" s="183" t="s">
        <v>651</v>
      </c>
    </row>
    <row r="35" spans="1:8" ht="16.5">
      <c r="A35" s="157" t="s">
        <v>310</v>
      </c>
      <c r="B35" s="172">
        <v>2</v>
      </c>
      <c r="C35" s="172">
        <v>25</v>
      </c>
      <c r="D35" s="159" t="s">
        <v>344</v>
      </c>
      <c r="E35" s="159"/>
      <c r="F35" s="159" t="s">
        <v>558</v>
      </c>
      <c r="G35" s="183" t="s">
        <v>699</v>
      </c>
      <c r="H35" s="185" t="s">
        <v>651</v>
      </c>
    </row>
    <row r="36" spans="1:8" ht="16.5">
      <c r="A36" s="136" t="s">
        <v>361</v>
      </c>
      <c r="B36" s="14">
        <v>1</v>
      </c>
      <c r="C36" s="14">
        <v>13</v>
      </c>
      <c r="D36" s="141" t="s">
        <v>344</v>
      </c>
      <c r="E36" s="159" t="s">
        <v>634</v>
      </c>
      <c r="F36" s="159" t="s">
        <v>559</v>
      </c>
      <c r="G36" s="183" t="s">
        <v>675</v>
      </c>
      <c r="H36" s="210" t="s">
        <v>391</v>
      </c>
    </row>
    <row r="37" spans="1:8" ht="16.5">
      <c r="A37" s="136" t="s">
        <v>21</v>
      </c>
      <c r="B37" s="14">
        <v>1</v>
      </c>
      <c r="C37" s="14">
        <v>12</v>
      </c>
      <c r="D37" s="141" t="s">
        <v>344</v>
      </c>
      <c r="E37" s="159" t="s">
        <v>634</v>
      </c>
      <c r="F37" s="159" t="s">
        <v>557</v>
      </c>
      <c r="G37" s="183" t="s">
        <v>701</v>
      </c>
      <c r="H37" s="210" t="s">
        <v>393</v>
      </c>
    </row>
    <row r="38" spans="1:8" ht="16.5">
      <c r="A38" s="136" t="s">
        <v>175</v>
      </c>
      <c r="B38" s="14">
        <v>1</v>
      </c>
      <c r="C38" s="14">
        <v>13</v>
      </c>
      <c r="D38" s="141" t="s">
        <v>344</v>
      </c>
      <c r="E38" s="159" t="s">
        <v>634</v>
      </c>
      <c r="F38" s="159" t="s">
        <v>557</v>
      </c>
      <c r="G38" s="183" t="s">
        <v>701</v>
      </c>
      <c r="H38" s="210" t="s">
        <v>394</v>
      </c>
    </row>
    <row r="39" spans="1:8" ht="16.5">
      <c r="A39" s="136" t="s">
        <v>233</v>
      </c>
      <c r="B39" s="14">
        <v>1</v>
      </c>
      <c r="C39" s="14">
        <v>12</v>
      </c>
      <c r="D39" s="141" t="s">
        <v>344</v>
      </c>
      <c r="E39" s="159" t="s">
        <v>634</v>
      </c>
      <c r="F39" s="159" t="s">
        <v>558</v>
      </c>
      <c r="G39" s="183" t="s">
        <v>685</v>
      </c>
      <c r="H39" s="210" t="s">
        <v>395</v>
      </c>
    </row>
    <row r="40" spans="1:8" ht="16.5">
      <c r="A40" s="157" t="s">
        <v>311</v>
      </c>
      <c r="B40" s="172">
        <v>1</v>
      </c>
      <c r="C40" s="172">
        <v>26</v>
      </c>
      <c r="D40" s="159" t="s">
        <v>344</v>
      </c>
      <c r="E40" s="159" t="s">
        <v>634</v>
      </c>
      <c r="F40" s="159" t="s">
        <v>558</v>
      </c>
      <c r="G40" s="183" t="s">
        <v>688</v>
      </c>
      <c r="H40" s="183" t="s">
        <v>652</v>
      </c>
    </row>
    <row r="41" spans="1:8" ht="16.5">
      <c r="A41" s="157" t="s">
        <v>335</v>
      </c>
      <c r="B41" s="172">
        <v>1</v>
      </c>
      <c r="C41" s="172">
        <v>24</v>
      </c>
      <c r="D41" s="159" t="s">
        <v>344</v>
      </c>
      <c r="E41" s="159" t="s">
        <v>634</v>
      </c>
      <c r="F41" s="159" t="s">
        <v>558</v>
      </c>
      <c r="G41" s="183" t="s">
        <v>688</v>
      </c>
      <c r="H41" s="183" t="s">
        <v>653</v>
      </c>
    </row>
    <row r="42" spans="1:8" ht="16.5">
      <c r="A42" s="136" t="s">
        <v>333</v>
      </c>
      <c r="B42" s="14">
        <v>1</v>
      </c>
      <c r="C42" s="14">
        <v>24</v>
      </c>
      <c r="D42" s="141" t="s">
        <v>344</v>
      </c>
      <c r="E42" s="159" t="s">
        <v>634</v>
      </c>
      <c r="F42" s="159" t="s">
        <v>558</v>
      </c>
      <c r="G42" s="183" t="s">
        <v>702</v>
      </c>
      <c r="H42" s="210" t="s">
        <v>654</v>
      </c>
    </row>
    <row r="43" spans="1:8" ht="16.5">
      <c r="A43" s="157" t="s">
        <v>334</v>
      </c>
      <c r="B43" s="172">
        <v>2</v>
      </c>
      <c r="C43" s="172">
        <v>25</v>
      </c>
      <c r="D43" s="159" t="s">
        <v>344</v>
      </c>
      <c r="E43" s="159" t="s">
        <v>634</v>
      </c>
      <c r="F43" s="159" t="s">
        <v>558</v>
      </c>
      <c r="G43" s="183" t="s">
        <v>676</v>
      </c>
      <c r="H43" s="183" t="s">
        <v>368</v>
      </c>
    </row>
    <row r="44" spans="1:8" ht="16.5">
      <c r="A44" s="136" t="s">
        <v>237</v>
      </c>
      <c r="B44" s="14">
        <v>1</v>
      </c>
      <c r="C44" s="14">
        <v>12</v>
      </c>
      <c r="D44" s="141" t="s">
        <v>344</v>
      </c>
      <c r="E44" s="159" t="s">
        <v>635</v>
      </c>
      <c r="F44" s="159" t="s">
        <v>558</v>
      </c>
      <c r="G44" s="183" t="s">
        <v>700</v>
      </c>
      <c r="H44" s="210" t="s">
        <v>401</v>
      </c>
    </row>
    <row r="45" spans="1:8" ht="16.5">
      <c r="A45" s="136" t="s">
        <v>332</v>
      </c>
      <c r="B45" s="14">
        <v>1</v>
      </c>
      <c r="C45" s="14">
        <v>12</v>
      </c>
      <c r="D45" s="141" t="s">
        <v>344</v>
      </c>
      <c r="E45" s="159" t="s">
        <v>634</v>
      </c>
      <c r="F45" s="159" t="s">
        <v>557</v>
      </c>
      <c r="G45" s="183" t="s">
        <v>700</v>
      </c>
      <c r="H45" s="210" t="s">
        <v>391</v>
      </c>
    </row>
    <row r="46" spans="1:8" ht="16.5">
      <c r="A46" s="157" t="s">
        <v>57</v>
      </c>
      <c r="B46" s="172">
        <v>1</v>
      </c>
      <c r="C46" s="172">
        <v>12</v>
      </c>
      <c r="D46" s="159" t="s">
        <v>344</v>
      </c>
      <c r="E46" s="159" t="s">
        <v>635</v>
      </c>
      <c r="F46" s="159" t="s">
        <v>558</v>
      </c>
      <c r="G46" s="183" t="s">
        <v>674</v>
      </c>
      <c r="H46" s="183" t="s">
        <v>573</v>
      </c>
    </row>
    <row r="47" spans="1:8" ht="16.5">
      <c r="A47" s="136" t="s">
        <v>360</v>
      </c>
      <c r="B47" s="14">
        <v>1</v>
      </c>
      <c r="C47" s="14">
        <v>24</v>
      </c>
      <c r="D47" s="141" t="s">
        <v>344</v>
      </c>
      <c r="E47" s="159" t="s">
        <v>634</v>
      </c>
      <c r="F47" s="159" t="s">
        <v>557</v>
      </c>
      <c r="G47" s="183" t="s">
        <v>675</v>
      </c>
      <c r="H47" s="210" t="s">
        <v>370</v>
      </c>
    </row>
    <row r="48" spans="1:8" ht="16.5">
      <c r="A48" s="136" t="s">
        <v>95</v>
      </c>
      <c r="B48" s="14">
        <v>1</v>
      </c>
      <c r="C48" s="14">
        <v>13</v>
      </c>
      <c r="D48" s="141" t="s">
        <v>344</v>
      </c>
      <c r="E48" s="159" t="s">
        <v>634</v>
      </c>
      <c r="F48" s="159" t="s">
        <v>557</v>
      </c>
      <c r="G48" s="183" t="s">
        <v>682</v>
      </c>
      <c r="H48" s="210" t="s">
        <v>396</v>
      </c>
    </row>
    <row r="49" spans="1:8" ht="16.5">
      <c r="A49" s="136" t="s">
        <v>14</v>
      </c>
      <c r="B49" s="14">
        <v>2</v>
      </c>
      <c r="C49" s="14">
        <v>12</v>
      </c>
      <c r="D49" s="141" t="s">
        <v>344</v>
      </c>
      <c r="E49" s="159" t="s">
        <v>634</v>
      </c>
      <c r="F49" s="159" t="s">
        <v>558</v>
      </c>
      <c r="G49" s="183" t="s">
        <v>701</v>
      </c>
      <c r="H49" s="210" t="s">
        <v>390</v>
      </c>
    </row>
    <row r="50" spans="1:8" ht="16.5">
      <c r="A50" s="136" t="s">
        <v>24</v>
      </c>
      <c r="B50" s="14">
        <v>1</v>
      </c>
      <c r="C50" s="14">
        <v>13</v>
      </c>
      <c r="D50" s="141" t="s">
        <v>344</v>
      </c>
      <c r="E50" s="159" t="s">
        <v>634</v>
      </c>
      <c r="F50" s="159" t="s">
        <v>558</v>
      </c>
      <c r="G50" s="183" t="s">
        <v>701</v>
      </c>
      <c r="H50" s="210" t="s">
        <v>370</v>
      </c>
    </row>
    <row r="51" spans="1:8" ht="16.5">
      <c r="A51" s="136" t="s">
        <v>190</v>
      </c>
      <c r="B51" s="14">
        <v>1</v>
      </c>
      <c r="C51" s="14">
        <v>13</v>
      </c>
      <c r="D51" s="141" t="s">
        <v>344</v>
      </c>
      <c r="E51" s="159" t="s">
        <v>635</v>
      </c>
      <c r="F51" s="159" t="s">
        <v>558</v>
      </c>
      <c r="G51" s="183" t="s">
        <v>701</v>
      </c>
      <c r="H51" s="210" t="s">
        <v>388</v>
      </c>
    </row>
    <row r="52" spans="1:8" ht="16.5">
      <c r="A52" s="157" t="s">
        <v>302</v>
      </c>
      <c r="B52" s="172">
        <v>1</v>
      </c>
      <c r="C52" s="172">
        <v>52</v>
      </c>
      <c r="D52" s="159" t="s">
        <v>344</v>
      </c>
      <c r="E52" s="159" t="s">
        <v>636</v>
      </c>
      <c r="F52" s="159" t="s">
        <v>561</v>
      </c>
      <c r="G52" s="183" t="s">
        <v>705</v>
      </c>
      <c r="H52" s="183" t="s">
        <v>410</v>
      </c>
    </row>
    <row r="53" spans="1:8" ht="16.5">
      <c r="A53" s="157" t="s">
        <v>62</v>
      </c>
      <c r="B53" s="172">
        <v>1</v>
      </c>
      <c r="C53" s="172">
        <v>12</v>
      </c>
      <c r="D53" s="159" t="s">
        <v>344</v>
      </c>
      <c r="E53" s="159" t="s">
        <v>634</v>
      </c>
      <c r="F53" s="159" t="s">
        <v>558</v>
      </c>
      <c r="G53" s="183" t="s">
        <v>706</v>
      </c>
      <c r="H53" s="183" t="s">
        <v>414</v>
      </c>
    </row>
    <row r="54" spans="1:8" ht="16.5">
      <c r="A54" s="157" t="s">
        <v>303</v>
      </c>
      <c r="B54" s="172">
        <v>1</v>
      </c>
      <c r="C54" s="172">
        <v>12</v>
      </c>
      <c r="D54" s="159" t="s">
        <v>344</v>
      </c>
      <c r="E54" s="159" t="s">
        <v>634</v>
      </c>
      <c r="F54" s="159" t="s">
        <v>557</v>
      </c>
      <c r="G54" s="183" t="s">
        <v>680</v>
      </c>
      <c r="H54" s="183" t="s">
        <v>368</v>
      </c>
    </row>
    <row r="55" spans="1:8" ht="16.5">
      <c r="A55" s="136" t="s">
        <v>217</v>
      </c>
      <c r="B55" s="14">
        <v>1</v>
      </c>
      <c r="C55" s="14">
        <v>22</v>
      </c>
      <c r="D55" s="141" t="s">
        <v>344</v>
      </c>
      <c r="E55" s="159" t="s">
        <v>634</v>
      </c>
      <c r="F55" s="159" t="s">
        <v>558</v>
      </c>
      <c r="G55" s="183" t="s">
        <v>682</v>
      </c>
      <c r="H55" s="210" t="s">
        <v>650</v>
      </c>
    </row>
    <row r="56" spans="1:8" ht="16.5">
      <c r="A56" s="136" t="s">
        <v>453</v>
      </c>
      <c r="B56" s="14">
        <v>1</v>
      </c>
      <c r="C56" s="14">
        <v>10</v>
      </c>
      <c r="D56" s="141" t="s">
        <v>344</v>
      </c>
      <c r="E56" s="159" t="s">
        <v>634</v>
      </c>
      <c r="F56" s="159" t="s">
        <v>557</v>
      </c>
      <c r="G56" s="183" t="s">
        <v>695</v>
      </c>
      <c r="H56" s="210" t="s">
        <v>475</v>
      </c>
    </row>
    <row r="57" spans="1:8" ht="16.5">
      <c r="A57" s="136" t="s">
        <v>197</v>
      </c>
      <c r="B57" s="14">
        <v>1</v>
      </c>
      <c r="C57" s="14">
        <v>12</v>
      </c>
      <c r="D57" s="141" t="s">
        <v>344</v>
      </c>
      <c r="E57" s="159" t="s">
        <v>634</v>
      </c>
      <c r="F57" s="159" t="s">
        <v>557</v>
      </c>
      <c r="G57" s="183" t="s">
        <v>700</v>
      </c>
      <c r="H57" s="210" t="s">
        <v>391</v>
      </c>
    </row>
    <row r="58" spans="1:8" ht="16.5">
      <c r="A58" s="136" t="s">
        <v>65</v>
      </c>
      <c r="B58" s="14">
        <v>1</v>
      </c>
      <c r="C58" s="14">
        <v>13</v>
      </c>
      <c r="D58" s="141" t="s">
        <v>344</v>
      </c>
      <c r="E58" s="159" t="s">
        <v>635</v>
      </c>
      <c r="F58" s="159" t="s">
        <v>558</v>
      </c>
      <c r="G58" s="183" t="s">
        <v>674</v>
      </c>
      <c r="H58" s="210" t="s">
        <v>388</v>
      </c>
    </row>
    <row r="59" spans="1:8" ht="16.5">
      <c r="A59" s="157" t="s">
        <v>22</v>
      </c>
      <c r="B59" s="172">
        <v>1</v>
      </c>
      <c r="C59" s="172">
        <v>12</v>
      </c>
      <c r="D59" s="159" t="s">
        <v>344</v>
      </c>
      <c r="E59" s="159" t="s">
        <v>634</v>
      </c>
      <c r="F59" s="159" t="s">
        <v>557</v>
      </c>
      <c r="G59" s="183" t="s">
        <v>699</v>
      </c>
      <c r="H59" s="183" t="s">
        <v>417</v>
      </c>
    </row>
    <row r="60" spans="1:8" ht="16.5">
      <c r="A60" s="157" t="s">
        <v>185</v>
      </c>
      <c r="B60" s="172">
        <v>1</v>
      </c>
      <c r="C60" s="172">
        <v>27</v>
      </c>
      <c r="D60" s="159" t="s">
        <v>344</v>
      </c>
      <c r="E60" s="159" t="s">
        <v>634</v>
      </c>
      <c r="F60" s="159" t="s">
        <v>557</v>
      </c>
      <c r="G60" s="183" t="s">
        <v>673</v>
      </c>
      <c r="H60" s="183" t="s">
        <v>370</v>
      </c>
    </row>
    <row r="61" spans="1:8" ht="16.5">
      <c r="A61" s="136" t="s">
        <v>236</v>
      </c>
      <c r="B61" s="14">
        <v>1</v>
      </c>
      <c r="C61" s="14">
        <v>12</v>
      </c>
      <c r="D61" s="141" t="s">
        <v>344</v>
      </c>
      <c r="E61" s="159" t="s">
        <v>634</v>
      </c>
      <c r="F61" s="159" t="s">
        <v>559</v>
      </c>
      <c r="G61" s="183" t="s">
        <v>700</v>
      </c>
      <c r="H61" s="210" t="s">
        <v>391</v>
      </c>
    </row>
    <row r="62" spans="1:8" ht="16.5">
      <c r="A62" s="157" t="s">
        <v>67</v>
      </c>
      <c r="B62" s="172">
        <v>1</v>
      </c>
      <c r="C62" s="172">
        <v>24</v>
      </c>
      <c r="D62" s="159" t="s">
        <v>344</v>
      </c>
      <c r="E62" s="159" t="s">
        <v>634</v>
      </c>
      <c r="F62" s="159" t="s">
        <v>558</v>
      </c>
      <c r="G62" s="183" t="s">
        <v>698</v>
      </c>
      <c r="H62" s="183" t="s">
        <v>654</v>
      </c>
    </row>
    <row r="63" spans="1:8" ht="16.5">
      <c r="A63" s="136" t="s">
        <v>234</v>
      </c>
      <c r="B63" s="14">
        <v>1</v>
      </c>
      <c r="C63" s="14">
        <v>12</v>
      </c>
      <c r="D63" s="141" t="s">
        <v>344</v>
      </c>
      <c r="E63" s="159" t="s">
        <v>635</v>
      </c>
      <c r="F63" s="159" t="s">
        <v>558</v>
      </c>
      <c r="G63" s="183" t="s">
        <v>700</v>
      </c>
      <c r="H63" s="210" t="s">
        <v>388</v>
      </c>
    </row>
    <row r="64" spans="1:8" ht="16.5">
      <c r="A64" s="136" t="s">
        <v>50</v>
      </c>
      <c r="B64" s="14">
        <v>1</v>
      </c>
      <c r="C64" s="14">
        <v>17</v>
      </c>
      <c r="D64" s="141" t="s">
        <v>344</v>
      </c>
      <c r="E64" s="159" t="s">
        <v>634</v>
      </c>
      <c r="F64" s="159" t="s">
        <v>558</v>
      </c>
      <c r="G64" s="183" t="s">
        <v>683</v>
      </c>
      <c r="H64" s="210" t="s">
        <v>644</v>
      </c>
    </row>
    <row r="65" spans="1:8" ht="16.5">
      <c r="A65" s="136" t="s">
        <v>161</v>
      </c>
      <c r="B65" s="14">
        <v>1</v>
      </c>
      <c r="C65" s="14">
        <v>13</v>
      </c>
      <c r="D65" s="141" t="s">
        <v>344</v>
      </c>
      <c r="E65" s="159" t="s">
        <v>634</v>
      </c>
      <c r="F65" s="159" t="s">
        <v>558</v>
      </c>
      <c r="G65" s="183" t="s">
        <v>704</v>
      </c>
      <c r="H65" s="210" t="s">
        <v>402</v>
      </c>
    </row>
    <row r="66" spans="1:8" ht="16.5">
      <c r="A66" s="136" t="s">
        <v>212</v>
      </c>
      <c r="B66" s="14">
        <v>2</v>
      </c>
      <c r="C66" s="14">
        <v>24</v>
      </c>
      <c r="D66" s="141" t="s">
        <v>344</v>
      </c>
      <c r="E66" s="159" t="s">
        <v>634</v>
      </c>
      <c r="F66" s="159" t="s">
        <v>558</v>
      </c>
      <c r="G66" s="183" t="s">
        <v>673</v>
      </c>
      <c r="H66" s="210" t="s">
        <v>397</v>
      </c>
    </row>
    <row r="67" spans="1:8" ht="16.5">
      <c r="A67" s="136" t="s">
        <v>165</v>
      </c>
      <c r="B67" s="14">
        <v>1</v>
      </c>
      <c r="C67" s="14">
        <v>12</v>
      </c>
      <c r="D67" s="141" t="s">
        <v>344</v>
      </c>
      <c r="E67" s="159" t="s">
        <v>634</v>
      </c>
      <c r="F67" s="159" t="s">
        <v>557</v>
      </c>
      <c r="G67" s="183" t="s">
        <v>679</v>
      </c>
      <c r="H67" s="210" t="s">
        <v>391</v>
      </c>
    </row>
    <row r="68" spans="1:8" ht="16.5">
      <c r="A68" s="136" t="s">
        <v>238</v>
      </c>
      <c r="B68" s="14">
        <v>1</v>
      </c>
      <c r="C68" s="14">
        <v>13</v>
      </c>
      <c r="D68" s="141" t="s">
        <v>344</v>
      </c>
      <c r="E68" s="159" t="s">
        <v>634</v>
      </c>
      <c r="F68" s="159" t="s">
        <v>557</v>
      </c>
      <c r="G68" s="183" t="s">
        <v>700</v>
      </c>
      <c r="H68" s="209" t="s">
        <v>370</v>
      </c>
    </row>
    <row r="69" spans="1:8" ht="16.5">
      <c r="A69" s="136" t="s">
        <v>211</v>
      </c>
      <c r="B69" s="14">
        <v>1</v>
      </c>
      <c r="C69" s="14">
        <v>24</v>
      </c>
      <c r="D69" s="141" t="s">
        <v>344</v>
      </c>
      <c r="E69" s="159" t="s">
        <v>634</v>
      </c>
      <c r="F69" s="159" t="s">
        <v>558</v>
      </c>
      <c r="G69" s="183" t="s">
        <v>688</v>
      </c>
      <c r="H69" s="210" t="s">
        <v>388</v>
      </c>
    </row>
    <row r="70" spans="1:8" ht="16.5">
      <c r="A70" s="136" t="s">
        <v>450</v>
      </c>
      <c r="B70" s="14">
        <v>1</v>
      </c>
      <c r="C70" s="14">
        <v>12</v>
      </c>
      <c r="D70" s="141" t="s">
        <v>344</v>
      </c>
      <c r="E70" s="159" t="s">
        <v>634</v>
      </c>
      <c r="F70" s="159" t="s">
        <v>557</v>
      </c>
      <c r="G70" s="183" t="s">
        <v>679</v>
      </c>
      <c r="H70" s="210" t="s">
        <v>370</v>
      </c>
    </row>
    <row r="71" spans="1:8" ht="16.5">
      <c r="A71" s="136" t="s">
        <v>58</v>
      </c>
      <c r="B71" s="14">
        <v>1</v>
      </c>
      <c r="C71" s="14">
        <v>12</v>
      </c>
      <c r="D71" s="141" t="s">
        <v>344</v>
      </c>
      <c r="E71" s="159" t="s">
        <v>634</v>
      </c>
      <c r="F71" s="159" t="s">
        <v>558</v>
      </c>
      <c r="G71" s="183" t="s">
        <v>679</v>
      </c>
      <c r="H71" s="210" t="s">
        <v>395</v>
      </c>
    </row>
    <row r="72" spans="1:8" ht="16.5">
      <c r="A72" s="136" t="s">
        <v>306</v>
      </c>
      <c r="B72" s="14">
        <v>1</v>
      </c>
      <c r="C72" s="14">
        <v>26</v>
      </c>
      <c r="D72" s="141" t="s">
        <v>344</v>
      </c>
      <c r="E72" s="159" t="s">
        <v>634</v>
      </c>
      <c r="F72" s="159" t="s">
        <v>558</v>
      </c>
      <c r="G72" s="183" t="s">
        <v>676</v>
      </c>
      <c r="H72" s="210" t="s">
        <v>390</v>
      </c>
    </row>
    <row r="73" spans="1:8" ht="16.5">
      <c r="A73" s="136" t="s">
        <v>462</v>
      </c>
      <c r="B73" s="14">
        <v>2</v>
      </c>
      <c r="C73" s="14">
        <v>26</v>
      </c>
      <c r="D73" s="141" t="s">
        <v>344</v>
      </c>
      <c r="E73" s="159" t="s">
        <v>634</v>
      </c>
      <c r="F73" s="159" t="s">
        <v>557</v>
      </c>
      <c r="G73" s="183" t="s">
        <v>700</v>
      </c>
      <c r="H73" s="210" t="s">
        <v>391</v>
      </c>
    </row>
    <row r="74" spans="1:8" ht="16.5">
      <c r="A74" s="157" t="s">
        <v>73</v>
      </c>
      <c r="B74" s="14">
        <v>1</v>
      </c>
      <c r="C74" s="172">
        <v>26</v>
      </c>
      <c r="D74" s="142" t="s">
        <v>344</v>
      </c>
      <c r="E74" s="159" t="s">
        <v>635</v>
      </c>
      <c r="F74" s="207" t="s">
        <v>558</v>
      </c>
      <c r="G74" s="183" t="s">
        <v>709</v>
      </c>
      <c r="H74" s="206" t="s">
        <v>415</v>
      </c>
    </row>
    <row r="75" spans="1:8" ht="16.5">
      <c r="A75" s="136" t="s">
        <v>188</v>
      </c>
      <c r="B75" s="14">
        <v>1</v>
      </c>
      <c r="C75" s="14">
        <v>13</v>
      </c>
      <c r="D75" s="141" t="s">
        <v>344</v>
      </c>
      <c r="E75" s="159" t="s">
        <v>634</v>
      </c>
      <c r="F75" s="159" t="s">
        <v>559</v>
      </c>
      <c r="G75" s="183" t="s">
        <v>701</v>
      </c>
      <c r="H75" s="210" t="s">
        <v>391</v>
      </c>
    </row>
    <row r="76" spans="1:8" ht="16.5">
      <c r="A76" s="136" t="s">
        <v>655</v>
      </c>
      <c r="B76" s="14">
        <v>1</v>
      </c>
      <c r="C76" s="14">
        <v>4</v>
      </c>
      <c r="D76" s="141" t="s">
        <v>344</v>
      </c>
      <c r="E76" s="159" t="s">
        <v>635</v>
      </c>
      <c r="F76" s="159" t="s">
        <v>558</v>
      </c>
      <c r="G76" s="183" t="s">
        <v>679</v>
      </c>
      <c r="H76" s="209" t="s">
        <v>650</v>
      </c>
    </row>
    <row r="77" spans="1:8" ht="16.5">
      <c r="A77" s="157" t="s">
        <v>426</v>
      </c>
      <c r="B77" s="172">
        <v>1</v>
      </c>
      <c r="C77" s="172">
        <v>26</v>
      </c>
      <c r="D77" s="159" t="s">
        <v>344</v>
      </c>
      <c r="E77" s="159" t="s">
        <v>638</v>
      </c>
      <c r="F77" s="159" t="s">
        <v>561</v>
      </c>
      <c r="G77" s="183" t="s">
        <v>710</v>
      </c>
      <c r="H77" s="183" t="s">
        <v>427</v>
      </c>
    </row>
    <row r="78" spans="1:8" ht="16.5">
      <c r="A78" s="136" t="s">
        <v>210</v>
      </c>
      <c r="B78" s="14">
        <v>1</v>
      </c>
      <c r="C78" s="14">
        <v>26</v>
      </c>
      <c r="D78" s="141" t="s">
        <v>344</v>
      </c>
      <c r="E78" s="159"/>
      <c r="F78" s="159" t="s">
        <v>558</v>
      </c>
      <c r="G78" s="183" t="s">
        <v>680</v>
      </c>
      <c r="H78" s="210" t="s">
        <v>388</v>
      </c>
    </row>
    <row r="79" spans="1:8" ht="16.5">
      <c r="A79" s="136" t="s">
        <v>104</v>
      </c>
      <c r="B79" s="14">
        <v>2</v>
      </c>
      <c r="C79" s="14">
        <v>11</v>
      </c>
      <c r="D79" s="141" t="s">
        <v>344</v>
      </c>
      <c r="E79" s="159" t="s">
        <v>634</v>
      </c>
      <c r="F79" s="159" t="s">
        <v>558</v>
      </c>
      <c r="G79" s="183" t="s">
        <v>685</v>
      </c>
      <c r="H79" s="210" t="s">
        <v>656</v>
      </c>
    </row>
    <row r="80" spans="1:8" ht="16.5">
      <c r="A80" s="157" t="s">
        <v>26</v>
      </c>
      <c r="B80" s="172">
        <v>1</v>
      </c>
      <c r="C80" s="172">
        <v>23</v>
      </c>
      <c r="D80" s="159" t="s">
        <v>344</v>
      </c>
      <c r="E80" s="159" t="s">
        <v>634</v>
      </c>
      <c r="F80" s="159" t="s">
        <v>557</v>
      </c>
      <c r="G80" s="183" t="s">
        <v>706</v>
      </c>
      <c r="H80" s="183" t="s">
        <v>566</v>
      </c>
    </row>
    <row r="81" spans="1:8" ht="16.5">
      <c r="A81" s="157" t="s">
        <v>313</v>
      </c>
      <c r="B81" s="172">
        <v>2</v>
      </c>
      <c r="C81" s="172">
        <v>11</v>
      </c>
      <c r="D81" s="159" t="s">
        <v>344</v>
      </c>
      <c r="E81" s="159" t="s">
        <v>634</v>
      </c>
      <c r="F81" s="159" t="s">
        <v>557</v>
      </c>
      <c r="G81" s="183" t="s">
        <v>696</v>
      </c>
      <c r="H81" s="183" t="s">
        <v>648</v>
      </c>
    </row>
    <row r="82" spans="1:8" ht="16.5">
      <c r="A82" s="157" t="s">
        <v>314</v>
      </c>
      <c r="B82" s="172">
        <v>3</v>
      </c>
      <c r="C82" s="172">
        <v>12</v>
      </c>
      <c r="D82" s="159" t="s">
        <v>344</v>
      </c>
      <c r="E82" s="159" t="s">
        <v>634</v>
      </c>
      <c r="F82" s="159" t="s">
        <v>557</v>
      </c>
      <c r="G82" s="183" t="s">
        <v>677</v>
      </c>
      <c r="H82" s="183" t="s">
        <v>402</v>
      </c>
    </row>
    <row r="83" spans="1:8" ht="16.5">
      <c r="A83" s="136" t="s">
        <v>167</v>
      </c>
      <c r="B83" s="14">
        <v>1</v>
      </c>
      <c r="C83" s="14">
        <v>12</v>
      </c>
      <c r="D83" s="141" t="s">
        <v>344</v>
      </c>
      <c r="E83" s="159" t="s">
        <v>635</v>
      </c>
      <c r="F83" s="159" t="s">
        <v>558</v>
      </c>
      <c r="G83" s="183" t="s">
        <v>674</v>
      </c>
      <c r="H83" s="210" t="s">
        <v>388</v>
      </c>
    </row>
    <row r="84" spans="1:8" ht="16.5">
      <c r="A84" s="136" t="s">
        <v>122</v>
      </c>
      <c r="B84" s="14">
        <v>1</v>
      </c>
      <c r="C84" s="14">
        <v>13</v>
      </c>
      <c r="D84" s="141" t="s">
        <v>344</v>
      </c>
      <c r="E84" s="159" t="s">
        <v>639</v>
      </c>
      <c r="F84" s="159" t="s">
        <v>557</v>
      </c>
      <c r="G84" s="183" t="s">
        <v>709</v>
      </c>
      <c r="H84" s="209" t="s">
        <v>405</v>
      </c>
    </row>
    <row r="85" spans="1:8" ht="16.5">
      <c r="A85" s="136" t="s">
        <v>193</v>
      </c>
      <c r="B85" s="14">
        <v>1</v>
      </c>
      <c r="C85" s="14">
        <v>16</v>
      </c>
      <c r="D85" s="141" t="s">
        <v>344</v>
      </c>
      <c r="E85" s="159" t="s">
        <v>634</v>
      </c>
      <c r="F85" s="159" t="s">
        <v>558</v>
      </c>
      <c r="G85" s="183" t="s">
        <v>694</v>
      </c>
      <c r="H85" s="209" t="s">
        <v>650</v>
      </c>
    </row>
    <row r="86" spans="1:8" ht="16.5">
      <c r="A86" s="136" t="s">
        <v>357</v>
      </c>
      <c r="B86" s="14">
        <v>2</v>
      </c>
      <c r="C86" s="14">
        <v>16</v>
      </c>
      <c r="D86" s="141" t="s">
        <v>344</v>
      </c>
      <c r="E86" s="159" t="s">
        <v>635</v>
      </c>
      <c r="F86" s="159" t="s">
        <v>558</v>
      </c>
      <c r="G86" s="183" t="s">
        <v>701</v>
      </c>
      <c r="H86" s="210" t="s">
        <v>657</v>
      </c>
    </row>
    <row r="87" spans="1:8" ht="16.5">
      <c r="A87" s="157" t="s">
        <v>29</v>
      </c>
      <c r="B87" s="172">
        <v>1</v>
      </c>
      <c r="C87" s="172">
        <v>13</v>
      </c>
      <c r="D87" s="159" t="s">
        <v>344</v>
      </c>
      <c r="E87" s="159" t="s">
        <v>634</v>
      </c>
      <c r="F87" s="159" t="s">
        <v>557</v>
      </c>
      <c r="G87" s="183" t="s">
        <v>679</v>
      </c>
      <c r="H87" s="183" t="s">
        <v>391</v>
      </c>
    </row>
    <row r="88" spans="1:8" ht="16.5">
      <c r="A88" s="136" t="s">
        <v>374</v>
      </c>
      <c r="B88" s="14">
        <v>1</v>
      </c>
      <c r="C88" s="14">
        <v>10</v>
      </c>
      <c r="D88" s="141" t="s">
        <v>344</v>
      </c>
      <c r="E88" s="159" t="s">
        <v>634</v>
      </c>
      <c r="F88" s="159" t="s">
        <v>557</v>
      </c>
      <c r="G88" s="183" t="s">
        <v>675</v>
      </c>
      <c r="H88" s="209" t="s">
        <v>391</v>
      </c>
    </row>
    <row r="89" spans="1:8" ht="16.5">
      <c r="A89" s="136" t="s">
        <v>254</v>
      </c>
      <c r="B89" s="14">
        <v>1</v>
      </c>
      <c r="C89" s="14">
        <v>13</v>
      </c>
      <c r="D89" s="141" t="s">
        <v>344</v>
      </c>
      <c r="E89" s="159" t="s">
        <v>634</v>
      </c>
      <c r="F89" s="159" t="s">
        <v>558</v>
      </c>
      <c r="G89" s="183" t="s">
        <v>694</v>
      </c>
      <c r="H89" s="209" t="s">
        <v>522</v>
      </c>
    </row>
    <row r="90" spans="1:8" ht="16.5">
      <c r="A90" s="136" t="s">
        <v>177</v>
      </c>
      <c r="B90" s="14">
        <v>1</v>
      </c>
      <c r="C90" s="14">
        <v>13</v>
      </c>
      <c r="D90" s="141" t="s">
        <v>344</v>
      </c>
      <c r="E90" s="159" t="s">
        <v>634</v>
      </c>
      <c r="F90" s="159" t="s">
        <v>557</v>
      </c>
      <c r="G90" s="183" t="s">
        <v>701</v>
      </c>
      <c r="H90" s="210" t="s">
        <v>391</v>
      </c>
    </row>
    <row r="91" spans="1:8" ht="16.5">
      <c r="A91" s="136" t="s">
        <v>19</v>
      </c>
      <c r="B91" s="14">
        <v>1</v>
      </c>
      <c r="C91" s="14">
        <v>12</v>
      </c>
      <c r="D91" s="141" t="s">
        <v>344</v>
      </c>
      <c r="E91" s="159" t="s">
        <v>634</v>
      </c>
      <c r="F91" s="159" t="s">
        <v>557</v>
      </c>
      <c r="G91" s="183" t="s">
        <v>701</v>
      </c>
      <c r="H91" s="209" t="s">
        <v>391</v>
      </c>
    </row>
    <row r="92" spans="1:8" ht="16.5">
      <c r="A92" s="136" t="s">
        <v>180</v>
      </c>
      <c r="B92" s="14">
        <v>1</v>
      </c>
      <c r="C92" s="14">
        <v>12</v>
      </c>
      <c r="D92" s="141" t="s">
        <v>344</v>
      </c>
      <c r="E92" s="159" t="s">
        <v>634</v>
      </c>
      <c r="F92" s="159" t="s">
        <v>558</v>
      </c>
      <c r="G92" s="183" t="s">
        <v>689</v>
      </c>
      <c r="H92" s="209" t="s">
        <v>658</v>
      </c>
    </row>
    <row r="93" spans="1:8" ht="16.5">
      <c r="A93" s="136" t="s">
        <v>235</v>
      </c>
      <c r="B93" s="14">
        <v>2</v>
      </c>
      <c r="C93" s="14">
        <v>12</v>
      </c>
      <c r="D93" s="141" t="s">
        <v>344</v>
      </c>
      <c r="E93" s="159" t="s">
        <v>635</v>
      </c>
      <c r="F93" s="159" t="s">
        <v>558</v>
      </c>
      <c r="G93" s="183" t="s">
        <v>700</v>
      </c>
      <c r="H93" s="210" t="s">
        <v>574</v>
      </c>
    </row>
    <row r="94" spans="1:8" ht="16.5">
      <c r="A94" s="136" t="s">
        <v>178</v>
      </c>
      <c r="B94" s="14">
        <v>1</v>
      </c>
      <c r="C94" s="14">
        <v>26</v>
      </c>
      <c r="D94" s="141" t="s">
        <v>344</v>
      </c>
      <c r="E94" s="159" t="s">
        <v>640</v>
      </c>
      <c r="F94" s="159" t="s">
        <v>561</v>
      </c>
      <c r="G94" s="183" t="s">
        <v>713</v>
      </c>
      <c r="H94" s="210" t="s">
        <v>408</v>
      </c>
    </row>
    <row r="95" spans="1:8" ht="16.5">
      <c r="A95" s="136" t="s">
        <v>213</v>
      </c>
      <c r="B95" s="14">
        <v>1</v>
      </c>
      <c r="C95" s="14">
        <v>24</v>
      </c>
      <c r="D95" s="141" t="s">
        <v>344</v>
      </c>
      <c r="E95" s="159" t="s">
        <v>634</v>
      </c>
      <c r="F95" s="159" t="s">
        <v>558</v>
      </c>
      <c r="G95" s="183" t="s">
        <v>674</v>
      </c>
      <c r="H95" s="203" t="s">
        <v>657</v>
      </c>
    </row>
    <row r="96" spans="1:8" ht="16.5">
      <c r="A96" s="136" t="s">
        <v>117</v>
      </c>
      <c r="B96" s="14">
        <v>1</v>
      </c>
      <c r="C96" s="14">
        <v>12</v>
      </c>
      <c r="D96" s="141" t="s">
        <v>344</v>
      </c>
      <c r="E96" s="159" t="s">
        <v>634</v>
      </c>
      <c r="F96" s="159" t="s">
        <v>557</v>
      </c>
      <c r="G96" s="183" t="s">
        <v>679</v>
      </c>
      <c r="H96" s="210" t="s">
        <v>370</v>
      </c>
    </row>
    <row r="97" spans="1:8" ht="16.5">
      <c r="A97" s="157" t="s">
        <v>304</v>
      </c>
      <c r="B97" s="172">
        <v>1</v>
      </c>
      <c r="C97" s="172">
        <v>13</v>
      </c>
      <c r="D97" s="159" t="s">
        <v>344</v>
      </c>
      <c r="E97" s="159" t="s">
        <v>634</v>
      </c>
      <c r="F97" s="159" t="s">
        <v>558</v>
      </c>
      <c r="G97" s="183" t="s">
        <v>714</v>
      </c>
      <c r="H97" s="183" t="s">
        <v>659</v>
      </c>
    </row>
    <row r="98" spans="1:8" ht="16.5">
      <c r="A98" s="136" t="s">
        <v>241</v>
      </c>
      <c r="B98" s="14">
        <v>1</v>
      </c>
      <c r="C98" s="14">
        <v>13</v>
      </c>
      <c r="D98" s="141" t="s">
        <v>344</v>
      </c>
      <c r="E98" s="159" t="s">
        <v>634</v>
      </c>
      <c r="F98" s="159" t="s">
        <v>559</v>
      </c>
      <c r="G98" s="183" t="s">
        <v>700</v>
      </c>
      <c r="H98" s="209" t="s">
        <v>391</v>
      </c>
    </row>
    <row r="99" spans="1:8" ht="16.5">
      <c r="A99" s="136" t="s">
        <v>160</v>
      </c>
      <c r="B99" s="14">
        <v>1</v>
      </c>
      <c r="C99" s="14">
        <v>24</v>
      </c>
      <c r="D99" s="141" t="s">
        <v>344</v>
      </c>
      <c r="E99" s="159" t="s">
        <v>634</v>
      </c>
      <c r="F99" s="159" t="s">
        <v>558</v>
      </c>
      <c r="G99" s="183" t="s">
        <v>709</v>
      </c>
      <c r="H99" s="209" t="s">
        <v>397</v>
      </c>
    </row>
    <row r="100" spans="1:8" ht="16.5">
      <c r="A100" s="136" t="s">
        <v>216</v>
      </c>
      <c r="B100" s="14">
        <v>3</v>
      </c>
      <c r="C100" s="14">
        <v>24</v>
      </c>
      <c r="D100" s="141" t="s">
        <v>344</v>
      </c>
      <c r="E100" s="159" t="s">
        <v>634</v>
      </c>
      <c r="F100" s="159" t="s">
        <v>558</v>
      </c>
      <c r="G100" s="183" t="s">
        <v>676</v>
      </c>
      <c r="H100" s="210" t="s">
        <v>388</v>
      </c>
    </row>
    <row r="101" spans="1:8" ht="16.5">
      <c r="A101" s="136" t="s">
        <v>215</v>
      </c>
      <c r="B101" s="14">
        <v>2</v>
      </c>
      <c r="C101" s="14">
        <v>24</v>
      </c>
      <c r="D101" s="141" t="s">
        <v>344</v>
      </c>
      <c r="E101" s="159" t="s">
        <v>634</v>
      </c>
      <c r="F101" s="159" t="s">
        <v>557</v>
      </c>
      <c r="G101" s="183" t="s">
        <v>697</v>
      </c>
      <c r="H101" s="209" t="s">
        <v>669</v>
      </c>
    </row>
    <row r="102" spans="1:8" ht="16.5">
      <c r="A102" s="136" t="s">
        <v>115</v>
      </c>
      <c r="B102" s="14">
        <v>1</v>
      </c>
      <c r="C102" s="14">
        <v>12</v>
      </c>
      <c r="D102" s="141" t="s">
        <v>344</v>
      </c>
      <c r="E102" s="159" t="s">
        <v>634</v>
      </c>
      <c r="F102" s="159" t="s">
        <v>558</v>
      </c>
      <c r="G102" s="183" t="s">
        <v>694</v>
      </c>
      <c r="H102" s="210" t="s">
        <v>370</v>
      </c>
    </row>
    <row r="103" spans="1:8" ht="16.5">
      <c r="A103" s="136" t="s">
        <v>112</v>
      </c>
      <c r="B103" s="14">
        <v>2</v>
      </c>
      <c r="C103" s="14">
        <v>12</v>
      </c>
      <c r="D103" s="141" t="s">
        <v>344</v>
      </c>
      <c r="E103" s="159" t="s">
        <v>634</v>
      </c>
      <c r="F103" s="159" t="s">
        <v>558</v>
      </c>
      <c r="G103" s="183" t="s">
        <v>676</v>
      </c>
      <c r="H103" s="210" t="s">
        <v>370</v>
      </c>
    </row>
    <row r="104" spans="1:8" ht="16.5">
      <c r="A104" s="136" t="s">
        <v>327</v>
      </c>
      <c r="B104" s="14">
        <v>1</v>
      </c>
      <c r="C104" s="14">
        <v>13</v>
      </c>
      <c r="D104" s="141" t="s">
        <v>344</v>
      </c>
      <c r="E104" s="159" t="s">
        <v>634</v>
      </c>
      <c r="F104" s="159" t="s">
        <v>561</v>
      </c>
      <c r="G104" s="183" t="s">
        <v>711</v>
      </c>
      <c r="H104" s="210" t="s">
        <v>411</v>
      </c>
    </row>
    <row r="105" spans="1:8" ht="16.5">
      <c r="A105" s="157" t="s">
        <v>315</v>
      </c>
      <c r="B105" s="172">
        <v>2</v>
      </c>
      <c r="C105" s="172">
        <v>12</v>
      </c>
      <c r="D105" s="159" t="s">
        <v>344</v>
      </c>
      <c r="E105" s="159" t="s">
        <v>634</v>
      </c>
      <c r="F105" s="159" t="s">
        <v>558</v>
      </c>
      <c r="G105" s="183" t="s">
        <v>694</v>
      </c>
      <c r="H105" s="183" t="s">
        <v>419</v>
      </c>
    </row>
    <row r="106" spans="1:8" ht="16.5">
      <c r="A106" s="136" t="s">
        <v>249</v>
      </c>
      <c r="B106" s="14">
        <v>1</v>
      </c>
      <c r="C106" s="14">
        <v>13</v>
      </c>
      <c r="D106" s="141" t="s">
        <v>344</v>
      </c>
      <c r="E106" s="159" t="s">
        <v>634</v>
      </c>
      <c r="F106" s="159" t="s">
        <v>558</v>
      </c>
      <c r="G106" s="183" t="s">
        <v>677</v>
      </c>
      <c r="H106" s="210" t="s">
        <v>660</v>
      </c>
    </row>
    <row r="107" spans="1:8" ht="16.5">
      <c r="A107" s="136" t="s">
        <v>127</v>
      </c>
      <c r="B107" s="14">
        <v>1</v>
      </c>
      <c r="C107" s="14">
        <v>25</v>
      </c>
      <c r="D107" s="141" t="s">
        <v>344</v>
      </c>
      <c r="E107" s="159" t="s">
        <v>634</v>
      </c>
      <c r="F107" s="159" t="s">
        <v>558</v>
      </c>
      <c r="G107" s="183" t="s">
        <v>680</v>
      </c>
      <c r="H107" s="210" t="s">
        <v>522</v>
      </c>
    </row>
    <row r="108" spans="1:8" ht="16.5">
      <c r="A108" s="157" t="s">
        <v>182</v>
      </c>
      <c r="B108" s="172">
        <v>1</v>
      </c>
      <c r="C108" s="172">
        <v>26</v>
      </c>
      <c r="D108" s="159" t="s">
        <v>344</v>
      </c>
      <c r="E108" s="159" t="s">
        <v>639</v>
      </c>
      <c r="F108" s="159" t="s">
        <v>561</v>
      </c>
      <c r="G108" s="183" t="s">
        <v>716</v>
      </c>
      <c r="H108" s="183" t="s">
        <v>420</v>
      </c>
    </row>
    <row r="109" spans="1:8" ht="16.5">
      <c r="A109" s="136" t="s">
        <v>476</v>
      </c>
      <c r="B109" s="14">
        <v>1</v>
      </c>
      <c r="C109" s="14">
        <v>12</v>
      </c>
      <c r="D109" s="141" t="s">
        <v>344</v>
      </c>
      <c r="E109" s="159" t="s">
        <v>634</v>
      </c>
      <c r="F109" s="159" t="s">
        <v>559</v>
      </c>
      <c r="G109" s="183" t="s">
        <v>695</v>
      </c>
      <c r="H109" s="210" t="s">
        <v>391</v>
      </c>
    </row>
    <row r="110" spans="1:8" ht="16.5">
      <c r="A110" s="136" t="s">
        <v>398</v>
      </c>
      <c r="B110" s="14">
        <v>1</v>
      </c>
      <c r="C110" s="14">
        <v>28</v>
      </c>
      <c r="D110" s="141" t="s">
        <v>344</v>
      </c>
      <c r="E110" s="159" t="s">
        <v>634</v>
      </c>
      <c r="F110" s="159" t="s">
        <v>558</v>
      </c>
      <c r="G110" s="183" t="s">
        <v>716</v>
      </c>
      <c r="H110" s="210" t="s">
        <v>397</v>
      </c>
    </row>
    <row r="111" spans="1:8" ht="16.5">
      <c r="A111" s="136" t="s">
        <v>661</v>
      </c>
      <c r="B111" s="14">
        <v>1</v>
      </c>
      <c r="C111" s="14">
        <v>25</v>
      </c>
      <c r="D111" s="141" t="s">
        <v>344</v>
      </c>
      <c r="E111" s="159" t="s">
        <v>634</v>
      </c>
      <c r="F111" s="159" t="s">
        <v>558</v>
      </c>
      <c r="G111" s="183" t="s">
        <v>683</v>
      </c>
      <c r="H111" s="210" t="s">
        <v>657</v>
      </c>
    </row>
    <row r="112" spans="1:8" ht="16.5">
      <c r="A112" s="136" t="s">
        <v>121</v>
      </c>
      <c r="B112" s="14">
        <v>1</v>
      </c>
      <c r="C112" s="14">
        <v>12</v>
      </c>
      <c r="D112" s="141" t="s">
        <v>344</v>
      </c>
      <c r="E112" s="159" t="s">
        <v>634</v>
      </c>
      <c r="F112" s="159" t="s">
        <v>557</v>
      </c>
      <c r="G112" s="183" t="s">
        <v>679</v>
      </c>
      <c r="H112" s="210" t="s">
        <v>400</v>
      </c>
    </row>
    <row r="113" spans="1:8" ht="16.5">
      <c r="A113" s="136" t="s">
        <v>214</v>
      </c>
      <c r="B113" s="14">
        <v>1</v>
      </c>
      <c r="C113" s="14">
        <v>26</v>
      </c>
      <c r="D113" s="141" t="s">
        <v>344</v>
      </c>
      <c r="E113" s="159" t="s">
        <v>634</v>
      </c>
      <c r="F113" s="159" t="s">
        <v>558</v>
      </c>
      <c r="G113" s="183" t="s">
        <v>689</v>
      </c>
      <c r="H113" s="210" t="s">
        <v>662</v>
      </c>
    </row>
    <row r="114" spans="1:8" ht="16.5">
      <c r="A114" s="136" t="s">
        <v>33</v>
      </c>
      <c r="B114" s="14">
        <v>1</v>
      </c>
      <c r="C114" s="14">
        <v>11</v>
      </c>
      <c r="D114" s="141" t="s">
        <v>344</v>
      </c>
      <c r="E114" s="119" t="s">
        <v>634</v>
      </c>
      <c r="F114" s="119" t="s">
        <v>558</v>
      </c>
      <c r="G114" s="212" t="s">
        <v>673</v>
      </c>
      <c r="H114" s="210" t="s">
        <v>397</v>
      </c>
    </row>
    <row r="115" spans="1:8" ht="16.5">
      <c r="A115" s="157" t="s">
        <v>38</v>
      </c>
      <c r="B115" s="172">
        <v>1</v>
      </c>
      <c r="C115" s="172">
        <v>12</v>
      </c>
      <c r="D115" s="159" t="s">
        <v>344</v>
      </c>
      <c r="E115" s="159" t="s">
        <v>634</v>
      </c>
      <c r="F115" s="159" t="s">
        <v>558</v>
      </c>
      <c r="G115" s="183" t="s">
        <v>694</v>
      </c>
      <c r="H115" s="183" t="s">
        <v>421</v>
      </c>
    </row>
    <row r="116" spans="1:8" ht="16.5">
      <c r="A116" s="157" t="s">
        <v>316</v>
      </c>
      <c r="B116" s="172">
        <v>2</v>
      </c>
      <c r="C116" s="172">
        <v>12</v>
      </c>
      <c r="D116" s="159" t="s">
        <v>344</v>
      </c>
      <c r="E116" s="159" t="s">
        <v>634</v>
      </c>
      <c r="F116" s="159" t="s">
        <v>558</v>
      </c>
      <c r="G116" s="183" t="s">
        <v>680</v>
      </c>
      <c r="H116" s="183" t="s">
        <v>421</v>
      </c>
    </row>
    <row r="117" spans="1:8" ht="16.5">
      <c r="A117" s="136" t="s">
        <v>569</v>
      </c>
      <c r="B117" s="14">
        <v>1</v>
      </c>
      <c r="C117" s="14">
        <v>24</v>
      </c>
      <c r="D117" s="141" t="s">
        <v>344</v>
      </c>
      <c r="E117" s="159" t="s">
        <v>634</v>
      </c>
      <c r="F117" s="159" t="s">
        <v>558</v>
      </c>
      <c r="G117" s="183" t="s">
        <v>711</v>
      </c>
      <c r="H117" s="210" t="s">
        <v>397</v>
      </c>
    </row>
    <row r="118" spans="1:8" ht="16.5">
      <c r="A118" s="136" t="s">
        <v>570</v>
      </c>
      <c r="B118" s="14">
        <v>2</v>
      </c>
      <c r="C118" s="14">
        <v>24</v>
      </c>
      <c r="D118" s="141" t="s">
        <v>344</v>
      </c>
      <c r="E118" s="159" t="s">
        <v>634</v>
      </c>
      <c r="F118" s="159" t="s">
        <v>558</v>
      </c>
      <c r="G118" s="183" t="s">
        <v>701</v>
      </c>
      <c r="H118" s="210" t="s">
        <v>663</v>
      </c>
    </row>
    <row r="119" spans="1:8" ht="16.5">
      <c r="A119" s="136" t="s">
        <v>641</v>
      </c>
      <c r="B119" s="14">
        <v>1</v>
      </c>
      <c r="C119" s="14">
        <v>24</v>
      </c>
      <c r="D119" s="141" t="s">
        <v>344</v>
      </c>
      <c r="E119" s="159" t="s">
        <v>634</v>
      </c>
      <c r="F119" s="159" t="s">
        <v>558</v>
      </c>
      <c r="G119" s="183" t="s">
        <v>696</v>
      </c>
      <c r="H119" s="210" t="s">
        <v>654</v>
      </c>
    </row>
    <row r="120" spans="1:8" ht="16.5">
      <c r="A120" s="136" t="s">
        <v>191</v>
      </c>
      <c r="B120" s="14">
        <v>2</v>
      </c>
      <c r="C120" s="14">
        <v>24</v>
      </c>
      <c r="D120" s="141" t="s">
        <v>344</v>
      </c>
      <c r="E120" s="159" t="s">
        <v>634</v>
      </c>
      <c r="F120" s="159" t="s">
        <v>558</v>
      </c>
      <c r="G120" s="183" t="s">
        <v>694</v>
      </c>
      <c r="H120" s="209" t="s">
        <v>663</v>
      </c>
    </row>
    <row r="121" spans="1:8" ht="16.5">
      <c r="A121" s="136" t="s">
        <v>208</v>
      </c>
      <c r="B121" s="14">
        <v>1</v>
      </c>
      <c r="C121" s="14">
        <v>25</v>
      </c>
      <c r="D121" s="141" t="s">
        <v>344</v>
      </c>
      <c r="E121" s="159" t="s">
        <v>634</v>
      </c>
      <c r="F121" s="159" t="s">
        <v>558</v>
      </c>
      <c r="G121" s="183" t="s">
        <v>696</v>
      </c>
      <c r="H121" s="210" t="s">
        <v>651</v>
      </c>
    </row>
    <row r="122" spans="1:8" ht="16.5">
      <c r="A122" s="157" t="s">
        <v>42</v>
      </c>
      <c r="B122" s="172">
        <v>1</v>
      </c>
      <c r="C122" s="172">
        <v>12</v>
      </c>
      <c r="D122" s="159" t="s">
        <v>344</v>
      </c>
      <c r="E122" s="159" t="s">
        <v>634</v>
      </c>
      <c r="F122" s="159" t="s">
        <v>558</v>
      </c>
      <c r="G122" s="183" t="s">
        <v>699</v>
      </c>
      <c r="H122" s="183" t="s">
        <v>397</v>
      </c>
    </row>
    <row r="123" spans="1:8" ht="16.5">
      <c r="A123" s="157" t="s">
        <v>422</v>
      </c>
      <c r="B123" s="172">
        <v>1</v>
      </c>
      <c r="C123" s="172">
        <v>11</v>
      </c>
      <c r="D123" s="159" t="s">
        <v>344</v>
      </c>
      <c r="E123" s="159" t="s">
        <v>634</v>
      </c>
      <c r="F123" s="159" t="s">
        <v>558</v>
      </c>
      <c r="G123" s="183" t="s">
        <v>689</v>
      </c>
      <c r="H123" s="183" t="s">
        <v>423</v>
      </c>
    </row>
    <row r="124" spans="1:8" ht="16.5">
      <c r="A124" s="149" t="s">
        <v>242</v>
      </c>
      <c r="B124" s="14">
        <v>1</v>
      </c>
      <c r="C124" s="14">
        <v>12</v>
      </c>
      <c r="D124" s="141" t="s">
        <v>344</v>
      </c>
      <c r="E124" s="159" t="s">
        <v>634</v>
      </c>
      <c r="F124" s="159" t="s">
        <v>557</v>
      </c>
      <c r="G124" s="183" t="s">
        <v>700</v>
      </c>
      <c r="H124" s="210" t="s">
        <v>646</v>
      </c>
    </row>
    <row r="125" spans="1:8" ht="16.5">
      <c r="A125" s="157" t="s">
        <v>343</v>
      </c>
      <c r="B125" s="172">
        <v>1</v>
      </c>
      <c r="C125" s="172">
        <v>24</v>
      </c>
      <c r="D125" s="159" t="s">
        <v>344</v>
      </c>
      <c r="E125" s="159" t="s">
        <v>639</v>
      </c>
      <c r="F125" s="159" t="s">
        <v>561</v>
      </c>
      <c r="G125" s="183" t="s">
        <v>707</v>
      </c>
      <c r="H125" s="183" t="s">
        <v>424</v>
      </c>
    </row>
    <row r="126" spans="1:8" ht="16.5">
      <c r="A126" s="136" t="s">
        <v>472</v>
      </c>
      <c r="B126" s="14">
        <v>1</v>
      </c>
      <c r="C126" s="14">
        <v>12</v>
      </c>
      <c r="D126" s="141" t="s">
        <v>344</v>
      </c>
      <c r="E126" s="159" t="s">
        <v>634</v>
      </c>
      <c r="F126" s="159" t="s">
        <v>557</v>
      </c>
      <c r="G126" s="183" t="s">
        <v>695</v>
      </c>
      <c r="H126" s="210" t="s">
        <v>370</v>
      </c>
    </row>
    <row r="127" spans="1:8" ht="16.5">
      <c r="A127" s="136" t="s">
        <v>28</v>
      </c>
      <c r="B127" s="14">
        <v>1</v>
      </c>
      <c r="C127" s="14">
        <v>13</v>
      </c>
      <c r="D127" s="141" t="s">
        <v>344</v>
      </c>
      <c r="E127" s="159" t="s">
        <v>634</v>
      </c>
      <c r="F127" s="159" t="s">
        <v>558</v>
      </c>
      <c r="G127" s="183" t="s">
        <v>701</v>
      </c>
      <c r="H127" s="210" t="s">
        <v>664</v>
      </c>
    </row>
    <row r="128" spans="1:8" ht="16.5">
      <c r="A128" s="136" t="s">
        <v>45</v>
      </c>
      <c r="B128" s="14">
        <v>1</v>
      </c>
      <c r="C128" s="14">
        <v>12</v>
      </c>
      <c r="D128" s="141" t="s">
        <v>344</v>
      </c>
      <c r="E128" s="159" t="s">
        <v>634</v>
      </c>
      <c r="F128" s="159" t="s">
        <v>558</v>
      </c>
      <c r="G128" s="183" t="s">
        <v>694</v>
      </c>
      <c r="H128" s="210" t="s">
        <v>665</v>
      </c>
    </row>
    <row r="129" spans="1:8" ht="16.5">
      <c r="A129" s="136" t="s">
        <v>119</v>
      </c>
      <c r="B129" s="14">
        <v>1</v>
      </c>
      <c r="C129" s="14">
        <v>12</v>
      </c>
      <c r="D129" s="141" t="s">
        <v>344</v>
      </c>
      <c r="E129" s="159" t="s">
        <v>635</v>
      </c>
      <c r="F129" s="159" t="s">
        <v>558</v>
      </c>
      <c r="G129" s="183" t="s">
        <v>689</v>
      </c>
      <c r="H129" s="210" t="s">
        <v>388</v>
      </c>
    </row>
    <row r="130" spans="1:8" ht="16.5">
      <c r="A130" s="136" t="s">
        <v>120</v>
      </c>
      <c r="B130" s="14">
        <v>2</v>
      </c>
      <c r="C130" s="14">
        <v>12</v>
      </c>
      <c r="D130" s="141" t="s">
        <v>344</v>
      </c>
      <c r="E130" s="159" t="s">
        <v>635</v>
      </c>
      <c r="F130" s="159" t="s">
        <v>558</v>
      </c>
      <c r="G130" s="183" t="s">
        <v>683</v>
      </c>
      <c r="H130" s="210" t="s">
        <v>388</v>
      </c>
    </row>
    <row r="131" spans="1:8" ht="16.5">
      <c r="A131" s="136" t="s">
        <v>187</v>
      </c>
      <c r="B131" s="14">
        <v>1</v>
      </c>
      <c r="C131" s="14">
        <v>12</v>
      </c>
      <c r="D131" s="141" t="s">
        <v>344</v>
      </c>
      <c r="E131" s="159" t="s">
        <v>634</v>
      </c>
      <c r="F131" s="159" t="s">
        <v>558</v>
      </c>
      <c r="G131" s="183" t="s">
        <v>701</v>
      </c>
      <c r="H131" s="210" t="s">
        <v>401</v>
      </c>
    </row>
    <row r="132" spans="1:8" ht="16.5">
      <c r="A132" s="157" t="s">
        <v>504</v>
      </c>
      <c r="B132" s="14">
        <v>1</v>
      </c>
      <c r="C132" s="172"/>
      <c r="D132" s="141" t="s">
        <v>347</v>
      </c>
      <c r="E132" s="159" t="s">
        <v>634</v>
      </c>
      <c r="F132" s="204" t="s">
        <v>559</v>
      </c>
      <c r="G132" s="183" t="s">
        <v>678</v>
      </c>
      <c r="H132" s="209" t="s">
        <v>391</v>
      </c>
    </row>
    <row r="133" spans="1:8" ht="16.5">
      <c r="A133" s="136" t="s">
        <v>373</v>
      </c>
      <c r="B133" s="14">
        <v>1</v>
      </c>
      <c r="C133" s="14">
        <v>12</v>
      </c>
      <c r="D133" s="141" t="s">
        <v>347</v>
      </c>
      <c r="E133" s="159" t="s">
        <v>634</v>
      </c>
      <c r="F133" s="159" t="s">
        <v>557</v>
      </c>
      <c r="G133" s="183" t="s">
        <v>675</v>
      </c>
      <c r="H133" s="192" t="s">
        <v>391</v>
      </c>
    </row>
    <row r="134" spans="1:8" ht="16.5">
      <c r="A134" s="157" t="s">
        <v>342</v>
      </c>
      <c r="B134" s="172">
        <v>1</v>
      </c>
      <c r="C134" s="172">
        <v>26</v>
      </c>
      <c r="D134" s="159" t="s">
        <v>347</v>
      </c>
      <c r="E134" s="159" t="s">
        <v>639</v>
      </c>
      <c r="F134" s="159" t="s">
        <v>561</v>
      </c>
      <c r="G134" s="183" t="s">
        <v>686</v>
      </c>
      <c r="H134" s="183" t="s">
        <v>428</v>
      </c>
    </row>
    <row r="135" spans="1:8" ht="16.5">
      <c r="A135" s="136" t="s">
        <v>183</v>
      </c>
      <c r="B135" s="14">
        <v>1</v>
      </c>
      <c r="C135" s="14">
        <v>16</v>
      </c>
      <c r="D135" s="141" t="s">
        <v>347</v>
      </c>
      <c r="E135" s="159" t="s">
        <v>634</v>
      </c>
      <c r="F135" s="159" t="s">
        <v>558</v>
      </c>
      <c r="G135" s="183" t="s">
        <v>687</v>
      </c>
      <c r="H135" s="210" t="s">
        <v>666</v>
      </c>
    </row>
    <row r="136" spans="1:8" ht="16.5">
      <c r="A136" s="157" t="s">
        <v>691</v>
      </c>
      <c r="B136" s="172">
        <v>1</v>
      </c>
      <c r="C136" s="172">
        <v>25</v>
      </c>
      <c r="D136" s="159" t="s">
        <v>347</v>
      </c>
      <c r="E136" s="159" t="s">
        <v>634</v>
      </c>
      <c r="F136" s="159" t="s">
        <v>557</v>
      </c>
      <c r="G136" s="183" t="s">
        <v>694</v>
      </c>
      <c r="H136" s="183" t="s">
        <v>458</v>
      </c>
    </row>
    <row r="137" spans="1:8" ht="16.5">
      <c r="A137" s="157" t="s">
        <v>692</v>
      </c>
      <c r="B137" s="172">
        <v>2</v>
      </c>
      <c r="C137" s="172">
        <v>24</v>
      </c>
      <c r="D137" s="182" t="s">
        <v>347</v>
      </c>
      <c r="E137" s="159" t="s">
        <v>634</v>
      </c>
      <c r="F137" s="182" t="s">
        <v>557</v>
      </c>
      <c r="G137" s="185" t="s">
        <v>676</v>
      </c>
      <c r="H137" s="185" t="s">
        <v>459</v>
      </c>
    </row>
    <row r="138" spans="1:8" ht="16.5">
      <c r="A138" s="157" t="s">
        <v>693</v>
      </c>
      <c r="B138" s="172">
        <v>3</v>
      </c>
      <c r="C138" s="172">
        <v>25</v>
      </c>
      <c r="D138" s="159" t="s">
        <v>347</v>
      </c>
      <c r="E138" s="159" t="s">
        <v>634</v>
      </c>
      <c r="F138" s="159" t="s">
        <v>557</v>
      </c>
      <c r="G138" s="183" t="s">
        <v>674</v>
      </c>
      <c r="H138" s="183" t="s">
        <v>459</v>
      </c>
    </row>
    <row r="139" spans="1:8" ht="16.5">
      <c r="A139" s="157" t="s">
        <v>505</v>
      </c>
      <c r="B139" s="14">
        <v>1</v>
      </c>
      <c r="C139" s="172"/>
      <c r="D139" s="141" t="s">
        <v>347</v>
      </c>
      <c r="E139" s="159" t="s">
        <v>634</v>
      </c>
      <c r="F139" s="204" t="s">
        <v>557</v>
      </c>
      <c r="G139" s="183" t="s">
        <v>678</v>
      </c>
      <c r="H139" s="14" t="s">
        <v>406</v>
      </c>
    </row>
    <row r="140" spans="1:8" ht="16.5">
      <c r="A140" s="157" t="s">
        <v>506</v>
      </c>
      <c r="B140" s="14">
        <v>1</v>
      </c>
      <c r="C140" s="172"/>
      <c r="D140" s="141" t="s">
        <v>347</v>
      </c>
      <c r="E140" s="159" t="s">
        <v>634</v>
      </c>
      <c r="F140" s="204" t="s">
        <v>557</v>
      </c>
      <c r="G140" s="183" t="s">
        <v>678</v>
      </c>
      <c r="H140" s="14" t="s">
        <v>522</v>
      </c>
    </row>
    <row r="141" spans="1:8" ht="16.5">
      <c r="A141" s="157" t="s">
        <v>356</v>
      </c>
      <c r="B141" s="172">
        <v>1</v>
      </c>
      <c r="C141" s="172">
        <v>12</v>
      </c>
      <c r="D141" s="182" t="s">
        <v>347</v>
      </c>
      <c r="E141" s="159" t="s">
        <v>634</v>
      </c>
      <c r="F141" s="182" t="s">
        <v>557</v>
      </c>
      <c r="G141" s="185" t="s">
        <v>700</v>
      </c>
      <c r="H141" s="183" t="s">
        <v>368</v>
      </c>
    </row>
    <row r="142" spans="1:8" ht="16.5">
      <c r="A142" s="157" t="s">
        <v>247</v>
      </c>
      <c r="B142" s="172">
        <v>1</v>
      </c>
      <c r="C142" s="172">
        <v>12</v>
      </c>
      <c r="D142" s="159" t="s">
        <v>347</v>
      </c>
      <c r="E142" s="159" t="s">
        <v>634</v>
      </c>
      <c r="F142" s="159" t="s">
        <v>557</v>
      </c>
      <c r="G142" s="183" t="s">
        <v>701</v>
      </c>
      <c r="H142" s="183" t="s">
        <v>370</v>
      </c>
    </row>
    <row r="143" spans="1:8" ht="16.5">
      <c r="A143" s="157" t="s">
        <v>52</v>
      </c>
      <c r="B143" s="172">
        <v>1</v>
      </c>
      <c r="C143" s="172">
        <v>12</v>
      </c>
      <c r="D143" s="159" t="s">
        <v>347</v>
      </c>
      <c r="E143" s="159" t="s">
        <v>634</v>
      </c>
      <c r="F143" s="159" t="s">
        <v>558</v>
      </c>
      <c r="G143" s="183" t="s">
        <v>680</v>
      </c>
      <c r="H143" s="183" t="s">
        <v>650</v>
      </c>
    </row>
    <row r="144" spans="1:8" ht="16.5">
      <c r="A144" s="136" t="s">
        <v>451</v>
      </c>
      <c r="B144" s="14">
        <v>1</v>
      </c>
      <c r="C144" s="14">
        <v>12</v>
      </c>
      <c r="D144" s="141" t="s">
        <v>347</v>
      </c>
      <c r="E144" s="159" t="s">
        <v>634</v>
      </c>
      <c r="F144" s="159" t="s">
        <v>557</v>
      </c>
      <c r="G144" s="183" t="s">
        <v>695</v>
      </c>
      <c r="H144" s="210" t="s">
        <v>475</v>
      </c>
    </row>
    <row r="145" spans="1:8" ht="16.5">
      <c r="A145" s="136" t="s">
        <v>184</v>
      </c>
      <c r="B145" s="14">
        <v>1</v>
      </c>
      <c r="C145" s="14">
        <v>25</v>
      </c>
      <c r="D145" s="141" t="s">
        <v>347</v>
      </c>
      <c r="E145" s="159" t="s">
        <v>634</v>
      </c>
      <c r="F145" s="159" t="s">
        <v>558</v>
      </c>
      <c r="G145" s="183" t="s">
        <v>677</v>
      </c>
      <c r="H145" s="209" t="s">
        <v>651</v>
      </c>
    </row>
    <row r="146" spans="1:8" ht="16.5">
      <c r="A146" s="157" t="s">
        <v>341</v>
      </c>
      <c r="B146" s="172">
        <v>1</v>
      </c>
      <c r="C146" s="172">
        <v>7</v>
      </c>
      <c r="D146" s="159" t="s">
        <v>347</v>
      </c>
      <c r="E146" s="159" t="s">
        <v>634</v>
      </c>
      <c r="F146" s="159" t="s">
        <v>558</v>
      </c>
      <c r="G146" s="183" t="s">
        <v>703</v>
      </c>
      <c r="H146" s="183" t="s">
        <v>397</v>
      </c>
    </row>
    <row r="147" spans="1:8" ht="16.5">
      <c r="A147" s="157" t="s">
        <v>562</v>
      </c>
      <c r="B147" s="172">
        <v>2</v>
      </c>
      <c r="C147" s="172">
        <v>64</v>
      </c>
      <c r="D147" s="159" t="s">
        <v>347</v>
      </c>
      <c r="E147" s="159" t="s">
        <v>634</v>
      </c>
      <c r="F147" s="159" t="s">
        <v>557</v>
      </c>
      <c r="G147" s="183" t="s">
        <v>704</v>
      </c>
      <c r="H147" s="183" t="s">
        <v>412</v>
      </c>
    </row>
    <row r="148" spans="1:8" ht="16.5">
      <c r="A148" s="157" t="s">
        <v>98</v>
      </c>
      <c r="B148" s="172">
        <v>1</v>
      </c>
      <c r="C148" s="172">
        <v>12</v>
      </c>
      <c r="D148" s="182" t="s">
        <v>347</v>
      </c>
      <c r="E148" s="159" t="s">
        <v>634</v>
      </c>
      <c r="F148" s="182" t="s">
        <v>558</v>
      </c>
      <c r="G148" s="185" t="s">
        <v>679</v>
      </c>
      <c r="H148" s="183" t="s">
        <v>388</v>
      </c>
    </row>
    <row r="149" spans="1:8" ht="16.5">
      <c r="A149" s="157" t="s">
        <v>507</v>
      </c>
      <c r="B149" s="14">
        <v>1</v>
      </c>
      <c r="C149" s="172"/>
      <c r="D149" s="141" t="s">
        <v>347</v>
      </c>
      <c r="E149" s="159" t="s">
        <v>634</v>
      </c>
      <c r="F149" s="204" t="s">
        <v>557</v>
      </c>
      <c r="G149" s="183" t="s">
        <v>678</v>
      </c>
      <c r="H149" s="14" t="s">
        <v>645</v>
      </c>
    </row>
    <row r="150" spans="1:8" ht="16.5">
      <c r="A150" s="157" t="s">
        <v>508</v>
      </c>
      <c r="B150" s="14">
        <v>1</v>
      </c>
      <c r="C150" s="172"/>
      <c r="D150" s="141" t="s">
        <v>347</v>
      </c>
      <c r="E150" s="159" t="s">
        <v>634</v>
      </c>
      <c r="F150" s="204" t="s">
        <v>557</v>
      </c>
      <c r="G150" s="183" t="s">
        <v>678</v>
      </c>
      <c r="H150" s="14" t="s">
        <v>394</v>
      </c>
    </row>
    <row r="151" spans="1:8" ht="16.5">
      <c r="A151" s="157" t="s">
        <v>20</v>
      </c>
      <c r="B151" s="172">
        <v>1</v>
      </c>
      <c r="C151" s="172">
        <v>24</v>
      </c>
      <c r="D151" s="182" t="s">
        <v>347</v>
      </c>
      <c r="E151" s="159" t="s">
        <v>642</v>
      </c>
      <c r="F151" s="159" t="s">
        <v>561</v>
      </c>
      <c r="G151" s="183" t="s">
        <v>708</v>
      </c>
      <c r="H151" s="185" t="s">
        <v>416</v>
      </c>
    </row>
    <row r="152" spans="1:8" ht="16.5">
      <c r="A152" s="157" t="s">
        <v>312</v>
      </c>
      <c r="B152" s="172">
        <v>2</v>
      </c>
      <c r="C152" s="172">
        <v>12</v>
      </c>
      <c r="D152" s="182" t="s">
        <v>347</v>
      </c>
      <c r="E152" s="159" t="s">
        <v>634</v>
      </c>
      <c r="F152" s="159" t="s">
        <v>561</v>
      </c>
      <c r="G152" s="183" t="s">
        <v>707</v>
      </c>
      <c r="H152" s="185" t="s">
        <v>567</v>
      </c>
    </row>
    <row r="153" spans="1:8" ht="16.5">
      <c r="A153" s="136" t="s">
        <v>53</v>
      </c>
      <c r="B153" s="14">
        <v>1</v>
      </c>
      <c r="C153" s="14">
        <v>13</v>
      </c>
      <c r="D153" s="141" t="s">
        <v>347</v>
      </c>
      <c r="E153" s="159" t="s">
        <v>634</v>
      </c>
      <c r="F153" s="159" t="s">
        <v>559</v>
      </c>
      <c r="G153" s="183" t="s">
        <v>679</v>
      </c>
      <c r="H153" s="210" t="s">
        <v>401</v>
      </c>
    </row>
    <row r="154" spans="1:8" ht="16.5">
      <c r="A154" s="157" t="s">
        <v>509</v>
      </c>
      <c r="B154" s="14">
        <v>1</v>
      </c>
      <c r="C154" s="172"/>
      <c r="D154" s="141" t="s">
        <v>347</v>
      </c>
      <c r="E154" s="159" t="s">
        <v>634</v>
      </c>
      <c r="F154" s="204" t="s">
        <v>557</v>
      </c>
      <c r="G154" s="183" t="s">
        <v>678</v>
      </c>
      <c r="H154" s="14" t="s">
        <v>475</v>
      </c>
    </row>
    <row r="155" spans="1:8" ht="16.5">
      <c r="A155" s="157" t="s">
        <v>339</v>
      </c>
      <c r="B155" s="172">
        <v>1</v>
      </c>
      <c r="C155" s="172">
        <v>16</v>
      </c>
      <c r="D155" s="182" t="s">
        <v>347</v>
      </c>
      <c r="E155" s="159" t="s">
        <v>634</v>
      </c>
      <c r="F155" s="182" t="s">
        <v>558</v>
      </c>
      <c r="G155" s="185" t="s">
        <v>683</v>
      </c>
      <c r="H155" s="183" t="s">
        <v>388</v>
      </c>
    </row>
    <row r="156" spans="1:8" ht="16.5">
      <c r="A156" s="157" t="s">
        <v>511</v>
      </c>
      <c r="B156" s="14">
        <v>1</v>
      </c>
      <c r="C156" s="172"/>
      <c r="D156" s="141" t="s">
        <v>347</v>
      </c>
      <c r="E156" s="159" t="s">
        <v>634</v>
      </c>
      <c r="F156" s="142" t="s">
        <v>557</v>
      </c>
      <c r="G156" s="183" t="s">
        <v>678</v>
      </c>
      <c r="H156" s="14" t="s">
        <v>406</v>
      </c>
    </row>
    <row r="157" spans="1:8" ht="16.5">
      <c r="A157" s="157" t="s">
        <v>337</v>
      </c>
      <c r="B157" s="172">
        <v>1</v>
      </c>
      <c r="C157" s="172">
        <v>12</v>
      </c>
      <c r="D157" s="159" t="s">
        <v>347</v>
      </c>
      <c r="E157" s="159" t="s">
        <v>634</v>
      </c>
      <c r="F157" s="159" t="s">
        <v>558</v>
      </c>
      <c r="G157" s="183" t="s">
        <v>677</v>
      </c>
      <c r="H157" s="183" t="s">
        <v>650</v>
      </c>
    </row>
    <row r="158" spans="1:8" ht="16.5">
      <c r="A158" s="136" t="s">
        <v>362</v>
      </c>
      <c r="B158" s="14">
        <v>1</v>
      </c>
      <c r="C158" s="14">
        <v>24</v>
      </c>
      <c r="D158" s="141" t="s">
        <v>347</v>
      </c>
      <c r="E158" s="159" t="s">
        <v>634</v>
      </c>
      <c r="F158" s="159" t="s">
        <v>557</v>
      </c>
      <c r="G158" s="183" t="s">
        <v>675</v>
      </c>
      <c r="H158" s="209" t="s">
        <v>391</v>
      </c>
    </row>
    <row r="159" spans="1:8" ht="16.5">
      <c r="A159" s="136" t="s">
        <v>359</v>
      </c>
      <c r="B159" s="14">
        <v>1</v>
      </c>
      <c r="C159" s="14">
        <v>12</v>
      </c>
      <c r="D159" s="141" t="s">
        <v>347</v>
      </c>
      <c r="E159" s="159" t="s">
        <v>634</v>
      </c>
      <c r="F159" s="159" t="s">
        <v>557</v>
      </c>
      <c r="G159" s="183" t="s">
        <v>675</v>
      </c>
      <c r="H159" s="210" t="s">
        <v>368</v>
      </c>
    </row>
    <row r="160" spans="1:8" ht="16.5">
      <c r="A160" s="136" t="s">
        <v>363</v>
      </c>
      <c r="B160" s="14">
        <v>1</v>
      </c>
      <c r="C160" s="14">
        <v>25</v>
      </c>
      <c r="D160" s="141" t="s">
        <v>347</v>
      </c>
      <c r="E160" s="159" t="s">
        <v>634</v>
      </c>
      <c r="F160" s="159" t="s">
        <v>557</v>
      </c>
      <c r="G160" s="183" t="s">
        <v>675</v>
      </c>
      <c r="H160" s="209" t="s">
        <v>391</v>
      </c>
    </row>
    <row r="161" spans="1:8" ht="16.5">
      <c r="A161" s="157" t="s">
        <v>563</v>
      </c>
      <c r="B161" s="172">
        <v>1</v>
      </c>
      <c r="C161" s="172">
        <v>13</v>
      </c>
      <c r="D161" s="182" t="s">
        <v>347</v>
      </c>
      <c r="E161" s="159" t="s">
        <v>634</v>
      </c>
      <c r="F161" s="182" t="s">
        <v>558</v>
      </c>
      <c r="G161" s="185" t="s">
        <v>679</v>
      </c>
      <c r="H161" s="183" t="s">
        <v>370</v>
      </c>
    </row>
    <row r="162" spans="1:8" ht="16.5">
      <c r="A162" s="157" t="s">
        <v>520</v>
      </c>
      <c r="B162" s="14">
        <v>1</v>
      </c>
      <c r="C162" s="172"/>
      <c r="D162" s="141" t="s">
        <v>347</v>
      </c>
      <c r="E162" s="159" t="s">
        <v>634</v>
      </c>
      <c r="F162" s="204" t="s">
        <v>557</v>
      </c>
      <c r="G162" s="183" t="s">
        <v>678</v>
      </c>
      <c r="H162" s="14" t="s">
        <v>388</v>
      </c>
    </row>
    <row r="163" spans="1:8" ht="16.5">
      <c r="A163" s="157" t="s">
        <v>523</v>
      </c>
      <c r="B163" s="14">
        <v>1</v>
      </c>
      <c r="C163" s="172"/>
      <c r="D163" s="141" t="s">
        <v>347</v>
      </c>
      <c r="E163" s="159" t="s">
        <v>634</v>
      </c>
      <c r="F163" s="204" t="s">
        <v>557</v>
      </c>
      <c r="G163" s="183" t="s">
        <v>678</v>
      </c>
      <c r="H163" s="209" t="s">
        <v>391</v>
      </c>
    </row>
    <row r="164" spans="1:8" ht="16.5">
      <c r="A164" s="157" t="s">
        <v>532</v>
      </c>
      <c r="B164" s="172">
        <v>1</v>
      </c>
      <c r="C164" s="172">
        <v>12</v>
      </c>
      <c r="D164" s="159" t="s">
        <v>347</v>
      </c>
      <c r="E164" s="159" t="s">
        <v>634</v>
      </c>
      <c r="F164" s="159" t="s">
        <v>557</v>
      </c>
      <c r="G164" s="183" t="s">
        <v>695</v>
      </c>
      <c r="H164" s="183" t="s">
        <v>406</v>
      </c>
    </row>
    <row r="165" spans="1:8" ht="16.5">
      <c r="A165" s="136" t="s">
        <v>367</v>
      </c>
      <c r="B165" s="14">
        <v>1</v>
      </c>
      <c r="C165" s="14">
        <v>13</v>
      </c>
      <c r="D165" s="141" t="s">
        <v>347</v>
      </c>
      <c r="E165" s="159" t="s">
        <v>634</v>
      </c>
      <c r="F165" s="159" t="s">
        <v>559</v>
      </c>
      <c r="G165" s="183" t="s">
        <v>675</v>
      </c>
      <c r="H165" s="210" t="s">
        <v>391</v>
      </c>
    </row>
    <row r="166" spans="1:8" ht="16.5">
      <c r="A166" s="188" t="s">
        <v>245</v>
      </c>
      <c r="B166" s="189">
        <v>1</v>
      </c>
      <c r="C166" s="189">
        <v>10</v>
      </c>
      <c r="D166" s="119" t="s">
        <v>347</v>
      </c>
      <c r="E166" s="119" t="s">
        <v>637</v>
      </c>
      <c r="F166" s="119" t="s">
        <v>557</v>
      </c>
      <c r="G166" s="212" t="s">
        <v>701</v>
      </c>
      <c r="H166" s="191" t="s">
        <v>404</v>
      </c>
    </row>
    <row r="167" spans="1:8" ht="16.5">
      <c r="A167" s="157" t="s">
        <v>447</v>
      </c>
      <c r="B167" s="14">
        <v>1</v>
      </c>
      <c r="C167" s="172"/>
      <c r="D167" s="141" t="s">
        <v>347</v>
      </c>
      <c r="E167" s="159" t="s">
        <v>634</v>
      </c>
      <c r="F167" s="204" t="s">
        <v>557</v>
      </c>
      <c r="G167" s="183" t="s">
        <v>695</v>
      </c>
      <c r="H167" s="14" t="s">
        <v>370</v>
      </c>
    </row>
    <row r="168" spans="1:8" ht="16.5">
      <c r="A168" s="157" t="s">
        <v>513</v>
      </c>
      <c r="B168" s="14">
        <v>1</v>
      </c>
      <c r="C168" s="172"/>
      <c r="D168" s="141" t="s">
        <v>347</v>
      </c>
      <c r="E168" s="159" t="s">
        <v>634</v>
      </c>
      <c r="F168" s="204" t="s">
        <v>557</v>
      </c>
      <c r="G168" s="183" t="s">
        <v>678</v>
      </c>
      <c r="H168" s="14" t="s">
        <v>643</v>
      </c>
    </row>
    <row r="169" spans="1:8" ht="16.5">
      <c r="A169" s="136" t="s">
        <v>464</v>
      </c>
      <c r="B169" s="14">
        <v>1</v>
      </c>
      <c r="C169" s="14">
        <v>12</v>
      </c>
      <c r="D169" s="141" t="s">
        <v>347</v>
      </c>
      <c r="E169" s="159" t="s">
        <v>634</v>
      </c>
      <c r="F169" s="159" t="s">
        <v>557</v>
      </c>
      <c r="G169" s="183" t="s">
        <v>675</v>
      </c>
      <c r="H169" s="210" t="s">
        <v>391</v>
      </c>
    </row>
    <row r="170" spans="1:8" ht="16.5">
      <c r="A170" s="136" t="s">
        <v>466</v>
      </c>
      <c r="B170" s="14">
        <v>1</v>
      </c>
      <c r="C170" s="14">
        <v>12</v>
      </c>
      <c r="D170" s="141" t="s">
        <v>347</v>
      </c>
      <c r="E170" s="159" t="s">
        <v>634</v>
      </c>
      <c r="F170" s="159" t="s">
        <v>557</v>
      </c>
      <c r="G170" s="183" t="s">
        <v>695</v>
      </c>
      <c r="H170" s="210" t="s">
        <v>370</v>
      </c>
    </row>
    <row r="171" spans="1:8" ht="16.5">
      <c r="A171" s="157" t="s">
        <v>340</v>
      </c>
      <c r="B171" s="172">
        <v>1</v>
      </c>
      <c r="C171" s="172">
        <v>12</v>
      </c>
      <c r="D171" s="159" t="s">
        <v>347</v>
      </c>
      <c r="E171" s="159" t="s">
        <v>634</v>
      </c>
      <c r="F171" s="159" t="s">
        <v>558</v>
      </c>
      <c r="G171" s="183" t="s">
        <v>711</v>
      </c>
      <c r="H171" s="183" t="s">
        <v>667</v>
      </c>
    </row>
    <row r="172" spans="1:8" ht="16.5">
      <c r="A172" s="157" t="s">
        <v>514</v>
      </c>
      <c r="B172" s="14">
        <v>1</v>
      </c>
      <c r="C172" s="172"/>
      <c r="D172" s="141" t="s">
        <v>347</v>
      </c>
      <c r="E172" s="159" t="s">
        <v>634</v>
      </c>
      <c r="F172" s="204" t="s">
        <v>557</v>
      </c>
      <c r="G172" s="183" t="s">
        <v>678</v>
      </c>
      <c r="H172" s="14" t="s">
        <v>522</v>
      </c>
    </row>
    <row r="173" spans="1:8" ht="16.5">
      <c r="A173" s="157" t="s">
        <v>493</v>
      </c>
      <c r="B173" s="172">
        <v>1</v>
      </c>
      <c r="C173" s="172">
        <v>22</v>
      </c>
      <c r="D173" s="159" t="s">
        <v>347</v>
      </c>
      <c r="E173" s="159" t="s">
        <v>634</v>
      </c>
      <c r="F173" s="159" t="s">
        <v>558</v>
      </c>
      <c r="G173" s="183" t="s">
        <v>674</v>
      </c>
      <c r="H173" s="183" t="s">
        <v>401</v>
      </c>
    </row>
    <row r="174" spans="1:8" ht="16.5">
      <c r="A174" s="136" t="s">
        <v>74</v>
      </c>
      <c r="B174" s="14">
        <v>1</v>
      </c>
      <c r="C174" s="14">
        <v>12</v>
      </c>
      <c r="D174" s="141" t="s">
        <v>347</v>
      </c>
      <c r="E174" s="159" t="s">
        <v>634</v>
      </c>
      <c r="F174" s="159" t="s">
        <v>558</v>
      </c>
      <c r="G174" s="183" t="s">
        <v>712</v>
      </c>
      <c r="H174" s="209" t="s">
        <v>388</v>
      </c>
    </row>
    <row r="175" spans="1:8" ht="16.5">
      <c r="A175" s="157" t="s">
        <v>528</v>
      </c>
      <c r="B175" s="14">
        <v>1</v>
      </c>
      <c r="C175" s="172"/>
      <c r="D175" s="141" t="s">
        <v>347</v>
      </c>
      <c r="E175" s="159" t="s">
        <v>634</v>
      </c>
      <c r="F175" s="204" t="s">
        <v>557</v>
      </c>
      <c r="G175" s="183" t="s">
        <v>678</v>
      </c>
      <c r="H175" s="14" t="s">
        <v>370</v>
      </c>
    </row>
    <row r="176" spans="1:8" ht="16.5">
      <c r="A176" s="188" t="s">
        <v>432</v>
      </c>
      <c r="B176" s="189">
        <v>1</v>
      </c>
      <c r="C176" s="189">
        <v>12</v>
      </c>
      <c r="D176" s="190" t="s">
        <v>347</v>
      </c>
      <c r="E176" s="119" t="s">
        <v>634</v>
      </c>
      <c r="F176" s="119" t="s">
        <v>559</v>
      </c>
      <c r="G176" s="212" t="s">
        <v>682</v>
      </c>
      <c r="H176" s="191" t="s">
        <v>391</v>
      </c>
    </row>
    <row r="177" spans="1:8" ht="16.5">
      <c r="A177" s="136" t="s">
        <v>449</v>
      </c>
      <c r="B177" s="14">
        <v>1</v>
      </c>
      <c r="C177" s="14">
        <v>12</v>
      </c>
      <c r="D177" s="141" t="s">
        <v>347</v>
      </c>
      <c r="E177" s="159" t="s">
        <v>634</v>
      </c>
      <c r="F177" s="159" t="s">
        <v>557</v>
      </c>
      <c r="G177" s="183" t="s">
        <v>695</v>
      </c>
      <c r="H177" s="211" t="s">
        <v>388</v>
      </c>
    </row>
    <row r="178" spans="1:8" ht="16.5">
      <c r="A178" s="136" t="s">
        <v>364</v>
      </c>
      <c r="B178" s="14">
        <v>1</v>
      </c>
      <c r="C178" s="14">
        <v>22</v>
      </c>
      <c r="D178" s="141" t="s">
        <v>347</v>
      </c>
      <c r="E178" s="159" t="s">
        <v>634</v>
      </c>
      <c r="F178" s="159" t="s">
        <v>557</v>
      </c>
      <c r="G178" s="183" t="s">
        <v>675</v>
      </c>
      <c r="H178" s="211" t="s">
        <v>391</v>
      </c>
    </row>
    <row r="179" spans="1:8" ht="16.5">
      <c r="A179" s="136" t="s">
        <v>481</v>
      </c>
      <c r="B179" s="14">
        <v>1</v>
      </c>
      <c r="C179" s="14">
        <v>26</v>
      </c>
      <c r="D179" s="141" t="s">
        <v>347</v>
      </c>
      <c r="E179" s="159" t="s">
        <v>634</v>
      </c>
      <c r="F179" s="159" t="s">
        <v>557</v>
      </c>
      <c r="G179" s="183" t="s">
        <v>682</v>
      </c>
      <c r="H179" s="211" t="s">
        <v>393</v>
      </c>
    </row>
    <row r="180" spans="1:8" ht="16.5">
      <c r="A180" s="136" t="s">
        <v>32</v>
      </c>
      <c r="B180" s="14">
        <v>1</v>
      </c>
      <c r="C180" s="14">
        <v>25</v>
      </c>
      <c r="D180" s="141" t="s">
        <v>347</v>
      </c>
      <c r="E180" s="159" t="s">
        <v>634</v>
      </c>
      <c r="F180" s="159" t="s">
        <v>558</v>
      </c>
      <c r="G180" s="183" t="s">
        <v>701</v>
      </c>
      <c r="H180" s="211" t="s">
        <v>657</v>
      </c>
    </row>
    <row r="181" spans="1:8" ht="16.5">
      <c r="A181" s="157" t="s">
        <v>94</v>
      </c>
      <c r="B181" s="172">
        <v>1</v>
      </c>
      <c r="C181" s="172">
        <v>25</v>
      </c>
      <c r="D181" s="182" t="s">
        <v>347</v>
      </c>
      <c r="E181" s="159" t="s">
        <v>634</v>
      </c>
      <c r="F181" s="182" t="s">
        <v>557</v>
      </c>
      <c r="G181" s="185" t="s">
        <v>674</v>
      </c>
      <c r="H181" s="205" t="s">
        <v>368</v>
      </c>
    </row>
    <row r="182" spans="1:8" ht="16.5">
      <c r="A182" s="157" t="s">
        <v>515</v>
      </c>
      <c r="B182" s="14">
        <v>1</v>
      </c>
      <c r="C182" s="172"/>
      <c r="D182" s="141" t="s">
        <v>347</v>
      </c>
      <c r="E182" s="159" t="s">
        <v>634</v>
      </c>
      <c r="F182" s="142" t="s">
        <v>557</v>
      </c>
      <c r="G182" s="183" t="s">
        <v>678</v>
      </c>
      <c r="H182" s="137" t="s">
        <v>406</v>
      </c>
    </row>
    <row r="183" spans="1:8" ht="16.5">
      <c r="A183" s="136" t="s">
        <v>452</v>
      </c>
      <c r="B183" s="14">
        <v>1</v>
      </c>
      <c r="C183" s="14">
        <v>13</v>
      </c>
      <c r="D183" s="141" t="s">
        <v>347</v>
      </c>
      <c r="E183" s="159" t="s">
        <v>634</v>
      </c>
      <c r="F183" s="159" t="s">
        <v>559</v>
      </c>
      <c r="G183" s="183" t="s">
        <v>695</v>
      </c>
      <c r="H183" s="208" t="s">
        <v>391</v>
      </c>
    </row>
    <row r="184" spans="1:8" ht="16.5">
      <c r="A184" s="136" t="s">
        <v>30</v>
      </c>
      <c r="B184" s="14">
        <v>1</v>
      </c>
      <c r="C184" s="14">
        <v>13</v>
      </c>
      <c r="D184" s="141" t="s">
        <v>347</v>
      </c>
      <c r="E184" s="159" t="s">
        <v>634</v>
      </c>
      <c r="F184" s="159" t="s">
        <v>558</v>
      </c>
      <c r="G184" s="183" t="s">
        <v>715</v>
      </c>
      <c r="H184" s="211" t="s">
        <v>652</v>
      </c>
    </row>
    <row r="185" spans="1:8" ht="16.5">
      <c r="A185" s="136" t="s">
        <v>39</v>
      </c>
      <c r="B185" s="14">
        <v>2</v>
      </c>
      <c r="C185" s="14">
        <v>12</v>
      </c>
      <c r="D185" s="141" t="s">
        <v>347</v>
      </c>
      <c r="E185" s="159" t="s">
        <v>634</v>
      </c>
      <c r="F185" s="159" t="s">
        <v>558</v>
      </c>
      <c r="G185" s="183" t="s">
        <v>690</v>
      </c>
      <c r="H185" s="211" t="s">
        <v>650</v>
      </c>
    </row>
    <row r="186" spans="1:8" ht="16.5">
      <c r="A186" s="136" t="s">
        <v>468</v>
      </c>
      <c r="B186" s="14">
        <v>1</v>
      </c>
      <c r="C186" s="14">
        <v>21</v>
      </c>
      <c r="D186" s="141" t="s">
        <v>347</v>
      </c>
      <c r="E186" s="159" t="s">
        <v>634</v>
      </c>
      <c r="F186" s="159" t="s">
        <v>557</v>
      </c>
      <c r="G186" s="183" t="s">
        <v>695</v>
      </c>
      <c r="H186" s="211" t="s">
        <v>475</v>
      </c>
    </row>
    <row r="187" spans="1:8" ht="16.5">
      <c r="A187" s="157" t="s">
        <v>496</v>
      </c>
      <c r="B187" s="172">
        <v>1</v>
      </c>
      <c r="C187" s="172">
        <v>13</v>
      </c>
      <c r="D187" s="159" t="s">
        <v>347</v>
      </c>
      <c r="E187" s="159" t="s">
        <v>634</v>
      </c>
      <c r="F187" s="159" t="s">
        <v>557</v>
      </c>
      <c r="G187" s="183" t="s">
        <v>700</v>
      </c>
      <c r="H187" s="205" t="s">
        <v>475</v>
      </c>
    </row>
    <row r="188" spans="1:8" ht="16.5">
      <c r="A188" s="157" t="s">
        <v>382</v>
      </c>
      <c r="B188" s="172">
        <v>1</v>
      </c>
      <c r="C188" s="172">
        <v>26</v>
      </c>
      <c r="D188" s="182" t="s">
        <v>347</v>
      </c>
      <c r="E188" s="159" t="s">
        <v>634</v>
      </c>
      <c r="F188" s="182" t="s">
        <v>558</v>
      </c>
      <c r="G188" s="185" t="s">
        <v>705</v>
      </c>
      <c r="H188" s="205" t="s">
        <v>654</v>
      </c>
    </row>
    <row r="189" spans="1:8" ht="16.5">
      <c r="A189" s="136" t="s">
        <v>365</v>
      </c>
      <c r="B189" s="14">
        <v>2</v>
      </c>
      <c r="C189" s="14">
        <v>12</v>
      </c>
      <c r="D189" s="141" t="s">
        <v>347</v>
      </c>
      <c r="E189" s="159" t="s">
        <v>634</v>
      </c>
      <c r="F189" s="159" t="s">
        <v>557</v>
      </c>
      <c r="G189" s="183" t="s">
        <v>675</v>
      </c>
      <c r="H189" s="211" t="s">
        <v>368</v>
      </c>
    </row>
    <row r="190" spans="1:8" ht="16.5">
      <c r="A190" s="157" t="s">
        <v>494</v>
      </c>
      <c r="B190" s="172">
        <v>1</v>
      </c>
      <c r="C190" s="172">
        <v>13</v>
      </c>
      <c r="D190" s="159" t="s">
        <v>347</v>
      </c>
      <c r="E190" s="159" t="s">
        <v>634</v>
      </c>
      <c r="F190" s="159" t="s">
        <v>558</v>
      </c>
      <c r="G190" s="183" t="s">
        <v>707</v>
      </c>
      <c r="H190" s="205" t="s">
        <v>388</v>
      </c>
    </row>
    <row r="191" spans="1:8" ht="16.5">
      <c r="A191" s="157" t="s">
        <v>495</v>
      </c>
      <c r="B191" s="172">
        <v>4</v>
      </c>
      <c r="C191" s="172">
        <v>12</v>
      </c>
      <c r="D191" s="159" t="s">
        <v>347</v>
      </c>
      <c r="E191" s="159" t="s">
        <v>634</v>
      </c>
      <c r="F191" s="159" t="s">
        <v>558</v>
      </c>
      <c r="G191" s="183" t="s">
        <v>685</v>
      </c>
      <c r="H191" s="205" t="s">
        <v>388</v>
      </c>
    </row>
    <row r="192" spans="1:8" ht="16.5">
      <c r="A192" s="157" t="s">
        <v>565</v>
      </c>
      <c r="B192" s="172">
        <v>2</v>
      </c>
      <c r="C192" s="172">
        <v>12</v>
      </c>
      <c r="D192" s="159" t="s">
        <v>347</v>
      </c>
      <c r="E192" s="159" t="s">
        <v>634</v>
      </c>
      <c r="F192" s="159" t="s">
        <v>558</v>
      </c>
      <c r="G192" s="183" t="s">
        <v>687</v>
      </c>
      <c r="H192" s="205" t="s">
        <v>388</v>
      </c>
    </row>
    <row r="193" spans="1:8" ht="16.5">
      <c r="A193" s="121" t="s">
        <v>564</v>
      </c>
      <c r="B193" s="172">
        <v>3</v>
      </c>
      <c r="C193" s="184">
        <v>12</v>
      </c>
      <c r="D193" s="159" t="s">
        <v>347</v>
      </c>
      <c r="E193" s="119" t="s">
        <v>634</v>
      </c>
      <c r="F193" s="159" t="s">
        <v>558</v>
      </c>
      <c r="G193" s="212" t="s">
        <v>672</v>
      </c>
      <c r="H193" s="205" t="s">
        <v>388</v>
      </c>
    </row>
  </sheetData>
  <mergeCells count="1">
    <mergeCell ref="A1:H1"/>
  </mergeCells>
  <conditionalFormatting sqref="A100 A103:A104 A106:A109 A111:A112">
    <cfRule type="expression" dxfId="8" priority="20">
      <formula>NOT(($F100-$D100)=0)</formula>
    </cfRule>
  </conditionalFormatting>
  <conditionalFormatting sqref="A114">
    <cfRule type="expression" dxfId="7" priority="29">
      <formula>(($F114-$D114)=0)</formula>
    </cfRule>
    <cfRule type="expression" dxfId="6" priority="30">
      <formula>(($F114-$D114)&gt;0)</formula>
    </cfRule>
  </conditionalFormatting>
  <conditionalFormatting sqref="A177:A193">
    <cfRule type="expression" dxfId="5" priority="1">
      <formula>(($E177-$D177)=0)</formula>
    </cfRule>
    <cfRule type="expression" dxfId="4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4" sqref="A4"/>
    </sheetView>
  </sheetViews>
  <sheetFormatPr defaultRowHeight="15"/>
  <cols>
    <col min="1" max="1" width="48.140625" style="6" bestFit="1" customWidth="1"/>
    <col min="2" max="2" width="6.42578125" style="135" bestFit="1" customWidth="1"/>
    <col min="3" max="3" width="9.140625" style="7"/>
  </cols>
  <sheetData>
    <row r="1" spans="1:3" ht="16.5">
      <c r="A1" s="227" t="s">
        <v>2</v>
      </c>
      <c r="B1" s="228"/>
      <c r="C1" s="228"/>
    </row>
    <row r="2" spans="1:3" ht="16.5">
      <c r="A2" s="115" t="s">
        <v>4</v>
      </c>
      <c r="B2" s="115" t="s">
        <v>219</v>
      </c>
      <c r="C2" s="152" t="s">
        <v>5</v>
      </c>
    </row>
    <row r="3" spans="1:3" ht="16.5">
      <c r="A3" s="136" t="s">
        <v>48</v>
      </c>
      <c r="B3" s="187">
        <v>1</v>
      </c>
      <c r="C3" s="14" t="s">
        <v>15</v>
      </c>
    </row>
    <row r="4" spans="1:3" ht="16.5">
      <c r="A4" s="136" t="s">
        <v>425</v>
      </c>
      <c r="B4" s="187">
        <v>1</v>
      </c>
      <c r="C4" s="14" t="s">
        <v>15</v>
      </c>
    </row>
    <row r="5" spans="1:3" ht="16.5">
      <c r="A5" s="136" t="s">
        <v>342</v>
      </c>
      <c r="B5" s="187">
        <v>1</v>
      </c>
      <c r="C5" s="14" t="s">
        <v>15</v>
      </c>
    </row>
    <row r="6" spans="1:3" ht="16.5">
      <c r="A6" s="136" t="s">
        <v>436</v>
      </c>
      <c r="B6" s="187">
        <v>1</v>
      </c>
      <c r="C6" s="14" t="s">
        <v>15</v>
      </c>
    </row>
    <row r="7" spans="1:3" ht="16.5">
      <c r="A7" s="136" t="s">
        <v>456</v>
      </c>
      <c r="B7" s="187">
        <v>2</v>
      </c>
      <c r="C7" s="14" t="s">
        <v>15</v>
      </c>
    </row>
    <row r="8" spans="1:3" ht="16.5">
      <c r="A8" s="136" t="s">
        <v>457</v>
      </c>
      <c r="B8" s="187">
        <v>3</v>
      </c>
      <c r="C8" s="14" t="s">
        <v>15</v>
      </c>
    </row>
    <row r="9" spans="1:3" ht="16.5">
      <c r="A9" s="136" t="s">
        <v>309</v>
      </c>
      <c r="B9" s="187">
        <v>1</v>
      </c>
      <c r="C9" s="14" t="s">
        <v>15</v>
      </c>
    </row>
    <row r="10" spans="1:3" ht="16.5">
      <c r="A10" s="136" t="s">
        <v>310</v>
      </c>
      <c r="B10" s="187">
        <v>2</v>
      </c>
      <c r="C10" s="14" t="s">
        <v>301</v>
      </c>
    </row>
    <row r="11" spans="1:3" ht="16.5">
      <c r="A11" s="136" t="s">
        <v>356</v>
      </c>
      <c r="B11" s="187">
        <v>1</v>
      </c>
      <c r="C11" s="14" t="s">
        <v>15</v>
      </c>
    </row>
    <row r="12" spans="1:3" ht="16.5">
      <c r="A12" s="136" t="s">
        <v>311</v>
      </c>
      <c r="B12" s="187">
        <v>1</v>
      </c>
      <c r="C12" s="14" t="s">
        <v>301</v>
      </c>
    </row>
    <row r="13" spans="1:3" ht="16.5">
      <c r="A13" s="136" t="s">
        <v>247</v>
      </c>
      <c r="B13" s="187">
        <v>1</v>
      </c>
      <c r="C13" s="14" t="s">
        <v>15</v>
      </c>
    </row>
    <row r="14" spans="1:3" ht="17.25" thickBot="1">
      <c r="A14" s="136" t="s">
        <v>335</v>
      </c>
      <c r="B14" s="187">
        <v>1</v>
      </c>
      <c r="C14" s="77" t="s">
        <v>15</v>
      </c>
    </row>
    <row r="15" spans="1:3" ht="16.5">
      <c r="A15" s="136" t="s">
        <v>52</v>
      </c>
      <c r="B15" s="187">
        <v>1</v>
      </c>
      <c r="C15" s="14" t="s">
        <v>15</v>
      </c>
    </row>
    <row r="16" spans="1:3" ht="16.5">
      <c r="A16" s="136" t="s">
        <v>334</v>
      </c>
      <c r="B16" s="187">
        <v>1</v>
      </c>
      <c r="C16" s="14" t="s">
        <v>15</v>
      </c>
    </row>
    <row r="17" spans="1:3" ht="16.5">
      <c r="A17" s="136" t="s">
        <v>341</v>
      </c>
      <c r="B17" s="187">
        <v>1</v>
      </c>
      <c r="C17" s="14" t="s">
        <v>15</v>
      </c>
    </row>
    <row r="18" spans="1:3" ht="16.5">
      <c r="A18" s="136" t="s">
        <v>562</v>
      </c>
      <c r="B18" s="187">
        <v>2</v>
      </c>
      <c r="C18" s="14" t="s">
        <v>15</v>
      </c>
    </row>
    <row r="19" spans="1:3" ht="16.5">
      <c r="A19" s="136" t="s">
        <v>57</v>
      </c>
      <c r="B19" s="187">
        <v>1</v>
      </c>
      <c r="C19" s="14" t="s">
        <v>15</v>
      </c>
    </row>
    <row r="20" spans="1:3" ht="16.5">
      <c r="A20" s="136" t="s">
        <v>98</v>
      </c>
      <c r="B20" s="187">
        <v>1</v>
      </c>
      <c r="C20" s="14" t="s">
        <v>15</v>
      </c>
    </row>
    <row r="21" spans="1:3" ht="16.5">
      <c r="A21" s="136" t="s">
        <v>302</v>
      </c>
      <c r="B21" s="187">
        <v>1</v>
      </c>
      <c r="C21" s="14" t="s">
        <v>301</v>
      </c>
    </row>
    <row r="22" spans="1:3" ht="16.5">
      <c r="A22" s="136" t="s">
        <v>62</v>
      </c>
      <c r="B22" s="187">
        <v>1</v>
      </c>
      <c r="C22" s="14" t="s">
        <v>15</v>
      </c>
    </row>
    <row r="23" spans="1:3" ht="16.5">
      <c r="A23" s="136" t="s">
        <v>303</v>
      </c>
      <c r="B23" s="187">
        <v>1</v>
      </c>
      <c r="C23" s="14" t="s">
        <v>301</v>
      </c>
    </row>
    <row r="24" spans="1:3" ht="16.5">
      <c r="A24" s="136" t="s">
        <v>20</v>
      </c>
      <c r="B24" s="187">
        <v>1</v>
      </c>
      <c r="C24" s="14" t="s">
        <v>15</v>
      </c>
    </row>
    <row r="25" spans="1:3" ht="16.5">
      <c r="A25" s="136" t="s">
        <v>312</v>
      </c>
      <c r="B25" s="187">
        <v>2</v>
      </c>
      <c r="C25" s="14" t="s">
        <v>15</v>
      </c>
    </row>
    <row r="26" spans="1:3" ht="16.5">
      <c r="A26" s="136" t="s">
        <v>339</v>
      </c>
      <c r="B26" s="187">
        <v>1</v>
      </c>
      <c r="C26" s="14" t="s">
        <v>15</v>
      </c>
    </row>
    <row r="27" spans="1:3" ht="16.5">
      <c r="A27" s="136" t="s">
        <v>22</v>
      </c>
      <c r="B27" s="187">
        <v>1</v>
      </c>
      <c r="C27" s="14" t="s">
        <v>15</v>
      </c>
    </row>
    <row r="28" spans="1:3" ht="16.5">
      <c r="A28" s="136" t="s">
        <v>185</v>
      </c>
      <c r="B28" s="187">
        <v>1</v>
      </c>
      <c r="C28" s="14" t="s">
        <v>15</v>
      </c>
    </row>
    <row r="29" spans="1:3" ht="16.5">
      <c r="A29" s="136" t="s">
        <v>67</v>
      </c>
      <c r="B29" s="187">
        <v>1</v>
      </c>
      <c r="C29" s="14" t="s">
        <v>15</v>
      </c>
    </row>
    <row r="30" spans="1:3" ht="16.5">
      <c r="A30" s="136" t="s">
        <v>337</v>
      </c>
      <c r="B30" s="187">
        <v>1</v>
      </c>
      <c r="C30" s="14" t="s">
        <v>15</v>
      </c>
    </row>
    <row r="31" spans="1:3" ht="16.5">
      <c r="A31" s="136" t="s">
        <v>563</v>
      </c>
      <c r="B31" s="187">
        <v>1</v>
      </c>
      <c r="C31" s="14" t="s">
        <v>15</v>
      </c>
    </row>
    <row r="32" spans="1:3" ht="16.5">
      <c r="A32" s="136" t="s">
        <v>532</v>
      </c>
      <c r="B32" s="187">
        <v>1</v>
      </c>
      <c r="C32" s="14" t="s">
        <v>15</v>
      </c>
    </row>
    <row r="33" spans="1:3" ht="16.5">
      <c r="A33" s="136" t="s">
        <v>426</v>
      </c>
      <c r="B33" s="187">
        <v>1</v>
      </c>
      <c r="C33" s="14" t="s">
        <v>15</v>
      </c>
    </row>
    <row r="34" spans="1:3" ht="16.5">
      <c r="A34" s="136" t="s">
        <v>26</v>
      </c>
      <c r="B34" s="187">
        <v>1</v>
      </c>
      <c r="C34" s="14" t="s">
        <v>15</v>
      </c>
    </row>
    <row r="35" spans="1:3" ht="16.5">
      <c r="A35" s="136" t="s">
        <v>313</v>
      </c>
      <c r="B35" s="187">
        <v>2</v>
      </c>
      <c r="C35" s="14" t="s">
        <v>301</v>
      </c>
    </row>
    <row r="36" spans="1:3" ht="16.5">
      <c r="A36" s="136" t="s">
        <v>314</v>
      </c>
      <c r="B36" s="187">
        <v>3</v>
      </c>
      <c r="C36" s="14" t="s">
        <v>301</v>
      </c>
    </row>
    <row r="37" spans="1:3" ht="16.5">
      <c r="A37" s="136" t="s">
        <v>340</v>
      </c>
      <c r="B37" s="187">
        <v>1</v>
      </c>
      <c r="C37" s="14" t="s">
        <v>15</v>
      </c>
    </row>
    <row r="38" spans="1:3" ht="16.5">
      <c r="A38" s="136" t="s">
        <v>29</v>
      </c>
      <c r="B38" s="187">
        <v>1</v>
      </c>
      <c r="C38" s="14" t="s">
        <v>15</v>
      </c>
    </row>
    <row r="39" spans="1:3" ht="16.5">
      <c r="A39" s="136" t="s">
        <v>493</v>
      </c>
      <c r="B39" s="187">
        <v>1</v>
      </c>
      <c r="C39" s="14" t="s">
        <v>15</v>
      </c>
    </row>
    <row r="40" spans="1:3" ht="16.5">
      <c r="A40" s="136" t="s">
        <v>304</v>
      </c>
      <c r="B40" s="187">
        <v>1</v>
      </c>
      <c r="C40" s="14" t="s">
        <v>301</v>
      </c>
    </row>
    <row r="41" spans="1:3" ht="16.5">
      <c r="A41" s="136" t="s">
        <v>94</v>
      </c>
      <c r="B41" s="187">
        <v>1</v>
      </c>
      <c r="C41" s="14" t="s">
        <v>15</v>
      </c>
    </row>
    <row r="42" spans="1:3" ht="16.5">
      <c r="A42" s="136" t="s">
        <v>315</v>
      </c>
      <c r="B42" s="187">
        <v>2</v>
      </c>
      <c r="C42" s="14" t="s">
        <v>301</v>
      </c>
    </row>
    <row r="43" spans="1:3" ht="16.5">
      <c r="A43" s="136" t="s">
        <v>182</v>
      </c>
      <c r="B43" s="187">
        <v>1</v>
      </c>
      <c r="C43" s="14" t="s">
        <v>15</v>
      </c>
    </row>
    <row r="44" spans="1:3" ht="16.5">
      <c r="A44" s="136" t="s">
        <v>38</v>
      </c>
      <c r="B44" s="187">
        <v>1</v>
      </c>
      <c r="C44" s="14" t="s">
        <v>15</v>
      </c>
    </row>
    <row r="45" spans="1:3" ht="16.5">
      <c r="A45" s="136" t="s">
        <v>316</v>
      </c>
      <c r="B45" s="187">
        <v>2</v>
      </c>
      <c r="C45" s="14" t="s">
        <v>301</v>
      </c>
    </row>
    <row r="46" spans="1:3" ht="16.5">
      <c r="A46" s="136" t="s">
        <v>42</v>
      </c>
      <c r="B46" s="187">
        <v>1</v>
      </c>
      <c r="C46" s="14" t="s">
        <v>15</v>
      </c>
    </row>
    <row r="47" spans="1:3" ht="16.5">
      <c r="A47" s="136" t="s">
        <v>496</v>
      </c>
      <c r="B47" s="187">
        <v>1</v>
      </c>
      <c r="C47" s="14" t="s">
        <v>15</v>
      </c>
    </row>
    <row r="48" spans="1:3" ht="16.5">
      <c r="A48" s="136" t="s">
        <v>422</v>
      </c>
      <c r="B48" s="187">
        <v>1</v>
      </c>
      <c r="C48" s="14" t="s">
        <v>15</v>
      </c>
    </row>
    <row r="49" spans="1:3" ht="16.5">
      <c r="A49" s="136" t="s">
        <v>343</v>
      </c>
      <c r="B49" s="187">
        <v>1</v>
      </c>
      <c r="C49" s="14" t="s">
        <v>15</v>
      </c>
    </row>
    <row r="50" spans="1:3" ht="16.5">
      <c r="A50" s="136" t="s">
        <v>382</v>
      </c>
      <c r="B50" s="187">
        <v>1</v>
      </c>
      <c r="C50" s="14" t="s">
        <v>15</v>
      </c>
    </row>
    <row r="51" spans="1:3" ht="16.5">
      <c r="A51" s="136" t="s">
        <v>494</v>
      </c>
      <c r="B51" s="187">
        <v>1</v>
      </c>
      <c r="C51" s="14" t="s">
        <v>15</v>
      </c>
    </row>
    <row r="52" spans="1:3" ht="16.5">
      <c r="A52" s="136" t="s">
        <v>495</v>
      </c>
      <c r="B52" s="187">
        <v>2</v>
      </c>
      <c r="C52" s="14" t="s">
        <v>15</v>
      </c>
    </row>
    <row r="53" spans="1:3" ht="16.5">
      <c r="A53" s="136" t="s">
        <v>565</v>
      </c>
      <c r="B53" s="187">
        <v>3</v>
      </c>
      <c r="C53" s="14" t="s">
        <v>15</v>
      </c>
    </row>
    <row r="54" spans="1:3" ht="16.5">
      <c r="A54" s="136" t="s">
        <v>564</v>
      </c>
      <c r="B54" s="187">
        <v>4</v>
      </c>
      <c r="C54" s="14" t="s">
        <v>15</v>
      </c>
    </row>
    <row r="55" spans="1:3" ht="16.5">
      <c r="A55" s="136" t="s">
        <v>480</v>
      </c>
      <c r="B55" s="187">
        <v>1</v>
      </c>
      <c r="C55" s="14" t="s">
        <v>49</v>
      </c>
    </row>
    <row r="56" spans="1:3" ht="16.5">
      <c r="A56" s="136" t="s">
        <v>317</v>
      </c>
      <c r="B56" s="187">
        <v>2</v>
      </c>
      <c r="C56" s="14" t="s">
        <v>305</v>
      </c>
    </row>
    <row r="57" spans="1:3" ht="16.5">
      <c r="A57" s="136" t="s">
        <v>537</v>
      </c>
      <c r="B57" s="187">
        <v>3</v>
      </c>
      <c r="C57" s="14" t="s">
        <v>305</v>
      </c>
    </row>
    <row r="58" spans="1:3" ht="16.5">
      <c r="A58" s="136" t="s">
        <v>538</v>
      </c>
      <c r="B58" s="187">
        <v>4</v>
      </c>
      <c r="C58" s="14" t="s">
        <v>305</v>
      </c>
    </row>
    <row r="59" spans="1:3" ht="16.5">
      <c r="A59" s="136" t="s">
        <v>437</v>
      </c>
      <c r="B59" s="187">
        <v>1</v>
      </c>
      <c r="C59" s="14" t="s">
        <v>49</v>
      </c>
    </row>
    <row r="60" spans="1:3" ht="16.5">
      <c r="A60" s="136" t="s">
        <v>503</v>
      </c>
      <c r="B60" s="187">
        <v>2</v>
      </c>
      <c r="C60" s="14" t="s">
        <v>49</v>
      </c>
    </row>
    <row r="61" spans="1:3" ht="16.5">
      <c r="A61" s="136" t="s">
        <v>500</v>
      </c>
      <c r="B61" s="187">
        <v>1</v>
      </c>
      <c r="C61" s="14" t="s">
        <v>49</v>
      </c>
    </row>
    <row r="62" spans="1:3" ht="16.5">
      <c r="A62" s="136" t="s">
        <v>81</v>
      </c>
      <c r="B62" s="187">
        <v>1</v>
      </c>
      <c r="C62" s="14" t="s">
        <v>49</v>
      </c>
    </row>
    <row r="63" spans="1:3" ht="16.5">
      <c r="A63" s="136" t="s">
        <v>89</v>
      </c>
      <c r="B63" s="187">
        <v>1</v>
      </c>
      <c r="C63" s="14" t="s">
        <v>49</v>
      </c>
    </row>
    <row r="64" spans="1:3" ht="16.5">
      <c r="A64" s="136" t="s">
        <v>319</v>
      </c>
      <c r="B64" s="187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27" t="s">
        <v>3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</row>
    <row r="2" spans="1:13" ht="16.5">
      <c r="A2" s="115" t="s">
        <v>4</v>
      </c>
      <c r="B2" s="115" t="s">
        <v>219</v>
      </c>
      <c r="C2" s="115" t="s">
        <v>6</v>
      </c>
      <c r="D2" s="115" t="s">
        <v>7</v>
      </c>
      <c r="E2" s="115" t="s">
        <v>8</v>
      </c>
      <c r="F2" s="115" t="s">
        <v>9</v>
      </c>
      <c r="G2" s="115" t="s">
        <v>10</v>
      </c>
      <c r="H2" s="115" t="s">
        <v>11</v>
      </c>
      <c r="I2" s="115" t="s">
        <v>220</v>
      </c>
      <c r="J2" s="115" t="s">
        <v>539</v>
      </c>
      <c r="K2" s="153" t="s">
        <v>12</v>
      </c>
      <c r="L2" s="115" t="s">
        <v>256</v>
      </c>
      <c r="M2" s="115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C28" sqref="C28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27" t="s">
        <v>555</v>
      </c>
      <c r="B1" s="228"/>
      <c r="C1" s="228"/>
      <c r="D1" s="229"/>
    </row>
    <row r="2" spans="1:4" ht="16.5">
      <c r="A2" s="116" t="s">
        <v>4</v>
      </c>
      <c r="B2" s="153" t="s">
        <v>219</v>
      </c>
      <c r="C2" s="115" t="s">
        <v>542</v>
      </c>
      <c r="D2" s="117" t="s">
        <v>546</v>
      </c>
    </row>
    <row r="3" spans="1:4" ht="16.5">
      <c r="A3" s="113" t="s">
        <v>102</v>
      </c>
      <c r="B3" s="141">
        <v>1</v>
      </c>
      <c r="C3" s="120">
        <v>41798</v>
      </c>
      <c r="D3" s="118"/>
    </row>
    <row r="4" spans="1:4" ht="16.5">
      <c r="A4" s="121" t="s">
        <v>28</v>
      </c>
      <c r="B4" s="119">
        <v>1</v>
      </c>
      <c r="C4" s="120">
        <v>41793</v>
      </c>
      <c r="D4" s="120">
        <v>41793</v>
      </c>
    </row>
    <row r="5" spans="1:4" ht="16.5">
      <c r="A5" s="121" t="s">
        <v>178</v>
      </c>
      <c r="B5" s="119">
        <v>1</v>
      </c>
      <c r="C5" s="120">
        <v>41769</v>
      </c>
      <c r="D5" s="120">
        <v>41777</v>
      </c>
    </row>
    <row r="6" spans="1:4" ht="16.5">
      <c r="A6" s="113" t="s">
        <v>632</v>
      </c>
      <c r="B6" s="141">
        <v>1</v>
      </c>
      <c r="C6" s="106">
        <v>41731</v>
      </c>
      <c r="D6" s="106">
        <v>41737</v>
      </c>
    </row>
    <row r="7" spans="1:4" ht="16.5">
      <c r="A7" s="121" t="s">
        <v>233</v>
      </c>
      <c r="B7" s="119">
        <v>1</v>
      </c>
      <c r="C7" s="120">
        <v>41725</v>
      </c>
      <c r="D7" s="120">
        <v>41728</v>
      </c>
    </row>
    <row r="8" spans="1:4" ht="16.5">
      <c r="A8" s="121" t="s">
        <v>127</v>
      </c>
      <c r="B8" s="119">
        <v>1</v>
      </c>
      <c r="C8" s="120">
        <v>41706</v>
      </c>
      <c r="D8" s="120">
        <v>41714</v>
      </c>
    </row>
    <row r="9" spans="1:4" ht="16.5">
      <c r="A9" s="121" t="s">
        <v>53</v>
      </c>
      <c r="B9" s="119">
        <v>1</v>
      </c>
      <c r="C9" s="120">
        <v>41880</v>
      </c>
      <c r="D9" s="120">
        <v>41880</v>
      </c>
    </row>
    <row r="10" spans="1:4" ht="16.5">
      <c r="A10" s="121" t="s">
        <v>53</v>
      </c>
      <c r="B10" s="119">
        <v>1</v>
      </c>
      <c r="C10" s="120">
        <v>41973</v>
      </c>
      <c r="D10" s="120">
        <v>41973</v>
      </c>
    </row>
    <row r="11" spans="1:4" ht="16.5">
      <c r="A11" s="121" t="s">
        <v>183</v>
      </c>
      <c r="B11" s="119">
        <v>1</v>
      </c>
      <c r="C11" s="120">
        <v>41696</v>
      </c>
      <c r="D11" s="120">
        <v>41700</v>
      </c>
    </row>
    <row r="12" spans="1:4" ht="16.5">
      <c r="A12" s="121" t="s">
        <v>106</v>
      </c>
      <c r="B12" s="119">
        <v>1</v>
      </c>
      <c r="C12" s="120">
        <v>41789</v>
      </c>
      <c r="D12" s="120">
        <v>41792</v>
      </c>
    </row>
    <row r="13" spans="1:4" ht="16.5">
      <c r="A13" s="121" t="s">
        <v>249</v>
      </c>
      <c r="B13" s="119">
        <v>1</v>
      </c>
      <c r="C13" s="120">
        <v>41794</v>
      </c>
      <c r="D13" s="120">
        <v>41795</v>
      </c>
    </row>
    <row r="14" spans="1:4" ht="16.5">
      <c r="A14" s="121" t="s">
        <v>210</v>
      </c>
      <c r="B14" s="119">
        <v>1</v>
      </c>
      <c r="C14" s="120">
        <v>41483</v>
      </c>
      <c r="D14" s="120">
        <v>41484</v>
      </c>
    </row>
    <row r="15" spans="1:4" ht="16.5">
      <c r="C15" s="12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36" t="s">
        <v>128</v>
      </c>
      <c r="B1" s="237"/>
      <c r="C1" s="237"/>
      <c r="D1" s="237"/>
      <c r="E1" s="237"/>
      <c r="F1" s="237"/>
      <c r="G1" s="237"/>
      <c r="H1" s="237"/>
      <c r="I1" s="238"/>
    </row>
    <row r="2" spans="1:12" ht="15" customHeight="1">
      <c r="A2" s="224" t="s">
        <v>129</v>
      </c>
      <c r="B2" s="225"/>
      <c r="C2" s="226"/>
      <c r="D2" s="9"/>
      <c r="E2" s="224" t="s">
        <v>3</v>
      </c>
      <c r="F2" s="225"/>
      <c r="G2" s="225"/>
      <c r="H2" s="225"/>
      <c r="I2" s="226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9"/>
  <sheetViews>
    <sheetView showGridLines="0" workbookViewId="0">
      <selection activeCell="L7" sqref="L7"/>
    </sheetView>
  </sheetViews>
  <sheetFormatPr defaultRowHeight="16.5"/>
  <cols>
    <col min="1" max="1" width="48.7109375" style="179" customWidth="1"/>
    <col min="2" max="2" width="14.7109375" style="180" bestFit="1" customWidth="1"/>
    <col min="3" max="3" width="5.7109375" style="160" customWidth="1"/>
    <col min="4" max="5" width="20.7109375" style="160" customWidth="1"/>
    <col min="6" max="6" width="6.5703125" style="160" bestFit="1" customWidth="1"/>
    <col min="7" max="7" width="1.5703125" style="160" bestFit="1" customWidth="1"/>
    <col min="8" max="8" width="20.7109375" style="160" customWidth="1"/>
    <col min="9" max="9" width="5.7109375" style="160" customWidth="1"/>
    <col min="10" max="10" width="7.140625" style="160" customWidth="1"/>
    <col min="11" max="11" width="20.7109375" style="193" customWidth="1"/>
    <col min="12" max="12" width="31.5703125" style="160" bestFit="1" customWidth="1"/>
    <col min="13" max="16384" width="9.140625" style="160"/>
  </cols>
  <sheetData>
    <row r="1" spans="1:12">
      <c r="A1" s="239" t="s">
        <v>385</v>
      </c>
      <c r="B1" s="240"/>
      <c r="C1" s="194"/>
      <c r="D1" s="239" t="s">
        <v>224</v>
      </c>
      <c r="E1" s="240"/>
      <c r="F1" s="240"/>
      <c r="J1" s="160" t="s">
        <v>221</v>
      </c>
      <c r="K1" s="193" t="s">
        <v>629</v>
      </c>
      <c r="L1" s="160" t="s">
        <v>606</v>
      </c>
    </row>
    <row r="2" spans="1:12">
      <c r="A2" s="195" t="s">
        <v>592</v>
      </c>
      <c r="B2" s="196" t="s">
        <v>5</v>
      </c>
      <c r="D2" s="163" t="s">
        <v>124</v>
      </c>
      <c r="E2" s="163" t="s">
        <v>4</v>
      </c>
      <c r="F2" s="196" t="s">
        <v>579</v>
      </c>
      <c r="K2" s="193" t="s">
        <v>630</v>
      </c>
      <c r="L2" s="160" t="s">
        <v>631</v>
      </c>
    </row>
    <row r="3" spans="1:12">
      <c r="A3" s="157" t="s">
        <v>384</v>
      </c>
      <c r="B3" s="174" t="s">
        <v>593</v>
      </c>
      <c r="D3" s="157" t="s">
        <v>223</v>
      </c>
      <c r="E3" s="172" t="s">
        <v>160</v>
      </c>
      <c r="F3" s="174" t="s">
        <v>159</v>
      </c>
      <c r="K3" s="193" t="s">
        <v>601</v>
      </c>
      <c r="L3" s="160" t="s">
        <v>602</v>
      </c>
    </row>
    <row r="4" spans="1:12">
      <c r="A4" s="157" t="s">
        <v>386</v>
      </c>
      <c r="B4" s="174" t="s">
        <v>593</v>
      </c>
      <c r="D4" s="157" t="s">
        <v>229</v>
      </c>
      <c r="E4" s="172" t="s">
        <v>45</v>
      </c>
      <c r="F4" s="174" t="s">
        <v>159</v>
      </c>
      <c r="H4" s="197" t="s">
        <v>232</v>
      </c>
      <c r="I4" s="198">
        <v>1.3</v>
      </c>
      <c r="K4" s="193" t="s">
        <v>616</v>
      </c>
      <c r="L4" s="160" t="s">
        <v>603</v>
      </c>
    </row>
    <row r="5" spans="1:12">
      <c r="A5" s="157" t="s">
        <v>595</v>
      </c>
      <c r="B5" s="174" t="s">
        <v>594</v>
      </c>
      <c r="D5" s="157" t="s">
        <v>228</v>
      </c>
      <c r="E5" s="172" t="s">
        <v>126</v>
      </c>
      <c r="F5" s="174" t="s">
        <v>159</v>
      </c>
      <c r="G5" s="160" t="s">
        <v>221</v>
      </c>
      <c r="L5" s="160" t="s">
        <v>604</v>
      </c>
    </row>
    <row r="6" spans="1:12">
      <c r="A6" s="157" t="s">
        <v>556</v>
      </c>
      <c r="B6" s="174" t="s">
        <v>593</v>
      </c>
      <c r="D6" s="157" t="s">
        <v>383</v>
      </c>
      <c r="E6" s="172" t="s">
        <v>365</v>
      </c>
      <c r="F6" s="174" t="s">
        <v>159</v>
      </c>
      <c r="L6" s="160" t="s">
        <v>633</v>
      </c>
    </row>
    <row r="7" spans="1:12">
      <c r="A7" s="157" t="s">
        <v>596</v>
      </c>
      <c r="B7" s="174" t="s">
        <v>594</v>
      </c>
      <c r="D7" s="157" t="s">
        <v>375</v>
      </c>
      <c r="E7" s="172" t="s">
        <v>363</v>
      </c>
      <c r="F7" s="174" t="s">
        <v>159</v>
      </c>
      <c r="L7" s="160" t="s">
        <v>606</v>
      </c>
    </row>
    <row r="8" spans="1:12">
      <c r="A8" s="157"/>
      <c r="B8" s="174"/>
      <c r="D8" s="157" t="s">
        <v>230</v>
      </c>
      <c r="E8" s="172" t="s">
        <v>180</v>
      </c>
      <c r="F8" s="174" t="s">
        <v>55</v>
      </c>
      <c r="L8" s="160" t="s">
        <v>607</v>
      </c>
    </row>
    <row r="9" spans="1:12">
      <c r="A9" s="157"/>
      <c r="B9" s="174"/>
      <c r="D9" s="157" t="s">
        <v>227</v>
      </c>
      <c r="E9" s="172" t="s">
        <v>174</v>
      </c>
      <c r="F9" s="174" t="s">
        <v>55</v>
      </c>
      <c r="K9" s="193" t="s">
        <v>605</v>
      </c>
      <c r="L9" s="160" t="s">
        <v>608</v>
      </c>
    </row>
    <row r="10" spans="1:12">
      <c r="A10" s="157"/>
      <c r="B10" s="174"/>
      <c r="D10" s="157" t="s">
        <v>225</v>
      </c>
      <c r="E10" s="172" t="s">
        <v>34</v>
      </c>
      <c r="F10" s="174" t="s">
        <v>55</v>
      </c>
      <c r="K10" s="193" t="s">
        <v>617</v>
      </c>
      <c r="L10" s="160" t="s">
        <v>609</v>
      </c>
    </row>
    <row r="11" spans="1:12">
      <c r="A11" s="157"/>
      <c r="B11" s="174"/>
      <c r="D11" s="199" t="s">
        <v>53</v>
      </c>
      <c r="E11" s="200" t="s">
        <v>53</v>
      </c>
      <c r="F11" s="201" t="s">
        <v>55</v>
      </c>
      <c r="L11" s="160" t="s">
        <v>610</v>
      </c>
    </row>
    <row r="12" spans="1:12">
      <c r="L12" s="160" t="s">
        <v>606</v>
      </c>
    </row>
    <row r="13" spans="1:12">
      <c r="L13" s="160" t="s">
        <v>607</v>
      </c>
    </row>
    <row r="14" spans="1:12">
      <c r="K14" s="193" t="s">
        <v>611</v>
      </c>
      <c r="L14" s="160" t="s">
        <v>612</v>
      </c>
    </row>
    <row r="15" spans="1:12">
      <c r="K15" s="193" t="s">
        <v>618</v>
      </c>
      <c r="L15" s="160" t="s">
        <v>613</v>
      </c>
    </row>
    <row r="16" spans="1:12">
      <c r="L16" s="160" t="s">
        <v>606</v>
      </c>
    </row>
    <row r="17" spans="11:12">
      <c r="L17" s="160" t="s">
        <v>607</v>
      </c>
    </row>
    <row r="18" spans="11:12">
      <c r="K18" s="193" t="s">
        <v>614</v>
      </c>
      <c r="L18" s="160" t="s">
        <v>608</v>
      </c>
    </row>
    <row r="19" spans="11:12">
      <c r="K19" s="193" t="s">
        <v>619</v>
      </c>
      <c r="L19" s="160" t="s">
        <v>609</v>
      </c>
    </row>
    <row r="20" spans="11:12">
      <c r="L20" s="160" t="s">
        <v>615</v>
      </c>
    </row>
    <row r="21" spans="11:12">
      <c r="L21" s="160" t="s">
        <v>606</v>
      </c>
    </row>
    <row r="22" spans="11:12">
      <c r="L22" s="160" t="s">
        <v>607</v>
      </c>
    </row>
    <row r="23" spans="11:12">
      <c r="K23" s="193" t="s">
        <v>620</v>
      </c>
      <c r="L23" s="160" t="s">
        <v>622</v>
      </c>
    </row>
    <row r="24" spans="11:12">
      <c r="K24" s="193" t="s">
        <v>621</v>
      </c>
      <c r="L24" s="160" t="s">
        <v>623</v>
      </c>
    </row>
    <row r="25" spans="11:12">
      <c r="L25" s="160" t="s">
        <v>624</v>
      </c>
    </row>
    <row r="26" spans="11:12">
      <c r="K26" s="193" t="s">
        <v>625</v>
      </c>
      <c r="L26" s="160" t="s">
        <v>627</v>
      </c>
    </row>
    <row r="27" spans="11:12">
      <c r="K27" s="202" t="s">
        <v>626</v>
      </c>
      <c r="L27" s="160" t="s">
        <v>624</v>
      </c>
    </row>
    <row r="28" spans="11:12">
      <c r="L28" s="160" t="s">
        <v>606</v>
      </c>
    </row>
    <row r="29" spans="11:12">
      <c r="L29" s="160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P30" sqref="P30"/>
    </sheetView>
  </sheetViews>
  <sheetFormatPr defaultRowHeight="16.5"/>
  <cols>
    <col min="1" max="1" width="38.7109375" style="179" customWidth="1"/>
    <col min="2" max="2" width="9.140625" style="160"/>
    <col min="3" max="5" width="5.7109375" style="160" customWidth="1"/>
    <col min="6" max="6" width="5.5703125" style="160" hidden="1" customWidth="1"/>
    <col min="7" max="10" width="9.140625" style="160" hidden="1" customWidth="1"/>
    <col min="11" max="11" width="9.140625" style="160"/>
    <col min="12" max="12" width="1.5703125" style="161" bestFit="1" customWidth="1"/>
    <col min="13" max="13" width="38.7109375" style="160" customWidth="1"/>
    <col min="14" max="14" width="4.140625" style="160" bestFit="1" customWidth="1"/>
    <col min="15" max="15" width="1.5703125" style="161" bestFit="1" customWidth="1"/>
    <col min="16" max="16" width="38.7109375" style="160" customWidth="1"/>
    <col min="17" max="17" width="4.140625" style="160" bestFit="1" customWidth="1"/>
    <col min="18" max="18" width="5.28515625" style="160" bestFit="1" customWidth="1"/>
    <col min="19" max="19" width="5" style="160" hidden="1" customWidth="1"/>
    <col min="20" max="20" width="7.5703125" style="160" hidden="1" customWidth="1"/>
    <col min="21" max="21" width="5.7109375" style="160" hidden="1" customWidth="1"/>
    <col min="22" max="22" width="0" style="160" hidden="1" customWidth="1"/>
    <col min="23" max="23" width="9.140625" style="160"/>
    <col min="24" max="27" width="5.7109375" style="160" hidden="1" customWidth="1"/>
    <col min="28" max="28" width="0" style="160" hidden="1" customWidth="1"/>
    <col min="29" max="29" width="9.140625" style="160"/>
    <col min="30" max="31" width="0" style="160" hidden="1" customWidth="1"/>
    <col min="32" max="32" width="14.5703125" style="160" customWidth="1"/>
    <col min="33" max="33" width="45.140625" style="180" customWidth="1"/>
    <col min="34" max="16384" width="9.140625" style="160"/>
  </cols>
  <sheetData>
    <row r="1" spans="1:33">
      <c r="A1" s="255" t="s">
        <v>583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</row>
    <row r="2" spans="1:33">
      <c r="A2" s="249" t="s">
        <v>1</v>
      </c>
      <c r="B2" s="250"/>
      <c r="C2" s="250"/>
      <c r="D2" s="250"/>
      <c r="E2" s="250"/>
      <c r="F2" s="250"/>
      <c r="G2" s="250"/>
      <c r="H2" s="250"/>
      <c r="I2" s="250"/>
      <c r="J2" s="250"/>
      <c r="K2" s="251"/>
      <c r="M2" s="249" t="s">
        <v>581</v>
      </c>
      <c r="N2" s="251"/>
      <c r="P2" s="249" t="s">
        <v>582</v>
      </c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1"/>
    </row>
    <row r="3" spans="1:33">
      <c r="A3" s="162" t="s">
        <v>294</v>
      </c>
      <c r="B3" s="163" t="s">
        <v>366</v>
      </c>
      <c r="C3" s="163" t="s">
        <v>219</v>
      </c>
      <c r="D3" s="163" t="s">
        <v>445</v>
      </c>
      <c r="E3" s="164" t="s">
        <v>446</v>
      </c>
      <c r="F3" s="164" t="s">
        <v>346</v>
      </c>
      <c r="G3" s="165" t="s">
        <v>541</v>
      </c>
      <c r="H3" s="165" t="s">
        <v>577</v>
      </c>
      <c r="I3" s="165" t="s">
        <v>131</v>
      </c>
      <c r="J3" s="165" t="s">
        <v>540</v>
      </c>
      <c r="K3" s="166" t="s">
        <v>239</v>
      </c>
      <c r="L3" s="167" t="s">
        <v>221</v>
      </c>
      <c r="M3" s="168" t="s">
        <v>4</v>
      </c>
      <c r="N3" s="169" t="s">
        <v>219</v>
      </c>
      <c r="O3" s="167" t="s">
        <v>221</v>
      </c>
      <c r="P3" s="170" t="s">
        <v>4</v>
      </c>
      <c r="Q3" s="163" t="s">
        <v>219</v>
      </c>
      <c r="R3" s="163" t="s">
        <v>200</v>
      </c>
      <c r="S3" s="171" t="s">
        <v>345</v>
      </c>
      <c r="T3" s="171" t="s">
        <v>577</v>
      </c>
      <c r="U3" s="171" t="s">
        <v>131</v>
      </c>
      <c r="V3" s="171" t="s">
        <v>540</v>
      </c>
      <c r="W3" s="171" t="s">
        <v>239</v>
      </c>
      <c r="X3" s="163" t="s">
        <v>6</v>
      </c>
      <c r="Y3" s="163" t="s">
        <v>7</v>
      </c>
      <c r="Z3" s="163" t="s">
        <v>8</v>
      </c>
      <c r="AA3" s="163" t="s">
        <v>9</v>
      </c>
      <c r="AB3" s="163" t="s">
        <v>10</v>
      </c>
      <c r="AC3" s="163" t="s">
        <v>11</v>
      </c>
      <c r="AD3" s="163" t="s">
        <v>539</v>
      </c>
      <c r="AE3" s="171" t="s">
        <v>12</v>
      </c>
      <c r="AF3" s="163" t="s">
        <v>256</v>
      </c>
      <c r="AG3" s="163" t="s">
        <v>13</v>
      </c>
    </row>
    <row r="4" spans="1:33">
      <c r="A4" s="157"/>
      <c r="B4" s="158"/>
      <c r="C4" s="172"/>
      <c r="D4" s="172"/>
      <c r="E4" s="172"/>
      <c r="F4" s="159"/>
      <c r="G4" s="173"/>
      <c r="H4" s="173"/>
      <c r="I4" s="173"/>
      <c r="J4" s="172"/>
      <c r="K4" s="172"/>
      <c r="M4" s="157"/>
      <c r="N4" s="174"/>
      <c r="P4" s="157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4"/>
    </row>
    <row r="5" spans="1:33">
      <c r="A5" s="157"/>
      <c r="B5" s="158"/>
      <c r="C5" s="172"/>
      <c r="D5" s="172"/>
      <c r="E5" s="172"/>
      <c r="F5" s="159"/>
      <c r="G5" s="173"/>
      <c r="H5" s="173"/>
      <c r="I5" s="173"/>
      <c r="J5" s="172"/>
      <c r="K5" s="172"/>
      <c r="M5" s="157"/>
      <c r="N5" s="174"/>
      <c r="P5" s="157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4"/>
    </row>
    <row r="6" spans="1:33">
      <c r="A6" s="157"/>
      <c r="B6" s="158"/>
      <c r="C6" s="172"/>
      <c r="D6" s="172"/>
      <c r="E6" s="172"/>
      <c r="F6" s="159"/>
      <c r="G6" s="173"/>
      <c r="H6" s="173"/>
      <c r="I6" s="173"/>
      <c r="J6" s="172"/>
      <c r="K6" s="172"/>
      <c r="M6" s="157"/>
      <c r="N6" s="174"/>
      <c r="P6" s="157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4"/>
    </row>
    <row r="7" spans="1:33">
      <c r="A7" s="157"/>
      <c r="B7" s="158"/>
      <c r="C7" s="172"/>
      <c r="D7" s="172"/>
      <c r="E7" s="172"/>
      <c r="F7" s="159"/>
      <c r="G7" s="173"/>
      <c r="H7" s="173"/>
      <c r="I7" s="173"/>
      <c r="J7" s="172"/>
      <c r="K7" s="172"/>
      <c r="M7" s="157"/>
      <c r="N7" s="174"/>
      <c r="P7" s="157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4"/>
    </row>
    <row r="8" spans="1:33">
      <c r="A8" s="157"/>
      <c r="B8" s="158"/>
      <c r="C8" s="172"/>
      <c r="D8" s="172"/>
      <c r="E8" s="172"/>
      <c r="F8" s="159"/>
      <c r="G8" s="173"/>
      <c r="H8" s="173"/>
      <c r="I8" s="173"/>
      <c r="J8" s="172"/>
      <c r="K8" s="172"/>
      <c r="M8" s="157"/>
      <c r="N8" s="174"/>
      <c r="P8" s="157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4"/>
    </row>
    <row r="9" spans="1:33">
      <c r="A9" s="157"/>
      <c r="B9" s="158"/>
      <c r="C9" s="172"/>
      <c r="D9" s="172"/>
      <c r="E9" s="172"/>
      <c r="F9" s="159"/>
      <c r="G9" s="173"/>
      <c r="H9" s="173"/>
      <c r="I9" s="173"/>
      <c r="J9" s="172"/>
      <c r="K9" s="172"/>
      <c r="M9" s="157"/>
      <c r="N9" s="174"/>
      <c r="P9" s="157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4"/>
    </row>
    <row r="10" spans="1:33">
      <c r="A10" s="157"/>
      <c r="B10" s="158"/>
      <c r="C10" s="172"/>
      <c r="D10" s="172"/>
      <c r="E10" s="172"/>
      <c r="F10" s="159"/>
      <c r="G10" s="173"/>
      <c r="H10" s="173"/>
      <c r="I10" s="173"/>
      <c r="J10" s="172"/>
      <c r="K10" s="172"/>
      <c r="M10" s="157"/>
      <c r="N10" s="174"/>
      <c r="P10" s="157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4"/>
    </row>
    <row r="11" spans="1:33">
      <c r="A11" s="157"/>
      <c r="B11" s="158"/>
      <c r="C11" s="172"/>
      <c r="D11" s="172"/>
      <c r="E11" s="172"/>
      <c r="F11" s="159"/>
      <c r="G11" s="173"/>
      <c r="H11" s="173"/>
      <c r="I11" s="173"/>
      <c r="J11" s="172"/>
      <c r="K11" s="172"/>
      <c r="M11" s="157"/>
      <c r="N11" s="174"/>
      <c r="P11" s="157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4"/>
    </row>
    <row r="12" spans="1:33">
      <c r="A12" s="157"/>
      <c r="B12" s="158"/>
      <c r="C12" s="172"/>
      <c r="D12" s="172"/>
      <c r="E12" s="172"/>
      <c r="F12" s="159"/>
      <c r="G12" s="173"/>
      <c r="H12" s="173"/>
      <c r="I12" s="173"/>
      <c r="J12" s="172"/>
      <c r="K12" s="172"/>
      <c r="M12" s="157"/>
      <c r="N12" s="174"/>
      <c r="P12" s="157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4"/>
    </row>
    <row r="13" spans="1:33">
      <c r="A13" s="157"/>
      <c r="B13" s="158"/>
      <c r="C13" s="172"/>
      <c r="D13" s="172"/>
      <c r="E13" s="172"/>
      <c r="F13" s="159"/>
      <c r="G13" s="173"/>
      <c r="H13" s="173"/>
      <c r="I13" s="173"/>
      <c r="J13" s="172"/>
      <c r="K13" s="172"/>
      <c r="M13" s="157"/>
      <c r="N13" s="174"/>
      <c r="P13" s="157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4"/>
    </row>
    <row r="14" spans="1:33">
      <c r="A14" s="157"/>
      <c r="B14" s="158"/>
      <c r="C14" s="172"/>
      <c r="D14" s="172"/>
      <c r="E14" s="172"/>
      <c r="F14" s="159"/>
      <c r="G14" s="173"/>
      <c r="H14" s="173"/>
      <c r="I14" s="173"/>
      <c r="J14" s="172"/>
      <c r="K14" s="172"/>
      <c r="M14" s="157"/>
      <c r="N14" s="174"/>
      <c r="P14" s="157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4"/>
    </row>
    <row r="15" spans="1:33">
      <c r="A15" s="157"/>
      <c r="B15" s="158"/>
      <c r="C15" s="172"/>
      <c r="D15" s="172"/>
      <c r="E15" s="172"/>
      <c r="F15" s="159"/>
      <c r="G15" s="173"/>
      <c r="H15" s="173"/>
      <c r="I15" s="173"/>
      <c r="J15" s="172"/>
      <c r="K15" s="172"/>
      <c r="M15" s="157"/>
      <c r="N15" s="174"/>
      <c r="P15" s="157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4"/>
    </row>
    <row r="16" spans="1:33">
      <c r="A16" s="157"/>
      <c r="B16" s="158"/>
      <c r="C16" s="172"/>
      <c r="D16" s="172"/>
      <c r="E16" s="172"/>
      <c r="F16" s="159"/>
      <c r="G16" s="173"/>
      <c r="H16" s="173"/>
      <c r="I16" s="173"/>
      <c r="J16" s="172"/>
      <c r="K16" s="172"/>
      <c r="M16" s="157"/>
      <c r="N16" s="174"/>
      <c r="P16" s="157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4"/>
    </row>
    <row r="17" spans="1:33">
      <c r="A17" s="157"/>
      <c r="B17" s="158"/>
      <c r="C17" s="172"/>
      <c r="D17" s="172"/>
      <c r="E17" s="172"/>
      <c r="F17" s="159"/>
      <c r="G17" s="173"/>
      <c r="H17" s="173"/>
      <c r="I17" s="173"/>
      <c r="J17" s="172"/>
      <c r="K17" s="172"/>
      <c r="M17" s="157"/>
      <c r="N17" s="174"/>
      <c r="P17" s="157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4"/>
    </row>
    <row r="18" spans="1:33">
      <c r="A18" s="157"/>
      <c r="B18" s="158"/>
      <c r="C18" s="172"/>
      <c r="D18" s="172"/>
      <c r="E18" s="172"/>
      <c r="F18" s="159"/>
      <c r="G18" s="173"/>
      <c r="H18" s="173"/>
      <c r="I18" s="173"/>
      <c r="J18" s="172"/>
      <c r="K18" s="172"/>
      <c r="M18" s="157"/>
      <c r="N18" s="174"/>
      <c r="P18" s="157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4"/>
    </row>
    <row r="19" spans="1:33">
      <c r="A19" s="157"/>
      <c r="B19" s="158"/>
      <c r="C19" s="172"/>
      <c r="D19" s="172"/>
      <c r="E19" s="172"/>
      <c r="F19" s="159"/>
      <c r="G19" s="173"/>
      <c r="H19" s="173"/>
      <c r="I19" s="173"/>
      <c r="J19" s="172"/>
      <c r="K19" s="172"/>
      <c r="M19" s="157"/>
      <c r="N19" s="174"/>
      <c r="P19" s="157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4"/>
    </row>
    <row r="20" spans="1:33">
      <c r="A20" s="157"/>
      <c r="B20" s="158"/>
      <c r="C20" s="172"/>
      <c r="D20" s="172"/>
      <c r="E20" s="172"/>
      <c r="F20" s="159"/>
      <c r="G20" s="173"/>
      <c r="H20" s="173"/>
      <c r="I20" s="173"/>
      <c r="J20" s="172"/>
      <c r="K20" s="172"/>
      <c r="M20" s="157"/>
      <c r="N20" s="174"/>
      <c r="P20" s="157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4"/>
    </row>
    <row r="21" spans="1:33">
      <c r="A21" s="157"/>
      <c r="B21" s="158"/>
      <c r="C21" s="172"/>
      <c r="D21" s="172"/>
      <c r="E21" s="172"/>
      <c r="F21" s="159"/>
      <c r="G21" s="173"/>
      <c r="H21" s="173"/>
      <c r="I21" s="173"/>
      <c r="J21" s="172"/>
      <c r="K21" s="172"/>
      <c r="M21" s="157"/>
      <c r="N21" s="174"/>
      <c r="P21" s="157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4"/>
    </row>
    <row r="22" spans="1:33">
      <c r="A22" s="157"/>
      <c r="B22" s="158"/>
      <c r="C22" s="172"/>
      <c r="D22" s="172"/>
      <c r="E22" s="172"/>
      <c r="F22" s="159"/>
      <c r="G22" s="173"/>
      <c r="H22" s="173"/>
      <c r="I22" s="173"/>
      <c r="J22" s="172"/>
      <c r="K22" s="172"/>
      <c r="M22" s="157"/>
      <c r="N22" s="174"/>
      <c r="P22" s="157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4"/>
    </row>
    <row r="23" spans="1:33">
      <c r="A23" s="157"/>
      <c r="B23" s="158"/>
      <c r="C23" s="172"/>
      <c r="D23" s="172"/>
      <c r="E23" s="172"/>
      <c r="F23" s="159"/>
      <c r="G23" s="173"/>
      <c r="H23" s="173"/>
      <c r="I23" s="173"/>
      <c r="J23" s="172"/>
      <c r="K23" s="172"/>
      <c r="M23" s="157"/>
      <c r="N23" s="174"/>
      <c r="P23" s="157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4"/>
    </row>
    <row r="24" spans="1:33">
      <c r="A24" s="175" t="s">
        <v>598</v>
      </c>
      <c r="B24" s="176"/>
      <c r="C24" s="257" t="s">
        <v>597</v>
      </c>
      <c r="D24" s="258"/>
      <c r="E24" s="258"/>
      <c r="F24" s="258"/>
      <c r="G24" s="258"/>
      <c r="H24" s="258"/>
      <c r="I24" s="258"/>
      <c r="J24" s="259"/>
      <c r="K24" s="176"/>
      <c r="M24" s="157"/>
      <c r="N24" s="174"/>
      <c r="P24" s="157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4"/>
    </row>
    <row r="25" spans="1:33">
      <c r="A25" s="177" t="s">
        <v>599</v>
      </c>
      <c r="B25" s="178"/>
      <c r="C25" s="260" t="s">
        <v>597</v>
      </c>
      <c r="D25" s="261"/>
      <c r="E25" s="261"/>
      <c r="F25" s="261"/>
      <c r="G25" s="261"/>
      <c r="H25" s="261"/>
      <c r="I25" s="261"/>
      <c r="J25" s="262"/>
      <c r="K25" s="178"/>
      <c r="M25" s="157"/>
      <c r="N25" s="174"/>
      <c r="P25" s="157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4"/>
    </row>
    <row r="26" spans="1:33">
      <c r="A26" s="249" t="s">
        <v>584</v>
      </c>
      <c r="B26" s="250"/>
      <c r="C26" s="250"/>
      <c r="D26" s="250"/>
      <c r="E26" s="250"/>
      <c r="F26" s="250"/>
      <c r="G26" s="250"/>
      <c r="H26" s="250"/>
      <c r="I26" s="250"/>
      <c r="J26" s="250"/>
      <c r="K26" s="251"/>
      <c r="M26" s="157"/>
      <c r="N26" s="174"/>
      <c r="P26" s="157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4"/>
    </row>
    <row r="27" spans="1:33" ht="16.5" customHeight="1">
      <c r="A27" s="162" t="s">
        <v>590</v>
      </c>
      <c r="B27" s="252" t="s">
        <v>591</v>
      </c>
      <c r="C27" s="253"/>
      <c r="D27" s="253"/>
      <c r="E27" s="253"/>
      <c r="F27" s="253"/>
      <c r="G27" s="253"/>
      <c r="H27" s="253"/>
      <c r="I27" s="253"/>
      <c r="J27" s="253"/>
      <c r="K27" s="254"/>
      <c r="M27" s="157"/>
      <c r="N27" s="174"/>
      <c r="P27" s="157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4"/>
    </row>
    <row r="28" spans="1:33" ht="16.5" customHeight="1">
      <c r="A28" s="241" t="s">
        <v>587</v>
      </c>
      <c r="B28" s="243" t="s">
        <v>589</v>
      </c>
      <c r="C28" s="243"/>
      <c r="D28" s="243"/>
      <c r="E28" s="243"/>
      <c r="F28" s="243"/>
      <c r="G28" s="243"/>
      <c r="H28" s="243"/>
      <c r="I28" s="243"/>
      <c r="J28" s="243"/>
      <c r="K28" s="244"/>
      <c r="M28" s="157"/>
      <c r="N28" s="174"/>
      <c r="P28" s="157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4"/>
    </row>
    <row r="29" spans="1:33" ht="16.5" customHeight="1">
      <c r="A29" s="242"/>
      <c r="B29" s="245"/>
      <c r="C29" s="245"/>
      <c r="D29" s="245"/>
      <c r="E29" s="245"/>
      <c r="F29" s="245"/>
      <c r="G29" s="245"/>
      <c r="H29" s="245"/>
      <c r="I29" s="245"/>
      <c r="J29" s="245"/>
      <c r="K29" s="246"/>
      <c r="M29" s="157"/>
      <c r="N29" s="174"/>
      <c r="P29" s="157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4"/>
    </row>
    <row r="30" spans="1:33" ht="16.5" customHeight="1">
      <c r="A30" s="241" t="s">
        <v>586</v>
      </c>
      <c r="B30" s="243" t="s">
        <v>589</v>
      </c>
      <c r="C30" s="243"/>
      <c r="D30" s="243"/>
      <c r="E30" s="243"/>
      <c r="F30" s="243"/>
      <c r="G30" s="243"/>
      <c r="H30" s="243"/>
      <c r="I30" s="243"/>
      <c r="J30" s="243"/>
      <c r="K30" s="244"/>
      <c r="M30" s="157"/>
      <c r="N30" s="174"/>
      <c r="P30" s="157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4"/>
    </row>
    <row r="31" spans="1:33" ht="15" customHeight="1">
      <c r="A31" s="242"/>
      <c r="B31" s="247" t="s">
        <v>589</v>
      </c>
      <c r="C31" s="247"/>
      <c r="D31" s="247"/>
      <c r="E31" s="247"/>
      <c r="F31" s="247"/>
      <c r="G31" s="247"/>
      <c r="H31" s="247"/>
      <c r="I31" s="247"/>
      <c r="J31" s="247"/>
      <c r="K31" s="248"/>
      <c r="M31" s="157"/>
      <c r="N31" s="174"/>
      <c r="P31" s="157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4"/>
    </row>
    <row r="32" spans="1:33" ht="15" customHeight="1">
      <c r="A32" s="241" t="s">
        <v>585</v>
      </c>
      <c r="B32" s="243" t="s">
        <v>589</v>
      </c>
      <c r="C32" s="243"/>
      <c r="D32" s="243"/>
      <c r="E32" s="243"/>
      <c r="F32" s="243"/>
      <c r="G32" s="243"/>
      <c r="H32" s="243"/>
      <c r="I32" s="243"/>
      <c r="J32" s="243"/>
      <c r="K32" s="244"/>
      <c r="M32" s="157"/>
      <c r="N32" s="174"/>
      <c r="P32" s="157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4"/>
    </row>
    <row r="33" spans="1:33" ht="15" customHeight="1">
      <c r="A33" s="242"/>
      <c r="B33" s="247" t="s">
        <v>589</v>
      </c>
      <c r="C33" s="247"/>
      <c r="D33" s="247"/>
      <c r="E33" s="247"/>
      <c r="F33" s="247"/>
      <c r="G33" s="247"/>
      <c r="H33" s="247"/>
      <c r="I33" s="247"/>
      <c r="J33" s="247"/>
      <c r="K33" s="248"/>
      <c r="M33" s="157"/>
      <c r="N33" s="174"/>
      <c r="P33" s="157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4"/>
    </row>
    <row r="34" spans="1:33" ht="15" customHeight="1">
      <c r="A34" s="241" t="s">
        <v>588</v>
      </c>
      <c r="B34" s="243" t="s">
        <v>589</v>
      </c>
      <c r="C34" s="243"/>
      <c r="D34" s="243"/>
      <c r="E34" s="243"/>
      <c r="F34" s="243"/>
      <c r="G34" s="243"/>
      <c r="H34" s="243"/>
      <c r="I34" s="243"/>
      <c r="J34" s="243"/>
      <c r="K34" s="244"/>
      <c r="M34" s="157"/>
      <c r="N34" s="174"/>
      <c r="P34" s="157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4"/>
    </row>
    <row r="35" spans="1:33" ht="16.5" customHeight="1">
      <c r="A35" s="242"/>
      <c r="B35" s="245" t="s">
        <v>589</v>
      </c>
      <c r="C35" s="245"/>
      <c r="D35" s="245"/>
      <c r="E35" s="245"/>
      <c r="F35" s="245"/>
      <c r="G35" s="245"/>
      <c r="H35" s="245"/>
      <c r="I35" s="245"/>
      <c r="J35" s="245"/>
      <c r="K35" s="246"/>
      <c r="M35" s="157"/>
      <c r="N35" s="174"/>
      <c r="P35" s="157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4"/>
    </row>
    <row r="36" spans="1:33">
      <c r="M36" s="157"/>
      <c r="N36" s="174"/>
      <c r="P36" s="157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4"/>
    </row>
    <row r="37" spans="1:33">
      <c r="M37" s="157"/>
      <c r="N37" s="174"/>
      <c r="P37" s="157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4"/>
    </row>
    <row r="38" spans="1:33">
      <c r="M38" s="157"/>
      <c r="N38" s="174"/>
      <c r="P38" s="157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4"/>
    </row>
    <row r="39" spans="1:33">
      <c r="M39" s="157"/>
      <c r="N39" s="174"/>
      <c r="P39" s="157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4"/>
    </row>
    <row r="40" spans="1:33">
      <c r="M40" s="157"/>
      <c r="N40" s="174"/>
      <c r="P40" s="157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4"/>
    </row>
    <row r="41" spans="1:33">
      <c r="M41" s="157"/>
      <c r="N41" s="174"/>
      <c r="P41" s="157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4"/>
    </row>
    <row r="42" spans="1:33">
      <c r="M42" s="157"/>
      <c r="N42" s="174"/>
      <c r="P42" s="157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4"/>
    </row>
    <row r="43" spans="1:33">
      <c r="M43" s="157"/>
      <c r="N43" s="174"/>
      <c r="P43" s="157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4"/>
    </row>
    <row r="44" spans="1:33">
      <c r="M44" s="157"/>
      <c r="N44" s="174"/>
      <c r="P44" s="157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4"/>
    </row>
    <row r="45" spans="1:33">
      <c r="M45" s="157"/>
      <c r="N45" s="174"/>
      <c r="P45" s="157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4"/>
    </row>
    <row r="46" spans="1:33">
      <c r="M46" s="157"/>
      <c r="N46" s="174"/>
      <c r="P46" s="157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4"/>
    </row>
    <row r="47" spans="1:33">
      <c r="M47" s="157"/>
      <c r="N47" s="174"/>
      <c r="P47" s="157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4"/>
    </row>
    <row r="48" spans="1:33">
      <c r="M48" s="157"/>
      <c r="N48" s="174"/>
      <c r="P48" s="157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4"/>
    </row>
    <row r="49" spans="13:33">
      <c r="M49" s="157"/>
      <c r="N49" s="174"/>
      <c r="P49" s="157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4"/>
    </row>
    <row r="50" spans="13:33">
      <c r="M50" s="157"/>
      <c r="N50" s="174"/>
      <c r="P50" s="157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4"/>
    </row>
    <row r="51" spans="13:33">
      <c r="M51" s="157"/>
      <c r="N51" s="174"/>
      <c r="P51" s="157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4"/>
    </row>
    <row r="52" spans="13:33">
      <c r="M52" s="157"/>
      <c r="N52" s="174"/>
      <c r="P52" s="157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4"/>
    </row>
    <row r="53" spans="13:33">
      <c r="M53" s="157"/>
      <c r="N53" s="174"/>
      <c r="P53" s="157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4"/>
    </row>
    <row r="54" spans="13:33">
      <c r="M54" s="157"/>
      <c r="N54" s="174"/>
      <c r="P54" s="157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4"/>
    </row>
    <row r="55" spans="13:33">
      <c r="M55" s="157"/>
      <c r="N55" s="174"/>
      <c r="P55" s="157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4"/>
    </row>
    <row r="56" spans="13:33">
      <c r="M56" s="157"/>
      <c r="N56" s="174"/>
      <c r="P56" s="157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4"/>
    </row>
    <row r="57" spans="13:33">
      <c r="M57" s="157"/>
      <c r="N57" s="174"/>
      <c r="P57" s="157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4"/>
    </row>
    <row r="58" spans="13:33">
      <c r="M58" s="157"/>
      <c r="N58" s="174"/>
      <c r="P58" s="157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4"/>
    </row>
    <row r="59" spans="13:33">
      <c r="M59" s="157"/>
      <c r="N59" s="174"/>
      <c r="P59" s="157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4"/>
    </row>
    <row r="60" spans="13:33">
      <c r="M60" s="157"/>
      <c r="N60" s="174"/>
      <c r="P60" s="157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4"/>
    </row>
    <row r="61" spans="13:33">
      <c r="M61" s="157"/>
      <c r="N61" s="174"/>
      <c r="P61" s="157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4"/>
    </row>
    <row r="62" spans="13:33">
      <c r="M62" s="157"/>
      <c r="N62" s="174"/>
      <c r="P62" s="157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4"/>
    </row>
    <row r="63" spans="13:33">
      <c r="M63" s="157"/>
      <c r="N63" s="174"/>
      <c r="P63" s="157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4"/>
    </row>
    <row r="64" spans="13:33">
      <c r="M64" s="157"/>
      <c r="N64" s="174"/>
      <c r="P64" s="157"/>
      <c r="Q64" s="172"/>
      <c r="R64" s="172"/>
      <c r="S64" s="172"/>
      <c r="T64" s="172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4"/>
    </row>
    <row r="65" spans="13:33">
      <c r="M65" s="157"/>
      <c r="N65" s="174"/>
      <c r="P65" s="157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4"/>
    </row>
    <row r="66" spans="13:33">
      <c r="M66" s="157"/>
      <c r="N66" s="174"/>
      <c r="P66" s="157"/>
      <c r="Q66" s="172"/>
      <c r="R66" s="172"/>
      <c r="S66" s="172"/>
      <c r="T66" s="172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4"/>
    </row>
    <row r="67" spans="13:33">
      <c r="M67" s="157"/>
      <c r="N67" s="174"/>
      <c r="P67" s="157"/>
      <c r="Q67" s="172"/>
      <c r="R67" s="172"/>
      <c r="S67" s="172"/>
      <c r="T67" s="172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4"/>
    </row>
    <row r="68" spans="13:33">
      <c r="M68" s="157"/>
      <c r="N68" s="174"/>
      <c r="P68" s="157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4"/>
    </row>
    <row r="69" spans="13:33">
      <c r="M69" s="157"/>
      <c r="N69" s="174"/>
      <c r="P69" s="157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4"/>
    </row>
    <row r="70" spans="13:33">
      <c r="M70" s="157"/>
      <c r="N70" s="174"/>
      <c r="P70" s="157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4"/>
    </row>
    <row r="71" spans="13:33">
      <c r="M71" s="157"/>
      <c r="N71" s="174"/>
      <c r="P71" s="157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4"/>
    </row>
    <row r="72" spans="13:33">
      <c r="M72" s="157"/>
      <c r="N72" s="174"/>
      <c r="P72" s="157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4"/>
    </row>
    <row r="73" spans="13:33">
      <c r="M73" s="157"/>
      <c r="N73" s="174"/>
      <c r="P73" s="157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4"/>
    </row>
    <row r="74" spans="13:33">
      <c r="M74" s="157"/>
      <c r="N74" s="174"/>
      <c r="P74" s="157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4"/>
    </row>
    <row r="75" spans="13:33">
      <c r="M75" s="157"/>
      <c r="N75" s="174"/>
      <c r="P75" s="157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4"/>
    </row>
    <row r="76" spans="13:33">
      <c r="M76" s="157"/>
      <c r="N76" s="174"/>
      <c r="P76" s="157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4"/>
    </row>
    <row r="77" spans="13:33">
      <c r="M77" s="157"/>
      <c r="N77" s="174"/>
      <c r="P77" s="157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4"/>
    </row>
    <row r="78" spans="13:33">
      <c r="M78" s="157"/>
      <c r="N78" s="174"/>
      <c r="P78" s="157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4"/>
    </row>
    <row r="79" spans="13:33">
      <c r="M79" s="157"/>
      <c r="N79" s="174"/>
      <c r="P79" s="157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4"/>
    </row>
    <row r="80" spans="13:33">
      <c r="M80" s="157"/>
      <c r="N80" s="174"/>
      <c r="P80" s="157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4"/>
    </row>
    <row r="81" spans="13:33">
      <c r="M81" s="157"/>
      <c r="N81" s="174"/>
      <c r="P81" s="157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4"/>
    </row>
    <row r="82" spans="13:33">
      <c r="M82" s="157"/>
      <c r="N82" s="174"/>
      <c r="P82" s="157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4"/>
    </row>
    <row r="83" spans="13:33">
      <c r="M83" s="157"/>
      <c r="N83" s="174"/>
      <c r="P83" s="157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4"/>
    </row>
    <row r="84" spans="13:33">
      <c r="M84" s="157"/>
      <c r="N84" s="174"/>
      <c r="P84" s="157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4"/>
    </row>
    <row r="85" spans="13:33">
      <c r="M85" s="157"/>
      <c r="N85" s="174"/>
      <c r="P85" s="157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4"/>
    </row>
    <row r="86" spans="13:33">
      <c r="M86" s="157"/>
      <c r="N86" s="174"/>
      <c r="P86" s="157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4"/>
    </row>
    <row r="87" spans="13:33">
      <c r="M87" s="157"/>
      <c r="N87" s="174"/>
      <c r="P87" s="157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4"/>
    </row>
    <row r="88" spans="13:33">
      <c r="M88" s="157"/>
      <c r="N88" s="174"/>
      <c r="P88" s="157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4"/>
    </row>
    <row r="89" spans="13:33">
      <c r="M89" s="157"/>
      <c r="N89" s="174"/>
      <c r="P89" s="157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4"/>
    </row>
    <row r="90" spans="13:33">
      <c r="M90" s="157"/>
      <c r="N90" s="174"/>
      <c r="P90" s="157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4"/>
    </row>
    <row r="91" spans="13:33">
      <c r="M91" s="157"/>
      <c r="N91" s="174"/>
      <c r="P91" s="157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4"/>
    </row>
    <row r="92" spans="13:33">
      <c r="M92" s="157"/>
      <c r="N92" s="174"/>
      <c r="P92" s="157"/>
      <c r="Q92" s="172"/>
      <c r="R92" s="172"/>
      <c r="S92" s="172"/>
      <c r="T92" s="172"/>
      <c r="U92" s="172"/>
      <c r="V92" s="172"/>
      <c r="W92" s="172"/>
      <c r="X92" s="172"/>
      <c r="Y92" s="172"/>
      <c r="Z92" s="172"/>
      <c r="AA92" s="172"/>
      <c r="AB92" s="172"/>
      <c r="AC92" s="172"/>
      <c r="AD92" s="172"/>
      <c r="AE92" s="172"/>
      <c r="AF92" s="172"/>
      <c r="AG92" s="174"/>
    </row>
    <row r="93" spans="13:33">
      <c r="M93" s="157"/>
      <c r="N93" s="174"/>
      <c r="P93" s="157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172"/>
      <c r="AB93" s="172"/>
      <c r="AC93" s="172"/>
      <c r="AD93" s="172"/>
      <c r="AE93" s="172"/>
      <c r="AF93" s="172"/>
      <c r="AG93" s="174"/>
    </row>
    <row r="94" spans="13:33">
      <c r="M94" s="157"/>
      <c r="N94" s="174"/>
      <c r="P94" s="157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172"/>
      <c r="AB94" s="172"/>
      <c r="AC94" s="172"/>
      <c r="AD94" s="172"/>
      <c r="AE94" s="172"/>
      <c r="AF94" s="172"/>
      <c r="AG94" s="174"/>
    </row>
    <row r="95" spans="13:33">
      <c r="M95" s="157"/>
      <c r="N95" s="174"/>
      <c r="P95" s="157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4"/>
    </row>
    <row r="96" spans="13:33">
      <c r="M96" s="157"/>
      <c r="N96" s="174"/>
      <c r="P96" s="157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4"/>
    </row>
    <row r="97" spans="13:33">
      <c r="M97" s="157"/>
      <c r="N97" s="174"/>
      <c r="P97" s="157"/>
      <c r="Q97" s="172"/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4"/>
    </row>
    <row r="98" spans="13:33">
      <c r="M98" s="157"/>
      <c r="N98" s="174"/>
      <c r="P98" s="157"/>
      <c r="Q98" s="172"/>
      <c r="R98" s="172"/>
      <c r="S98" s="172"/>
      <c r="T98" s="172"/>
      <c r="U98" s="172"/>
      <c r="V98" s="172"/>
      <c r="W98" s="172"/>
      <c r="X98" s="172"/>
      <c r="Y98" s="172"/>
      <c r="Z98" s="172"/>
      <c r="AA98" s="172"/>
      <c r="AB98" s="172"/>
      <c r="AC98" s="172"/>
      <c r="AD98" s="172"/>
      <c r="AE98" s="172"/>
      <c r="AF98" s="172"/>
      <c r="AG98" s="174"/>
    </row>
    <row r="99" spans="13:33">
      <c r="M99" s="157"/>
      <c r="N99" s="174"/>
      <c r="P99" s="157"/>
      <c r="Q99" s="172"/>
      <c r="R99" s="172"/>
      <c r="S99" s="172"/>
      <c r="T99" s="172"/>
      <c r="U99" s="172"/>
      <c r="V99" s="172"/>
      <c r="W99" s="172"/>
      <c r="X99" s="172"/>
      <c r="Y99" s="172"/>
      <c r="Z99" s="172"/>
      <c r="AA99" s="172"/>
      <c r="AB99" s="172"/>
      <c r="AC99" s="172"/>
      <c r="AD99" s="172"/>
      <c r="AE99" s="172"/>
      <c r="AF99" s="172"/>
      <c r="AG99" s="174"/>
    </row>
    <row r="100" spans="13:33">
      <c r="M100" s="157"/>
      <c r="N100" s="174"/>
      <c r="P100" s="157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4"/>
    </row>
    <row r="101" spans="13:33">
      <c r="M101" s="157"/>
      <c r="N101" s="174"/>
      <c r="P101" s="157"/>
      <c r="Q101" s="172"/>
      <c r="R101" s="172"/>
      <c r="S101" s="172"/>
      <c r="T101" s="172"/>
      <c r="U101" s="172"/>
      <c r="V101" s="172"/>
      <c r="W101" s="172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4"/>
    </row>
    <row r="102" spans="13:33">
      <c r="M102" s="157"/>
      <c r="N102" s="174"/>
      <c r="P102" s="157"/>
      <c r="Q102" s="172"/>
      <c r="R102" s="172"/>
      <c r="S102" s="172"/>
      <c r="T102" s="172"/>
      <c r="U102" s="172"/>
      <c r="V102" s="172"/>
      <c r="W102" s="172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4"/>
    </row>
    <row r="103" spans="13:33">
      <c r="M103" s="157"/>
      <c r="N103" s="174"/>
      <c r="P103" s="157"/>
      <c r="Q103" s="172"/>
      <c r="R103" s="172"/>
      <c r="S103" s="172"/>
      <c r="T103" s="172"/>
      <c r="U103" s="172"/>
      <c r="V103" s="172"/>
      <c r="W103" s="172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4"/>
    </row>
    <row r="104" spans="13:33">
      <c r="M104" s="157"/>
      <c r="N104" s="174"/>
      <c r="P104" s="157"/>
      <c r="Q104" s="172"/>
      <c r="R104" s="172"/>
      <c r="S104" s="17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4"/>
    </row>
    <row r="105" spans="13:33">
      <c r="M105" s="157"/>
      <c r="N105" s="174"/>
      <c r="P105" s="157"/>
      <c r="Q105" s="172"/>
      <c r="R105" s="172"/>
      <c r="S105" s="172"/>
      <c r="T105" s="172"/>
      <c r="U105" s="172"/>
      <c r="V105" s="172"/>
      <c r="W105" s="172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4"/>
    </row>
    <row r="106" spans="13:33">
      <c r="M106" s="157"/>
      <c r="N106" s="174"/>
      <c r="P106" s="157"/>
      <c r="Q106" s="172"/>
      <c r="R106" s="172"/>
      <c r="S106" s="172"/>
      <c r="T106" s="172"/>
      <c r="U106" s="172"/>
      <c r="V106" s="172"/>
      <c r="W106" s="172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4"/>
    </row>
    <row r="107" spans="13:33">
      <c r="M107" s="157"/>
      <c r="N107" s="174"/>
      <c r="P107" s="157"/>
      <c r="Q107" s="172"/>
      <c r="R107" s="172"/>
      <c r="S107" s="172"/>
      <c r="T107" s="172"/>
      <c r="U107" s="172"/>
      <c r="V107" s="172"/>
      <c r="W107" s="172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4"/>
    </row>
    <row r="108" spans="13:33">
      <c r="M108" s="157"/>
      <c r="N108" s="174"/>
      <c r="P108" s="157"/>
      <c r="Q108" s="172"/>
      <c r="R108" s="172"/>
      <c r="S108" s="172"/>
      <c r="T108" s="172"/>
      <c r="U108" s="172"/>
      <c r="V108" s="172"/>
      <c r="W108" s="172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4"/>
    </row>
    <row r="109" spans="13:33">
      <c r="M109" s="157"/>
      <c r="N109" s="174"/>
      <c r="P109" s="157"/>
      <c r="Q109" s="17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4"/>
    </row>
    <row r="110" spans="13:33">
      <c r="M110" s="157"/>
      <c r="N110" s="174"/>
      <c r="P110" s="157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4"/>
    </row>
    <row r="111" spans="13:33">
      <c r="M111" s="157"/>
      <c r="N111" s="174"/>
      <c r="P111" s="157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4"/>
    </row>
    <row r="112" spans="13:33">
      <c r="M112" s="157"/>
      <c r="N112" s="174"/>
      <c r="P112" s="157"/>
      <c r="Q112" s="172"/>
      <c r="R112" s="172"/>
      <c r="S112" s="172"/>
      <c r="T112" s="172"/>
      <c r="U112" s="172"/>
      <c r="V112" s="172"/>
      <c r="W112" s="172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4"/>
    </row>
    <row r="113" spans="13:33">
      <c r="M113" s="157"/>
      <c r="N113" s="174"/>
      <c r="P113" s="157"/>
      <c r="Q113" s="172"/>
      <c r="R113" s="172"/>
      <c r="S113" s="172"/>
      <c r="T113" s="172"/>
      <c r="U113" s="172"/>
      <c r="V113" s="172"/>
      <c r="W113" s="172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4"/>
    </row>
    <row r="114" spans="13:33">
      <c r="M114" s="157"/>
      <c r="N114" s="174"/>
      <c r="P114" s="157"/>
      <c r="Q114" s="172"/>
      <c r="R114" s="172"/>
      <c r="S114" s="172"/>
      <c r="T114" s="172"/>
      <c r="U114" s="172"/>
      <c r="V114" s="172"/>
      <c r="W114" s="172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4"/>
    </row>
    <row r="115" spans="13:33">
      <c r="M115" s="157"/>
      <c r="N115" s="174"/>
      <c r="P115" s="157"/>
      <c r="Q115" s="172"/>
      <c r="R115" s="172"/>
      <c r="S115" s="172"/>
      <c r="T115" s="172"/>
      <c r="U115" s="172"/>
      <c r="V115" s="172"/>
      <c r="W115" s="172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4"/>
    </row>
    <row r="116" spans="13:33">
      <c r="M116" s="157"/>
      <c r="N116" s="174"/>
      <c r="P116" s="157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4"/>
    </row>
    <row r="117" spans="13:33">
      <c r="M117" s="157"/>
      <c r="N117" s="174"/>
      <c r="P117" s="157"/>
      <c r="Q117" s="172"/>
      <c r="R117" s="172"/>
      <c r="S117" s="172"/>
      <c r="T117" s="172"/>
      <c r="U117" s="172"/>
      <c r="V117" s="172"/>
      <c r="W117" s="172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4"/>
    </row>
    <row r="118" spans="13:33">
      <c r="M118" s="157"/>
      <c r="N118" s="174"/>
      <c r="P118" s="157"/>
      <c r="Q118" s="172"/>
      <c r="R118" s="172"/>
      <c r="S118" s="172"/>
      <c r="T118" s="172"/>
      <c r="U118" s="172"/>
      <c r="V118" s="172"/>
      <c r="W118" s="172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4"/>
    </row>
    <row r="119" spans="13:33">
      <c r="M119" s="157"/>
      <c r="N119" s="174"/>
      <c r="P119" s="157"/>
      <c r="Q119" s="172"/>
      <c r="R119" s="172"/>
      <c r="S119" s="172"/>
      <c r="T119" s="172"/>
      <c r="U119" s="172"/>
      <c r="V119" s="172"/>
      <c r="W119" s="172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4"/>
    </row>
    <row r="120" spans="13:33">
      <c r="M120" s="157"/>
      <c r="N120" s="174"/>
      <c r="P120" s="157"/>
      <c r="Q120" s="172"/>
      <c r="R120" s="172"/>
      <c r="S120" s="172"/>
      <c r="T120" s="172"/>
      <c r="U120" s="172"/>
      <c r="V120" s="172"/>
      <c r="W120" s="172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4"/>
    </row>
    <row r="121" spans="13:33">
      <c r="M121" s="157"/>
      <c r="N121" s="174"/>
      <c r="P121" s="157"/>
      <c r="Q121" s="172"/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4"/>
    </row>
    <row r="122" spans="13:33">
      <c r="M122" s="157"/>
      <c r="N122" s="174"/>
      <c r="P122" s="157"/>
      <c r="Q122" s="172"/>
      <c r="R122" s="172"/>
      <c r="S122" s="172"/>
      <c r="T122" s="172"/>
      <c r="U122" s="172"/>
      <c r="V122" s="172"/>
      <c r="W122" s="172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4"/>
    </row>
    <row r="123" spans="13:33">
      <c r="M123" s="157"/>
      <c r="N123" s="174"/>
      <c r="P123" s="157"/>
      <c r="Q123" s="172"/>
      <c r="R123" s="172"/>
      <c r="S123" s="172"/>
      <c r="T123" s="172"/>
      <c r="U123" s="172"/>
      <c r="V123" s="172"/>
      <c r="W123" s="172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4"/>
    </row>
    <row r="124" spans="13:33">
      <c r="M124" s="157"/>
      <c r="N124" s="174"/>
      <c r="P124" s="157"/>
      <c r="Q124" s="172"/>
      <c r="R124" s="172"/>
      <c r="S124" s="172"/>
      <c r="T124" s="172"/>
      <c r="U124" s="172"/>
      <c r="V124" s="172"/>
      <c r="W124" s="172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4"/>
    </row>
    <row r="125" spans="13:33">
      <c r="M125" s="157"/>
      <c r="N125" s="174"/>
      <c r="P125" s="157"/>
      <c r="Q125" s="172"/>
      <c r="R125" s="172"/>
      <c r="S125" s="172"/>
      <c r="T125" s="172"/>
      <c r="U125" s="172"/>
      <c r="V125" s="172"/>
      <c r="W125" s="172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4"/>
    </row>
    <row r="126" spans="13:33">
      <c r="M126" s="157"/>
      <c r="N126" s="174"/>
      <c r="P126" s="157"/>
      <c r="Q126" s="172"/>
      <c r="R126" s="172"/>
      <c r="S126" s="172"/>
      <c r="T126" s="172"/>
      <c r="U126" s="172"/>
      <c r="V126" s="172"/>
      <c r="W126" s="172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4"/>
    </row>
    <row r="127" spans="13:33">
      <c r="M127" s="157"/>
      <c r="N127" s="174"/>
      <c r="P127" s="157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4"/>
    </row>
    <row r="128" spans="13:33">
      <c r="M128" s="157"/>
      <c r="N128" s="174"/>
      <c r="P128" s="157"/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4"/>
    </row>
    <row r="129" spans="13:33">
      <c r="M129" s="157"/>
      <c r="N129" s="174"/>
      <c r="P129" s="157"/>
      <c r="Q129" s="172"/>
      <c r="R129" s="172"/>
      <c r="S129" s="172"/>
      <c r="T129" s="172"/>
      <c r="U129" s="172"/>
      <c r="V129" s="172"/>
      <c r="W129" s="172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4"/>
    </row>
    <row r="130" spans="13:33">
      <c r="M130" s="157"/>
      <c r="N130" s="174"/>
      <c r="P130" s="157"/>
      <c r="Q130" s="172"/>
      <c r="R130" s="172"/>
      <c r="S130" s="172"/>
      <c r="T130" s="172"/>
      <c r="U130" s="172"/>
      <c r="V130" s="172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4"/>
    </row>
    <row r="131" spans="13:33">
      <c r="M131" s="157"/>
      <c r="N131" s="174"/>
      <c r="P131" s="157"/>
      <c r="Q131" s="172"/>
      <c r="R131" s="172"/>
      <c r="S131" s="17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4"/>
    </row>
    <row r="132" spans="13:33">
      <c r="M132" s="157"/>
      <c r="N132" s="174"/>
      <c r="P132" s="157"/>
      <c r="Q132" s="172"/>
      <c r="R132" s="172"/>
      <c r="S132" s="172"/>
      <c r="T132" s="172"/>
      <c r="U132" s="172"/>
      <c r="V132" s="172"/>
      <c r="W132" s="172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4"/>
    </row>
    <row r="133" spans="13:33">
      <c r="M133" s="157"/>
      <c r="N133" s="174"/>
      <c r="P133" s="157"/>
      <c r="Q133" s="172"/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4"/>
    </row>
    <row r="134" spans="13:33">
      <c r="M134" s="157"/>
      <c r="N134" s="174"/>
      <c r="P134" s="157"/>
      <c r="Q134" s="172"/>
      <c r="R134" s="172"/>
      <c r="S134" s="172"/>
      <c r="T134" s="172"/>
      <c r="U134" s="172"/>
      <c r="V134" s="172"/>
      <c r="W134" s="172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4"/>
    </row>
    <row r="135" spans="13:33">
      <c r="M135" s="157"/>
      <c r="N135" s="174"/>
      <c r="P135" s="157"/>
      <c r="Q135" s="172"/>
      <c r="R135" s="172"/>
      <c r="S135" s="172"/>
      <c r="T135" s="172"/>
      <c r="U135" s="172"/>
      <c r="V135" s="172"/>
      <c r="W135" s="172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4"/>
    </row>
    <row r="136" spans="13:33">
      <c r="M136" s="157"/>
      <c r="N136" s="174"/>
      <c r="P136" s="157"/>
      <c r="Q136" s="172"/>
      <c r="R136" s="172"/>
      <c r="S136" s="172"/>
      <c r="T136" s="172"/>
      <c r="U136" s="172"/>
      <c r="V136" s="172"/>
      <c r="W136" s="172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4"/>
    </row>
    <row r="137" spans="13:33">
      <c r="M137" s="157"/>
      <c r="N137" s="174"/>
      <c r="P137" s="157"/>
      <c r="Q137" s="172"/>
      <c r="R137" s="172"/>
      <c r="S137" s="172"/>
      <c r="T137" s="172"/>
      <c r="U137" s="172"/>
      <c r="V137" s="172"/>
      <c r="W137" s="172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4"/>
    </row>
    <row r="138" spans="13:33">
      <c r="M138" s="157"/>
      <c r="N138" s="174"/>
      <c r="P138" s="157"/>
      <c r="Q138" s="172"/>
      <c r="R138" s="172"/>
      <c r="S138" s="172"/>
      <c r="T138" s="172"/>
      <c r="U138" s="172"/>
      <c r="V138" s="172"/>
      <c r="W138" s="172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4"/>
    </row>
    <row r="139" spans="13:33">
      <c r="M139" s="157"/>
      <c r="N139" s="174"/>
      <c r="P139" s="157"/>
      <c r="Q139" s="172"/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4"/>
    </row>
    <row r="140" spans="13:33">
      <c r="M140" s="157"/>
      <c r="N140" s="174"/>
      <c r="P140" s="157"/>
      <c r="Q140" s="172"/>
      <c r="R140" s="172"/>
      <c r="S140" s="172"/>
      <c r="T140" s="172"/>
      <c r="U140" s="172"/>
      <c r="V140" s="172"/>
      <c r="W140" s="172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4"/>
    </row>
    <row r="141" spans="13:33">
      <c r="M141" s="157"/>
      <c r="N141" s="174"/>
      <c r="P141" s="157"/>
      <c r="Q141" s="172"/>
      <c r="R141" s="172"/>
      <c r="S141" s="172"/>
      <c r="T141" s="172"/>
      <c r="U141" s="172"/>
      <c r="V141" s="172"/>
      <c r="W141" s="172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4"/>
    </row>
    <row r="142" spans="13:33">
      <c r="M142" s="157"/>
      <c r="N142" s="174"/>
      <c r="P142" s="157"/>
      <c r="Q142" s="172"/>
      <c r="R142" s="172"/>
      <c r="S142" s="172"/>
      <c r="T142" s="172"/>
      <c r="U142" s="172"/>
      <c r="V142" s="172"/>
      <c r="W142" s="172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4"/>
    </row>
    <row r="143" spans="13:33">
      <c r="M143" s="157"/>
      <c r="N143" s="174"/>
      <c r="P143" s="157"/>
      <c r="Q143" s="172"/>
      <c r="R143" s="172"/>
      <c r="S143" s="172"/>
      <c r="T143" s="172"/>
      <c r="U143" s="172"/>
      <c r="V143" s="172"/>
      <c r="W143" s="172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4"/>
    </row>
    <row r="144" spans="13:33">
      <c r="M144" s="157"/>
      <c r="N144" s="174"/>
      <c r="P144" s="157"/>
      <c r="Q144" s="172"/>
      <c r="R144" s="172"/>
      <c r="S144" s="172"/>
      <c r="T144" s="172"/>
      <c r="U144" s="172"/>
      <c r="V144" s="172"/>
      <c r="W144" s="172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4"/>
    </row>
    <row r="145" spans="13:33">
      <c r="M145" s="157"/>
      <c r="N145" s="174"/>
      <c r="P145" s="157"/>
      <c r="Q145" s="172"/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4"/>
    </row>
    <row r="146" spans="13:33">
      <c r="M146" s="157"/>
      <c r="N146" s="174"/>
      <c r="P146" s="157"/>
      <c r="Q146" s="172"/>
      <c r="R146" s="172"/>
      <c r="S146" s="172"/>
      <c r="T146" s="172"/>
      <c r="U146" s="172"/>
      <c r="V146" s="172"/>
      <c r="W146" s="172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4"/>
    </row>
    <row r="147" spans="13:33">
      <c r="M147" s="157"/>
      <c r="N147" s="174"/>
      <c r="P147" s="157"/>
      <c r="Q147" s="172"/>
      <c r="R147" s="172"/>
      <c r="S147" s="172"/>
      <c r="T147" s="172"/>
      <c r="U147" s="172"/>
      <c r="V147" s="172"/>
      <c r="W147" s="172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4"/>
    </row>
    <row r="148" spans="13:33">
      <c r="M148" s="157"/>
      <c r="N148" s="174"/>
      <c r="P148" s="157"/>
      <c r="Q148" s="172"/>
      <c r="R148" s="172"/>
      <c r="S148" s="172"/>
      <c r="T148" s="172"/>
      <c r="U148" s="172"/>
      <c r="V148" s="172"/>
      <c r="W148" s="172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4"/>
    </row>
    <row r="149" spans="13:33">
      <c r="M149" s="157"/>
      <c r="N149" s="174"/>
      <c r="P149" s="157"/>
      <c r="Q149" s="172"/>
      <c r="R149" s="172"/>
      <c r="S149" s="172"/>
      <c r="T149" s="172"/>
      <c r="U149" s="172"/>
      <c r="V149" s="172"/>
      <c r="W149" s="172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4"/>
    </row>
    <row r="150" spans="13:33">
      <c r="M150" s="157"/>
      <c r="N150" s="174"/>
      <c r="P150" s="157"/>
      <c r="Q150" s="172"/>
      <c r="R150" s="172"/>
      <c r="S150" s="172"/>
      <c r="T150" s="172"/>
      <c r="U150" s="172"/>
      <c r="V150" s="172"/>
      <c r="W150" s="172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4"/>
    </row>
    <row r="151" spans="13:33">
      <c r="M151" s="157"/>
      <c r="N151" s="174"/>
      <c r="P151" s="157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4"/>
    </row>
    <row r="152" spans="13:33">
      <c r="M152" s="157"/>
      <c r="N152" s="174"/>
      <c r="P152" s="157"/>
      <c r="Q152" s="172"/>
      <c r="R152" s="172"/>
      <c r="S152" s="172"/>
      <c r="T152" s="172"/>
      <c r="U152" s="172"/>
      <c r="V152" s="172"/>
      <c r="W152" s="172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4"/>
    </row>
    <row r="153" spans="13:33">
      <c r="M153" s="157"/>
      <c r="N153" s="174"/>
      <c r="P153" s="157"/>
      <c r="Q153" s="172"/>
      <c r="R153" s="172"/>
      <c r="S153" s="172"/>
      <c r="T153" s="172"/>
      <c r="U153" s="172"/>
      <c r="V153" s="172"/>
      <c r="W153" s="172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4"/>
    </row>
    <row r="154" spans="13:33">
      <c r="M154" s="157"/>
      <c r="N154" s="174"/>
      <c r="P154" s="157"/>
      <c r="Q154" s="172"/>
      <c r="R154" s="172"/>
      <c r="S154" s="172"/>
      <c r="T154" s="172"/>
      <c r="U154" s="172"/>
      <c r="V154" s="172"/>
      <c r="W154" s="172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4"/>
    </row>
    <row r="155" spans="13:33">
      <c r="M155" s="157"/>
      <c r="N155" s="174"/>
      <c r="P155" s="157"/>
      <c r="Q155" s="172"/>
      <c r="R155" s="172"/>
      <c r="S155" s="172"/>
      <c r="T155" s="172"/>
      <c r="U155" s="172"/>
      <c r="V155" s="172"/>
      <c r="W155" s="172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4"/>
    </row>
    <row r="156" spans="13:33">
      <c r="M156" s="157"/>
      <c r="N156" s="174"/>
      <c r="P156" s="157"/>
      <c r="Q156" s="172"/>
      <c r="R156" s="172"/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4"/>
    </row>
    <row r="157" spans="13:33">
      <c r="M157" s="157"/>
      <c r="N157" s="174"/>
      <c r="P157" s="157"/>
      <c r="Q157" s="172"/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4"/>
    </row>
    <row r="158" spans="13:33">
      <c r="M158" s="157"/>
      <c r="N158" s="174"/>
      <c r="P158" s="157"/>
      <c r="Q158" s="172"/>
      <c r="R158" s="172"/>
      <c r="S158" s="172"/>
      <c r="T158" s="172"/>
      <c r="U158" s="172"/>
      <c r="V158" s="172"/>
      <c r="W158" s="172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4"/>
    </row>
    <row r="159" spans="13:33">
      <c r="M159" s="157"/>
      <c r="N159" s="174"/>
      <c r="P159" s="157"/>
      <c r="Q159" s="172"/>
      <c r="R159" s="172"/>
      <c r="S159" s="172"/>
      <c r="T159" s="172"/>
      <c r="U159" s="172"/>
      <c r="V159" s="172"/>
      <c r="W159" s="172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4"/>
    </row>
    <row r="160" spans="13:33">
      <c r="M160" s="157"/>
      <c r="N160" s="174"/>
      <c r="P160" s="157"/>
      <c r="Q160" s="172"/>
      <c r="R160" s="172"/>
      <c r="S160" s="17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4"/>
    </row>
    <row r="161" spans="13:33">
      <c r="M161" s="157"/>
      <c r="N161" s="174"/>
      <c r="P161" s="157"/>
      <c r="Q161" s="172"/>
      <c r="R161" s="172"/>
      <c r="S161" s="172"/>
      <c r="T161" s="172"/>
      <c r="U161" s="172"/>
      <c r="V161" s="172"/>
      <c r="W161" s="172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4"/>
    </row>
    <row r="162" spans="13:33">
      <c r="M162" s="157"/>
      <c r="N162" s="174"/>
      <c r="P162" s="157"/>
      <c r="Q162" s="172"/>
      <c r="R162" s="172"/>
      <c r="S162" s="172"/>
      <c r="T162" s="172"/>
      <c r="U162" s="172"/>
      <c r="V162" s="172"/>
      <c r="W162" s="172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4"/>
    </row>
    <row r="163" spans="13:33">
      <c r="M163" s="157"/>
      <c r="N163" s="174"/>
      <c r="P163" s="157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4"/>
    </row>
    <row r="164" spans="13:33">
      <c r="M164" s="157"/>
      <c r="N164" s="174"/>
      <c r="P164" s="157"/>
      <c r="Q164" s="172"/>
      <c r="R164" s="172"/>
      <c r="S164" s="172"/>
      <c r="T164" s="172"/>
      <c r="U164" s="172"/>
      <c r="V164" s="172"/>
      <c r="W164" s="172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4"/>
    </row>
    <row r="165" spans="13:33">
      <c r="M165" s="157"/>
      <c r="N165" s="174"/>
      <c r="P165" s="157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4"/>
    </row>
    <row r="166" spans="13:33">
      <c r="M166" s="157"/>
      <c r="N166" s="174"/>
      <c r="P166" s="157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4"/>
    </row>
    <row r="167" spans="13:33">
      <c r="M167" s="157"/>
      <c r="N167" s="174"/>
      <c r="P167" s="157"/>
      <c r="Q167" s="172"/>
      <c r="R167" s="172"/>
      <c r="S167" s="172"/>
      <c r="T167" s="172"/>
      <c r="U167" s="172"/>
      <c r="V167" s="172"/>
      <c r="W167" s="172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4"/>
    </row>
    <row r="168" spans="13:33">
      <c r="M168" s="157"/>
      <c r="N168" s="174"/>
      <c r="P168" s="157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4"/>
    </row>
    <row r="169" spans="13:33">
      <c r="M169" s="157"/>
      <c r="N169" s="174"/>
      <c r="P169" s="157"/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4"/>
    </row>
    <row r="170" spans="13:33">
      <c r="M170" s="157"/>
      <c r="N170" s="174"/>
      <c r="P170" s="157"/>
      <c r="Q170" s="172"/>
      <c r="R170" s="172"/>
      <c r="S170" s="172"/>
      <c r="T170" s="172"/>
      <c r="U170" s="172"/>
      <c r="V170" s="172"/>
      <c r="W170" s="172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4"/>
    </row>
    <row r="171" spans="13:33">
      <c r="M171" s="157"/>
      <c r="N171" s="174"/>
      <c r="P171" s="157"/>
      <c r="Q171" s="172"/>
      <c r="R171" s="172"/>
      <c r="S171" s="172"/>
      <c r="T171" s="172"/>
      <c r="U171" s="172"/>
      <c r="V171" s="172"/>
      <c r="W171" s="172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4"/>
    </row>
    <row r="172" spans="13:33">
      <c r="M172" s="157"/>
      <c r="N172" s="174"/>
      <c r="P172" s="157"/>
      <c r="Q172" s="172"/>
      <c r="R172" s="172"/>
      <c r="S172" s="172"/>
      <c r="T172" s="172"/>
      <c r="U172" s="172"/>
      <c r="V172" s="172"/>
      <c r="W172" s="172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4"/>
    </row>
    <row r="173" spans="13:33">
      <c r="M173" s="157"/>
      <c r="N173" s="174"/>
      <c r="P173" s="157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4"/>
    </row>
    <row r="174" spans="13:33">
      <c r="M174" s="157"/>
      <c r="N174" s="174"/>
      <c r="P174" s="157"/>
      <c r="Q174" s="172"/>
      <c r="R174" s="172"/>
      <c r="S174" s="172"/>
      <c r="T174" s="172"/>
      <c r="U174" s="172"/>
      <c r="V174" s="172"/>
      <c r="W174" s="172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4"/>
    </row>
    <row r="175" spans="13:33">
      <c r="M175" s="157"/>
      <c r="N175" s="174"/>
      <c r="P175" s="157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4"/>
    </row>
    <row r="176" spans="13:33">
      <c r="M176" s="157"/>
      <c r="N176" s="174"/>
      <c r="P176" s="157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4"/>
    </row>
    <row r="177" spans="13:33">
      <c r="M177" s="157"/>
      <c r="N177" s="174"/>
      <c r="P177" s="157"/>
      <c r="Q177" s="172"/>
      <c r="R177" s="172"/>
      <c r="S177" s="172"/>
      <c r="T177" s="172"/>
      <c r="U177" s="172"/>
      <c r="V177" s="172"/>
      <c r="W177" s="172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4"/>
    </row>
    <row r="178" spans="13:33">
      <c r="M178" s="157"/>
      <c r="N178" s="174"/>
      <c r="P178" s="157"/>
      <c r="Q178" s="172"/>
      <c r="R178" s="172"/>
      <c r="S178" s="172"/>
      <c r="T178" s="172"/>
      <c r="U178" s="172"/>
      <c r="V178" s="172"/>
      <c r="W178" s="172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4"/>
    </row>
    <row r="179" spans="13:33">
      <c r="M179" s="157"/>
      <c r="N179" s="174"/>
      <c r="P179" s="157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4"/>
    </row>
    <row r="180" spans="13:33">
      <c r="M180" s="157"/>
      <c r="N180" s="174"/>
      <c r="P180" s="157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4"/>
    </row>
    <row r="181" spans="13:33">
      <c r="M181" s="157"/>
      <c r="N181" s="174"/>
      <c r="P181" s="157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4"/>
    </row>
    <row r="182" spans="13:33">
      <c r="M182" s="157"/>
      <c r="N182" s="174"/>
      <c r="P182" s="157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4"/>
    </row>
    <row r="183" spans="13:33">
      <c r="M183" s="157"/>
      <c r="N183" s="174"/>
      <c r="P183" s="157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4"/>
    </row>
    <row r="184" spans="13:33">
      <c r="M184" s="157"/>
      <c r="N184" s="174"/>
      <c r="P184" s="157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4"/>
    </row>
    <row r="185" spans="13:33">
      <c r="M185" s="157"/>
      <c r="N185" s="174"/>
      <c r="P185" s="157"/>
      <c r="Q185" s="172"/>
      <c r="R185" s="172"/>
      <c r="S185" s="172"/>
      <c r="T185" s="172"/>
      <c r="U185" s="172"/>
      <c r="V185" s="172"/>
      <c r="W185" s="172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4"/>
    </row>
    <row r="186" spans="13:33">
      <c r="M186" s="157"/>
      <c r="N186" s="174"/>
      <c r="P186" s="157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4"/>
    </row>
    <row r="187" spans="13:33">
      <c r="M187" s="157"/>
      <c r="N187" s="174"/>
      <c r="P187" s="157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4"/>
    </row>
    <row r="188" spans="13:33">
      <c r="M188" s="157"/>
      <c r="N188" s="174"/>
      <c r="P188" s="157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4"/>
    </row>
    <row r="189" spans="13:33">
      <c r="M189" s="157"/>
      <c r="N189" s="174"/>
      <c r="P189" s="157"/>
      <c r="Q189" s="172"/>
      <c r="R189" s="172"/>
      <c r="S189" s="172"/>
      <c r="T189" s="172"/>
      <c r="U189" s="172"/>
      <c r="V189" s="172"/>
      <c r="W189" s="172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4"/>
    </row>
    <row r="190" spans="13:33">
      <c r="M190" s="157"/>
      <c r="N190" s="174"/>
      <c r="P190" s="157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4"/>
    </row>
    <row r="191" spans="13:33">
      <c r="M191" s="157"/>
      <c r="N191" s="174"/>
      <c r="P191" s="157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4"/>
    </row>
    <row r="192" spans="13:33">
      <c r="M192" s="157"/>
      <c r="N192" s="174"/>
      <c r="P192" s="157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4"/>
    </row>
    <row r="193" spans="13:33">
      <c r="M193" s="157"/>
      <c r="N193" s="174"/>
      <c r="P193" s="157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4"/>
    </row>
    <row r="194" spans="13:33">
      <c r="M194" s="157"/>
      <c r="N194" s="174"/>
      <c r="P194" s="157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4"/>
    </row>
    <row r="195" spans="13:33">
      <c r="M195" s="157"/>
      <c r="N195" s="174"/>
      <c r="P195" s="157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4"/>
    </row>
    <row r="196" spans="13:33">
      <c r="M196" s="157"/>
      <c r="N196" s="174"/>
      <c r="P196" s="157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4"/>
    </row>
    <row r="197" spans="13:33">
      <c r="M197" s="157"/>
      <c r="N197" s="174"/>
      <c r="P197" s="157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174"/>
    </row>
    <row r="198" spans="13:33">
      <c r="M198" s="157"/>
      <c r="N198" s="174"/>
      <c r="P198" s="157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174"/>
    </row>
  </sheetData>
  <mergeCells count="16">
    <mergeCell ref="A1:AG1"/>
    <mergeCell ref="C24:J24"/>
    <mergeCell ref="C25:J25"/>
    <mergeCell ref="P2:AG2"/>
    <mergeCell ref="A2:K2"/>
    <mergeCell ref="M2:N2"/>
    <mergeCell ref="A26:K26"/>
    <mergeCell ref="B27:K27"/>
    <mergeCell ref="A28:A29"/>
    <mergeCell ref="A30:A31"/>
    <mergeCell ref="A32:A33"/>
    <mergeCell ref="A34:A35"/>
    <mergeCell ref="B28:K29"/>
    <mergeCell ref="B30:K31"/>
    <mergeCell ref="B32:K33"/>
    <mergeCell ref="B34:K35"/>
  </mergeCells>
  <conditionalFormatting sqref="A4:A23 K4:K23">
    <cfRule type="expression" dxfId="3" priority="1">
      <formula>(($E4-$D4)=0)</formula>
    </cfRule>
    <cfRule type="expression" dxfId="2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2014-06-24T07:06:13Z</dcterms:modified>
</cp:coreProperties>
</file>