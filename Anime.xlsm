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1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definedNames>
    <definedName name="Finished_Anime">'Main Page'!$N$2:$AE$195</definedName>
  </definedNames>
  <calcPr calcId="152511"/>
</workbook>
</file>

<file path=xl/calcChain.xml><?xml version="1.0" encoding="utf-8"?>
<calcChain xmlns="http://schemas.openxmlformats.org/spreadsheetml/2006/main">
  <c r="G60" i="17" l="1"/>
  <c r="G99" i="17" l="1"/>
  <c r="G7" i="17"/>
  <c r="G153" i="17" l="1"/>
  <c r="G55" i="17" l="1"/>
  <c r="G34" i="17"/>
  <c r="G5" i="17"/>
  <c r="G14" i="17" l="1"/>
  <c r="G45" i="17" l="1"/>
  <c r="N5" i="19"/>
  <c r="O5" i="19"/>
  <c r="V5" i="19"/>
  <c r="W5" i="19"/>
  <c r="X5" i="19"/>
  <c r="Y5" i="19"/>
  <c r="AB5" i="19"/>
  <c r="AC5" i="19"/>
  <c r="AD5" i="19"/>
  <c r="N6" i="19"/>
  <c r="O6" i="19"/>
  <c r="V6" i="19"/>
  <c r="W6" i="19"/>
  <c r="X6" i="19"/>
  <c r="Y6" i="19"/>
  <c r="AB6" i="19"/>
  <c r="AC6" i="19"/>
  <c r="AD6" i="19"/>
  <c r="N7" i="19"/>
  <c r="O7" i="19"/>
  <c r="V7" i="19"/>
  <c r="W7" i="19"/>
  <c r="X7" i="19"/>
  <c r="Y7" i="19"/>
  <c r="AB7" i="19"/>
  <c r="AC7" i="19"/>
  <c r="AD7" i="19"/>
  <c r="N8" i="19"/>
  <c r="O8" i="19"/>
  <c r="V8" i="19"/>
  <c r="W8" i="19"/>
  <c r="X8" i="19"/>
  <c r="Y8" i="19"/>
  <c r="AB8" i="19"/>
  <c r="AC8" i="19"/>
  <c r="AD8" i="19"/>
  <c r="N9" i="19"/>
  <c r="O9" i="19"/>
  <c r="V9" i="19"/>
  <c r="W9" i="19"/>
  <c r="X9" i="19"/>
  <c r="Y9" i="19"/>
  <c r="AB9" i="19"/>
  <c r="AC9" i="19"/>
  <c r="AD9" i="19"/>
  <c r="N10" i="19"/>
  <c r="O10" i="19"/>
  <c r="V10" i="19"/>
  <c r="W10" i="19"/>
  <c r="X10" i="19"/>
  <c r="Y10" i="19"/>
  <c r="AB10" i="19"/>
  <c r="AC10" i="19"/>
  <c r="AD10" i="19"/>
  <c r="N11" i="19"/>
  <c r="O11" i="19"/>
  <c r="V11" i="19"/>
  <c r="W11" i="19"/>
  <c r="X11" i="19"/>
  <c r="Y11" i="19"/>
  <c r="AB11" i="19"/>
  <c r="AC11" i="19"/>
  <c r="AD11" i="19"/>
  <c r="N12" i="19"/>
  <c r="O12" i="19"/>
  <c r="V12" i="19"/>
  <c r="W12" i="19"/>
  <c r="X12" i="19"/>
  <c r="Y12" i="19"/>
  <c r="AB12" i="19"/>
  <c r="AC12" i="19"/>
  <c r="AD12" i="19"/>
  <c r="N13" i="19"/>
  <c r="O13" i="19"/>
  <c r="V13" i="19"/>
  <c r="W13" i="19"/>
  <c r="X13" i="19"/>
  <c r="Y13" i="19"/>
  <c r="AB13" i="19"/>
  <c r="AC13" i="19"/>
  <c r="AD13" i="19"/>
  <c r="N14" i="19"/>
  <c r="O14" i="19"/>
  <c r="V14" i="19"/>
  <c r="W14" i="19"/>
  <c r="X14" i="19"/>
  <c r="Y14" i="19"/>
  <c r="AB14" i="19"/>
  <c r="AC14" i="19"/>
  <c r="AD14" i="19"/>
  <c r="N15" i="19"/>
  <c r="O15" i="19"/>
  <c r="V15" i="19"/>
  <c r="W15" i="19"/>
  <c r="X15" i="19"/>
  <c r="Y15" i="19"/>
  <c r="AB15" i="19"/>
  <c r="AC15" i="19"/>
  <c r="AD15" i="19"/>
  <c r="N16" i="19"/>
  <c r="O16" i="19"/>
  <c r="V16" i="19"/>
  <c r="W16" i="19"/>
  <c r="X16" i="19"/>
  <c r="Y16" i="19"/>
  <c r="AB16" i="19"/>
  <c r="AC16" i="19"/>
  <c r="AD16" i="19"/>
  <c r="N17" i="19"/>
  <c r="O17" i="19"/>
  <c r="V17" i="19"/>
  <c r="W17" i="19"/>
  <c r="X17" i="19"/>
  <c r="Y17" i="19"/>
  <c r="AB17" i="19"/>
  <c r="AC17" i="19"/>
  <c r="AD17" i="19"/>
  <c r="N18" i="19"/>
  <c r="O18" i="19"/>
  <c r="V18" i="19"/>
  <c r="W18" i="19"/>
  <c r="X18" i="19"/>
  <c r="Y18" i="19"/>
  <c r="AB18" i="19"/>
  <c r="AC18" i="19"/>
  <c r="AD18" i="19"/>
  <c r="N19" i="19"/>
  <c r="O19" i="19"/>
  <c r="V19" i="19"/>
  <c r="W19" i="19"/>
  <c r="X19" i="19"/>
  <c r="Y19" i="19"/>
  <c r="AB19" i="19"/>
  <c r="AC19" i="19"/>
  <c r="AD19" i="19"/>
  <c r="N20" i="19"/>
  <c r="O20" i="19"/>
  <c r="V20" i="19"/>
  <c r="W20" i="19"/>
  <c r="X20" i="19"/>
  <c r="Y20" i="19"/>
  <c r="AB20" i="19"/>
  <c r="AC20" i="19"/>
  <c r="AD20" i="19"/>
  <c r="N21" i="19"/>
  <c r="O21" i="19"/>
  <c r="V21" i="19"/>
  <c r="W21" i="19"/>
  <c r="X21" i="19"/>
  <c r="Y21" i="19"/>
  <c r="AB21" i="19"/>
  <c r="AC21" i="19"/>
  <c r="AD21" i="19"/>
  <c r="N22" i="19"/>
  <c r="O22" i="19"/>
  <c r="V22" i="19"/>
  <c r="W22" i="19"/>
  <c r="X22" i="19"/>
  <c r="Y22" i="19"/>
  <c r="AB22" i="19"/>
  <c r="AC22" i="19"/>
  <c r="AD22" i="19"/>
  <c r="N23" i="19"/>
  <c r="O23" i="19"/>
  <c r="V23" i="19"/>
  <c r="W23" i="19"/>
  <c r="X23" i="19"/>
  <c r="Y23" i="19"/>
  <c r="AB23" i="19"/>
  <c r="AC23" i="19"/>
  <c r="AD23" i="19"/>
  <c r="N24" i="19"/>
  <c r="O24" i="19"/>
  <c r="V24" i="19"/>
  <c r="W24" i="19"/>
  <c r="X24" i="19"/>
  <c r="Y24" i="19"/>
  <c r="AB24" i="19"/>
  <c r="AC24" i="19"/>
  <c r="AD24" i="19"/>
  <c r="N25" i="19"/>
  <c r="O25" i="19"/>
  <c r="V25" i="19"/>
  <c r="W25" i="19"/>
  <c r="X25" i="19"/>
  <c r="Y25" i="19"/>
  <c r="AB25" i="19"/>
  <c r="AC25" i="19"/>
  <c r="AD25" i="19"/>
  <c r="N26" i="19"/>
  <c r="O26" i="19"/>
  <c r="V26" i="19"/>
  <c r="W26" i="19"/>
  <c r="X26" i="19"/>
  <c r="Y26" i="19"/>
  <c r="AB26" i="19"/>
  <c r="AC26" i="19"/>
  <c r="AD26" i="19"/>
  <c r="N27" i="19"/>
  <c r="O27" i="19"/>
  <c r="V27" i="19"/>
  <c r="W27" i="19"/>
  <c r="X27" i="19"/>
  <c r="Y27" i="19"/>
  <c r="AB27" i="19"/>
  <c r="AC27" i="19"/>
  <c r="AD27" i="19"/>
  <c r="N28" i="19"/>
  <c r="O28" i="19"/>
  <c r="V28" i="19"/>
  <c r="W28" i="19"/>
  <c r="X28" i="19"/>
  <c r="Y28" i="19"/>
  <c r="AB28" i="19"/>
  <c r="AC28" i="19"/>
  <c r="AD28" i="19"/>
  <c r="N29" i="19"/>
  <c r="O29" i="19"/>
  <c r="V29" i="19"/>
  <c r="W29" i="19"/>
  <c r="X29" i="19"/>
  <c r="Y29" i="19"/>
  <c r="AB29" i="19"/>
  <c r="AC29" i="19"/>
  <c r="AD29" i="19"/>
  <c r="N30" i="19"/>
  <c r="O30" i="19"/>
  <c r="V30" i="19"/>
  <c r="W30" i="19"/>
  <c r="X30" i="19"/>
  <c r="Y30" i="19"/>
  <c r="AB30" i="19"/>
  <c r="AC30" i="19"/>
  <c r="AD30" i="19"/>
  <c r="N31" i="19"/>
  <c r="O31" i="19"/>
  <c r="V31" i="19"/>
  <c r="W31" i="19"/>
  <c r="X31" i="19"/>
  <c r="Y31" i="19"/>
  <c r="AB31" i="19"/>
  <c r="AC31" i="19"/>
  <c r="AD31" i="19"/>
  <c r="N32" i="19"/>
  <c r="O32" i="19"/>
  <c r="V32" i="19"/>
  <c r="W32" i="19"/>
  <c r="X32" i="19"/>
  <c r="Y32" i="19"/>
  <c r="AB32" i="19"/>
  <c r="AC32" i="19"/>
  <c r="AD32" i="19"/>
  <c r="N33" i="19"/>
  <c r="O33" i="19"/>
  <c r="V33" i="19"/>
  <c r="W33" i="19"/>
  <c r="X33" i="19"/>
  <c r="Y33" i="19"/>
  <c r="AB33" i="19"/>
  <c r="AC33" i="19"/>
  <c r="AD33" i="19"/>
  <c r="N34" i="19"/>
  <c r="O34" i="19"/>
  <c r="V34" i="19"/>
  <c r="W34" i="19"/>
  <c r="X34" i="19"/>
  <c r="Y34" i="19"/>
  <c r="AB34" i="19"/>
  <c r="AC34" i="19"/>
  <c r="AD34" i="19"/>
  <c r="N35" i="19"/>
  <c r="O35" i="19"/>
  <c r="V35" i="19"/>
  <c r="W35" i="19"/>
  <c r="X35" i="19"/>
  <c r="Y35" i="19"/>
  <c r="AB35" i="19"/>
  <c r="AC35" i="19"/>
  <c r="AD35" i="19"/>
  <c r="N36" i="19"/>
  <c r="O36" i="19"/>
  <c r="V36" i="19"/>
  <c r="W36" i="19"/>
  <c r="X36" i="19"/>
  <c r="Y36" i="19"/>
  <c r="AB36" i="19"/>
  <c r="AC36" i="19"/>
  <c r="AD36" i="19"/>
  <c r="N37" i="19"/>
  <c r="O37" i="19"/>
  <c r="V37" i="19"/>
  <c r="W37" i="19"/>
  <c r="X37" i="19"/>
  <c r="Y37" i="19"/>
  <c r="AB37" i="19"/>
  <c r="AC37" i="19"/>
  <c r="AD37" i="19"/>
  <c r="N38" i="19"/>
  <c r="O38" i="19"/>
  <c r="V38" i="19"/>
  <c r="W38" i="19"/>
  <c r="X38" i="19"/>
  <c r="Y38" i="19"/>
  <c r="AB38" i="19"/>
  <c r="AC38" i="19"/>
  <c r="AD38" i="19"/>
  <c r="N39" i="19"/>
  <c r="O39" i="19"/>
  <c r="V39" i="19"/>
  <c r="W39" i="19"/>
  <c r="X39" i="19"/>
  <c r="Y39" i="19"/>
  <c r="AB39" i="19"/>
  <c r="AC39" i="19"/>
  <c r="AD39" i="19"/>
  <c r="N40" i="19"/>
  <c r="O40" i="19"/>
  <c r="V40" i="19"/>
  <c r="W40" i="19"/>
  <c r="X40" i="19"/>
  <c r="Y40" i="19"/>
  <c r="AB40" i="19"/>
  <c r="AC40" i="19"/>
  <c r="AD40" i="19"/>
  <c r="N41" i="19"/>
  <c r="O41" i="19"/>
  <c r="V41" i="19"/>
  <c r="W41" i="19"/>
  <c r="X41" i="19"/>
  <c r="Y41" i="19"/>
  <c r="AB41" i="19"/>
  <c r="AC41" i="19"/>
  <c r="AD41" i="19"/>
  <c r="N42" i="19"/>
  <c r="O42" i="19"/>
  <c r="V42" i="19"/>
  <c r="W42" i="19"/>
  <c r="X42" i="19"/>
  <c r="Y42" i="19"/>
  <c r="AB42" i="19"/>
  <c r="AC42" i="19"/>
  <c r="AD42" i="19"/>
  <c r="N43" i="19"/>
  <c r="O43" i="19"/>
  <c r="V43" i="19"/>
  <c r="W43" i="19"/>
  <c r="X43" i="19"/>
  <c r="Y43" i="19"/>
  <c r="AB43" i="19"/>
  <c r="AC43" i="19"/>
  <c r="AD43" i="19"/>
  <c r="N44" i="19"/>
  <c r="O44" i="19"/>
  <c r="V44" i="19"/>
  <c r="W44" i="19"/>
  <c r="X44" i="19"/>
  <c r="Y44" i="19"/>
  <c r="AB44" i="19"/>
  <c r="AC44" i="19"/>
  <c r="AD44" i="19"/>
  <c r="N45" i="19"/>
  <c r="O45" i="19"/>
  <c r="V45" i="19"/>
  <c r="W45" i="19"/>
  <c r="X45" i="19"/>
  <c r="Y45" i="19"/>
  <c r="AB45" i="19"/>
  <c r="AC45" i="19"/>
  <c r="AD45" i="19"/>
  <c r="N46" i="19"/>
  <c r="O46" i="19"/>
  <c r="V46" i="19"/>
  <c r="W46" i="19"/>
  <c r="X46" i="19"/>
  <c r="Y46" i="19"/>
  <c r="AB46" i="19"/>
  <c r="AC46" i="19"/>
  <c r="AD46" i="19"/>
  <c r="N47" i="19"/>
  <c r="O47" i="19"/>
  <c r="V47" i="19"/>
  <c r="W47" i="19"/>
  <c r="X47" i="19"/>
  <c r="Y47" i="19"/>
  <c r="AB47" i="19"/>
  <c r="AC47" i="19"/>
  <c r="AD47" i="19"/>
  <c r="N48" i="19"/>
  <c r="O48" i="19"/>
  <c r="V48" i="19"/>
  <c r="W48" i="19"/>
  <c r="X48" i="19"/>
  <c r="Y48" i="19"/>
  <c r="AB48" i="19"/>
  <c r="AC48" i="19"/>
  <c r="AD48" i="19"/>
  <c r="N49" i="19"/>
  <c r="O49" i="19"/>
  <c r="V49" i="19"/>
  <c r="W49" i="19"/>
  <c r="X49" i="19"/>
  <c r="Y49" i="19"/>
  <c r="AB49" i="19"/>
  <c r="AC49" i="19"/>
  <c r="AD49" i="19"/>
  <c r="N50" i="19"/>
  <c r="O50" i="19"/>
  <c r="V50" i="19"/>
  <c r="W50" i="19"/>
  <c r="X50" i="19"/>
  <c r="Y50" i="19"/>
  <c r="AB50" i="19"/>
  <c r="AC50" i="19"/>
  <c r="AD50" i="19"/>
  <c r="N51" i="19"/>
  <c r="O51" i="19"/>
  <c r="V51" i="19"/>
  <c r="W51" i="19"/>
  <c r="X51" i="19"/>
  <c r="Y51" i="19"/>
  <c r="AB51" i="19"/>
  <c r="AC51" i="19"/>
  <c r="AD51" i="19"/>
  <c r="N52" i="19"/>
  <c r="O52" i="19"/>
  <c r="V52" i="19"/>
  <c r="W52" i="19"/>
  <c r="X52" i="19"/>
  <c r="Y52" i="19"/>
  <c r="AB52" i="19"/>
  <c r="AC52" i="19"/>
  <c r="AD52" i="19"/>
  <c r="N53" i="19"/>
  <c r="O53" i="19"/>
  <c r="V53" i="19"/>
  <c r="W53" i="19"/>
  <c r="X53" i="19"/>
  <c r="Y53" i="19"/>
  <c r="AB53" i="19"/>
  <c r="AC53" i="19"/>
  <c r="AD53" i="19"/>
  <c r="N54" i="19"/>
  <c r="O54" i="19"/>
  <c r="V54" i="19"/>
  <c r="W54" i="19"/>
  <c r="X54" i="19"/>
  <c r="Y54" i="19"/>
  <c r="AB54" i="19"/>
  <c r="AC54" i="19"/>
  <c r="AD54" i="19"/>
  <c r="N55" i="19"/>
  <c r="O55" i="19"/>
  <c r="V55" i="19"/>
  <c r="W55" i="19"/>
  <c r="X55" i="19"/>
  <c r="Y55" i="19"/>
  <c r="AB55" i="19"/>
  <c r="AC55" i="19"/>
  <c r="AD55" i="19"/>
  <c r="N56" i="19"/>
  <c r="O56" i="19"/>
  <c r="V56" i="19"/>
  <c r="W56" i="19"/>
  <c r="X56" i="19"/>
  <c r="Y56" i="19"/>
  <c r="AB56" i="19"/>
  <c r="AC56" i="19"/>
  <c r="AD56" i="19"/>
  <c r="N57" i="19"/>
  <c r="O57" i="19"/>
  <c r="V57" i="19"/>
  <c r="W57" i="19"/>
  <c r="X57" i="19"/>
  <c r="Y57" i="19"/>
  <c r="AB57" i="19"/>
  <c r="AC57" i="19"/>
  <c r="AD57" i="19"/>
  <c r="N58" i="19"/>
  <c r="O58" i="19"/>
  <c r="V58" i="19"/>
  <c r="W58" i="19"/>
  <c r="X58" i="19"/>
  <c r="Y58" i="19"/>
  <c r="AB58" i="19"/>
  <c r="AC58" i="19"/>
  <c r="AD58" i="19"/>
  <c r="N59" i="19"/>
  <c r="O59" i="19"/>
  <c r="V59" i="19"/>
  <c r="W59" i="19"/>
  <c r="X59" i="19"/>
  <c r="Y59" i="19"/>
  <c r="AB59" i="19"/>
  <c r="AC59" i="19"/>
  <c r="AD59" i="19"/>
  <c r="N60" i="19"/>
  <c r="O60" i="19"/>
  <c r="V60" i="19"/>
  <c r="W60" i="19"/>
  <c r="X60" i="19"/>
  <c r="Y60" i="19"/>
  <c r="AB60" i="19"/>
  <c r="AC60" i="19"/>
  <c r="AD60" i="19"/>
  <c r="N61" i="19"/>
  <c r="O61" i="19"/>
  <c r="V61" i="19"/>
  <c r="W61" i="19"/>
  <c r="X61" i="19"/>
  <c r="Y61" i="19"/>
  <c r="AB61" i="19"/>
  <c r="AC61" i="19"/>
  <c r="AD61" i="19"/>
  <c r="N62" i="19"/>
  <c r="O62" i="19"/>
  <c r="V62" i="19"/>
  <c r="W62" i="19"/>
  <c r="X62" i="19"/>
  <c r="Y62" i="19"/>
  <c r="AB62" i="19"/>
  <c r="AC62" i="19"/>
  <c r="AD62" i="19"/>
  <c r="N63" i="19"/>
  <c r="O63" i="19"/>
  <c r="V63" i="19"/>
  <c r="W63" i="19"/>
  <c r="X63" i="19"/>
  <c r="Y63" i="19"/>
  <c r="AB63" i="19"/>
  <c r="AC63" i="19"/>
  <c r="AD63" i="19"/>
  <c r="N64" i="19"/>
  <c r="O64" i="19"/>
  <c r="V64" i="19"/>
  <c r="W64" i="19"/>
  <c r="X64" i="19"/>
  <c r="Y64" i="19"/>
  <c r="AB64" i="19"/>
  <c r="AC64" i="19"/>
  <c r="AD64" i="19"/>
  <c r="N65" i="19"/>
  <c r="O65" i="19"/>
  <c r="V65" i="19"/>
  <c r="W65" i="19"/>
  <c r="X65" i="19"/>
  <c r="Y65" i="19"/>
  <c r="AB65" i="19"/>
  <c r="AC65" i="19"/>
  <c r="AD65" i="19"/>
  <c r="N66" i="19"/>
  <c r="O66" i="19"/>
  <c r="V66" i="19"/>
  <c r="W66" i="19"/>
  <c r="X66" i="19"/>
  <c r="Y66" i="19"/>
  <c r="AB66" i="19"/>
  <c r="AC66" i="19"/>
  <c r="AD66" i="19"/>
  <c r="N67" i="19"/>
  <c r="O67" i="19"/>
  <c r="V67" i="19"/>
  <c r="W67" i="19"/>
  <c r="X67" i="19"/>
  <c r="Y67" i="19"/>
  <c r="AB67" i="19"/>
  <c r="AC67" i="19"/>
  <c r="AD67" i="19"/>
  <c r="N68" i="19"/>
  <c r="O68" i="19"/>
  <c r="V68" i="19"/>
  <c r="W68" i="19"/>
  <c r="X68" i="19"/>
  <c r="Y68" i="19"/>
  <c r="AB68" i="19"/>
  <c r="AC68" i="19"/>
  <c r="AD68" i="19"/>
  <c r="N69" i="19"/>
  <c r="O69" i="19"/>
  <c r="V69" i="19"/>
  <c r="W69" i="19"/>
  <c r="X69" i="19"/>
  <c r="Y69" i="19"/>
  <c r="AB69" i="19"/>
  <c r="AC69" i="19"/>
  <c r="AD69" i="19"/>
  <c r="N70" i="19"/>
  <c r="O70" i="19"/>
  <c r="V70" i="19"/>
  <c r="W70" i="19"/>
  <c r="X70" i="19"/>
  <c r="Y70" i="19"/>
  <c r="AB70" i="19"/>
  <c r="AC70" i="19"/>
  <c r="AD70" i="19"/>
  <c r="N71" i="19"/>
  <c r="O71" i="19"/>
  <c r="V71" i="19"/>
  <c r="W71" i="19"/>
  <c r="X71" i="19"/>
  <c r="Y71" i="19"/>
  <c r="AB71" i="19"/>
  <c r="AC71" i="19"/>
  <c r="AD71" i="19"/>
  <c r="N72" i="19"/>
  <c r="O72" i="19"/>
  <c r="V72" i="19"/>
  <c r="W72" i="19"/>
  <c r="X72" i="19"/>
  <c r="Y72" i="19"/>
  <c r="AB72" i="19"/>
  <c r="AC72" i="19"/>
  <c r="AD72" i="19"/>
  <c r="N73" i="19"/>
  <c r="O73" i="19"/>
  <c r="V73" i="19"/>
  <c r="W73" i="19"/>
  <c r="X73" i="19"/>
  <c r="Y73" i="19"/>
  <c r="AB73" i="19"/>
  <c r="AC73" i="19"/>
  <c r="AD73" i="19"/>
  <c r="N74" i="19"/>
  <c r="O74" i="19"/>
  <c r="V74" i="19"/>
  <c r="W74" i="19"/>
  <c r="X74" i="19"/>
  <c r="Y74" i="19"/>
  <c r="AB74" i="19"/>
  <c r="AC74" i="19"/>
  <c r="AD74" i="19"/>
  <c r="N75" i="19"/>
  <c r="O75" i="19"/>
  <c r="V75" i="19"/>
  <c r="W75" i="19"/>
  <c r="X75" i="19"/>
  <c r="Y75" i="19"/>
  <c r="AB75" i="19"/>
  <c r="AC75" i="19"/>
  <c r="AD75" i="19"/>
  <c r="N76" i="19"/>
  <c r="O76" i="19"/>
  <c r="V76" i="19"/>
  <c r="W76" i="19"/>
  <c r="X76" i="19"/>
  <c r="Y76" i="19"/>
  <c r="AB76" i="19"/>
  <c r="AC76" i="19"/>
  <c r="AD76" i="19"/>
  <c r="N77" i="19"/>
  <c r="O77" i="19"/>
  <c r="V77" i="19"/>
  <c r="W77" i="19"/>
  <c r="X77" i="19"/>
  <c r="Y77" i="19"/>
  <c r="AB77" i="19"/>
  <c r="AC77" i="19"/>
  <c r="AD77" i="19"/>
  <c r="N78" i="19"/>
  <c r="O78" i="19"/>
  <c r="V78" i="19"/>
  <c r="W78" i="19"/>
  <c r="X78" i="19"/>
  <c r="Y78" i="19"/>
  <c r="AB78" i="19"/>
  <c r="AC78" i="19"/>
  <c r="AD78" i="19"/>
  <c r="N79" i="19"/>
  <c r="O79" i="19"/>
  <c r="V79" i="19"/>
  <c r="W79" i="19"/>
  <c r="X79" i="19"/>
  <c r="Y79" i="19"/>
  <c r="AB79" i="19"/>
  <c r="AC79" i="19"/>
  <c r="AD79" i="19"/>
  <c r="N80" i="19"/>
  <c r="O80" i="19"/>
  <c r="V80" i="19"/>
  <c r="W80" i="19"/>
  <c r="X80" i="19"/>
  <c r="Y80" i="19"/>
  <c r="AB80" i="19"/>
  <c r="AC80" i="19"/>
  <c r="AD80" i="19"/>
  <c r="N81" i="19"/>
  <c r="O81" i="19"/>
  <c r="V81" i="19"/>
  <c r="W81" i="19"/>
  <c r="X81" i="19"/>
  <c r="Y81" i="19"/>
  <c r="AB81" i="19"/>
  <c r="AC81" i="19"/>
  <c r="AD81" i="19"/>
  <c r="N82" i="19"/>
  <c r="O82" i="19"/>
  <c r="V82" i="19"/>
  <c r="W82" i="19"/>
  <c r="X82" i="19"/>
  <c r="Y82" i="19"/>
  <c r="AB82" i="19"/>
  <c r="AC82" i="19"/>
  <c r="AD82" i="19"/>
  <c r="N83" i="19"/>
  <c r="O83" i="19"/>
  <c r="V83" i="19"/>
  <c r="W83" i="19"/>
  <c r="X83" i="19"/>
  <c r="Y83" i="19"/>
  <c r="AB83" i="19"/>
  <c r="AC83" i="19"/>
  <c r="AD83" i="19"/>
  <c r="N84" i="19"/>
  <c r="O84" i="19"/>
  <c r="V84" i="19"/>
  <c r="W84" i="19"/>
  <c r="X84" i="19"/>
  <c r="Y84" i="19"/>
  <c r="AB84" i="19"/>
  <c r="AC84" i="19"/>
  <c r="AD84" i="19"/>
  <c r="N85" i="19"/>
  <c r="O85" i="19"/>
  <c r="V85" i="19"/>
  <c r="W85" i="19"/>
  <c r="X85" i="19"/>
  <c r="Y85" i="19"/>
  <c r="AB85" i="19"/>
  <c r="AC85" i="19"/>
  <c r="AD85" i="19"/>
  <c r="N86" i="19"/>
  <c r="O86" i="19"/>
  <c r="V86" i="19"/>
  <c r="W86" i="19"/>
  <c r="X86" i="19"/>
  <c r="Y86" i="19"/>
  <c r="AB86" i="19"/>
  <c r="AC86" i="19"/>
  <c r="AD86" i="19"/>
  <c r="N87" i="19"/>
  <c r="O87" i="19"/>
  <c r="V87" i="19"/>
  <c r="W87" i="19"/>
  <c r="X87" i="19"/>
  <c r="Y87" i="19"/>
  <c r="AB87" i="19"/>
  <c r="AC87" i="19"/>
  <c r="AD87" i="19"/>
  <c r="N88" i="19"/>
  <c r="O88" i="19"/>
  <c r="V88" i="19"/>
  <c r="W88" i="19"/>
  <c r="X88" i="19"/>
  <c r="Y88" i="19"/>
  <c r="AB88" i="19"/>
  <c r="AC88" i="19"/>
  <c r="AD88" i="19"/>
  <c r="N89" i="19"/>
  <c r="O89" i="19"/>
  <c r="V89" i="19"/>
  <c r="W89" i="19"/>
  <c r="X89" i="19"/>
  <c r="Y89" i="19"/>
  <c r="AB89" i="19"/>
  <c r="AC89" i="19"/>
  <c r="AD89" i="19"/>
  <c r="N90" i="19"/>
  <c r="O90" i="19"/>
  <c r="V90" i="19"/>
  <c r="W90" i="19"/>
  <c r="X90" i="19"/>
  <c r="Y90" i="19"/>
  <c r="AB90" i="19"/>
  <c r="AC90" i="19"/>
  <c r="AD90" i="19"/>
  <c r="N91" i="19"/>
  <c r="O91" i="19"/>
  <c r="V91" i="19"/>
  <c r="W91" i="19"/>
  <c r="X91" i="19"/>
  <c r="Y91" i="19"/>
  <c r="AB91" i="19"/>
  <c r="AC91" i="19"/>
  <c r="AD91" i="19"/>
  <c r="N92" i="19"/>
  <c r="O92" i="19"/>
  <c r="V92" i="19"/>
  <c r="W92" i="19"/>
  <c r="X92" i="19"/>
  <c r="Y92" i="19"/>
  <c r="AB92" i="19"/>
  <c r="AC92" i="19"/>
  <c r="AD92" i="19"/>
  <c r="N93" i="19"/>
  <c r="O93" i="19"/>
  <c r="V93" i="19"/>
  <c r="W93" i="19"/>
  <c r="X93" i="19"/>
  <c r="Y93" i="19"/>
  <c r="AB93" i="19"/>
  <c r="AC93" i="19"/>
  <c r="AD93" i="19"/>
  <c r="N94" i="19"/>
  <c r="O94" i="19"/>
  <c r="V94" i="19"/>
  <c r="W94" i="19"/>
  <c r="X94" i="19"/>
  <c r="Y94" i="19"/>
  <c r="AB94" i="19"/>
  <c r="AC94" i="19"/>
  <c r="AD94" i="19"/>
  <c r="N95" i="19"/>
  <c r="O95" i="19"/>
  <c r="V95" i="19"/>
  <c r="W95" i="19"/>
  <c r="X95" i="19"/>
  <c r="Y95" i="19"/>
  <c r="AB95" i="19"/>
  <c r="AC95" i="19"/>
  <c r="AD95" i="19"/>
  <c r="N96" i="19"/>
  <c r="O96" i="19"/>
  <c r="V96" i="19"/>
  <c r="W96" i="19"/>
  <c r="X96" i="19"/>
  <c r="Y96" i="19"/>
  <c r="AB96" i="19"/>
  <c r="AC96" i="19"/>
  <c r="AD96" i="19"/>
  <c r="N97" i="19"/>
  <c r="O97" i="19"/>
  <c r="V97" i="19"/>
  <c r="W97" i="19"/>
  <c r="X97" i="19"/>
  <c r="Y97" i="19"/>
  <c r="AB97" i="19"/>
  <c r="AC97" i="19"/>
  <c r="AD97" i="19"/>
  <c r="N98" i="19"/>
  <c r="O98" i="19"/>
  <c r="V98" i="19"/>
  <c r="W98" i="19"/>
  <c r="X98" i="19"/>
  <c r="Y98" i="19"/>
  <c r="AB98" i="19"/>
  <c r="AC98" i="19"/>
  <c r="AD98" i="19"/>
  <c r="N99" i="19"/>
  <c r="O99" i="19"/>
  <c r="V99" i="19"/>
  <c r="W99" i="19"/>
  <c r="X99" i="19"/>
  <c r="Y99" i="19"/>
  <c r="AB99" i="19"/>
  <c r="AC99" i="19"/>
  <c r="AD99" i="19"/>
  <c r="N100" i="19"/>
  <c r="O100" i="19"/>
  <c r="V100" i="19"/>
  <c r="W100" i="19"/>
  <c r="X100" i="19"/>
  <c r="Y100" i="19"/>
  <c r="AB100" i="19"/>
  <c r="AC100" i="19"/>
  <c r="AD100" i="19"/>
  <c r="N101" i="19"/>
  <c r="O101" i="19"/>
  <c r="V101" i="19"/>
  <c r="W101" i="19"/>
  <c r="X101" i="19"/>
  <c r="Y101" i="19"/>
  <c r="AB101" i="19"/>
  <c r="AC101" i="19"/>
  <c r="AD101" i="19"/>
  <c r="N102" i="19"/>
  <c r="O102" i="19"/>
  <c r="V102" i="19"/>
  <c r="W102" i="19"/>
  <c r="X102" i="19"/>
  <c r="Y102" i="19"/>
  <c r="AB102" i="19"/>
  <c r="AC102" i="19"/>
  <c r="AD102" i="19"/>
  <c r="N103" i="19"/>
  <c r="O103" i="19"/>
  <c r="V103" i="19"/>
  <c r="W103" i="19"/>
  <c r="X103" i="19"/>
  <c r="Y103" i="19"/>
  <c r="AB103" i="19"/>
  <c r="AC103" i="19"/>
  <c r="AD103" i="19"/>
  <c r="N104" i="19"/>
  <c r="O104" i="19"/>
  <c r="V104" i="19"/>
  <c r="W104" i="19"/>
  <c r="X104" i="19"/>
  <c r="Y104" i="19"/>
  <c r="AB104" i="19"/>
  <c r="AC104" i="19"/>
  <c r="AD104" i="19"/>
  <c r="N105" i="19"/>
  <c r="O105" i="19"/>
  <c r="V105" i="19"/>
  <c r="W105" i="19"/>
  <c r="X105" i="19"/>
  <c r="Y105" i="19"/>
  <c r="AB105" i="19"/>
  <c r="AC105" i="19"/>
  <c r="AD105" i="19"/>
  <c r="N106" i="19"/>
  <c r="O106" i="19"/>
  <c r="V106" i="19"/>
  <c r="W106" i="19"/>
  <c r="X106" i="19"/>
  <c r="Y106" i="19"/>
  <c r="AB106" i="19"/>
  <c r="AC106" i="19"/>
  <c r="AD106" i="19"/>
  <c r="N107" i="19"/>
  <c r="O107" i="19"/>
  <c r="V107" i="19"/>
  <c r="W107" i="19"/>
  <c r="X107" i="19"/>
  <c r="Y107" i="19"/>
  <c r="AB107" i="19"/>
  <c r="AC107" i="19"/>
  <c r="AD107" i="19"/>
  <c r="N108" i="19"/>
  <c r="O108" i="19"/>
  <c r="V108" i="19"/>
  <c r="W108" i="19"/>
  <c r="X108" i="19"/>
  <c r="Y108" i="19"/>
  <c r="AB108" i="19"/>
  <c r="AC108" i="19"/>
  <c r="AD108" i="19"/>
  <c r="N109" i="19"/>
  <c r="O109" i="19"/>
  <c r="V109" i="19"/>
  <c r="W109" i="19"/>
  <c r="X109" i="19"/>
  <c r="Y109" i="19"/>
  <c r="AB109" i="19"/>
  <c r="AC109" i="19"/>
  <c r="AD109" i="19"/>
  <c r="N110" i="19"/>
  <c r="O110" i="19"/>
  <c r="V110" i="19"/>
  <c r="W110" i="19"/>
  <c r="X110" i="19"/>
  <c r="Y110" i="19"/>
  <c r="AB110" i="19"/>
  <c r="AC110" i="19"/>
  <c r="AD110" i="19"/>
  <c r="N111" i="19"/>
  <c r="O111" i="19"/>
  <c r="V111" i="19"/>
  <c r="W111" i="19"/>
  <c r="X111" i="19"/>
  <c r="Y111" i="19"/>
  <c r="AB111" i="19"/>
  <c r="AC111" i="19"/>
  <c r="AD111" i="19"/>
  <c r="N112" i="19"/>
  <c r="O112" i="19"/>
  <c r="V112" i="19"/>
  <c r="W112" i="19"/>
  <c r="X112" i="19"/>
  <c r="Y112" i="19"/>
  <c r="AB112" i="19"/>
  <c r="AC112" i="19"/>
  <c r="AD112" i="19"/>
  <c r="N113" i="19"/>
  <c r="O113" i="19"/>
  <c r="V113" i="19"/>
  <c r="W113" i="19"/>
  <c r="X113" i="19"/>
  <c r="Y113" i="19"/>
  <c r="AB113" i="19"/>
  <c r="AC113" i="19"/>
  <c r="AD113" i="19"/>
  <c r="N114" i="19"/>
  <c r="O114" i="19"/>
  <c r="V114" i="19"/>
  <c r="W114" i="19"/>
  <c r="X114" i="19"/>
  <c r="Y114" i="19"/>
  <c r="AB114" i="19"/>
  <c r="AC114" i="19"/>
  <c r="AD114" i="19"/>
  <c r="N115" i="19"/>
  <c r="O115" i="19"/>
  <c r="V115" i="19"/>
  <c r="W115" i="19"/>
  <c r="X115" i="19"/>
  <c r="Y115" i="19"/>
  <c r="AB115" i="19"/>
  <c r="AC115" i="19"/>
  <c r="AD115" i="19"/>
  <c r="N116" i="19"/>
  <c r="O116" i="19"/>
  <c r="V116" i="19"/>
  <c r="W116" i="19"/>
  <c r="X116" i="19"/>
  <c r="Y116" i="19"/>
  <c r="AB116" i="19"/>
  <c r="AC116" i="19"/>
  <c r="AD116" i="19"/>
  <c r="N117" i="19"/>
  <c r="O117" i="19"/>
  <c r="V117" i="19"/>
  <c r="W117" i="19"/>
  <c r="X117" i="19"/>
  <c r="Y117" i="19"/>
  <c r="AB117" i="19"/>
  <c r="AC117" i="19"/>
  <c r="AD117" i="19"/>
  <c r="N118" i="19"/>
  <c r="O118" i="19"/>
  <c r="V118" i="19"/>
  <c r="W118" i="19"/>
  <c r="X118" i="19"/>
  <c r="Y118" i="19"/>
  <c r="AB118" i="19"/>
  <c r="AC118" i="19"/>
  <c r="AD118" i="19"/>
  <c r="N119" i="19"/>
  <c r="O119" i="19"/>
  <c r="V119" i="19"/>
  <c r="W119" i="19"/>
  <c r="X119" i="19"/>
  <c r="Y119" i="19"/>
  <c r="AB119" i="19"/>
  <c r="AC119" i="19"/>
  <c r="AD119" i="19"/>
  <c r="N120" i="19"/>
  <c r="O120" i="19"/>
  <c r="V120" i="19"/>
  <c r="W120" i="19"/>
  <c r="X120" i="19"/>
  <c r="Y120" i="19"/>
  <c r="AB120" i="19"/>
  <c r="AC120" i="19"/>
  <c r="AD120" i="19"/>
  <c r="N121" i="19"/>
  <c r="O121" i="19"/>
  <c r="V121" i="19"/>
  <c r="W121" i="19"/>
  <c r="X121" i="19"/>
  <c r="Y121" i="19"/>
  <c r="AB121" i="19"/>
  <c r="AC121" i="19"/>
  <c r="AD121" i="19"/>
  <c r="N122" i="19"/>
  <c r="O122" i="19"/>
  <c r="V122" i="19"/>
  <c r="W122" i="19"/>
  <c r="X122" i="19"/>
  <c r="Y122" i="19"/>
  <c r="AB122" i="19"/>
  <c r="AC122" i="19"/>
  <c r="AD122" i="19"/>
  <c r="N123" i="19"/>
  <c r="O123" i="19"/>
  <c r="V123" i="19"/>
  <c r="W123" i="19"/>
  <c r="X123" i="19"/>
  <c r="Y123" i="19"/>
  <c r="AB123" i="19"/>
  <c r="AC123" i="19"/>
  <c r="AD123" i="19"/>
  <c r="N124" i="19"/>
  <c r="O124" i="19"/>
  <c r="V124" i="19"/>
  <c r="W124" i="19"/>
  <c r="X124" i="19"/>
  <c r="Y124" i="19"/>
  <c r="AB124" i="19"/>
  <c r="AC124" i="19"/>
  <c r="AD124" i="19"/>
  <c r="N125" i="19"/>
  <c r="O125" i="19"/>
  <c r="V125" i="19"/>
  <c r="W125" i="19"/>
  <c r="X125" i="19"/>
  <c r="Y125" i="19"/>
  <c r="AB125" i="19"/>
  <c r="AC125" i="19"/>
  <c r="AD125" i="19"/>
  <c r="N126" i="19"/>
  <c r="O126" i="19"/>
  <c r="V126" i="19"/>
  <c r="W126" i="19"/>
  <c r="X126" i="19"/>
  <c r="Y126" i="19"/>
  <c r="AB126" i="19"/>
  <c r="AC126" i="19"/>
  <c r="AD126" i="19"/>
  <c r="N127" i="19"/>
  <c r="O127" i="19"/>
  <c r="V127" i="19"/>
  <c r="W127" i="19"/>
  <c r="X127" i="19"/>
  <c r="Y127" i="19"/>
  <c r="AB127" i="19"/>
  <c r="AC127" i="19"/>
  <c r="AD127" i="19"/>
  <c r="N128" i="19"/>
  <c r="O128" i="19"/>
  <c r="V128" i="19"/>
  <c r="W128" i="19"/>
  <c r="X128" i="19"/>
  <c r="Y128" i="19"/>
  <c r="AB128" i="19"/>
  <c r="AC128" i="19"/>
  <c r="AD128" i="19"/>
  <c r="N129" i="19"/>
  <c r="O129" i="19"/>
  <c r="V129" i="19"/>
  <c r="W129" i="19"/>
  <c r="X129" i="19"/>
  <c r="Y129" i="19"/>
  <c r="AB129" i="19"/>
  <c r="AC129" i="19"/>
  <c r="AD129" i="19"/>
  <c r="N130" i="19"/>
  <c r="O130" i="19"/>
  <c r="V130" i="19"/>
  <c r="W130" i="19"/>
  <c r="X130" i="19"/>
  <c r="Y130" i="19"/>
  <c r="AB130" i="19"/>
  <c r="AC130" i="19"/>
  <c r="AD130" i="19"/>
  <c r="N131" i="19"/>
  <c r="O131" i="19"/>
  <c r="V131" i="19"/>
  <c r="W131" i="19"/>
  <c r="X131" i="19"/>
  <c r="Y131" i="19"/>
  <c r="AB131" i="19"/>
  <c r="AC131" i="19"/>
  <c r="AD131" i="19"/>
  <c r="N132" i="19"/>
  <c r="O132" i="19"/>
  <c r="V132" i="19"/>
  <c r="W132" i="19"/>
  <c r="X132" i="19"/>
  <c r="Y132" i="19"/>
  <c r="AB132" i="19"/>
  <c r="AC132" i="19"/>
  <c r="AD132" i="19"/>
  <c r="N133" i="19"/>
  <c r="O133" i="19"/>
  <c r="V133" i="19"/>
  <c r="W133" i="19"/>
  <c r="X133" i="19"/>
  <c r="Y133" i="19"/>
  <c r="AB133" i="19"/>
  <c r="AC133" i="19"/>
  <c r="AD133" i="19"/>
  <c r="N134" i="19"/>
  <c r="O134" i="19"/>
  <c r="V134" i="19"/>
  <c r="W134" i="19"/>
  <c r="X134" i="19"/>
  <c r="Y134" i="19"/>
  <c r="AB134" i="19"/>
  <c r="AC134" i="19"/>
  <c r="AD134" i="19"/>
  <c r="N135" i="19"/>
  <c r="O135" i="19"/>
  <c r="V135" i="19"/>
  <c r="W135" i="19"/>
  <c r="X135" i="19"/>
  <c r="Y135" i="19"/>
  <c r="AB135" i="19"/>
  <c r="AC135" i="19"/>
  <c r="AD135" i="19"/>
  <c r="N136" i="19"/>
  <c r="O136" i="19"/>
  <c r="V136" i="19"/>
  <c r="W136" i="19"/>
  <c r="X136" i="19"/>
  <c r="Y136" i="19"/>
  <c r="AB136" i="19"/>
  <c r="AC136" i="19"/>
  <c r="AD136" i="19"/>
  <c r="N137" i="19"/>
  <c r="O137" i="19"/>
  <c r="V137" i="19"/>
  <c r="W137" i="19"/>
  <c r="X137" i="19"/>
  <c r="Y137" i="19"/>
  <c r="AB137" i="19"/>
  <c r="AC137" i="19"/>
  <c r="AD137" i="19"/>
  <c r="N138" i="19"/>
  <c r="O138" i="19"/>
  <c r="V138" i="19"/>
  <c r="W138" i="19"/>
  <c r="X138" i="19"/>
  <c r="Y138" i="19"/>
  <c r="AB138" i="19"/>
  <c r="AC138" i="19"/>
  <c r="AD138" i="19"/>
  <c r="N139" i="19"/>
  <c r="O139" i="19"/>
  <c r="V139" i="19"/>
  <c r="W139" i="19"/>
  <c r="X139" i="19"/>
  <c r="Y139" i="19"/>
  <c r="AB139" i="19"/>
  <c r="AC139" i="19"/>
  <c r="AD139" i="19"/>
  <c r="N140" i="19"/>
  <c r="O140" i="19"/>
  <c r="V140" i="19"/>
  <c r="W140" i="19"/>
  <c r="X140" i="19"/>
  <c r="Y140" i="19"/>
  <c r="AB140" i="19"/>
  <c r="AC140" i="19"/>
  <c r="AD140" i="19"/>
  <c r="N141" i="19"/>
  <c r="O141" i="19"/>
  <c r="V141" i="19"/>
  <c r="W141" i="19"/>
  <c r="X141" i="19"/>
  <c r="Y141" i="19"/>
  <c r="AB141" i="19"/>
  <c r="AC141" i="19"/>
  <c r="AD141" i="19"/>
  <c r="N142" i="19"/>
  <c r="O142" i="19"/>
  <c r="V142" i="19"/>
  <c r="W142" i="19"/>
  <c r="X142" i="19"/>
  <c r="Y142" i="19"/>
  <c r="AB142" i="19"/>
  <c r="AC142" i="19"/>
  <c r="AD142" i="19"/>
  <c r="N143" i="19"/>
  <c r="O143" i="19"/>
  <c r="V143" i="19"/>
  <c r="W143" i="19"/>
  <c r="X143" i="19"/>
  <c r="Y143" i="19"/>
  <c r="AB143" i="19"/>
  <c r="AC143" i="19"/>
  <c r="AD143" i="19"/>
  <c r="N144" i="19"/>
  <c r="O144" i="19"/>
  <c r="V144" i="19"/>
  <c r="W144" i="19"/>
  <c r="X144" i="19"/>
  <c r="Y144" i="19"/>
  <c r="AB144" i="19"/>
  <c r="AC144" i="19"/>
  <c r="AD144" i="19"/>
  <c r="N145" i="19"/>
  <c r="O145" i="19"/>
  <c r="V145" i="19"/>
  <c r="W145" i="19"/>
  <c r="X145" i="19"/>
  <c r="Y145" i="19"/>
  <c r="AB145" i="19"/>
  <c r="AC145" i="19"/>
  <c r="AD145" i="19"/>
  <c r="N146" i="19"/>
  <c r="O146" i="19"/>
  <c r="V146" i="19"/>
  <c r="W146" i="19"/>
  <c r="X146" i="19"/>
  <c r="Y146" i="19"/>
  <c r="AB146" i="19"/>
  <c r="AC146" i="19"/>
  <c r="AD146" i="19"/>
  <c r="N147" i="19"/>
  <c r="O147" i="19"/>
  <c r="V147" i="19"/>
  <c r="W147" i="19"/>
  <c r="X147" i="19"/>
  <c r="Y147" i="19"/>
  <c r="AB147" i="19"/>
  <c r="AC147" i="19"/>
  <c r="AD147" i="19"/>
  <c r="N148" i="19"/>
  <c r="O148" i="19"/>
  <c r="V148" i="19"/>
  <c r="W148" i="19"/>
  <c r="X148" i="19"/>
  <c r="Y148" i="19"/>
  <c r="AB148" i="19"/>
  <c r="AC148" i="19"/>
  <c r="AD148" i="19"/>
  <c r="N149" i="19"/>
  <c r="O149" i="19"/>
  <c r="V149" i="19"/>
  <c r="W149" i="19"/>
  <c r="X149" i="19"/>
  <c r="Y149" i="19"/>
  <c r="AB149" i="19"/>
  <c r="AC149" i="19"/>
  <c r="AD149" i="19"/>
  <c r="N150" i="19"/>
  <c r="O150" i="19"/>
  <c r="V150" i="19"/>
  <c r="W150" i="19"/>
  <c r="X150" i="19"/>
  <c r="Y150" i="19"/>
  <c r="AB150" i="19"/>
  <c r="AC150" i="19"/>
  <c r="AD150" i="19"/>
  <c r="N151" i="19"/>
  <c r="O151" i="19"/>
  <c r="V151" i="19"/>
  <c r="W151" i="19"/>
  <c r="X151" i="19"/>
  <c r="Y151" i="19"/>
  <c r="AB151" i="19"/>
  <c r="AC151" i="19"/>
  <c r="AD151" i="19"/>
  <c r="N152" i="19"/>
  <c r="O152" i="19"/>
  <c r="V152" i="19"/>
  <c r="W152" i="19"/>
  <c r="X152" i="19"/>
  <c r="Y152" i="19"/>
  <c r="AB152" i="19"/>
  <c r="AC152" i="19"/>
  <c r="AD152" i="19"/>
  <c r="N153" i="19"/>
  <c r="O153" i="19"/>
  <c r="V153" i="19"/>
  <c r="W153" i="19"/>
  <c r="X153" i="19"/>
  <c r="Y153" i="19"/>
  <c r="AB153" i="19"/>
  <c r="AC153" i="19"/>
  <c r="AD153" i="19"/>
  <c r="N154" i="19"/>
  <c r="O154" i="19"/>
  <c r="V154" i="19"/>
  <c r="W154" i="19"/>
  <c r="X154" i="19"/>
  <c r="Y154" i="19"/>
  <c r="AB154" i="19"/>
  <c r="AC154" i="19"/>
  <c r="AD154" i="19"/>
  <c r="N155" i="19"/>
  <c r="O155" i="19"/>
  <c r="V155" i="19"/>
  <c r="W155" i="19"/>
  <c r="X155" i="19"/>
  <c r="Y155" i="19"/>
  <c r="AB155" i="19"/>
  <c r="AC155" i="19"/>
  <c r="AD155" i="19"/>
  <c r="N156" i="19"/>
  <c r="O156" i="19"/>
  <c r="V156" i="19"/>
  <c r="W156" i="19"/>
  <c r="X156" i="19"/>
  <c r="Y156" i="19"/>
  <c r="AB156" i="19"/>
  <c r="AC156" i="19"/>
  <c r="AD156" i="19"/>
  <c r="N157" i="19"/>
  <c r="O157" i="19"/>
  <c r="V157" i="19"/>
  <c r="W157" i="19"/>
  <c r="X157" i="19"/>
  <c r="Y157" i="19"/>
  <c r="AB157" i="19"/>
  <c r="AC157" i="19"/>
  <c r="AD157" i="19"/>
  <c r="N158" i="19"/>
  <c r="O158" i="19"/>
  <c r="V158" i="19"/>
  <c r="W158" i="19"/>
  <c r="X158" i="19"/>
  <c r="Y158" i="19"/>
  <c r="AB158" i="19"/>
  <c r="AC158" i="19"/>
  <c r="AD158" i="19"/>
  <c r="N159" i="19"/>
  <c r="O159" i="19"/>
  <c r="V159" i="19"/>
  <c r="W159" i="19"/>
  <c r="X159" i="19"/>
  <c r="Y159" i="19"/>
  <c r="AB159" i="19"/>
  <c r="AC159" i="19"/>
  <c r="AD159" i="19"/>
  <c r="N160" i="19"/>
  <c r="O160" i="19"/>
  <c r="V160" i="19"/>
  <c r="W160" i="19"/>
  <c r="X160" i="19"/>
  <c r="Y160" i="19"/>
  <c r="AB160" i="19"/>
  <c r="AC160" i="19"/>
  <c r="AD160" i="19"/>
  <c r="N161" i="19"/>
  <c r="O161" i="19"/>
  <c r="V161" i="19"/>
  <c r="W161" i="19"/>
  <c r="X161" i="19"/>
  <c r="Y161" i="19"/>
  <c r="AB161" i="19"/>
  <c r="AC161" i="19"/>
  <c r="AD161" i="19"/>
  <c r="N162" i="19"/>
  <c r="O162" i="19"/>
  <c r="V162" i="19"/>
  <c r="W162" i="19"/>
  <c r="X162" i="19"/>
  <c r="Y162" i="19"/>
  <c r="AB162" i="19"/>
  <c r="AC162" i="19"/>
  <c r="AD162" i="19"/>
  <c r="N163" i="19"/>
  <c r="O163" i="19"/>
  <c r="V163" i="19"/>
  <c r="W163" i="19"/>
  <c r="X163" i="19"/>
  <c r="Y163" i="19"/>
  <c r="AB163" i="19"/>
  <c r="AC163" i="19"/>
  <c r="AD163" i="19"/>
  <c r="N164" i="19"/>
  <c r="O164" i="19"/>
  <c r="V164" i="19"/>
  <c r="W164" i="19"/>
  <c r="X164" i="19"/>
  <c r="Y164" i="19"/>
  <c r="AB164" i="19"/>
  <c r="AC164" i="19"/>
  <c r="AD164" i="19"/>
  <c r="N165" i="19"/>
  <c r="O165" i="19"/>
  <c r="V165" i="19"/>
  <c r="W165" i="19"/>
  <c r="X165" i="19"/>
  <c r="Y165" i="19"/>
  <c r="AB165" i="19"/>
  <c r="AC165" i="19"/>
  <c r="AD165" i="19"/>
  <c r="N166" i="19"/>
  <c r="O166" i="19"/>
  <c r="V166" i="19"/>
  <c r="W166" i="19"/>
  <c r="X166" i="19"/>
  <c r="Y166" i="19"/>
  <c r="AB166" i="19"/>
  <c r="AC166" i="19"/>
  <c r="AD166" i="19"/>
  <c r="N167" i="19"/>
  <c r="R167" i="19" s="1"/>
  <c r="O167" i="19"/>
  <c r="P167" i="19"/>
  <c r="Q167" i="19"/>
  <c r="S167" i="19"/>
  <c r="T167" i="19"/>
  <c r="U167" i="19"/>
  <c r="V167" i="19"/>
  <c r="W167" i="19"/>
  <c r="X167" i="19"/>
  <c r="Y167" i="19"/>
  <c r="Z167" i="19"/>
  <c r="AA167" i="19"/>
  <c r="AB167" i="19"/>
  <c r="AC167" i="19"/>
  <c r="AD167" i="19"/>
  <c r="N168" i="19"/>
  <c r="Q168" i="19" s="1"/>
  <c r="O168" i="19"/>
  <c r="P168" i="19"/>
  <c r="R168" i="19"/>
  <c r="S168" i="19"/>
  <c r="T168" i="19"/>
  <c r="U168" i="19"/>
  <c r="V168" i="19"/>
  <c r="W168" i="19"/>
  <c r="X168" i="19"/>
  <c r="Y168" i="19"/>
  <c r="Z168" i="19"/>
  <c r="AA168" i="19"/>
  <c r="AB168" i="19"/>
  <c r="AC168" i="19"/>
  <c r="AD168" i="19"/>
  <c r="N169" i="19"/>
  <c r="P169" i="19" s="1"/>
  <c r="O169" i="19"/>
  <c r="Q169" i="19"/>
  <c r="R169" i="19"/>
  <c r="S169" i="19"/>
  <c r="T169" i="19"/>
  <c r="U169" i="19"/>
  <c r="V169" i="19"/>
  <c r="W169" i="19"/>
  <c r="X169" i="19"/>
  <c r="Y169" i="19"/>
  <c r="Z169" i="19"/>
  <c r="AA169" i="19"/>
  <c r="AB169" i="19"/>
  <c r="AC169" i="19"/>
  <c r="AD169" i="19"/>
  <c r="N170" i="19"/>
  <c r="U170" i="19" s="1"/>
  <c r="O170" i="19"/>
  <c r="P170" i="19"/>
  <c r="Q170" i="19"/>
  <c r="R170" i="19"/>
  <c r="S170" i="19"/>
  <c r="T170" i="19"/>
  <c r="V170" i="19"/>
  <c r="W170" i="19"/>
  <c r="X170" i="19"/>
  <c r="Y170" i="19"/>
  <c r="Z170" i="19"/>
  <c r="AA170" i="19"/>
  <c r="AB170" i="19"/>
  <c r="AC170" i="19"/>
  <c r="AD170" i="19"/>
  <c r="N171" i="19"/>
  <c r="O171" i="19"/>
  <c r="P171" i="19"/>
  <c r="Q171" i="19"/>
  <c r="R171" i="19"/>
  <c r="S171" i="19"/>
  <c r="T171" i="19"/>
  <c r="U171" i="19"/>
  <c r="V171" i="19"/>
  <c r="W171" i="19"/>
  <c r="X171" i="19"/>
  <c r="Y171" i="19"/>
  <c r="Z171" i="19"/>
  <c r="AA171" i="19"/>
  <c r="AB171" i="19"/>
  <c r="AC171" i="19"/>
  <c r="AD171" i="19"/>
  <c r="N172" i="19"/>
  <c r="P172" i="19" s="1"/>
  <c r="O172" i="19"/>
  <c r="Q172" i="19"/>
  <c r="R172" i="19"/>
  <c r="V172" i="19"/>
  <c r="W172" i="19"/>
  <c r="X172" i="19"/>
  <c r="Y172" i="19"/>
  <c r="Z172" i="19"/>
  <c r="AA172" i="19"/>
  <c r="AB172" i="19"/>
  <c r="AC172" i="19"/>
  <c r="AD172" i="19"/>
  <c r="N173" i="19"/>
  <c r="O173" i="19"/>
  <c r="V173" i="19"/>
  <c r="W173" i="19"/>
  <c r="X173" i="19"/>
  <c r="Y173" i="19"/>
  <c r="Z173" i="19"/>
  <c r="AA173" i="19"/>
  <c r="AB173" i="19"/>
  <c r="AC173" i="19"/>
  <c r="AD173" i="19"/>
  <c r="N174" i="19"/>
  <c r="P174" i="19" s="1"/>
  <c r="O174" i="19"/>
  <c r="Q174" i="19"/>
  <c r="V174" i="19"/>
  <c r="W174" i="19"/>
  <c r="X174" i="19"/>
  <c r="Y174" i="19"/>
  <c r="Z174" i="19"/>
  <c r="AA174" i="19"/>
  <c r="AB174" i="19"/>
  <c r="AC174" i="19"/>
  <c r="AD174" i="19"/>
  <c r="N175" i="19"/>
  <c r="O175" i="19"/>
  <c r="P175" i="19"/>
  <c r="Q175" i="19"/>
  <c r="S175" i="19"/>
  <c r="V175" i="19"/>
  <c r="W175" i="19"/>
  <c r="X175" i="19"/>
  <c r="Y175" i="19"/>
  <c r="Z175" i="19"/>
  <c r="AA175" i="19"/>
  <c r="AB175" i="19"/>
  <c r="AC175" i="19"/>
  <c r="AD175" i="19"/>
  <c r="N176" i="19"/>
  <c r="P176" i="19" s="1"/>
  <c r="O176" i="19"/>
  <c r="Q176" i="19"/>
  <c r="R176" i="19"/>
  <c r="V176" i="19"/>
  <c r="W176" i="19"/>
  <c r="X176" i="19"/>
  <c r="Y176" i="19"/>
  <c r="Z176" i="19"/>
  <c r="AA176" i="19"/>
  <c r="AB176" i="19"/>
  <c r="AC176" i="19"/>
  <c r="AD176" i="19"/>
  <c r="N177" i="19"/>
  <c r="O177" i="19"/>
  <c r="V177" i="19"/>
  <c r="W177" i="19"/>
  <c r="X177" i="19"/>
  <c r="Y177" i="19"/>
  <c r="Z177" i="19"/>
  <c r="AA177" i="19"/>
  <c r="AB177" i="19"/>
  <c r="AC177" i="19"/>
  <c r="AD177" i="19"/>
  <c r="N178" i="19"/>
  <c r="P178" i="19" s="1"/>
  <c r="O178" i="19"/>
  <c r="T178" i="19"/>
  <c r="V178" i="19"/>
  <c r="W178" i="19"/>
  <c r="X178" i="19"/>
  <c r="Y178" i="19"/>
  <c r="Z178" i="19"/>
  <c r="AA178" i="19"/>
  <c r="AB178" i="19"/>
  <c r="AC178" i="19"/>
  <c r="AD178" i="19"/>
  <c r="N179" i="19"/>
  <c r="O179" i="19"/>
  <c r="S179" i="19"/>
  <c r="T179" i="19"/>
  <c r="U179" i="19"/>
  <c r="V179" i="19"/>
  <c r="W179" i="19"/>
  <c r="X179" i="19"/>
  <c r="Y179" i="19"/>
  <c r="Z179" i="19"/>
  <c r="AA179" i="19"/>
  <c r="AB179" i="19"/>
  <c r="AC179" i="19"/>
  <c r="AD179" i="19"/>
  <c r="N180" i="19"/>
  <c r="R180" i="19" s="1"/>
  <c r="O180" i="19"/>
  <c r="S180" i="19"/>
  <c r="T180" i="19"/>
  <c r="U180" i="19"/>
  <c r="V180" i="19"/>
  <c r="W180" i="19"/>
  <c r="X180" i="19"/>
  <c r="Y180" i="19"/>
  <c r="Z180" i="19"/>
  <c r="AA180" i="19"/>
  <c r="AB180" i="19"/>
  <c r="AC180" i="19"/>
  <c r="AD180" i="19"/>
  <c r="N181" i="19"/>
  <c r="O181" i="19"/>
  <c r="P181" i="19"/>
  <c r="Q181" i="19"/>
  <c r="R181" i="19"/>
  <c r="S181" i="19"/>
  <c r="T181" i="19"/>
  <c r="U181" i="19"/>
  <c r="V181" i="19"/>
  <c r="W181" i="19"/>
  <c r="X181" i="19"/>
  <c r="Y181" i="19"/>
  <c r="Z181" i="19"/>
  <c r="AA181" i="19"/>
  <c r="AB181" i="19"/>
  <c r="AC181" i="19"/>
  <c r="AD181" i="19"/>
  <c r="N182" i="19"/>
  <c r="U182" i="19" s="1"/>
  <c r="O182" i="19"/>
  <c r="P182" i="19"/>
  <c r="Q182" i="19"/>
  <c r="R182" i="19"/>
  <c r="S182" i="19"/>
  <c r="T182" i="19"/>
  <c r="V182" i="19"/>
  <c r="W182" i="19"/>
  <c r="X182" i="19"/>
  <c r="Y182" i="19"/>
  <c r="Z182" i="19"/>
  <c r="AA182" i="19"/>
  <c r="AB182" i="19"/>
  <c r="AC182" i="19"/>
  <c r="AD182" i="19"/>
  <c r="N183" i="19"/>
  <c r="T183" i="19" s="1"/>
  <c r="O183" i="19"/>
  <c r="P183" i="19"/>
  <c r="Q183" i="19"/>
  <c r="R183" i="19"/>
  <c r="S183" i="19"/>
  <c r="U183" i="19"/>
  <c r="V183" i="19"/>
  <c r="W183" i="19"/>
  <c r="X183" i="19"/>
  <c r="Y183" i="19"/>
  <c r="Z183" i="19"/>
  <c r="AA183" i="19"/>
  <c r="AB183" i="19"/>
  <c r="AC183" i="19"/>
  <c r="AD183" i="19"/>
  <c r="N184" i="19"/>
  <c r="P184" i="19" s="1"/>
  <c r="O184" i="19"/>
  <c r="Q184" i="19"/>
  <c r="R184" i="19"/>
  <c r="V184" i="19"/>
  <c r="W184" i="19"/>
  <c r="X184" i="19"/>
  <c r="Y184" i="19"/>
  <c r="Z184" i="19"/>
  <c r="AA184" i="19"/>
  <c r="AB184" i="19"/>
  <c r="AC184" i="19"/>
  <c r="AD184" i="19"/>
  <c r="N185" i="19"/>
  <c r="O185" i="19"/>
  <c r="V185" i="19"/>
  <c r="W185" i="19"/>
  <c r="X185" i="19"/>
  <c r="Y185" i="19"/>
  <c r="Z185" i="19"/>
  <c r="AA185" i="19"/>
  <c r="AB185" i="19"/>
  <c r="AC185" i="19"/>
  <c r="AD185" i="19"/>
  <c r="N186" i="19"/>
  <c r="P186" i="19" s="1"/>
  <c r="O186" i="19"/>
  <c r="T186" i="19"/>
  <c r="V186" i="19"/>
  <c r="W186" i="19"/>
  <c r="X186" i="19"/>
  <c r="Y186" i="19"/>
  <c r="Z186" i="19"/>
  <c r="AA186" i="19"/>
  <c r="AB186" i="19"/>
  <c r="AC186" i="19"/>
  <c r="AD186" i="19"/>
  <c r="N187" i="19"/>
  <c r="O187" i="19"/>
  <c r="S187" i="19"/>
  <c r="T187" i="19"/>
  <c r="U187" i="19"/>
  <c r="V187" i="19"/>
  <c r="W187" i="19"/>
  <c r="X187" i="19"/>
  <c r="Y187" i="19"/>
  <c r="Z187" i="19"/>
  <c r="AA187" i="19"/>
  <c r="AB187" i="19"/>
  <c r="AC187" i="19"/>
  <c r="AD187" i="19"/>
  <c r="N188" i="19"/>
  <c r="R188" i="19" s="1"/>
  <c r="O188" i="19"/>
  <c r="S188" i="19"/>
  <c r="T188" i="19"/>
  <c r="U188" i="19"/>
  <c r="V188" i="19"/>
  <c r="W188" i="19"/>
  <c r="X188" i="19"/>
  <c r="Y188" i="19"/>
  <c r="Z188" i="19"/>
  <c r="AA188" i="19"/>
  <c r="AB188" i="19"/>
  <c r="AC188" i="19"/>
  <c r="AD188" i="19"/>
  <c r="N189" i="19"/>
  <c r="O189" i="19"/>
  <c r="P189" i="19"/>
  <c r="Q189" i="19"/>
  <c r="R189" i="19"/>
  <c r="S189" i="19"/>
  <c r="T189" i="19"/>
  <c r="U189" i="19"/>
  <c r="V189" i="19"/>
  <c r="W189" i="19"/>
  <c r="X189" i="19"/>
  <c r="Y189" i="19"/>
  <c r="Z189" i="19"/>
  <c r="AA189" i="19"/>
  <c r="AB189" i="19"/>
  <c r="AC189" i="19"/>
  <c r="AD189" i="19"/>
  <c r="N190" i="19"/>
  <c r="U190" i="19" s="1"/>
  <c r="O190" i="19"/>
  <c r="P190" i="19"/>
  <c r="Q190" i="19"/>
  <c r="R190" i="19"/>
  <c r="S190" i="19"/>
  <c r="T190" i="19"/>
  <c r="V190" i="19"/>
  <c r="W190" i="19"/>
  <c r="X190" i="19"/>
  <c r="Y190" i="19"/>
  <c r="Z190" i="19"/>
  <c r="AA190" i="19"/>
  <c r="AB190" i="19"/>
  <c r="AC190" i="19"/>
  <c r="AD190" i="19"/>
  <c r="N191" i="19"/>
  <c r="T191" i="19" s="1"/>
  <c r="O191" i="19"/>
  <c r="P191" i="19"/>
  <c r="Q191" i="19"/>
  <c r="R191" i="19"/>
  <c r="S191" i="19"/>
  <c r="U191" i="19"/>
  <c r="V191" i="19"/>
  <c r="W191" i="19"/>
  <c r="X191" i="19"/>
  <c r="Y191" i="19"/>
  <c r="Z191" i="19"/>
  <c r="AA191" i="19"/>
  <c r="AB191" i="19"/>
  <c r="AC191" i="19"/>
  <c r="AD191" i="19"/>
  <c r="N192" i="19"/>
  <c r="P192" i="19" s="1"/>
  <c r="O192" i="19"/>
  <c r="Q192" i="19"/>
  <c r="R192" i="19"/>
  <c r="V192" i="19"/>
  <c r="W192" i="19"/>
  <c r="X192" i="19"/>
  <c r="Y192" i="19"/>
  <c r="Z192" i="19"/>
  <c r="AA192" i="19"/>
  <c r="AB192" i="19"/>
  <c r="AC192" i="19"/>
  <c r="AD192" i="19"/>
  <c r="N193" i="19"/>
  <c r="O193" i="19"/>
  <c r="V193" i="19"/>
  <c r="W193" i="19"/>
  <c r="X193" i="19"/>
  <c r="Y193" i="19"/>
  <c r="Z193" i="19"/>
  <c r="AA193" i="19"/>
  <c r="AB193" i="19"/>
  <c r="AC193" i="19"/>
  <c r="AD193" i="19"/>
  <c r="N194" i="19"/>
  <c r="P194" i="19" s="1"/>
  <c r="O194" i="19"/>
  <c r="T194" i="19"/>
  <c r="V194" i="19"/>
  <c r="W194" i="19"/>
  <c r="X194" i="19"/>
  <c r="Y194" i="19"/>
  <c r="Z194" i="19"/>
  <c r="AA194" i="19"/>
  <c r="AB194" i="19"/>
  <c r="AC194" i="19"/>
  <c r="AD194" i="19"/>
  <c r="N195" i="19"/>
  <c r="O195" i="19"/>
  <c r="S195" i="19"/>
  <c r="T195" i="19"/>
  <c r="U195" i="19"/>
  <c r="V195" i="19"/>
  <c r="W195" i="19"/>
  <c r="X195" i="19"/>
  <c r="Y195" i="19"/>
  <c r="Z195" i="19"/>
  <c r="AA195" i="19"/>
  <c r="AB195" i="19"/>
  <c r="AC195" i="19"/>
  <c r="AD195" i="19"/>
  <c r="AC4" i="19"/>
  <c r="AB4" i="19"/>
  <c r="Y4" i="19"/>
  <c r="X4" i="19"/>
  <c r="W4" i="19"/>
  <c r="V4" i="19"/>
  <c r="O4" i="19"/>
  <c r="N4" i="19"/>
  <c r="AD4" i="19"/>
  <c r="P163" i="19"/>
  <c r="T160" i="19"/>
  <c r="S165" i="19"/>
  <c r="T161" i="19"/>
  <c r="R164" i="19"/>
  <c r="U159" i="19"/>
  <c r="R165" i="19"/>
  <c r="T165" i="19"/>
  <c r="U164" i="19"/>
  <c r="S164" i="19"/>
  <c r="U161" i="19"/>
  <c r="U160" i="19"/>
  <c r="S166" i="19"/>
  <c r="Q166" i="19"/>
  <c r="R166" i="19"/>
  <c r="R162" i="19"/>
  <c r="S163" i="19"/>
  <c r="S160" i="19"/>
  <c r="U165" i="19"/>
  <c r="P165" i="19"/>
  <c r="S161" i="19"/>
  <c r="T166" i="19"/>
  <c r="Q164" i="19"/>
  <c r="R193" i="19" l="1"/>
  <c r="S193" i="19"/>
  <c r="T193" i="19"/>
  <c r="R185" i="19"/>
  <c r="S185" i="19"/>
  <c r="T185" i="19"/>
  <c r="R177" i="19"/>
  <c r="S177" i="19"/>
  <c r="T177" i="19"/>
  <c r="T173" i="19"/>
  <c r="S173" i="19"/>
  <c r="U173" i="19"/>
  <c r="P195" i="19"/>
  <c r="Q195" i="19"/>
  <c r="R195" i="19"/>
  <c r="U193" i="19"/>
  <c r="P187" i="19"/>
  <c r="Q187" i="19"/>
  <c r="R187" i="19"/>
  <c r="U185" i="19"/>
  <c r="P179" i="19"/>
  <c r="Q179" i="19"/>
  <c r="R179" i="19"/>
  <c r="U177" i="19"/>
  <c r="R175" i="19"/>
  <c r="T175" i="19"/>
  <c r="U175" i="19"/>
  <c r="R173" i="19"/>
  <c r="Q186" i="19"/>
  <c r="R186" i="19"/>
  <c r="S186" i="19"/>
  <c r="Q178" i="19"/>
  <c r="R178" i="19"/>
  <c r="S178" i="19"/>
  <c r="S174" i="19"/>
  <c r="T174" i="19"/>
  <c r="U174" i="19"/>
  <c r="Q193" i="19"/>
  <c r="Q185" i="19"/>
  <c r="Q177" i="19"/>
  <c r="Q173" i="19"/>
  <c r="Q194" i="19"/>
  <c r="R194" i="19"/>
  <c r="S194" i="19"/>
  <c r="U194" i="19"/>
  <c r="P193" i="19"/>
  <c r="S192" i="19"/>
  <c r="T192" i="19"/>
  <c r="U192" i="19"/>
  <c r="P188" i="19"/>
  <c r="Q188" i="19"/>
  <c r="U186" i="19"/>
  <c r="P185" i="19"/>
  <c r="S184" i="19"/>
  <c r="T184" i="19"/>
  <c r="U184" i="19"/>
  <c r="P180" i="19"/>
  <c r="Q180" i="19"/>
  <c r="U178" i="19"/>
  <c r="P177" i="19"/>
  <c r="S176" i="19"/>
  <c r="T176" i="19"/>
  <c r="U176" i="19"/>
  <c r="R174" i="19"/>
  <c r="P173" i="19"/>
  <c r="U172" i="19"/>
  <c r="S172" i="19"/>
  <c r="T172" i="19"/>
  <c r="E14" i="20"/>
  <c r="T159" i="19"/>
  <c r="Q162" i="19"/>
  <c r="P164" i="19"/>
  <c r="T163" i="19"/>
  <c r="Q165" i="19"/>
  <c r="P166" i="19"/>
  <c r="Q159" i="19"/>
  <c r="Q161" i="19"/>
  <c r="U163" i="19"/>
  <c r="R160" i="19"/>
  <c r="S162" i="19"/>
  <c r="T164" i="19"/>
  <c r="R161" i="19"/>
  <c r="P162" i="19"/>
  <c r="R163" i="19"/>
  <c r="S159" i="19"/>
  <c r="P161" i="19"/>
  <c r="T162" i="19"/>
  <c r="P160" i="19"/>
  <c r="P159" i="19"/>
  <c r="U166" i="19"/>
  <c r="Q160" i="19"/>
  <c r="Q163" i="19"/>
  <c r="U162" i="19"/>
  <c r="R159" i="19"/>
  <c r="E12" i="20" l="1"/>
  <c r="E11" i="20"/>
  <c r="E10" i="20"/>
  <c r="E9" i="20"/>
  <c r="E23" i="20" l="1"/>
  <c r="E22" i="20" l="1"/>
  <c r="E21" i="20"/>
  <c r="E18" i="20"/>
  <c r="E48" i="20"/>
  <c r="E47" i="20"/>
  <c r="E46" i="20"/>
  <c r="F4" i="20"/>
  <c r="F5" i="20"/>
  <c r="F6" i="20"/>
  <c r="F7" i="20"/>
  <c r="F8" i="20"/>
  <c r="F9" i="20"/>
  <c r="F10" i="20"/>
  <c r="F11" i="20"/>
  <c r="F12" i="20"/>
  <c r="F13" i="20"/>
  <c r="F14" i="20"/>
  <c r="F3" i="20"/>
  <c r="E16" i="20" l="1"/>
  <c r="E13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G17" i="19"/>
  <c r="H17" i="19"/>
  <c r="H16" i="19"/>
  <c r="G16" i="19"/>
  <c r="B24" i="19" l="1"/>
  <c r="B25" i="19" s="1"/>
  <c r="H25" i="19" s="1"/>
  <c r="H24" i="19" l="1"/>
  <c r="B6" i="20"/>
  <c r="AE195" i="19" l="1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E43" i="20" l="1"/>
  <c r="E41" i="20"/>
  <c r="E42" i="20"/>
  <c r="E40" i="20"/>
  <c r="E39" i="20"/>
  <c r="E8" i="20"/>
  <c r="E7" i="20"/>
  <c r="E6" i="20"/>
  <c r="E5" i="20"/>
  <c r="E3" i="20"/>
  <c r="E4" i="20"/>
  <c r="B30" i="20"/>
  <c r="E24" i="20" s="1"/>
  <c r="B11" i="20"/>
  <c r="G117" i="17" l="1"/>
  <c r="G91" i="17"/>
  <c r="G135" i="17"/>
  <c r="G10" i="17"/>
  <c r="G107" i="17"/>
  <c r="G15" i="17"/>
  <c r="G84" i="17"/>
  <c r="G100" i="17"/>
  <c r="G61" i="17"/>
  <c r="G19" i="17"/>
  <c r="G83" i="17"/>
  <c r="G160" i="17"/>
  <c r="G158" i="17"/>
  <c r="G44" i="17"/>
  <c r="G70" i="17"/>
  <c r="G32" i="17"/>
  <c r="G85" i="17"/>
  <c r="G27" i="17"/>
  <c r="G124" i="17"/>
  <c r="G93" i="17"/>
  <c r="G4" i="17"/>
  <c r="G28" i="17"/>
  <c r="G139" i="17"/>
  <c r="G90" i="17"/>
  <c r="G75" i="17"/>
  <c r="G56" i="17"/>
  <c r="G97" i="17"/>
  <c r="G47" i="17"/>
  <c r="G26" i="17"/>
  <c r="E17" i="20"/>
  <c r="G79" i="17"/>
  <c r="G154" i="17"/>
  <c r="G88" i="17"/>
  <c r="G66" i="17"/>
  <c r="G31" i="17"/>
  <c r="G64" i="17"/>
  <c r="G22" i="17"/>
  <c r="G24" i="17"/>
  <c r="G3" i="17"/>
  <c r="G11" i="17"/>
  <c r="G67" i="17"/>
  <c r="G17" i="17"/>
  <c r="G125" i="17"/>
  <c r="G156" i="17"/>
  <c r="G164" i="17"/>
  <c r="G145" i="17"/>
  <c r="G113" i="17"/>
  <c r="G120" i="17"/>
  <c r="G101" i="17"/>
  <c r="G53" i="17"/>
  <c r="G72" i="17"/>
  <c r="G51" i="17"/>
  <c r="G39" i="17"/>
  <c r="G33" i="17"/>
  <c r="G162" i="17"/>
  <c r="G155" i="17"/>
  <c r="G159" i="17"/>
  <c r="G151" i="17"/>
  <c r="G144" i="17"/>
  <c r="G149" i="17"/>
  <c r="G140" i="17"/>
  <c r="G136" i="17"/>
  <c r="G131" i="17"/>
  <c r="G92" i="17"/>
  <c r="G118" i="17"/>
  <c r="G119" i="17"/>
  <c r="G94" i="17"/>
  <c r="G73" i="17"/>
  <c r="G95" i="17"/>
  <c r="G87" i="17"/>
  <c r="G109" i="17"/>
  <c r="G65" i="17"/>
  <c r="G57" i="17"/>
  <c r="G69" i="17"/>
  <c r="G63" i="17"/>
  <c r="G62" i="17"/>
  <c r="G42" i="17"/>
  <c r="G35" i="17"/>
  <c r="G23" i="17"/>
  <c r="G18" i="17"/>
  <c r="G16" i="17"/>
  <c r="G8" i="17"/>
  <c r="G161" i="17"/>
  <c r="G146" i="17"/>
  <c r="G134" i="17"/>
  <c r="G104" i="17"/>
  <c r="G108" i="17"/>
  <c r="G74" i="17"/>
  <c r="G86" i="17"/>
  <c r="G36" i="17"/>
  <c r="G13" i="17"/>
  <c r="G163" i="17"/>
  <c r="G157" i="17"/>
  <c r="G148" i="17"/>
  <c r="G138" i="17"/>
  <c r="G116" i="17"/>
  <c r="G142" i="17"/>
  <c r="G112" i="17"/>
  <c r="G133" i="17"/>
  <c r="G127" i="17"/>
  <c r="G126" i="17"/>
  <c r="G122" i="17"/>
  <c r="G121" i="17"/>
  <c r="G89" i="17"/>
  <c r="G102" i="17"/>
  <c r="G110" i="17"/>
  <c r="G58" i="17"/>
  <c r="G80" i="17"/>
  <c r="G81" i="17"/>
  <c r="G77" i="17"/>
  <c r="G59" i="17"/>
  <c r="G50" i="17"/>
  <c r="G40" i="17"/>
  <c r="G49" i="17"/>
  <c r="G48" i="17"/>
  <c r="G29" i="17"/>
  <c r="G46" i="17"/>
  <c r="G9" i="17"/>
  <c r="Z8" i="19" s="1"/>
  <c r="G6" i="17"/>
  <c r="Z6" i="19" s="1"/>
  <c r="G150" i="17"/>
  <c r="G147" i="17"/>
  <c r="G128" i="17"/>
  <c r="G114" i="17"/>
  <c r="G105" i="17"/>
  <c r="G78" i="17"/>
  <c r="G37" i="17"/>
  <c r="Z34" i="19" s="1"/>
  <c r="G38" i="17"/>
  <c r="G21" i="17"/>
  <c r="G165" i="17"/>
  <c r="G132" i="17"/>
  <c r="G152" i="17"/>
  <c r="G129" i="17"/>
  <c r="G141" i="17"/>
  <c r="G137" i="17"/>
  <c r="G130" i="17"/>
  <c r="G106" i="17"/>
  <c r="G143" i="17"/>
  <c r="G123" i="17"/>
  <c r="G115" i="17"/>
  <c r="G111" i="17"/>
  <c r="G103" i="17"/>
  <c r="G98" i="17"/>
  <c r="G96" i="17"/>
  <c r="G76" i="17"/>
  <c r="G71" i="17"/>
  <c r="G54" i="17"/>
  <c r="G68" i="17"/>
  <c r="G82" i="17"/>
  <c r="G43" i="17"/>
  <c r="G52" i="17"/>
  <c r="G41" i="17"/>
  <c r="G30" i="17"/>
  <c r="G25" i="17"/>
  <c r="G20" i="17"/>
  <c r="G12" i="17"/>
  <c r="Z165" i="19" l="1"/>
  <c r="Z166" i="19"/>
  <c r="Z163" i="19"/>
  <c r="Z164" i="19"/>
  <c r="Z161" i="19"/>
  <c r="Z162" i="19"/>
  <c r="Z108" i="19"/>
  <c r="Z80" i="19"/>
  <c r="Z23" i="19"/>
  <c r="Z134" i="19"/>
  <c r="Z130" i="19"/>
  <c r="Z11" i="19"/>
  <c r="Z18" i="19"/>
  <c r="Z48" i="19"/>
  <c r="Z7" i="19"/>
  <c r="Z40" i="19"/>
  <c r="Z65" i="19"/>
  <c r="Z159" i="19"/>
  <c r="Z160" i="19"/>
  <c r="Z95" i="19"/>
  <c r="Z61" i="19"/>
  <c r="Z38" i="19"/>
  <c r="Z20" i="19"/>
  <c r="Z12" i="19"/>
  <c r="Z50" i="19"/>
  <c r="Z28" i="19"/>
  <c r="Z70" i="19"/>
  <c r="Z143" i="19"/>
  <c r="Z54" i="19"/>
  <c r="Z101" i="19"/>
  <c r="Z21" i="19"/>
  <c r="Z4" i="19"/>
  <c r="Z32" i="19"/>
  <c r="Z22" i="19"/>
  <c r="Z41" i="19"/>
  <c r="Z151" i="19"/>
  <c r="Z39" i="19"/>
  <c r="Z5" i="19"/>
  <c r="Z153" i="19"/>
  <c r="Z118" i="19"/>
  <c r="Z140" i="19"/>
  <c r="Z92" i="19"/>
  <c r="Z119" i="19"/>
  <c r="Z16" i="19"/>
  <c r="Z90" i="19"/>
  <c r="Z35" i="19"/>
  <c r="Z42" i="19"/>
  <c r="Z36" i="19"/>
  <c r="Z52" i="19"/>
  <c r="Z29" i="19"/>
  <c r="Z136" i="19"/>
  <c r="Z14" i="19"/>
  <c r="Z99" i="19"/>
  <c r="Z123" i="19"/>
  <c r="Z75" i="19"/>
  <c r="Z19" i="19"/>
  <c r="Z10" i="19"/>
  <c r="Z30" i="19"/>
  <c r="Z31" i="19"/>
  <c r="Z26" i="19"/>
  <c r="Z13" i="19"/>
  <c r="Z24" i="19"/>
  <c r="Z27" i="19"/>
  <c r="Z43" i="19"/>
  <c r="Z9" i="19"/>
  <c r="Z145" i="19"/>
  <c r="Z44" i="19"/>
  <c r="Z88" i="19"/>
  <c r="Z121" i="19"/>
  <c r="Z33" i="19"/>
  <c r="Z15" i="19"/>
  <c r="Z25" i="19"/>
  <c r="Z17" i="19"/>
  <c r="Z37" i="19"/>
  <c r="Z111" i="19"/>
  <c r="Z148" i="19"/>
  <c r="Z114" i="19"/>
  <c r="Z46" i="19"/>
  <c r="Z94" i="19"/>
  <c r="Z68" i="19"/>
  <c r="Z86" i="19"/>
  <c r="Z104" i="19"/>
  <c r="Z122" i="19"/>
  <c r="Z57" i="19"/>
  <c r="Z89" i="19"/>
  <c r="Z53" i="19"/>
  <c r="Z45" i="19"/>
  <c r="Z83" i="19"/>
  <c r="Z109" i="19"/>
  <c r="Z58" i="19"/>
  <c r="Z141" i="19"/>
  <c r="Z81" i="19"/>
  <c r="Z96" i="19"/>
  <c r="Z127" i="19"/>
  <c r="Z133" i="19"/>
  <c r="Z156" i="19"/>
  <c r="Z115" i="19"/>
  <c r="Z74" i="19"/>
  <c r="Z155" i="19"/>
  <c r="Z139" i="19"/>
  <c r="Z56" i="19"/>
  <c r="Z47" i="19"/>
  <c r="Z107" i="19"/>
  <c r="Z125" i="19"/>
  <c r="Z103" i="19"/>
  <c r="Z63" i="19"/>
  <c r="Z49" i="19"/>
  <c r="Z51" i="19"/>
  <c r="Z79" i="19"/>
  <c r="Z55" i="19"/>
  <c r="Z113" i="19"/>
  <c r="Z147" i="19"/>
  <c r="Z84" i="19"/>
  <c r="Z93" i="19"/>
  <c r="Z131" i="19"/>
  <c r="Z102" i="19"/>
  <c r="Z124" i="19"/>
  <c r="Z154" i="19"/>
  <c r="Z106" i="19"/>
  <c r="Z73" i="19"/>
  <c r="Z132" i="19"/>
  <c r="Z64" i="19"/>
  <c r="Z78" i="19"/>
  <c r="Z72" i="19"/>
  <c r="Z97" i="19"/>
  <c r="Z128" i="19"/>
  <c r="Z138" i="19"/>
  <c r="Z146" i="19"/>
  <c r="Z100" i="19"/>
  <c r="Z71" i="19"/>
  <c r="Z76" i="19"/>
  <c r="Z98" i="19"/>
  <c r="Z120" i="19"/>
  <c r="Z66" i="19"/>
  <c r="Z142" i="19"/>
  <c r="Z150" i="19"/>
  <c r="Z59" i="19"/>
  <c r="Z87" i="19"/>
  <c r="Z152" i="19"/>
  <c r="Z126" i="19"/>
  <c r="Z137" i="19"/>
  <c r="Z67" i="19"/>
  <c r="Z91" i="19"/>
  <c r="Z117" i="19"/>
  <c r="Z77" i="19"/>
  <c r="Z129" i="19"/>
  <c r="Z116" i="19"/>
  <c r="Z105" i="19"/>
  <c r="Z112" i="19"/>
  <c r="Z144" i="19"/>
  <c r="Z60" i="19"/>
  <c r="Z85" i="19"/>
  <c r="Z157" i="19"/>
  <c r="Z158" i="19"/>
  <c r="Z135" i="19"/>
  <c r="Z149" i="19"/>
  <c r="Z62" i="19"/>
  <c r="Z82" i="19"/>
  <c r="Z69" i="19"/>
  <c r="Z110" i="19"/>
  <c r="B8" i="20"/>
  <c r="B9" i="20"/>
  <c r="B10" i="20" l="1"/>
  <c r="H33" i="17" s="1"/>
  <c r="H7" i="17" l="1"/>
  <c r="H60" i="17"/>
  <c r="H99" i="17"/>
  <c r="H153" i="17"/>
  <c r="H34" i="17"/>
  <c r="H55" i="17"/>
  <c r="H5" i="17"/>
  <c r="H14" i="17"/>
  <c r="H45" i="17"/>
  <c r="H117" i="17"/>
  <c r="H107" i="17"/>
  <c r="H61" i="17"/>
  <c r="H158" i="17"/>
  <c r="H85" i="17"/>
  <c r="H4" i="17"/>
  <c r="H97" i="17"/>
  <c r="H90" i="17"/>
  <c r="H91" i="17"/>
  <c r="H15" i="17"/>
  <c r="H19" i="17"/>
  <c r="H44" i="17"/>
  <c r="H27" i="17"/>
  <c r="H28" i="17"/>
  <c r="H47" i="17"/>
  <c r="H75" i="17"/>
  <c r="H135" i="17"/>
  <c r="H84" i="17"/>
  <c r="H83" i="17"/>
  <c r="H70" i="17"/>
  <c r="H124" i="17"/>
  <c r="H139" i="17"/>
  <c r="H26" i="17"/>
  <c r="H56" i="17"/>
  <c r="H32" i="17"/>
  <c r="H100" i="17"/>
  <c r="H10" i="17"/>
  <c r="H93" i="17"/>
  <c r="H160" i="17"/>
  <c r="H79" i="17"/>
  <c r="H154" i="17"/>
  <c r="H31" i="17"/>
  <c r="H64" i="17"/>
  <c r="H88" i="17"/>
  <c r="H22" i="17"/>
  <c r="H24" i="17"/>
  <c r="H66" i="17"/>
  <c r="H11" i="17"/>
  <c r="H17" i="17"/>
  <c r="H67" i="17"/>
  <c r="H156" i="17"/>
  <c r="H125" i="17"/>
  <c r="H129" i="17"/>
  <c r="H134" i="17"/>
  <c r="H41" i="17"/>
  <c r="H18" i="17"/>
  <c r="H92" i="17"/>
  <c r="H65" i="17"/>
  <c r="H151" i="17"/>
  <c r="H105" i="17"/>
  <c r="H82" i="17"/>
  <c r="H58" i="17"/>
  <c r="H108" i="17"/>
  <c r="H63" i="17"/>
  <c r="H71" i="17"/>
  <c r="H96" i="17"/>
  <c r="H69" i="17"/>
  <c r="H150" i="17"/>
  <c r="H74" i="17"/>
  <c r="H23" i="17"/>
  <c r="H119" i="17"/>
  <c r="H57" i="17"/>
  <c r="H29" i="17"/>
  <c r="H162" i="17"/>
  <c r="H98" i="17"/>
  <c r="H76" i="17"/>
  <c r="H132" i="17"/>
  <c r="H95" i="17"/>
  <c r="H149" i="17"/>
  <c r="H53" i="17"/>
  <c r="H9" i="17"/>
  <c r="H73" i="17"/>
  <c r="H102" i="17"/>
  <c r="H16" i="17"/>
  <c r="H130" i="17"/>
  <c r="H21" i="17"/>
  <c r="H147" i="17"/>
  <c r="H161" i="17"/>
  <c r="H62" i="17"/>
  <c r="H8" i="17"/>
  <c r="H68" i="17"/>
  <c r="H115" i="17"/>
  <c r="H51" i="17"/>
  <c r="H145" i="17"/>
  <c r="H120" i="17"/>
  <c r="H39" i="17"/>
  <c r="H104" i="17"/>
  <c r="H80" i="17"/>
  <c r="H122" i="17"/>
  <c r="H101" i="17"/>
  <c r="H144" i="17"/>
  <c r="H155" i="17"/>
  <c r="H94" i="17"/>
  <c r="H114" i="17"/>
  <c r="H89" i="17"/>
  <c r="H13" i="17"/>
  <c r="H6" i="17"/>
  <c r="H121" i="17"/>
  <c r="H113" i="17"/>
  <c r="H30" i="17"/>
  <c r="H163" i="17"/>
  <c r="H20" i="17"/>
  <c r="H123" i="17"/>
  <c r="H49" i="17"/>
  <c r="H112" i="17"/>
  <c r="H136" i="17"/>
  <c r="H141" i="17"/>
  <c r="H131" i="17"/>
  <c r="H128" i="17"/>
  <c r="H103" i="17"/>
  <c r="H46" i="17"/>
  <c r="H126" i="17"/>
  <c r="H109" i="17"/>
  <c r="H116" i="17"/>
  <c r="H36" i="17"/>
  <c r="H48" i="17"/>
  <c r="H133" i="17"/>
  <c r="H87" i="17"/>
  <c r="H111" i="17"/>
  <c r="H35" i="17"/>
  <c r="H52" i="17"/>
  <c r="H77" i="17"/>
  <c r="H148" i="17"/>
  <c r="H86" i="17"/>
  <c r="H50" i="17"/>
  <c r="H37" i="17"/>
  <c r="H25" i="17"/>
  <c r="H143" i="17"/>
  <c r="H40" i="17"/>
  <c r="H142" i="17"/>
  <c r="H164" i="17"/>
  <c r="H12" i="17"/>
  <c r="H146" i="17"/>
  <c r="H106" i="17"/>
  <c r="H159" i="17"/>
  <c r="H72" i="17"/>
  <c r="H59" i="17"/>
  <c r="H138" i="17"/>
  <c r="H42" i="17"/>
  <c r="H165" i="17"/>
  <c r="AA166" i="19" s="1"/>
  <c r="H78" i="17"/>
  <c r="H54" i="17"/>
  <c r="H152" i="17"/>
  <c r="H110" i="17"/>
  <c r="H140" i="17"/>
  <c r="H3" i="17"/>
  <c r="AA4" i="19" s="1"/>
  <c r="H127" i="17"/>
  <c r="H38" i="17"/>
  <c r="H43" i="17"/>
  <c r="H137" i="17"/>
  <c r="H81" i="17"/>
  <c r="H157" i="17"/>
  <c r="H118" i="17"/>
  <c r="H14" i="19"/>
  <c r="H15" i="19"/>
  <c r="G15" i="19"/>
  <c r="G14" i="19"/>
  <c r="G13" i="19"/>
  <c r="H13" i="19"/>
  <c r="H11" i="19"/>
  <c r="H12" i="19"/>
  <c r="G12" i="19"/>
  <c r="G11" i="19"/>
  <c r="AA164" i="19" l="1"/>
  <c r="AA165" i="19"/>
  <c r="AA163" i="19"/>
  <c r="AA162" i="19"/>
  <c r="AA161" i="19"/>
  <c r="AA6" i="19"/>
  <c r="AA8" i="19"/>
  <c r="AA7" i="19"/>
  <c r="AA160" i="19"/>
  <c r="AA40" i="19"/>
  <c r="AA42" i="19"/>
  <c r="AA35" i="19"/>
  <c r="AA111" i="19"/>
  <c r="AA23" i="19"/>
  <c r="AA34" i="19"/>
  <c r="AA39" i="19"/>
  <c r="AA36" i="19"/>
  <c r="AA113" i="19"/>
  <c r="AA33" i="19"/>
  <c r="AA20" i="19"/>
  <c r="AA159" i="19"/>
  <c r="AA139" i="19"/>
  <c r="AA88" i="19"/>
  <c r="AA61" i="19"/>
  <c r="AA133" i="19"/>
  <c r="AA54" i="19"/>
  <c r="AA151" i="19"/>
  <c r="AA67" i="19"/>
  <c r="AA12" i="19"/>
  <c r="AA31" i="19"/>
  <c r="AA27" i="19"/>
  <c r="AA18" i="19"/>
  <c r="AA5" i="19"/>
  <c r="AA25" i="19"/>
  <c r="AA11" i="19"/>
  <c r="AA28" i="19"/>
  <c r="AA21" i="19"/>
  <c r="AA22" i="19"/>
  <c r="AA94" i="19"/>
  <c r="AA14" i="19"/>
  <c r="AA71" i="19"/>
  <c r="AA50" i="19"/>
  <c r="AA16" i="19"/>
  <c r="AA38" i="19"/>
  <c r="AA17" i="19"/>
  <c r="AA37" i="19"/>
  <c r="AA102" i="19"/>
  <c r="AA30" i="19"/>
  <c r="AA145" i="19"/>
  <c r="AA130" i="19"/>
  <c r="AA153" i="19"/>
  <c r="AA60" i="19"/>
  <c r="AA80" i="19"/>
  <c r="AA15" i="19"/>
  <c r="AA24" i="19"/>
  <c r="AA43" i="19"/>
  <c r="AA96" i="19"/>
  <c r="AA10" i="19"/>
  <c r="AA26" i="19"/>
  <c r="AA44" i="19"/>
  <c r="AA19" i="19"/>
  <c r="AA41" i="19"/>
  <c r="AA123" i="19"/>
  <c r="AA9" i="19"/>
  <c r="AA109" i="19"/>
  <c r="AA128" i="19"/>
  <c r="AA13" i="19"/>
  <c r="AA32" i="19"/>
  <c r="AA119" i="19"/>
  <c r="AA29" i="19"/>
  <c r="AA45" i="19"/>
  <c r="AA149" i="19"/>
  <c r="AA74" i="19"/>
  <c r="AA92" i="19"/>
  <c r="AA83" i="19"/>
  <c r="AA99" i="19"/>
  <c r="AA101" i="19"/>
  <c r="AA46" i="19"/>
  <c r="AA51" i="19"/>
  <c r="AA56" i="19"/>
  <c r="AA126" i="19"/>
  <c r="AA48" i="19"/>
  <c r="AA75" i="19"/>
  <c r="AA116" i="19"/>
  <c r="AA65" i="19"/>
  <c r="AA86" i="19"/>
  <c r="AA147" i="19"/>
  <c r="AA49" i="19"/>
  <c r="AA53" i="19"/>
  <c r="AA155" i="19"/>
  <c r="AA52" i="19"/>
  <c r="AA120" i="19"/>
  <c r="AA156" i="19"/>
  <c r="AA141" i="19"/>
  <c r="AA47" i="19"/>
  <c r="AA55" i="19"/>
  <c r="AA70" i="19"/>
  <c r="AA103" i="19"/>
  <c r="AA107" i="19"/>
  <c r="AA157" i="19"/>
  <c r="AA124" i="19"/>
  <c r="AA148" i="19"/>
  <c r="AA118" i="19"/>
  <c r="AA66" i="19"/>
  <c r="AA135" i="19"/>
  <c r="AA114" i="19"/>
  <c r="AA78" i="19"/>
  <c r="AA63" i="19"/>
  <c r="AA85" i="19"/>
  <c r="AA104" i="19"/>
  <c r="AA97" i="19"/>
  <c r="AA91" i="19"/>
  <c r="AA81" i="19"/>
  <c r="AA57" i="19"/>
  <c r="AA73" i="19"/>
  <c r="AA132" i="19"/>
  <c r="AA121" i="19"/>
  <c r="AA140" i="19"/>
  <c r="AA142" i="19"/>
  <c r="AA112" i="19"/>
  <c r="AA152" i="19"/>
  <c r="AA117" i="19"/>
  <c r="AA79" i="19"/>
  <c r="AA138" i="19"/>
  <c r="AA89" i="19"/>
  <c r="AA127" i="19"/>
  <c r="AA87" i="19"/>
  <c r="AA64" i="19"/>
  <c r="AA146" i="19"/>
  <c r="AA134" i="19"/>
  <c r="AA106" i="19"/>
  <c r="AA137" i="19"/>
  <c r="AA125" i="19"/>
  <c r="AA68" i="19"/>
  <c r="AA76" i="19"/>
  <c r="AA122" i="19"/>
  <c r="AA77" i="19"/>
  <c r="AA131" i="19"/>
  <c r="AA72" i="19"/>
  <c r="AA108" i="19"/>
  <c r="AA143" i="19"/>
  <c r="AA98" i="19"/>
  <c r="AA82" i="19"/>
  <c r="AA93" i="19"/>
  <c r="AA100" i="19"/>
  <c r="AA105" i="19"/>
  <c r="AA115" i="19"/>
  <c r="AA95" i="19"/>
  <c r="AA144" i="19"/>
  <c r="AA150" i="19"/>
  <c r="AA59" i="19"/>
  <c r="AA129" i="19"/>
  <c r="AA110" i="19"/>
  <c r="AA136" i="19"/>
  <c r="AA154" i="19"/>
  <c r="AA90" i="19"/>
  <c r="AA58" i="19"/>
  <c r="AA62" i="19"/>
  <c r="AA69" i="19"/>
  <c r="AA84" i="19"/>
  <c r="AA158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H10" i="19"/>
  <c r="G10" i="19"/>
  <c r="B23" i="20" l="1"/>
  <c r="B24" i="20"/>
  <c r="S113" i="19"/>
  <c r="R22" i="19"/>
  <c r="U103" i="19"/>
  <c r="S40" i="19"/>
  <c r="U128" i="19"/>
  <c r="Q117" i="19"/>
  <c r="T117" i="19"/>
  <c r="T42" i="19"/>
  <c r="R58" i="19"/>
  <c r="Q6" i="19"/>
  <c r="S137" i="19"/>
  <c r="T78" i="19"/>
  <c r="S85" i="19"/>
  <c r="U14" i="19"/>
  <c r="R68" i="19"/>
  <c r="Q31" i="19"/>
  <c r="U78" i="19"/>
  <c r="U45" i="19"/>
  <c r="R97" i="19"/>
  <c r="R55" i="19"/>
  <c r="P62" i="19"/>
  <c r="Q87" i="19"/>
  <c r="Q43" i="19"/>
  <c r="P8" i="19"/>
  <c r="T84" i="19"/>
  <c r="Q136" i="19"/>
  <c r="Q25" i="19"/>
  <c r="S14" i="19"/>
  <c r="R76" i="19"/>
  <c r="T71" i="19"/>
  <c r="T114" i="19"/>
  <c r="U151" i="19"/>
  <c r="U66" i="19"/>
  <c r="Q47" i="19"/>
  <c r="R72" i="19"/>
  <c r="Q147" i="19"/>
  <c r="R99" i="19"/>
  <c r="T157" i="19"/>
  <c r="R152" i="19"/>
  <c r="Q26" i="19"/>
  <c r="P22" i="19"/>
  <c r="T63" i="19"/>
  <c r="R65" i="19"/>
  <c r="T148" i="19"/>
  <c r="P67" i="19"/>
  <c r="Q74" i="19"/>
  <c r="U9" i="19"/>
  <c r="R43" i="19"/>
  <c r="T122" i="19"/>
  <c r="P32" i="19"/>
  <c r="T139" i="19"/>
  <c r="U5" i="19"/>
  <c r="P120" i="19"/>
  <c r="T108" i="19"/>
  <c r="S139" i="19"/>
  <c r="P12" i="19"/>
  <c r="Q156" i="19"/>
  <c r="T12" i="19"/>
  <c r="Q61" i="19"/>
  <c r="Q104" i="19"/>
  <c r="T106" i="19"/>
  <c r="T28" i="19"/>
  <c r="P55" i="19"/>
  <c r="S96" i="19"/>
  <c r="H4" i="19"/>
  <c r="S146" i="19"/>
  <c r="U119" i="19"/>
  <c r="Q128" i="19"/>
  <c r="T126" i="19"/>
  <c r="R153" i="19"/>
  <c r="R109" i="19"/>
  <c r="Q152" i="19"/>
  <c r="U150" i="19"/>
  <c r="R48" i="19"/>
  <c r="P89" i="19"/>
  <c r="Q70" i="19"/>
  <c r="T103" i="19"/>
  <c r="P102" i="19"/>
  <c r="U102" i="19"/>
  <c r="Q27" i="19"/>
  <c r="U145" i="19"/>
  <c r="P117" i="19"/>
  <c r="S119" i="19"/>
  <c r="R31" i="19"/>
  <c r="T99" i="19"/>
  <c r="S43" i="19"/>
  <c r="P157" i="19"/>
  <c r="R121" i="19"/>
  <c r="Q75" i="19"/>
  <c r="S108" i="19"/>
  <c r="U85" i="19"/>
  <c r="P9" i="19"/>
  <c r="P96" i="19"/>
  <c r="P64" i="19"/>
  <c r="R59" i="19"/>
  <c r="T116" i="19"/>
  <c r="U100" i="19"/>
  <c r="R61" i="19"/>
  <c r="S83" i="19"/>
  <c r="R90" i="19"/>
  <c r="U52" i="19"/>
  <c r="S150" i="19"/>
  <c r="T120" i="19"/>
  <c r="P19" i="19"/>
  <c r="P82" i="19"/>
  <c r="U7" i="19"/>
  <c r="P105" i="19"/>
  <c r="S50" i="19"/>
  <c r="P114" i="19"/>
  <c r="Q18" i="19"/>
  <c r="S120" i="19"/>
  <c r="U20" i="19"/>
  <c r="R104" i="19"/>
  <c r="R81" i="19"/>
  <c r="U61" i="19"/>
  <c r="S154" i="19"/>
  <c r="U109" i="19"/>
  <c r="U10" i="19"/>
  <c r="U98" i="19"/>
  <c r="R136" i="19"/>
  <c r="U70" i="19"/>
  <c r="Q97" i="19"/>
  <c r="U105" i="19"/>
  <c r="T93" i="19"/>
  <c r="T111" i="19"/>
  <c r="R71" i="19"/>
  <c r="T89" i="19"/>
  <c r="U90" i="19"/>
  <c r="P98" i="19"/>
  <c r="R105" i="19"/>
  <c r="T8" i="19"/>
  <c r="T80" i="19"/>
  <c r="T41" i="19"/>
  <c r="T47" i="19"/>
  <c r="R102" i="19"/>
  <c r="P132" i="19"/>
  <c r="R123" i="19"/>
  <c r="P4" i="19"/>
  <c r="Q111" i="19"/>
  <c r="S99" i="19"/>
  <c r="R156" i="19"/>
  <c r="U94" i="19"/>
  <c r="T37" i="19"/>
  <c r="G8" i="19"/>
  <c r="S151" i="19"/>
  <c r="S48" i="19"/>
  <c r="S141" i="19"/>
  <c r="T94" i="19"/>
  <c r="R110" i="19"/>
  <c r="S37" i="19"/>
  <c r="T7" i="19"/>
  <c r="S17" i="19"/>
  <c r="Q121" i="19"/>
  <c r="U99" i="19"/>
  <c r="S70" i="19"/>
  <c r="G7" i="19"/>
  <c r="Q99" i="19"/>
  <c r="P65" i="19"/>
  <c r="U27" i="19"/>
  <c r="R113" i="19"/>
  <c r="R77" i="19"/>
  <c r="Q69" i="19"/>
  <c r="U131" i="19"/>
  <c r="T101" i="19"/>
  <c r="U24" i="19"/>
  <c r="Q101" i="19"/>
  <c r="P153" i="19"/>
  <c r="Q22" i="19"/>
  <c r="S39" i="19"/>
  <c r="U38" i="19"/>
  <c r="U154" i="19"/>
  <c r="Q108" i="19"/>
  <c r="P92" i="19"/>
  <c r="P144" i="19"/>
  <c r="R157" i="19"/>
  <c r="P140" i="19"/>
  <c r="S23" i="19"/>
  <c r="Q81" i="19"/>
  <c r="R79" i="19"/>
  <c r="U138" i="19"/>
  <c r="S109" i="19"/>
  <c r="R115" i="19"/>
  <c r="P97" i="19"/>
  <c r="S18" i="19"/>
  <c r="Q144" i="19"/>
  <c r="S69" i="19"/>
  <c r="S117" i="19"/>
  <c r="U101" i="19"/>
  <c r="S88" i="19"/>
  <c r="P134" i="19"/>
  <c r="P79" i="19"/>
  <c r="Q14" i="19"/>
  <c r="U63" i="19"/>
  <c r="U134" i="19"/>
  <c r="P34" i="19"/>
  <c r="Q9" i="19"/>
  <c r="P115" i="19"/>
  <c r="T83" i="19"/>
  <c r="U62" i="19"/>
  <c r="Q64" i="19"/>
  <c r="U143" i="19"/>
  <c r="Q88" i="19"/>
  <c r="Q105" i="19"/>
  <c r="S52" i="19"/>
  <c r="P72" i="19"/>
  <c r="P20" i="19"/>
  <c r="U56" i="19"/>
  <c r="Q109" i="19"/>
  <c r="S158" i="19"/>
  <c r="Q135" i="19"/>
  <c r="Q62" i="19"/>
  <c r="P69" i="19"/>
  <c r="S124" i="19"/>
  <c r="T65" i="19"/>
  <c r="T96" i="19"/>
  <c r="R46" i="19"/>
  <c r="S147" i="19"/>
  <c r="S132" i="19"/>
  <c r="Q60" i="19"/>
  <c r="U86" i="19"/>
  <c r="S38" i="19"/>
  <c r="S53" i="19"/>
  <c r="S33" i="19"/>
  <c r="R87" i="19"/>
  <c r="R108" i="19"/>
  <c r="S107" i="19"/>
  <c r="P125" i="19"/>
  <c r="U132" i="19"/>
  <c r="T82" i="19"/>
  <c r="S98" i="19"/>
  <c r="R28" i="19"/>
  <c r="T144" i="19"/>
  <c r="P130" i="19"/>
  <c r="U122" i="19"/>
  <c r="R69" i="19"/>
  <c r="R20" i="19"/>
  <c r="S153" i="19"/>
  <c r="Q113" i="19"/>
  <c r="T21" i="19"/>
  <c r="T16" i="19"/>
  <c r="P51" i="19"/>
  <c r="T110" i="19"/>
  <c r="U124" i="19"/>
  <c r="R33" i="19"/>
  <c r="S4" i="19"/>
  <c r="R67" i="19"/>
  <c r="U33" i="19"/>
  <c r="U11" i="19"/>
  <c r="R23" i="19"/>
  <c r="R18" i="19"/>
  <c r="S112" i="19"/>
  <c r="S45" i="19"/>
  <c r="R38" i="19"/>
  <c r="Q96" i="19"/>
  <c r="T88" i="19"/>
  <c r="Q16" i="19"/>
  <c r="Q21" i="19"/>
  <c r="R64" i="19"/>
  <c r="P156" i="19"/>
  <c r="S67" i="19"/>
  <c r="U88" i="19"/>
  <c r="Q141" i="19"/>
  <c r="R131" i="19"/>
  <c r="U59" i="19"/>
  <c r="R134" i="19"/>
  <c r="P30" i="19"/>
  <c r="P147" i="19"/>
  <c r="R92" i="19"/>
  <c r="S65" i="19"/>
  <c r="P133" i="19"/>
  <c r="P104" i="19"/>
  <c r="T135" i="19"/>
  <c r="S118" i="19"/>
  <c r="S130" i="19"/>
  <c r="Q52" i="19"/>
  <c r="T134" i="19"/>
  <c r="R80" i="19"/>
  <c r="U69" i="19"/>
  <c r="P107" i="19"/>
  <c r="Q129" i="19"/>
  <c r="S58" i="19"/>
  <c r="T54" i="19"/>
  <c r="P42" i="19"/>
  <c r="U114" i="19"/>
  <c r="P149" i="19"/>
  <c r="T35" i="19"/>
  <c r="S142" i="19"/>
  <c r="R6" i="19"/>
  <c r="S44" i="19"/>
  <c r="U108" i="19"/>
  <c r="S46" i="19"/>
  <c r="S82" i="19"/>
  <c r="R5" i="19"/>
  <c r="P75" i="19"/>
  <c r="R137" i="19"/>
  <c r="P150" i="19"/>
  <c r="S93" i="19"/>
  <c r="U121" i="19"/>
  <c r="S110" i="19"/>
  <c r="S94" i="19"/>
  <c r="Q24" i="19"/>
  <c r="T70" i="19"/>
  <c r="R50" i="19"/>
  <c r="S106" i="19"/>
  <c r="S24" i="19"/>
  <c r="P126" i="19"/>
  <c r="S127" i="19"/>
  <c r="S32" i="19"/>
  <c r="S121" i="19"/>
  <c r="U19" i="19"/>
  <c r="T118" i="19"/>
  <c r="T102" i="19"/>
  <c r="R145" i="19"/>
  <c r="P94" i="19"/>
  <c r="S111" i="19"/>
  <c r="U74" i="19"/>
  <c r="T62" i="19"/>
  <c r="U80" i="19"/>
  <c r="S25" i="19"/>
  <c r="R21" i="19"/>
  <c r="P70" i="19"/>
  <c r="P33" i="19"/>
  <c r="Q114" i="19"/>
  <c r="T11" i="19"/>
  <c r="P122" i="19"/>
  <c r="R130" i="19"/>
  <c r="T49" i="19"/>
  <c r="Q13" i="19"/>
  <c r="Q51" i="19"/>
  <c r="R86" i="19"/>
  <c r="R62" i="19"/>
  <c r="Q46" i="19"/>
  <c r="H7" i="19"/>
  <c r="U127" i="19"/>
  <c r="U32" i="19"/>
  <c r="Q39" i="19"/>
  <c r="S95" i="19"/>
  <c r="R66" i="19"/>
  <c r="Q93" i="19"/>
  <c r="U96" i="19"/>
  <c r="T9" i="19"/>
  <c r="R47" i="19"/>
  <c r="Q35" i="19"/>
  <c r="R44" i="19"/>
  <c r="U120" i="19"/>
  <c r="T125" i="19"/>
  <c r="P5" i="19"/>
  <c r="P60" i="19"/>
  <c r="T74" i="19"/>
  <c r="R16" i="19"/>
  <c r="S91" i="19"/>
  <c r="R138" i="19"/>
  <c r="T51" i="19"/>
  <c r="P112" i="19"/>
  <c r="S62" i="19"/>
  <c r="P113" i="19"/>
  <c r="S157" i="19"/>
  <c r="S80" i="19"/>
  <c r="P111" i="19"/>
  <c r="P25" i="19"/>
  <c r="S86" i="19"/>
  <c r="P24" i="19"/>
  <c r="Q120" i="19"/>
  <c r="P16" i="19"/>
  <c r="Q10" i="19"/>
  <c r="T48" i="19"/>
  <c r="Q54" i="19"/>
  <c r="U81" i="19"/>
  <c r="Q143" i="19"/>
  <c r="P15" i="19"/>
  <c r="S63" i="19"/>
  <c r="P13" i="19"/>
  <c r="U133" i="19"/>
  <c r="Q11" i="19"/>
  <c r="U13" i="19"/>
  <c r="S7" i="19"/>
  <c r="R142" i="19"/>
  <c r="T129" i="19"/>
  <c r="S56" i="19"/>
  <c r="P131" i="19"/>
  <c r="U125" i="19"/>
  <c r="R107" i="19"/>
  <c r="R10" i="19"/>
  <c r="Q90" i="19"/>
  <c r="U47" i="19"/>
  <c r="R75" i="19"/>
  <c r="T136" i="19"/>
  <c r="S105" i="19"/>
  <c r="R45" i="19"/>
  <c r="R9" i="19"/>
  <c r="T53" i="19"/>
  <c r="P143" i="19"/>
  <c r="R12" i="19"/>
  <c r="Q37" i="19"/>
  <c r="P141" i="19"/>
  <c r="Q20" i="19"/>
  <c r="S128" i="19"/>
  <c r="T145" i="19"/>
  <c r="S64" i="19"/>
  <c r="U22" i="19"/>
  <c r="P21" i="19"/>
  <c r="P128" i="19"/>
  <c r="T119" i="19"/>
  <c r="Q110" i="19"/>
  <c r="S30" i="19"/>
  <c r="S34" i="19"/>
  <c r="Q82" i="19"/>
  <c r="Q4" i="19"/>
  <c r="R41" i="19"/>
  <c r="P50" i="19"/>
  <c r="U149" i="19"/>
  <c r="T32" i="19"/>
  <c r="U54" i="19"/>
  <c r="U126" i="19"/>
  <c r="S122" i="19"/>
  <c r="T131" i="19"/>
  <c r="R51" i="19"/>
  <c r="P146" i="19"/>
  <c r="P47" i="19"/>
  <c r="U158" i="19"/>
  <c r="S145" i="19"/>
  <c r="P78" i="19"/>
  <c r="P121" i="19"/>
  <c r="Q72" i="19"/>
  <c r="S103" i="19"/>
  <c r="R132" i="19"/>
  <c r="Q103" i="19"/>
  <c r="T64" i="19"/>
  <c r="T141" i="19"/>
  <c r="U35" i="19"/>
  <c r="U75" i="19"/>
  <c r="R39" i="19"/>
  <c r="U28" i="19"/>
  <c r="P95" i="19"/>
  <c r="R122" i="19"/>
  <c r="Q153" i="19"/>
  <c r="Q124" i="19"/>
  <c r="S136" i="19"/>
  <c r="Q123" i="19"/>
  <c r="T153" i="19"/>
  <c r="T92" i="19"/>
  <c r="S101" i="19"/>
  <c r="T130" i="19"/>
  <c r="R100" i="19"/>
  <c r="T29" i="19"/>
  <c r="U157" i="19"/>
  <c r="T60" i="19"/>
  <c r="Q150" i="19"/>
  <c r="S104" i="19"/>
  <c r="U76" i="19"/>
  <c r="Q138" i="19"/>
  <c r="R93" i="19"/>
  <c r="Q91" i="19"/>
  <c r="R127" i="19"/>
  <c r="U95" i="19"/>
  <c r="Q118" i="19"/>
  <c r="R140" i="19"/>
  <c r="P124" i="19"/>
  <c r="S116" i="19"/>
  <c r="U77" i="19"/>
  <c r="U29" i="19"/>
  <c r="U84" i="19"/>
  <c r="U4" i="19"/>
  <c r="Q157" i="19"/>
  <c r="T33" i="19"/>
  <c r="Q40" i="19"/>
  <c r="S140" i="19"/>
  <c r="S115" i="19"/>
  <c r="P45" i="19"/>
  <c r="T151" i="19"/>
  <c r="T112" i="19"/>
  <c r="R42" i="19"/>
  <c r="S49" i="19"/>
  <c r="U106" i="19"/>
  <c r="U21" i="19"/>
  <c r="P93" i="19"/>
  <c r="P83" i="19"/>
  <c r="Q94" i="19"/>
  <c r="S13" i="19"/>
  <c r="T38" i="19"/>
  <c r="S8" i="19"/>
  <c r="U110" i="19"/>
  <c r="T67" i="19"/>
  <c r="P59" i="19"/>
  <c r="Q63" i="19"/>
  <c r="P85" i="19"/>
  <c r="S21" i="19"/>
  <c r="R89" i="19"/>
  <c r="Q5" i="19"/>
  <c r="P63" i="19"/>
  <c r="S149" i="19"/>
  <c r="P109" i="19"/>
  <c r="R114" i="19"/>
  <c r="Q145" i="19"/>
  <c r="R151" i="19"/>
  <c r="Q146" i="19"/>
  <c r="P129" i="19"/>
  <c r="R103" i="19"/>
  <c r="P127" i="19"/>
  <c r="S97" i="19"/>
  <c r="S41" i="19"/>
  <c r="S129" i="19"/>
  <c r="T73" i="19"/>
  <c r="R154" i="19"/>
  <c r="R111" i="19"/>
  <c r="R57" i="19"/>
  <c r="U51" i="19"/>
  <c r="P142" i="19"/>
  <c r="S36" i="19"/>
  <c r="S114" i="19"/>
  <c r="T68" i="19"/>
  <c r="Q137" i="19"/>
  <c r="T43" i="19"/>
  <c r="T87" i="19"/>
  <c r="P11" i="19"/>
  <c r="P6" i="19"/>
  <c r="R125" i="19"/>
  <c r="S20" i="19"/>
  <c r="Q56" i="19"/>
  <c r="U50" i="19"/>
  <c r="U153" i="19"/>
  <c r="U93" i="19"/>
  <c r="U40" i="19"/>
  <c r="T14" i="19"/>
  <c r="R32" i="19"/>
  <c r="S135" i="19"/>
  <c r="S144" i="19"/>
  <c r="S81" i="19"/>
  <c r="R101" i="19"/>
  <c r="Q142" i="19"/>
  <c r="T137" i="19"/>
  <c r="Q59" i="19"/>
  <c r="P106" i="19"/>
  <c r="U58" i="19"/>
  <c r="R27" i="19"/>
  <c r="P91" i="19"/>
  <c r="T59" i="19"/>
  <c r="R129" i="19"/>
  <c r="T90" i="19"/>
  <c r="P88" i="19"/>
  <c r="S10" i="19"/>
  <c r="T124" i="19"/>
  <c r="S26" i="19"/>
  <c r="Q23" i="19"/>
  <c r="S74" i="19"/>
  <c r="P152" i="19"/>
  <c r="Q140" i="19"/>
  <c r="R15" i="19"/>
  <c r="T72" i="19"/>
  <c r="Q44" i="19"/>
  <c r="U55" i="19"/>
  <c r="T76" i="19"/>
  <c r="U130" i="19"/>
  <c r="Q85" i="19"/>
  <c r="U123" i="19"/>
  <c r="S5" i="19"/>
  <c r="S78" i="19"/>
  <c r="S138" i="19"/>
  <c r="S68" i="19"/>
  <c r="Q38" i="19"/>
  <c r="Q86" i="19"/>
  <c r="T86" i="19"/>
  <c r="P27" i="19"/>
  <c r="P74" i="19"/>
  <c r="Q106" i="19"/>
  <c r="S75" i="19"/>
  <c r="T17" i="19"/>
  <c r="T40" i="19"/>
  <c r="S59" i="19"/>
  <c r="U53" i="19"/>
  <c r="Q48" i="19"/>
  <c r="P73" i="19"/>
  <c r="P99" i="19"/>
  <c r="U89" i="19"/>
  <c r="R49" i="19"/>
  <c r="S155" i="19"/>
  <c r="P66" i="19"/>
  <c r="T154" i="19"/>
  <c r="P46" i="19"/>
  <c r="Q29" i="19"/>
  <c r="U60" i="19"/>
  <c r="T79" i="19"/>
  <c r="R96" i="19"/>
  <c r="H8" i="19"/>
  <c r="T6" i="19"/>
  <c r="Q55" i="19"/>
  <c r="S19" i="19"/>
  <c r="U23" i="19"/>
  <c r="Q73" i="19"/>
  <c r="Q116" i="19"/>
  <c r="T30" i="19"/>
  <c r="T36" i="19"/>
  <c r="U116" i="19"/>
  <c r="R19" i="19"/>
  <c r="S55" i="19"/>
  <c r="P110" i="19"/>
  <c r="R29" i="19"/>
  <c r="T133" i="19"/>
  <c r="P155" i="19"/>
  <c r="T69" i="19"/>
  <c r="S71" i="19"/>
  <c r="S15" i="19"/>
  <c r="T95" i="19"/>
  <c r="U155" i="19"/>
  <c r="U42" i="19"/>
  <c r="P18" i="19"/>
  <c r="T75" i="19"/>
  <c r="Q98" i="19"/>
  <c r="T52" i="19"/>
  <c r="T13" i="19"/>
  <c r="R73" i="19"/>
  <c r="Q84" i="19"/>
  <c r="T15" i="19"/>
  <c r="P37" i="19"/>
  <c r="T45" i="19"/>
  <c r="U141" i="19"/>
  <c r="T5" i="19"/>
  <c r="R60" i="19"/>
  <c r="Q58" i="19"/>
  <c r="R124" i="19"/>
  <c r="R150" i="19"/>
  <c r="S22" i="19"/>
  <c r="Q132" i="19"/>
  <c r="U44" i="19"/>
  <c r="P17" i="19"/>
  <c r="T155" i="19"/>
  <c r="P81" i="19"/>
  <c r="U41" i="19"/>
  <c r="P35" i="19"/>
  <c r="P139" i="19"/>
  <c r="R85" i="19"/>
  <c r="Q66" i="19"/>
  <c r="Q67" i="19"/>
  <c r="U91" i="19"/>
  <c r="S28" i="19"/>
  <c r="Q41" i="19"/>
  <c r="G9" i="19"/>
  <c r="T138" i="19"/>
  <c r="P61" i="19"/>
  <c r="R54" i="19"/>
  <c r="R88" i="19"/>
  <c r="R83" i="19"/>
  <c r="R14" i="19"/>
  <c r="U83" i="19"/>
  <c r="U146" i="19"/>
  <c r="P28" i="19"/>
  <c r="R106" i="19"/>
  <c r="P31" i="19"/>
  <c r="U49" i="19"/>
  <c r="S16" i="19"/>
  <c r="U48" i="19"/>
  <c r="Q102" i="19"/>
  <c r="U12" i="19"/>
  <c r="U104" i="19"/>
  <c r="P7" i="19"/>
  <c r="R4" i="19"/>
  <c r="U36" i="19"/>
  <c r="Q154" i="19"/>
  <c r="R30" i="19"/>
  <c r="T142" i="19"/>
  <c r="Q149" i="19"/>
  <c r="R53" i="19"/>
  <c r="R120" i="19"/>
  <c r="T18" i="19"/>
  <c r="S100" i="19"/>
  <c r="Q112" i="19"/>
  <c r="U148" i="19"/>
  <c r="U34" i="19"/>
  <c r="U64" i="19"/>
  <c r="R112" i="19"/>
  <c r="S54" i="19"/>
  <c r="U113" i="19"/>
  <c r="T150" i="19"/>
  <c r="U25" i="19"/>
  <c r="T143" i="19"/>
  <c r="R148" i="19"/>
  <c r="S29" i="19"/>
  <c r="R117" i="19"/>
  <c r="U17" i="19"/>
  <c r="T104" i="19"/>
  <c r="U30" i="19"/>
  <c r="U46" i="19"/>
  <c r="Q42" i="19"/>
  <c r="Q119" i="19"/>
  <c r="Q107" i="19"/>
  <c r="P57" i="19"/>
  <c r="T27" i="19"/>
  <c r="T31" i="19"/>
  <c r="P44" i="19"/>
  <c r="U136" i="19"/>
  <c r="R126" i="19"/>
  <c r="P145" i="19"/>
  <c r="R11" i="19"/>
  <c r="T105" i="19"/>
  <c r="U37" i="19"/>
  <c r="S57" i="19"/>
  <c r="Q15" i="19"/>
  <c r="R98" i="19"/>
  <c r="Q115" i="19"/>
  <c r="S89" i="19"/>
  <c r="R78" i="19"/>
  <c r="R128" i="19"/>
  <c r="S31" i="19"/>
  <c r="Q77" i="19"/>
  <c r="P103" i="19"/>
  <c r="S156" i="19"/>
  <c r="R37" i="19"/>
  <c r="R147" i="19"/>
  <c r="S51" i="19"/>
  <c r="U156" i="19"/>
  <c r="R158" i="19"/>
  <c r="T58" i="19"/>
  <c r="S90" i="19"/>
  <c r="S84" i="19"/>
  <c r="T81" i="19"/>
  <c r="R116" i="19"/>
  <c r="P76" i="19"/>
  <c r="U18" i="19"/>
  <c r="S12" i="19"/>
  <c r="T4" i="19"/>
  <c r="U57" i="19"/>
  <c r="P71" i="19"/>
  <c r="Q127" i="19"/>
  <c r="Q34" i="19"/>
  <c r="Q28" i="19"/>
  <c r="P39" i="19"/>
  <c r="Q53" i="19"/>
  <c r="S47" i="19"/>
  <c r="Q158" i="19"/>
  <c r="R7" i="19"/>
  <c r="Q45" i="19"/>
  <c r="T57" i="19"/>
  <c r="S79" i="19"/>
  <c r="S102" i="19"/>
  <c r="T98" i="19"/>
  <c r="S131" i="19"/>
  <c r="T85" i="19"/>
  <c r="P14" i="19"/>
  <c r="H9" i="19"/>
  <c r="R143" i="19"/>
  <c r="P119" i="19"/>
  <c r="T115" i="19"/>
  <c r="S133" i="19"/>
  <c r="S77" i="19"/>
  <c r="P53" i="19"/>
  <c r="U111" i="19"/>
  <c r="R74" i="19"/>
  <c r="U31" i="19"/>
  <c r="S143" i="19"/>
  <c r="S125" i="19"/>
  <c r="R118" i="19"/>
  <c r="R13" i="19"/>
  <c r="Q76" i="19"/>
  <c r="T24" i="19"/>
  <c r="P154" i="19"/>
  <c r="G6" i="19"/>
  <c r="U39" i="19"/>
  <c r="P23" i="19"/>
  <c r="T127" i="19"/>
  <c r="P54" i="19"/>
  <c r="T140" i="19"/>
  <c r="U68" i="19"/>
  <c r="U73" i="19"/>
  <c r="P137" i="19"/>
  <c r="P151" i="19"/>
  <c r="P38" i="19"/>
  <c r="P135" i="19"/>
  <c r="R119" i="19"/>
  <c r="R95" i="19"/>
  <c r="U6" i="19"/>
  <c r="P49" i="19"/>
  <c r="T158" i="19"/>
  <c r="R94" i="19"/>
  <c r="S9" i="19"/>
  <c r="R149" i="19"/>
  <c r="R35" i="19"/>
  <c r="T100" i="19"/>
  <c r="T22" i="19"/>
  <c r="U16" i="19"/>
  <c r="T50" i="19"/>
  <c r="P138" i="19"/>
  <c r="Q125" i="19"/>
  <c r="P68" i="19"/>
  <c r="S123" i="19"/>
  <c r="T156" i="19"/>
  <c r="U115" i="19"/>
  <c r="S60" i="19"/>
  <c r="S11" i="19"/>
  <c r="U26" i="19"/>
  <c r="T113" i="19"/>
  <c r="Q83" i="19"/>
  <c r="U43" i="19"/>
  <c r="P43" i="19"/>
  <c r="Q17" i="19"/>
  <c r="Q133" i="19"/>
  <c r="S66" i="19"/>
  <c r="R133" i="19"/>
  <c r="P118" i="19"/>
  <c r="R52" i="19"/>
  <c r="P29" i="19"/>
  <c r="Q134" i="19"/>
  <c r="U71" i="19"/>
  <c r="T132" i="19"/>
  <c r="Q155" i="19"/>
  <c r="T26" i="19"/>
  <c r="P56" i="19"/>
  <c r="U139" i="19"/>
  <c r="T77" i="19"/>
  <c r="T55" i="19"/>
  <c r="Q126" i="19"/>
  <c r="U8" i="19"/>
  <c r="P87" i="19"/>
  <c r="S76" i="19"/>
  <c r="T10" i="19"/>
  <c r="T61" i="19"/>
  <c r="Q79" i="19"/>
  <c r="T23" i="19"/>
  <c r="P52" i="19"/>
  <c r="S152" i="19"/>
  <c r="R8" i="19"/>
  <c r="T152" i="19"/>
  <c r="S27" i="19"/>
  <c r="Q32" i="19"/>
  <c r="U147" i="19"/>
  <c r="R139" i="19"/>
  <c r="S61" i="19"/>
  <c r="T149" i="19"/>
  <c r="U82" i="19"/>
  <c r="U135" i="19"/>
  <c r="S73" i="19"/>
  <c r="T20" i="19"/>
  <c r="R36" i="19"/>
  <c r="T56" i="19"/>
  <c r="P48" i="19"/>
  <c r="P90" i="19"/>
  <c r="S134" i="19"/>
  <c r="S42" i="19"/>
  <c r="H5" i="19"/>
  <c r="R70" i="19"/>
  <c r="T121" i="19"/>
  <c r="U67" i="19"/>
  <c r="R91" i="19"/>
  <c r="Q131" i="19"/>
  <c r="T107" i="19"/>
  <c r="P77" i="19"/>
  <c r="T91" i="19"/>
  <c r="U142" i="19"/>
  <c r="R141" i="19"/>
  <c r="Q148" i="19"/>
  <c r="G5" i="19"/>
  <c r="U140" i="19"/>
  <c r="S126" i="19"/>
  <c r="U87" i="19"/>
  <c r="Q92" i="19"/>
  <c r="R82" i="19"/>
  <c r="U129" i="19"/>
  <c r="P100" i="19"/>
  <c r="S6" i="19"/>
  <c r="Q33" i="19"/>
  <c r="R146" i="19"/>
  <c r="R144" i="19"/>
  <c r="R34" i="19"/>
  <c r="Q50" i="19"/>
  <c r="T66" i="19"/>
  <c r="P86" i="19"/>
  <c r="P101" i="19"/>
  <c r="S92" i="19"/>
  <c r="P158" i="19"/>
  <c r="T46" i="19"/>
  <c r="Q95" i="19"/>
  <c r="R17" i="19"/>
  <c r="P10" i="19"/>
  <c r="P80" i="19"/>
  <c r="U79" i="19"/>
  <c r="T44" i="19"/>
  <c r="U97" i="19"/>
  <c r="U65" i="19"/>
  <c r="U137" i="19"/>
  <c r="T19" i="19"/>
  <c r="S87" i="19"/>
  <c r="U112" i="19"/>
  <c r="P123" i="19"/>
  <c r="T25" i="19"/>
  <c r="Q78" i="19"/>
  <c r="T123" i="19"/>
  <c r="R26" i="19"/>
  <c r="U107" i="19"/>
  <c r="U152" i="19"/>
  <c r="U144" i="19"/>
  <c r="P26" i="19"/>
  <c r="Q139" i="19"/>
  <c r="P116" i="19"/>
  <c r="P84" i="19"/>
  <c r="Q80" i="19"/>
  <c r="U72" i="19"/>
  <c r="R25" i="19"/>
  <c r="Q36" i="19"/>
  <c r="T109" i="19"/>
  <c r="Q19" i="19"/>
  <c r="S35" i="19"/>
  <c r="T147" i="19"/>
  <c r="T34" i="19"/>
  <c r="R40" i="19"/>
  <c r="T97" i="19"/>
  <c r="R155" i="19"/>
  <c r="R84" i="19"/>
  <c r="G4" i="19"/>
  <c r="U118" i="19"/>
  <c r="Q151" i="19"/>
  <c r="P136" i="19"/>
  <c r="S72" i="19"/>
  <c r="P58" i="19"/>
  <c r="Q89" i="19"/>
  <c r="H6" i="19"/>
  <c r="P41" i="19"/>
  <c r="Q57" i="19"/>
  <c r="U92" i="19"/>
  <c r="P148" i="19"/>
  <c r="U15" i="19"/>
  <c r="Q8" i="19"/>
  <c r="R63" i="19"/>
  <c r="Q122" i="19"/>
  <c r="S148" i="19"/>
  <c r="P36" i="19"/>
  <c r="Q12" i="19"/>
  <c r="T128" i="19"/>
  <c r="Q65" i="19"/>
  <c r="R24" i="19"/>
  <c r="Q100" i="19"/>
  <c r="P108" i="19"/>
  <c r="U117" i="19"/>
  <c r="R56" i="19"/>
  <c r="Q7" i="19"/>
  <c r="T39" i="19"/>
  <c r="Q130" i="19"/>
  <c r="Q49" i="19"/>
  <c r="R135" i="19"/>
  <c r="T146" i="19"/>
  <c r="Q30" i="19"/>
  <c r="Q68" i="19"/>
  <c r="P40" i="19"/>
  <c r="Q71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<sst xmlns="http://schemas.openxmlformats.org/spreadsheetml/2006/main" count="2374" uniqueCount="813">
  <si>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</si>
  <si>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</si>
  <si>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</si>
  <si>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</si>
  <si>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</si>
  <si>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</si>
  <si>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</si>
  <si>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</si>
  <si>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</si>
  <si>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</si>
  <si>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</si>
  <si>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</si>
  <si>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</si>
  <si>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</si>
  <si>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</si>
  <si>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</si>
  <si>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</si>
  <si>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</si>
  <si>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</si>
  <si>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</si>
  <si>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</si>
  <si>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</si>
  <si>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</si>
  <si>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</si>
  <si>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</si>
  <si>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</si>
  <si>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</si>
  <si>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</si>
  <si>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</si>
  <si>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</si>
  <si>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</si>
  <si>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</si>
  <si>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</si>
  <si>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</si>
  <si>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</si>
  <si>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</si>
  <si>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</si>
  <si>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</si>
  <si>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</si>
  <si>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</si>
  <si>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</si>
  <si>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</si>
  <si>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</si>
  <si>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</si>
  <si>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</si>
  <si>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</si>
  <si>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</si>
  <si>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</si>
  <si>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</si>
  <si>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</si>
  <si>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</si>
  <si>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</si>
  <si>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</si>
  <si>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</si>
  <si>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</si>
  <si>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</si>
  <si>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</si>
  <si>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</si>
  <si>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</si>
  <si>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</si>
  <si>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</si>
  <si>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</si>
  <si>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</si>
  <si>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</si>
  <si>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</si>
  <si>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</si>
  <si>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</si>
  <si>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</si>
  <si>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</si>
  <si>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</si>
  <si>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</si>
  <si>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</si>
  <si>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</si>
  <si>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</si>
  <si>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</si>
  <si>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</si>
  <si>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</si>
  <si>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</si>
  <si>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</si>
  <si>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</si>
  <si>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</si>
  <si>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</si>
  <si>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</si>
  <si>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</si>
  <si>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</si>
  <si>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</si>
  <si>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</si>
  <si>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</si>
  <si>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</si>
  <si>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</si>
  <si>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</si>
  <si>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</si>
  <si>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</si>
  <si>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</si>
  <si>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</si>
  <si>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</si>
  <si>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</si>
  <si>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</si>
  <si>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</si>
  <si>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</si>
  <si>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</si>
  <si>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</si>
  <si>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</si>
  <si>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</si>
  <si>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</si>
  <si>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</si>
  <si>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</si>
  <si>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</si>
  <si>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</si>
  <si>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</si>
  <si>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</si>
  <si>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</si>
  <si>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</si>
  <si>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</si>
  <si>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</si>
  <si>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</si>
  <si>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</si>
  <si>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</si>
  <si>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</si>
  <si>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</si>
  <si>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</si>
  <si>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</si>
  <si>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</si>
  <si>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</si>
  <si>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</si>
  <si>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</si>
  <si>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</si>
  <si>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</si>
  <si>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</si>
  <si>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</si>
  <si>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</si>
  <si>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</si>
  <si>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</si>
  <si>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</si>
  <si>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</si>
  <si>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</si>
  <si>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</si>
  <si>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</si>
  <si>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</si>
  <si>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</si>
  <si>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</si>
  <si>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</si>
  <si>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</si>
  <si>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</si>
  <si>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</si>
  <si>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</si>
  <si>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</si>
  <si>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</si>
  <si>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</si>
  <si>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</si>
  <si>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</si>
  <si>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</si>
  <si>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</si>
  <si>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</si>
  <si>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</si>
  <si>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</si>
  <si>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</si>
  <si>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</si>
  <si>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</si>
  <si>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</si>
  <si>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</si>
  <si>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</si>
  <si>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</si>
  <si>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</si>
  <si>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</si>
  <si>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</si>
  <si>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</si>
  <si>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</si>
  <si>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</si>
  <si>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</si>
  <si>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</si>
  <si>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</si>
  <si>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</si>
  <si>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</si>
  <si>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</si>
  <si>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</si>
  <si>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</si>
  <si>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</si>
  <si>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</si>
  <si>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</si>
  <si>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</si>
  <si>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</si>
  <si>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</si>
  <si>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</si>
  <si>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</si>
  <si>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</si>
  <si>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</si>
  <si>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</si>
  <si>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</si>
  <si>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</si>
  <si>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</si>
  <si>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</si>
  <si>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</si>
  <si>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</si>
  <si>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</si>
  <si>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</si>
  <si>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</si>
  <si>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</si>
  <si>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</si>
  <si>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</si>
  <si>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</si>
  <si>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</si>
  <si>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</si>
  <si>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</si>
  <si>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</si>
  <si>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</si>
  <si>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</si>
  <si>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</si>
  <si>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</si>
  <si>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</si>
  <si>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</si>
  <si>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</si>
  <si>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</si>
  <si>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</si>
  <si>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</si>
  <si>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</si>
  <si>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</si>
  <si>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</si>
  <si>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</si>
  <si>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</si>
  <si>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</si>
  <si>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</si>
  <si>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</si>
  <si>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</si>
  <si>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</si>
  <si>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</si>
  <si>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</si>
  <si>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</si>
  <si>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</si>
  <si>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</si>
  <si>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</si>
  <si>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</si>
  <si>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</si>
  <si>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</si>
  <si>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</si>
  <si>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</si>
  <si>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</si>
  <si>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</si>
  <si>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</si>
  <si>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</si>
  <si>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</si>
  <si>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</si>
  <si>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</si>
  <si>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</si>
  <si>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</si>
  <si>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</si>
  <si>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</si>
  <si>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</si>
  <si>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</si>
  <si>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</si>
  <si>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</si>
  <si>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</si>
  <si>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</si>
  <si>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</si>
  <si>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</si>
  <si>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</si>
  <si>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</si>
  <si>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</si>
  <si>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</si>
  <si>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</si>
  <si>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</si>
  <si>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</si>
  <si>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</si>
  <si>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</si>
  <si>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</si>
  <si>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</si>
  <si>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</si>
  <si>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</si>
  <si>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</si>
  <si>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</si>
  <si>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</si>
  <si>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</si>
  <si>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</si>
  <si>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</si>
  <si>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</si>
  <si>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</si>
  <si>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</si>
  <si>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</si>
  <si>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</si>
  <si>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</si>
  <si>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</si>
  <si>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</si>
  <si>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</si>
  <si>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</si>
  <si>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</si>
  <si>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</si>
  <si>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</si>
  <si>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</si>
  <si>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</si>
  <si>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</si>
  <si>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</si>
  <si>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</si>
  <si>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</si>
  <si>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</si>
  <si>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</si>
  <si>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</si>
  <si>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</si>
  <si>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</si>
  <si>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</si>
  <si>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</si>
  <si>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</si>
  <si>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</si>
  <si>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</si>
  <si>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</si>
  <si>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</si>
  <si>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</si>
  <si>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</si>
  <si>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</si>
  <si>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</si>
  <si>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</si>
  <si>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</si>
  <si>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</si>
  <si>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</si>
  <si>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</si>
  <si>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</si>
  <si>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</si>
  <si>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</si>
  <si>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</si>
  <si>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</si>
  <si>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</si>
  <si>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</si>
  <si>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</si>
  <si>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</si>
  <si>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</si>
  <si>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</si>
  <si>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</si>
  <si>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</si>
  <si>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</si>
  <si>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</si>
  <si>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</si>
  <si>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</si>
  <si>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</si>
  <si>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</si>
  <si>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</si>
  <si>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</si>
  <si>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</si>
  <si>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</si>
  <si>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</si>
  <si>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</si>
  <si>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</si>
  <si>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</si>
  <si>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</si>
  <si>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</si>
  <si>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</si>
  <si>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</si>
  <si>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</si>
  <si>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</si>
  <si>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</si>
  <si>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</si>
  <si>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</si>
  <si>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</si>
  <si>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</si>
  <si>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</si>
  <si>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</si>
  <si>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</si>
  <si>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</si>
  <si>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</si>
  <si>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</si>
  <si>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</si>
  <si>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</si>
  <si>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</si>
  <si>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</si>
  <si>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</si>
  <si>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</si>
  <si>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</si>
  <si>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</si>
  <si>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</si>
  <si>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</si>
  <si>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</si>
  <si>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</si>
  <si>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</si>
  <si>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</si>
  <si>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</si>
  <si>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</si>
  <si>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</si>
  <si>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</si>
  <si>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</si>
  <si>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</si>
  <si>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</si>
  <si>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</si>
  <si>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</si>
  <si>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</si>
  <si>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</si>
  <si>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</si>
  <si>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</si>
  <si>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</si>
  <si>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</si>
  <si>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</si>
  <si>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</si>
  <si>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</si>
  <si>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</si>
  <si>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</si>
  <si>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</si>
  <si>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</si>
  <si>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</si>
  <si>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</si>
  <si>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</si>
  <si>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</si>
  <si>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</si>
  <si>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</si>
  <si>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</si>
  <si>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</si>
  <si>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</si>
  <si>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</si>
  <si>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</si>
  <si>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</si>
  <si>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</si>
  <si>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</si>
  <si>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</si>
  <si>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</si>
  <si>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</si>
  <si>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</si>
  <si>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</si>
  <si>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</si>
  <si>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</si>
  <si>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</si>
  <si>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</si>
  <si>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</si>
  <si>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</si>
  <si>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</si>
  <si>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</si>
  <si>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</si>
  <si>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</si>
  <si>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</si>
  <si>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</si>
  <si>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</si>
  <si>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</si>
  <si>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</si>
  <si>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</si>
  <si>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</si>
  <si>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</si>
  <si>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</si>
  <si>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</si>
  <si>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</si>
  <si>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</si>
  <si>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</si>
  <si>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</si>
  <si>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</si>
  <si>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</si>
  <si>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</si>
  <si>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</si>
  <si>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</si>
  <si>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</si>
  <si>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</si>
  <si>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</si>
  <si>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</si>
  <si>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</si>
  <si>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</si>
  <si>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</si>
  <si>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</si>
  <si>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</si>
  <si>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</si>
  <si>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</si>
  <si>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</si>
  <si>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</si>
  <si>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</si>
  <si>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</si>
  <si>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</si>
  <si>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</si>
  <si>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</si>
  <si>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</si>
  <si>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</si>
  <si>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</si>
  <si>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</si>
  <si>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</si>
  <si>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</si>
  <si>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</si>
  <si>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</si>
  <si>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</si>
  <si>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</si>
  <si>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</si>
  <si>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</si>
  <si>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</si>
  <si>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</si>
  <si>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</si>
  <si>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</si>
  <si>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</si>
  <si>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</si>
  <si>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</si>
  <si>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</si>
  <si>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</si>
  <si>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</si>
  <si>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</si>
  <si>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</si>
  <si>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</si>
  <si>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</si>
  <si>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</si>
  <si>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</si>
  <si>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</si>
  <si>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</si>
  <si>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</si>
  <si>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</si>
  <si>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</si>
  <si>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</si>
  <si>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</si>
  <si>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</si>
  <si>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</si>
  <si>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</si>
  <si>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</si>
  <si>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</si>
  <si>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</si>
  <si>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</si>
  <si>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</si>
  <si>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</si>
  <si>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</si>
  <si>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</si>
  <si>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</si>
  <si>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</si>
  <si>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</si>
  <si>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</si>
  <si>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</si>
  <si>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</si>
  <si>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</si>
  <si>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</si>
  <si>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</si>
  <si>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</si>
  <si>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</si>
  <si>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</si>
  <si>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</si>
  <si>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</si>
  <si>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</si>
  <si>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</si>
  <si>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</si>
  <si>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</si>
  <si>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</si>
  <si>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</si>
  <si>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</si>
  <si>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</si>
  <si>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</si>
  <si>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</si>
  <si>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</si>
  <si>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</si>
  <si>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</si>
  <si>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</si>
  <si>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</si>
  <si>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</si>
  <si>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</si>
  <si>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</si>
  <si>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</si>
  <si>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</si>
  <si>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</si>
  <si>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</si>
  <si>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</si>
  <si>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</si>
  <si>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</si>
  <si>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</si>
  <si>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</si>
  <si>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</si>
  <si>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</si>
  <si>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</si>
  <si>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</si>
  <si>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</si>
  <si>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</si>
  <si>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</si>
  <si>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</si>
  <si>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</si>
  <si>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</si>
  <si>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</si>
  <si>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</si>
  <si>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</si>
  <si>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</si>
  <si>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</si>
  <si>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</si>
  <si>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</si>
  <si>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</si>
  <si>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</si>
  <si>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</si>
  <si>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</si>
  <si>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</si>
  <si>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</si>
  <si>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</si>
  <si>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</si>
  <si>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</si>
  <si>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</si>
  <si>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</si>
  <si>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</si>
  <si>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</si>
  <si>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</si>
  <si>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</si>
  <si>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</si>
  <si>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</si>
  <si>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</si>
  <si>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</si>
  <si>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</si>
  <si>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</si>
  <si>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</si>
  <si>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</si>
  <si>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</si>
  <si>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</si>
  <si>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</si>
  <si>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</si>
  <si>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</si>
  <si>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</si>
  <si>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</si>
  <si>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</si>
  <si>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</si>
  <si>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</si>
  <si>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</si>
  <si>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</si>
  <si>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</si>
  <si>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</si>
  <si>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</si>
  <si>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</si>
  <si>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</si>
  <si>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</si>
  <si>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</si>
  <si>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</si>
  <si>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</si>
  <si>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</si>
  <si>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</si>
  <si>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</si>
  <si>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</si>
  <si>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</si>
  <si>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</si>
  <si>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</si>
  <si>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</si>
  <si>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</si>
  <si>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</si>
  <si>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</si>
  <si>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</si>
  <si>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</si>
  <si>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</si>
  <si>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</si>
  <si>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</si>
  <si>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</si>
  <si>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</si>
  <si>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</si>
  <si>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</si>
  <si>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</si>
  <si>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</si>
  <si>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</si>
  <si>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</si>
  <si>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</si>
  <si>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</si>
  <si>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</si>
  <si>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</si>
  <si>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</si>
  <si>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</si>
  <si>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</si>
  <si>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</si>
  <si>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</si>
  <si>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</si>
  <si>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</si>
  <si>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</si>
  <si>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</si>
  <si>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</si>
  <si>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</si>
  <si>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</si>
  <si>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</si>
  <si>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</si>
  <si>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</si>
  <si>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</si>
  <si>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</si>
  <si>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</si>
  <si>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</si>
  <si>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</si>
  <si>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</si>
  <si>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</si>
  <si>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</si>
  <si>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</si>
  <si>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</si>
  <si>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</si>
  <si>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</si>
  <si>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</si>
  <si>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</si>
  <si>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</si>
  <si>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</si>
  <si>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</si>
  <si>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</si>
  <si>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</si>
  <si>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</si>
  <si>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</si>
  <si>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</si>
  <si>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</si>
  <si>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</si>
  <si>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Y</t>
  </si>
  <si>
    <t>Shirobako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</si>
  <si>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</si>
  <si>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</si>
  <si>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</si>
  <si>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</si>
  <si>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</si>
  <si>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</si>
  <si>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</si>
  <si>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</si>
  <si>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</si>
  <si>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</si>
  <si>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</si>
  <si>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</si>
  <si>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</si>
  <si>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</si>
  <si>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</si>
  <si>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</si>
  <si>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</si>
  <si>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</si>
  <si>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</si>
  <si>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</si>
  <si>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</si>
  <si>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</si>
  <si>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</si>
  <si>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</si>
  <si>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</si>
  <si>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</si>
  <si>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</si>
  <si>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</si>
  <si>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</si>
  <si>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</si>
  <si>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</si>
  <si>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</si>
  <si>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</si>
  <si>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</si>
  <si>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</si>
  <si>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</si>
  <si>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</si>
  <si>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</si>
  <si>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</si>
  <si>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</si>
  <si>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</si>
  <si>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</si>
  <si>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</si>
  <si>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</si>
  <si>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</si>
  <si>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</si>
  <si>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Koboli</t>
  </si>
  <si>
    <t>OWARANAI MAGIC HOUR</t>
  </si>
  <si>
    <t>Miyoshi Karin</t>
  </si>
  <si>
    <t>Durarara!!x2 Shou</t>
  </si>
  <si>
    <t>2014D</t>
  </si>
  <si>
    <t>Kantai Collection</t>
  </si>
  <si>
    <t>Death Parade</t>
  </si>
  <si>
    <t>Koufuku Graffiti</t>
  </si>
  <si>
    <t>Haruna</t>
  </si>
  <si>
    <t>Not the best show, but super enjoyable</t>
  </si>
  <si>
    <t>Lupin III</t>
  </si>
  <si>
    <t>Sidonia S2</t>
  </si>
  <si>
    <t>Chiyuki</t>
  </si>
  <si>
    <t>Hello!! Kiniro Mosaic</t>
  </si>
  <si>
    <t>2015A</t>
  </si>
  <si>
    <t>Yahari Ore no Seishun Love Comedy wa Machigatteiru. Zoku</t>
  </si>
  <si>
    <t>Dungeon ni Deai wo Motomeru no wa Machigatteiru Darou ka</t>
  </si>
  <si>
    <t>Ninja Slayer</t>
  </si>
  <si>
    <t>Thu</t>
  </si>
  <si>
    <t>Kujo Karen</t>
  </si>
  <si>
    <t>Hanayamata</t>
  </si>
  <si>
    <t>Gangsta</t>
  </si>
  <si>
    <t>Wakaba * Girl</t>
  </si>
  <si>
    <t>Aiz Wallenstein</t>
  </si>
  <si>
    <t>Shiina</t>
  </si>
  <si>
    <t>Himouto! Umaru-chan</t>
  </si>
  <si>
    <t>2015B</t>
  </si>
  <si>
    <t>Miss Monochrome: The Animation 2</t>
  </si>
  <si>
    <t>Shokugeki no Soma</t>
  </si>
  <si>
    <t>Reisen Udogein Inaba</t>
  </si>
  <si>
    <t>Touhou Project</t>
  </si>
  <si>
    <t>Everyone</t>
  </si>
  <si>
    <t>watch shirobako specials</t>
  </si>
  <si>
    <t>Non Non Biyori Repeat</t>
  </si>
  <si>
    <t>Charlotte</t>
  </si>
  <si>
    <t>Nakiri Alice</t>
  </si>
  <si>
    <t>Akiko</t>
  </si>
  <si>
    <t>Tomori Nao</t>
  </si>
  <si>
    <t>I wanted to like this, but pacing was just eh</t>
  </si>
  <si>
    <t>Kohashi Yuzuha</t>
  </si>
  <si>
    <t>Cute show, sasuga Hara Yui</t>
  </si>
  <si>
    <t>Kanau</t>
  </si>
  <si>
    <t>Noragami Aragoto</t>
  </si>
  <si>
    <t>One Punch Man</t>
  </si>
  <si>
    <t>SnK Spinoff</t>
  </si>
  <si>
    <t>2015C</t>
  </si>
  <si>
    <t>Yuru Yuri San☆Hai!</t>
  </si>
  <si>
    <t>Gochuumon wa Usagi Desu ka??</t>
  </si>
  <si>
    <t>GJM, Mezashite</t>
  </si>
  <si>
    <t>F-B, Ureshii</t>
  </si>
  <si>
    <t>Miss Monochrome: The Animation 3</t>
  </si>
  <si>
    <t>HS</t>
  </si>
  <si>
    <t>HS, FFF, DameDesuYo</t>
  </si>
  <si>
    <t>GATE</t>
  </si>
  <si>
    <t>Gakkou Gurashi</t>
  </si>
  <si>
    <t>Vivid, DameDesuYo</t>
  </si>
  <si>
    <t>Kantai-Subs, HS</t>
  </si>
  <si>
    <t>Mikakunin de Shinkoukei</t>
  </si>
  <si>
    <t>Fujimiya Konomi</t>
  </si>
  <si>
    <t>Subete ga F ni Naru</t>
  </si>
  <si>
    <t>DameDesuYo</t>
  </si>
  <si>
    <t>Guilty Crown</t>
  </si>
  <si>
    <t>Utawarerumono: Itsuwari no Kamen</t>
  </si>
  <si>
    <t>Mon</t>
  </si>
  <si>
    <t>Mekakucity</t>
  </si>
  <si>
    <t>Ayase Eri</t>
  </si>
  <si>
    <t>Shiba Miyuki</t>
  </si>
  <si>
    <t>Best school uniforms, best OP MC, Kyouko and Mayumi are also cool.</t>
  </si>
  <si>
    <t>Rakudai Kishi no Cavalry</t>
  </si>
  <si>
    <t>Kurogane Shizuku</t>
  </si>
  <si>
    <t>Kyoukai no Kanata Movie: I'll Be Here</t>
  </si>
  <si>
    <t>Movie</t>
  </si>
  <si>
    <t>BD Specials</t>
  </si>
  <si>
    <t>Kyoukai no Kanata: Shinonome</t>
  </si>
  <si>
    <t>Tomo-chan wa Onna no ko!</t>
  </si>
  <si>
    <t>Manga</t>
  </si>
  <si>
    <t>Light Novel</t>
  </si>
  <si>
    <t>Nanatsu no Taizai</t>
  </si>
  <si>
    <t>Spirit Circle</t>
  </si>
  <si>
    <t>Hazuki Kanon wa Amakunai</t>
  </si>
  <si>
    <t>Genos</t>
  </si>
  <si>
    <t>No Game No Life (BD)</t>
  </si>
  <si>
    <t>Soundtrack</t>
  </si>
  <si>
    <t>I don't even care</t>
  </si>
  <si>
    <t>Gakusen Toshi Asterisk</t>
  </si>
  <si>
    <t>Magata Shiki</t>
  </si>
  <si>
    <t>Great mystery anime, would recommend</t>
  </si>
  <si>
    <t>Toudou Kirin</t>
  </si>
  <si>
    <t>Kafuu Chino</t>
  </si>
  <si>
    <t>Vivid, 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</si>
</sst>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21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b/>
      <sz val="11"/>
      <color rgb="FF00000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6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6" fillId="0" borderId="24" xfId="0" applyNumberFormat="1" applyFont="1" applyFill="1" applyBorder="1" applyAlignment="1">
      <alignment horizontal="left"/>
    </xf>
    <xf numFmtId="0" fontId="6" fillId="0" borderId="13" xfId="0" applyNumberFormat="1" applyFont="1" applyBorder="1"/>
    <xf numFmtId="0" fontId="10" fillId="0" borderId="25" xfId="0" applyFont="1" applyBorder="1"/>
    <xf numFmtId="0" fontId="10" fillId="0" borderId="24" xfId="0" applyFont="1" applyBorder="1"/>
    <xf numFmtId="0" fontId="3" fillId="0" borderId="24" xfId="0" quotePrefix="1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14" fontId="3" fillId="0" borderId="24" xfId="0" applyNumberFormat="1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3" fillId="0" borderId="29" xfId="0" applyFont="1" applyBorder="1"/>
    <xf numFmtId="0" fontId="10" fillId="0" borderId="29" xfId="0" applyFont="1" applyBorder="1" applyAlignment="1">
      <alignment horizontal="left"/>
    </xf>
    <xf numFmtId="0" fontId="6" fillId="4" borderId="33" xfId="0" applyFont="1" applyFill="1" applyBorder="1"/>
    <xf numFmtId="0" fontId="6" fillId="4" borderId="34" xfId="0" applyFont="1" applyFill="1" applyBorder="1"/>
    <xf numFmtId="0" fontId="6" fillId="4" borderId="28" xfId="0" applyFont="1" applyFill="1" applyBorder="1"/>
    <xf numFmtId="0" fontId="15" fillId="0" borderId="24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29" xfId="0" applyFont="1" applyBorder="1" applyAlignment="1">
      <alignment horizontal="left"/>
    </xf>
    <xf numFmtId="0" fontId="18" fillId="0" borderId="13" xfId="0" applyFont="1" applyBorder="1"/>
    <xf numFmtId="0" fontId="18" fillId="0" borderId="15" xfId="0" applyFont="1" applyBorder="1"/>
    <xf numFmtId="164" fontId="18" fillId="0" borderId="15" xfId="0" applyNumberFormat="1" applyFont="1" applyBorder="1"/>
    <xf numFmtId="14" fontId="18" fillId="0" borderId="15" xfId="0" applyNumberFormat="1" applyFont="1" applyBorder="1" applyAlignment="1">
      <alignment horizontal="center"/>
    </xf>
    <xf numFmtId="0" fontId="18" fillId="0" borderId="15" xfId="0" applyNumberFormat="1" applyFont="1" applyBorder="1" applyAlignment="1">
      <alignment horizontal="left"/>
    </xf>
    <xf numFmtId="0" fontId="18" fillId="0" borderId="14" xfId="0" applyFont="1" applyBorder="1"/>
    <xf numFmtId="2" fontId="19" fillId="0" borderId="0" xfId="0" applyNumberFormat="1" applyFont="1" applyBorder="1"/>
    <xf numFmtId="2" fontId="20" fillId="0" borderId="0" xfId="0" applyNumberFormat="1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3" fillId="0" borderId="25" xfId="0" applyFont="1" applyBorder="1" applyAlignment="1"/>
    <xf numFmtId="0" fontId="6" fillId="0" borderId="15" xfId="0" quotePrefix="1" applyFont="1" applyBorder="1" applyAlignment="1">
      <alignment horizontal="right"/>
    </xf>
    <xf numFmtId="0" fontId="6" fillId="0" borderId="24" xfId="0" quotePrefix="1" applyFont="1" applyBorder="1" applyAlignment="1">
      <alignment horizontal="left"/>
    </xf>
    <xf numFmtId="0" fontId="3" fillId="0" borderId="1" xfId="0" quotePrefix="1" applyFont="1" applyBorder="1"/>
  </cellXfs>
  <cellStyles count="1">
    <cellStyle name="Normal" xfId="0" builtinId="0"/>
  </cellStyles>
  <dxfs count="98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border outline="0">
        <left style="thin">
          <color indexed="64"/>
        </left>
        <right style="thin">
          <color auto="1"/>
        </right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theme="0" tint="-0.1499679555650502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97"/>
      <tableStyleElement type="totalRow" dxfId="96"/>
      <tableStyleElement type="lastColumn" dxfId="95"/>
      <tableStyleElement type="firstRowStripe" dxfId="94"/>
      <tableStyleElement type="secondRowStripe" dxfId="9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101</c:v>
                </c:pt>
                <c:pt idx="1">
                  <c:v>110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HorribleSubs</c:v>
                </c:pt>
                <c:pt idx="1">
                  <c:v>Coalgirls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Mazui</c:v>
                </c:pt>
                <c:pt idx="6">
                  <c:v>Vivid</c:v>
                </c:pt>
                <c:pt idx="7">
                  <c:v>Elysium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39</c:v>
                </c:pt>
                <c:pt idx="1">
                  <c:v>35</c:v>
                </c:pt>
                <c:pt idx="2">
                  <c:v>31</c:v>
                </c:pt>
                <c:pt idx="3">
                  <c:v>32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9</c:v>
                </c:pt>
                <c:pt idx="8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820180464"/>
        <c:axId val="-1820172304"/>
      </c:barChart>
      <c:catAx>
        <c:axId val="-18201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20172304"/>
        <c:crosses val="autoZero"/>
        <c:auto val="1"/>
        <c:lblAlgn val="ctr"/>
        <c:lblOffset val="100"/>
        <c:noMultiLvlLbl val="0"/>
      </c:catAx>
      <c:valAx>
        <c:axId val="-18201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201804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10</c:v>
                </c:pt>
                <c:pt idx="1">
                  <c:v>53</c:v>
                </c:pt>
                <c:pt idx="2">
                  <c:v>51</c:v>
                </c:pt>
                <c:pt idx="3">
                  <c:v>28</c:v>
                </c:pt>
                <c:pt idx="4">
                  <c:v>13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820174480"/>
        <c:axId val="-1820171216"/>
      </c:barChart>
      <c:catAx>
        <c:axId val="-182017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20171216"/>
        <c:crosses val="autoZero"/>
        <c:auto val="1"/>
        <c:lblAlgn val="ctr"/>
        <c:lblOffset val="100"/>
        <c:noMultiLvlLbl val="0"/>
      </c:catAx>
      <c:valAx>
        <c:axId val="-182017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20174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204</c:v>
                </c:pt>
                <c:pt idx="1">
                  <c:v>17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77</c:v>
                </c:pt>
                <c:pt idx="1">
                  <c:v>19</c:v>
                </c:pt>
                <c:pt idx="2">
                  <c:v>136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46" totalsRowShown="0">
  <autoFilter ref="A2:H246"/>
  <sortState ref="A3:H246">
    <sortCondition ref="A2:A246"/>
  </sortState>
  <tableColumns count="8">
    <tableColumn id="1" name="Anime Name" dataDxfId="82" totalsRowDxfId="81"/>
    <tableColumn id="2" name="Sn." dataDxfId="80" totalsRowDxfId="79"/>
    <tableColumn id="3" name="Eps. " dataDxfId="78" totalsRowDxfId="77"/>
    <tableColumn id="4" name="Dr. #" dataDxfId="76" totalsRowDxfId="75"/>
    <tableColumn id="5" name="Quality" dataDxfId="74" totalsRowDxfId="73"/>
    <tableColumn id="6" name="Type" dataDxfId="72" totalsRowDxfId="71"/>
    <tableColumn id="7" name="Airtime" dataDxfId="70" totalsRowDxfId="69"/>
    <tableColumn id="8" name="Subber(s)" dataDxfId="68" totalsRowDxfId="67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66" dataDxfId="65">
  <autoFilter ref="A2:C77"/>
  <sortState ref="A3:C77">
    <sortCondition ref="C3:C77"/>
    <sortCondition ref="A3:A77"/>
  </sortState>
  <tableColumns count="3">
    <tableColumn id="1" name="Anime Name" dataDxfId="64"/>
    <tableColumn id="2" name="Sn." dataDxfId="63"/>
    <tableColumn id="3" name="Status" dataDxfId="62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34" totalsRowShown="0" headerRowDxfId="61" dataDxfId="60" tableBorderDxfId="59">
  <autoFilter ref="A2:D34"/>
  <sortState ref="A3:D34">
    <sortCondition ref="C3:C34"/>
  </sortState>
  <tableColumns count="4">
    <tableColumn id="1" name="Anime Name" dataDxfId="58"/>
    <tableColumn id="2" name="Sn." dataDxfId="57"/>
    <tableColumn id="6" name="Start" dataDxfId="56"/>
    <tableColumn id="7" name="End" dataDxfId="55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65" totalsRowShown="0" headerRowDxfId="54" dataDxfId="53" tableBorderDxfId="52">
  <autoFilter ref="A2:L165"/>
  <sortState ref="A3:L165">
    <sortCondition descending="1" ref="H3:H165"/>
  </sortState>
  <tableColumns count="12">
    <tableColumn id="1" name="Anime Name" dataDxfId="51"/>
    <tableColumn id="2" name="Sn." dataDxfId="50"/>
    <tableColumn id="3" name="Plot" dataDxfId="49"/>
    <tableColumn id="4" name="Char." dataDxfId="48"/>
    <tableColumn id="5" name="Moe" dataDxfId="47"/>
    <tableColumn id="6" name="Pref" dataDxfId="46"/>
    <tableColumn id="7" name="Raw" dataDxfId="45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44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43"/>
    <tableColumn id="11" name="End Day" dataDxfId="42"/>
    <tableColumn id="12" name="Best Girl" dataDxfId="41"/>
    <tableColumn id="13" name="Notes" dataDxfId="40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9" tableBorderDxfId="38">
  <autoFilter ref="A2:D9"/>
  <tableColumns count="4">
    <tableColumn id="1" name="Anime Name" dataDxfId="37"/>
    <tableColumn id="2" name="Sn." dataDxfId="36"/>
    <tableColumn id="3" name="Ep." dataDxfId="35"/>
    <tableColumn id="4" name="Reason" dataDxfId="34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G2:I22" totalsRowShown="0" headerRowDxfId="33" dataDxfId="31" headerRowBorderDxfId="32" tableBorderDxfId="30" totalsRowBorderDxfId="29">
  <autoFilter ref="G2:I22"/>
  <sortState ref="G3:I22">
    <sortCondition ref="G2:G22"/>
  </sortState>
  <tableColumns count="3">
    <tableColumn id="1" name="Anime Name" dataDxfId="28"/>
    <tableColumn id="2" name="Final?" dataDxfId="27"/>
    <tableColumn id="3" name="Potential Subbers" dataDxfId="26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K2:L24" totalsRowShown="0" headerRowDxfId="25" dataDxfId="23" headerRowBorderDxfId="24" tableBorderDxfId="22">
  <autoFilter ref="K2:L24"/>
  <sortState ref="K3:L24">
    <sortCondition ref="L2:L24"/>
  </sortState>
  <tableColumns count="2">
    <tableColumn id="1" name="Name" dataDxfId="21"/>
    <tableColumn id="2" name="Type" dataDxfId="20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sortState ref="D3:E14">
    <sortCondition descending="1" ref="E2:E14"/>
  </sortState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zoomScale="85" zoomScaleNormal="85" workbookViewId="0">
      <selection activeCell="D9" sqref="D9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customWidth="1"/>
    <col min="17" max="17" width="5.140625" style="67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40" t="s">
        <v>465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</row>
    <row r="2" spans="1:31">
      <c r="A2" s="234" t="s">
        <v>0</v>
      </c>
      <c r="B2" s="235"/>
      <c r="C2" s="235"/>
      <c r="D2" s="235"/>
      <c r="E2" s="235"/>
      <c r="F2" s="235"/>
      <c r="G2" s="235"/>
      <c r="H2" s="236"/>
      <c r="I2" s="24" t="s">
        <v>156</v>
      </c>
      <c r="J2" s="245" t="s">
        <v>463</v>
      </c>
      <c r="K2" s="246"/>
      <c r="L2" s="247"/>
      <c r="N2" s="242" t="s">
        <v>464</v>
      </c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4"/>
    </row>
    <row r="3" spans="1:31">
      <c r="A3" s="89" t="s">
        <v>223</v>
      </c>
      <c r="B3" s="90" t="s">
        <v>282</v>
      </c>
      <c r="C3" s="90" t="s">
        <v>155</v>
      </c>
      <c r="D3" s="90" t="s">
        <v>350</v>
      </c>
      <c r="E3" s="91" t="s">
        <v>351</v>
      </c>
      <c r="F3" s="105" t="s">
        <v>431</v>
      </c>
      <c r="G3" s="94" t="s">
        <v>263</v>
      </c>
      <c r="H3" s="95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460</v>
      </c>
      <c r="S3" s="66" t="s">
        <v>109</v>
      </c>
      <c r="T3" s="66" t="s">
        <v>430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566</v>
      </c>
      <c r="AC3" s="66" t="s">
        <v>565</v>
      </c>
      <c r="AD3" s="25" t="s">
        <v>185</v>
      </c>
      <c r="AE3" s="42" t="s">
        <v>11</v>
      </c>
    </row>
    <row r="4" spans="1:31">
      <c r="A4" s="82" t="s">
        <v>740</v>
      </c>
      <c r="B4" s="83" t="s">
        <v>123</v>
      </c>
      <c r="C4" s="84">
        <v>1</v>
      </c>
      <c r="D4" s="84">
        <v>1</v>
      </c>
      <c r="E4" s="84">
        <v>25</v>
      </c>
      <c r="F4" s="107">
        <v>42126</v>
      </c>
      <c r="G4" s="103" t="str">
        <f ca="1">IF($A4&lt;&gt;"", INDIRECT("'Tracker'!"&amp;ADDRESS(MATCH($A4, Tracker[Anime Name], 0) + 2, 4)), "")</f>
        <v>B</v>
      </c>
      <c r="H4" s="96" t="str">
        <f ca="1">IF($A4&lt;&gt;"", INDIRECT("'Tracker'!"&amp;ADDRESS(MATCH($A4, Tracker[Anime Name], 0) + 2, 8)), "")</f>
        <v>HorribleSubs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IF(Completed!$A3&lt;&gt;"",Completed!$A3,"")</f>
        <v>Inferno Cop</v>
      </c>
      <c r="O4" s="28">
        <f>IF(Completed!$B3&lt;&gt;"",Completed!$B3,"")</f>
        <v>1</v>
      </c>
      <c r="P4" s="28">
        <f ca="1">IF($N4&lt;&gt;"", INDIRECT("'Tracker'!"&amp;ADDRESS(MATCH($N4, Tracker[Anime Name], 0) + 2, 3)), "")</f>
        <v>13</v>
      </c>
      <c r="Q4" s="22" t="str">
        <f ca="1">IF($N4&lt;&gt;"", INDIRECT("'Tracker'!"&amp;ADDRESS(MATCH($N4, Tracker[Anime Name], 0) + 2, 4)), "")</f>
        <v>B</v>
      </c>
      <c r="R4" s="22" t="str">
        <f ca="1">IF($N4&lt;&gt;"", INDIRECT("'Tracker'!"&amp;ADDRESS(MATCH($N4, Tracker[Anime Name], 0) + 2, 5)), "")</f>
        <v>720p</v>
      </c>
      <c r="S4" s="22" t="str">
        <f ca="1">IF($N4&lt;&gt;"", INDIRECT("'Tracker'!"&amp;ADDRESS(MATCH($N4, Tracker[Anime Name], 0) + 2, 6)), "")</f>
        <v>Web</v>
      </c>
      <c r="T4" s="22" t="str">
        <f ca="1">IF($N4&lt;&gt;"", INDIRECT("'Tracker'!"&amp;ADDRESS(MATCH($N4, Tracker[Anime Name], 0) + 2, 7)), "")</f>
        <v>2012D</v>
      </c>
      <c r="U4" s="28" t="str">
        <f ca="1">IF($N4&lt;&gt;"", INDIRECT("'Tracker'!"&amp;ADDRESS(MATCH($N4, Tracker[Anime Name], 0) + 2, 8)), "")</f>
        <v>Commie</v>
      </c>
      <c r="V4" s="53">
        <f>IF(Completed!$C3&lt;&gt;"",Completed!$C3,"")</f>
        <v>11</v>
      </c>
      <c r="W4" s="53">
        <f>IF(Completed!$D3&lt;&gt;"",Completed!$D3,"")</f>
        <v>11</v>
      </c>
      <c r="X4" s="53">
        <f>IF(Completed!$E3&lt;&gt;"",Completed!$E3,"")</f>
        <v>0</v>
      </c>
      <c r="Y4" s="53">
        <f>IF(Completed!$F3&lt;&gt;"",Completed!$F3,"")</f>
        <v>10</v>
      </c>
      <c r="Z4" s="64">
        <f>IF(Completed!$G3&lt;&gt;"",Completed!$G3,"")</f>
        <v>9.9748743718592969</v>
      </c>
      <c r="AA4" s="73">
        <f>IF(Completed!$H3&lt;&gt;"",Completed!$H3,"")</f>
        <v>10</v>
      </c>
      <c r="AB4" s="54">
        <f>IF(Completed!$I3&lt;&gt;"",Completed!$I3,"")</f>
        <v>41290</v>
      </c>
      <c r="AC4" s="54">
        <f>IF(Completed!$J3&lt;&gt;"",Completed!$J3,"")</f>
        <v>41352</v>
      </c>
      <c r="AD4" s="65" t="str">
        <f>IF(Completed!$K3&lt;&gt;"",Completed!$K3,"")</f>
        <v>Inferno Cop</v>
      </c>
      <c r="AE4" s="65" t="str">
        <f>IF(Completed!$L$3&lt;&gt;"",Completed!$L$3,"")</f>
        <v/>
      </c>
    </row>
    <row r="5" spans="1:31">
      <c r="A5" s="82" t="s">
        <v>738</v>
      </c>
      <c r="B5" s="86" t="s">
        <v>123</v>
      </c>
      <c r="C5" s="87">
        <v>2</v>
      </c>
      <c r="D5" s="84">
        <v>2</v>
      </c>
      <c r="E5" s="84">
        <v>13</v>
      </c>
      <c r="F5" s="107">
        <v>42112</v>
      </c>
      <c r="G5" s="103" t="str">
        <f ca="1">IF($A5&lt;&gt;"", INDIRECT("'Tracker'!"&amp;ADDRESS(MATCH($A5, Tracker[Anime Name], 0) + 2, 4)), "")</f>
        <v>B</v>
      </c>
      <c r="H5" s="96" t="str">
        <f ca="1">IF($A5&lt;&gt;"", INDIRECT("'Tracker'!"&amp;ADDRESS(MATCH($A5, Tracker[Anime Name], 0) + 2, 8)), "")</f>
        <v>Commie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IF(Completed!$A4&lt;&gt;"",Completed!$A4,"")</f>
        <v>Shirobako</v>
      </c>
      <c r="O5" s="28">
        <f>IF(Completed!$B4&lt;&gt;"",Completed!$B4,"")</f>
        <v>1</v>
      </c>
      <c r="P5" s="28">
        <f ca="1">IF($N5&lt;&gt;"", INDIRECT("'Tracker'!"&amp;ADDRESS(MATCH($N5, Tracker[Anime Name], 0) + 2, 3)), "")</f>
        <v>24</v>
      </c>
      <c r="Q5" s="22" t="str">
        <f ca="1">IF($N5&lt;&gt;"", INDIRECT("'Tracker'!"&amp;ADDRESS(MATCH($N5, Tracker[Anime Name], 0) + 2, 4)), "")</f>
        <v>C</v>
      </c>
      <c r="R5" s="22" t="str">
        <f ca="1">IF($N5&lt;&gt;"", INDIRECT("'Tracker'!"&amp;ADDRESS(MATCH($N5, Tracker[Anime Name], 0) + 2, 5)), "")</f>
        <v>720p</v>
      </c>
      <c r="S5" s="22" t="str">
        <f ca="1">IF($N5&lt;&gt;"", INDIRECT("'Tracker'!"&amp;ADDRESS(MATCH($N5, Tracker[Anime Name], 0) + 2, 6)), "")</f>
        <v>TV</v>
      </c>
      <c r="T5" s="22" t="str">
        <f ca="1">IF($N5&lt;&gt;"", INDIRECT("'Tracker'!"&amp;ADDRESS(MATCH($N5, Tracker[Anime Name], 0) + 2, 7)), "")</f>
        <v>2014C</v>
      </c>
      <c r="U5" s="28" t="str">
        <f ca="1">IF($N5&lt;&gt;"", INDIRECT("'Tracker'!"&amp;ADDRESS(MATCH($N5, Tracker[Anime Name], 0) + 2, 8)), "")</f>
        <v>Cthuko</v>
      </c>
      <c r="V5" s="53">
        <f>IF(Completed!$C4&lt;&gt;"",Completed!$C4,"")</f>
        <v>10</v>
      </c>
      <c r="W5" s="53">
        <f>IF(Completed!$D4&lt;&gt;"",Completed!$D4,"")</f>
        <v>9.5</v>
      </c>
      <c r="X5" s="53">
        <f>IF(Completed!$E4&lt;&gt;"",Completed!$E4,"")</f>
        <v>7</v>
      </c>
      <c r="Y5" s="53">
        <f>IF(Completed!$F4&lt;&gt;"",Completed!$F4,"")</f>
        <v>10</v>
      </c>
      <c r="Z5" s="64">
        <f>IF(Completed!$G4&lt;&gt;"",Completed!$G4,"")</f>
        <v>9.7223618090452266</v>
      </c>
      <c r="AA5" s="73">
        <f>IF(Completed!$H4&lt;&gt;"",Completed!$H4,"")</f>
        <v>9.6620144610728094</v>
      </c>
      <c r="AB5" s="54">
        <f>IF(Completed!$I4&lt;&gt;"",Completed!$I4,"")</f>
        <v>42215</v>
      </c>
      <c r="AC5" s="54">
        <f>IF(Completed!$J4&lt;&gt;"",Completed!$J4,"")</f>
        <v>42218</v>
      </c>
      <c r="AD5" s="65" t="str">
        <f>IF(Completed!$K4&lt;&gt;"",Completed!$K4,"")</f>
        <v>Everyone</v>
      </c>
      <c r="AE5" s="65" t="str">
        <f>IF(Completed!$L$4&lt;&gt;"",Completed!$L$4,"")</f>
        <v/>
      </c>
    </row>
    <row r="6" spans="1:31">
      <c r="A6" s="82" t="s">
        <v>58</v>
      </c>
      <c r="B6" s="83" t="s">
        <v>123</v>
      </c>
      <c r="C6" s="84">
        <v>1</v>
      </c>
      <c r="D6" s="84">
        <v>18</v>
      </c>
      <c r="E6" s="84">
        <v>26</v>
      </c>
      <c r="F6" s="107">
        <v>41653</v>
      </c>
      <c r="G6" s="103" t="str">
        <f ca="1">IF($A6&lt;&gt;"", INDIRECT("'Tracker'!"&amp;ADDRESS(MATCH($A6, Tracker[Anime Name], 0) + 2, 4)), "")</f>
        <v>A</v>
      </c>
      <c r="H6" s="96" t="str">
        <f ca="1">IF($A6&lt;&gt;"", INDIRECT("'Tracker'!"&amp;ADDRESS(MATCH($A6, Tracker[Anime Name], 0) + 2, 8)), "")</f>
        <v>niizk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IF(Completed!$A5&lt;&gt;"",Completed!$A5,"")</f>
        <v>Mahouka Koukou no Rettousei</v>
      </c>
      <c r="O6" s="28">
        <f>IF(Completed!$B5&lt;&gt;"",Completed!$B5,"")</f>
        <v>1</v>
      </c>
      <c r="P6" s="28">
        <f ca="1">IF($N6&lt;&gt;"", INDIRECT("'Tracker'!"&amp;ADDRESS(MATCH($N6, Tracker[Anime Name], 0) + 2, 3)), "")</f>
        <v>26</v>
      </c>
      <c r="Q6" s="22" t="str">
        <f ca="1">IF($N6&lt;&gt;"", INDIRECT("'Tracker'!"&amp;ADDRESS(MATCH($N6, Tracker[Anime Name], 0) + 2, 4)), "")</f>
        <v>A</v>
      </c>
      <c r="R6" s="22" t="str">
        <f ca="1">IF($N6&lt;&gt;"", INDIRECT("'Tracker'!"&amp;ADDRESS(MATCH($N6, Tracker[Anime Name], 0) + 2, 5)), "")</f>
        <v>720p</v>
      </c>
      <c r="S6" s="22" t="str">
        <f ca="1">IF($N6&lt;&gt;"", INDIRECT("'Tracker'!"&amp;ADDRESS(MATCH($N6, Tracker[Anime Name], 0) + 2, 6)), "")</f>
        <v>TV</v>
      </c>
      <c r="T6" s="22" t="str">
        <f ca="1">IF($N6&lt;&gt;"", INDIRECT("'Tracker'!"&amp;ADDRESS(MATCH($N6, Tracker[Anime Name], 0) + 2, 7)), "")</f>
        <v>2014A</v>
      </c>
      <c r="U6" s="28" t="str">
        <f ca="1">IF($N6&lt;&gt;"", INDIRECT("'Tracker'!"&amp;ADDRESS(MATCH($N6, Tracker[Anime Name], 0) + 2, 8)), "")</f>
        <v>Doki</v>
      </c>
      <c r="V6" s="53">
        <f>IF(Completed!$C5&lt;&gt;"",Completed!$C5,"")</f>
        <v>9.5</v>
      </c>
      <c r="W6" s="53">
        <f>IF(Completed!$D5&lt;&gt;"",Completed!$D5,"")</f>
        <v>10</v>
      </c>
      <c r="X6" s="53">
        <f>IF(Completed!$E5&lt;&gt;"",Completed!$E5,"")</f>
        <v>5</v>
      </c>
      <c r="Y6" s="53">
        <f>IF(Completed!$F5&lt;&gt;"",Completed!$F5,"")</f>
        <v>10</v>
      </c>
      <c r="Z6" s="64">
        <f>IF(Completed!$G5&lt;&gt;"",Completed!$G5,"")</f>
        <v>9.6695979899497484</v>
      </c>
      <c r="AA6" s="73">
        <f>IF(Completed!$H5&lt;&gt;"",Completed!$H5,"")</f>
        <v>9.591390617117872</v>
      </c>
      <c r="AB6" s="54">
        <f>IF(Completed!$I5&lt;&gt;"",Completed!$I5,"")</f>
        <v>42358</v>
      </c>
      <c r="AC6" s="54">
        <f>IF(Completed!$J5&lt;&gt;"",Completed!$J5,"")</f>
        <v>42361</v>
      </c>
      <c r="AD6" s="65" t="str">
        <f>IF(Completed!$K5&lt;&gt;"",Completed!$K5,"")</f>
        <v>Shiba Miyuki</v>
      </c>
      <c r="AE6" s="65" t="str">
        <f>IF(Completed!$L$5&lt;&gt;"",Completed!$L$5,"")</f>
        <v>Best school uniforms, best OP MC, Kyouko and Mayumi are also cool.</v>
      </c>
    </row>
    <row r="7" spans="1:31">
      <c r="A7" s="82" t="s">
        <v>327</v>
      </c>
      <c r="B7" s="86" t="s">
        <v>123</v>
      </c>
      <c r="C7" s="87">
        <v>1</v>
      </c>
      <c r="D7" s="87">
        <v>2</v>
      </c>
      <c r="E7" s="87">
        <v>11</v>
      </c>
      <c r="F7" s="108">
        <v>41816</v>
      </c>
      <c r="G7" s="103" t="str">
        <f ca="1">IF($A7&lt;&gt;"", INDIRECT("'Tracker'!"&amp;ADDRESS(MATCH($A7, Tracker[Anime Name], 0) + 2, 4)), "")</f>
        <v>A</v>
      </c>
      <c r="H7" s="96" t="str">
        <f ca="1">IF($A7&lt;&gt;"", INDIRECT("'Tracker'!"&amp;ADDRESS(MATCH($A7, Tracker[Anime Name], 0) + 2, 8)), "")</f>
        <v>Zurako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IF(Completed!$A6&lt;&gt;"",Completed!$A6,"")</f>
        <v>Steins;Gate</v>
      </c>
      <c r="O7" s="28">
        <f>IF(Completed!$B6&lt;&gt;"",Completed!$B6,"")</f>
        <v>1</v>
      </c>
      <c r="P7" s="28">
        <f ca="1">IF($N7&lt;&gt;"", INDIRECT("'Tracker'!"&amp;ADDRESS(MATCH($N7, Tracker[Anime Name], 0) + 2, 3)), "")</f>
        <v>25</v>
      </c>
      <c r="Q7" s="22" t="str">
        <f ca="1">IF($N7&lt;&gt;"", INDIRECT("'Tracker'!"&amp;ADDRESS(MATCH($N7, Tracker[Anime Name], 0) + 2, 4)), "")</f>
        <v>C</v>
      </c>
      <c r="R7" s="22" t="str">
        <f ca="1">IF($N7&lt;&gt;"", INDIRECT("'Tracker'!"&amp;ADDRESS(MATCH($N7, Tracker[Anime Name], 0) + 2, 5)), "")</f>
        <v>720p</v>
      </c>
      <c r="S7" s="22" t="str">
        <f ca="1">IF($N7&lt;&gt;"", INDIRECT("'Tracker'!"&amp;ADDRESS(MATCH($N7, Tracker[Anime Name], 0) + 2, 6)), "")</f>
        <v>BD</v>
      </c>
      <c r="T7" s="22" t="str">
        <f ca="1">IF($N7&lt;&gt;"", INDIRECT("'Tracker'!"&amp;ADDRESS(MATCH($N7, Tracker[Anime Name], 0) + 2, 7)), "")</f>
        <v>2011A</v>
      </c>
      <c r="U7" s="28" t="str">
        <f ca="1">IF($N7&lt;&gt;"", INDIRECT("'Tracker'!"&amp;ADDRESS(MATCH($N7, Tracker[Anime Name], 0) + 2, 8)), "")</f>
        <v>WhyNot</v>
      </c>
      <c r="V7" s="53">
        <f>IF(Completed!$C6&lt;&gt;"",Completed!$C6,"")</f>
        <v>10</v>
      </c>
      <c r="W7" s="53">
        <f>IF(Completed!$D6&lt;&gt;"",Completed!$D6,"")</f>
        <v>9.5</v>
      </c>
      <c r="X7" s="53">
        <f>IF(Completed!$E6&lt;&gt;"",Completed!$E6,"")</f>
        <v>4.5</v>
      </c>
      <c r="Y7" s="53">
        <f>IF(Completed!$F6&lt;&gt;"",Completed!$F6,"")</f>
        <v>10</v>
      </c>
      <c r="Z7" s="64">
        <f>IF(Completed!$G6&lt;&gt;"",Completed!$G6,"")</f>
        <v>9.6030150753768844</v>
      </c>
      <c r="AA7" s="73">
        <f>IF(Completed!$H6&lt;&gt;"",Completed!$H6,"")</f>
        <v>9.5022700521271215</v>
      </c>
      <c r="AB7" s="54">
        <f>IF(Completed!$I6&lt;&gt;"",Completed!$I6,"")</f>
        <v>41270</v>
      </c>
      <c r="AC7" s="54">
        <f>IF(Completed!$J6&lt;&gt;"",Completed!$J6,"")</f>
        <v>41279</v>
      </c>
      <c r="AD7" s="65" t="str">
        <f>IF(Completed!$K6&lt;&gt;"",Completed!$K6,"")</f>
        <v>Makise Kurisu</v>
      </c>
      <c r="AE7" s="65" t="str">
        <f>IF(Completed!$L$6&lt;&gt;"",Completed!$L$6,"")</f>
        <v>Good show, mostly accurate science, overall a good watch</v>
      </c>
    </row>
    <row r="8" spans="1:31">
      <c r="A8" s="82" t="s">
        <v>785</v>
      </c>
      <c r="B8" s="86" t="s">
        <v>786</v>
      </c>
      <c r="C8" s="87">
        <v>1</v>
      </c>
      <c r="D8" s="84">
        <v>16</v>
      </c>
      <c r="E8" s="84">
        <v>16</v>
      </c>
      <c r="F8" s="107">
        <v>42347</v>
      </c>
      <c r="G8" s="103" t="str">
        <f ca="1">IF($A8&lt;&gt;"", INDIRECT("'Tracker'!"&amp;ADDRESS(MATCH($A8, Tracker[Anime Name], 0) + 2, 4)), "")</f>
        <v>B</v>
      </c>
      <c r="H8" s="96" t="str">
        <f ca="1">IF($A8&lt;&gt;"", INDIRECT("'Tracker'!"&amp;ADDRESS(MATCH($A8, Tracker[Anime Name], 0) + 2, 8)), "")</f>
        <v>DameDesuYo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IF(Completed!$A7&lt;&gt;"",Completed!$A7,"")</f>
        <v>Subete ga F ni Naru</v>
      </c>
      <c r="O8" s="28">
        <f>IF(Completed!$B7&lt;&gt;"",Completed!$B7,"")</f>
        <v>1</v>
      </c>
      <c r="P8" s="28">
        <f ca="1">IF($N8&lt;&gt;"", INDIRECT("'Tracker'!"&amp;ADDRESS(MATCH($N8, Tracker[Anime Name], 0) + 2, 3)), "")</f>
        <v>11</v>
      </c>
      <c r="Q8" s="22" t="str">
        <f ca="1">IF($N8&lt;&gt;"", INDIRECT("'Tracker'!"&amp;ADDRESS(MATCH($N8, Tracker[Anime Name], 0) + 2, 4)), "")</f>
        <v>B</v>
      </c>
      <c r="R8" s="22" t="str">
        <f ca="1">IF($N8&lt;&gt;"", INDIRECT("'Tracker'!"&amp;ADDRESS(MATCH($N8, Tracker[Anime Name], 0) + 2, 5)), "")</f>
        <v>720p</v>
      </c>
      <c r="S8" s="22" t="str">
        <f ca="1">IF($N8&lt;&gt;"", INDIRECT("'Tracker'!"&amp;ADDRESS(MATCH($N8, Tracker[Anime Name], 0) + 2, 6)), "")</f>
        <v>TV</v>
      </c>
      <c r="T8" s="22" t="str">
        <f ca="1">IF($N8&lt;&gt;"", INDIRECT("'Tracker'!"&amp;ADDRESS(MATCH($N8, Tracker[Anime Name], 0) + 2, 7)), "")</f>
        <v>2015C</v>
      </c>
      <c r="U8" s="28" t="str">
        <f ca="1">IF($N8&lt;&gt;"", INDIRECT("'Tracker'!"&amp;ADDRESS(MATCH($N8, Tracker[Anime Name], 0) + 2, 8)), "")</f>
        <v>DameDesuYo</v>
      </c>
      <c r="V8" s="53">
        <f>IF(Completed!$C7&lt;&gt;"",Completed!$C7,"")</f>
        <v>10</v>
      </c>
      <c r="W8" s="53">
        <f>IF(Completed!$D7&lt;&gt;"",Completed!$D7,"")</f>
        <v>9.5</v>
      </c>
      <c r="X8" s="53">
        <f>IF(Completed!$E7&lt;&gt;"",Completed!$E7,"")</f>
        <v>6</v>
      </c>
      <c r="Y8" s="53">
        <f>IF(Completed!$F7&lt;&gt;"",Completed!$F7,"")</f>
        <v>9.75</v>
      </c>
      <c r="Z8" s="64">
        <f>IF(Completed!$G7&lt;&gt;"",Completed!$G7,"")</f>
        <v>9.549623115577889</v>
      </c>
      <c r="AA8" s="73">
        <f>IF(Completed!$H7&lt;&gt;"",Completed!$H7,"")</f>
        <v>9.4308054481251045</v>
      </c>
      <c r="AB8" s="54">
        <f>IF(Completed!$I7&lt;&gt;"",Completed!$I7,"")</f>
        <v>42318</v>
      </c>
      <c r="AC8" s="54">
        <f>IF(Completed!$J7&lt;&gt;"",Completed!$J7,"")</f>
        <v>42385</v>
      </c>
      <c r="AD8" s="65" t="str">
        <f>IF(Completed!$K7&lt;&gt;"",Completed!$K7,"")</f>
        <v>Magata Shiki</v>
      </c>
      <c r="AE8" s="65" t="str">
        <f>IF(Completed!$L$7&lt;&gt;"",Completed!$L$7,"")</f>
        <v>Great mystery anime, would recommend</v>
      </c>
    </row>
    <row r="9" spans="1:31">
      <c r="A9" s="82" t="s">
        <v>769</v>
      </c>
      <c r="B9" s="86" t="s">
        <v>741</v>
      </c>
      <c r="C9" s="87">
        <v>3</v>
      </c>
      <c r="D9" s="84">
        <v>9</v>
      </c>
      <c r="E9" s="84">
        <v>9</v>
      </c>
      <c r="F9" s="107">
        <v>42286</v>
      </c>
      <c r="G9" s="103" t="str">
        <f ca="1">IF($A9&lt;&gt;"", INDIRECT("'Tracker'!"&amp;ADDRESS(MATCH($A9, Tracker[Anime Name], 0) + 2, 4)), "")</f>
        <v>C</v>
      </c>
      <c r="H9" s="96" t="str">
        <f ca="1">IF($A9&lt;&gt;"", INDIRECT("'Tracker'!"&amp;ADDRESS(MATCH($A9, Tracker[Anime Name], 0) + 2, 8)), "")</f>
        <v>FFF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IF(Completed!$A8&lt;&gt;"",Completed!$A8,"")</f>
        <v>Sakamichi no Apollon</v>
      </c>
      <c r="O9" s="28">
        <f>IF(Completed!$B8&lt;&gt;"",Completed!$B8,"")</f>
        <v>1</v>
      </c>
      <c r="P9" s="28">
        <f ca="1">IF($N9&lt;&gt;"", INDIRECT("'Tracker'!"&amp;ADDRESS(MATCH($N9, Tracker[Anime Name], 0) + 2, 3)), "")</f>
        <v>12</v>
      </c>
      <c r="Q9" s="22" t="str">
        <f ca="1">IF($N9&lt;&gt;"", INDIRECT("'Tracker'!"&amp;ADDRESS(MATCH($N9, Tracker[Anime Name], 0) + 2, 4)), "")</f>
        <v>C</v>
      </c>
      <c r="R9" s="22" t="str">
        <f ca="1">IF($N9&lt;&gt;"", INDIRECT("'Tracker'!"&amp;ADDRESS(MATCH($N9, Tracker[Anime Name], 0) + 2, 5)), "")</f>
        <v>720p</v>
      </c>
      <c r="S9" s="22" t="str">
        <f ca="1">IF($N9&lt;&gt;"", INDIRECT("'Tracker'!"&amp;ADDRESS(MATCH($N9, Tracker[Anime Name], 0) + 2, 6)), "")</f>
        <v>Web</v>
      </c>
      <c r="T9" s="22" t="str">
        <f ca="1">IF($N9&lt;&gt;"", INDIRECT("'Tracker'!"&amp;ADDRESS(MATCH($N9, Tracker[Anime Name], 0) + 2, 7)), "")</f>
        <v>2012A</v>
      </c>
      <c r="U9" s="28" t="str">
        <f ca="1">IF($N9&lt;&gt;"", INDIRECT("'Tracker'!"&amp;ADDRESS(MATCH($N9, Tracker[Anime Name], 0) + 2, 8)), "")</f>
        <v>HorribleSubs</v>
      </c>
      <c r="V9" s="53">
        <f>IF(Completed!$C8&lt;&gt;"",Completed!$C8,"")</f>
        <v>9.5</v>
      </c>
      <c r="W9" s="53">
        <f>IF(Completed!$D8&lt;&gt;"",Completed!$D8,"")</f>
        <v>9.5</v>
      </c>
      <c r="X9" s="53">
        <f>IF(Completed!$E8&lt;&gt;"",Completed!$E8,"")</f>
        <v>3.5</v>
      </c>
      <c r="Y9" s="53">
        <f>IF(Completed!$F8&lt;&gt;"",Completed!$F8,"")</f>
        <v>10</v>
      </c>
      <c r="Z9" s="64">
        <f>IF(Completed!$G8&lt;&gt;"",Completed!$G8,"")</f>
        <v>9.4635678391959797</v>
      </c>
      <c r="AA9" s="73">
        <f>IF(Completed!$H8&lt;&gt;"",Completed!$H8,"")</f>
        <v>9.3156213216747918</v>
      </c>
      <c r="AB9" s="54">
        <f>IF(Completed!$I8&lt;&gt;"",Completed!$I8,"")</f>
        <v>41646</v>
      </c>
      <c r="AC9" s="54">
        <f>IF(Completed!$J8&lt;&gt;"",Completed!$J8,"")</f>
        <v>41647</v>
      </c>
      <c r="AD9" s="65" t="str">
        <f>IF(Completed!$K8&lt;&gt;"",Completed!$K8,"")</f>
        <v>Mukae Ritsuko</v>
      </c>
      <c r="AE9" s="65" t="str">
        <f>IF(Completed!$L$8&lt;&gt;"",Completed!$L$8,"")</f>
        <v>Even more accurate music than K-On!</v>
      </c>
    </row>
    <row r="10" spans="1:31">
      <c r="A10" s="82"/>
      <c r="B10" s="86"/>
      <c r="C10" s="87"/>
      <c r="D10" s="84"/>
      <c r="E10" s="84"/>
      <c r="F10" s="107"/>
      <c r="G10" s="103" t="str">
        <f ca="1">IF($A10&lt;&gt;"", INDIRECT("'Tracker'!"&amp;ADDRESS(MATCH($A10, Tracker[Anime Name], 0) + 2, 4)), "")</f>
        <v/>
      </c>
      <c r="H10" s="96" t="str">
        <f ca="1">IF($A10&lt;&gt;"", INDIRECT("'Tracker'!"&amp;ADDRESS(MATCH($A10, Tracker[Anime Name], 0) + 2, 8)), "")</f>
        <v/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IF(Completed!$A9&lt;&gt;"",Completed!$A9,"")</f>
        <v>Baccano!</v>
      </c>
      <c r="O10" s="28">
        <f>IF(Completed!$B9&lt;&gt;"",Completed!$B9,"")</f>
        <v>1</v>
      </c>
      <c r="P10" s="28">
        <f ca="1">IF($N10&lt;&gt;"", INDIRECT("'Tracker'!"&amp;ADDRESS(MATCH($N10, Tracker[Anime Name], 0) + 2, 3)), "")</f>
        <v>16</v>
      </c>
      <c r="Q10" s="22" t="str">
        <f ca="1">IF($N10&lt;&gt;"", INDIRECT("'Tracker'!"&amp;ADDRESS(MATCH($N10, Tracker[Anime Name], 0) + 2, 4)), "")</f>
        <v>C</v>
      </c>
      <c r="R10" s="22" t="str">
        <f ca="1">IF($N10&lt;&gt;"", INDIRECT("'Tracker'!"&amp;ADDRESS(MATCH($N10, Tracker[Anime Name], 0) + 2, 5)), "")</f>
        <v>720p</v>
      </c>
      <c r="S10" s="22" t="str">
        <f ca="1">IF($N10&lt;&gt;"", INDIRECT("'Tracker'!"&amp;ADDRESS(MATCH($N10, Tracker[Anime Name], 0) + 2, 6)), "")</f>
        <v>BD</v>
      </c>
      <c r="T10" s="22" t="str">
        <f ca="1">IF($N10&lt;&gt;"", INDIRECT("'Tracker'!"&amp;ADDRESS(MATCH($N10, Tracker[Anime Name], 0) + 2, 7)), "")</f>
        <v>2007B</v>
      </c>
      <c r="U10" s="28" t="str">
        <f ca="1">IF($N10&lt;&gt;"", INDIRECT("'Tracker'!"&amp;ADDRESS(MATCH($N10, Tracker[Anime Name], 0) + 2, 8)), "")</f>
        <v>Coalgirls, Ayu</v>
      </c>
      <c r="V10" s="53">
        <f>IF(Completed!$C9&lt;&gt;"",Completed!$C9,"")</f>
        <v>10</v>
      </c>
      <c r="W10" s="53">
        <f>IF(Completed!$D9&lt;&gt;"",Completed!$D9,"")</f>
        <v>10</v>
      </c>
      <c r="X10" s="53">
        <f>IF(Completed!$E9&lt;&gt;"",Completed!$E9,"")</f>
        <v>3</v>
      </c>
      <c r="Y10" s="53">
        <f>IF(Completed!$F9&lt;&gt;"",Completed!$F9,"")</f>
        <v>9.5</v>
      </c>
      <c r="Z10" s="64">
        <f>IF(Completed!$G9&lt;&gt;"",Completed!$G9,"")</f>
        <v>9.4158291457286438</v>
      </c>
      <c r="AA10" s="73">
        <f>IF(Completed!$H9&lt;&gt;"",Completed!$H9,"")</f>
        <v>9.2517235580965203</v>
      </c>
      <c r="AB10" s="54">
        <f>IF(Completed!$I9&lt;&gt;"",Completed!$I9,"")</f>
        <v>41607</v>
      </c>
      <c r="AC10" s="54">
        <f>IF(Completed!$J9&lt;&gt;"",Completed!$J9,"")</f>
        <v>41634</v>
      </c>
      <c r="AD10" s="65" t="str">
        <f>IF(Completed!$K9&lt;&gt;"",Completed!$K9,"")</f>
        <v>Rachel</v>
      </c>
      <c r="AE10" s="65" t="str">
        <f>IF(Completed!$L$9&lt;&gt;"",Completed!$L$9,"")</f>
        <v>One of the best written stories I've seen in a while</v>
      </c>
    </row>
    <row r="11" spans="1:31">
      <c r="A11" s="82"/>
      <c r="B11" s="86"/>
      <c r="C11" s="87"/>
      <c r="D11" s="84"/>
      <c r="E11" s="84"/>
      <c r="F11" s="107"/>
      <c r="G11" s="103" t="str">
        <f ca="1">IF($A11&lt;&gt;"", INDIRECT("'Tracker'!"&amp;ADDRESS(MATCH($A11, Tracker[Anime Name], 0) + 2, 4)), "")</f>
        <v/>
      </c>
      <c r="H11" s="96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IF(Completed!$A10&lt;&gt;"",Completed!$A10,"")</f>
        <v>Zankyou no Terror</v>
      </c>
      <c r="O11" s="28">
        <f>IF(Completed!$B10&lt;&gt;"",Completed!$B10,"")</f>
        <v>1</v>
      </c>
      <c r="P11" s="28">
        <f ca="1">IF($N11&lt;&gt;"", INDIRECT("'Tracker'!"&amp;ADDRESS(MATCH($N11, Tracker[Anime Name], 0) + 2, 3)), "")</f>
        <v>11</v>
      </c>
      <c r="Q11" s="22" t="str">
        <f ca="1">IF($N11&lt;&gt;"", INDIRECT("'Tracker'!"&amp;ADDRESS(MATCH($N11, Tracker[Anime Name], 0) + 2, 4)), "")</f>
        <v>C</v>
      </c>
      <c r="R11" s="22" t="str">
        <f ca="1">IF($N11&lt;&gt;"", INDIRECT("'Tracker'!"&amp;ADDRESS(MATCH($N11, Tracker[Anime Name], 0) + 2, 5)), "")</f>
        <v>720p</v>
      </c>
      <c r="S11" s="22" t="str">
        <f ca="1">IF($N11&lt;&gt;"", INDIRECT("'Tracker'!"&amp;ADDRESS(MATCH($N11, Tracker[Anime Name], 0) + 2, 6)), "")</f>
        <v>TV</v>
      </c>
      <c r="T11" s="22" t="str">
        <f ca="1">IF($N11&lt;&gt;"", INDIRECT("'Tracker'!"&amp;ADDRESS(MATCH($N11, Tracker[Anime Name], 0) + 2, 7)), "")</f>
        <v>2014B</v>
      </c>
      <c r="U11" s="28" t="str">
        <f ca="1">IF($N11&lt;&gt;"", INDIRECT("'Tracker'!"&amp;ADDRESS(MATCH($N11, Tracker[Anime Name], 0) + 2, 8)), "")</f>
        <v>FFF</v>
      </c>
      <c r="V11" s="53">
        <f>IF(Completed!$C10&lt;&gt;"",Completed!$C10,"")</f>
        <v>10</v>
      </c>
      <c r="W11" s="53">
        <f>IF(Completed!$D10&lt;&gt;"",Completed!$D10,"")</f>
        <v>9.5</v>
      </c>
      <c r="X11" s="53">
        <f>IF(Completed!$E10&lt;&gt;"",Completed!$E10,"")</f>
        <v>4</v>
      </c>
      <c r="Y11" s="53">
        <f>IF(Completed!$F10&lt;&gt;"",Completed!$F10,"")</f>
        <v>9.5</v>
      </c>
      <c r="Z11" s="64">
        <f>IF(Completed!$G10&lt;&gt;"",Completed!$G10,"")</f>
        <v>9.3291457286432173</v>
      </c>
      <c r="AA11" s="73">
        <f>IF(Completed!$H10&lt;&gt;"",Completed!$H10,"")</f>
        <v>9.1356986715991262</v>
      </c>
      <c r="AB11" s="54">
        <f>IF(Completed!$I10&lt;&gt;"",Completed!$I10,"")</f>
        <v>41831</v>
      </c>
      <c r="AC11" s="54">
        <f>IF(Completed!$J10&lt;&gt;"",Completed!$J10,"")</f>
        <v>42017</v>
      </c>
      <c r="AD11" s="65" t="str">
        <f>IF(Completed!$K10&lt;&gt;"",Completed!$K10,"")</f>
        <v>Mishima Lisa</v>
      </c>
      <c r="AE11" s="65" t="str">
        <f>IF(Completed!$L$10&lt;&gt;"",Completed!$L$10,"")</f>
        <v/>
      </c>
    </row>
    <row r="12" spans="1:31">
      <c r="A12" s="82"/>
      <c r="B12" s="88"/>
      <c r="C12" s="87"/>
      <c r="D12" s="87"/>
      <c r="E12" s="87"/>
      <c r="F12" s="108"/>
      <c r="G12" s="103" t="str">
        <f ca="1">IF($A12&lt;&gt;"", INDIRECT("'Tracker'!"&amp;ADDRESS(MATCH($A12, Tracker[Anime Name], 0) + 2, 4)), "")</f>
        <v/>
      </c>
      <c r="H12" s="96" t="str">
        <f ca="1">IF($A12&lt;&gt;"", INDIRECT("'Tracker'!"&amp;ADDRESS(MATCH($A12, Tracker[Anime Name], 0) + 2, 8)), "")</f>
        <v/>
      </c>
      <c r="I12" s="24" t="s">
        <v>156</v>
      </c>
      <c r="J12" s="199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IF(Completed!$A11&lt;&gt;"",Completed!$A11,"")</f>
        <v>Isshuukan Friends</v>
      </c>
      <c r="O12" s="28">
        <f>IF(Completed!$B11&lt;&gt;"",Completed!$B11,"")</f>
        <v>1</v>
      </c>
      <c r="P12" s="28">
        <f ca="1">IF($N12&lt;&gt;"", INDIRECT("'Tracker'!"&amp;ADDRESS(MATCH($N12, Tracker[Anime Name], 0) + 2, 3)), "")</f>
        <v>12</v>
      </c>
      <c r="Q12" s="22" t="str">
        <f ca="1">IF($N12&lt;&gt;"", INDIRECT("'Tracker'!"&amp;ADDRESS(MATCH($N12, Tracker[Anime Name], 0) + 2, 4)), "")</f>
        <v>C</v>
      </c>
      <c r="R12" s="22" t="str">
        <f ca="1">IF($N12&lt;&gt;"", INDIRECT("'Tracker'!"&amp;ADDRESS(MATCH($N12, Tracker[Anime Name], 0) + 2, 5)), "")</f>
        <v>720p</v>
      </c>
      <c r="S12" s="22" t="str">
        <f ca="1">IF($N12&lt;&gt;"", INDIRECT("'Tracker'!"&amp;ADDRESS(MATCH($N12, Tracker[Anime Name], 0) + 2, 6)), "")</f>
        <v>TV</v>
      </c>
      <c r="T12" s="22" t="str">
        <f ca="1">IF($N12&lt;&gt;"", INDIRECT("'Tracker'!"&amp;ADDRESS(MATCH($N12, Tracker[Anime Name], 0) + 2, 7)), "")</f>
        <v>2014A</v>
      </c>
      <c r="U12" s="28" t="str">
        <f ca="1">IF($N12&lt;&gt;"", INDIRECT("'Tracker'!"&amp;ADDRESS(MATCH($N12, Tracker[Anime Name], 0) + 2, 8)), "")</f>
        <v>Vivid</v>
      </c>
      <c r="V12" s="53">
        <f>IF(Completed!$C11&lt;&gt;"",Completed!$C11,"")</f>
        <v>9</v>
      </c>
      <c r="W12" s="53">
        <f>IF(Completed!$D11&lt;&gt;"",Completed!$D11,"")</f>
        <v>9.5</v>
      </c>
      <c r="X12" s="53">
        <f>IF(Completed!$E11&lt;&gt;"",Completed!$E11,"")</f>
        <v>7</v>
      </c>
      <c r="Y12" s="53">
        <f>IF(Completed!$F11&lt;&gt;"",Completed!$F11,"")</f>
        <v>9.5</v>
      </c>
      <c r="Z12" s="64">
        <f>IF(Completed!$G11&lt;&gt;"",Completed!$G11,"")</f>
        <v>9.2889447236180906</v>
      </c>
      <c r="AA12" s="73">
        <f>IF(Completed!$H11&lt;&gt;"",Completed!$H11,"")</f>
        <v>9.0818900285858408</v>
      </c>
      <c r="AB12" s="54">
        <f>IF(Completed!$I11&lt;&gt;"",Completed!$I11,"")</f>
        <v>41749</v>
      </c>
      <c r="AC12" s="54">
        <f>IF(Completed!$J11&lt;&gt;"",Completed!$J11,"")</f>
        <v>41815</v>
      </c>
      <c r="AD12" s="65" t="str">
        <f>IF(Completed!$K11&lt;&gt;"",Completed!$K11,"")</f>
        <v>Fujimiya Kaori</v>
      </c>
      <c r="AE12" s="65" t="str">
        <f>IF(Completed!$L$11&lt;&gt;"",Completed!$L$11,"")</f>
        <v>Saki and Fujimiya's mom are both great too</v>
      </c>
    </row>
    <row r="13" spans="1:31">
      <c r="A13" s="82"/>
      <c r="B13" s="86"/>
      <c r="C13" s="87"/>
      <c r="D13" s="84"/>
      <c r="E13" s="84"/>
      <c r="F13" s="107"/>
      <c r="G13" s="103" t="str">
        <f ca="1">IF($A13&lt;&gt;"", INDIRECT("'Tracker'!"&amp;ADDRESS(MATCH($A13, Tracker[Anime Name], 0) + 2, 4)), "")</f>
        <v/>
      </c>
      <c r="H13" s="96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IF(Completed!$A12&lt;&gt;"",Completed!$A12,"")</f>
        <v>The Tatami Galaxy</v>
      </c>
      <c r="O13" s="28">
        <f>IF(Completed!$B12&lt;&gt;"",Completed!$B12,"")</f>
        <v>1</v>
      </c>
      <c r="P13" s="28">
        <f ca="1">IF($N13&lt;&gt;"", INDIRECT("'Tracker'!"&amp;ADDRESS(MATCH($N13, Tracker[Anime Name], 0) + 2, 3)), "")</f>
        <v>11</v>
      </c>
      <c r="Q13" s="22" t="str">
        <f ca="1">IF($N13&lt;&gt;"", INDIRECT("'Tracker'!"&amp;ADDRESS(MATCH($N13, Tracker[Anime Name], 0) + 2, 4)), "")</f>
        <v>C</v>
      </c>
      <c r="R13" s="22" t="str">
        <f ca="1">IF($N13&lt;&gt;"", INDIRECT("'Tracker'!"&amp;ADDRESS(MATCH($N13, Tracker[Anime Name], 0) + 2, 5)), "")</f>
        <v>720p</v>
      </c>
      <c r="S13" s="22" t="str">
        <f ca="1">IF($N13&lt;&gt;"", INDIRECT("'Tracker'!"&amp;ADDRESS(MATCH($N13, Tracker[Anime Name], 0) + 2, 6)), "")</f>
        <v>BD</v>
      </c>
      <c r="T13" s="22" t="str">
        <f ca="1">IF($N13&lt;&gt;"", INDIRECT("'Tracker'!"&amp;ADDRESS(MATCH($N13, Tracker[Anime Name], 0) + 2, 7)), "")</f>
        <v>2010A</v>
      </c>
      <c r="U13" s="28" t="str">
        <f ca="1">IF($N13&lt;&gt;"", INDIRECT("'Tracker'!"&amp;ADDRESS(MATCH($N13, Tracker[Anime Name], 0) + 2, 8)), "")</f>
        <v>Elysium</v>
      </c>
      <c r="V13" s="53">
        <f>IF(Completed!$C12&lt;&gt;"",Completed!$C12,"")</f>
        <v>10</v>
      </c>
      <c r="W13" s="53">
        <f>IF(Completed!$D12&lt;&gt;"",Completed!$D12,"")</f>
        <v>9</v>
      </c>
      <c r="X13" s="53">
        <f>IF(Completed!$E12&lt;&gt;"",Completed!$E12,"")</f>
        <v>5</v>
      </c>
      <c r="Y13" s="53">
        <f>IF(Completed!$F12&lt;&gt;"",Completed!$F12,"")</f>
        <v>9.5</v>
      </c>
      <c r="Z13" s="64">
        <f>IF(Completed!$G12&lt;&gt;"",Completed!$G12,"")</f>
        <v>9.2424623115577873</v>
      </c>
      <c r="AA13" s="73">
        <f>IF(Completed!$H12&lt;&gt;"",Completed!$H12,"")</f>
        <v>9.0196737851017303</v>
      </c>
      <c r="AB13" s="54">
        <f>IF(Completed!$I12&lt;&gt;"",Completed!$I12,"")</f>
        <v>41742</v>
      </c>
      <c r="AC13" s="54">
        <f>IF(Completed!$J12&lt;&gt;"",Completed!$J12,"")</f>
        <v>41746</v>
      </c>
      <c r="AD13" s="65" t="str">
        <f>IF(Completed!$K12&lt;&gt;"",Completed!$K12,"")</f>
        <v>Akashi</v>
      </c>
      <c r="AE13" s="65" t="str">
        <f>IF(Completed!$L$12&lt;&gt;"",Completed!$L$12,"")</f>
        <v>Really well planned show</v>
      </c>
    </row>
    <row r="14" spans="1:31">
      <c r="A14" s="82"/>
      <c r="B14" s="83"/>
      <c r="C14" s="84"/>
      <c r="D14" s="84"/>
      <c r="E14" s="84"/>
      <c r="F14" s="107"/>
      <c r="G14" s="103" t="str">
        <f ca="1">IF($A14&lt;&gt;"", INDIRECT("'Tracker'!"&amp;ADDRESS(MATCH($A14, Tracker[Anime Name], 0) + 2, 4)), "")</f>
        <v/>
      </c>
      <c r="H14" s="96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IF(Completed!$A13&lt;&gt;"",Completed!$A13,"")</f>
        <v>Clannad -After Story-</v>
      </c>
      <c r="O14" s="28">
        <f>IF(Completed!$B13&lt;&gt;"",Completed!$B13,"")</f>
        <v>2</v>
      </c>
      <c r="P14" s="28">
        <f ca="1">IF($N14&lt;&gt;"", INDIRECT("'Tracker'!"&amp;ADDRESS(MATCH($N14, Tracker[Anime Name], 0) + 2, 3)), "")</f>
        <v>22</v>
      </c>
      <c r="Q14" s="22" t="str">
        <f ca="1">IF($N14&lt;&gt;"", INDIRECT("'Tracker'!"&amp;ADDRESS(MATCH($N14, Tracker[Anime Name], 0) + 2, 4)), "")</f>
        <v>C</v>
      </c>
      <c r="R14" s="22" t="str">
        <f ca="1">IF($N14&lt;&gt;"", INDIRECT("'Tracker'!"&amp;ADDRESS(MATCH($N14, Tracker[Anime Name], 0) + 2, 5)), "")</f>
        <v>720p</v>
      </c>
      <c r="S14" s="22" t="str">
        <f ca="1">IF($N14&lt;&gt;"", INDIRECT("'Tracker'!"&amp;ADDRESS(MATCH($N14, Tracker[Anime Name], 0) + 2, 6)), "")</f>
        <v>BD</v>
      </c>
      <c r="T14" s="22" t="str">
        <f ca="1">IF($N14&lt;&gt;"", INDIRECT("'Tracker'!"&amp;ADDRESS(MATCH($N14, Tracker[Anime Name], 0) + 2, 7)), "")</f>
        <v>2008C</v>
      </c>
      <c r="U14" s="28" t="str">
        <f ca="1">IF($N14&lt;&gt;"", INDIRECT("'Tracker'!"&amp;ADDRESS(MATCH($N14, Tracker[Anime Name], 0) + 2, 8)), "")</f>
        <v>Doki</v>
      </c>
      <c r="V14" s="53">
        <f>IF(Completed!$C13&lt;&gt;"",Completed!$C13,"")</f>
        <v>9.5</v>
      </c>
      <c r="W14" s="53">
        <f>IF(Completed!$D13&lt;&gt;"",Completed!$D13,"")</f>
        <v>10</v>
      </c>
      <c r="X14" s="53">
        <f>IF(Completed!$E13&lt;&gt;"",Completed!$E13,"")</f>
        <v>6</v>
      </c>
      <c r="Y14" s="53">
        <f>IF(Completed!$F13&lt;&gt;"",Completed!$F13,"")</f>
        <v>9</v>
      </c>
      <c r="Z14" s="64">
        <f>IF(Completed!$G13&lt;&gt;"",Completed!$G13,"")</f>
        <v>9.217336683417086</v>
      </c>
      <c r="AA14" s="73">
        <f>IF(Completed!$H13&lt;&gt;"",Completed!$H13,"")</f>
        <v>8.9860433832184299</v>
      </c>
      <c r="AB14" s="54">
        <f>IF(Completed!$I13&lt;&gt;"",Completed!$I13,"")</f>
        <v>41293</v>
      </c>
      <c r="AC14" s="54">
        <f>IF(Completed!$J13&lt;&gt;"",Completed!$J13,"")</f>
        <v>41294</v>
      </c>
      <c r="AD14" s="65" t="str">
        <f>IF(Completed!$K13&lt;&gt;"",Completed!$K13,"")</f>
        <v>Fujibayashi Kyou</v>
      </c>
      <c r="AE14" s="65" t="str">
        <f>IF(Completed!$L$13&lt;&gt;"",Completed!$L$13,"")</f>
        <v>So many feels</v>
      </c>
    </row>
    <row r="15" spans="1:31">
      <c r="A15" s="82"/>
      <c r="B15" s="83"/>
      <c r="C15" s="84"/>
      <c r="D15" s="84"/>
      <c r="E15" s="84"/>
      <c r="F15" s="107"/>
      <c r="G15" s="103" t="str">
        <f ca="1">IF($A15&lt;&gt;"", INDIRECT("'Tracker'!"&amp;ADDRESS(MATCH($A15, Tracker[Anime Name], 0) + 2, 4)), "")</f>
        <v/>
      </c>
      <c r="H15" s="96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IF(Completed!$A14&lt;&gt;"",Completed!$A14,"")</f>
        <v>Love Live! School Idol Project</v>
      </c>
      <c r="O15" s="28">
        <f>IF(Completed!$B14&lt;&gt;"",Completed!$B14,"")</f>
        <v>2</v>
      </c>
      <c r="P15" s="28">
        <f ca="1">IF($N15&lt;&gt;"", INDIRECT("'Tracker'!"&amp;ADDRESS(MATCH($N15, Tracker[Anime Name], 0) + 2, 3)), "")</f>
        <v>13</v>
      </c>
      <c r="Q15" s="22" t="str">
        <f ca="1">IF($N15&lt;&gt;"", INDIRECT("'Tracker'!"&amp;ADDRESS(MATCH($N15, Tracker[Anime Name], 0) + 2, 4)), "")</f>
        <v>A</v>
      </c>
      <c r="R15" s="22" t="str">
        <f ca="1">IF($N15&lt;&gt;"", INDIRECT("'Tracker'!"&amp;ADDRESS(MATCH($N15, Tracker[Anime Name], 0) + 2, 5)), "")</f>
        <v>720p</v>
      </c>
      <c r="S15" s="22" t="str">
        <f ca="1">IF($N15&lt;&gt;"", INDIRECT("'Tracker'!"&amp;ADDRESS(MATCH($N15, Tracker[Anime Name], 0) + 2, 6)), "")</f>
        <v>BD</v>
      </c>
      <c r="T15" s="22" t="str">
        <f ca="1">IF($N15&lt;&gt;"", INDIRECT("'Tracker'!"&amp;ADDRESS(MATCH($N15, Tracker[Anime Name], 0) + 2, 7)), "")</f>
        <v>2012D</v>
      </c>
      <c r="U15" s="28" t="str">
        <f ca="1">IF($N15&lt;&gt;"", INDIRECT("'Tracker'!"&amp;ADDRESS(MATCH($N15, Tracker[Anime Name], 0) + 2, 8)), "")</f>
        <v>FFF</v>
      </c>
      <c r="V15" s="53">
        <f>IF(Completed!$C14&lt;&gt;"",Completed!$C14,"")</f>
        <v>9</v>
      </c>
      <c r="W15" s="53">
        <f>IF(Completed!$D14&lt;&gt;"",Completed!$D14,"")</f>
        <v>9</v>
      </c>
      <c r="X15" s="53">
        <f>IF(Completed!$E14&lt;&gt;"",Completed!$E14,"")</f>
        <v>8</v>
      </c>
      <c r="Y15" s="53">
        <f>IF(Completed!$F14&lt;&gt;"",Completed!$F14,"")</f>
        <v>9.5</v>
      </c>
      <c r="Z15" s="64">
        <f>IF(Completed!$G14&lt;&gt;"",Completed!$G14,"")</f>
        <v>9.2022613065326642</v>
      </c>
      <c r="AA15" s="73">
        <f>IF(Completed!$H14&lt;&gt;"",Completed!$H14,"")</f>
        <v>8.9658651420884485</v>
      </c>
      <c r="AB15" s="54">
        <f>IF(Completed!$I14&lt;&gt;"",Completed!$I14,"")</f>
        <v>42352</v>
      </c>
      <c r="AC15" s="54">
        <f>IF(Completed!$J14&lt;&gt;"",Completed!$J14,"")</f>
        <v>42358</v>
      </c>
      <c r="AD15" s="65" t="str">
        <f>IF(Completed!$K14&lt;&gt;"",Completed!$K14,"")</f>
        <v>Ayase Eri</v>
      </c>
      <c r="AE15" s="65" t="str">
        <f>IF(Completed!$L$14&lt;&gt;"",Completed!$L$14,"")</f>
        <v/>
      </c>
    </row>
    <row r="16" spans="1:31">
      <c r="A16" s="82"/>
      <c r="B16" s="86"/>
      <c r="C16" s="87"/>
      <c r="D16" s="84"/>
      <c r="E16" s="84"/>
      <c r="F16" s="107"/>
      <c r="G16" s="103" t="str">
        <f ca="1">IF($A16&lt;&gt;"", INDIRECT("'Tracker'!"&amp;ADDRESS(MATCH($A16, Tracker[Anime Name], 0) + 2, 4)), "")</f>
        <v/>
      </c>
      <c r="H16" s="96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IF(Completed!$A15&lt;&gt;"",Completed!$A15,"")</f>
        <v>Durarara!!x2 Shou</v>
      </c>
      <c r="O16" s="28">
        <f>IF(Completed!$B15&lt;&gt;"",Completed!$B15,"")</f>
        <v>2</v>
      </c>
      <c r="P16" s="28">
        <f ca="1">IF($N16&lt;&gt;"", INDIRECT("'Tracker'!"&amp;ADDRESS(MATCH($N16, Tracker[Anime Name], 0) + 2, 3)), "")</f>
        <v>12</v>
      </c>
      <c r="Q16" s="22" t="str">
        <f ca="1">IF($N16&lt;&gt;"", INDIRECT("'Tracker'!"&amp;ADDRESS(MATCH($N16, Tracker[Anime Name], 0) + 2, 4)), "")</f>
        <v>C</v>
      </c>
      <c r="R16" s="22" t="str">
        <f ca="1">IF($N16&lt;&gt;"", INDIRECT("'Tracker'!"&amp;ADDRESS(MATCH($N16, Tracker[Anime Name], 0) + 2, 5)), "")</f>
        <v>720p</v>
      </c>
      <c r="S16" s="22" t="str">
        <f ca="1">IF($N16&lt;&gt;"", INDIRECT("'Tracker'!"&amp;ADDRESS(MATCH($N16, Tracker[Anime Name], 0) + 2, 6)), "")</f>
        <v>TV</v>
      </c>
      <c r="T16" s="22" t="str">
        <f ca="1">IF($N16&lt;&gt;"", INDIRECT("'Tracker'!"&amp;ADDRESS(MATCH($N16, Tracker[Anime Name], 0) + 2, 7)), "")</f>
        <v>2014D</v>
      </c>
      <c r="U16" s="28" t="str">
        <f ca="1">IF($N16&lt;&gt;"", INDIRECT("'Tracker'!"&amp;ADDRESS(MATCH($N16, Tracker[Anime Name], 0) + 2, 8)), "")</f>
        <v>Vivid</v>
      </c>
      <c r="V16" s="53">
        <f>IF(Completed!$C15&lt;&gt;"",Completed!$C15,"")</f>
        <v>10</v>
      </c>
      <c r="W16" s="53">
        <f>IF(Completed!$D15&lt;&gt;"",Completed!$D15,"")</f>
        <v>9</v>
      </c>
      <c r="X16" s="53">
        <f>IF(Completed!$E15&lt;&gt;"",Completed!$E15,"")</f>
        <v>4</v>
      </c>
      <c r="Y16" s="53">
        <f>IF(Completed!$F15&lt;&gt;"",Completed!$F15,"")</f>
        <v>9.5</v>
      </c>
      <c r="Z16" s="64">
        <f>IF(Completed!$G15&lt;&gt;"",Completed!$G15,"")</f>
        <v>9.1947236180904515</v>
      </c>
      <c r="AA16" s="73">
        <f>IF(Completed!$H15&lt;&gt;"",Completed!$H15,"")</f>
        <v>8.9557760215234552</v>
      </c>
      <c r="AB16" s="54">
        <f>IF(Completed!$I15&lt;&gt;"",Completed!$I15,"")</f>
        <v>42029</v>
      </c>
      <c r="AC16" s="54">
        <f>IF(Completed!$J15&lt;&gt;"",Completed!$J15,"")</f>
        <v>42095</v>
      </c>
      <c r="AD16" s="65" t="str">
        <f>IF(Completed!$K15&lt;&gt;"",Completed!$K15,"")</f>
        <v>Celty Sturluson</v>
      </c>
      <c r="AE16" s="65" t="str">
        <f>IF(Completed!$L$15&lt;&gt;"",Completed!$L$15,"")</f>
        <v/>
      </c>
    </row>
    <row r="17" spans="1:31">
      <c r="A17" s="82"/>
      <c r="B17" s="83"/>
      <c r="C17" s="84"/>
      <c r="D17" s="84"/>
      <c r="E17" s="84"/>
      <c r="F17" s="106"/>
      <c r="G17" s="103" t="str">
        <f ca="1">IF($A17&lt;&gt;"", INDIRECT("'Tracker'!"&amp;ADDRESS(MATCH($A17, Tracker[Anime Name], 0) + 2, 4)), "")</f>
        <v/>
      </c>
      <c r="H17" s="96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IF(Completed!$A16&lt;&gt;"",Completed!$A16,"")</f>
        <v>Durarara!!</v>
      </c>
      <c r="O17" s="28">
        <f>IF(Completed!$B16&lt;&gt;"",Completed!$B16,"")</f>
        <v>1</v>
      </c>
      <c r="P17" s="28">
        <f ca="1">IF($N17&lt;&gt;"", INDIRECT("'Tracker'!"&amp;ADDRESS(MATCH($N17, Tracker[Anime Name], 0) + 2, 3)), "")</f>
        <v>25</v>
      </c>
      <c r="Q17" s="22" t="str">
        <f ca="1">IF($N17&lt;&gt;"", INDIRECT("'Tracker'!"&amp;ADDRESS(MATCH($N17, Tracker[Anime Name], 0) + 2, 4)), "")</f>
        <v>C</v>
      </c>
      <c r="R17" s="22" t="str">
        <f ca="1">IF($N17&lt;&gt;"", INDIRECT("'Tracker'!"&amp;ADDRESS(MATCH($N17, Tracker[Anime Name], 0) + 2, 5)), "")</f>
        <v>720p</v>
      </c>
      <c r="S17" s="22" t="str">
        <f ca="1">IF($N17&lt;&gt;"", INDIRECT("'Tracker'!"&amp;ADDRESS(MATCH($N17, Tracker[Anime Name], 0) + 2, 6)), "")</f>
        <v>BD</v>
      </c>
      <c r="T17" s="22" t="str">
        <f ca="1">IF($N17&lt;&gt;"", INDIRECT("'Tracker'!"&amp;ADDRESS(MATCH($N17, Tracker[Anime Name], 0) + 2, 7)), "")</f>
        <v>2009D</v>
      </c>
      <c r="U17" s="28" t="str">
        <f ca="1">IF($N17&lt;&gt;"", INDIRECT("'Tracker'!"&amp;ADDRESS(MATCH($N17, Tracker[Anime Name], 0) + 2, 8)), "")</f>
        <v>Coalgirls, gg</v>
      </c>
      <c r="V17" s="53">
        <f>IF(Completed!$C16&lt;&gt;"",Completed!$C16,"")</f>
        <v>10</v>
      </c>
      <c r="W17" s="53">
        <f>IF(Completed!$D16&lt;&gt;"",Completed!$D16,"")</f>
        <v>9</v>
      </c>
      <c r="X17" s="53">
        <f>IF(Completed!$E16&lt;&gt;"",Completed!$E16,"")</f>
        <v>4</v>
      </c>
      <c r="Y17" s="53">
        <f>IF(Completed!$F16&lt;&gt;"",Completed!$F16,"")</f>
        <v>9.5</v>
      </c>
      <c r="Z17" s="64">
        <f>IF(Completed!$G16&lt;&gt;"",Completed!$G16,"")</f>
        <v>9.1947236180904515</v>
      </c>
      <c r="AA17" s="73">
        <f>IF(Completed!$H16&lt;&gt;"",Completed!$H16,"")</f>
        <v>8.9557760215234552</v>
      </c>
      <c r="AB17" s="54">
        <f>IF(Completed!$I16&lt;&gt;"",Completed!$I16,"")</f>
        <v>41750</v>
      </c>
      <c r="AC17" s="54">
        <f>IF(Completed!$J16&lt;&gt;"",Completed!$J16,"")</f>
        <v>41756</v>
      </c>
      <c r="AD17" s="65" t="str">
        <f>IF(Completed!$K16&lt;&gt;"",Completed!$K16,"")</f>
        <v>Celty Sturluson</v>
      </c>
      <c r="AE17" s="65" t="str">
        <f>IF(Completed!$L$16&lt;&gt;"",Completed!$L$16,"")</f>
        <v/>
      </c>
    </row>
    <row r="18" spans="1:31">
      <c r="A18" s="82"/>
      <c r="B18" s="85"/>
      <c r="C18" s="84"/>
      <c r="D18" s="84"/>
      <c r="E18" s="84"/>
      <c r="F18" s="106"/>
      <c r="G18" s="103" t="str">
        <f ca="1">IF($A18&lt;&gt;"", INDIRECT("'Tracker'!"&amp;ADDRESS(MATCH($A18, Tracker[Anime Name], 0) + 2, 4)), "")</f>
        <v/>
      </c>
      <c r="H18" s="96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IF(Completed!$A17&lt;&gt;"",Completed!$A17,"")</f>
        <v>Mikakunin de Shinkoukei</v>
      </c>
      <c r="O18" s="28">
        <f>IF(Completed!$B17&lt;&gt;"",Completed!$B17,"")</f>
        <v>1</v>
      </c>
      <c r="P18" s="28">
        <f ca="1">IF($N18&lt;&gt;"", INDIRECT("'Tracker'!"&amp;ADDRESS(MATCH($N18, Tracker[Anime Name], 0) + 2, 3)), "")</f>
        <v>12</v>
      </c>
      <c r="Q18" s="22" t="str">
        <f ca="1">IF($N18&lt;&gt;"", INDIRECT("'Tracker'!"&amp;ADDRESS(MATCH($N18, Tracker[Anime Name], 0) + 2, 4)), "")</f>
        <v>C</v>
      </c>
      <c r="R18" s="22" t="str">
        <f ca="1">IF($N18&lt;&gt;"", INDIRECT("'Tracker'!"&amp;ADDRESS(MATCH($N18, Tracker[Anime Name], 0) + 2, 5)), "")</f>
        <v>720p</v>
      </c>
      <c r="S18" s="22" t="str">
        <f ca="1">IF($N18&lt;&gt;"", INDIRECT("'Tracker'!"&amp;ADDRESS(MATCH($N18, Tracker[Anime Name], 0) + 2, 6)), "")</f>
        <v>TV</v>
      </c>
      <c r="T18" s="22" t="str">
        <f ca="1">IF($N18&lt;&gt;"", INDIRECT("'Tracker'!"&amp;ADDRESS(MATCH($N18, Tracker[Anime Name], 0) + 2, 7)), "")</f>
        <v>2013D</v>
      </c>
      <c r="U18" s="28" t="str">
        <f ca="1">IF($N18&lt;&gt;"", INDIRECT("'Tracker'!"&amp;ADDRESS(MATCH($N18, Tracker[Anime Name], 0) + 2, 8)), "")</f>
        <v>Underwater</v>
      </c>
      <c r="V18" s="53">
        <f>IF(Completed!$C17&lt;&gt;"",Completed!$C17,"")</f>
        <v>9</v>
      </c>
      <c r="W18" s="53">
        <f>IF(Completed!$D17&lt;&gt;"",Completed!$D17,"")</f>
        <v>9</v>
      </c>
      <c r="X18" s="53">
        <f>IF(Completed!$E17&lt;&gt;"",Completed!$E17,"")</f>
        <v>7.5</v>
      </c>
      <c r="Y18" s="53">
        <f>IF(Completed!$F17&lt;&gt;"",Completed!$F17,"")</f>
        <v>9.5</v>
      </c>
      <c r="Z18" s="64">
        <f>IF(Completed!$G17&lt;&gt;"",Completed!$G17,"")</f>
        <v>9.1783919597989954</v>
      </c>
      <c r="AA18" s="73">
        <f>IF(Completed!$H17&lt;&gt;"",Completed!$H17,"")</f>
        <v>8.933916260299311</v>
      </c>
      <c r="AB18" s="54">
        <f>IF(Completed!$I17&lt;&gt;"",Completed!$I17,"")</f>
        <v>41814</v>
      </c>
      <c r="AC18" s="54">
        <f>IF(Completed!$J17&lt;&gt;"",Completed!$J17,"")</f>
        <v>41815</v>
      </c>
      <c r="AD18" s="65" t="str">
        <f>IF(Completed!$K17&lt;&gt;"",Completed!$K17,"")</f>
        <v>Yonomori Kobeni</v>
      </c>
      <c r="AE18" s="65" t="str">
        <f>IF(Completed!$L$17&lt;&gt;"",Completed!$L$17,"")</f>
        <v>This show is good.</v>
      </c>
    </row>
    <row r="19" spans="1:31">
      <c r="A19" s="82"/>
      <c r="B19" s="88"/>
      <c r="C19" s="87"/>
      <c r="D19" s="87"/>
      <c r="E19" s="87"/>
      <c r="F19" s="108"/>
      <c r="G19" s="103" t="str">
        <f ca="1">IF($A19&lt;&gt;"", INDIRECT("'Tracker'!"&amp;ADDRESS(MATCH($A19, Tracker[Anime Name], 0) + 2, 4)), "")</f>
        <v/>
      </c>
      <c r="H19" s="96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IF(Completed!$A18&lt;&gt;"",Completed!$A18,"")</f>
        <v>Spice and Wolf</v>
      </c>
      <c r="O19" s="28">
        <f>IF(Completed!$B18&lt;&gt;"",Completed!$B18,"")</f>
        <v>1</v>
      </c>
      <c r="P19" s="28">
        <f ca="1">IF($N19&lt;&gt;"", INDIRECT("'Tracker'!"&amp;ADDRESS(MATCH($N19, Tracker[Anime Name], 0) + 2, 3)), "")</f>
        <v>13</v>
      </c>
      <c r="Q19" s="22" t="str">
        <f ca="1">IF($N19&lt;&gt;"", INDIRECT("'Tracker'!"&amp;ADDRESS(MATCH($N19, Tracker[Anime Name], 0) + 2, 4)), "")</f>
        <v>C</v>
      </c>
      <c r="R19" s="22" t="str">
        <f ca="1">IF($N19&lt;&gt;"", INDIRECT("'Tracker'!"&amp;ADDRESS(MATCH($N19, Tracker[Anime Name], 0) + 2, 5)), "")</f>
        <v>720p</v>
      </c>
      <c r="S19" s="22" t="str">
        <f ca="1">IF($N19&lt;&gt;"", INDIRECT("'Tracker'!"&amp;ADDRESS(MATCH($N19, Tracker[Anime Name], 0) + 2, 6)), "")</f>
        <v>BD</v>
      </c>
      <c r="T19" s="22" t="str">
        <f ca="1">IF($N19&lt;&gt;"", INDIRECT("'Tracker'!"&amp;ADDRESS(MATCH($N19, Tracker[Anime Name], 0) + 2, 7)), "")</f>
        <v>2007D</v>
      </c>
      <c r="U19" s="28" t="str">
        <f ca="1">IF($N19&lt;&gt;"", INDIRECT("'Tracker'!"&amp;ADDRESS(MATCH($N19, Tracker[Anime Name], 0) + 2, 8)), "")</f>
        <v>Coalgirls, sudo</v>
      </c>
      <c r="V19" s="53">
        <f>IF(Completed!$C18&lt;&gt;"",Completed!$C18,"")</f>
        <v>9</v>
      </c>
      <c r="W19" s="53">
        <f>IF(Completed!$D18&lt;&gt;"",Completed!$D18,"")</f>
        <v>9.5</v>
      </c>
      <c r="X19" s="53">
        <f>IF(Completed!$E18&lt;&gt;"",Completed!$E18,"")</f>
        <v>4.5</v>
      </c>
      <c r="Y19" s="53">
        <f>IF(Completed!$F18&lt;&gt;"",Completed!$F18,"")</f>
        <v>9.5</v>
      </c>
      <c r="Z19" s="64">
        <f>IF(Completed!$G18&lt;&gt;"",Completed!$G18,"")</f>
        <v>9.1695979899497502</v>
      </c>
      <c r="AA19" s="73">
        <f>IF(Completed!$H18&lt;&gt;"",Completed!$H18,"")</f>
        <v>8.9221456196401565</v>
      </c>
      <c r="AB19" s="54">
        <f>IF(Completed!$I18&lt;&gt;"",Completed!$I18,"")</f>
        <v>41357</v>
      </c>
      <c r="AC19" s="54">
        <f>IF(Completed!$J18&lt;&gt;"",Completed!$J18,"")</f>
        <v>41357</v>
      </c>
      <c r="AD19" s="65" t="str">
        <f>IF(Completed!$K18&lt;&gt;"",Completed!$K18,"")</f>
        <v>Nora Adrendt</v>
      </c>
      <c r="AE19" s="65" t="str">
        <f>IF(Completed!$L$18&lt;&gt;"",Completed!$L$18,"")</f>
        <v/>
      </c>
    </row>
    <row r="20" spans="1:31">
      <c r="A20" s="82"/>
      <c r="B20" s="88"/>
      <c r="C20" s="87"/>
      <c r="D20" s="87"/>
      <c r="E20" s="87"/>
      <c r="F20" s="108"/>
      <c r="G20" s="103" t="str">
        <f ca="1">IF($A20&lt;&gt;"", INDIRECT("'Tracker'!"&amp;ADDRESS(MATCH($A20, Tracker[Anime Name], 0) + 2, 4)), "")</f>
        <v/>
      </c>
      <c r="H20" s="96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IF(Completed!$A19&lt;&gt;"",Completed!$A19,"")</f>
        <v>Death Parade</v>
      </c>
      <c r="O20" s="28">
        <f>IF(Completed!$B19&lt;&gt;"",Completed!$B19,"")</f>
        <v>1</v>
      </c>
      <c r="P20" s="28">
        <f ca="1">IF($N20&lt;&gt;"", INDIRECT("'Tracker'!"&amp;ADDRESS(MATCH($N20, Tracker[Anime Name], 0) + 2, 3)), "")</f>
        <v>12</v>
      </c>
      <c r="Q20" s="22" t="str">
        <f ca="1">IF($N20&lt;&gt;"", INDIRECT("'Tracker'!"&amp;ADDRESS(MATCH($N20, Tracker[Anime Name], 0) + 2, 4)), "")</f>
        <v>C</v>
      </c>
      <c r="R20" s="22" t="str">
        <f ca="1">IF($N20&lt;&gt;"", INDIRECT("'Tracker'!"&amp;ADDRESS(MATCH($N20, Tracker[Anime Name], 0) + 2, 5)), "")</f>
        <v>720p</v>
      </c>
      <c r="S20" s="22" t="str">
        <f ca="1">IF($N20&lt;&gt;"", INDIRECT("'Tracker'!"&amp;ADDRESS(MATCH($N20, Tracker[Anime Name], 0) + 2, 6)), "")</f>
        <v>TV</v>
      </c>
      <c r="T20" s="22" t="str">
        <f ca="1">IF($N20&lt;&gt;"", INDIRECT("'Tracker'!"&amp;ADDRESS(MATCH($N20, Tracker[Anime Name], 0) + 2, 7)), "")</f>
        <v>2014D</v>
      </c>
      <c r="U20" s="28" t="str">
        <f ca="1">IF($N20&lt;&gt;"", INDIRECT("'Tracker'!"&amp;ADDRESS(MATCH($N20, Tracker[Anime Name], 0) + 2, 8)), "")</f>
        <v>FFF</v>
      </c>
      <c r="V20" s="53">
        <f>IF(Completed!$C19&lt;&gt;"",Completed!$C19,"")</f>
        <v>9.5</v>
      </c>
      <c r="W20" s="53">
        <f>IF(Completed!$D19&lt;&gt;"",Completed!$D19,"")</f>
        <v>9</v>
      </c>
      <c r="X20" s="53">
        <f>IF(Completed!$E19&lt;&gt;"",Completed!$E19,"")</f>
        <v>5</v>
      </c>
      <c r="Y20" s="53">
        <f>IF(Completed!$F19&lt;&gt;"",Completed!$F19,"")</f>
        <v>9.5</v>
      </c>
      <c r="Z20" s="64">
        <f>IF(Completed!$G19&lt;&gt;"",Completed!$G19,"")</f>
        <v>9.150753768844222</v>
      </c>
      <c r="AA20" s="73">
        <f>IF(Completed!$H19&lt;&gt;"",Completed!$H19,"")</f>
        <v>8.8969228182276776</v>
      </c>
      <c r="AB20" s="54">
        <f>IF(Completed!$I19&lt;&gt;"",Completed!$I19,"")</f>
        <v>42043</v>
      </c>
      <c r="AC20" s="54">
        <f>IF(Completed!$J19&lt;&gt;"",Completed!$J19,"")</f>
        <v>42101</v>
      </c>
      <c r="AD20" s="65" t="str">
        <f>IF(Completed!$K19&lt;&gt;"",Completed!$K19,"")</f>
        <v>Chiyuki</v>
      </c>
      <c r="AE20" s="65" t="str">
        <f>IF(Completed!$L$19&lt;&gt;"",Completed!$L$19,"")</f>
        <v/>
      </c>
    </row>
    <row r="21" spans="1:31">
      <c r="A21" s="82"/>
      <c r="B21" s="88"/>
      <c r="C21" s="87"/>
      <c r="D21" s="87"/>
      <c r="E21" s="87"/>
      <c r="F21" s="108"/>
      <c r="G21" s="103" t="str">
        <f ca="1">IF($A21&lt;&gt;"", INDIRECT("'Tracker'!"&amp;ADDRESS(MATCH($A21, Tracker[Anime Name], 0) + 2, 4)), "")</f>
        <v/>
      </c>
      <c r="H21" s="96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IF(Completed!$A20&lt;&gt;"",Completed!$A20,"")</f>
        <v>Log Horizon</v>
      </c>
      <c r="O21" s="28">
        <f>IF(Completed!$B20&lt;&gt;"",Completed!$B20,"")</f>
        <v>1</v>
      </c>
      <c r="P21" s="28">
        <f ca="1">IF($N21&lt;&gt;"", INDIRECT("'Tracker'!"&amp;ADDRESS(MATCH($N21, Tracker[Anime Name], 0) + 2, 3)), "")</f>
        <v>25</v>
      </c>
      <c r="Q21" s="22" t="str">
        <f ca="1">IF($N21&lt;&gt;"", INDIRECT("'Tracker'!"&amp;ADDRESS(MATCH($N21, Tracker[Anime Name], 0) + 2, 4)), "")</f>
        <v>B</v>
      </c>
      <c r="R21" s="22" t="str">
        <f ca="1">IF($N21&lt;&gt;"", INDIRECT("'Tracker'!"&amp;ADDRESS(MATCH($N21, Tracker[Anime Name], 0) + 2, 5)), "")</f>
        <v>720p</v>
      </c>
      <c r="S21" s="22" t="str">
        <f ca="1">IF($N21&lt;&gt;"", INDIRECT("'Tracker'!"&amp;ADDRESS(MATCH($N21, Tracker[Anime Name], 0) + 2, 6)), "")</f>
        <v>TV</v>
      </c>
      <c r="T21" s="22" t="str">
        <f ca="1">IF($N21&lt;&gt;"", INDIRECT("'Tracker'!"&amp;ADDRESS(MATCH($N21, Tracker[Anime Name], 0) + 2, 7)), "")</f>
        <v>2013C</v>
      </c>
      <c r="U21" s="28" t="str">
        <f ca="1">IF($N21&lt;&gt;"", INDIRECT("'Tracker'!"&amp;ADDRESS(MATCH($N21, Tracker[Anime Name], 0) + 2, 8)), "")</f>
        <v>HorribleSubs</v>
      </c>
      <c r="V21" s="53">
        <f>IF(Completed!$C20&lt;&gt;"",Completed!$C20,"")</f>
        <v>8.5</v>
      </c>
      <c r="W21" s="53">
        <f>IF(Completed!$D20&lt;&gt;"",Completed!$D20,"")</f>
        <v>9</v>
      </c>
      <c r="X21" s="53">
        <f>IF(Completed!$E20&lt;&gt;"",Completed!$E20,"")</f>
        <v>6.5</v>
      </c>
      <c r="Y21" s="53">
        <f>IF(Completed!$F20&lt;&gt;"",Completed!$F20,"")</f>
        <v>9.5</v>
      </c>
      <c r="Z21" s="64">
        <f>IF(Completed!$G20&lt;&gt;"",Completed!$G20,"")</f>
        <v>9.0389447236180906</v>
      </c>
      <c r="AA21" s="73">
        <f>IF(Completed!$H20&lt;&gt;"",Completed!$H20,"")</f>
        <v>8.7472675298469813</v>
      </c>
      <c r="AB21" s="54">
        <f>IF(Completed!$I20&lt;&gt;"",Completed!$I20,"")</f>
        <v>41555</v>
      </c>
      <c r="AC21" s="54">
        <f>IF(Completed!$J20&lt;&gt;"",Completed!$J20,"")</f>
        <v>41720</v>
      </c>
      <c r="AD21" s="65" t="str">
        <f>IF(Completed!$K20&lt;&gt;"",Completed!$K20,"")</f>
        <v>Akatsuki</v>
      </c>
      <c r="AE21" s="65" t="str">
        <f>IF(Completed!$L$20&lt;&gt;"",Completed!$L$20,"")</f>
        <v>Very well thought out world, good design</v>
      </c>
    </row>
    <row r="22" spans="1:31">
      <c r="A22" s="82"/>
      <c r="B22" s="88"/>
      <c r="C22" s="87"/>
      <c r="D22" s="87"/>
      <c r="E22" s="87"/>
      <c r="F22" s="108"/>
      <c r="G22" s="103" t="str">
        <f ca="1">IF($A22&lt;&gt;"", INDIRECT("'Tracker'!"&amp;ADDRESS(MATCH($A22, Tracker[Anime Name], 0) + 2, 4)), "")</f>
        <v/>
      </c>
      <c r="H22" s="96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IF(Completed!$A21&lt;&gt;"",Completed!$A21,"")</f>
        <v>Oda Nobuna no Yabou</v>
      </c>
      <c r="O22" s="28">
        <f>IF(Completed!$B21&lt;&gt;"",Completed!$B21,"")</f>
        <v>1</v>
      </c>
      <c r="P22" s="28">
        <f ca="1">IF($N22&lt;&gt;"", INDIRECT("'Tracker'!"&amp;ADDRESS(MATCH($N22, Tracker[Anime Name], 0) + 2, 3)), "")</f>
        <v>12</v>
      </c>
      <c r="Q22" s="22" t="str">
        <f ca="1">IF($N22&lt;&gt;"", INDIRECT("'Tracker'!"&amp;ADDRESS(MATCH($N22, Tracker[Anime Name], 0) + 2, 4)), "")</f>
        <v>C</v>
      </c>
      <c r="R22" s="22" t="str">
        <f ca="1">IF($N22&lt;&gt;"", INDIRECT("'Tracker'!"&amp;ADDRESS(MATCH($N22, Tracker[Anime Name], 0) + 2, 5)), "")</f>
        <v>1080p</v>
      </c>
      <c r="S22" s="22" t="str">
        <f ca="1">IF($N22&lt;&gt;"", INDIRECT("'Tracker'!"&amp;ADDRESS(MATCH($N22, Tracker[Anime Name], 0) + 2, 6)), "")</f>
        <v>BD</v>
      </c>
      <c r="T22" s="22" t="str">
        <f ca="1">IF($N22&lt;&gt;"", INDIRECT("'Tracker'!"&amp;ADDRESS(MATCH($N22, Tracker[Anime Name], 0) + 2, 7)), "")</f>
        <v>2012C</v>
      </c>
      <c r="U22" s="28" t="str">
        <f ca="1">IF($N22&lt;&gt;"", INDIRECT("'Tracker'!"&amp;ADDRESS(MATCH($N22, Tracker[Anime Name], 0) + 2, 8)), "")</f>
        <v>Doki</v>
      </c>
      <c r="V22" s="53">
        <f>IF(Completed!$C21&lt;&gt;"",Completed!$C21,"")</f>
        <v>9</v>
      </c>
      <c r="W22" s="53">
        <f>IF(Completed!$D21&lt;&gt;"",Completed!$D21,"")</f>
        <v>9.5</v>
      </c>
      <c r="X22" s="53">
        <f>IF(Completed!$E21&lt;&gt;"",Completed!$E21,"")</f>
        <v>6.5</v>
      </c>
      <c r="Y22" s="53">
        <f>IF(Completed!$F21&lt;&gt;"",Completed!$F21,"")</f>
        <v>9</v>
      </c>
      <c r="Z22" s="64">
        <f>IF(Completed!$G21&lt;&gt;"",Completed!$G21,"")</f>
        <v>9.0150753768844218</v>
      </c>
      <c r="AA22" s="73">
        <f>IF(Completed!$H21&lt;&gt;"",Completed!$H21,"")</f>
        <v>8.7153186480578437</v>
      </c>
      <c r="AB22" s="54">
        <f>IF(Completed!$I21&lt;&gt;"",Completed!$I21,"")</f>
        <v>41636</v>
      </c>
      <c r="AC22" s="54">
        <f>IF(Completed!$J21&lt;&gt;"",Completed!$J21,"")</f>
        <v>41636</v>
      </c>
      <c r="AD22" s="65" t="str">
        <f>IF(Completed!$K21&lt;&gt;"",Completed!$K21,"")</f>
        <v>Takenaka Hanbei</v>
      </c>
      <c r="AE22" s="65" t="str">
        <f>IF(Completed!$L$21&lt;&gt;"",Completed!$L$21,"")</f>
        <v>Really enjoyable to watch, especially with knowledge of Japanese history</v>
      </c>
    </row>
    <row r="23" spans="1:31">
      <c r="A23" s="82"/>
      <c r="B23" s="88"/>
      <c r="C23" s="87"/>
      <c r="D23" s="87"/>
      <c r="E23" s="87"/>
      <c r="F23" s="109"/>
      <c r="G23" s="104" t="str">
        <f ca="1">IF($A23&lt;&gt;"", INDIRECT("'Tracker'!"&amp;ADDRESS(MATCH($A23, Tracker[Anime Name], 0) + 2, 4)), "")</f>
        <v/>
      </c>
      <c r="H23" s="96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IF(Completed!$A22&lt;&gt;"",Completed!$A22,"")</f>
        <v>Ping Pong the Animation</v>
      </c>
      <c r="O23" s="28">
        <f>IF(Completed!$B22&lt;&gt;"",Completed!$B22,"")</f>
        <v>1</v>
      </c>
      <c r="P23" s="28">
        <f ca="1">IF($N23&lt;&gt;"", INDIRECT("'Tracker'!"&amp;ADDRESS(MATCH($N23, Tracker[Anime Name], 0) + 2, 3)), "")</f>
        <v>11</v>
      </c>
      <c r="Q23" s="22" t="str">
        <f ca="1">IF($N23&lt;&gt;"", INDIRECT("'Tracker'!"&amp;ADDRESS(MATCH($N23, Tracker[Anime Name], 0) + 2, 4)), "")</f>
        <v>C</v>
      </c>
      <c r="R23" s="22" t="str">
        <f ca="1">IF($N23&lt;&gt;"", INDIRECT("'Tracker'!"&amp;ADDRESS(MATCH($N23, Tracker[Anime Name], 0) + 2, 5)), "")</f>
        <v>720p</v>
      </c>
      <c r="S23" s="22" t="str">
        <f ca="1">IF($N23&lt;&gt;"", INDIRECT("'Tracker'!"&amp;ADDRESS(MATCH($N23, Tracker[Anime Name], 0) + 2, 6)), "")</f>
        <v>TV</v>
      </c>
      <c r="T23" s="22" t="str">
        <f ca="1">IF($N23&lt;&gt;"", INDIRECT("'Tracker'!"&amp;ADDRESS(MATCH($N23, Tracker[Anime Name], 0) + 2, 7)), "")</f>
        <v>2014A</v>
      </c>
      <c r="U23" s="28" t="str">
        <f ca="1">IF($N23&lt;&gt;"", INDIRECT("'Tracker'!"&amp;ADDRESS(MATCH($N23, Tracker[Anime Name], 0) + 2, 8)), "")</f>
        <v>WhyNot</v>
      </c>
      <c r="V23" s="53">
        <f>IF(Completed!$C22&lt;&gt;"",Completed!$C22,"")</f>
        <v>10</v>
      </c>
      <c r="W23" s="53">
        <f>IF(Completed!$D22&lt;&gt;"",Completed!$D22,"")</f>
        <v>8.5</v>
      </c>
      <c r="X23" s="53">
        <f>IF(Completed!$E22&lt;&gt;"",Completed!$E22,"")</f>
        <v>3</v>
      </c>
      <c r="Y23" s="53">
        <f>IF(Completed!$F22&lt;&gt;"",Completed!$F22,"")</f>
        <v>9.5</v>
      </c>
      <c r="Z23" s="64">
        <f>IF(Completed!$G22&lt;&gt;"",Completed!$G22,"")</f>
        <v>9.0125628140703533</v>
      </c>
      <c r="AA23" s="73">
        <f>IF(Completed!$H22&lt;&gt;"",Completed!$H22,"")</f>
        <v>8.7119556078695162</v>
      </c>
      <c r="AB23" s="54">
        <f>IF(Completed!$I22&lt;&gt;"",Completed!$I22,"")</f>
        <v>41750</v>
      </c>
      <c r="AC23" s="54">
        <f>IF(Completed!$J22&lt;&gt;"",Completed!$J22,"")</f>
        <v>41817</v>
      </c>
      <c r="AD23" s="65" t="str">
        <f>IF(Completed!$K22&lt;&gt;"",Completed!$K22,"")</f>
        <v>--</v>
      </c>
      <c r="AE23" s="65" t="str">
        <f>IF(Completed!$L$22&lt;&gt;"",Completed!$L$22,"")</f>
        <v>Hypest ping pong I've ever watched</v>
      </c>
    </row>
    <row r="24" spans="1:31">
      <c r="A24" s="97" t="s">
        <v>474</v>
      </c>
      <c r="B24" s="98">
        <f>SUMIF(B4:B23, "--", E4:E23) - SUMIF(B4:B23, "--", D4:D23)</f>
        <v>52</v>
      </c>
      <c r="C24" s="248" t="s">
        <v>473</v>
      </c>
      <c r="D24" s="249"/>
      <c r="E24" s="249"/>
      <c r="F24" s="249"/>
      <c r="G24" s="250"/>
      <c r="H24" s="99">
        <f>B24*22/60</f>
        <v>19.066666666666666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IF(Completed!$A23&lt;&gt;"",Completed!$A23,"")</f>
        <v>Angel Beats!</v>
      </c>
      <c r="O24" s="28">
        <f>IF(Completed!$B23&lt;&gt;"",Completed!$B23,"")</f>
        <v>1</v>
      </c>
      <c r="P24" s="28">
        <f ca="1">IF($N24&lt;&gt;"", INDIRECT("'Tracker'!"&amp;ADDRESS(MATCH($N24, Tracker[Anime Name], 0) + 2, 3)), "")</f>
        <v>14</v>
      </c>
      <c r="Q24" s="22" t="str">
        <f ca="1">IF($N24&lt;&gt;"", INDIRECT("'Tracker'!"&amp;ADDRESS(MATCH($N24, Tracker[Anime Name], 0) + 2, 4)), "")</f>
        <v>C</v>
      </c>
      <c r="R24" s="22" t="str">
        <f ca="1">IF($N24&lt;&gt;"", INDIRECT("'Tracker'!"&amp;ADDRESS(MATCH($N24, Tracker[Anime Name], 0) + 2, 5)), "")</f>
        <v>720p</v>
      </c>
      <c r="S24" s="22" t="str">
        <f ca="1">IF($N24&lt;&gt;"", INDIRECT("'Tracker'!"&amp;ADDRESS(MATCH($N24, Tracker[Anime Name], 0) + 2, 6)), "")</f>
        <v>BD</v>
      </c>
      <c r="T24" s="22" t="str">
        <f ca="1">IF($N24&lt;&gt;"", INDIRECT("'Tracker'!"&amp;ADDRESS(MATCH($N24, Tracker[Anime Name], 0) + 2, 7)), "")</f>
        <v>2010A</v>
      </c>
      <c r="U24" s="28" t="str">
        <f ca="1">IF($N24&lt;&gt;"", INDIRECT("'Tracker'!"&amp;ADDRESS(MATCH($N24, Tracker[Anime Name], 0) + 2, 8)), "")</f>
        <v>Doki</v>
      </c>
      <c r="V24" s="53">
        <f>IF(Completed!$C23&lt;&gt;"",Completed!$C23,"")</f>
        <v>9</v>
      </c>
      <c r="W24" s="53">
        <f>IF(Completed!$D23&lt;&gt;"",Completed!$D23,"")</f>
        <v>9</v>
      </c>
      <c r="X24" s="53">
        <f>IF(Completed!$E23&lt;&gt;"",Completed!$E23,"")</f>
        <v>4</v>
      </c>
      <c r="Y24" s="53">
        <f>IF(Completed!$F23&lt;&gt;"",Completed!$F23,"")</f>
        <v>9.5</v>
      </c>
      <c r="Z24" s="64">
        <f>IF(Completed!$G23&lt;&gt;"",Completed!$G23,"")</f>
        <v>9.011306532663319</v>
      </c>
      <c r="AA24" s="73">
        <f>IF(Completed!$H23&lt;&gt;"",Completed!$H23,"")</f>
        <v>8.7102740877753533</v>
      </c>
      <c r="AB24" s="54">
        <f>IF(Completed!$I23&lt;&gt;"",Completed!$I23,"")</f>
        <v>41295</v>
      </c>
      <c r="AC24" s="54">
        <f>IF(Completed!$J23&lt;&gt;"",Completed!$J23,"")</f>
        <v>41300</v>
      </c>
      <c r="AD24" s="65" t="str">
        <f>IF(Completed!$K23&lt;&gt;"",Completed!$K23,"")</f>
        <v>Tachibana Kanade</v>
      </c>
      <c r="AE24" s="65" t="str">
        <f>IF(Completed!$L$23&lt;&gt;"",Completed!$L$23,"")</f>
        <v>Not enough angel, not enough beats</v>
      </c>
    </row>
    <row r="25" spans="1:31">
      <c r="A25" s="100" t="s">
        <v>475</v>
      </c>
      <c r="B25" s="101">
        <f>SUM(E4:E23)-SUM(D4:D23)-B24</f>
        <v>0</v>
      </c>
      <c r="C25" s="231" t="s">
        <v>473</v>
      </c>
      <c r="D25" s="232"/>
      <c r="E25" s="232"/>
      <c r="F25" s="232"/>
      <c r="G25" s="233"/>
      <c r="H25" s="102">
        <f>B25*22/60</f>
        <v>0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IF(Completed!$A24&lt;&gt;"",Completed!$A24,"")</f>
        <v>Sidonia no Kishi</v>
      </c>
      <c r="O25" s="28">
        <f>IF(Completed!$B24&lt;&gt;"",Completed!$B24,"")</f>
        <v>1</v>
      </c>
      <c r="P25" s="28">
        <f ca="1">IF($N25&lt;&gt;"", INDIRECT("'Tracker'!"&amp;ADDRESS(MATCH($N25, Tracker[Anime Name], 0) + 2, 3)), "")</f>
        <v>12</v>
      </c>
      <c r="Q25" s="22" t="str">
        <f ca="1">IF($N25&lt;&gt;"", INDIRECT("'Tracker'!"&amp;ADDRESS(MATCH($N25, Tracker[Anime Name], 0) + 2, 4)), "")</f>
        <v>C</v>
      </c>
      <c r="R25" s="22" t="str">
        <f ca="1">IF($N25&lt;&gt;"", INDIRECT("'Tracker'!"&amp;ADDRESS(MATCH($N25, Tracker[Anime Name], 0) + 2, 5)), "")</f>
        <v>720p</v>
      </c>
      <c r="S25" s="22" t="str">
        <f ca="1">IF($N25&lt;&gt;"", INDIRECT("'Tracker'!"&amp;ADDRESS(MATCH($N25, Tracker[Anime Name], 0) + 2, 6)), "")</f>
        <v>TV</v>
      </c>
      <c r="T25" s="22" t="str">
        <f ca="1">IF($N25&lt;&gt;"", INDIRECT("'Tracker'!"&amp;ADDRESS(MATCH($N25, Tracker[Anime Name], 0) + 2, 7)), "")</f>
        <v>2014A</v>
      </c>
      <c r="U25" s="28" t="str">
        <f ca="1">IF($N25&lt;&gt;"", INDIRECT("'Tracker'!"&amp;ADDRESS(MATCH($N25, Tracker[Anime Name], 0) + 2, 8)), "")</f>
        <v>Underwater</v>
      </c>
      <c r="V25" s="53">
        <f>IF(Completed!$C24&lt;&gt;"",Completed!$C24,"")</f>
        <v>10</v>
      </c>
      <c r="W25" s="53">
        <f>IF(Completed!$D24&lt;&gt;"",Completed!$D24,"")</f>
        <v>9</v>
      </c>
      <c r="X25" s="53">
        <f>IF(Completed!$E24&lt;&gt;"",Completed!$E24,"")</f>
        <v>5</v>
      </c>
      <c r="Y25" s="53">
        <f>IF(Completed!$F24&lt;&gt;"",Completed!$F24,"")</f>
        <v>9</v>
      </c>
      <c r="Z25" s="64">
        <f>IF(Completed!$G24&lt;&gt;"",Completed!$G24,"")</f>
        <v>8.9924623115577891</v>
      </c>
      <c r="AA25" s="73">
        <f>IF(Completed!$H24&lt;&gt;"",Completed!$H24,"")</f>
        <v>8.6850512863628726</v>
      </c>
      <c r="AB25" s="54">
        <f>IF(Completed!$I24&lt;&gt;"",Completed!$I24,"")</f>
        <v>41796</v>
      </c>
      <c r="AC25" s="54">
        <f>IF(Completed!$J24&lt;&gt;"",Completed!$J24,"")</f>
        <v>41816</v>
      </c>
      <c r="AD25" s="65" t="str">
        <f>IF(Completed!$K24&lt;&gt;"",Completed!$K24,"")</f>
        <v>Hoshijiro Shizuka</v>
      </c>
      <c r="AE25" s="65" t="str">
        <f>IF(Completed!$L$24&lt;&gt;"",Completed!$L$24,"")</f>
        <v/>
      </c>
    </row>
    <row r="26" spans="1:31">
      <c r="A26" s="234" t="s">
        <v>466</v>
      </c>
      <c r="B26" s="235"/>
      <c r="C26" s="235"/>
      <c r="D26" s="235"/>
      <c r="E26" s="235"/>
      <c r="F26" s="235"/>
      <c r="G26" s="235"/>
      <c r="H26" s="236"/>
      <c r="J26" s="21" t="str">
        <f>IF(Backlog!$A$25&lt;&gt;"",Backlog!$A$25,"")</f>
        <v>Guilty Crown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IF(Completed!$A25&lt;&gt;"",Completed!$A25,"")</f>
        <v>White Album 2</v>
      </c>
      <c r="O26" s="28">
        <f>IF(Completed!$B25&lt;&gt;"",Completed!$B25,"")</f>
        <v>2</v>
      </c>
      <c r="P26" s="28">
        <f ca="1">IF($N26&lt;&gt;"", INDIRECT("'Tracker'!"&amp;ADDRESS(MATCH($N26, Tracker[Anime Name], 0) + 2, 3)), "")</f>
        <v>12</v>
      </c>
      <c r="Q26" s="22" t="str">
        <f ca="1">IF($N26&lt;&gt;"", INDIRECT("'Tracker'!"&amp;ADDRESS(MATCH($N26, Tracker[Anime Name], 0) + 2, 4)), "")</f>
        <v>C</v>
      </c>
      <c r="R26" s="22" t="str">
        <f ca="1">IF($N26&lt;&gt;"", INDIRECT("'Tracker'!"&amp;ADDRESS(MATCH($N26, Tracker[Anime Name], 0) + 2, 5)), "")</f>
        <v>720p</v>
      </c>
      <c r="S26" s="22" t="str">
        <f ca="1">IF($N26&lt;&gt;"", INDIRECT("'Tracker'!"&amp;ADDRESS(MATCH($N26, Tracker[Anime Name], 0) + 2, 6)), "")</f>
        <v>TV</v>
      </c>
      <c r="T26" s="22" t="str">
        <f ca="1">IF($N26&lt;&gt;"", INDIRECT("'Tracker'!"&amp;ADDRESS(MATCH($N26, Tracker[Anime Name], 0) + 2, 7)), "")</f>
        <v>2013C</v>
      </c>
      <c r="U26" s="28" t="str">
        <f ca="1">IF($N26&lt;&gt;"", INDIRECT("'Tracker'!"&amp;ADDRESS(MATCH($N26, Tracker[Anime Name], 0) + 2, 8)), "")</f>
        <v>UTW</v>
      </c>
      <c r="V26" s="53">
        <f>IF(Completed!$C25&lt;&gt;"",Completed!$C25,"")</f>
        <v>9</v>
      </c>
      <c r="W26" s="53">
        <f>IF(Completed!$D25&lt;&gt;"",Completed!$D25,"")</f>
        <v>9.5</v>
      </c>
      <c r="X26" s="53">
        <f>IF(Completed!$E25&lt;&gt;"",Completed!$E25,"")</f>
        <v>6</v>
      </c>
      <c r="Y26" s="53">
        <f>IF(Completed!$F25&lt;&gt;"",Completed!$F25,"")</f>
        <v>9</v>
      </c>
      <c r="Z26" s="64">
        <f>IF(Completed!$G25&lt;&gt;"",Completed!$G25,"")</f>
        <v>8.991206030150753</v>
      </c>
      <c r="AA26" s="73">
        <f>IF(Completed!$H25&lt;&gt;"",Completed!$H25,"")</f>
        <v>8.6833697662687044</v>
      </c>
      <c r="AB26" s="54">
        <f>IF(Completed!$I25&lt;&gt;"",Completed!$I25,"")</f>
        <v>41553</v>
      </c>
      <c r="AC26" s="54">
        <f>IF(Completed!$J25&lt;&gt;"",Completed!$J25,"")</f>
        <v>41632</v>
      </c>
      <c r="AD26" s="65" t="str">
        <f>IF(Completed!$K25&lt;&gt;"",Completed!$K25,"")</f>
        <v>Touma Kazusa</v>
      </c>
      <c r="AE26" s="65" t="str">
        <f>IF(Completed!$L$25&lt;&gt;"",Completed!$L$25,"")</f>
        <v/>
      </c>
    </row>
    <row r="27" spans="1:31" ht="16.5" customHeight="1">
      <c r="A27" s="89" t="s">
        <v>467</v>
      </c>
      <c r="B27" s="237" t="s">
        <v>468</v>
      </c>
      <c r="C27" s="238"/>
      <c r="D27" s="238"/>
      <c r="E27" s="238"/>
      <c r="F27" s="238"/>
      <c r="G27" s="238"/>
      <c r="H27" s="239"/>
      <c r="J27" s="21" t="str">
        <f>IF(Backlog!$A$26&lt;&gt;"",Backlog!$A$26,"")</f>
        <v>Hetalia Axis Powers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IF(Completed!$A26&lt;&gt;"",Completed!$A26,"")</f>
        <v>Aldnoah.Zero</v>
      </c>
      <c r="O27" s="28">
        <f>IF(Completed!$B26&lt;&gt;"",Completed!$B26,"")</f>
        <v>1</v>
      </c>
      <c r="P27" s="28">
        <f ca="1">IF($N27&lt;&gt;"", INDIRECT("'Tracker'!"&amp;ADDRESS(MATCH($N27, Tracker[Anime Name], 0) + 2, 3)), "")</f>
        <v>12</v>
      </c>
      <c r="Q27" s="22" t="str">
        <f ca="1">IF($N27&lt;&gt;"", INDIRECT("'Tracker'!"&amp;ADDRESS(MATCH($N27, Tracker[Anime Name], 0) + 2, 4)), "")</f>
        <v>B</v>
      </c>
      <c r="R27" s="22" t="str">
        <f ca="1">IF($N27&lt;&gt;"", INDIRECT("'Tracker'!"&amp;ADDRESS(MATCH($N27, Tracker[Anime Name], 0) + 2, 5)), "")</f>
        <v>720p</v>
      </c>
      <c r="S27" s="22" t="str">
        <f ca="1">IF($N27&lt;&gt;"", INDIRECT("'Tracker'!"&amp;ADDRESS(MATCH($N27, Tracker[Anime Name], 0) + 2, 6)), "")</f>
        <v>TV</v>
      </c>
      <c r="T27" s="22" t="str">
        <f ca="1">IF($N27&lt;&gt;"", INDIRECT("'Tracker'!"&amp;ADDRESS(MATCH($N27, Tracker[Anime Name], 0) + 2, 7)), "")</f>
        <v>2014B</v>
      </c>
      <c r="U27" s="28" t="str">
        <f ca="1">IF($N27&lt;&gt;"", INDIRECT("'Tracker'!"&amp;ADDRESS(MATCH($N27, Tracker[Anime Name], 0) + 2, 8)), "")</f>
        <v>Vivid, Watashi</v>
      </c>
      <c r="V27" s="53">
        <f>IF(Completed!$C26&lt;&gt;"",Completed!$C26,"")</f>
        <v>10</v>
      </c>
      <c r="W27" s="53">
        <f>IF(Completed!$D26&lt;&gt;"",Completed!$D26,"")</f>
        <v>9</v>
      </c>
      <c r="X27" s="53">
        <f>IF(Completed!$E26&lt;&gt;"",Completed!$E26,"")</f>
        <v>4.5</v>
      </c>
      <c r="Y27" s="53">
        <f>IF(Completed!$F26&lt;&gt;"",Completed!$F26,"")</f>
        <v>9</v>
      </c>
      <c r="Z27" s="64">
        <f>IF(Completed!$G26&lt;&gt;"",Completed!$G26,"")</f>
        <v>8.9685929648241203</v>
      </c>
      <c r="AA27" s="73">
        <f>IF(Completed!$H26&lt;&gt;"",Completed!$H26,"")</f>
        <v>8.6531024045737333</v>
      </c>
      <c r="AB27" s="54">
        <f>IF(Completed!$I26&lt;&gt;"",Completed!$I26,"")</f>
        <v>41831</v>
      </c>
      <c r="AC27" s="54">
        <f>IF(Completed!$J26&lt;&gt;"",Completed!$J26,"")</f>
        <v>42017</v>
      </c>
      <c r="AD27" s="65" t="str">
        <f>IF(Completed!$K26&lt;&gt;"",Completed!$K26,"")</f>
        <v>Asseylum Vers Allusia</v>
      </c>
      <c r="AE27" s="65" t="str">
        <f>IF(Completed!$L$26&lt;&gt;"",Completed!$L$26,"")</f>
        <v>Godammit Urobutcher</v>
      </c>
    </row>
    <row r="28" spans="1:31" ht="16.5" customHeight="1">
      <c r="A28" s="223" t="s">
        <v>589</v>
      </c>
      <c r="B28" s="225"/>
      <c r="C28" s="225"/>
      <c r="D28" s="225"/>
      <c r="E28" s="225"/>
      <c r="F28" s="225"/>
      <c r="G28" s="225"/>
      <c r="H28" s="226"/>
      <c r="J28" s="21" t="str">
        <f>IF(Backlog!$A$27&lt;&gt;"",Backlog!$A$27,"")</f>
        <v>Hidamari Sketch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IF(Completed!$A27&lt;&gt;"",Completed!$A27,"")</f>
        <v>Yuuki Yuuna wa Yuusha de Aru</v>
      </c>
      <c r="O28" s="28">
        <f>IF(Completed!$B27&lt;&gt;"",Completed!$B27,"")</f>
        <v>1</v>
      </c>
      <c r="P28" s="28">
        <f ca="1">IF($N28&lt;&gt;"", INDIRECT("'Tracker'!"&amp;ADDRESS(MATCH($N28, Tracker[Anime Name], 0) + 2, 3)), "")</f>
        <v>12</v>
      </c>
      <c r="Q28" s="22" t="str">
        <f ca="1">IF($N28&lt;&gt;"", INDIRECT("'Tracker'!"&amp;ADDRESS(MATCH($N28, Tracker[Anime Name], 0) + 2, 4)), "")</f>
        <v>C</v>
      </c>
      <c r="R28" s="22" t="str">
        <f ca="1">IF($N28&lt;&gt;"", INDIRECT("'Tracker'!"&amp;ADDRESS(MATCH($N28, Tracker[Anime Name], 0) + 2, 5)), "")</f>
        <v>720p</v>
      </c>
      <c r="S28" s="22" t="str">
        <f ca="1">IF($N28&lt;&gt;"", INDIRECT("'Tracker'!"&amp;ADDRESS(MATCH($N28, Tracker[Anime Name], 0) + 2, 6)), "")</f>
        <v>TV</v>
      </c>
      <c r="T28" s="22" t="str">
        <f ca="1">IF($N28&lt;&gt;"", INDIRECT("'Tracker'!"&amp;ADDRESS(MATCH($N28, Tracker[Anime Name], 0) + 2, 7)), "")</f>
        <v>2014C</v>
      </c>
      <c r="U28" s="28" t="str">
        <f ca="1">IF($N28&lt;&gt;"", INDIRECT("'Tracker'!"&amp;ADDRESS(MATCH($N28, Tracker[Anime Name], 0) + 2, 8)), "")</f>
        <v>HorribleSubs</v>
      </c>
      <c r="V28" s="53">
        <f>IF(Completed!$C27&lt;&gt;"",Completed!$C27,"")</f>
        <v>9.5</v>
      </c>
      <c r="W28" s="53">
        <f>IF(Completed!$D27&lt;&gt;"",Completed!$D27,"")</f>
        <v>9</v>
      </c>
      <c r="X28" s="53">
        <f>IF(Completed!$E27&lt;&gt;"",Completed!$E27,"")</f>
        <v>6</v>
      </c>
      <c r="Y28" s="53">
        <f>IF(Completed!$F27&lt;&gt;"",Completed!$F27,"")</f>
        <v>9</v>
      </c>
      <c r="Z28" s="64">
        <f>IF(Completed!$G27&lt;&gt;"",Completed!$G27,"")</f>
        <v>8.9484924623115578</v>
      </c>
      <c r="AA28" s="73">
        <f>IF(Completed!$H27&lt;&gt;"",Completed!$H27,"")</f>
        <v>8.6261980830670932</v>
      </c>
      <c r="AB28" s="54">
        <f>IF(Completed!$I27&lt;&gt;"",Completed!$I27,"")</f>
        <v>42026</v>
      </c>
      <c r="AC28" s="54">
        <f>IF(Completed!$J27&lt;&gt;"",Completed!$J27,"")</f>
        <v>42029</v>
      </c>
      <c r="AD28" s="65" t="str">
        <f>IF(Completed!$K27&lt;&gt;"",Completed!$K27,"")</f>
        <v>Miyoshi Karin</v>
      </c>
      <c r="AE28" s="65" t="str">
        <f>IF(Completed!$L$27&lt;&gt;"",Completed!$L$27,"")</f>
        <v/>
      </c>
    </row>
    <row r="29" spans="1:31" ht="16.5" customHeight="1">
      <c r="A29" s="224"/>
      <c r="B29" s="227"/>
      <c r="C29" s="227"/>
      <c r="D29" s="227"/>
      <c r="E29" s="227"/>
      <c r="F29" s="227"/>
      <c r="G29" s="227"/>
      <c r="H29" s="228"/>
      <c r="J29" s="21" t="str">
        <f>IF(Backlog!$A$28&lt;&gt;"",Backlog!$A$28,"")</f>
        <v>Hidan no Aria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IF(Completed!$A28&lt;&gt;"",Completed!$A28,"")</f>
        <v>Amagi Brilliant Park</v>
      </c>
      <c r="O29" s="28">
        <f>IF(Completed!$B28&lt;&gt;"",Completed!$B28,"")</f>
        <v>1</v>
      </c>
      <c r="P29" s="28">
        <f ca="1">IF($N29&lt;&gt;"", INDIRECT("'Tracker'!"&amp;ADDRESS(MATCH($N29, Tracker[Anime Name], 0) + 2, 3)), "")</f>
        <v>13</v>
      </c>
      <c r="Q29" s="22" t="str">
        <f ca="1">IF($N29&lt;&gt;"", INDIRECT("'Tracker'!"&amp;ADDRESS(MATCH($N29, Tracker[Anime Name], 0) + 2, 4)), "")</f>
        <v>C</v>
      </c>
      <c r="R29" s="22" t="str">
        <f ca="1">IF($N29&lt;&gt;"", INDIRECT("'Tracker'!"&amp;ADDRESS(MATCH($N29, Tracker[Anime Name], 0) + 2, 5)), "")</f>
        <v>720p</v>
      </c>
      <c r="S29" s="22" t="str">
        <f ca="1">IF($N29&lt;&gt;"", INDIRECT("'Tracker'!"&amp;ADDRESS(MATCH($N29, Tracker[Anime Name], 0) + 2, 6)), "")</f>
        <v>BD</v>
      </c>
      <c r="T29" s="22" t="str">
        <f ca="1">IF($N29&lt;&gt;"", INDIRECT("'Tracker'!"&amp;ADDRESS(MATCH($N29, Tracker[Anime Name], 0) + 2, 7)), "")</f>
        <v>2014C</v>
      </c>
      <c r="U29" s="28" t="str">
        <f ca="1">IF($N29&lt;&gt;"", INDIRECT("'Tracker'!"&amp;ADDRESS(MATCH($N29, Tracker[Anime Name], 0) + 2, 8)), "")</f>
        <v>Vivid, DameDesuYo</v>
      </c>
      <c r="V29" s="53">
        <f>IF(Completed!$C28&lt;&gt;"",Completed!$C28,"")</f>
        <v>8</v>
      </c>
      <c r="W29" s="53">
        <f>IF(Completed!$D28&lt;&gt;"",Completed!$D28,"")</f>
        <v>9</v>
      </c>
      <c r="X29" s="53">
        <f>IF(Completed!$E28&lt;&gt;"",Completed!$E28,"")</f>
        <v>6.5</v>
      </c>
      <c r="Y29" s="53">
        <f>IF(Completed!$F28&lt;&gt;"",Completed!$F28,"")</f>
        <v>9.5</v>
      </c>
      <c r="Z29" s="64">
        <f>IF(Completed!$G28&lt;&gt;"",Completed!$G28,"")</f>
        <v>8.9472361809045218</v>
      </c>
      <c r="AA29" s="73">
        <f>IF(Completed!$H28&lt;&gt;"",Completed!$H28,"")</f>
        <v>8.624516562972925</v>
      </c>
      <c r="AB29" s="54">
        <f>IF(Completed!$I28&lt;&gt;"",Completed!$I28,"")</f>
        <v>42023</v>
      </c>
      <c r="AC29" s="54">
        <f>IF(Completed!$J28&lt;&gt;"",Completed!$J28,"")</f>
        <v>42026</v>
      </c>
      <c r="AD29" s="65" t="str">
        <f>IF(Completed!$K28&lt;&gt;"",Completed!$K28,"")</f>
        <v>Koboli</v>
      </c>
      <c r="AE29" s="65" t="str">
        <f>IF(Completed!$L$28&lt;&gt;"",Completed!$L$28,"")</f>
        <v>OWARANAI MAGIC HOUR</v>
      </c>
    </row>
    <row r="30" spans="1:31" ht="16.5" customHeight="1">
      <c r="A30" s="223" t="s">
        <v>604</v>
      </c>
      <c r="B30" s="225"/>
      <c r="C30" s="225"/>
      <c r="D30" s="225"/>
      <c r="E30" s="225"/>
      <c r="F30" s="225"/>
      <c r="G30" s="225"/>
      <c r="H30" s="226"/>
      <c r="J30" s="21" t="str">
        <f>IF(Backlog!$A$29&lt;&gt;"",Backlog!$A$29,"")</f>
        <v>Honey and Clover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IF(Completed!$A29&lt;&gt;"",Completed!$A29,"")</f>
        <v>Kill la Kill</v>
      </c>
      <c r="O30" s="28">
        <f>IF(Completed!$B29&lt;&gt;"",Completed!$B29,"")</f>
        <v>1</v>
      </c>
      <c r="P30" s="28">
        <f ca="1">IF($N30&lt;&gt;"", INDIRECT("'Tracker'!"&amp;ADDRESS(MATCH($N30, Tracker[Anime Name], 0) + 2, 3)), "")</f>
        <v>24</v>
      </c>
      <c r="Q30" s="22" t="str">
        <f ca="1">IF($N30&lt;&gt;"", INDIRECT("'Tracker'!"&amp;ADDRESS(MATCH($N30, Tracker[Anime Name], 0) + 2, 4)), "")</f>
        <v>C</v>
      </c>
      <c r="R30" s="22" t="str">
        <f ca="1">IF($N30&lt;&gt;"", INDIRECT("'Tracker'!"&amp;ADDRESS(MATCH($N30, Tracker[Anime Name], 0) + 2, 5)), "")</f>
        <v>720p</v>
      </c>
      <c r="S30" s="22" t="str">
        <f ca="1">IF($N30&lt;&gt;"", INDIRECT("'Tracker'!"&amp;ADDRESS(MATCH($N30, Tracker[Anime Name], 0) + 2, 6)), "")</f>
        <v>TV</v>
      </c>
      <c r="T30" s="22" t="str">
        <f ca="1">IF($N30&lt;&gt;"", INDIRECT("'Tracker'!"&amp;ADDRESS(MATCH($N30, Tracker[Anime Name], 0) + 2, 7)), "")</f>
        <v>2013C</v>
      </c>
      <c r="U30" s="28" t="str">
        <f ca="1">IF($N30&lt;&gt;"", INDIRECT("'Tracker'!"&amp;ADDRESS(MATCH($N30, Tracker[Anime Name], 0) + 2, 8)), "")</f>
        <v>HorribleSubs</v>
      </c>
      <c r="V30" s="53">
        <f>IF(Completed!$C29&lt;&gt;"",Completed!$C29,"")</f>
        <v>9</v>
      </c>
      <c r="W30" s="53">
        <f>IF(Completed!$D29&lt;&gt;"",Completed!$D29,"")</f>
        <v>8.5</v>
      </c>
      <c r="X30" s="53">
        <f>IF(Completed!$E29&lt;&gt;"",Completed!$E29,"")</f>
        <v>5</v>
      </c>
      <c r="Y30" s="53">
        <f>IF(Completed!$F29&lt;&gt;"",Completed!$F29,"")</f>
        <v>9.5</v>
      </c>
      <c r="Z30" s="64">
        <f>IF(Completed!$G29&lt;&gt;"",Completed!$G29,"")</f>
        <v>8.9246231155778908</v>
      </c>
      <c r="AA30" s="73">
        <f>IF(Completed!$H29&lt;&gt;"",Completed!$H29,"")</f>
        <v>8.5942492012779557</v>
      </c>
      <c r="AB30" s="54">
        <f>IF(Completed!$I29&lt;&gt;"",Completed!$I29,"")</f>
        <v>41555</v>
      </c>
      <c r="AC30" s="54">
        <f>IF(Completed!$J29&lt;&gt;"",Completed!$J29,"")</f>
        <v>41726</v>
      </c>
      <c r="AD30" s="65" t="str">
        <f>IF(Completed!$K29&lt;&gt;"",Completed!$K29,"")</f>
        <v>Jakuzure Nonon</v>
      </c>
      <c r="AE30" s="65" t="str">
        <f>IF(Completed!$L$29&lt;&gt;"",Completed!$L$29,"")</f>
        <v>DON'T LOSE YOUR WAAAAAAYYYY</v>
      </c>
    </row>
    <row r="31" spans="1:31" ht="15" customHeight="1">
      <c r="A31" s="224"/>
      <c r="B31" s="227"/>
      <c r="C31" s="227"/>
      <c r="D31" s="227"/>
      <c r="E31" s="227"/>
      <c r="F31" s="227"/>
      <c r="G31" s="227"/>
      <c r="H31" s="228"/>
      <c r="J31" s="21" t="str">
        <f>IF(Backlog!$A$30&lt;&gt;"",Backlog!$A$30,"")</f>
        <v>Honey and Clover II</v>
      </c>
      <c r="K31" s="28">
        <f>IF(Backlog!$B$30&lt;&gt;"",Backlog!$B$30,"")</f>
        <v>2</v>
      </c>
      <c r="L31" s="29" t="str">
        <f>IF(Backlog!$C$30&lt;&gt;"",Backlog!$C$30,"")</f>
        <v>DL</v>
      </c>
      <c r="N31" s="21" t="str">
        <f>IF(Completed!$A30&lt;&gt;"",Completed!$A30,"")</f>
        <v>Chihayafuru</v>
      </c>
      <c r="O31" s="28">
        <f>IF(Completed!$B30&lt;&gt;"",Completed!$B30,"")</f>
        <v>1</v>
      </c>
      <c r="P31" s="28">
        <f ca="1">IF($N31&lt;&gt;"", INDIRECT("'Tracker'!"&amp;ADDRESS(MATCH($N31, Tracker[Anime Name], 0) + 2, 3)), "")</f>
        <v>25</v>
      </c>
      <c r="Q31" s="22" t="str">
        <f ca="1">IF($N31&lt;&gt;"", INDIRECT("'Tracker'!"&amp;ADDRESS(MATCH($N31, Tracker[Anime Name], 0) + 2, 4)), "")</f>
        <v>C</v>
      </c>
      <c r="R31" s="22" t="str">
        <f ca="1">IF($N31&lt;&gt;"", INDIRECT("'Tracker'!"&amp;ADDRESS(MATCH($N31, Tracker[Anime Name], 0) + 2, 5)), "")</f>
        <v>720p</v>
      </c>
      <c r="S31" s="22" t="str">
        <f ca="1">IF($N31&lt;&gt;"", INDIRECT("'Tracker'!"&amp;ADDRESS(MATCH($N31, Tracker[Anime Name], 0) + 2, 6)), "")</f>
        <v>TV</v>
      </c>
      <c r="T31" s="22" t="str">
        <f ca="1">IF($N31&lt;&gt;"", INDIRECT("'Tracker'!"&amp;ADDRESS(MATCH($N31, Tracker[Anime Name], 0) + 2, 7)), "")</f>
        <v>2011C</v>
      </c>
      <c r="U31" s="28" t="str">
        <f ca="1">IF($N31&lt;&gt;"", INDIRECT("'Tracker'!"&amp;ADDRESS(MATCH($N31, Tracker[Anime Name], 0) + 2, 8)), "")</f>
        <v>HorribleSubs</v>
      </c>
      <c r="V31" s="53">
        <f>IF(Completed!$C30&lt;&gt;"",Completed!$C30,"")</f>
        <v>9.5</v>
      </c>
      <c r="W31" s="53">
        <f>IF(Completed!$D30&lt;&gt;"",Completed!$D30,"")</f>
        <v>8.5</v>
      </c>
      <c r="X31" s="53">
        <f>IF(Completed!$E30&lt;&gt;"",Completed!$E30,"")</f>
        <v>3</v>
      </c>
      <c r="Y31" s="53">
        <f>IF(Completed!$F30&lt;&gt;"",Completed!$F30,"")</f>
        <v>9.5</v>
      </c>
      <c r="Z31" s="64">
        <f>IF(Completed!$G30&lt;&gt;"",Completed!$G30,"")</f>
        <v>8.9208542713567844</v>
      </c>
      <c r="AA31" s="73">
        <f>IF(Completed!$H30&lt;&gt;"",Completed!$H30,"")</f>
        <v>8.5892046409954599</v>
      </c>
      <c r="AB31" s="54">
        <f>IF(Completed!$I30&lt;&gt;"",Completed!$I30,"")</f>
        <v>41477</v>
      </c>
      <c r="AC31" s="54">
        <f>IF(Completed!$J30&lt;&gt;"",Completed!$J30,"")</f>
        <v>41479</v>
      </c>
      <c r="AD31" s="65" t="str">
        <f>IF(Completed!$K30&lt;&gt;"",Completed!$K30,"")</f>
        <v>Ayase Chihaya</v>
      </c>
      <c r="AE31" s="65" t="str">
        <f>IF(Completed!$L$30&lt;&gt;"",Completed!$L$30,"")</f>
        <v/>
      </c>
    </row>
    <row r="32" spans="1:31" ht="15" customHeight="1">
      <c r="A32" s="223" t="s">
        <v>586</v>
      </c>
      <c r="B32" s="225"/>
      <c r="C32" s="225"/>
      <c r="D32" s="225"/>
      <c r="E32" s="225"/>
      <c r="F32" s="225"/>
      <c r="G32" s="225"/>
      <c r="H32" s="226"/>
      <c r="J32" s="21" t="str">
        <f>IF(Backlog!$A$31&lt;&gt;"",Backlog!$A$31,"")</f>
        <v>Inou Battle wa Nichijou-kei no Naka de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IF(Completed!$A31&lt;&gt;"",Completed!$A31,"")</f>
        <v>No Game No Life</v>
      </c>
      <c r="O32" s="28">
        <f>IF(Completed!$B31&lt;&gt;"",Completed!$B31,"")</f>
        <v>1</v>
      </c>
      <c r="P32" s="28">
        <f ca="1">IF($N32&lt;&gt;"", INDIRECT("'Tracker'!"&amp;ADDRESS(MATCH($N32, Tracker[Anime Name], 0) + 2, 3)), "")</f>
        <v>12</v>
      </c>
      <c r="Q32" s="22" t="str">
        <f ca="1">IF($N32&lt;&gt;"", INDIRECT("'Tracker'!"&amp;ADDRESS(MATCH($N32, Tracker[Anime Name], 0) + 2, 4)), "")</f>
        <v>C</v>
      </c>
      <c r="R32" s="22" t="str">
        <f ca="1">IF($N32&lt;&gt;"", INDIRECT("'Tracker'!"&amp;ADDRESS(MATCH($N32, Tracker[Anime Name], 0) + 2, 5)), "")</f>
        <v>720p</v>
      </c>
      <c r="S32" s="22" t="str">
        <f ca="1">IF($N32&lt;&gt;"", INDIRECT("'Tracker'!"&amp;ADDRESS(MATCH($N32, Tracker[Anime Name], 0) + 2, 6)), "")</f>
        <v>TV</v>
      </c>
      <c r="T32" s="22" t="str">
        <f ca="1">IF($N32&lt;&gt;"", INDIRECT("'Tracker'!"&amp;ADDRESS(MATCH($N32, Tracker[Anime Name], 0) + 2, 7)), "")</f>
        <v>2014A</v>
      </c>
      <c r="U32" s="28" t="str">
        <f ca="1">IF($N32&lt;&gt;"", INDIRECT("'Tracker'!"&amp;ADDRESS(MATCH($N32, Tracker[Anime Name], 0) + 2, 8)), "")</f>
        <v>Underwater, FFF</v>
      </c>
      <c r="V32" s="53">
        <f>IF(Completed!$C31&lt;&gt;"",Completed!$C31,"")</f>
        <v>9.5</v>
      </c>
      <c r="W32" s="53">
        <f>IF(Completed!$D31&lt;&gt;"",Completed!$D31,"")</f>
        <v>8.5</v>
      </c>
      <c r="X32" s="53">
        <f>IF(Completed!$E31&lt;&gt;"",Completed!$E31,"")</f>
        <v>7.5</v>
      </c>
      <c r="Y32" s="53">
        <f>IF(Completed!$F31&lt;&gt;"",Completed!$F31,"")</f>
        <v>9</v>
      </c>
      <c r="Z32" s="64">
        <f>IF(Completed!$G31&lt;&gt;"",Completed!$G31,"")</f>
        <v>8.8856783919598001</v>
      </c>
      <c r="AA32" s="73">
        <f>IF(Completed!$H31&lt;&gt;"",Completed!$H31,"")</f>
        <v>8.5421220783588367</v>
      </c>
      <c r="AB32" s="54">
        <f>IF(Completed!$I31&lt;&gt;"",Completed!$I31,"")</f>
        <v>41750</v>
      </c>
      <c r="AC32" s="54">
        <f>IF(Completed!$J31&lt;&gt;"",Completed!$J31,"")</f>
        <v>41815</v>
      </c>
      <c r="AD32" s="65" t="str">
        <f>IF(Completed!$K31&lt;&gt;"",Completed!$K31,"")</f>
        <v>Shiro</v>
      </c>
      <c r="AE32" s="65" t="str">
        <f>IF(Completed!$L$31&lt;&gt;"",Completed!$L$31,"")</f>
        <v/>
      </c>
    </row>
    <row r="33" spans="1:31" ht="15" customHeight="1">
      <c r="A33" s="224"/>
      <c r="B33" s="227"/>
      <c r="C33" s="227"/>
      <c r="D33" s="227"/>
      <c r="E33" s="227"/>
      <c r="F33" s="227"/>
      <c r="G33" s="227"/>
      <c r="H33" s="228"/>
      <c r="J33" s="21" t="str">
        <f>IF(Backlog!$A$32&lt;&gt;"",Backlog!$A$32,"")</f>
        <v>Jinrui wa Suitai Shimashita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IF(Completed!$A32&lt;&gt;"",Completed!$A32,"")</f>
        <v>Gekkan Shoujo Nozaki-kun</v>
      </c>
      <c r="O33" s="28">
        <f>IF(Completed!$B32&lt;&gt;"",Completed!$B32,"")</f>
        <v>1</v>
      </c>
      <c r="P33" s="28">
        <f ca="1">IF($N33&lt;&gt;"", INDIRECT("'Tracker'!"&amp;ADDRESS(MATCH($N33, Tracker[Anime Name], 0) + 2, 3)), "")</f>
        <v>12</v>
      </c>
      <c r="Q33" s="22" t="str">
        <f ca="1">IF($N33&lt;&gt;"", INDIRECT("'Tracker'!"&amp;ADDRESS(MATCH($N33, Tracker[Anime Name], 0) + 2, 4)), "")</f>
        <v>C</v>
      </c>
      <c r="R33" s="22" t="str">
        <f ca="1">IF($N33&lt;&gt;"", INDIRECT("'Tracker'!"&amp;ADDRESS(MATCH($N33, Tracker[Anime Name], 0) + 2, 5)), "")</f>
        <v>720p</v>
      </c>
      <c r="S33" s="22" t="str">
        <f ca="1">IF($N33&lt;&gt;"", INDIRECT("'Tracker'!"&amp;ADDRESS(MATCH($N33, Tracker[Anime Name], 0) + 2, 6)), "")</f>
        <v>TV</v>
      </c>
      <c r="T33" s="22" t="str">
        <f ca="1">IF($N33&lt;&gt;"", INDIRECT("'Tracker'!"&amp;ADDRESS(MATCH($N33, Tracker[Anime Name], 0) + 2, 7)), "")</f>
        <v>2014B</v>
      </c>
      <c r="U33" s="28" t="str">
        <f ca="1">IF($N33&lt;&gt;"", INDIRECT("'Tracker'!"&amp;ADDRESS(MATCH($N33, Tracker[Anime Name], 0) + 2, 8)), "")</f>
        <v>HorribleSubs</v>
      </c>
      <c r="V33" s="53">
        <f>IF(Completed!$C32&lt;&gt;"",Completed!$C32,"")</f>
        <v>8.5</v>
      </c>
      <c r="W33" s="53">
        <f>IF(Completed!$D32&lt;&gt;"",Completed!$D32,"")</f>
        <v>9</v>
      </c>
      <c r="X33" s="53">
        <f>IF(Completed!$E32&lt;&gt;"",Completed!$E32,"")</f>
        <v>8.5</v>
      </c>
      <c r="Y33" s="53">
        <f>IF(Completed!$F32&lt;&gt;"",Completed!$F32,"")</f>
        <v>9</v>
      </c>
      <c r="Z33" s="64">
        <f>IF(Completed!$G32&lt;&gt;"",Completed!$G32,"")</f>
        <v>8.8844221105527641</v>
      </c>
      <c r="AA33" s="73">
        <f>IF(Completed!$H32&lt;&gt;"",Completed!$H32,"")</f>
        <v>8.5404405582646721</v>
      </c>
      <c r="AB33" s="54">
        <f>IF(Completed!$I32&lt;&gt;"",Completed!$I32,"")</f>
        <v>41862</v>
      </c>
      <c r="AC33" s="54">
        <f>IF(Completed!$J32&lt;&gt;"",Completed!$J32,"")</f>
        <v>41907</v>
      </c>
      <c r="AD33" s="65" t="str">
        <f>IF(Completed!$K32&lt;&gt;"",Completed!$K32,"")</f>
        <v>Sakura Chiyo</v>
      </c>
      <c r="AE33" s="65" t="str">
        <f>IF(Completed!$L$32&lt;&gt;"",Completed!$L$32,"")</f>
        <v/>
      </c>
    </row>
    <row r="34" spans="1:31" ht="15" customHeight="1">
      <c r="A34" s="223" t="s">
        <v>587</v>
      </c>
      <c r="B34" s="225"/>
      <c r="C34" s="225"/>
      <c r="D34" s="225"/>
      <c r="E34" s="225"/>
      <c r="F34" s="225"/>
      <c r="G34" s="225"/>
      <c r="H34" s="226"/>
      <c r="J34" s="21" t="str">
        <f>IF(Backlog!$A$33&lt;&gt;"",Backlog!$A$33,"")</f>
        <v>Joshiraku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IF(Completed!$A33&lt;&gt;"",Completed!$A33,"")</f>
        <v>Shakugan no Shana Final</v>
      </c>
      <c r="O34" s="28">
        <f>IF(Completed!$B33&lt;&gt;"",Completed!$B33,"")</f>
        <v>3</v>
      </c>
      <c r="P34" s="28">
        <f ca="1">IF($N34&lt;&gt;"", INDIRECT("'Tracker'!"&amp;ADDRESS(MATCH($N34, Tracker[Anime Name], 0) + 2, 3)), "")</f>
        <v>24</v>
      </c>
      <c r="Q34" s="22" t="str">
        <f ca="1">IF($N34&lt;&gt;"", INDIRECT("'Tracker'!"&amp;ADDRESS(MATCH($N34, Tracker[Anime Name], 0) + 2, 4)), "")</f>
        <v>C</v>
      </c>
      <c r="R34" s="22" t="str">
        <f ca="1">IF($N34&lt;&gt;"", INDIRECT("'Tracker'!"&amp;ADDRESS(MATCH($N34, Tracker[Anime Name], 0) + 2, 5)), "")</f>
        <v>720p</v>
      </c>
      <c r="S34" s="22" t="str">
        <f ca="1">IF($N34&lt;&gt;"", INDIRECT("'Tracker'!"&amp;ADDRESS(MATCH($N34, Tracker[Anime Name], 0) + 2, 6)), "")</f>
        <v>BD</v>
      </c>
      <c r="T34" s="22" t="str">
        <f ca="1">IF($N34&lt;&gt;"", INDIRECT("'Tracker'!"&amp;ADDRESS(MATCH($N34, Tracker[Anime Name], 0) + 2, 7)), "")</f>
        <v>2011C</v>
      </c>
      <c r="U34" s="28" t="str">
        <f ca="1">IF($N34&lt;&gt;"", INDIRECT("'Tracker'!"&amp;ADDRESS(MATCH($N34, Tracker[Anime Name], 0) + 2, 8)), "")</f>
        <v>Doki</v>
      </c>
      <c r="V34" s="53">
        <f>IF(Completed!$C33&lt;&gt;"",Completed!$C33,"")</f>
        <v>8.5</v>
      </c>
      <c r="W34" s="53">
        <f>IF(Completed!$D33&lt;&gt;"",Completed!$D33,"")</f>
        <v>8.5</v>
      </c>
      <c r="X34" s="53">
        <f>IF(Completed!$E33&lt;&gt;"",Completed!$E33,"")</f>
        <v>6</v>
      </c>
      <c r="Y34" s="53">
        <f>IF(Completed!$F33&lt;&gt;"",Completed!$F33,"")</f>
        <v>9.5</v>
      </c>
      <c r="Z34" s="64">
        <f>IF(Completed!$G33&lt;&gt;"",Completed!$G33,"")</f>
        <v>8.8806532663316577</v>
      </c>
      <c r="AA34" s="73">
        <f>IF(Completed!$H33&lt;&gt;"",Completed!$H33,"")</f>
        <v>8.5353959979821745</v>
      </c>
      <c r="AB34" s="54">
        <f>IF(Completed!$I33&lt;&gt;"",Completed!$I33,"")</f>
        <v>41400</v>
      </c>
      <c r="AC34" s="54">
        <f>IF(Completed!$J33&lt;&gt;"",Completed!$J33,"")</f>
        <v>41402</v>
      </c>
      <c r="AD34" s="65" t="str">
        <f>IF(Completed!$K33&lt;&gt;"",Completed!$K33,"")</f>
        <v>Shana</v>
      </c>
      <c r="AE34" s="65" t="str">
        <f>IF(Completed!$L$33&lt;&gt;"",Completed!$L$33,"")</f>
        <v/>
      </c>
    </row>
    <row r="35" spans="1:31" ht="16.5" customHeight="1">
      <c r="A35" s="224"/>
      <c r="B35" s="227"/>
      <c r="C35" s="227"/>
      <c r="D35" s="227"/>
      <c r="E35" s="227"/>
      <c r="F35" s="227"/>
      <c r="G35" s="227"/>
      <c r="H35" s="228"/>
      <c r="J35" s="21" t="str">
        <f>IF(Backlog!$A$34&lt;&gt;"",Backlog!$A$34,"")</f>
        <v>Kaiba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IF(Completed!$A34&lt;&gt;"",Completed!$A34,"")</f>
        <v>Rakudai Kishi no Cavalry</v>
      </c>
      <c r="O35" s="28">
        <f>IF(Completed!$B34&lt;&gt;"",Completed!$B34,"")</f>
        <v>1</v>
      </c>
      <c r="P35" s="28">
        <f ca="1">IF($N35&lt;&gt;"", INDIRECT("'Tracker'!"&amp;ADDRESS(MATCH($N35, Tracker[Anime Name], 0) + 2, 3)), "")</f>
        <v>12</v>
      </c>
      <c r="Q35" s="22" t="str">
        <f ca="1">IF($N35&lt;&gt;"", INDIRECT("'Tracker'!"&amp;ADDRESS(MATCH($N35, Tracker[Anime Name], 0) + 2, 4)), "")</f>
        <v>B</v>
      </c>
      <c r="R35" s="22" t="str">
        <f ca="1">IF($N35&lt;&gt;"", INDIRECT("'Tracker'!"&amp;ADDRESS(MATCH($N35, Tracker[Anime Name], 0) + 2, 5)), "")</f>
        <v>720p</v>
      </c>
      <c r="S35" s="22" t="str">
        <f ca="1">IF($N35&lt;&gt;"", INDIRECT("'Tracker'!"&amp;ADDRESS(MATCH($N35, Tracker[Anime Name], 0) + 2, 6)), "")</f>
        <v>TV</v>
      </c>
      <c r="T35" s="22" t="str">
        <f ca="1">IF($N35&lt;&gt;"", INDIRECT("'Tracker'!"&amp;ADDRESS(MATCH($N35, Tracker[Anime Name], 0) + 2, 7)), "")</f>
        <v>2015C</v>
      </c>
      <c r="U35" s="28" t="str">
        <f ca="1">IF($N35&lt;&gt;"", INDIRECT("'Tracker'!"&amp;ADDRESS(MATCH($N35, Tracker[Anime Name], 0) + 2, 8)), "")</f>
        <v>Doki</v>
      </c>
      <c r="V35" s="53">
        <f>IF(Completed!$C34&lt;&gt;"",Completed!$C34,"")</f>
        <v>9</v>
      </c>
      <c r="W35" s="53">
        <f>IF(Completed!$D34&lt;&gt;"",Completed!$D34,"")</f>
        <v>9</v>
      </c>
      <c r="X35" s="53">
        <f>IF(Completed!$E34&lt;&gt;"",Completed!$E34,"")</f>
        <v>6</v>
      </c>
      <c r="Y35" s="53">
        <f>IF(Completed!$F34&lt;&gt;"",Completed!$F34,"")</f>
        <v>9</v>
      </c>
      <c r="Z35" s="64">
        <f>IF(Completed!$G34&lt;&gt;"",Completed!$G34,"")</f>
        <v>8.8567839195979907</v>
      </c>
      <c r="AA35" s="73">
        <f>IF(Completed!$H34&lt;&gt;"",Completed!$H34,"")</f>
        <v>8.5034471161930387</v>
      </c>
      <c r="AB35" s="54">
        <f>IF(Completed!$I34&lt;&gt;"",Completed!$I34,"")</f>
        <v>42295</v>
      </c>
      <c r="AC35" s="54">
        <f>IF(Completed!$J34&lt;&gt;"",Completed!$J34,"")</f>
        <v>42361</v>
      </c>
      <c r="AD35" s="65" t="str">
        <f>IF(Completed!$K34&lt;&gt;"",Completed!$K34,"")</f>
        <v>Kurogane Shizuku</v>
      </c>
      <c r="AE35" s="65" t="str">
        <f>IF(Completed!$L$34&lt;&gt;"",Completed!$L$34,"")</f>
        <v/>
      </c>
    </row>
    <row r="36" spans="1:31">
      <c r="A36" s="223" t="s">
        <v>588</v>
      </c>
      <c r="B36" s="225"/>
      <c r="C36" s="225"/>
      <c r="D36" s="225"/>
      <c r="E36" s="225"/>
      <c r="F36" s="225"/>
      <c r="G36" s="225"/>
      <c r="H36" s="226"/>
      <c r="J36" s="21" t="str">
        <f>IF(Backlog!$A$35&lt;&gt;"",Backlog!$A$35,"")</f>
        <v>Kaichou wa Maid-sama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IF(Completed!$A35&lt;&gt;"",Completed!$A35,"")</f>
        <v>Toradora!</v>
      </c>
      <c r="O36" s="28">
        <f>IF(Completed!$B35&lt;&gt;"",Completed!$B35,"")</f>
        <v>1</v>
      </c>
      <c r="P36" s="28">
        <f ca="1">IF($N36&lt;&gt;"", INDIRECT("'Tracker'!"&amp;ADDRESS(MATCH($N36, Tracker[Anime Name], 0) + 2, 3)), "")</f>
        <v>25</v>
      </c>
      <c r="Q36" s="22" t="str">
        <f ca="1">IF($N36&lt;&gt;"", INDIRECT("'Tracker'!"&amp;ADDRESS(MATCH($N36, Tracker[Anime Name], 0) + 2, 4)), "")</f>
        <v>C</v>
      </c>
      <c r="R36" s="22" t="str">
        <f ca="1">IF($N36&lt;&gt;"", INDIRECT("'Tracker'!"&amp;ADDRESS(MATCH($N36, Tracker[Anime Name], 0) + 2, 5)), "")</f>
        <v>720p</v>
      </c>
      <c r="S36" s="22" t="str">
        <f ca="1">IF($N36&lt;&gt;"", INDIRECT("'Tracker'!"&amp;ADDRESS(MATCH($N36, Tracker[Anime Name], 0) + 2, 6)), "")</f>
        <v>BD</v>
      </c>
      <c r="T36" s="22" t="str">
        <f ca="1">IF($N36&lt;&gt;"", INDIRECT("'Tracker'!"&amp;ADDRESS(MATCH($N36, Tracker[Anime Name], 0) + 2, 7)), "")</f>
        <v>2008C</v>
      </c>
      <c r="U36" s="28" t="str">
        <f ca="1">IF($N36&lt;&gt;"", INDIRECT("'Tracker'!"&amp;ADDRESS(MATCH($N36, Tracker[Anime Name], 0) + 2, 8)), "")</f>
        <v>Coalgirls, gg</v>
      </c>
      <c r="V36" s="53">
        <f>IF(Completed!$C35&lt;&gt;"",Completed!$C35,"")</f>
        <v>9</v>
      </c>
      <c r="W36" s="53">
        <f>IF(Completed!$D35&lt;&gt;"",Completed!$D35,"")</f>
        <v>9</v>
      </c>
      <c r="X36" s="53">
        <f>IF(Completed!$E35&lt;&gt;"",Completed!$E35,"")</f>
        <v>5.5</v>
      </c>
      <c r="Y36" s="53">
        <f>IF(Completed!$F35&lt;&gt;"",Completed!$F35,"")</f>
        <v>9</v>
      </c>
      <c r="Z36" s="64">
        <f>IF(Completed!$G35&lt;&gt;"",Completed!$G35,"")</f>
        <v>8.8329145728643219</v>
      </c>
      <c r="AA36" s="73">
        <f>IF(Completed!$H35&lt;&gt;"",Completed!$H35,"")</f>
        <v>8.4714982344039012</v>
      </c>
      <c r="AB36" s="54">
        <f>IF(Completed!$I35&lt;&gt;"",Completed!$I35,"")</f>
        <v>41280</v>
      </c>
      <c r="AC36" s="54">
        <f>IF(Completed!$J35&lt;&gt;"",Completed!$J35,"")</f>
        <v>41281</v>
      </c>
      <c r="AD36" s="65" t="str">
        <f>IF(Completed!$K35&lt;&gt;"",Completed!$K35,"")</f>
        <v>Aisaka Taiga</v>
      </c>
      <c r="AE36" s="65" t="str">
        <f>IF(Completed!$L$35&lt;&gt;"",Completed!$L$35,"")</f>
        <v/>
      </c>
    </row>
    <row r="37" spans="1:31">
      <c r="A37" s="224"/>
      <c r="B37" s="227"/>
      <c r="C37" s="227"/>
      <c r="D37" s="227"/>
      <c r="E37" s="227"/>
      <c r="F37" s="227"/>
      <c r="G37" s="227"/>
      <c r="H37" s="228"/>
      <c r="J37" s="21" t="str">
        <f>IF(Backlog!$A$36&lt;&gt;"",Backlog!$A$36,"")</f>
        <v>Kanon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IF(Completed!$A36&lt;&gt;"",Completed!$A36,"")</f>
        <v>Chihayafuru S2</v>
      </c>
      <c r="O37" s="28">
        <f>IF(Completed!$B36&lt;&gt;"",Completed!$B36,"")</f>
        <v>2</v>
      </c>
      <c r="P37" s="28">
        <f ca="1">IF($N37&lt;&gt;"", INDIRECT("'Tracker'!"&amp;ADDRESS(MATCH($N37, Tracker[Anime Name], 0) + 2, 3)), "")</f>
        <v>25</v>
      </c>
      <c r="Q37" s="22" t="str">
        <f ca="1">IF($N37&lt;&gt;"", INDIRECT("'Tracker'!"&amp;ADDRESS(MATCH($N37, Tracker[Anime Name], 0) + 2, 4)), "")</f>
        <v>C</v>
      </c>
      <c r="R37" s="22" t="str">
        <f ca="1">IF($N37&lt;&gt;"", INDIRECT("'Tracker'!"&amp;ADDRESS(MATCH($N37, Tracker[Anime Name], 0) + 2, 5)), "")</f>
        <v>720p</v>
      </c>
      <c r="S37" s="22" t="str">
        <f ca="1">IF($N37&lt;&gt;"", INDIRECT("'Tracker'!"&amp;ADDRESS(MATCH($N37, Tracker[Anime Name], 0) + 2, 6)), "")</f>
        <v>TV</v>
      </c>
      <c r="T37" s="22" t="str">
        <f ca="1">IF($N37&lt;&gt;"", INDIRECT("'Tracker'!"&amp;ADDRESS(MATCH($N37, Tracker[Anime Name], 0) + 2, 7)), "")</f>
        <v>2012D</v>
      </c>
      <c r="U37" s="28" t="str">
        <f ca="1">IF($N37&lt;&gt;"", INDIRECT("'Tracker'!"&amp;ADDRESS(MATCH($N37, Tracker[Anime Name], 0) + 2, 8)), "")</f>
        <v>HorribleSubs</v>
      </c>
      <c r="V37" s="53">
        <f>IF(Completed!$C36&lt;&gt;"",Completed!$C36,"")</f>
        <v>9</v>
      </c>
      <c r="W37" s="53">
        <f>IF(Completed!$D36&lt;&gt;"",Completed!$D36,"")</f>
        <v>8.5</v>
      </c>
      <c r="X37" s="53">
        <f>IF(Completed!$E36&lt;&gt;"",Completed!$E36,"")</f>
        <v>3</v>
      </c>
      <c r="Y37" s="53">
        <f>IF(Completed!$F36&lt;&gt;"",Completed!$F36,"")</f>
        <v>9.5</v>
      </c>
      <c r="Z37" s="64">
        <f>IF(Completed!$G36&lt;&gt;"",Completed!$G36,"")</f>
        <v>8.8291457286432156</v>
      </c>
      <c r="AA37" s="73">
        <f>IF(Completed!$H36&lt;&gt;"",Completed!$H36,"")</f>
        <v>8.4664536741214036</v>
      </c>
      <c r="AB37" s="54">
        <f>IF(Completed!$I36&lt;&gt;"",Completed!$I36,"")</f>
        <v>41479</v>
      </c>
      <c r="AC37" s="54">
        <f>IF(Completed!$J36&lt;&gt;"",Completed!$J36,"")</f>
        <v>41481</v>
      </c>
      <c r="AD37" s="65" t="str">
        <f>IF(Completed!$K36&lt;&gt;"",Completed!$K36,"")</f>
        <v>Ayase Chihaya</v>
      </c>
      <c r="AE37" s="65" t="str">
        <f>IF(Completed!$L$36&lt;&gt;"",Completed!$L$36,"")</f>
        <v>A bit slower than the first season, but just as good. Needs a third season</v>
      </c>
    </row>
    <row r="38" spans="1:31">
      <c r="A38" s="223" t="s">
        <v>590</v>
      </c>
      <c r="B38" s="225"/>
      <c r="C38" s="225"/>
      <c r="D38" s="225"/>
      <c r="E38" s="225"/>
      <c r="F38" s="225"/>
      <c r="G38" s="225"/>
      <c r="H38" s="226"/>
      <c r="J38" s="21" t="str">
        <f>IF(Backlog!$A$37&lt;&gt;"",Backlog!$A$37,"")</f>
        <v>Katanagatari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IF(Completed!$A37&lt;&gt;"",Completed!$A37,"")</f>
        <v>Bakemonogatari</v>
      </c>
      <c r="O38" s="28">
        <f>IF(Completed!$B37&lt;&gt;"",Completed!$B37,"")</f>
        <v>1</v>
      </c>
      <c r="P38" s="28">
        <f ca="1">IF($N38&lt;&gt;"", INDIRECT("'Tracker'!"&amp;ADDRESS(MATCH($N38, Tracker[Anime Name], 0) + 2, 3)), "")</f>
        <v>15</v>
      </c>
      <c r="Q38" s="22" t="str">
        <f ca="1">IF($N38&lt;&gt;"", INDIRECT("'Tracker'!"&amp;ADDRESS(MATCH($N38, Tracker[Anime Name], 0) + 2, 4)), "")</f>
        <v>A</v>
      </c>
      <c r="R38" s="22" t="str">
        <f ca="1">IF($N38&lt;&gt;"", INDIRECT("'Tracker'!"&amp;ADDRESS(MATCH($N38, Tracker[Anime Name], 0) + 2, 5)), "")</f>
        <v>720p</v>
      </c>
      <c r="S38" s="22" t="str">
        <f ca="1">IF($N38&lt;&gt;"", INDIRECT("'Tracker'!"&amp;ADDRESS(MATCH($N38, Tracker[Anime Name], 0) + 2, 6)), "")</f>
        <v>BD</v>
      </c>
      <c r="T38" s="22" t="str">
        <f ca="1">IF($N38&lt;&gt;"", INDIRECT("'Tracker'!"&amp;ADDRESS(MATCH($N38, Tracker[Anime Name], 0) + 2, 7)), "")</f>
        <v>2009B</v>
      </c>
      <c r="U38" s="28" t="str">
        <f ca="1">IF($N38&lt;&gt;"", INDIRECT("'Tracker'!"&amp;ADDRESS(MATCH($N38, Tracker[Anime Name], 0) + 2, 8)), "")</f>
        <v>Coalgirls, ANE</v>
      </c>
      <c r="V38" s="53">
        <f>IF(Completed!$C37&lt;&gt;"",Completed!$C37,"")</f>
        <v>8.5</v>
      </c>
      <c r="W38" s="53">
        <f>IF(Completed!$D37&lt;&gt;"",Completed!$D37,"")</f>
        <v>9.5</v>
      </c>
      <c r="X38" s="53">
        <f>IF(Completed!$E37&lt;&gt;"",Completed!$E37,"")</f>
        <v>4.5</v>
      </c>
      <c r="Y38" s="53">
        <f>IF(Completed!$F37&lt;&gt;"",Completed!$F37,"")</f>
        <v>9</v>
      </c>
      <c r="Z38" s="64">
        <f>IF(Completed!$G37&lt;&gt;"",Completed!$G37,"")</f>
        <v>8.8278894472361831</v>
      </c>
      <c r="AA38" s="73">
        <f>IF(Completed!$H37&lt;&gt;"",Completed!$H37,"")</f>
        <v>8.4647721540272425</v>
      </c>
      <c r="AB38" s="54">
        <f>IF(Completed!$I37&lt;&gt;"",Completed!$I37,"")</f>
        <v>41304</v>
      </c>
      <c r="AC38" s="54">
        <f>IF(Completed!$J37&lt;&gt;"",Completed!$J37,"")</f>
        <v>41312</v>
      </c>
      <c r="AD38" s="65" t="str">
        <f>IF(Completed!$K37&lt;&gt;"",Completed!$K37,"")</f>
        <v>Oshino Shinobu</v>
      </c>
      <c r="AE38" s="65" t="str">
        <f>IF(Completed!$L$37&lt;&gt;"",Completed!$L$37,"")</f>
        <v>Worth watching just for the OPs</v>
      </c>
    </row>
    <row r="39" spans="1:31">
      <c r="A39" s="224"/>
      <c r="B39" s="227"/>
      <c r="C39" s="227"/>
      <c r="D39" s="227"/>
      <c r="E39" s="227"/>
      <c r="F39" s="227"/>
      <c r="G39" s="227"/>
      <c r="H39" s="228"/>
      <c r="J39" s="21" t="str">
        <f>IF(Backlog!$A$38&lt;&gt;"",Backlog!$A$38,"")</f>
        <v>Kill Me Baby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IF(Completed!$A38&lt;&gt;"",Completed!$A38,"")</f>
        <v>Gatchaman Crowds</v>
      </c>
      <c r="O39" s="28">
        <f>IF(Completed!$B38&lt;&gt;"",Completed!$B38,"")</f>
        <v>1</v>
      </c>
      <c r="P39" s="28">
        <f ca="1">IF($N39&lt;&gt;"", INDIRECT("'Tracker'!"&amp;ADDRESS(MATCH($N39, Tracker[Anime Name], 0) + 2, 3)), "")</f>
        <v>12</v>
      </c>
      <c r="Q39" s="22" t="str">
        <f ca="1">IF($N39&lt;&gt;"", INDIRECT("'Tracker'!"&amp;ADDRESS(MATCH($N39, Tracker[Anime Name], 0) + 2, 4)), "")</f>
        <v>A</v>
      </c>
      <c r="R39" s="22" t="str">
        <f ca="1">IF($N39&lt;&gt;"", INDIRECT("'Tracker'!"&amp;ADDRESS(MATCH($N39, Tracker[Anime Name], 0) + 2, 5)), "")</f>
        <v>720p</v>
      </c>
      <c r="S39" s="22" t="str">
        <f ca="1">IF($N39&lt;&gt;"", INDIRECT("'Tracker'!"&amp;ADDRESS(MATCH($N39, Tracker[Anime Name], 0) + 2, 6)), "")</f>
        <v>TV</v>
      </c>
      <c r="T39" s="22" t="str">
        <f ca="1">IF($N39&lt;&gt;"", INDIRECT("'Tracker'!"&amp;ADDRESS(MATCH($N39, Tracker[Anime Name], 0) + 2, 7)), "")</f>
        <v>2013B</v>
      </c>
      <c r="U39" s="28" t="str">
        <f ca="1">IF($N39&lt;&gt;"", INDIRECT("'Tracker'!"&amp;ADDRESS(MATCH($N39, Tracker[Anime Name], 0) + 2, 8)), "")</f>
        <v>HorribleSubs</v>
      </c>
      <c r="V39" s="53">
        <f>IF(Completed!$C38&lt;&gt;"",Completed!$C38,"")</f>
        <v>9.5</v>
      </c>
      <c r="W39" s="53">
        <f>IF(Completed!$D38&lt;&gt;"",Completed!$D38,"")</f>
        <v>8.5</v>
      </c>
      <c r="X39" s="53">
        <f>IF(Completed!$E38&lt;&gt;"",Completed!$E38,"")</f>
        <v>6</v>
      </c>
      <c r="Y39" s="53">
        <f>IF(Completed!$F38&lt;&gt;"",Completed!$F38,"")</f>
        <v>9</v>
      </c>
      <c r="Z39" s="64">
        <f>IF(Completed!$G38&lt;&gt;"",Completed!$G38,"")</f>
        <v>8.8140703517587937</v>
      </c>
      <c r="AA39" s="73">
        <f>IF(Completed!$H38&lt;&gt;"",Completed!$H38,"")</f>
        <v>8.446275432991424</v>
      </c>
      <c r="AB39" s="54">
        <f>IF(Completed!$I38&lt;&gt;"",Completed!$I38,"")</f>
        <v>41562</v>
      </c>
      <c r="AC39" s="54">
        <f>IF(Completed!$J38&lt;&gt;"",Completed!$J38,"")</f>
        <v>41574</v>
      </c>
      <c r="AD39" s="65" t="str">
        <f>IF(Completed!$K38&lt;&gt;"",Completed!$K38,"")</f>
        <v>Utsutsu</v>
      </c>
      <c r="AE39" s="65" t="str">
        <f>IF(Completed!$L$38&lt;&gt;"",Completed!$L$38,"")</f>
        <v>OST of the season, very nicely developed plot</v>
      </c>
    </row>
    <row r="40" spans="1:31">
      <c r="A40" s="223" t="s">
        <v>607</v>
      </c>
      <c r="B40" s="225"/>
      <c r="C40" s="225"/>
      <c r="D40" s="225"/>
      <c r="E40" s="225"/>
      <c r="F40" s="225"/>
      <c r="G40" s="225"/>
      <c r="H40" s="226"/>
      <c r="J40" s="21" t="str">
        <f>IF(Backlog!$A$39&lt;&gt;"",Backlog!$A$39,"")</f>
        <v>Kodomo no Jikan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IF(Completed!$A39&lt;&gt;"",Completed!$A39,"")</f>
        <v>Fate / Stay Night</v>
      </c>
      <c r="O40" s="28">
        <f>IF(Completed!$B39&lt;&gt;"",Completed!$B39,"")</f>
        <v>1</v>
      </c>
      <c r="P40" s="28">
        <f ca="1">IF($N40&lt;&gt;"", INDIRECT("'Tracker'!"&amp;ADDRESS(MATCH($N40, Tracker[Anime Name], 0) + 2, 3)), "")</f>
        <v>24</v>
      </c>
      <c r="Q40" s="22" t="str">
        <f ca="1">IF($N40&lt;&gt;"", INDIRECT("'Tracker'!"&amp;ADDRESS(MATCH($N40, Tracker[Anime Name], 0) + 2, 4)), "")</f>
        <v>A</v>
      </c>
      <c r="R40" s="22" t="str">
        <f ca="1">IF($N40&lt;&gt;"", INDIRECT("'Tracker'!"&amp;ADDRESS(MATCH($N40, Tracker[Anime Name], 0) + 2, 5)), "")</f>
        <v>720p</v>
      </c>
      <c r="S40" s="22" t="str">
        <f ca="1">IF($N40&lt;&gt;"", INDIRECT("'Tracker'!"&amp;ADDRESS(MATCH($N40, Tracker[Anime Name], 0) + 2, 6)), "")</f>
        <v>BD</v>
      </c>
      <c r="T40" s="22" t="str">
        <f ca="1">IF($N40&lt;&gt;"", INDIRECT("'Tracker'!"&amp;ADDRESS(MATCH($N40, Tracker[Anime Name], 0) + 2, 7)), "")</f>
        <v>2005D</v>
      </c>
      <c r="U40" s="28" t="str">
        <f ca="1">IF($N40&lt;&gt;"", INDIRECT("'Tracker'!"&amp;ADDRESS(MATCH($N40, Tracker[Anime Name], 0) + 2, 8)), "")</f>
        <v>Coalgirls, Eclipse</v>
      </c>
      <c r="V40" s="53">
        <f>IF(Completed!$C39&lt;&gt;"",Completed!$C39,"")</f>
        <v>9</v>
      </c>
      <c r="W40" s="53">
        <f>IF(Completed!$D39&lt;&gt;"",Completed!$D39,"")</f>
        <v>9</v>
      </c>
      <c r="X40" s="53">
        <f>IF(Completed!$E39&lt;&gt;"",Completed!$E39,"")</f>
        <v>5</v>
      </c>
      <c r="Y40" s="53">
        <f>IF(Completed!$F39&lt;&gt;"",Completed!$F39,"")</f>
        <v>9</v>
      </c>
      <c r="Z40" s="64">
        <f>IF(Completed!$G39&lt;&gt;"",Completed!$G39,"")</f>
        <v>8.8090452261306531</v>
      </c>
      <c r="AA40" s="73">
        <f>IF(Completed!$H39&lt;&gt;"",Completed!$H39,"")</f>
        <v>8.4395493526147636</v>
      </c>
      <c r="AB40" s="54">
        <f>IF(Completed!$I39&lt;&gt;"",Completed!$I39,"")</f>
        <v>41537</v>
      </c>
      <c r="AC40" s="54">
        <f>IF(Completed!$J39&lt;&gt;"",Completed!$J39,"")</f>
        <v>41559</v>
      </c>
      <c r="AD40" s="65" t="str">
        <f>IF(Completed!$K39&lt;&gt;"",Completed!$K39,"")</f>
        <v>Saber</v>
      </c>
      <c r="AE40" s="65" t="str">
        <f>IF(Completed!$L$39&lt;&gt;"",Completed!$L$39,"")</f>
        <v/>
      </c>
    </row>
    <row r="41" spans="1:31">
      <c r="A41" s="224"/>
      <c r="B41" s="227"/>
      <c r="C41" s="227"/>
      <c r="D41" s="227"/>
      <c r="E41" s="227"/>
      <c r="F41" s="227"/>
      <c r="G41" s="227"/>
      <c r="H41" s="228"/>
      <c r="J41" s="21" t="str">
        <f>IF(Backlog!$A$40&lt;&gt;"",Backlog!$A$40,"")</f>
        <v>Kyousougiga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IF(Completed!$A40&lt;&gt;"",Completed!$A40,"")</f>
        <v>Clannad</v>
      </c>
      <c r="O41" s="28">
        <f>IF(Completed!$B40&lt;&gt;"",Completed!$B40,"")</f>
        <v>1</v>
      </c>
      <c r="P41" s="28">
        <f ca="1">IF($N41&lt;&gt;"", INDIRECT("'Tracker'!"&amp;ADDRESS(MATCH($N41, Tracker[Anime Name], 0) + 2, 3)), "")</f>
        <v>22</v>
      </c>
      <c r="Q41" s="22" t="str">
        <f ca="1">IF($N41&lt;&gt;"", INDIRECT("'Tracker'!"&amp;ADDRESS(MATCH($N41, Tracker[Anime Name], 0) + 2, 4)), "")</f>
        <v>C</v>
      </c>
      <c r="R41" s="22" t="str">
        <f ca="1">IF($N41&lt;&gt;"", INDIRECT("'Tracker'!"&amp;ADDRESS(MATCH($N41, Tracker[Anime Name], 0) + 2, 5)), "")</f>
        <v>720p</v>
      </c>
      <c r="S41" s="22" t="str">
        <f ca="1">IF($N41&lt;&gt;"", INDIRECT("'Tracker'!"&amp;ADDRESS(MATCH($N41, Tracker[Anime Name], 0) + 2, 6)), "")</f>
        <v>BD</v>
      </c>
      <c r="T41" s="22" t="str">
        <f ca="1">IF($N41&lt;&gt;"", INDIRECT("'Tracker'!"&amp;ADDRESS(MATCH($N41, Tracker[Anime Name], 0) + 2, 7)), "")</f>
        <v>2007C</v>
      </c>
      <c r="U41" s="28" t="str">
        <f ca="1">IF($N41&lt;&gt;"", INDIRECT("'Tracker'!"&amp;ADDRESS(MATCH($N41, Tracker[Anime Name], 0) + 2, 8)), "")</f>
        <v>Coalgirls, SS, Eclipse</v>
      </c>
      <c r="V41" s="53">
        <f>IF(Completed!$C40&lt;&gt;"",Completed!$C40,"")</f>
        <v>8</v>
      </c>
      <c r="W41" s="53">
        <f>IF(Completed!$D40&lt;&gt;"",Completed!$D40,"")</f>
        <v>9.5</v>
      </c>
      <c r="X41" s="53">
        <f>IF(Completed!$E40&lt;&gt;"",Completed!$E40,"")</f>
        <v>6</v>
      </c>
      <c r="Y41" s="53">
        <f>IF(Completed!$F40&lt;&gt;"",Completed!$F40,"")</f>
        <v>9</v>
      </c>
      <c r="Z41" s="64">
        <f>IF(Completed!$G40&lt;&gt;"",Completed!$G40,"")</f>
        <v>8.8077889447236206</v>
      </c>
      <c r="AA41" s="73">
        <f>IF(Completed!$H40&lt;&gt;"",Completed!$H40,"")</f>
        <v>8.4378678325206025</v>
      </c>
      <c r="AB41" s="54">
        <f>IF(Completed!$I40&lt;&gt;"",Completed!$I40,"")</f>
        <v>41286</v>
      </c>
      <c r="AC41" s="54">
        <f>IF(Completed!$J40&lt;&gt;"",Completed!$J40,"")</f>
        <v>41292</v>
      </c>
      <c r="AD41" s="65" t="str">
        <f>IF(Completed!$K40&lt;&gt;"",Completed!$K40,"")</f>
        <v>Fujibayashi Kyou</v>
      </c>
      <c r="AE41" s="65" t="str">
        <f>IF(Completed!$L$40&lt;&gt;"",Completed!$L$40,"")</f>
        <v/>
      </c>
    </row>
    <row r="42" spans="1:31">
      <c r="A42" s="229" t="s">
        <v>608</v>
      </c>
      <c r="B42" s="225"/>
      <c r="C42" s="225"/>
      <c r="D42" s="225"/>
      <c r="E42" s="225"/>
      <c r="F42" s="225"/>
      <c r="G42" s="225"/>
      <c r="H42" s="226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IF(Completed!$A41&lt;&gt;"",Completed!$A41,"")</f>
        <v>Shingeki no Kyojin</v>
      </c>
      <c r="O42" s="28">
        <f>IF(Completed!$B41&lt;&gt;"",Completed!$B41,"")</f>
        <v>1</v>
      </c>
      <c r="P42" s="28">
        <f ca="1">IF($N42&lt;&gt;"", INDIRECT("'Tracker'!"&amp;ADDRESS(MATCH($N42, Tracker[Anime Name], 0) + 2, 3)), "")</f>
        <v>25</v>
      </c>
      <c r="Q42" s="22" t="str">
        <f ca="1">IF($N42&lt;&gt;"", INDIRECT("'Tracker'!"&amp;ADDRESS(MATCH($N42, Tracker[Anime Name], 0) + 2, 4)), "")</f>
        <v>C</v>
      </c>
      <c r="R42" s="22" t="str">
        <f ca="1">IF($N42&lt;&gt;"", INDIRECT("'Tracker'!"&amp;ADDRESS(MATCH($N42, Tracker[Anime Name], 0) + 2, 5)), "")</f>
        <v>720p</v>
      </c>
      <c r="S42" s="22" t="str">
        <f ca="1">IF($N42&lt;&gt;"", INDIRECT("'Tracker'!"&amp;ADDRESS(MATCH($N42, Tracker[Anime Name], 0) + 2, 6)), "")</f>
        <v>BD</v>
      </c>
      <c r="T42" s="22" t="str">
        <f ca="1">IF($N42&lt;&gt;"", INDIRECT("'Tracker'!"&amp;ADDRESS(MATCH($N42, Tracker[Anime Name], 0) + 2, 7)), "")</f>
        <v>2013A</v>
      </c>
      <c r="U42" s="28" t="str">
        <f ca="1">IF($N42&lt;&gt;"", INDIRECT("'Tracker'!"&amp;ADDRESS(MATCH($N42, Tracker[Anime Name], 0) + 2, 8)), "")</f>
        <v>Coalgirls, EveTaku</v>
      </c>
      <c r="V42" s="53">
        <f>IF(Completed!$C41&lt;&gt;"",Completed!$C41,"")</f>
        <v>10</v>
      </c>
      <c r="W42" s="53">
        <f>IF(Completed!$D41&lt;&gt;"",Completed!$D41,"")</f>
        <v>8</v>
      </c>
      <c r="X42" s="53">
        <f>IF(Completed!$E41&lt;&gt;"",Completed!$E41,"")</f>
        <v>1.5</v>
      </c>
      <c r="Y42" s="53">
        <f>IF(Completed!$F41&lt;&gt;"",Completed!$F41,"")</f>
        <v>9.5</v>
      </c>
      <c r="Z42" s="64">
        <f>IF(Completed!$G41&lt;&gt;"",Completed!$G41,"")</f>
        <v>8.8065326633165828</v>
      </c>
      <c r="AA42" s="73">
        <f>IF(Completed!$H41&lt;&gt;"",Completed!$H41,"")</f>
        <v>8.4361863124264325</v>
      </c>
      <c r="AB42" s="54">
        <f>IF(Completed!$I41&lt;&gt;"",Completed!$I41,"")</f>
        <v>41397</v>
      </c>
      <c r="AC42" s="54">
        <f>IF(Completed!$J41&lt;&gt;"",Completed!$J41,"")</f>
        <v>41546</v>
      </c>
      <c r="AD42" s="65" t="str">
        <f>IF(Completed!$K41&lt;&gt;"",Completed!$K41,"")</f>
        <v>Mikasa Ackerman</v>
      </c>
      <c r="AE42" s="65" t="str">
        <f>IF(Completed!$L$41&lt;&gt;"",Completed!$L$41,"")</f>
        <v/>
      </c>
    </row>
    <row r="43" spans="1:31">
      <c r="A43" s="230"/>
      <c r="B43" s="227"/>
      <c r="C43" s="227"/>
      <c r="D43" s="227"/>
      <c r="E43" s="227"/>
      <c r="F43" s="227"/>
      <c r="G43" s="227"/>
      <c r="H43" s="228"/>
      <c r="J43" s="21" t="str">
        <f>IF(Backlog!$A$42&lt;&gt;"",Backlog!$A$42,"")</f>
        <v>Neon Genesis Evangelion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IF(Completed!$A42&lt;&gt;"",Completed!$A42,"")</f>
        <v>K</v>
      </c>
      <c r="O43" s="28">
        <f>IF(Completed!$B42&lt;&gt;"",Completed!$B42,"")</f>
        <v>1</v>
      </c>
      <c r="P43" s="28">
        <f ca="1">IF($N43&lt;&gt;"", INDIRECT("'Tracker'!"&amp;ADDRESS(MATCH($N43, Tracker[Anime Name], 0) + 2, 3)), "")</f>
        <v>13</v>
      </c>
      <c r="Q43" s="22" t="str">
        <f ca="1">IF($N43&lt;&gt;"", INDIRECT("'Tracker'!"&amp;ADDRESS(MATCH($N43, Tracker[Anime Name], 0) + 2, 4)), "")</f>
        <v>C</v>
      </c>
      <c r="R43" s="22" t="str">
        <f ca="1">IF($N43&lt;&gt;"", INDIRECT("'Tracker'!"&amp;ADDRESS(MATCH($N43, Tracker[Anime Name], 0) + 2, 5)), "")</f>
        <v>1080p</v>
      </c>
      <c r="S43" s="22" t="str">
        <f ca="1">IF($N43&lt;&gt;"", INDIRECT("'Tracker'!"&amp;ADDRESS(MATCH($N43, Tracker[Anime Name], 0) + 2, 6)), "")</f>
        <v>BD</v>
      </c>
      <c r="T43" s="22" t="str">
        <f ca="1">IF($N43&lt;&gt;"", INDIRECT("'Tracker'!"&amp;ADDRESS(MATCH($N43, Tracker[Anime Name], 0) + 2, 7)), "")</f>
        <v>2012C</v>
      </c>
      <c r="U43" s="28" t="str">
        <f ca="1">IF($N43&lt;&gt;"", INDIRECT("'Tracker'!"&amp;ADDRESS(MATCH($N43, Tracker[Anime Name], 0) + 2, 8)), "")</f>
        <v>Doki</v>
      </c>
      <c r="V43" s="53">
        <f>IF(Completed!$C42&lt;&gt;"",Completed!$C42,"")</f>
        <v>9</v>
      </c>
      <c r="W43" s="53">
        <f>IF(Completed!$D42&lt;&gt;"",Completed!$D42,"")</f>
        <v>9</v>
      </c>
      <c r="X43" s="53">
        <f>IF(Completed!$E42&lt;&gt;"",Completed!$E42,"")</f>
        <v>4.5</v>
      </c>
      <c r="Y43" s="53">
        <f>IF(Completed!$F42&lt;&gt;"",Completed!$F42,"")</f>
        <v>9</v>
      </c>
      <c r="Z43" s="64">
        <f>IF(Completed!$G42&lt;&gt;"",Completed!$G42,"")</f>
        <v>8.7851758793969861</v>
      </c>
      <c r="AA43" s="73">
        <f>IF(Completed!$H42&lt;&gt;"",Completed!$H42,"")</f>
        <v>8.4076004708256278</v>
      </c>
      <c r="AB43" s="54">
        <f>IF(Completed!$I42&lt;&gt;"",Completed!$I42,"")</f>
        <v>41645</v>
      </c>
      <c r="AC43" s="54">
        <f>IF(Completed!$J42&lt;&gt;"",Completed!$J42,"")</f>
        <v>41645</v>
      </c>
      <c r="AD43" s="65" t="str">
        <f>IF(Completed!$K42&lt;&gt;"",Completed!$K42,"")</f>
        <v>Kushina Anna</v>
      </c>
      <c r="AE43" s="65" t="str">
        <f>IF(Completed!$L$42&lt;&gt;"",Completed!$L$42,"")</f>
        <v>Good graphics, good audio, decent plot</v>
      </c>
    </row>
    <row r="44" spans="1:31">
      <c r="A44" s="92"/>
      <c r="B44" s="93"/>
      <c r="C44" s="93"/>
      <c r="D44" s="93"/>
      <c r="E44" s="93"/>
      <c r="F44" s="93"/>
      <c r="G44" s="93"/>
      <c r="H44" s="93"/>
      <c r="J44" s="21" t="str">
        <f>IF(Backlog!$A$43&lt;&gt;"",Backlog!$A$43,"")</f>
        <v>Nodame Cantabile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IF(Completed!$A43&lt;&gt;"",Completed!$A43,"")</f>
        <v>Yahari Ore no Seishun Rom Com wa Machigatteiru</v>
      </c>
      <c r="O44" s="28">
        <f>IF(Completed!$B43&lt;&gt;"",Completed!$B43,"")</f>
        <v>1</v>
      </c>
      <c r="P44" s="28">
        <f ca="1">IF($N44&lt;&gt;"", INDIRECT("'Tracker'!"&amp;ADDRESS(MATCH($N44, Tracker[Anime Name], 0) + 2, 3)), "")</f>
        <v>13</v>
      </c>
      <c r="Q44" s="22" t="str">
        <f ca="1">IF($N44&lt;&gt;"", INDIRECT("'Tracker'!"&amp;ADDRESS(MATCH($N44, Tracker[Anime Name], 0) + 2, 4)), "")</f>
        <v>C</v>
      </c>
      <c r="R44" s="22" t="str">
        <f ca="1">IF($N44&lt;&gt;"", INDIRECT("'Tracker'!"&amp;ADDRESS(MATCH($N44, Tracker[Anime Name], 0) + 2, 5)), "")</f>
        <v>720p</v>
      </c>
      <c r="S44" s="22" t="str">
        <f ca="1">IF($N44&lt;&gt;"", INDIRECT("'Tracker'!"&amp;ADDRESS(MATCH($N44, Tracker[Anime Name], 0) + 2, 6)), "")</f>
        <v>BD</v>
      </c>
      <c r="T44" s="22" t="str">
        <f ca="1">IF($N44&lt;&gt;"", INDIRECT("'Tracker'!"&amp;ADDRESS(MATCH($N44, Tracker[Anime Name], 0) + 2, 7)), "")</f>
        <v>2013A</v>
      </c>
      <c r="U44" s="28" t="str">
        <f ca="1">IF($N44&lt;&gt;"", INDIRECT("'Tracker'!"&amp;ADDRESS(MATCH($N44, Tracker[Anime Name], 0) + 2, 8)), "")</f>
        <v>Coalgirls, FFF</v>
      </c>
      <c r="V44" s="53">
        <f>IF(Completed!$C43&lt;&gt;"",Completed!$C43,"")</f>
        <v>8</v>
      </c>
      <c r="W44" s="53">
        <f>IF(Completed!$D43&lt;&gt;"",Completed!$D43,"")</f>
        <v>9.5</v>
      </c>
      <c r="X44" s="53">
        <f>IF(Completed!$E43&lt;&gt;"",Completed!$E43,"")</f>
        <v>5</v>
      </c>
      <c r="Y44" s="53">
        <f>IF(Completed!$F43&lt;&gt;"",Completed!$F43,"")</f>
        <v>9</v>
      </c>
      <c r="Z44" s="64">
        <f>IF(Completed!$G43&lt;&gt;"",Completed!$G43,"")</f>
        <v>8.7600502512562812</v>
      </c>
      <c r="AA44" s="73">
        <f>IF(Completed!$H43&lt;&gt;"",Completed!$H43,"")</f>
        <v>8.3739700689423238</v>
      </c>
      <c r="AB44" s="54">
        <f>IF(Completed!$I43&lt;&gt;"",Completed!$I43,"")</f>
        <v>41370</v>
      </c>
      <c r="AC44" s="54">
        <f>IF(Completed!$J43&lt;&gt;"",Completed!$J43,"")</f>
        <v>41454</v>
      </c>
      <c r="AD44" s="65" t="str">
        <f>IF(Completed!$K43&lt;&gt;"",Completed!$K43,"")</f>
        <v>Yukinoshita Yukino</v>
      </c>
      <c r="AE44" s="65" t="str">
        <f>IF(Completed!$L$43&lt;&gt;"",Completed!$L$43,"")</f>
        <v>Watch it for 8man</v>
      </c>
    </row>
    <row r="45" spans="1:31">
      <c r="A45" s="92"/>
      <c r="B45" s="93"/>
      <c r="C45" s="93"/>
      <c r="D45" s="93"/>
      <c r="E45" s="93"/>
      <c r="F45" s="93"/>
      <c r="G45" s="93"/>
      <c r="H45" s="93"/>
      <c r="J45" s="21" t="str">
        <f>IF(Backlog!$A$44&lt;&gt;"",Backlog!$A$44,"")</f>
        <v>Nodame Cantabile - Paris Hen</v>
      </c>
      <c r="K45" s="28">
        <f>IF(Backlog!$B$44&lt;&gt;"",Backlog!$B$44,"")</f>
        <v>2</v>
      </c>
      <c r="L45" s="29" t="str">
        <f>IF(Backlog!$C$44&lt;&gt;"",Backlog!$C$44,"")</f>
        <v>DL</v>
      </c>
      <c r="N45" s="21" t="str">
        <f>IF(Completed!$A44&lt;&gt;"",Completed!$A44,"")</f>
        <v>Kantai Collection</v>
      </c>
      <c r="O45" s="28">
        <f>IF(Completed!$B44&lt;&gt;"",Completed!$B44,"")</f>
        <v>1</v>
      </c>
      <c r="P45" s="28">
        <f ca="1">IF($N45&lt;&gt;"", INDIRECT("'Tracker'!"&amp;ADDRESS(MATCH($N45, Tracker[Anime Name], 0) + 2, 3)), "")</f>
        <v>12</v>
      </c>
      <c r="Q45" s="22" t="str">
        <f ca="1">IF($N45&lt;&gt;"", INDIRECT("'Tracker'!"&amp;ADDRESS(MATCH($N45, Tracker[Anime Name], 0) + 2, 4)), "")</f>
        <v>C</v>
      </c>
      <c r="R45" s="22" t="str">
        <f ca="1">IF($N45&lt;&gt;"", INDIRECT("'Tracker'!"&amp;ADDRESS(MATCH($N45, Tracker[Anime Name], 0) + 2, 5)), "")</f>
        <v>720p</v>
      </c>
      <c r="S45" s="22" t="str">
        <f ca="1">IF($N45&lt;&gt;"", INDIRECT("'Tracker'!"&amp;ADDRESS(MATCH($N45, Tracker[Anime Name], 0) + 2, 6)), "")</f>
        <v>TV</v>
      </c>
      <c r="T45" s="22" t="str">
        <f ca="1">IF($N45&lt;&gt;"", INDIRECT("'Tracker'!"&amp;ADDRESS(MATCH($N45, Tracker[Anime Name], 0) + 2, 7)), "")</f>
        <v>2014D</v>
      </c>
      <c r="U45" s="28" t="str">
        <f ca="1">IF($N45&lt;&gt;"", INDIRECT("'Tracker'!"&amp;ADDRESS(MATCH($N45, Tracker[Anime Name], 0) + 2, 8)), "")</f>
        <v>HorribleSubs</v>
      </c>
      <c r="V45" s="53">
        <f>IF(Completed!$C44&lt;&gt;"",Completed!$C44,"")</f>
        <v>7.5</v>
      </c>
      <c r="W45" s="53">
        <f>IF(Completed!$D44&lt;&gt;"",Completed!$D44,"")</f>
        <v>9</v>
      </c>
      <c r="X45" s="53">
        <f>IF(Completed!$E44&lt;&gt;"",Completed!$E44,"")</f>
        <v>9</v>
      </c>
      <c r="Y45" s="53">
        <f>IF(Completed!$F44&lt;&gt;"",Completed!$F44,"")</f>
        <v>9</v>
      </c>
      <c r="Z45" s="64">
        <f>IF(Completed!$G44&lt;&gt;"",Completed!$G44,"")</f>
        <v>8.7248743718592969</v>
      </c>
      <c r="AA45" s="73">
        <f>IF(Completed!$H44&lt;&gt;"",Completed!$H44,"")</f>
        <v>8.3268875063057006</v>
      </c>
      <c r="AB45" s="54">
        <f>IF(Completed!$I44&lt;&gt;"",Completed!$I44,"")</f>
        <v>42043</v>
      </c>
      <c r="AC45" s="54">
        <f>IF(Completed!$J44&lt;&gt;"",Completed!$J44,"")</f>
        <v>42089</v>
      </c>
      <c r="AD45" s="65" t="str">
        <f>IF(Completed!$K44&lt;&gt;"",Completed!$K44,"")</f>
        <v>Haruna</v>
      </c>
      <c r="AE45" s="65" t="str">
        <f>IF(Completed!$L$44&lt;&gt;"",Completed!$L$44,"")</f>
        <v>Not the best show, but super enjoyable</v>
      </c>
    </row>
    <row r="46" spans="1:31">
      <c r="A46" s="92"/>
      <c r="B46" s="93"/>
      <c r="C46" s="93"/>
      <c r="D46" s="93"/>
      <c r="E46" s="93"/>
      <c r="F46" s="93"/>
      <c r="G46" s="93"/>
      <c r="H46" s="93"/>
      <c r="J46" s="21" t="str">
        <f>IF(Backlog!$A$45&lt;&gt;"",Backlog!$A$45,"")</f>
        <v>Nodame Cantabile Finale</v>
      </c>
      <c r="K46" s="28">
        <f>IF(Backlog!$B$45&lt;&gt;"",Backlog!$B$45,"")</f>
        <v>3</v>
      </c>
      <c r="L46" s="29" t="str">
        <f>IF(Backlog!$C$45&lt;&gt;"",Backlog!$C$45,"")</f>
        <v>DL</v>
      </c>
      <c r="N46" s="21" t="str">
        <f>IF(Completed!$A45&lt;&gt;"",Completed!$A45,"")</f>
        <v>Non Non Biyori Repeat</v>
      </c>
      <c r="O46" s="28">
        <f>IF(Completed!$B45&lt;&gt;"",Completed!$B45,"")</f>
        <v>2</v>
      </c>
      <c r="P46" s="28">
        <f ca="1">IF($N46&lt;&gt;"", INDIRECT("'Tracker'!"&amp;ADDRESS(MATCH($N46, Tracker[Anime Name], 0) + 2, 3)), "")</f>
        <v>12</v>
      </c>
      <c r="Q46" s="22" t="str">
        <f ca="1">IF($N46&lt;&gt;"", INDIRECT("'Tracker'!"&amp;ADDRESS(MATCH($N46, Tracker[Anime Name], 0) + 2, 4)), "")</f>
        <v>B</v>
      </c>
      <c r="R46" s="22" t="str">
        <f ca="1">IF($N46&lt;&gt;"", INDIRECT("'Tracker'!"&amp;ADDRESS(MATCH($N46, Tracker[Anime Name], 0) + 2, 5)), "")</f>
        <v>720p</v>
      </c>
      <c r="S46" s="22" t="str">
        <f ca="1">IF($N46&lt;&gt;"", INDIRECT("'Tracker'!"&amp;ADDRESS(MATCH($N46, Tracker[Anime Name], 0) + 2, 6)), "")</f>
        <v>TV</v>
      </c>
      <c r="T46" s="22" t="str">
        <f ca="1">IF($N46&lt;&gt;"", INDIRECT("'Tracker'!"&amp;ADDRESS(MATCH($N46, Tracker[Anime Name], 0) + 2, 7)), "")</f>
        <v>2015B</v>
      </c>
      <c r="U46" s="28" t="str">
        <f ca="1">IF($N46&lt;&gt;"", INDIRECT("'Tracker'!"&amp;ADDRESS(MATCH($N46, Tracker[Anime Name], 0) + 2, 8)), "")</f>
        <v>Vivid</v>
      </c>
      <c r="V46" s="53">
        <f>IF(Completed!$C45&lt;&gt;"",Completed!$C45,"")</f>
        <v>4.5</v>
      </c>
      <c r="W46" s="53">
        <f>IF(Completed!$D45&lt;&gt;"",Completed!$D45,"")</f>
        <v>9</v>
      </c>
      <c r="X46" s="53">
        <f>IF(Completed!$E45&lt;&gt;"",Completed!$E45,"")</f>
        <v>10</v>
      </c>
      <c r="Y46" s="53">
        <f>IF(Completed!$F45&lt;&gt;"",Completed!$F45,"")</f>
        <v>10</v>
      </c>
      <c r="Z46" s="64">
        <f>IF(Completed!$G45&lt;&gt;"",Completed!$G45,"")</f>
        <v>8.7223618090452266</v>
      </c>
      <c r="AA46" s="73">
        <f>IF(Completed!$H45&lt;&gt;"",Completed!$H45,"")</f>
        <v>8.3235244661173713</v>
      </c>
      <c r="AB46" s="54">
        <f>IF(Completed!$I45&lt;&gt;"",Completed!$I45,"")</f>
        <v>42220</v>
      </c>
      <c r="AC46" s="54">
        <f>IF(Completed!$J45&lt;&gt;"",Completed!$J45,"")</f>
        <v>42316</v>
      </c>
      <c r="AD46" s="65" t="str">
        <f>IF(Completed!$K45&lt;&gt;"",Completed!$K45,"")</f>
        <v>Fujimiya Konomi</v>
      </c>
      <c r="AE46" s="65" t="str">
        <f>IF(Completed!$L$45&lt;&gt;"",Completed!$L$45,"")</f>
        <v/>
      </c>
    </row>
    <row r="47" spans="1:31">
      <c r="A47" s="92"/>
      <c r="B47" s="93"/>
      <c r="C47" s="93"/>
      <c r="D47" s="93"/>
      <c r="E47" s="93"/>
      <c r="F47" s="93"/>
      <c r="G47" s="93"/>
      <c r="H47" s="93"/>
      <c r="J47" s="21" t="str">
        <f>IF(Backlog!$A$46&lt;&gt;"",Backlog!$A$46,"")</f>
        <v>Nourin</v>
      </c>
      <c r="K47" s="28">
        <f>IF(Backlog!$B$46&lt;&gt;"",Backlog!$B$46,"")</f>
        <v>1</v>
      </c>
      <c r="L47" s="29" t="str">
        <f>IF(Backlog!$C$46&lt;&gt;"",Backlog!$C$46,"")</f>
        <v>DL</v>
      </c>
      <c r="N47" s="21" t="str">
        <f>IF(Completed!$A46&lt;&gt;"",Completed!$A46,"")</f>
        <v>Shakugan no Shana</v>
      </c>
      <c r="O47" s="28">
        <f>IF(Completed!$B46&lt;&gt;"",Completed!$B46,"")</f>
        <v>1</v>
      </c>
      <c r="P47" s="28">
        <f ca="1">IF($N47&lt;&gt;"", INDIRECT("'Tracker'!"&amp;ADDRESS(MATCH($N47, Tracker[Anime Name], 0) + 2, 3)), "")</f>
        <v>24</v>
      </c>
      <c r="Q47" s="22" t="str">
        <f ca="1">IF($N47&lt;&gt;"", INDIRECT("'Tracker'!"&amp;ADDRESS(MATCH($N47, Tracker[Anime Name], 0) + 2, 4)), "")</f>
        <v>C</v>
      </c>
      <c r="R47" s="22" t="str">
        <f ca="1">IF($N47&lt;&gt;"", INDIRECT("'Tracker'!"&amp;ADDRESS(MATCH($N47, Tracker[Anime Name], 0) + 2, 5)), "")</f>
        <v>720p</v>
      </c>
      <c r="S47" s="22" t="str">
        <f ca="1">IF($N47&lt;&gt;"", INDIRECT("'Tracker'!"&amp;ADDRESS(MATCH($N47, Tracker[Anime Name], 0) + 2, 6)), "")</f>
        <v>BD</v>
      </c>
      <c r="T47" s="22" t="str">
        <f ca="1">IF($N47&lt;&gt;"", INDIRECT("'Tracker'!"&amp;ADDRESS(MATCH($N47, Tracker[Anime Name], 0) + 2, 7)), "")</f>
        <v>2005C</v>
      </c>
      <c r="U47" s="28" t="str">
        <f ca="1">IF($N47&lt;&gt;"", INDIRECT("'Tracker'!"&amp;ADDRESS(MATCH($N47, Tracker[Anime Name], 0) + 2, 8)), "")</f>
        <v>Elysium</v>
      </c>
      <c r="V47" s="53">
        <f>IF(Completed!$C46&lt;&gt;"",Completed!$C46,"")</f>
        <v>9.5</v>
      </c>
      <c r="W47" s="53">
        <f>IF(Completed!$D46&lt;&gt;"",Completed!$D46,"")</f>
        <v>9</v>
      </c>
      <c r="X47" s="53">
        <f>IF(Completed!$E46&lt;&gt;"",Completed!$E46,"")</f>
        <v>6.5</v>
      </c>
      <c r="Y47" s="53">
        <f>IF(Completed!$F46&lt;&gt;"",Completed!$F46,"")</f>
        <v>8.5</v>
      </c>
      <c r="Z47" s="64">
        <f>IF(Completed!$G46&lt;&gt;"",Completed!$G46,"")</f>
        <v>8.7223618090452266</v>
      </c>
      <c r="AA47" s="73">
        <f>IF(Completed!$H46&lt;&gt;"",Completed!$H46,"")</f>
        <v>8.3235244661173713</v>
      </c>
      <c r="AB47" s="54">
        <f>IF(Completed!$I46&lt;&gt;"",Completed!$I46,"")</f>
        <v>41369</v>
      </c>
      <c r="AC47" s="54">
        <f>IF(Completed!$J46&lt;&gt;"",Completed!$J46,"")</f>
        <v>41389</v>
      </c>
      <c r="AD47" s="65" t="str">
        <f>IF(Completed!$K46&lt;&gt;"",Completed!$K46,"")</f>
        <v>Shana</v>
      </c>
      <c r="AE47" s="65" t="str">
        <f>IF(Completed!$L$46&lt;&gt;"",Completed!$L$46,"")</f>
        <v>Shana &gt; Everyone else</v>
      </c>
    </row>
    <row r="48" spans="1:31">
      <c r="A48" s="92"/>
      <c r="B48" s="93"/>
      <c r="C48" s="93"/>
      <c r="D48" s="93"/>
      <c r="E48" s="93"/>
      <c r="F48" s="93"/>
      <c r="G48" s="93"/>
      <c r="H48" s="93"/>
      <c r="J48" s="21" t="str">
        <f>IF(Backlog!$A$47&lt;&gt;"",Backlog!$A$47,"")</f>
        <v>Nyan Koi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IF(Completed!$A47&lt;&gt;"",Completed!$A47,"")</f>
        <v>Sora no Method</v>
      </c>
      <c r="O48" s="28">
        <f>IF(Completed!$B47&lt;&gt;"",Completed!$B47,"")</f>
        <v>1</v>
      </c>
      <c r="P48" s="28">
        <f ca="1">IF($N48&lt;&gt;"", INDIRECT("'Tracker'!"&amp;ADDRESS(MATCH($N48, Tracker[Anime Name], 0) + 2, 3)), "")</f>
        <v>13</v>
      </c>
      <c r="Q48" s="22" t="str">
        <f ca="1">IF($N48&lt;&gt;"", INDIRECT("'Tracker'!"&amp;ADDRESS(MATCH($N48, Tracker[Anime Name], 0) + 2, 4)), "")</f>
        <v>C</v>
      </c>
      <c r="R48" s="22" t="str">
        <f ca="1">IF($N48&lt;&gt;"", INDIRECT("'Tracker'!"&amp;ADDRESS(MATCH($N48, Tracker[Anime Name], 0) + 2, 5)), "")</f>
        <v>720p</v>
      </c>
      <c r="S48" s="22" t="str">
        <f ca="1">IF($N48&lt;&gt;"", INDIRECT("'Tracker'!"&amp;ADDRESS(MATCH($N48, Tracker[Anime Name], 0) + 2, 6)), "")</f>
        <v>TV</v>
      </c>
      <c r="T48" s="22" t="str">
        <f ca="1">IF($N48&lt;&gt;"", INDIRECT("'Tracker'!"&amp;ADDRESS(MATCH($N48, Tracker[Anime Name], 0) + 2, 7)), "")</f>
        <v>2014C</v>
      </c>
      <c r="U48" s="28" t="str">
        <f ca="1">IF($N48&lt;&gt;"", INDIRECT("'Tracker'!"&amp;ADDRESS(MATCH($N48, Tracker[Anime Name], 0) + 2, 8)), "")</f>
        <v>HorribleSubs</v>
      </c>
      <c r="V48" s="53">
        <f>IF(Completed!$C47&lt;&gt;"",Completed!$C47,"")</f>
        <v>8</v>
      </c>
      <c r="W48" s="53">
        <f>IF(Completed!$D47&lt;&gt;"",Completed!$D47,"")</f>
        <v>8.5</v>
      </c>
      <c r="X48" s="53">
        <f>IF(Completed!$E47&lt;&gt;"",Completed!$E47,"")</f>
        <v>9.5</v>
      </c>
      <c r="Y48" s="53">
        <f>IF(Completed!$F47&lt;&gt;"",Completed!$F47,"")</f>
        <v>9</v>
      </c>
      <c r="Z48" s="64">
        <f>IF(Completed!$G47&lt;&gt;"",Completed!$G47,"")</f>
        <v>8.7060301507537705</v>
      </c>
      <c r="AA48" s="73">
        <f>IF(Completed!$H47&lt;&gt;"",Completed!$H47,"")</f>
        <v>8.3016647048932253</v>
      </c>
      <c r="AB48" s="54">
        <f>IF(Completed!$I47&lt;&gt;"",Completed!$I47,"")</f>
        <v>42024</v>
      </c>
      <c r="AC48" s="54">
        <f>IF(Completed!$J47&lt;&gt;"",Completed!$J47,"")</f>
        <v>42024</v>
      </c>
      <c r="AD48" s="65" t="str">
        <f>IF(Completed!$K47&lt;&gt;"",Completed!$K47,"")</f>
        <v>Noel</v>
      </c>
      <c r="AE48" s="65" t="str">
        <f>IF(Completed!$L$47&lt;&gt;"",Completed!$L$47,"")</f>
        <v/>
      </c>
    </row>
    <row r="49" spans="1:31">
      <c r="A49" s="92"/>
      <c r="B49" s="93"/>
      <c r="C49" s="93"/>
      <c r="D49" s="93"/>
      <c r="E49" s="93"/>
      <c r="F49" s="93"/>
      <c r="G49" s="93"/>
      <c r="H49" s="93"/>
      <c r="J49" s="21" t="str">
        <f>IF(Backlog!$A$48&lt;&gt;"",Backlog!$A$48,"")</f>
        <v>Ore no Kanojo to Osananajimi ga Shuraba Sugiru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IF(Completed!$A48&lt;&gt;"",Completed!$A48,"")</f>
        <v>Ano Hi Mita Hana no Namae wo Bokutachi wa Mada Shiranai</v>
      </c>
      <c r="O49" s="28">
        <f>IF(Completed!$B48&lt;&gt;"",Completed!$B48,"")</f>
        <v>1</v>
      </c>
      <c r="P49" s="28">
        <f ca="1">IF($N49&lt;&gt;"", INDIRECT("'Tracker'!"&amp;ADDRESS(MATCH($N49, Tracker[Anime Name], 0) + 2, 3)), "")</f>
        <v>11</v>
      </c>
      <c r="Q49" s="22" t="str">
        <f ca="1">IF($N49&lt;&gt;"", INDIRECT("'Tracker'!"&amp;ADDRESS(MATCH($N49, Tracker[Anime Name], 0) + 2, 4)), "")</f>
        <v>C</v>
      </c>
      <c r="R49" s="22" t="str">
        <f ca="1">IF($N49&lt;&gt;"", INDIRECT("'Tracker'!"&amp;ADDRESS(MATCH($N49, Tracker[Anime Name], 0) + 2, 5)), "")</f>
        <v>1080p</v>
      </c>
      <c r="S49" s="22" t="str">
        <f ca="1">IF($N49&lt;&gt;"", INDIRECT("'Tracker'!"&amp;ADDRESS(MATCH($N49, Tracker[Anime Name], 0) + 2, 6)), "")</f>
        <v>BD</v>
      </c>
      <c r="T49" s="22" t="str">
        <f ca="1">IF($N49&lt;&gt;"", INDIRECT("'Tracker'!"&amp;ADDRESS(MATCH($N49, Tracker[Anime Name], 0) + 2, 7)), "")</f>
        <v>2011A</v>
      </c>
      <c r="U49" s="28" t="str">
        <f ca="1">IF($N49&lt;&gt;"", INDIRECT("'Tracker'!"&amp;ADDRESS(MATCH($N49, Tracker[Anime Name], 0) + 2, 8)), "")</f>
        <v>Doki</v>
      </c>
      <c r="V49" s="53">
        <f>IF(Completed!$C48&lt;&gt;"",Completed!$C48,"")</f>
        <v>9.5</v>
      </c>
      <c r="W49" s="53">
        <f>IF(Completed!$D48&lt;&gt;"",Completed!$D48,"")</f>
        <v>8</v>
      </c>
      <c r="X49" s="53">
        <f>IF(Completed!$E48&lt;&gt;"",Completed!$E48,"")</f>
        <v>6</v>
      </c>
      <c r="Y49" s="53">
        <f>IF(Completed!$F48&lt;&gt;"",Completed!$F48,"")</f>
        <v>9</v>
      </c>
      <c r="Z49" s="64">
        <f>IF(Completed!$G48&lt;&gt;"",Completed!$G48,"")</f>
        <v>8.6796482412060314</v>
      </c>
      <c r="AA49" s="73">
        <f>IF(Completed!$H48&lt;&gt;"",Completed!$H48,"")</f>
        <v>8.2663527829157566</v>
      </c>
      <c r="AB49" s="54">
        <f>IF(Completed!$I48&lt;&gt;"",Completed!$I48,"")</f>
        <v>41530</v>
      </c>
      <c r="AC49" s="54">
        <f>IF(Completed!$J48&lt;&gt;"",Completed!$J48,"")</f>
        <v>41532</v>
      </c>
      <c r="AD49" s="65" t="str">
        <f>IF(Completed!$K48&lt;&gt;"",Completed!$K48,"")</f>
        <v>Tsurumi Chiriko</v>
      </c>
      <c r="AE49" s="65" t="str">
        <f>IF(Completed!$L$48&lt;&gt;"",Completed!$L$48,"")</f>
        <v>Drama was a bit forced at the end, but it was nicely done overall</v>
      </c>
    </row>
    <row r="50" spans="1:31">
      <c r="A50" s="92"/>
      <c r="B50" s="93"/>
      <c r="C50" s="93"/>
      <c r="D50" s="93"/>
      <c r="E50" s="93"/>
      <c r="F50" s="93"/>
      <c r="G50" s="93"/>
      <c r="H50" s="93"/>
      <c r="J50" s="21" t="str">
        <f>IF(Backlog!$A$49&lt;&gt;"",Backlog!$A$49,"")</f>
        <v>Psycho-Pass (New Edit)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IF(Completed!$A49&lt;&gt;"",Completed!$A49,"")</f>
        <v>Spice and Wolf II</v>
      </c>
      <c r="O50" s="28">
        <f>IF(Completed!$B49&lt;&gt;"",Completed!$B49,"")</f>
        <v>2</v>
      </c>
      <c r="P50" s="28">
        <f ca="1">IF($N50&lt;&gt;"", INDIRECT("'Tracker'!"&amp;ADDRESS(MATCH($N50, Tracker[Anime Name], 0) + 2, 3)), "")</f>
        <v>12</v>
      </c>
      <c r="Q50" s="22" t="str">
        <f ca="1">IF($N50&lt;&gt;"", INDIRECT("'Tracker'!"&amp;ADDRESS(MATCH($N50, Tracker[Anime Name], 0) + 2, 4)), "")</f>
        <v>C</v>
      </c>
      <c r="R50" s="22" t="str">
        <f ca="1">IF($N50&lt;&gt;"", INDIRECT("'Tracker'!"&amp;ADDRESS(MATCH($N50, Tracker[Anime Name], 0) + 2, 5)), "")</f>
        <v>720p</v>
      </c>
      <c r="S50" s="22" t="str">
        <f ca="1">IF($N50&lt;&gt;"", INDIRECT("'Tracker'!"&amp;ADDRESS(MATCH($N50, Tracker[Anime Name], 0) + 2, 6)), "")</f>
        <v>BD</v>
      </c>
      <c r="T50" s="22" t="str">
        <f ca="1">IF($N50&lt;&gt;"", INDIRECT("'Tracker'!"&amp;ADDRESS(MATCH($N50, Tracker[Anime Name], 0) + 2, 7)), "")</f>
        <v>2009B</v>
      </c>
      <c r="U50" s="28" t="str">
        <f ca="1">IF($N50&lt;&gt;"", INDIRECT("'Tracker'!"&amp;ADDRESS(MATCH($N50, Tracker[Anime Name], 0) + 2, 8)), "")</f>
        <v>Coalgirls, Mazui</v>
      </c>
      <c r="V50" s="53">
        <f>IF(Completed!$C49&lt;&gt;"",Completed!$C49,"")</f>
        <v>8.5</v>
      </c>
      <c r="W50" s="53">
        <f>IF(Completed!$D49&lt;&gt;"",Completed!$D49,"")</f>
        <v>9</v>
      </c>
      <c r="X50" s="53">
        <f>IF(Completed!$E49&lt;&gt;"",Completed!$E49,"")</f>
        <v>4</v>
      </c>
      <c r="Y50" s="53">
        <f>IF(Completed!$F49&lt;&gt;"",Completed!$F49,"")</f>
        <v>9</v>
      </c>
      <c r="Z50" s="64">
        <f>IF(Completed!$G49&lt;&gt;"",Completed!$G49,"")</f>
        <v>8.6695979899497502</v>
      </c>
      <c r="AA50" s="73">
        <f>IF(Completed!$H49&lt;&gt;"",Completed!$H49,"")</f>
        <v>8.2529006221624357</v>
      </c>
      <c r="AB50" s="54">
        <f>IF(Completed!$I49&lt;&gt;"",Completed!$I49,"")</f>
        <v>41358</v>
      </c>
      <c r="AC50" s="54">
        <f>IF(Completed!$J49&lt;&gt;"",Completed!$J49,"")</f>
        <v>41359</v>
      </c>
      <c r="AD50" s="65" t="str">
        <f>IF(Completed!$K49&lt;&gt;"",Completed!$K49,"")</f>
        <v>Holo</v>
      </c>
      <c r="AE50" s="65" t="str">
        <f>IF(Completed!$L$49&lt;&gt;"",Completed!$L$49,"")</f>
        <v/>
      </c>
    </row>
    <row r="51" spans="1:31">
      <c r="A51" s="92"/>
      <c r="B51" s="93"/>
      <c r="C51" s="93"/>
      <c r="D51" s="93"/>
      <c r="E51" s="93"/>
      <c r="F51" s="93"/>
      <c r="G51" s="93"/>
      <c r="H51" s="93"/>
      <c r="J51" s="21" t="str">
        <f>IF(Backlog!$A$50&lt;&gt;"",Backlog!$A$50,"")</f>
        <v>Saki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IF(Completed!$A50&lt;&gt;"",Completed!$A50,"")</f>
        <v>Kokoro Connect</v>
      </c>
      <c r="O51" s="28">
        <f>IF(Completed!$B50&lt;&gt;"",Completed!$B50,"")</f>
        <v>1</v>
      </c>
      <c r="P51" s="28">
        <f ca="1">IF($N51&lt;&gt;"", INDIRECT("'Tracker'!"&amp;ADDRESS(MATCH($N51, Tracker[Anime Name], 0) + 2, 3)), "")</f>
        <v>17</v>
      </c>
      <c r="Q51" s="22" t="str">
        <f ca="1">IF($N51&lt;&gt;"", INDIRECT("'Tracker'!"&amp;ADDRESS(MATCH($N51, Tracker[Anime Name], 0) + 2, 4)), "")</f>
        <v>C</v>
      </c>
      <c r="R51" s="22" t="str">
        <f ca="1">IF($N51&lt;&gt;"", INDIRECT("'Tracker'!"&amp;ADDRESS(MATCH($N51, Tracker[Anime Name], 0) + 2, 5)), "")</f>
        <v>720p</v>
      </c>
      <c r="S51" s="22" t="str">
        <f ca="1">IF($N51&lt;&gt;"", INDIRECT("'Tracker'!"&amp;ADDRESS(MATCH($N51, Tracker[Anime Name], 0) + 2, 6)), "")</f>
        <v>BD</v>
      </c>
      <c r="T51" s="22" t="str">
        <f ca="1">IF($N51&lt;&gt;"", INDIRECT("'Tracker'!"&amp;ADDRESS(MATCH($N51, Tracker[Anime Name], 0) + 2, 7)), "")</f>
        <v>2012B</v>
      </c>
      <c r="U51" s="28" t="str">
        <f ca="1">IF($N51&lt;&gt;"", INDIRECT("'Tracker'!"&amp;ADDRESS(MATCH($N51, Tracker[Anime Name], 0) + 2, 8)), "")</f>
        <v>Doki, Chihiro</v>
      </c>
      <c r="V51" s="53">
        <f>IF(Completed!$C50&lt;&gt;"",Completed!$C50,"")</f>
        <v>8.5</v>
      </c>
      <c r="W51" s="53">
        <f>IF(Completed!$D50&lt;&gt;"",Completed!$D50,"")</f>
        <v>9</v>
      </c>
      <c r="X51" s="53">
        <f>IF(Completed!$E50&lt;&gt;"",Completed!$E50,"")</f>
        <v>4</v>
      </c>
      <c r="Y51" s="53">
        <f>IF(Completed!$F50&lt;&gt;"",Completed!$F50,"")</f>
        <v>9</v>
      </c>
      <c r="Z51" s="64">
        <f>IF(Completed!$G50&lt;&gt;"",Completed!$G50,"")</f>
        <v>8.6695979899497502</v>
      </c>
      <c r="AA51" s="73">
        <f>IF(Completed!$H50&lt;&gt;"",Completed!$H50,"")</f>
        <v>8.2529006221624357</v>
      </c>
      <c r="AB51" s="54">
        <f>IF(Completed!$I50&lt;&gt;"",Completed!$I50,"")</f>
        <v>41328</v>
      </c>
      <c r="AC51" s="54">
        <f>IF(Completed!$J50&lt;&gt;"",Completed!$J50,"")</f>
        <v>41329</v>
      </c>
      <c r="AD51" s="65" t="str">
        <f>IF(Completed!$K50&lt;&gt;"",Completed!$K50,"")</f>
        <v>Himeko Inaba</v>
      </c>
      <c r="AE51" s="65" t="str">
        <f>IF(Completed!$L$50&lt;&gt;"",Completed!$L$50,"")</f>
        <v/>
      </c>
    </row>
    <row r="52" spans="1:31">
      <c r="A52" s="92"/>
      <c r="B52" s="93"/>
      <c r="C52" s="93"/>
      <c r="D52" s="93"/>
      <c r="E52" s="93"/>
      <c r="F52" s="93"/>
      <c r="G52" s="93"/>
      <c r="H52" s="93"/>
      <c r="J52" s="21" t="str">
        <f>IF(Backlog!$A$51&lt;&gt;"",Backlog!$A$51,"")</f>
        <v>Saki: Achiga-hen</v>
      </c>
      <c r="K52" s="28">
        <f>IF(Backlog!$B$51&lt;&gt;"",Backlog!$B$51,"")</f>
        <v>2</v>
      </c>
      <c r="L52" s="29" t="str">
        <f>IF(Backlog!$C$51&lt;&gt;"",Backlog!$C$51,"")</f>
        <v>DL</v>
      </c>
      <c r="N52" s="21" t="str">
        <f>IF(Completed!$A51&lt;&gt;"",Completed!$A51,"")</f>
        <v>Servant x Service</v>
      </c>
      <c r="O52" s="28">
        <f>IF(Completed!$B51&lt;&gt;"",Completed!$B51,"")</f>
        <v>1</v>
      </c>
      <c r="P52" s="28">
        <f ca="1">IF($N52&lt;&gt;"", INDIRECT("'Tracker'!"&amp;ADDRESS(MATCH($N52, Tracker[Anime Name], 0) + 2, 3)), "")</f>
        <v>13</v>
      </c>
      <c r="Q52" s="22" t="str">
        <f ca="1">IF($N52&lt;&gt;"", INDIRECT("'Tracker'!"&amp;ADDRESS(MATCH($N52, Tracker[Anime Name], 0) + 2, 4)), "")</f>
        <v>C</v>
      </c>
      <c r="R52" s="22" t="str">
        <f ca="1">IF($N52&lt;&gt;"", INDIRECT("'Tracker'!"&amp;ADDRESS(MATCH($N52, Tracker[Anime Name], 0) + 2, 5)), "")</f>
        <v>720p</v>
      </c>
      <c r="S52" s="22" t="str">
        <f ca="1">IF($N52&lt;&gt;"", INDIRECT("'Tracker'!"&amp;ADDRESS(MATCH($N52, Tracker[Anime Name], 0) + 2, 6)), "")</f>
        <v>Web</v>
      </c>
      <c r="T52" s="22" t="str">
        <f ca="1">IF($N52&lt;&gt;"", INDIRECT("'Tracker'!"&amp;ADDRESS(MATCH($N52, Tracker[Anime Name], 0) + 2, 7)), "")</f>
        <v>2013B</v>
      </c>
      <c r="U52" s="28" t="str">
        <f ca="1">IF($N52&lt;&gt;"", INDIRECT("'Tracker'!"&amp;ADDRESS(MATCH($N52, Tracker[Anime Name], 0) + 2, 8)), "")</f>
        <v>HorribleSubs</v>
      </c>
      <c r="V52" s="53">
        <f>IF(Completed!$C51&lt;&gt;"",Completed!$C51,"")</f>
        <v>8</v>
      </c>
      <c r="W52" s="53">
        <f>IF(Completed!$D51&lt;&gt;"",Completed!$D51,"")</f>
        <v>9</v>
      </c>
      <c r="X52" s="53">
        <f>IF(Completed!$E51&lt;&gt;"",Completed!$E51,"")</f>
        <v>5.5</v>
      </c>
      <c r="Y52" s="53">
        <f>IF(Completed!$F51&lt;&gt;"",Completed!$F51,"")</f>
        <v>9</v>
      </c>
      <c r="Z52" s="64">
        <f>IF(Completed!$G51&lt;&gt;"",Completed!$G51,"")</f>
        <v>8.6494974874371859</v>
      </c>
      <c r="AA52" s="73">
        <f>IF(Completed!$H51&lt;&gt;"",Completed!$H51,"")</f>
        <v>8.2259963006557921</v>
      </c>
      <c r="AB52" s="54">
        <f>IF(Completed!$I51&lt;&gt;"",Completed!$I51,"")</f>
        <v>41461</v>
      </c>
      <c r="AC52" s="54">
        <f>IF(Completed!$J51&lt;&gt;"",Completed!$J51,"")</f>
        <v>41543</v>
      </c>
      <c r="AD52" s="65" t="str">
        <f>IF(Completed!$K51&lt;&gt;"",Completed!$K51,"")</f>
        <v>Chihaya Megumi</v>
      </c>
      <c r="AE52" s="65" t="str">
        <f>IF(Completed!$L$51&lt;&gt;"",Completed!$L$51,"")</f>
        <v>Funny, and not a HS drama - 9/10 would watch again</v>
      </c>
    </row>
    <row r="53" spans="1:31">
      <c r="A53" s="92"/>
      <c r="B53" s="93"/>
      <c r="C53" s="93"/>
      <c r="D53" s="93"/>
      <c r="E53" s="93"/>
      <c r="F53" s="93"/>
      <c r="G53" s="93"/>
      <c r="H53" s="93"/>
      <c r="J53" s="21" t="str">
        <f>IF(Backlog!$A$52&lt;&gt;"",Backlog!$A$52,"")</f>
        <v>Saki: Zenkoku-hen</v>
      </c>
      <c r="K53" s="28">
        <f>IF(Backlog!$B$52&lt;&gt;"",Backlog!$B$52,"")</f>
        <v>3</v>
      </c>
      <c r="L53" s="29" t="str">
        <f>IF(Backlog!$C$52&lt;&gt;"",Backlog!$C$52,"")</f>
        <v>DL</v>
      </c>
      <c r="N53" s="21" t="str">
        <f>IF(Completed!$A52&lt;&gt;"",Completed!$A52,"")</f>
        <v>Shakugan no Shana Second</v>
      </c>
      <c r="O53" s="28">
        <f>IF(Completed!$B52&lt;&gt;"",Completed!$B52,"")</f>
        <v>2</v>
      </c>
      <c r="P53" s="28">
        <f ca="1">IF($N53&lt;&gt;"", INDIRECT("'Tracker'!"&amp;ADDRESS(MATCH($N53, Tracker[Anime Name], 0) + 2, 3)), "")</f>
        <v>24</v>
      </c>
      <c r="Q53" s="22" t="str">
        <f ca="1">IF($N53&lt;&gt;"", INDIRECT("'Tracker'!"&amp;ADDRESS(MATCH($N53, Tracker[Anime Name], 0) + 2, 4)), "")</f>
        <v>C</v>
      </c>
      <c r="R53" s="22" t="str">
        <f ca="1">IF($N53&lt;&gt;"", INDIRECT("'Tracker'!"&amp;ADDRESS(MATCH($N53, Tracker[Anime Name], 0) + 2, 5)), "")</f>
        <v>720p</v>
      </c>
      <c r="S53" s="22" t="str">
        <f ca="1">IF($N53&lt;&gt;"", INDIRECT("'Tracker'!"&amp;ADDRESS(MATCH($N53, Tracker[Anime Name], 0) + 2, 6)), "")</f>
        <v>TV</v>
      </c>
      <c r="T53" s="22" t="str">
        <f ca="1">IF($N53&lt;&gt;"", INDIRECT("'Tracker'!"&amp;ADDRESS(MATCH($N53, Tracker[Anime Name], 0) + 2, 7)), "")</f>
        <v>2007C</v>
      </c>
      <c r="U53" s="28" t="str">
        <f ca="1">IF($N53&lt;&gt;"", INDIRECT("'Tracker'!"&amp;ADDRESS(MATCH($N53, Tracker[Anime Name], 0) + 2, 8)), "")</f>
        <v>SS, Eclipse</v>
      </c>
      <c r="V53" s="53">
        <f>IF(Completed!$C52&lt;&gt;"",Completed!$C52,"")</f>
        <v>9</v>
      </c>
      <c r="W53" s="53">
        <f>IF(Completed!$D52&lt;&gt;"",Completed!$D52,"")</f>
        <v>9</v>
      </c>
      <c r="X53" s="53">
        <f>IF(Completed!$E52&lt;&gt;"",Completed!$E52,"")</f>
        <v>6.5</v>
      </c>
      <c r="Y53" s="53">
        <f>IF(Completed!$F52&lt;&gt;"",Completed!$F52,"")</f>
        <v>8.5</v>
      </c>
      <c r="Z53" s="64">
        <f>IF(Completed!$G52&lt;&gt;"",Completed!$G52,"")</f>
        <v>8.6306532663316595</v>
      </c>
      <c r="AA53" s="73">
        <f>IF(Completed!$H52&lt;&gt;"",Completed!$H52,"")</f>
        <v>8.2007734992433168</v>
      </c>
      <c r="AB53" s="54">
        <f>IF(Completed!$I52&lt;&gt;"",Completed!$I52,"")</f>
        <v>41395</v>
      </c>
      <c r="AC53" s="54">
        <f>IF(Completed!$J52&lt;&gt;"",Completed!$J52,"")</f>
        <v>41400</v>
      </c>
      <c r="AD53" s="65" t="str">
        <f>IF(Completed!$K52&lt;&gt;"",Completed!$K52,"")</f>
        <v>Shana</v>
      </c>
      <c r="AE53" s="65" t="str">
        <f>IF(Completed!$L$52&lt;&gt;"",Completed!$L$52,"")</f>
        <v>TV is better than BDs</v>
      </c>
    </row>
    <row r="54" spans="1:31">
      <c r="A54" s="92"/>
      <c r="B54" s="93"/>
      <c r="C54" s="93"/>
      <c r="D54" s="93"/>
      <c r="E54" s="93"/>
      <c r="F54" s="93"/>
      <c r="G54" s="93"/>
      <c r="H54" s="93"/>
      <c r="J54" s="21" t="str">
        <f>IF(Backlog!$A$53&lt;&gt;"",Backlog!$A$53,"")</f>
        <v>Seirei Tsukai no Blade Dance</v>
      </c>
      <c r="K54" s="28">
        <f>IF(Backlog!$B$53&lt;&gt;"",Backlog!$B$53,"")</f>
        <v>1</v>
      </c>
      <c r="L54" s="29" t="str">
        <f>IF(Backlog!$C$53&lt;&gt;"",Backlog!$C$53,"")</f>
        <v>DL</v>
      </c>
      <c r="N54" s="21" t="str">
        <f>IF(Completed!$A53&lt;&gt;"",Completed!$A53,"")</f>
        <v>Non Non Biyori</v>
      </c>
      <c r="O54" s="28">
        <f>IF(Completed!$B53&lt;&gt;"",Completed!$B53,"")</f>
        <v>1</v>
      </c>
      <c r="P54" s="28">
        <f ca="1">IF($N54&lt;&gt;"", INDIRECT("'Tracker'!"&amp;ADDRESS(MATCH($N54, Tracker[Anime Name], 0) + 2, 3)), "")</f>
        <v>12</v>
      </c>
      <c r="Q54" s="22" t="str">
        <f ca="1">IF($N54&lt;&gt;"", INDIRECT("'Tracker'!"&amp;ADDRESS(MATCH($N54, Tracker[Anime Name], 0) + 2, 4)), "")</f>
        <v>C</v>
      </c>
      <c r="R54" s="22" t="str">
        <f ca="1">IF($N54&lt;&gt;"", INDIRECT("'Tracker'!"&amp;ADDRESS(MATCH($N54, Tracker[Anime Name], 0) + 2, 5)), "")</f>
        <v>720p</v>
      </c>
      <c r="S54" s="22" t="str">
        <f ca="1">IF($N54&lt;&gt;"", INDIRECT("'Tracker'!"&amp;ADDRESS(MATCH($N54, Tracker[Anime Name], 0) + 2, 6)), "")</f>
        <v>BD</v>
      </c>
      <c r="T54" s="22" t="str">
        <f ca="1">IF($N54&lt;&gt;"", INDIRECT("'Tracker'!"&amp;ADDRESS(MATCH($N54, Tracker[Anime Name], 0) + 2, 7)), "")</f>
        <v>2013C</v>
      </c>
      <c r="U54" s="28" t="str">
        <f ca="1">IF($N54&lt;&gt;"", INDIRECT("'Tracker'!"&amp;ADDRESS(MATCH($N54, Tracker[Anime Name], 0) + 2, 8)), "")</f>
        <v>Doki</v>
      </c>
      <c r="V54" s="53">
        <f>IF(Completed!$C53&lt;&gt;"",Completed!$C53,"")</f>
        <v>4</v>
      </c>
      <c r="W54" s="53">
        <f>IF(Completed!$D53&lt;&gt;"",Completed!$D53,"")</f>
        <v>9</v>
      </c>
      <c r="X54" s="53">
        <f>IF(Completed!$E53&lt;&gt;"",Completed!$E53,"")</f>
        <v>9.5</v>
      </c>
      <c r="Y54" s="53">
        <f>IF(Completed!$F53&lt;&gt;"",Completed!$F53,"")</f>
        <v>10</v>
      </c>
      <c r="Z54" s="64">
        <f>IF(Completed!$G53&lt;&gt;"",Completed!$G53,"")</f>
        <v>8.6067839195979889</v>
      </c>
      <c r="AA54" s="73">
        <f>IF(Completed!$H53&lt;&gt;"",Completed!$H53,"")</f>
        <v>8.1688246174541774</v>
      </c>
      <c r="AB54" s="54">
        <f>IF(Completed!$I53&lt;&gt;"",Completed!$I53,"")</f>
        <v>41638</v>
      </c>
      <c r="AC54" s="54">
        <f>IF(Completed!$J53&lt;&gt;"",Completed!$J53,"")</f>
        <v>41641</v>
      </c>
      <c r="AD54" s="65" t="str">
        <f>IF(Completed!$K53&lt;&gt;"",Completed!$K53,"")</f>
        <v>Miyauchi Renge</v>
      </c>
      <c r="AE54" s="65" t="str">
        <f>IF(Completed!$L$53&lt;&gt;"",Completed!$L$53,"")</f>
        <v/>
      </c>
    </row>
    <row r="55" spans="1:31">
      <c r="A55" s="92"/>
      <c r="B55" s="93"/>
      <c r="C55" s="93"/>
      <c r="D55" s="93"/>
      <c r="E55" s="93"/>
      <c r="F55" s="93"/>
      <c r="G55" s="93"/>
      <c r="H55" s="93"/>
      <c r="J55" s="21" t="str">
        <f>IF(Backlog!$A$54&lt;&gt;"",Backlog!$A$54,"")</f>
        <v>Serial Experiments Lain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IF(Completed!$A54&lt;&gt;"",Completed!$A54,"")</f>
        <v>Toaru Kagaku no Railgun</v>
      </c>
      <c r="O55" s="28">
        <f>IF(Completed!$B54&lt;&gt;"",Completed!$B54,"")</f>
        <v>1</v>
      </c>
      <c r="P55" s="28">
        <f ca="1">IF($N55&lt;&gt;"", INDIRECT("'Tracker'!"&amp;ADDRESS(MATCH($N55, Tracker[Anime Name], 0) + 2, 3)), "")</f>
        <v>24</v>
      </c>
      <c r="Q55" s="22" t="str">
        <f ca="1">IF($N55&lt;&gt;"", INDIRECT("'Tracker'!"&amp;ADDRESS(MATCH($N55, Tracker[Anime Name], 0) + 2, 4)), "")</f>
        <v>C</v>
      </c>
      <c r="R55" s="22" t="str">
        <f ca="1">IF($N55&lt;&gt;"", INDIRECT("'Tracker'!"&amp;ADDRESS(MATCH($N55, Tracker[Anime Name], 0) + 2, 5)), "")</f>
        <v>720p</v>
      </c>
      <c r="S55" s="22" t="str">
        <f ca="1">IF($N55&lt;&gt;"", INDIRECT("'Tracker'!"&amp;ADDRESS(MATCH($N55, Tracker[Anime Name], 0) + 2, 6)), "")</f>
        <v>BD</v>
      </c>
      <c r="T55" s="22" t="str">
        <f ca="1">IF($N55&lt;&gt;"", INDIRECT("'Tracker'!"&amp;ADDRESS(MATCH($N55, Tracker[Anime Name], 0) + 2, 7)), "")</f>
        <v>2009C</v>
      </c>
      <c r="U55" s="28" t="str">
        <f ca="1">IF($N55&lt;&gt;"", INDIRECT("'Tracker'!"&amp;ADDRESS(MATCH($N55, Tracker[Anime Name], 0) + 2, 8)), "")</f>
        <v>Elysium</v>
      </c>
      <c r="V55" s="53">
        <f>IF(Completed!$C54&lt;&gt;"",Completed!$C54,"")</f>
        <v>7.5</v>
      </c>
      <c r="W55" s="53">
        <f>IF(Completed!$D54&lt;&gt;"",Completed!$D54,"")</f>
        <v>9</v>
      </c>
      <c r="X55" s="53">
        <f>IF(Completed!$E54&lt;&gt;"",Completed!$E54,"")</f>
        <v>6</v>
      </c>
      <c r="Y55" s="53">
        <f>IF(Completed!$F54&lt;&gt;"",Completed!$F54,"")</f>
        <v>9</v>
      </c>
      <c r="Z55" s="64">
        <f>IF(Completed!$G54&lt;&gt;"",Completed!$G54,"")</f>
        <v>8.5816582914572859</v>
      </c>
      <c r="AA55" s="73">
        <f>IF(Completed!$H54&lt;&gt;"",Completed!$H54,"")</f>
        <v>8.1351942155708752</v>
      </c>
      <c r="AB55" s="54">
        <f>IF(Completed!$I54&lt;&gt;"",Completed!$I54,"")</f>
        <v>41436</v>
      </c>
      <c r="AC55" s="54">
        <f>IF(Completed!$J54&lt;&gt;"",Completed!$J54,"")</f>
        <v>41438</v>
      </c>
      <c r="AD55" s="65" t="str">
        <f>IF(Completed!$K54&lt;&gt;"",Completed!$K54,"")</f>
        <v>Misaka Mikoto</v>
      </c>
      <c r="AE55" s="65" t="str">
        <f>IF(Completed!$L$54&lt;&gt;"",Completed!$L$54,"")</f>
        <v/>
      </c>
    </row>
    <row r="56" spans="1:31">
      <c r="A56" s="92"/>
      <c r="B56" s="93"/>
      <c r="C56" s="93"/>
      <c r="D56" s="93"/>
      <c r="E56" s="93"/>
      <c r="F56" s="93"/>
      <c r="G56" s="93"/>
      <c r="H56" s="93"/>
      <c r="J56" s="21" t="str">
        <f>IF(Backlog!$A$55&lt;&gt;"",Backlog!$A$55,"")</f>
        <v>Shinsekai Yori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IF(Completed!$A55&lt;&gt;"",Completed!$A55,"")</f>
        <v>One Punch Man</v>
      </c>
      <c r="O56" s="28">
        <f>IF(Completed!$B55&lt;&gt;"",Completed!$B55,"")</f>
        <v>1</v>
      </c>
      <c r="P56" s="28">
        <f ca="1">IF($N56&lt;&gt;"", INDIRECT("'Tracker'!"&amp;ADDRESS(MATCH($N56, Tracker[Anime Name], 0) + 2, 3)), "")</f>
        <v>12</v>
      </c>
      <c r="Q56" s="22" t="str">
        <f ca="1">IF($N56&lt;&gt;"", INDIRECT("'Tracker'!"&amp;ADDRESS(MATCH($N56, Tracker[Anime Name], 0) + 2, 4)), "")</f>
        <v>B</v>
      </c>
      <c r="R56" s="22" t="str">
        <f ca="1">IF($N56&lt;&gt;"", INDIRECT("'Tracker'!"&amp;ADDRESS(MATCH($N56, Tracker[Anime Name], 0) + 2, 5)), "")</f>
        <v>720p</v>
      </c>
      <c r="S56" s="22" t="str">
        <f ca="1">IF($N56&lt;&gt;"", INDIRECT("'Tracker'!"&amp;ADDRESS(MATCH($N56, Tracker[Anime Name], 0) + 2, 6)), "")</f>
        <v>TV</v>
      </c>
      <c r="T56" s="22" t="str">
        <f ca="1">IF($N56&lt;&gt;"", INDIRECT("'Tracker'!"&amp;ADDRESS(MATCH($N56, Tracker[Anime Name], 0) + 2, 7)), "")</f>
        <v>2015C</v>
      </c>
      <c r="U56" s="28" t="str">
        <f ca="1">IF($N56&lt;&gt;"", INDIRECT("'Tracker'!"&amp;ADDRESS(MATCH($N56, Tracker[Anime Name], 0) + 2, 8)), "")</f>
        <v>Commie</v>
      </c>
      <c r="V56" s="53">
        <f>IF(Completed!$C55&lt;&gt;"",Completed!$C55,"")</f>
        <v>9</v>
      </c>
      <c r="W56" s="53">
        <f>IF(Completed!$D55&lt;&gt;"",Completed!$D55,"")</f>
        <v>8.5</v>
      </c>
      <c r="X56" s="53">
        <f>IF(Completed!$E55&lt;&gt;"",Completed!$E55,"")</f>
        <v>3</v>
      </c>
      <c r="Y56" s="53">
        <f>IF(Completed!$F55&lt;&gt;"",Completed!$F55,"")</f>
        <v>9</v>
      </c>
      <c r="Z56" s="64">
        <f>IF(Completed!$G55&lt;&gt;"",Completed!$G55,"")</f>
        <v>8.5791457286432156</v>
      </c>
      <c r="AA56" s="73">
        <f>IF(Completed!$H55&lt;&gt;"",Completed!$H55,"")</f>
        <v>8.1318311753825441</v>
      </c>
      <c r="AB56" s="54">
        <f>IF(Completed!$I55&lt;&gt;"",Completed!$I55,"")</f>
        <v>42286</v>
      </c>
      <c r="AC56" s="54">
        <f>IF(Completed!$J55&lt;&gt;"",Completed!$J55,"")</f>
        <v>42361</v>
      </c>
      <c r="AD56" s="65" t="str">
        <f>IF(Completed!$K55&lt;&gt;"",Completed!$K55,"")</f>
        <v>Genos</v>
      </c>
      <c r="AE56" s="65" t="str">
        <f>IF(Completed!$L$55&lt;&gt;"",Completed!$L$55,"")</f>
        <v/>
      </c>
    </row>
    <row r="57" spans="1:31">
      <c r="A57" s="92"/>
      <c r="B57" s="93"/>
      <c r="C57" s="93"/>
      <c r="D57" s="93"/>
      <c r="E57" s="93"/>
      <c r="F57" s="93"/>
      <c r="G57" s="93"/>
      <c r="H57" s="93"/>
      <c r="J57" s="21" t="str">
        <f>IF(Backlog!$A$56&lt;&gt;"",Backlog!$A$56,"")</f>
        <v>Sora no Otoshimono Forte</v>
      </c>
      <c r="K57" s="28">
        <f>IF(Backlog!$B$56&lt;&gt;"",Backlog!$B$56,"")</f>
        <v>2</v>
      </c>
      <c r="L57" s="29" t="str">
        <f>IF(Backlog!$C$56&lt;&gt;"",Backlog!$C$56,"")</f>
        <v>DL</v>
      </c>
      <c r="N57" s="21" t="str">
        <f>IF(Completed!$A56&lt;&gt;"",Completed!$A56,"")</f>
        <v>Sword Art Online II</v>
      </c>
      <c r="O57" s="28">
        <f>IF(Completed!$B56&lt;&gt;"",Completed!$B56,"")</f>
        <v>2</v>
      </c>
      <c r="P57" s="28">
        <f ca="1">IF($N57&lt;&gt;"", INDIRECT("'Tracker'!"&amp;ADDRESS(MATCH($N57, Tracker[Anime Name], 0) + 2, 3)), "")</f>
        <v>24</v>
      </c>
      <c r="Q57" s="22" t="str">
        <f ca="1">IF($N57&lt;&gt;"", INDIRECT("'Tracker'!"&amp;ADDRESS(MATCH($N57, Tracker[Anime Name], 0) + 2, 4)), "")</f>
        <v>A</v>
      </c>
      <c r="R57" s="22" t="str">
        <f ca="1">IF($N57&lt;&gt;"", INDIRECT("'Tracker'!"&amp;ADDRESS(MATCH($N57, Tracker[Anime Name], 0) + 2, 5)), "")</f>
        <v>720p</v>
      </c>
      <c r="S57" s="22" t="str">
        <f ca="1">IF($N57&lt;&gt;"", INDIRECT("'Tracker'!"&amp;ADDRESS(MATCH($N57, Tracker[Anime Name], 0) + 2, 6)), "")</f>
        <v>TV</v>
      </c>
      <c r="T57" s="22" t="str">
        <f ca="1">IF($N57&lt;&gt;"", INDIRECT("'Tracker'!"&amp;ADDRESS(MATCH($N57, Tracker[Anime Name], 0) + 2, 7)), "")</f>
        <v>2014B</v>
      </c>
      <c r="U57" s="28" t="str">
        <f ca="1">IF($N57&lt;&gt;"", INDIRECT("'Tracker'!"&amp;ADDRESS(MATCH($N57, Tracker[Anime Name], 0) + 2, 8)), "")</f>
        <v>HorribleSubs</v>
      </c>
      <c r="V57" s="53">
        <f>IF(Completed!$C56&lt;&gt;"",Completed!$C56,"")</f>
        <v>9</v>
      </c>
      <c r="W57" s="53">
        <f>IF(Completed!$D56&lt;&gt;"",Completed!$D56,"")</f>
        <v>8.5</v>
      </c>
      <c r="X57" s="53">
        <f>IF(Completed!$E56&lt;&gt;"",Completed!$E56,"")</f>
        <v>8</v>
      </c>
      <c r="Y57" s="53">
        <f>IF(Completed!$F56&lt;&gt;"",Completed!$F56,"")</f>
        <v>8.5</v>
      </c>
      <c r="Z57" s="64">
        <f>IF(Completed!$G56&lt;&gt;"",Completed!$G56,"")</f>
        <v>8.5678391959799001</v>
      </c>
      <c r="AA57" s="73">
        <f>IF(Completed!$H56&lt;&gt;"",Completed!$H56,"")</f>
        <v>8.1166974945350603</v>
      </c>
      <c r="AB57" s="54">
        <f>IF(Completed!$I56&lt;&gt;"",Completed!$I56,"")</f>
        <v>41826</v>
      </c>
      <c r="AC57" s="54">
        <f>IF(Completed!$J56&lt;&gt;"",Completed!$J56,"")</f>
        <v>41993</v>
      </c>
      <c r="AD57" s="65" t="str">
        <f>IF(Completed!$K56&lt;&gt;"",Completed!$K56,"")</f>
        <v>Yuuki Asuna</v>
      </c>
      <c r="AE57" s="65" t="str">
        <f>IF(Completed!$L$56&lt;&gt;"",Completed!$L$56,"")</f>
        <v>Need to DL again once FFF finishes</v>
      </c>
    </row>
    <row r="58" spans="1:31">
      <c r="A58" s="92"/>
      <c r="B58" s="93"/>
      <c r="C58" s="93"/>
      <c r="D58" s="93"/>
      <c r="E58" s="93"/>
      <c r="F58" s="93"/>
      <c r="G58" s="93"/>
      <c r="H58" s="93"/>
      <c r="J58" s="21" t="str">
        <f>IF(Backlog!$A$57&lt;&gt;"",Backlog!$A$57,"")</f>
        <v>Strawberry Panic</v>
      </c>
      <c r="K58" s="28">
        <f>IF(Backlog!$B$57&lt;&gt;"",Backlog!$B$57,"")</f>
        <v>1</v>
      </c>
      <c r="L58" s="29" t="str">
        <f>IF(Backlog!$C$57&lt;&gt;"",Backlog!$C$57,"")</f>
        <v>DL</v>
      </c>
      <c r="N58" s="21" t="str">
        <f>IF(Completed!$A57&lt;&gt;"",Completed!$A57,"")</f>
        <v>Monogatari Series Season 2</v>
      </c>
      <c r="O58" s="28">
        <f>IF(Completed!$B57&lt;&gt;"",Completed!$B57,"")</f>
        <v>2</v>
      </c>
      <c r="P58" s="28">
        <f ca="1">IF($N58&lt;&gt;"", INDIRECT("'Tracker'!"&amp;ADDRESS(MATCH($N58, Tracker[Anime Name], 0) + 2, 3)), "")</f>
        <v>26</v>
      </c>
      <c r="Q58" s="22" t="str">
        <f ca="1">IF($N58&lt;&gt;"", INDIRECT("'Tracker'!"&amp;ADDRESS(MATCH($N58, Tracker[Anime Name], 0) + 2, 4)), "")</f>
        <v>A</v>
      </c>
      <c r="R58" s="22" t="str">
        <f ca="1">IF($N58&lt;&gt;"", INDIRECT("'Tracker'!"&amp;ADDRESS(MATCH($N58, Tracker[Anime Name], 0) + 2, 5)), "")</f>
        <v>720p</v>
      </c>
      <c r="S58" s="22" t="str">
        <f ca="1">IF($N58&lt;&gt;"", INDIRECT("'Tracker'!"&amp;ADDRESS(MATCH($N58, Tracker[Anime Name], 0) + 2, 6)), "")</f>
        <v>TV</v>
      </c>
      <c r="T58" s="22" t="str">
        <f ca="1">IF($N58&lt;&gt;"", INDIRECT("'Tracker'!"&amp;ADDRESS(MATCH($N58, Tracker[Anime Name], 0) + 2, 7)), "")</f>
        <v>2013B</v>
      </c>
      <c r="U58" s="28" t="str">
        <f ca="1">IF($N58&lt;&gt;"", INDIRECT("'Tracker'!"&amp;ADDRESS(MATCH($N58, Tracker[Anime Name], 0) + 2, 8)), "")</f>
        <v>HorribleSubs</v>
      </c>
      <c r="V58" s="53">
        <f>IF(Completed!$C57&lt;&gt;"",Completed!$C57,"")</f>
        <v>9</v>
      </c>
      <c r="W58" s="53">
        <f>IF(Completed!$D57&lt;&gt;"",Completed!$D57,"")</f>
        <v>8</v>
      </c>
      <c r="X58" s="53">
        <f>IF(Completed!$E57&lt;&gt;"",Completed!$E57,"")</f>
        <v>5.5</v>
      </c>
      <c r="Y58" s="53">
        <f>IF(Completed!$F57&lt;&gt;"",Completed!$F57,"")</f>
        <v>9</v>
      </c>
      <c r="Z58" s="64">
        <f>IF(Completed!$G57&lt;&gt;"",Completed!$G57,"")</f>
        <v>8.5640703517587937</v>
      </c>
      <c r="AA58" s="73">
        <f>IF(Completed!$H57&lt;&gt;"",Completed!$H57,"")</f>
        <v>8.1116529342525627</v>
      </c>
      <c r="AB58" s="54">
        <f>IF(Completed!$I57&lt;&gt;"",Completed!$I57,"")</f>
        <v>41461</v>
      </c>
      <c r="AC58" s="54">
        <f>IF(Completed!$J57&lt;&gt;"",Completed!$J57,"")</f>
        <v>41638</v>
      </c>
      <c r="AD58" s="65" t="str">
        <f>IF(Completed!$K57&lt;&gt;"",Completed!$K57,"")</f>
        <v>Oshino Shinobu</v>
      </c>
      <c r="AE58" s="65" t="str">
        <f>IF(Completed!$L$57&lt;&gt;"",Completed!$L$57,"")</f>
        <v>Kaiki is true best girl though.</v>
      </c>
    </row>
    <row r="59" spans="1:31">
      <c r="A59" s="92"/>
      <c r="B59" s="93"/>
      <c r="C59" s="93"/>
      <c r="D59" s="93"/>
      <c r="E59" s="93"/>
      <c r="F59" s="93"/>
      <c r="G59" s="93"/>
      <c r="H59" s="93"/>
      <c r="J59" s="21" t="str">
        <f>IF(Backlog!$A$58&lt;&gt;"",Backlog!$A$58,"")</f>
        <v>The World God Only Knows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IF(Completed!$A58&lt;&gt;"",Completed!$A58,"")</f>
        <v>Acchi Kocchi</v>
      </c>
      <c r="O59" s="28">
        <f>IF(Completed!$B58&lt;&gt;"",Completed!$B58,"")</f>
        <v>1</v>
      </c>
      <c r="P59" s="28">
        <f ca="1">IF($N59&lt;&gt;"", INDIRECT("'Tracker'!"&amp;ADDRESS(MATCH($N59, Tracker[Anime Name], 0) + 2, 3)), "")</f>
        <v>13</v>
      </c>
      <c r="Q59" s="22" t="str">
        <f ca="1">IF($N59&lt;&gt;"", INDIRECT("'Tracker'!"&amp;ADDRESS(MATCH($N59, Tracker[Anime Name], 0) + 2, 4)), "")</f>
        <v>C</v>
      </c>
      <c r="R59" s="22" t="str">
        <f ca="1">IF($N59&lt;&gt;"", INDIRECT("'Tracker'!"&amp;ADDRESS(MATCH($N59, Tracker[Anime Name], 0) + 2, 5)), "")</f>
        <v>720p</v>
      </c>
      <c r="S59" s="22" t="str">
        <f ca="1">IF($N59&lt;&gt;"", INDIRECT("'Tracker'!"&amp;ADDRESS(MATCH($N59, Tracker[Anime Name], 0) + 2, 6)), "")</f>
        <v>BD</v>
      </c>
      <c r="T59" s="22" t="str">
        <f ca="1">IF($N59&lt;&gt;"", INDIRECT("'Tracker'!"&amp;ADDRESS(MATCH($N59, Tracker[Anime Name], 0) + 2, 7)), "")</f>
        <v>2012A</v>
      </c>
      <c r="U59" s="28" t="str">
        <f ca="1">IF($N59&lt;&gt;"", INDIRECT("'Tracker'!"&amp;ADDRESS(MATCH($N59, Tracker[Anime Name], 0) + 2, 8)), "")</f>
        <v>SakuraCircle</v>
      </c>
      <c r="V59" s="53">
        <f>IF(Completed!$C58&lt;&gt;"",Completed!$C58,"")</f>
        <v>5</v>
      </c>
      <c r="W59" s="53">
        <f>IF(Completed!$D58&lt;&gt;"",Completed!$D58,"")</f>
        <v>9</v>
      </c>
      <c r="X59" s="53">
        <f>IF(Completed!$E58&lt;&gt;"",Completed!$E58,"")</f>
        <v>10</v>
      </c>
      <c r="Y59" s="53">
        <f>IF(Completed!$F58&lt;&gt;"",Completed!$F58,"")</f>
        <v>9.5</v>
      </c>
      <c r="Z59" s="64">
        <f>IF(Completed!$G58&lt;&gt;"",Completed!$G58,"")</f>
        <v>8.5640703517587937</v>
      </c>
      <c r="AA59" s="73">
        <f>IF(Completed!$H58&lt;&gt;"",Completed!$H58,"")</f>
        <v>8.1116529342525627</v>
      </c>
      <c r="AB59" s="54">
        <f>IF(Completed!$I58&lt;&gt;"",Completed!$I58,"")</f>
        <v>41316</v>
      </c>
      <c r="AC59" s="54">
        <f>IF(Completed!$J58&lt;&gt;"",Completed!$J58,"")</f>
        <v>41316</v>
      </c>
      <c r="AD59" s="65" t="str">
        <f>IF(Completed!$K58&lt;&gt;"",Completed!$K58,"")</f>
        <v>Miniwa Tsumiki</v>
      </c>
      <c r="AE59" s="65" t="str">
        <f>IF(Completed!$L$58&lt;&gt;"",Completed!$L$58,"")</f>
        <v>Like Lucky Star, but with 150% more moe</v>
      </c>
    </row>
    <row r="60" spans="1:31">
      <c r="A60" s="92"/>
      <c r="B60" s="93"/>
      <c r="C60" s="93"/>
      <c r="D60" s="93"/>
      <c r="E60" s="93"/>
      <c r="F60" s="93"/>
      <c r="G60" s="93"/>
      <c r="H60" s="93"/>
      <c r="J60" s="21" t="str">
        <f>IF(Backlog!$A$59&lt;&gt;"",Backlog!$A$59,"")</f>
        <v>The World God Only Knows II</v>
      </c>
      <c r="K60" s="28">
        <f>IF(Backlog!$B$59&lt;&gt;"",Backlog!$B$59,"")</f>
        <v>2</v>
      </c>
      <c r="L60" s="29" t="str">
        <f>IF(Backlog!$C$59&lt;&gt;"",Backlog!$C$59,"")</f>
        <v>DL</v>
      </c>
      <c r="N60" s="21" t="str">
        <f>IF(Completed!$A59&lt;&gt;"",Completed!$A59,"")</f>
        <v>Toaru Kagaku no Railgun S</v>
      </c>
      <c r="O60" s="28">
        <f>IF(Completed!$B59&lt;&gt;"",Completed!$B59,"")</f>
        <v>2</v>
      </c>
      <c r="P60" s="28">
        <f ca="1">IF($N60&lt;&gt;"", INDIRECT("'Tracker'!"&amp;ADDRESS(MATCH($N60, Tracker[Anime Name], 0) + 2, 3)), "")</f>
        <v>24</v>
      </c>
      <c r="Q60" s="22" t="str">
        <f ca="1">IF($N60&lt;&gt;"", INDIRECT("'Tracker'!"&amp;ADDRESS(MATCH($N60, Tracker[Anime Name], 0) + 2, 4)), "")</f>
        <v>C</v>
      </c>
      <c r="R60" s="22" t="str">
        <f ca="1">IF($N60&lt;&gt;"", INDIRECT("'Tracker'!"&amp;ADDRESS(MATCH($N60, Tracker[Anime Name], 0) + 2, 5)), "")</f>
        <v>720p</v>
      </c>
      <c r="S60" s="22" t="str">
        <f ca="1">IF($N60&lt;&gt;"", INDIRECT("'Tracker'!"&amp;ADDRESS(MATCH($N60, Tracker[Anime Name], 0) + 2, 6)), "")</f>
        <v>BD</v>
      </c>
      <c r="T60" s="22" t="str">
        <f ca="1">IF($N60&lt;&gt;"", INDIRECT("'Tracker'!"&amp;ADDRESS(MATCH($N60, Tracker[Anime Name], 0) + 2, 7)), "")</f>
        <v>2013A</v>
      </c>
      <c r="U60" s="28" t="str">
        <f ca="1">IF($N60&lt;&gt;"", INDIRECT("'Tracker'!"&amp;ADDRESS(MATCH($N60, Tracker[Anime Name], 0) + 2, 8)), "")</f>
        <v>Coalgirls, UTW, Mazui</v>
      </c>
      <c r="V60" s="53">
        <f>IF(Completed!$C59&lt;&gt;"",Completed!$C59,"")</f>
        <v>8.5</v>
      </c>
      <c r="W60" s="53">
        <f>IF(Completed!$D59&lt;&gt;"",Completed!$D59,"")</f>
        <v>8.5</v>
      </c>
      <c r="X60" s="53">
        <f>IF(Completed!$E59&lt;&gt;"",Completed!$E59,"")</f>
        <v>4.5</v>
      </c>
      <c r="Y60" s="53">
        <f>IF(Completed!$F59&lt;&gt;"",Completed!$F59,"")</f>
        <v>9</v>
      </c>
      <c r="Z60" s="64">
        <f>IF(Completed!$G59&lt;&gt;"",Completed!$G59,"")</f>
        <v>8.5590452261306531</v>
      </c>
      <c r="AA60" s="73">
        <f>IF(Completed!$H59&lt;&gt;"",Completed!$H59,"")</f>
        <v>8.1049268538759023</v>
      </c>
      <c r="AB60" s="54">
        <f>IF(Completed!$I59&lt;&gt;"",Completed!$I59,"")</f>
        <v>41473</v>
      </c>
      <c r="AC60" s="54">
        <f>IF(Completed!$J59&lt;&gt;"",Completed!$J59,"")</f>
        <v>41546</v>
      </c>
      <c r="AD60" s="65" t="str">
        <f>IF(Completed!$K59&lt;&gt;"",Completed!$K59,"")</f>
        <v>Misaka Mikoto</v>
      </c>
      <c r="AE60" s="65" t="str">
        <f>IF(Completed!$L$59&lt;&gt;"",Completed!$L$59,"")</f>
        <v/>
      </c>
    </row>
    <row r="61" spans="1:31">
      <c r="A61" s="92"/>
      <c r="B61" s="93"/>
      <c r="C61" s="93"/>
      <c r="D61" s="93"/>
      <c r="E61" s="93"/>
      <c r="F61" s="93"/>
      <c r="G61" s="93"/>
      <c r="H61" s="93"/>
      <c r="J61" s="21" t="str">
        <f>IF(Backlog!$A$60&lt;&gt;"",Backlog!$A$60,"")</f>
        <v>Toshokan Sensou</v>
      </c>
      <c r="K61" s="28">
        <f>IF(Backlog!$B$60&lt;&gt;"",Backlog!$B$60,"")</f>
        <v>1</v>
      </c>
      <c r="L61" s="29" t="str">
        <f>IF(Backlog!$C$60&lt;&gt;"",Backlog!$C$60,"")</f>
        <v>DL</v>
      </c>
      <c r="N61" s="21" t="str">
        <f>IF(Completed!$A60&lt;&gt;"",Completed!$A60,"")</f>
        <v>Gochuumon wa Usagi Desu ka??</v>
      </c>
      <c r="O61" s="28">
        <f>IF(Completed!$B60&lt;&gt;"",Completed!$B60,"")</f>
        <v>2</v>
      </c>
      <c r="P61" s="28">
        <f ca="1">IF($N61&lt;&gt;"", INDIRECT("'Tracker'!"&amp;ADDRESS(MATCH($N61, Tracker[Anime Name], 0) + 2, 3)), "")</f>
        <v>12</v>
      </c>
      <c r="Q61" s="22" t="str">
        <f ca="1">IF($N61&lt;&gt;"", INDIRECT("'Tracker'!"&amp;ADDRESS(MATCH($N61, Tracker[Anime Name], 0) + 2, 4)), "")</f>
        <v>C</v>
      </c>
      <c r="R61" s="22" t="str">
        <f ca="1">IF($N61&lt;&gt;"", INDIRECT("'Tracker'!"&amp;ADDRESS(MATCH($N61, Tracker[Anime Name], 0) + 2, 5)), "")</f>
        <v>720p</v>
      </c>
      <c r="S61" s="22" t="str">
        <f ca="1">IF($N61&lt;&gt;"", INDIRECT("'Tracker'!"&amp;ADDRESS(MATCH($N61, Tracker[Anime Name], 0) + 2, 6)), "")</f>
        <v>TV</v>
      </c>
      <c r="T61" s="22" t="str">
        <f ca="1">IF($N61&lt;&gt;"", INDIRECT("'Tracker'!"&amp;ADDRESS(MATCH($N61, Tracker[Anime Name], 0) + 2, 7)), "")</f>
        <v>2015C</v>
      </c>
      <c r="U61" s="28" t="str">
        <f ca="1">IF($N61&lt;&gt;"", INDIRECT("'Tracker'!"&amp;ADDRESS(MATCH($N61, Tracker[Anime Name], 0) + 2, 8)), "")</f>
        <v>Vivid, EveTaku</v>
      </c>
      <c r="V61" s="53">
        <f>IF(Completed!$C60&lt;&gt;"",Completed!$C60,"")</f>
        <v>5</v>
      </c>
      <c r="W61" s="53">
        <f>IF(Completed!$D60&lt;&gt;"",Completed!$D60,"")</f>
        <v>9</v>
      </c>
      <c r="X61" s="53">
        <f>IF(Completed!$E60&lt;&gt;"",Completed!$E60,"")</f>
        <v>9.5</v>
      </c>
      <c r="Y61" s="53">
        <f>IF(Completed!$F60&lt;&gt;"",Completed!$F60,"")</f>
        <v>9.5</v>
      </c>
      <c r="Z61" s="64">
        <f>IF(Completed!$G60&lt;&gt;"",Completed!$G60,"")</f>
        <v>8.5402010050251267</v>
      </c>
      <c r="AA61" s="73">
        <f>IF(Completed!$H60&lt;&gt;"",Completed!$H60,"")</f>
        <v>8.0797040524634287</v>
      </c>
      <c r="AB61" s="54">
        <f>IF(Completed!$I60&lt;&gt;"",Completed!$I60,"")</f>
        <v>42286</v>
      </c>
      <c r="AC61" s="54">
        <f>IF(Completed!$J60&lt;&gt;"",Completed!$J60,"")</f>
        <v>42386</v>
      </c>
      <c r="AD61" s="65" t="str">
        <f>IF(Completed!$K60&lt;&gt;"",Completed!$K60,"")</f>
        <v>Kafuu Chino</v>
      </c>
      <c r="AE61" s="65" t="str">
        <f>IF(Completed!$L$60&lt;&gt;"",Completed!$L$60,"")</f>
        <v/>
      </c>
    </row>
    <row r="62" spans="1:31">
      <c r="A62" s="92"/>
      <c r="B62" s="93"/>
      <c r="C62" s="93"/>
      <c r="D62" s="93"/>
      <c r="E62" s="93"/>
      <c r="F62" s="93"/>
      <c r="G62" s="93"/>
      <c r="H62" s="93"/>
      <c r="J62" s="21" t="str">
        <f>IF(Backlog!$A$61&lt;&gt;"",Backlog!$A$61,"")</f>
        <v>Uchouten Kazoku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IF(Completed!$A61&lt;&gt;"",Completed!$A61,"")</f>
        <v>Charlotte</v>
      </c>
      <c r="O62" s="28">
        <f>IF(Completed!$B61&lt;&gt;"",Completed!$B61,"")</f>
        <v>1</v>
      </c>
      <c r="P62" s="28">
        <f ca="1">IF($N62&lt;&gt;"", INDIRECT("'Tracker'!"&amp;ADDRESS(MATCH($N62, Tracker[Anime Name], 0) + 2, 3)), "")</f>
        <v>13</v>
      </c>
      <c r="Q62" s="22" t="str">
        <f ca="1">IF($N62&lt;&gt;"", INDIRECT("'Tracker'!"&amp;ADDRESS(MATCH($N62, Tracker[Anime Name], 0) + 2, 4)), "")</f>
        <v>C</v>
      </c>
      <c r="R62" s="22" t="str">
        <f ca="1">IF($N62&lt;&gt;"", INDIRECT("'Tracker'!"&amp;ADDRESS(MATCH($N62, Tracker[Anime Name], 0) + 2, 5)), "")</f>
        <v>720p</v>
      </c>
      <c r="S62" s="22" t="str">
        <f ca="1">IF($N62&lt;&gt;"", INDIRECT("'Tracker'!"&amp;ADDRESS(MATCH($N62, Tracker[Anime Name], 0) + 2, 6)), "")</f>
        <v>TV</v>
      </c>
      <c r="T62" s="22" t="str">
        <f ca="1">IF($N62&lt;&gt;"", INDIRECT("'Tracker'!"&amp;ADDRESS(MATCH($N62, Tracker[Anime Name], 0) + 2, 7)), "")</f>
        <v>2015B</v>
      </c>
      <c r="U62" s="28" t="str">
        <f ca="1">IF($N62&lt;&gt;"", INDIRECT("'Tracker'!"&amp;ADDRESS(MATCH($N62, Tracker[Anime Name], 0) + 2, 8)), "")</f>
        <v>GJM, Mezashite</v>
      </c>
      <c r="V62" s="53">
        <f>IF(Completed!$C61&lt;&gt;"",Completed!$C61,"")</f>
        <v>8.5</v>
      </c>
      <c r="W62" s="53">
        <f>IF(Completed!$D61&lt;&gt;"",Completed!$D61,"")</f>
        <v>9</v>
      </c>
      <c r="X62" s="53">
        <f>IF(Completed!$E61&lt;&gt;"",Completed!$E61,"")</f>
        <v>6.5</v>
      </c>
      <c r="Y62" s="53">
        <f>IF(Completed!$F61&lt;&gt;"",Completed!$F61,"")</f>
        <v>8.5</v>
      </c>
      <c r="Z62" s="64">
        <f>IF(Completed!$G61&lt;&gt;"",Completed!$G61,"")</f>
        <v>8.5389447236180906</v>
      </c>
      <c r="AA62" s="73">
        <f>IF(Completed!$H61&lt;&gt;"",Completed!$H61,"")</f>
        <v>8.0780225323692605</v>
      </c>
      <c r="AB62" s="54">
        <f>IF(Completed!$I61&lt;&gt;"",Completed!$I61,"")</f>
        <v>42241</v>
      </c>
      <c r="AC62" s="54">
        <f>IF(Completed!$J61&lt;&gt;"",Completed!$J61,"")</f>
        <v>42274</v>
      </c>
      <c r="AD62" s="65" t="str">
        <f>IF(Completed!$K61&lt;&gt;"",Completed!$K61,"")</f>
        <v>Tomori Nao</v>
      </c>
      <c r="AE62" s="65" t="str">
        <f>IF(Completed!$L$61&lt;&gt;"",Completed!$L$61,"")</f>
        <v>I wanted to like this, but pacing was just eh</v>
      </c>
    </row>
    <row r="63" spans="1:31">
      <c r="A63" s="92"/>
      <c r="B63" s="93"/>
      <c r="C63" s="93"/>
      <c r="D63" s="93"/>
      <c r="E63" s="93"/>
      <c r="F63" s="93"/>
      <c r="G63" s="93"/>
      <c r="H63" s="93"/>
      <c r="J63" s="21" t="str">
        <f>IF(Backlog!$A$62&lt;&gt;"",Backlog!$A$62,"")</f>
        <v>Welcome to the N.H.K!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IF(Completed!$A62&lt;&gt;"",Completed!$A62,"")</f>
        <v>Mirai Nikki</v>
      </c>
      <c r="O63" s="28">
        <f>IF(Completed!$B62&lt;&gt;"",Completed!$B62,"")</f>
        <v>1</v>
      </c>
      <c r="P63" s="28">
        <f ca="1">IF($N63&lt;&gt;"", INDIRECT("'Tracker'!"&amp;ADDRESS(MATCH($N63, Tracker[Anime Name], 0) + 2, 3)), "")</f>
        <v>26</v>
      </c>
      <c r="Q63" s="22" t="str">
        <f ca="1">IF($N63&lt;&gt;"", INDIRECT("'Tracker'!"&amp;ADDRESS(MATCH($N63, Tracker[Anime Name], 0) + 2, 4)), "")</f>
        <v>C</v>
      </c>
      <c r="R63" s="22" t="str">
        <f ca="1">IF($N63&lt;&gt;"", INDIRECT("'Tracker'!"&amp;ADDRESS(MATCH($N63, Tracker[Anime Name], 0) + 2, 5)), "")</f>
        <v>720p</v>
      </c>
      <c r="S63" s="22" t="str">
        <f ca="1">IF($N63&lt;&gt;"", INDIRECT("'Tracker'!"&amp;ADDRESS(MATCH($N63, Tracker[Anime Name], 0) + 2, 6)), "")</f>
        <v>BD</v>
      </c>
      <c r="T63" s="22" t="str">
        <f ca="1">IF($N63&lt;&gt;"", INDIRECT("'Tracker'!"&amp;ADDRESS(MATCH($N63, Tracker[Anime Name], 0) + 2, 7)), "")</f>
        <v>2011C</v>
      </c>
      <c r="U63" s="28" t="str">
        <f ca="1">IF($N63&lt;&gt;"", INDIRECT("'Tracker'!"&amp;ADDRESS(MATCH($N63, Tracker[Anime Name], 0) + 2, 8)), "")</f>
        <v>Final8</v>
      </c>
      <c r="V63" s="53">
        <f>IF(Completed!$C62&lt;&gt;"",Completed!$C62,"")</f>
        <v>9.5</v>
      </c>
      <c r="W63" s="53">
        <f>IF(Completed!$D62&lt;&gt;"",Completed!$D62,"")</f>
        <v>7.5</v>
      </c>
      <c r="X63" s="53">
        <f>IF(Completed!$E62&lt;&gt;"",Completed!$E62,"")</f>
        <v>5</v>
      </c>
      <c r="Y63" s="53">
        <f>IF(Completed!$F62&lt;&gt;"",Completed!$F62,"")</f>
        <v>9</v>
      </c>
      <c r="Z63" s="64">
        <f>IF(Completed!$G62&lt;&gt;"",Completed!$G62,"")</f>
        <v>8.4974874371859297</v>
      </c>
      <c r="AA63" s="73">
        <f>IF(Completed!$H62&lt;&gt;"",Completed!$H62,"")</f>
        <v>8.0225323692618122</v>
      </c>
      <c r="AB63" s="54">
        <f>IF(Completed!$I62&lt;&gt;"",Completed!$I62,"")</f>
        <v>41485</v>
      </c>
      <c r="AC63" s="54">
        <f>IF(Completed!$J62&lt;&gt;"",Completed!$J62,"")</f>
        <v>41491</v>
      </c>
      <c r="AD63" s="65" t="str">
        <f>IF(Completed!$K62&lt;&gt;"",Completed!$K62,"")</f>
        <v>Uryuu Minene v2</v>
      </c>
      <c r="AE63" s="65" t="str">
        <f>IF(Completed!$L$62&lt;&gt;"",Completed!$L$62,"")</f>
        <v>Needs a more ballsy MC</v>
      </c>
    </row>
    <row r="64" spans="1:31">
      <c r="A64" s="92"/>
      <c r="B64" s="93"/>
      <c r="C64" s="93"/>
      <c r="D64" s="93"/>
      <c r="E64" s="93"/>
      <c r="F64" s="93"/>
      <c r="G64" s="93"/>
      <c r="H64" s="93"/>
      <c r="J64" s="21" t="str">
        <f>IF(Backlog!$A$63&lt;&gt;"",Backlog!$A$63,"")</f>
        <v>White Album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IF(Completed!$A63&lt;&gt;"",Completed!$A63,"")</f>
        <v>Toaru Majutsu no Index II</v>
      </c>
      <c r="O64" s="28">
        <f>IF(Completed!$B63&lt;&gt;"",Completed!$B63,"")</f>
        <v>2</v>
      </c>
      <c r="P64" s="28">
        <f ca="1">IF($N64&lt;&gt;"", INDIRECT("'Tracker'!"&amp;ADDRESS(MATCH($N64, Tracker[Anime Name], 0) + 2, 3)), "")</f>
        <v>24</v>
      </c>
      <c r="Q64" s="22" t="str">
        <f ca="1">IF($N64&lt;&gt;"", INDIRECT("'Tracker'!"&amp;ADDRESS(MATCH($N64, Tracker[Anime Name], 0) + 2, 4)), "")</f>
        <v>C</v>
      </c>
      <c r="R64" s="22" t="str">
        <f ca="1">IF($N64&lt;&gt;"", INDIRECT("'Tracker'!"&amp;ADDRESS(MATCH($N64, Tracker[Anime Name], 0) + 2, 5)), "")</f>
        <v>720p</v>
      </c>
      <c r="S64" s="22" t="str">
        <f ca="1">IF($N64&lt;&gt;"", INDIRECT("'Tracker'!"&amp;ADDRESS(MATCH($N64, Tracker[Anime Name], 0) + 2, 6)), "")</f>
        <v>BD</v>
      </c>
      <c r="T64" s="22" t="str">
        <f ca="1">IF($N64&lt;&gt;"", INDIRECT("'Tracker'!"&amp;ADDRESS(MATCH($N64, Tracker[Anime Name], 0) + 2, 7)), "")</f>
        <v>2010C</v>
      </c>
      <c r="U64" s="28" t="str">
        <f ca="1">IF($N64&lt;&gt;"", INDIRECT("'Tracker'!"&amp;ADDRESS(MATCH($N64, Tracker[Anime Name], 0) + 2, 8)), "")</f>
        <v>Coalgirls, UTW, Mazui</v>
      </c>
      <c r="V64" s="53">
        <f>IF(Completed!$C63&lt;&gt;"",Completed!$C63,"")</f>
        <v>9</v>
      </c>
      <c r="W64" s="53">
        <f>IF(Completed!$D63&lt;&gt;"",Completed!$D63,"")</f>
        <v>8</v>
      </c>
      <c r="X64" s="53">
        <f>IF(Completed!$E63&lt;&gt;"",Completed!$E63,"")</f>
        <v>4</v>
      </c>
      <c r="Y64" s="53">
        <f>IF(Completed!$F63&lt;&gt;"",Completed!$F63,"")</f>
        <v>9</v>
      </c>
      <c r="Z64" s="64">
        <f>IF(Completed!$G63&lt;&gt;"",Completed!$G63,"")</f>
        <v>8.4924623115577891</v>
      </c>
      <c r="AA64" s="73">
        <f>IF(Completed!$H63&lt;&gt;"",Completed!$H63,"")</f>
        <v>8.0158062888851518</v>
      </c>
      <c r="AB64" s="54">
        <f>IF(Completed!$I63&lt;&gt;"",Completed!$I63,"")</f>
        <v>41468</v>
      </c>
      <c r="AC64" s="54">
        <f>IF(Completed!$J63&lt;&gt;"",Completed!$J63,"")</f>
        <v>41470</v>
      </c>
      <c r="AD64" s="65" t="str">
        <f>IF(Completed!$K63&lt;&gt;"",Completed!$K63,"")</f>
        <v>Misaka Mikoto</v>
      </c>
      <c r="AE64" s="65" t="str">
        <f>IF(Completed!$L$63&lt;&gt;"",Completed!$L$63,"")</f>
        <v>Finale was a bit anticlimactic. S3 is in order</v>
      </c>
    </row>
    <row r="65" spans="1:31">
      <c r="A65" s="92"/>
      <c r="B65" s="93"/>
      <c r="C65" s="93"/>
      <c r="D65" s="93"/>
      <c r="E65" s="93"/>
      <c r="F65" s="93"/>
      <c r="G65" s="93"/>
      <c r="H65" s="93"/>
      <c r="J65" s="21" t="str">
        <f>IF(Backlog!$A$64&lt;&gt;"",Backlog!$A$64,"")</f>
        <v>Zero no Tsukaima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IF(Completed!$A64&lt;&gt;"",Completed!$A64,"")</f>
        <v>Mekakucity Actors</v>
      </c>
      <c r="O65" s="28">
        <f>IF(Completed!$B64&lt;&gt;"",Completed!$B64,"")</f>
        <v>1</v>
      </c>
      <c r="P65" s="28">
        <f ca="1">IF($N65&lt;&gt;"", INDIRECT("'Tracker'!"&amp;ADDRESS(MATCH($N65, Tracker[Anime Name], 0) + 2, 3)), "")</f>
        <v>12</v>
      </c>
      <c r="Q65" s="22" t="str">
        <f ca="1">IF($N65&lt;&gt;"", INDIRECT("'Tracker'!"&amp;ADDRESS(MATCH($N65, Tracker[Anime Name], 0) + 2, 4)), "")</f>
        <v>C</v>
      </c>
      <c r="R65" s="22" t="str">
        <f ca="1">IF($N65&lt;&gt;"", INDIRECT("'Tracker'!"&amp;ADDRESS(MATCH($N65, Tracker[Anime Name], 0) + 2, 5)), "")</f>
        <v>720p</v>
      </c>
      <c r="S65" s="22" t="str">
        <f ca="1">IF($N65&lt;&gt;"", INDIRECT("'Tracker'!"&amp;ADDRESS(MATCH($N65, Tracker[Anime Name], 0) + 2, 6)), "")</f>
        <v>TV</v>
      </c>
      <c r="T65" s="22" t="str">
        <f ca="1">IF($N65&lt;&gt;"", INDIRECT("'Tracker'!"&amp;ADDRESS(MATCH($N65, Tracker[Anime Name], 0) + 2, 7)), "")</f>
        <v>2014A</v>
      </c>
      <c r="U65" s="28" t="str">
        <f ca="1">IF($N65&lt;&gt;"", INDIRECT("'Tracker'!"&amp;ADDRESS(MATCH($N65, Tracker[Anime Name], 0) + 2, 8)), "")</f>
        <v>HorribleSubs</v>
      </c>
      <c r="V65" s="53">
        <f>IF(Completed!$C64&lt;&gt;"",Completed!$C64,"")</f>
        <v>8.5</v>
      </c>
      <c r="W65" s="53">
        <f>IF(Completed!$D64&lt;&gt;"",Completed!$D64,"")</f>
        <v>9</v>
      </c>
      <c r="X65" s="53">
        <f>IF(Completed!$E64&lt;&gt;"",Completed!$E64,"")</f>
        <v>5.5</v>
      </c>
      <c r="Y65" s="53">
        <f>IF(Completed!$F64&lt;&gt;"",Completed!$F64,"")</f>
        <v>8.5</v>
      </c>
      <c r="Z65" s="64">
        <f>IF(Completed!$G64&lt;&gt;"",Completed!$G64,"")</f>
        <v>8.4912060301507548</v>
      </c>
      <c r="AA65" s="73">
        <f>IF(Completed!$H64&lt;&gt;"",Completed!$H64,"")</f>
        <v>8.0141247687909889</v>
      </c>
      <c r="AB65" s="54">
        <f>IF(Completed!$I64&lt;&gt;"",Completed!$I64,"")</f>
        <v>41785</v>
      </c>
      <c r="AC65" s="54">
        <f>IF(Completed!$J64&lt;&gt;"",Completed!$J64,"")</f>
        <v>41818</v>
      </c>
      <c r="AD65" s="65" t="str">
        <f>IF(Completed!$K64&lt;&gt;"",Completed!$K64,"")</f>
        <v>Ene (Enomoto Takane)</v>
      </c>
      <c r="AE65" s="65" t="str">
        <f>IF(Completed!$L$64&lt;&gt;"",Completed!$L$64,"")</f>
        <v>Plot is a bit confusing to follow, but was a good show overall. Ayano needs more screentime.</v>
      </c>
    </row>
    <row r="66" spans="1:31">
      <c r="A66" s="92"/>
      <c r="B66" s="93"/>
      <c r="C66" s="93"/>
      <c r="D66" s="93"/>
      <c r="E66" s="93"/>
      <c r="F66" s="93"/>
      <c r="G66" s="93"/>
      <c r="H66" s="93"/>
      <c r="J66" s="21" t="str">
        <f>IF(Backlog!$A$65&lt;&gt;"",Backlog!$A$65,"")</f>
        <v>Zero no Tsukaima F</v>
      </c>
      <c r="K66" s="28">
        <f>IF(Backlog!$B$65&lt;&gt;"",Backlog!$B$65,"")</f>
        <v>2</v>
      </c>
      <c r="L66" s="29" t="str">
        <f>IF(Backlog!$C$65&lt;&gt;"",Backlog!$C$65,"")</f>
        <v>DL</v>
      </c>
      <c r="N66" s="21" t="str">
        <f>IF(Completed!$A65&lt;&gt;"",Completed!$A65,"")</f>
        <v>Hataraku Maou-sama</v>
      </c>
      <c r="O66" s="28">
        <f>IF(Completed!$B65&lt;&gt;"",Completed!$B65,"")</f>
        <v>1</v>
      </c>
      <c r="P66" s="28">
        <f ca="1">IF($N66&lt;&gt;"", INDIRECT("'Tracker'!"&amp;ADDRESS(MATCH($N66, Tracker[Anime Name], 0) + 2, 3)), "")</f>
        <v>13</v>
      </c>
      <c r="Q66" s="22" t="str">
        <f ca="1">IF($N66&lt;&gt;"", INDIRECT("'Tracker'!"&amp;ADDRESS(MATCH($N66, Tracker[Anime Name], 0) + 2, 4)), "")</f>
        <v>C</v>
      </c>
      <c r="R66" s="22" t="str">
        <f ca="1">IF($N66&lt;&gt;"", INDIRECT("'Tracker'!"&amp;ADDRESS(MATCH($N66, Tracker[Anime Name], 0) + 2, 5)), "")</f>
        <v>720p</v>
      </c>
      <c r="S66" s="22" t="str">
        <f ca="1">IF($N66&lt;&gt;"", INDIRECT("'Tracker'!"&amp;ADDRESS(MATCH($N66, Tracker[Anime Name], 0) + 2, 6)), "")</f>
        <v>BD</v>
      </c>
      <c r="T66" s="22" t="str">
        <f ca="1">IF($N66&lt;&gt;"", INDIRECT("'Tracker'!"&amp;ADDRESS(MATCH($N66, Tracker[Anime Name], 0) + 2, 7)), "")</f>
        <v>2013A</v>
      </c>
      <c r="U66" s="28" t="str">
        <f ca="1">IF($N66&lt;&gt;"", INDIRECT("'Tracker'!"&amp;ADDRESS(MATCH($N66, Tracker[Anime Name], 0) + 2, 8)), "")</f>
        <v>FFF</v>
      </c>
      <c r="V66" s="53">
        <f>IF(Completed!$C65&lt;&gt;"",Completed!$C65,"")</f>
        <v>8</v>
      </c>
      <c r="W66" s="53">
        <f>IF(Completed!$D65&lt;&gt;"",Completed!$D65,"")</f>
        <v>8.5</v>
      </c>
      <c r="X66" s="53">
        <f>IF(Completed!$E65&lt;&gt;"",Completed!$E65,"")</f>
        <v>5</v>
      </c>
      <c r="Y66" s="53">
        <f>IF(Completed!$F65&lt;&gt;"",Completed!$F65,"")</f>
        <v>9</v>
      </c>
      <c r="Z66" s="64">
        <f>IF(Completed!$G65&lt;&gt;"",Completed!$G65,"")</f>
        <v>8.4912060301507548</v>
      </c>
      <c r="AA66" s="73">
        <f>IF(Completed!$H65&lt;&gt;"",Completed!$H65,"")</f>
        <v>8.0141247687909889</v>
      </c>
      <c r="AB66" s="54">
        <f>IF(Completed!$I65&lt;&gt;"",Completed!$I65,"")</f>
        <v>41371</v>
      </c>
      <c r="AC66" s="54">
        <f>IF(Completed!$J65&lt;&gt;"",Completed!$J65,"")</f>
        <v>41452</v>
      </c>
      <c r="AD66" s="65" t="str">
        <f>IF(Completed!$K65&lt;&gt;"",Completed!$K65,"")</f>
        <v>Kamazuki Suzuno</v>
      </c>
      <c r="AE66" s="65" t="str">
        <f>IF(Completed!$L$65&lt;&gt;"",Completed!$L$65,"")</f>
        <v/>
      </c>
    </row>
    <row r="67" spans="1:31">
      <c r="A67" s="92"/>
      <c r="B67" s="93"/>
      <c r="C67" s="93"/>
      <c r="D67" s="93"/>
      <c r="E67" s="93"/>
      <c r="F67" s="93"/>
      <c r="G67" s="93"/>
      <c r="H67" s="93"/>
      <c r="J67" s="21" t="str">
        <f>IF(Backlog!$A$66&lt;&gt;"",Backlog!$A$66,"")</f>
        <v>Zero no Tsukaima Futatsuki no Kishi</v>
      </c>
      <c r="K67" s="28">
        <f>IF(Backlog!$B$66&lt;&gt;"",Backlog!$B$66,"")</f>
        <v>3</v>
      </c>
      <c r="L67" s="29" t="str">
        <f>IF(Backlog!$C$66&lt;&gt;"",Backlog!$C$66,"")</f>
        <v>DL</v>
      </c>
      <c r="N67" s="21" t="str">
        <f>IF(Completed!$A66&lt;&gt;"",Completed!$A66,"")</f>
        <v>Gochuumon wa Usagi Desu ka?</v>
      </c>
      <c r="O67" s="28">
        <f>IF(Completed!$B66&lt;&gt;"",Completed!$B66,"")</f>
        <v>1</v>
      </c>
      <c r="P67" s="28">
        <f ca="1">IF($N67&lt;&gt;"", INDIRECT("'Tracker'!"&amp;ADDRESS(MATCH($N67, Tracker[Anime Name], 0) + 2, 3)), "")</f>
        <v>12</v>
      </c>
      <c r="Q67" s="22" t="str">
        <f ca="1">IF($N67&lt;&gt;"", INDIRECT("'Tracker'!"&amp;ADDRESS(MATCH($N67, Tracker[Anime Name], 0) + 2, 4)), "")</f>
        <v>C</v>
      </c>
      <c r="R67" s="22" t="str">
        <f ca="1">IF($N67&lt;&gt;"", INDIRECT("'Tracker'!"&amp;ADDRESS(MATCH($N67, Tracker[Anime Name], 0) + 2, 5)), "")</f>
        <v>720p</v>
      </c>
      <c r="S67" s="22" t="str">
        <f ca="1">IF($N67&lt;&gt;"", INDIRECT("'Tracker'!"&amp;ADDRESS(MATCH($N67, Tracker[Anime Name], 0) + 2, 6)), "")</f>
        <v>TV</v>
      </c>
      <c r="T67" s="22" t="str">
        <f ca="1">IF($N67&lt;&gt;"", INDIRECT("'Tracker'!"&amp;ADDRESS(MATCH($N67, Tracker[Anime Name], 0) + 2, 7)), "")</f>
        <v>2014A</v>
      </c>
      <c r="U67" s="28" t="str">
        <f ca="1">IF($N67&lt;&gt;"", INDIRECT("'Tracker'!"&amp;ADDRESS(MATCH($N67, Tracker[Anime Name], 0) + 2, 8)), "")</f>
        <v>Vivid, EveTaku</v>
      </c>
      <c r="V67" s="53">
        <f>IF(Completed!$C66&lt;&gt;"",Completed!$C66,"")</f>
        <v>4.5</v>
      </c>
      <c r="W67" s="53">
        <f>IF(Completed!$D66&lt;&gt;"",Completed!$D66,"")</f>
        <v>9</v>
      </c>
      <c r="X67" s="53">
        <f>IF(Completed!$E66&lt;&gt;"",Completed!$E66,"")</f>
        <v>10</v>
      </c>
      <c r="Y67" s="53">
        <f>IF(Completed!$F66&lt;&gt;"",Completed!$F66,"")</f>
        <v>9.5</v>
      </c>
      <c r="Z67" s="64">
        <f>IF(Completed!$G66&lt;&gt;"",Completed!$G66,"")</f>
        <v>8.4723618090452266</v>
      </c>
      <c r="AA67" s="73">
        <f>IF(Completed!$H66&lt;&gt;"",Completed!$H66,"")</f>
        <v>7.9889019673785109</v>
      </c>
      <c r="AB67" s="54">
        <f>IF(Completed!$I66&lt;&gt;"",Completed!$I66,"")</f>
        <v>41762</v>
      </c>
      <c r="AC67" s="54">
        <f>IF(Completed!$J66&lt;&gt;"",Completed!$J66,"")</f>
        <v>41820</v>
      </c>
      <c r="AD67" s="65" t="str">
        <f>IF(Completed!$K66&lt;&gt;"",Completed!$K66,"")</f>
        <v>Kafu Chino</v>
      </c>
      <c r="AE67" s="65" t="str">
        <f>IF(Completed!$L$66&lt;&gt;"",Completed!$L$66,"")</f>
        <v/>
      </c>
    </row>
    <row r="68" spans="1:31">
      <c r="A68" s="92"/>
      <c r="B68" s="93"/>
      <c r="C68" s="93"/>
      <c r="D68" s="93"/>
      <c r="E68" s="93"/>
      <c r="F68" s="93"/>
      <c r="G68" s="93"/>
      <c r="H68" s="93"/>
      <c r="J68" s="21" t="str">
        <f>IF(Backlog!$A$67&lt;&gt;"",Backlog!$A$67,"")</f>
        <v>Zero no Tsukaima Princes no Rondo</v>
      </c>
      <c r="K68" s="28">
        <f>IF(Backlog!$B$67&lt;&gt;"",Backlog!$B$67,"")</f>
        <v>4</v>
      </c>
      <c r="L68" s="29" t="str">
        <f>IF(Backlog!$C$67&lt;&gt;"",Backlog!$C$67,"")</f>
        <v>DL</v>
      </c>
      <c r="N68" s="21" t="str">
        <f>IF(Completed!$A67&lt;&gt;"",Completed!$A67,"")</f>
        <v>Ryuugajou Nanana no Maizoukin</v>
      </c>
      <c r="O68" s="28">
        <f>IF(Completed!$B67&lt;&gt;"",Completed!$B67,"")</f>
        <v>1</v>
      </c>
      <c r="P68" s="28">
        <f ca="1">IF($N68&lt;&gt;"", INDIRECT("'Tracker'!"&amp;ADDRESS(MATCH($N68, Tracker[Anime Name], 0) + 2, 3)), "")</f>
        <v>11</v>
      </c>
      <c r="Q68" s="22" t="str">
        <f ca="1">IF($N68&lt;&gt;"", INDIRECT("'Tracker'!"&amp;ADDRESS(MATCH($N68, Tracker[Anime Name], 0) + 2, 4)), "")</f>
        <v>C</v>
      </c>
      <c r="R68" s="22" t="str">
        <f ca="1">IF($N68&lt;&gt;"", INDIRECT("'Tracker'!"&amp;ADDRESS(MATCH($N68, Tracker[Anime Name], 0) + 2, 5)), "")</f>
        <v>720p</v>
      </c>
      <c r="S68" s="22" t="str">
        <f ca="1">IF($N68&lt;&gt;"", INDIRECT("'Tracker'!"&amp;ADDRESS(MATCH($N68, Tracker[Anime Name], 0) + 2, 6)), "")</f>
        <v>TV</v>
      </c>
      <c r="T68" s="22" t="str">
        <f ca="1">IF($N68&lt;&gt;"", INDIRECT("'Tracker'!"&amp;ADDRESS(MATCH($N68, Tracker[Anime Name], 0) + 2, 7)), "")</f>
        <v>2014A</v>
      </c>
      <c r="U68" s="28" t="str">
        <f ca="1">IF($N68&lt;&gt;"", INDIRECT("'Tracker'!"&amp;ADDRESS(MATCH($N68, Tracker[Anime Name], 0) + 2, 8)), "")</f>
        <v>FFF</v>
      </c>
      <c r="V68" s="53">
        <f>IF(Completed!$C67&lt;&gt;"",Completed!$C67,"")</f>
        <v>9</v>
      </c>
      <c r="W68" s="53">
        <f>IF(Completed!$D67&lt;&gt;"",Completed!$D67,"")</f>
        <v>8.5</v>
      </c>
      <c r="X68" s="53">
        <f>IF(Completed!$E67&lt;&gt;"",Completed!$E67,"")</f>
        <v>5.5</v>
      </c>
      <c r="Y68" s="53">
        <f>IF(Completed!$F67&lt;&gt;"",Completed!$F67,"")</f>
        <v>8.5</v>
      </c>
      <c r="Z68" s="64">
        <f>IF(Completed!$G67&lt;&gt;"",Completed!$G67,"")</f>
        <v>8.4484924623115578</v>
      </c>
      <c r="AA68" s="73">
        <f>IF(Completed!$H67&lt;&gt;"",Completed!$H67,"")</f>
        <v>7.9569530855893724</v>
      </c>
      <c r="AB68" s="54">
        <f>IF(Completed!$I67&lt;&gt;"",Completed!$I67,"")</f>
        <v>41786</v>
      </c>
      <c r="AC68" s="54">
        <f>IF(Completed!$J67&lt;&gt;"",Completed!$J67,"")</f>
        <v>41812</v>
      </c>
      <c r="AD68" s="65" t="str">
        <f>IF(Completed!$K67&lt;&gt;"",Completed!$K67,"")</f>
        <v>Ryuugajou Nanana</v>
      </c>
      <c r="AE68" s="65" t="str">
        <f>IF(Completed!$L$67&lt;&gt;"",Completed!$L$67,"")</f>
        <v/>
      </c>
    </row>
    <row r="69" spans="1:31">
      <c r="A69" s="92"/>
      <c r="B69" s="93"/>
      <c r="C69" s="93"/>
      <c r="D69" s="93"/>
      <c r="E69" s="93"/>
      <c r="F69" s="93"/>
      <c r="G69" s="93"/>
      <c r="H69" s="93"/>
      <c r="J69" s="21" t="str">
        <f>IF(Backlog!$A$68&lt;&gt;"",Backlog!$A$68,"")</f>
        <v>Card Captor Sakura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IF(Completed!$A68&lt;&gt;"",Completed!$A68,"")</f>
        <v>Sakurasou no Pet Na Kanojo</v>
      </c>
      <c r="O69" s="28">
        <f>IF(Completed!$B68&lt;&gt;"",Completed!$B68,"")</f>
        <v>1</v>
      </c>
      <c r="P69" s="28">
        <f ca="1">IF($N69&lt;&gt;"", INDIRECT("'Tracker'!"&amp;ADDRESS(MATCH($N69, Tracker[Anime Name], 0) + 2, 3)), "")</f>
        <v>24</v>
      </c>
      <c r="Q69" s="22" t="str">
        <f ca="1">IF($N69&lt;&gt;"", INDIRECT("'Tracker'!"&amp;ADDRESS(MATCH($N69, Tracker[Anime Name], 0) + 2, 4)), "")</f>
        <v>C</v>
      </c>
      <c r="R69" s="22" t="str">
        <f ca="1">IF($N69&lt;&gt;"", INDIRECT("'Tracker'!"&amp;ADDRESS(MATCH($N69, Tracker[Anime Name], 0) + 2, 5)), "")</f>
        <v>720p</v>
      </c>
      <c r="S69" s="22" t="str">
        <f ca="1">IF($N69&lt;&gt;"", INDIRECT("'Tracker'!"&amp;ADDRESS(MATCH($N69, Tracker[Anime Name], 0) + 2, 6)), "")</f>
        <v>BD</v>
      </c>
      <c r="T69" s="22" t="str">
        <f ca="1">IF($N69&lt;&gt;"", INDIRECT("'Tracker'!"&amp;ADDRESS(MATCH($N69, Tracker[Anime Name], 0) + 2, 7)), "")</f>
        <v>2012C</v>
      </c>
      <c r="U69" s="28" t="str">
        <f ca="1">IF($N69&lt;&gt;"", INDIRECT("'Tracker'!"&amp;ADDRESS(MATCH($N69, Tracker[Anime Name], 0) + 2, 8)), "")</f>
        <v>Coalgirls, EveTaku</v>
      </c>
      <c r="V69" s="53">
        <f>IF(Completed!$C68&lt;&gt;"",Completed!$C68,"")</f>
        <v>8.5</v>
      </c>
      <c r="W69" s="53">
        <f>IF(Completed!$D68&lt;&gt;"",Completed!$D68,"")</f>
        <v>8</v>
      </c>
      <c r="X69" s="53">
        <f>IF(Completed!$E68&lt;&gt;"",Completed!$E68,"")</f>
        <v>5</v>
      </c>
      <c r="Y69" s="53">
        <f>IF(Completed!$F68&lt;&gt;"",Completed!$F68,"")</f>
        <v>9</v>
      </c>
      <c r="Z69" s="64">
        <f>IF(Completed!$G68&lt;&gt;"",Completed!$G68,"")</f>
        <v>8.4484924623115578</v>
      </c>
      <c r="AA69" s="73">
        <f>IF(Completed!$H68&lt;&gt;"",Completed!$H68,"")</f>
        <v>7.9569530855893724</v>
      </c>
      <c r="AB69" s="54">
        <f>IF(Completed!$I68&lt;&gt;"",Completed!$I68,"")</f>
        <v>41261</v>
      </c>
      <c r="AC69" s="54">
        <f>IF(Completed!$J68&lt;&gt;"",Completed!$J68,"")</f>
        <v>41359</v>
      </c>
      <c r="AD69" s="65" t="str">
        <f>IF(Completed!$K68&lt;&gt;"",Completed!$K68,"")</f>
        <v>Shiina Mashiro</v>
      </c>
      <c r="AE69" s="65" t="str">
        <f>IF(Completed!$L$68&lt;&gt;"",Completed!$L$68,"")</f>
        <v/>
      </c>
    </row>
    <row r="70" spans="1:31">
      <c r="A70" s="92"/>
      <c r="B70" s="93"/>
      <c r="C70" s="93"/>
      <c r="D70" s="93"/>
      <c r="E70" s="93"/>
      <c r="F70" s="93"/>
      <c r="G70" s="93"/>
      <c r="H70" s="93"/>
      <c r="J70" s="21" t="str">
        <f>IF(Backlog!$A$69&lt;&gt;"",Backlog!$A$69,"")</f>
        <v>Hanayamata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IF(Completed!$A69&lt;&gt;"",Completed!$A69,"")</f>
        <v>Noragami</v>
      </c>
      <c r="O70" s="28">
        <f>IF(Completed!$B69&lt;&gt;"",Completed!$B69,"")</f>
        <v>1</v>
      </c>
      <c r="P70" s="28">
        <f ca="1">IF($N70&lt;&gt;"", INDIRECT("'Tracker'!"&amp;ADDRESS(MATCH($N70, Tracker[Anime Name], 0) + 2, 3)), "")</f>
        <v>12</v>
      </c>
      <c r="Q70" s="22" t="str">
        <f ca="1">IF($N70&lt;&gt;"", INDIRECT("'Tracker'!"&amp;ADDRESS(MATCH($N70, Tracker[Anime Name], 0) + 2, 4)), "")</f>
        <v>C</v>
      </c>
      <c r="R70" s="22" t="str">
        <f ca="1">IF($N70&lt;&gt;"", INDIRECT("'Tracker'!"&amp;ADDRESS(MATCH($N70, Tracker[Anime Name], 0) + 2, 5)), "")</f>
        <v>720p</v>
      </c>
      <c r="S70" s="22" t="str">
        <f ca="1">IF($N70&lt;&gt;"", INDIRECT("'Tracker'!"&amp;ADDRESS(MATCH($N70, Tracker[Anime Name], 0) + 2, 6)), "")</f>
        <v>TV</v>
      </c>
      <c r="T70" s="22" t="str">
        <f ca="1">IF($N70&lt;&gt;"", INDIRECT("'Tracker'!"&amp;ADDRESS(MATCH($N70, Tracker[Anime Name], 0) + 2, 7)), "")</f>
        <v>2013D</v>
      </c>
      <c r="U70" s="28" t="str">
        <f ca="1">IF($N70&lt;&gt;"", INDIRECT("'Tracker'!"&amp;ADDRESS(MATCH($N70, Tracker[Anime Name], 0) + 2, 8)), "")</f>
        <v>FFF</v>
      </c>
      <c r="V70" s="53">
        <f>IF(Completed!$C69&lt;&gt;"",Completed!$C69,"")</f>
        <v>9</v>
      </c>
      <c r="W70" s="53">
        <f>IF(Completed!$D69&lt;&gt;"",Completed!$D69,"")</f>
        <v>8.5</v>
      </c>
      <c r="X70" s="53">
        <f>IF(Completed!$E69&lt;&gt;"",Completed!$E69,"")</f>
        <v>5</v>
      </c>
      <c r="Y70" s="53">
        <f>IF(Completed!$F69&lt;&gt;"",Completed!$F69,"")</f>
        <v>8.5</v>
      </c>
      <c r="Z70" s="64">
        <f>IF(Completed!$G69&lt;&gt;"",Completed!$G69,"")</f>
        <v>8.424623115577889</v>
      </c>
      <c r="AA70" s="73">
        <f>IF(Completed!$H69&lt;&gt;"",Completed!$H69,"")</f>
        <v>7.9250042038002348</v>
      </c>
      <c r="AB70" s="54">
        <f>IF(Completed!$I69&lt;&gt;"",Completed!$I69,"")</f>
        <v>41647</v>
      </c>
      <c r="AC70" s="54">
        <f>IF(Completed!$J69&lt;&gt;"",Completed!$J69,"")</f>
        <v>41726</v>
      </c>
      <c r="AD70" s="65" t="str">
        <f>IF(Completed!$K69&lt;&gt;"",Completed!$K69,"")</f>
        <v>Iki Hiyori</v>
      </c>
      <c r="AE70" s="65" t="str">
        <f>IF(Completed!$L$69&lt;&gt;"",Completed!$L$69,"")</f>
        <v/>
      </c>
    </row>
    <row r="71" spans="1:31">
      <c r="A71" s="92"/>
      <c r="B71" s="93"/>
      <c r="C71" s="93"/>
      <c r="D71" s="93"/>
      <c r="E71" s="93"/>
      <c r="F71" s="93"/>
      <c r="G71" s="93"/>
      <c r="H71" s="93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IF(Completed!$A70&lt;&gt;"",Completed!$A70,"")</f>
        <v>Captain Earth</v>
      </c>
      <c r="O71" s="28">
        <f>IF(Completed!$B70&lt;&gt;"",Completed!$B70,"")</f>
        <v>1</v>
      </c>
      <c r="P71" s="28">
        <f ca="1">IF($N71&lt;&gt;"", INDIRECT("'Tracker'!"&amp;ADDRESS(MATCH($N71, Tracker[Anime Name], 0) + 2, 3)), "")</f>
        <v>25</v>
      </c>
      <c r="Q71" s="22" t="str">
        <f ca="1">IF($N71&lt;&gt;"", INDIRECT("'Tracker'!"&amp;ADDRESS(MATCH($N71, Tracker[Anime Name], 0) + 2, 4)), "")</f>
        <v>C</v>
      </c>
      <c r="R71" s="22" t="str">
        <f ca="1">IF($N71&lt;&gt;"", INDIRECT("'Tracker'!"&amp;ADDRESS(MATCH($N71, Tracker[Anime Name], 0) + 2, 5)), "")</f>
        <v>720p</v>
      </c>
      <c r="S71" s="22" t="str">
        <f ca="1">IF($N71&lt;&gt;"", INDIRECT("'Tracker'!"&amp;ADDRESS(MATCH($N71, Tracker[Anime Name], 0) + 2, 6)), "")</f>
        <v>TV</v>
      </c>
      <c r="T71" s="22" t="str">
        <f ca="1">IF($N71&lt;&gt;"", INDIRECT("'Tracker'!"&amp;ADDRESS(MATCH($N71, Tracker[Anime Name], 0) + 2, 7)), "")</f>
        <v>2014A</v>
      </c>
      <c r="U71" s="28" t="str">
        <f ca="1">IF($N71&lt;&gt;"", INDIRECT("'Tracker'!"&amp;ADDRESS(MATCH($N71, Tracker[Anime Name], 0) + 2, 8)), "")</f>
        <v>WhyNot</v>
      </c>
      <c r="V71" s="53">
        <f>IF(Completed!$C70&lt;&gt;"",Completed!$C70,"")</f>
        <v>7.5</v>
      </c>
      <c r="W71" s="53">
        <f>IF(Completed!$D70&lt;&gt;"",Completed!$D70,"")</f>
        <v>9.5</v>
      </c>
      <c r="X71" s="53">
        <f>IF(Completed!$E70&lt;&gt;"",Completed!$E70,"")</f>
        <v>5</v>
      </c>
      <c r="Y71" s="53">
        <f>IF(Completed!$F70&lt;&gt;"",Completed!$F70,"")</f>
        <v>8.5</v>
      </c>
      <c r="Z71" s="64">
        <f>IF(Completed!$G70&lt;&gt;"",Completed!$G70,"")</f>
        <v>8.4183417085427124</v>
      </c>
      <c r="AA71" s="73">
        <f>IF(Completed!$H70&lt;&gt;"",Completed!$H70,"")</f>
        <v>7.9165966033294071</v>
      </c>
      <c r="AB71" s="54">
        <f>IF(Completed!$I70&lt;&gt;"",Completed!$I70,"")</f>
        <v>41751</v>
      </c>
      <c r="AC71" s="54">
        <f>IF(Completed!$J70&lt;&gt;"",Completed!$J70,"")</f>
        <v>42020</v>
      </c>
      <c r="AD71" s="65" t="str">
        <f>IF(Completed!$K70&lt;&gt;"",Completed!$K70,"")</f>
        <v>Yomatsuri Akari</v>
      </c>
      <c r="AE71" s="65" t="str">
        <f>IF(Completed!$L$70&lt;&gt;"",Completed!$L$70,"")</f>
        <v>Would have been amazing had the story been a little better written</v>
      </c>
    </row>
    <row r="72" spans="1:31">
      <c r="A72" s="92"/>
      <c r="B72" s="93"/>
      <c r="C72" s="93"/>
      <c r="D72" s="93"/>
      <c r="E72" s="93"/>
      <c r="F72" s="93"/>
      <c r="G72" s="93"/>
      <c r="H72" s="93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IF(Completed!$A71&lt;&gt;"",Completed!$A71,"")</f>
        <v>K-On!!</v>
      </c>
      <c r="O72" s="28">
        <f>IF(Completed!$B71&lt;&gt;"",Completed!$B71,"")</f>
        <v>2</v>
      </c>
      <c r="P72" s="28">
        <f ca="1">IF($N72&lt;&gt;"", INDIRECT("'Tracker'!"&amp;ADDRESS(MATCH($N72, Tracker[Anime Name], 0) + 2, 3)), "")</f>
        <v>24</v>
      </c>
      <c r="Q72" s="22" t="str">
        <f ca="1">IF($N72&lt;&gt;"", INDIRECT("'Tracker'!"&amp;ADDRESS(MATCH($N72, Tracker[Anime Name], 0) + 2, 4)), "")</f>
        <v>C</v>
      </c>
      <c r="R72" s="22" t="str">
        <f ca="1">IF($N72&lt;&gt;"", INDIRECT("'Tracker'!"&amp;ADDRESS(MATCH($N72, Tracker[Anime Name], 0) + 2, 5)), "")</f>
        <v>720p</v>
      </c>
      <c r="S72" s="22" t="str">
        <f ca="1">IF($N72&lt;&gt;"", INDIRECT("'Tracker'!"&amp;ADDRESS(MATCH($N72, Tracker[Anime Name], 0) + 2, 6)), "")</f>
        <v>BD</v>
      </c>
      <c r="T72" s="22" t="str">
        <f ca="1">IF($N72&lt;&gt;"", INDIRECT("'Tracker'!"&amp;ADDRESS(MATCH($N72, Tracker[Anime Name], 0) + 2, 7)), "")</f>
        <v>2010A</v>
      </c>
      <c r="U72" s="28" t="str">
        <f ca="1">IF($N72&lt;&gt;"", INDIRECT("'Tracker'!"&amp;ADDRESS(MATCH($N72, Tracker[Anime Name], 0) + 2, 8)), "")</f>
        <v>Elysium</v>
      </c>
      <c r="V72" s="53">
        <f>IF(Completed!$C71&lt;&gt;"",Completed!$C71,"")</f>
        <v>6.5</v>
      </c>
      <c r="W72" s="53">
        <f>IF(Completed!$D71&lt;&gt;"",Completed!$D71,"")</f>
        <v>7.5</v>
      </c>
      <c r="X72" s="53">
        <f>IF(Completed!$E71&lt;&gt;"",Completed!$E71,"")</f>
        <v>9</v>
      </c>
      <c r="Y72" s="53">
        <f>IF(Completed!$F71&lt;&gt;"",Completed!$F71,"")</f>
        <v>9.5</v>
      </c>
      <c r="Z72" s="64">
        <f>IF(Completed!$G71&lt;&gt;"",Completed!$G71,"")</f>
        <v>8.3881909547738704</v>
      </c>
      <c r="AA72" s="73">
        <f>IF(Completed!$H71&lt;&gt;"",Completed!$H71,"")</f>
        <v>7.8762401210694479</v>
      </c>
      <c r="AB72" s="54">
        <f>IF(Completed!$I71&lt;&gt;"",Completed!$I71,"")</f>
        <v>41338</v>
      </c>
      <c r="AC72" s="54">
        <f>IF(Completed!$J71&lt;&gt;"",Completed!$J71,"")</f>
        <v>41340</v>
      </c>
      <c r="AD72" s="65" t="str">
        <f>IF(Completed!$K71&lt;&gt;"",Completed!$K71,"")</f>
        <v>Nakano Azusa</v>
      </c>
      <c r="AE72" s="65" t="str">
        <f>IF(Completed!$L$71&lt;&gt;"",Completed!$L$71,"")</f>
        <v>Deserves more than what it gets called online</v>
      </c>
    </row>
    <row r="73" spans="1:31">
      <c r="A73" s="92"/>
      <c r="B73" s="93"/>
      <c r="C73" s="93"/>
      <c r="D73" s="93"/>
      <c r="E73" s="93"/>
      <c r="F73" s="93"/>
      <c r="G73" s="93"/>
      <c r="H73" s="93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IF(Completed!$A72&lt;&gt;"",Completed!$A72,"")</f>
        <v>Kyoukai no Kanata</v>
      </c>
      <c r="O73" s="28">
        <f>IF(Completed!$B72&lt;&gt;"",Completed!$B72,"")</f>
        <v>1</v>
      </c>
      <c r="P73" s="28">
        <f ca="1">IF($N73&lt;&gt;"", INDIRECT("'Tracker'!"&amp;ADDRESS(MATCH($N73, Tracker[Anime Name], 0) + 2, 3)), "")</f>
        <v>12</v>
      </c>
      <c r="Q73" s="22" t="str">
        <f ca="1">IF($N73&lt;&gt;"", INDIRECT("'Tracker'!"&amp;ADDRESS(MATCH($N73, Tracker[Anime Name], 0) + 2, 4)), "")</f>
        <v>C</v>
      </c>
      <c r="R73" s="22" t="str">
        <f ca="1">IF($N73&lt;&gt;"", INDIRECT("'Tracker'!"&amp;ADDRESS(MATCH($N73, Tracker[Anime Name], 0) + 2, 5)), "")</f>
        <v>720p</v>
      </c>
      <c r="S73" s="22" t="str">
        <f ca="1">IF($N73&lt;&gt;"", INDIRECT("'Tracker'!"&amp;ADDRESS(MATCH($N73, Tracker[Anime Name], 0) + 2, 6)), "")</f>
        <v>TV</v>
      </c>
      <c r="T73" s="22" t="str">
        <f ca="1">IF($N73&lt;&gt;"", INDIRECT("'Tracker'!"&amp;ADDRESS(MATCH($N73, Tracker[Anime Name], 0) + 2, 7)), "")</f>
        <v>2013C</v>
      </c>
      <c r="U73" s="28" t="str">
        <f ca="1">IF($N73&lt;&gt;"", INDIRECT("'Tracker'!"&amp;ADDRESS(MATCH($N73, Tracker[Anime Name], 0) + 2, 8)), "")</f>
        <v>UTW</v>
      </c>
      <c r="V73" s="53">
        <f>IF(Completed!$C72&lt;&gt;"",Completed!$C72,"")</f>
        <v>8.5</v>
      </c>
      <c r="W73" s="53">
        <f>IF(Completed!$D72&lt;&gt;"",Completed!$D72,"")</f>
        <v>8.5</v>
      </c>
      <c r="X73" s="53">
        <f>IF(Completed!$E72&lt;&gt;"",Completed!$E72,"")</f>
        <v>6</v>
      </c>
      <c r="Y73" s="53">
        <f>IF(Completed!$F72&lt;&gt;"",Completed!$F72,"")</f>
        <v>8.5</v>
      </c>
      <c r="Z73" s="64">
        <f>IF(Completed!$G72&lt;&gt;"",Completed!$G72,"")</f>
        <v>8.3806532663316595</v>
      </c>
      <c r="AA73" s="73">
        <f>IF(Completed!$H72&lt;&gt;"",Completed!$H72,"")</f>
        <v>7.8661510005044573</v>
      </c>
      <c r="AB73" s="54">
        <f>IF(Completed!$I72&lt;&gt;"",Completed!$I72,"")</f>
        <v>41550</v>
      </c>
      <c r="AC73" s="54">
        <f>IF(Completed!$J72&lt;&gt;"",Completed!$J72,"")</f>
        <v>41628</v>
      </c>
      <c r="AD73" s="65" t="str">
        <f>IF(Completed!$K72&lt;&gt;"",Completed!$K72,"")</f>
        <v>Ai</v>
      </c>
      <c r="AE73" s="65" t="str">
        <f>IF(Completed!$L$72&lt;&gt;"",Completed!$L$72,"")</f>
        <v>KyoAni action scenes are cool</v>
      </c>
    </row>
    <row r="74" spans="1:31">
      <c r="A74" s="92"/>
      <c r="B74" s="93"/>
      <c r="C74" s="93"/>
      <c r="D74" s="93"/>
      <c r="E74" s="93"/>
      <c r="F74" s="93"/>
      <c r="G74" s="93"/>
      <c r="H74" s="93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IF(Completed!$A73&lt;&gt;"",Completed!$A73,"")</f>
        <v>Lucky ★ Star</v>
      </c>
      <c r="O74" s="28">
        <f>IF(Completed!$B73&lt;&gt;"",Completed!$B73,"")</f>
        <v>1</v>
      </c>
      <c r="P74" s="28">
        <f ca="1">IF($N74&lt;&gt;"", INDIRECT("'Tracker'!"&amp;ADDRESS(MATCH($N74, Tracker[Anime Name], 0) + 2, 3)), "")</f>
        <v>24</v>
      </c>
      <c r="Q74" s="22" t="str">
        <f ca="1">IF($N74&lt;&gt;"", INDIRECT("'Tracker'!"&amp;ADDRESS(MATCH($N74, Tracker[Anime Name], 0) + 2, 4)), "")</f>
        <v>C</v>
      </c>
      <c r="R74" s="22" t="str">
        <f ca="1">IF($N74&lt;&gt;"", INDIRECT("'Tracker'!"&amp;ADDRESS(MATCH($N74, Tracker[Anime Name], 0) + 2, 5)), "")</f>
        <v>720p</v>
      </c>
      <c r="S74" s="22" t="str">
        <f ca="1">IF($N74&lt;&gt;"", INDIRECT("'Tracker'!"&amp;ADDRESS(MATCH($N74, Tracker[Anime Name], 0) + 2, 6)), "")</f>
        <v>BD</v>
      </c>
      <c r="T74" s="22" t="str">
        <f ca="1">IF($N74&lt;&gt;"", INDIRECT("'Tracker'!"&amp;ADDRESS(MATCH($N74, Tracker[Anime Name], 0) + 2, 7)), "")</f>
        <v>2007A</v>
      </c>
      <c r="U74" s="28" t="str">
        <f ca="1">IF($N74&lt;&gt;"", INDIRECT("'Tracker'!"&amp;ADDRESS(MATCH($N74, Tracker[Anime Name], 0) + 2, 8)), "")</f>
        <v>Doki</v>
      </c>
      <c r="V74" s="53">
        <f>IF(Completed!$C73&lt;&gt;"",Completed!$C73,"")</f>
        <v>4</v>
      </c>
      <c r="W74" s="53">
        <f>IF(Completed!$D73&lt;&gt;"",Completed!$D73,"")</f>
        <v>9</v>
      </c>
      <c r="X74" s="53">
        <f>IF(Completed!$E73&lt;&gt;"",Completed!$E73,"")</f>
        <v>10</v>
      </c>
      <c r="Y74" s="53">
        <f>IF(Completed!$F73&lt;&gt;"",Completed!$F73,"")</f>
        <v>9.5</v>
      </c>
      <c r="Z74" s="64">
        <f>IF(Completed!$G73&lt;&gt;"",Completed!$G73,"")</f>
        <v>8.3806532663316595</v>
      </c>
      <c r="AA74" s="73">
        <f>IF(Completed!$H73&lt;&gt;"",Completed!$H73,"")</f>
        <v>7.8661510005044573</v>
      </c>
      <c r="AB74" s="54">
        <f>IF(Completed!$I73&lt;&gt;"",Completed!$I73,"")</f>
        <v>41300</v>
      </c>
      <c r="AC74" s="54">
        <f>IF(Completed!$J73&lt;&gt;"",Completed!$J73,"")</f>
        <v>41302</v>
      </c>
      <c r="AD74" s="65" t="str">
        <f>IF(Completed!$K73&lt;&gt;"",Completed!$K73,"")</f>
        <v>Hiiragi Kagami</v>
      </c>
      <c r="AE74" s="65" t="str">
        <f>IF(Completed!$L$73&lt;&gt;"",Completed!$L$73,"")</f>
        <v>Much better than I thought it would be</v>
      </c>
    </row>
    <row r="75" spans="1:31">
      <c r="A75" s="92"/>
      <c r="B75" s="93"/>
      <c r="C75" s="93"/>
      <c r="D75" s="93"/>
      <c r="E75" s="93"/>
      <c r="F75" s="93"/>
      <c r="G75" s="93"/>
      <c r="H75" s="93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IF(Completed!$A74&lt;&gt;"",Completed!$A74,"")</f>
        <v>Puella Magi Madoka Magica</v>
      </c>
      <c r="O75" s="28">
        <f>IF(Completed!$B74&lt;&gt;"",Completed!$B74,"")</f>
        <v>1</v>
      </c>
      <c r="P75" s="28">
        <f ca="1">IF($N75&lt;&gt;"", INDIRECT("'Tracker'!"&amp;ADDRESS(MATCH($N75, Tracker[Anime Name], 0) + 2, 3)), "")</f>
        <v>12</v>
      </c>
      <c r="Q75" s="22" t="str">
        <f ca="1">IF($N75&lt;&gt;"", INDIRECT("'Tracker'!"&amp;ADDRESS(MATCH($N75, Tracker[Anime Name], 0) + 2, 4)), "")</f>
        <v>C</v>
      </c>
      <c r="R75" s="22" t="str">
        <f ca="1">IF($N75&lt;&gt;"", INDIRECT("'Tracker'!"&amp;ADDRESS(MATCH($N75, Tracker[Anime Name], 0) + 2, 5)), "")</f>
        <v>720p</v>
      </c>
      <c r="S75" s="22" t="str">
        <f ca="1">IF($N75&lt;&gt;"", INDIRECT("'Tracker'!"&amp;ADDRESS(MATCH($N75, Tracker[Anime Name], 0) + 2, 6)), "")</f>
        <v>BD</v>
      </c>
      <c r="T75" s="22" t="str">
        <f ca="1">IF($N75&lt;&gt;"", INDIRECT("'Tracker'!"&amp;ADDRESS(MATCH($N75, Tracker[Anime Name], 0) + 2, 7)), "")</f>
        <v>2010D</v>
      </c>
      <c r="U75" s="28" t="str">
        <f ca="1">IF($N75&lt;&gt;"", INDIRECT("'Tracker'!"&amp;ADDRESS(MATCH($N75, Tracker[Anime Name], 0) + 2, 8)), "")</f>
        <v>Doki</v>
      </c>
      <c r="V75" s="53">
        <f>IF(Completed!$C74&lt;&gt;"",Completed!$C74,"")</f>
        <v>9</v>
      </c>
      <c r="W75" s="53">
        <f>IF(Completed!$D74&lt;&gt;"",Completed!$D74,"")</f>
        <v>8</v>
      </c>
      <c r="X75" s="53">
        <f>IF(Completed!$E74&lt;&gt;"",Completed!$E74,"")</f>
        <v>6.5</v>
      </c>
      <c r="Y75" s="53">
        <f>IF(Completed!$F74&lt;&gt;"",Completed!$F74,"")</f>
        <v>8.5</v>
      </c>
      <c r="Z75" s="64">
        <f>IF(Completed!$G74&lt;&gt;"",Completed!$G74,"")</f>
        <v>8.3618090452261313</v>
      </c>
      <c r="AA75" s="73">
        <f>IF(Completed!$H74&lt;&gt;"",Completed!$H74,"")</f>
        <v>7.8409281990919792</v>
      </c>
      <c r="AB75" s="54">
        <f>IF(Completed!$I74&lt;&gt;"",Completed!$I74,"")</f>
        <v>41255</v>
      </c>
      <c r="AC75" s="54">
        <f>IF(Completed!$J74&lt;&gt;"",Completed!$J74,"")</f>
        <v>41256</v>
      </c>
      <c r="AD75" s="65" t="str">
        <f>IF(Completed!$K74&lt;&gt;"",Completed!$K74,"")</f>
        <v>Akemi Homura</v>
      </c>
      <c r="AE75" s="65" t="str">
        <f>IF(Completed!$L$74&lt;&gt;"",Completed!$L$74,"")</f>
        <v/>
      </c>
    </row>
    <row r="76" spans="1:31">
      <c r="A76" s="92"/>
      <c r="B76" s="93"/>
      <c r="C76" s="93"/>
      <c r="D76" s="93"/>
      <c r="E76" s="93"/>
      <c r="F76" s="93"/>
      <c r="G76" s="93"/>
      <c r="H76" s="93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IF(Completed!$A75&lt;&gt;"",Completed!$A75,"")</f>
        <v>Ore, Twintail ni Narimasu</v>
      </c>
      <c r="O76" s="28">
        <f>IF(Completed!$B75&lt;&gt;"",Completed!$B75,"")</f>
        <v>1</v>
      </c>
      <c r="P76" s="28">
        <f ca="1">IF($N76&lt;&gt;"", INDIRECT("'Tracker'!"&amp;ADDRESS(MATCH($N76, Tracker[Anime Name], 0) + 2, 3)), "")</f>
        <v>12</v>
      </c>
      <c r="Q76" s="22" t="str">
        <f ca="1">IF($N76&lt;&gt;"", INDIRECT("'Tracker'!"&amp;ADDRESS(MATCH($N76, Tracker[Anime Name], 0) + 2, 4)), "")</f>
        <v>C</v>
      </c>
      <c r="R76" s="22" t="str">
        <f ca="1">IF($N76&lt;&gt;"", INDIRECT("'Tracker'!"&amp;ADDRESS(MATCH($N76, Tracker[Anime Name], 0) + 2, 5)), "")</f>
        <v>720p</v>
      </c>
      <c r="S76" s="22" t="str">
        <f ca="1">IF($N76&lt;&gt;"", INDIRECT("'Tracker'!"&amp;ADDRESS(MATCH($N76, Tracker[Anime Name], 0) + 2, 6)), "")</f>
        <v>BD</v>
      </c>
      <c r="T76" s="22" t="str">
        <f ca="1">IF($N76&lt;&gt;"", INDIRECT("'Tracker'!"&amp;ADDRESS(MATCH($N76, Tracker[Anime Name], 0) + 2, 7)), "")</f>
        <v>2014C</v>
      </c>
      <c r="U76" s="28" t="str">
        <f ca="1">IF($N76&lt;&gt;"", INDIRECT("'Tracker'!"&amp;ADDRESS(MATCH($N76, Tracker[Anime Name], 0) + 2, 8)), "")</f>
        <v>Doki</v>
      </c>
      <c r="V76" s="53">
        <f>IF(Completed!$C75&lt;&gt;"",Completed!$C75,"")</f>
        <v>7</v>
      </c>
      <c r="W76" s="53">
        <f>IF(Completed!$D75&lt;&gt;"",Completed!$D75,"")</f>
        <v>9</v>
      </c>
      <c r="X76" s="53">
        <f>IF(Completed!$E75&lt;&gt;"",Completed!$E75,"")</f>
        <v>8.5</v>
      </c>
      <c r="Y76" s="53">
        <f>IF(Completed!$F75&lt;&gt;"",Completed!$F75,"")</f>
        <v>8.5</v>
      </c>
      <c r="Z76" s="64">
        <f>IF(Completed!$G75&lt;&gt;"",Completed!$G75,"")</f>
        <v>8.3592964824120592</v>
      </c>
      <c r="AA76" s="73">
        <f>IF(Completed!$H75&lt;&gt;"",Completed!$H75,"")</f>
        <v>7.8375651589036472</v>
      </c>
      <c r="AB76" s="54">
        <f>IF(Completed!$I75&lt;&gt;"",Completed!$I75,"")</f>
        <v>42023</v>
      </c>
      <c r="AC76" s="54">
        <f>IF(Completed!$J75&lt;&gt;"",Completed!$J75,"")</f>
        <v>42025</v>
      </c>
      <c r="AD76" s="65" t="str">
        <f>IF(Completed!$K75&lt;&gt;"",Completed!$K75,"")</f>
        <v>Mitsuka Souji</v>
      </c>
      <c r="AE76" s="65" t="str">
        <f>IF(Completed!$L$75&lt;&gt;"",Completed!$L$75,"")</f>
        <v>Time for twintails</v>
      </c>
    </row>
    <row r="77" spans="1:31">
      <c r="A77" s="92"/>
      <c r="B77" s="93"/>
      <c r="C77" s="93"/>
      <c r="D77" s="93"/>
      <c r="E77" s="93"/>
      <c r="F77" s="93"/>
      <c r="G77" s="93"/>
      <c r="H77" s="93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IF(Completed!$A76&lt;&gt;"",Completed!$A76,"")</f>
        <v>Maoyuu Maou Yuusha</v>
      </c>
      <c r="O77" s="28">
        <f>IF(Completed!$B76&lt;&gt;"",Completed!$B76,"")</f>
        <v>1</v>
      </c>
      <c r="P77" s="28">
        <f ca="1">IF($N77&lt;&gt;"", INDIRECT("'Tracker'!"&amp;ADDRESS(MATCH($N77, Tracker[Anime Name], 0) + 2, 3)), "")</f>
        <v>12</v>
      </c>
      <c r="Q77" s="22" t="str">
        <f ca="1">IF($N77&lt;&gt;"", INDIRECT("'Tracker'!"&amp;ADDRESS(MATCH($N77, Tracker[Anime Name], 0) + 2, 4)), "")</f>
        <v>C</v>
      </c>
      <c r="R77" s="22" t="str">
        <f ca="1">IF($N77&lt;&gt;"", INDIRECT("'Tracker'!"&amp;ADDRESS(MATCH($N77, Tracker[Anime Name], 0) + 2, 5)), "")</f>
        <v>720p</v>
      </c>
      <c r="S77" s="22" t="str">
        <f ca="1">IF($N77&lt;&gt;"", INDIRECT("'Tracker'!"&amp;ADDRESS(MATCH($N77, Tracker[Anime Name], 0) + 2, 6)), "")</f>
        <v>BD</v>
      </c>
      <c r="T77" s="22" t="str">
        <f ca="1">IF($N77&lt;&gt;"", INDIRECT("'Tracker'!"&amp;ADDRESS(MATCH($N77, Tracker[Anime Name], 0) + 2, 7)), "")</f>
        <v>2012D</v>
      </c>
      <c r="U77" s="28" t="str">
        <f ca="1">IF($N77&lt;&gt;"", INDIRECT("'Tracker'!"&amp;ADDRESS(MATCH($N77, Tracker[Anime Name], 0) + 2, 8)), "")</f>
        <v>AnimeNOW</v>
      </c>
      <c r="V77" s="53">
        <f>IF(Completed!$C76&lt;&gt;"",Completed!$C76,"")</f>
        <v>9</v>
      </c>
      <c r="W77" s="53">
        <f>IF(Completed!$D76&lt;&gt;"",Completed!$D76,"")</f>
        <v>8.5</v>
      </c>
      <c r="X77" s="53">
        <f>IF(Completed!$E76&lt;&gt;"",Completed!$E76,"")</f>
        <v>3</v>
      </c>
      <c r="Y77" s="53">
        <f>IF(Completed!$F76&lt;&gt;"",Completed!$F76,"")</f>
        <v>8.5</v>
      </c>
      <c r="Z77" s="64">
        <f>IF(Completed!$G76&lt;&gt;"",Completed!$G76,"")</f>
        <v>8.3291457286432156</v>
      </c>
      <c r="AA77" s="73">
        <f>IF(Completed!$H76&lt;&gt;"",Completed!$H76,"")</f>
        <v>7.7972086766436846</v>
      </c>
      <c r="AB77" s="54">
        <f>IF(Completed!$I76&lt;&gt;"",Completed!$I76,"")</f>
        <v>41411</v>
      </c>
      <c r="AC77" s="54">
        <f>IF(Completed!$J76&lt;&gt;"",Completed!$J76,"")</f>
        <v>41413</v>
      </c>
      <c r="AD77" s="65" t="str">
        <f>IF(Completed!$K76&lt;&gt;"",Completed!$K76,"")</f>
        <v>Onna Mahoutsukai</v>
      </c>
      <c r="AE77" s="65" t="str">
        <f>IF(Completed!$L$76&lt;&gt;"",Completed!$L$76,"")</f>
        <v/>
      </c>
    </row>
    <row r="78" spans="1:31">
      <c r="A78" s="92"/>
      <c r="B78" s="93"/>
      <c r="C78" s="93"/>
      <c r="D78" s="93"/>
      <c r="E78" s="93"/>
      <c r="F78" s="93"/>
      <c r="G78" s="93"/>
      <c r="H78" s="93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IF(Completed!$A77&lt;&gt;"",Completed!$A77,"")</f>
        <v>Boku wa Tomodachi ga Sukunai NEXT</v>
      </c>
      <c r="O78" s="28">
        <f>IF(Completed!$B77&lt;&gt;"",Completed!$B77,"")</f>
        <v>2</v>
      </c>
      <c r="P78" s="28">
        <f ca="1">IF($N78&lt;&gt;"", INDIRECT("'Tracker'!"&amp;ADDRESS(MATCH($N78, Tracker[Anime Name], 0) + 2, 3)), "")</f>
        <v>12</v>
      </c>
      <c r="Q78" s="22" t="str">
        <f ca="1">IF($N78&lt;&gt;"", INDIRECT("'Tracker'!"&amp;ADDRESS(MATCH($N78, Tracker[Anime Name], 0) + 2, 4)), "")</f>
        <v>C</v>
      </c>
      <c r="R78" s="22" t="str">
        <f ca="1">IF($N78&lt;&gt;"", INDIRECT("'Tracker'!"&amp;ADDRESS(MATCH($N78, Tracker[Anime Name], 0) + 2, 5)), "")</f>
        <v>720p</v>
      </c>
      <c r="S78" s="22" t="str">
        <f ca="1">IF($N78&lt;&gt;"", INDIRECT("'Tracker'!"&amp;ADDRESS(MATCH($N78, Tracker[Anime Name], 0) + 2, 6)), "")</f>
        <v>TV</v>
      </c>
      <c r="T78" s="22" t="str">
        <f ca="1">IF($N78&lt;&gt;"", INDIRECT("'Tracker'!"&amp;ADDRESS(MATCH($N78, Tracker[Anime Name], 0) + 2, 7)), "")</f>
        <v>2012D</v>
      </c>
      <c r="U78" s="28" t="str">
        <f ca="1">IF($N78&lt;&gt;"", INDIRECT("'Tracker'!"&amp;ADDRESS(MATCH($N78, Tracker[Anime Name], 0) + 2, 8)), "")</f>
        <v>Mazui</v>
      </c>
      <c r="V78" s="53">
        <f>IF(Completed!$C77&lt;&gt;"",Completed!$C77,"")</f>
        <v>9</v>
      </c>
      <c r="W78" s="53">
        <f>IF(Completed!$D77&lt;&gt;"",Completed!$D77,"")</f>
        <v>8</v>
      </c>
      <c r="X78" s="53">
        <f>IF(Completed!$E77&lt;&gt;"",Completed!$E77,"")</f>
        <v>5.5</v>
      </c>
      <c r="Y78" s="53">
        <f>IF(Completed!$F77&lt;&gt;"",Completed!$F77,"")</f>
        <v>8.5</v>
      </c>
      <c r="Z78" s="64">
        <f>IF(Completed!$G77&lt;&gt;"",Completed!$G77,"")</f>
        <v>8.3140703517587955</v>
      </c>
      <c r="AA78" s="73">
        <f>IF(Completed!$H77&lt;&gt;"",Completed!$H77,"")</f>
        <v>7.7770304355137059</v>
      </c>
      <c r="AB78" s="54">
        <f>IF(Completed!$I77&lt;&gt;"",Completed!$I77,"")</f>
        <v>41633</v>
      </c>
      <c r="AC78" s="54">
        <f>IF(Completed!$J77&lt;&gt;"",Completed!$J77,"")</f>
        <v>41635</v>
      </c>
      <c r="AD78" s="65" t="str">
        <f>IF(Completed!$K77&lt;&gt;"",Completed!$K77,"")</f>
        <v>Shiguma Rika</v>
      </c>
      <c r="AE78" s="65" t="str">
        <f>IF(Completed!$L$77&lt;&gt;"",Completed!$L$77,"")</f>
        <v>Evolved from a harem anime to a pretty well-written romcom</v>
      </c>
    </row>
    <row r="79" spans="1:31">
      <c r="A79" s="92"/>
      <c r="B79" s="93"/>
      <c r="C79" s="93"/>
      <c r="D79" s="93"/>
      <c r="E79" s="93"/>
      <c r="F79" s="93"/>
      <c r="G79" s="93"/>
      <c r="H79" s="93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IF(Completed!$A78&lt;&gt;"",Completed!$A78,"")</f>
        <v>Toaru Majutsu no Index</v>
      </c>
      <c r="O79" s="28">
        <f>IF(Completed!$B78&lt;&gt;"",Completed!$B78,"")</f>
        <v>1</v>
      </c>
      <c r="P79" s="28">
        <f ca="1">IF($N79&lt;&gt;"", INDIRECT("'Tracker'!"&amp;ADDRESS(MATCH($N79, Tracker[Anime Name], 0) + 2, 3)), "")</f>
        <v>24</v>
      </c>
      <c r="Q79" s="22" t="str">
        <f ca="1">IF($N79&lt;&gt;"", INDIRECT("'Tracker'!"&amp;ADDRESS(MATCH($N79, Tracker[Anime Name], 0) + 2, 4)), "")</f>
        <v>C</v>
      </c>
      <c r="R79" s="22" t="str">
        <f ca="1">IF($N79&lt;&gt;"", INDIRECT("'Tracker'!"&amp;ADDRESS(MATCH($N79, Tracker[Anime Name], 0) + 2, 5)), "")</f>
        <v>720p</v>
      </c>
      <c r="S79" s="22" t="str">
        <f ca="1">IF($N79&lt;&gt;"", INDIRECT("'Tracker'!"&amp;ADDRESS(MATCH($N79, Tracker[Anime Name], 0) + 2, 6)), "")</f>
        <v>BD</v>
      </c>
      <c r="T79" s="22" t="str">
        <f ca="1">IF($N79&lt;&gt;"", INDIRECT("'Tracker'!"&amp;ADDRESS(MATCH($N79, Tracker[Anime Name], 0) + 2, 7)), "")</f>
        <v>2008C</v>
      </c>
      <c r="U79" s="28" t="str">
        <f ca="1">IF($N79&lt;&gt;"", INDIRECT("'Tracker'!"&amp;ADDRESS(MATCH($N79, Tracker[Anime Name], 0) + 2, 8)), "")</f>
        <v>Coalgirls, Eclipse</v>
      </c>
      <c r="V79" s="53">
        <f>IF(Completed!$C78&lt;&gt;"",Completed!$C78,"")</f>
        <v>8.5</v>
      </c>
      <c r="W79" s="53">
        <f>IF(Completed!$D78&lt;&gt;"",Completed!$D78,"")</f>
        <v>7.5</v>
      </c>
      <c r="X79" s="53">
        <f>IF(Completed!$E78&lt;&gt;"",Completed!$E78,"")</f>
        <v>5</v>
      </c>
      <c r="Y79" s="53">
        <f>IF(Completed!$F78&lt;&gt;"",Completed!$F78,"")</f>
        <v>9</v>
      </c>
      <c r="Z79" s="64">
        <f>IF(Completed!$G78&lt;&gt;"",Completed!$G78,"")</f>
        <v>8.3140703517587955</v>
      </c>
      <c r="AA79" s="73">
        <f>IF(Completed!$H78&lt;&gt;"",Completed!$H78,"")</f>
        <v>7.7770304355137059</v>
      </c>
      <c r="AB79" s="54">
        <f>IF(Completed!$I78&lt;&gt;"",Completed!$I78,"")</f>
        <v>41431</v>
      </c>
      <c r="AC79" s="54">
        <f>IF(Completed!$J78&lt;&gt;"",Completed!$J78,"")</f>
        <v>41436</v>
      </c>
      <c r="AD79" s="65" t="str">
        <f>IF(Completed!$K78&lt;&gt;"",Completed!$K78,"")</f>
        <v>Misaka Mikoto</v>
      </c>
      <c r="AE79" s="65" t="str">
        <f>IF(Completed!$L$78&lt;&gt;"",Completed!$L$78,"")</f>
        <v/>
      </c>
    </row>
    <row r="80" spans="1:31">
      <c r="A80" s="92"/>
      <c r="B80" s="93"/>
      <c r="C80" s="93"/>
      <c r="D80" s="93"/>
      <c r="E80" s="93"/>
      <c r="F80" s="93"/>
      <c r="G80" s="93"/>
      <c r="H80" s="93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IF(Completed!$A79&lt;&gt;"",Completed!$A79,"")</f>
        <v>Nisekoi</v>
      </c>
      <c r="O80" s="28">
        <f>IF(Completed!$B79&lt;&gt;"",Completed!$B79,"")</f>
        <v>1</v>
      </c>
      <c r="P80" s="28">
        <f ca="1">IF($N80&lt;&gt;"", INDIRECT("'Tracker'!"&amp;ADDRESS(MATCH($N80, Tracker[Anime Name], 0) + 2, 3)), "")</f>
        <v>20</v>
      </c>
      <c r="Q80" s="22" t="str">
        <f ca="1">IF($N80&lt;&gt;"", INDIRECT("'Tracker'!"&amp;ADDRESS(MATCH($N80, Tracker[Anime Name], 0) + 2, 4)), "")</f>
        <v>C</v>
      </c>
      <c r="R80" s="22" t="str">
        <f ca="1">IF($N80&lt;&gt;"", INDIRECT("'Tracker'!"&amp;ADDRESS(MATCH($N80, Tracker[Anime Name], 0) + 2, 5)), "")</f>
        <v>720p</v>
      </c>
      <c r="S80" s="22" t="str">
        <f ca="1">IF($N80&lt;&gt;"", INDIRECT("'Tracker'!"&amp;ADDRESS(MATCH($N80, Tracker[Anime Name], 0) + 2, 6)), "")</f>
        <v>TV</v>
      </c>
      <c r="T80" s="22" t="str">
        <f ca="1">IF($N80&lt;&gt;"", INDIRECT("'Tracker'!"&amp;ADDRESS(MATCH($N80, Tracker[Anime Name], 0) + 2, 7)), "")</f>
        <v>2013D</v>
      </c>
      <c r="U80" s="28" t="str">
        <f ca="1">IF($N80&lt;&gt;"", INDIRECT("'Tracker'!"&amp;ADDRESS(MATCH($N80, Tracker[Anime Name], 0) + 2, 8)), "")</f>
        <v>FFF</v>
      </c>
      <c r="V80" s="53">
        <f>IF(Completed!$C79&lt;&gt;"",Completed!$C79,"")</f>
        <v>8.5</v>
      </c>
      <c r="W80" s="53">
        <f>IF(Completed!$D79&lt;&gt;"",Completed!$D79,"")</f>
        <v>9</v>
      </c>
      <c r="X80" s="53">
        <f>IF(Completed!$E79&lt;&gt;"",Completed!$E79,"")</f>
        <v>7</v>
      </c>
      <c r="Y80" s="53">
        <f>IF(Completed!$F79&lt;&gt;"",Completed!$F79,"")</f>
        <v>8</v>
      </c>
      <c r="Z80" s="64">
        <f>IF(Completed!$G79&lt;&gt;"",Completed!$G79,"")</f>
        <v>8.3128140703517595</v>
      </c>
      <c r="AA80" s="73">
        <f>IF(Completed!$H79&lt;&gt;"",Completed!$H79,"")</f>
        <v>7.7753489154195394</v>
      </c>
      <c r="AB80" s="54">
        <f>IF(Completed!$I79&lt;&gt;"",Completed!$I79,"")</f>
        <v>41652</v>
      </c>
      <c r="AC80" s="54">
        <f>IF(Completed!$J79&lt;&gt;"",Completed!$J79,"")</f>
        <v>41824</v>
      </c>
      <c r="AD80" s="65" t="str">
        <f>IF(Completed!$K79&lt;&gt;"",Completed!$K79,"")</f>
        <v>Kirisaki Chitoge</v>
      </c>
      <c r="AE80" s="65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IF(Completed!$A80&lt;&gt;"",Completed!$A80,"")</f>
        <v>Hentai Ouji to Warawanai Neko</v>
      </c>
      <c r="O81" s="28">
        <f>IF(Completed!$B80&lt;&gt;"",Completed!$B80,"")</f>
        <v>1</v>
      </c>
      <c r="P81" s="28">
        <f ca="1">IF($N81&lt;&gt;"", INDIRECT("'Tracker'!"&amp;ADDRESS(MATCH($N81, Tracker[Anime Name], 0) + 2, 3)), "")</f>
        <v>13</v>
      </c>
      <c r="Q81" s="22" t="str">
        <f ca="1">IF($N81&lt;&gt;"", INDIRECT("'Tracker'!"&amp;ADDRESS(MATCH($N81, Tracker[Anime Name], 0) + 2, 4)), "")</f>
        <v>C</v>
      </c>
      <c r="R81" s="22" t="str">
        <f ca="1">IF($N81&lt;&gt;"", INDIRECT("'Tracker'!"&amp;ADDRESS(MATCH($N81, Tracker[Anime Name], 0) + 2, 5)), "")</f>
        <v>1080p</v>
      </c>
      <c r="S81" s="22" t="str">
        <f ca="1">IF($N81&lt;&gt;"", INDIRECT("'Tracker'!"&amp;ADDRESS(MATCH($N81, Tracker[Anime Name], 0) + 2, 6)), "")</f>
        <v>BD</v>
      </c>
      <c r="T81" s="22" t="str">
        <f ca="1">IF($N81&lt;&gt;"", INDIRECT("'Tracker'!"&amp;ADDRESS(MATCH($N81, Tracker[Anime Name], 0) + 2, 7)), "")</f>
        <v>2013A</v>
      </c>
      <c r="U81" s="28" t="str">
        <f ca="1">IF($N81&lt;&gt;"", INDIRECT("'Tracker'!"&amp;ADDRESS(MATCH($N81, Tracker[Anime Name], 0) + 2, 8)), "")</f>
        <v>Doki</v>
      </c>
      <c r="V81" s="53">
        <f>IF(Completed!$C80&lt;&gt;"",Completed!$C80,"")</f>
        <v>7</v>
      </c>
      <c r="W81" s="53">
        <f>IF(Completed!$D80&lt;&gt;"",Completed!$D80,"")</f>
        <v>8.5</v>
      </c>
      <c r="X81" s="53">
        <f>IF(Completed!$E80&lt;&gt;"",Completed!$E80,"")</f>
        <v>10</v>
      </c>
      <c r="Y81" s="53">
        <f>IF(Completed!$F80&lt;&gt;"",Completed!$F80,"")</f>
        <v>8.5</v>
      </c>
      <c r="Z81" s="64">
        <f>IF(Completed!$G80&lt;&gt;"",Completed!$G80,"")</f>
        <v>8.2964824120602998</v>
      </c>
      <c r="AA81" s="73">
        <f>IF(Completed!$H80&lt;&gt;"",Completed!$H80,"")</f>
        <v>7.7534891541953899</v>
      </c>
      <c r="AB81" s="54">
        <f>IF(Completed!$I80&lt;&gt;"",Completed!$I80,"")</f>
        <v>41378</v>
      </c>
      <c r="AC81" s="54">
        <f>IF(Completed!$J80&lt;&gt;"",Completed!$J80,"")</f>
        <v>41454</v>
      </c>
      <c r="AD81" s="65" t="str">
        <f>IF(Completed!$K80&lt;&gt;"",Completed!$K80,"")</f>
        <v>Tsutsukakushi Tsukiko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IF(Completed!$A81&lt;&gt;"",Completed!$A81,"")</f>
        <v>Hyouka</v>
      </c>
      <c r="O82" s="28">
        <f>IF(Completed!$B81&lt;&gt;"",Completed!$B81,"")</f>
        <v>1</v>
      </c>
      <c r="P82" s="28">
        <f ca="1">IF($N82&lt;&gt;"", INDIRECT("'Tracker'!"&amp;ADDRESS(MATCH($N82, Tracker[Anime Name], 0) + 2, 3)), "")</f>
        <v>22</v>
      </c>
      <c r="Q82" s="22" t="str">
        <f ca="1">IF($N82&lt;&gt;"", INDIRECT("'Tracker'!"&amp;ADDRESS(MATCH($N82, Tracker[Anime Name], 0) + 2, 4)), "")</f>
        <v>C</v>
      </c>
      <c r="R82" s="22" t="str">
        <f ca="1">IF($N82&lt;&gt;"", INDIRECT("'Tracker'!"&amp;ADDRESS(MATCH($N82, Tracker[Anime Name], 0) + 2, 5)), "")</f>
        <v>720p</v>
      </c>
      <c r="S82" s="22" t="str">
        <f ca="1">IF($N82&lt;&gt;"", INDIRECT("'Tracker'!"&amp;ADDRESS(MATCH($N82, Tracker[Anime Name], 0) + 2, 6)), "")</f>
        <v>BD</v>
      </c>
      <c r="T82" s="22" t="str">
        <f ca="1">IF($N82&lt;&gt;"", INDIRECT("'Tracker'!"&amp;ADDRESS(MATCH($N82, Tracker[Anime Name], 0) + 2, 7)), "")</f>
        <v>2012A</v>
      </c>
      <c r="U82" s="28" t="str">
        <f ca="1">IF($N82&lt;&gt;"", INDIRECT("'Tracker'!"&amp;ADDRESS(MATCH($N82, Tracker[Anime Name], 0) + 2, 8)), "")</f>
        <v>Coalgirls, Mazui</v>
      </c>
      <c r="V82" s="53">
        <f>IF(Completed!$C81&lt;&gt;"",Completed!$C81,"")</f>
        <v>9</v>
      </c>
      <c r="W82" s="53">
        <f>IF(Completed!$D81&lt;&gt;"",Completed!$D81,"")</f>
        <v>8</v>
      </c>
      <c r="X82" s="53">
        <f>IF(Completed!$E81&lt;&gt;"",Completed!$E81,"")</f>
        <v>5</v>
      </c>
      <c r="Y82" s="53">
        <f>IF(Completed!$F81&lt;&gt;"",Completed!$F81,"")</f>
        <v>8.5</v>
      </c>
      <c r="Z82" s="64">
        <f>IF(Completed!$G81&lt;&gt;"",Completed!$G81,"")</f>
        <v>8.2902010050251267</v>
      </c>
      <c r="AA82" s="73">
        <f>IF(Completed!$H81&lt;&gt;"",Completed!$H81,"")</f>
        <v>7.7450815537245683</v>
      </c>
      <c r="AB82" s="54">
        <f>IF(Completed!$I81&lt;&gt;"",Completed!$I81,"")</f>
        <v>41424</v>
      </c>
      <c r="AC82" s="54">
        <f>IF(Completed!$J81&lt;&gt;"",Completed!$J81,"")</f>
        <v>41430</v>
      </c>
      <c r="AD82" s="65" t="str">
        <f>IF(Completed!$K81&lt;&gt;"",Completed!$K81,"")</f>
        <v>Eru Chitanda</v>
      </c>
      <c r="AE82" s="65" t="str">
        <f>IF(Completed!$L$81&lt;&gt;"",Completed!$L$81,"")</f>
        <v>Nicely written mysteries</v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IF(Completed!$A82&lt;&gt;"",Completed!$A82,"")</f>
        <v>Ore no Imouto ga Konna ni Kawaii Wake ga Nai.</v>
      </c>
      <c r="O83" s="28">
        <f>IF(Completed!$B82&lt;&gt;"",Completed!$B82,"")</f>
        <v>2</v>
      </c>
      <c r="P83" s="28">
        <f ca="1">IF($N83&lt;&gt;"", INDIRECT("'Tracker'!"&amp;ADDRESS(MATCH($N83, Tracker[Anime Name], 0) + 2, 3)), "")</f>
        <v>16</v>
      </c>
      <c r="Q83" s="22" t="str">
        <f ca="1">IF($N83&lt;&gt;"", INDIRECT("'Tracker'!"&amp;ADDRESS(MATCH($N83, Tracker[Anime Name], 0) + 2, 4)), "")</f>
        <v>C</v>
      </c>
      <c r="R83" s="22" t="str">
        <f ca="1">IF($N83&lt;&gt;"", INDIRECT("'Tracker'!"&amp;ADDRESS(MATCH($N83, Tracker[Anime Name], 0) + 2, 5)), "")</f>
        <v>1080p</v>
      </c>
      <c r="S83" s="22" t="str">
        <f ca="1">IF($N83&lt;&gt;"", INDIRECT("'Tracker'!"&amp;ADDRESS(MATCH($N83, Tracker[Anime Name], 0) + 2, 6)), "")</f>
        <v>BD</v>
      </c>
      <c r="T83" s="22" t="str">
        <f ca="1">IF($N83&lt;&gt;"", INDIRECT("'Tracker'!"&amp;ADDRESS(MATCH($N83, Tracker[Anime Name], 0) + 2, 7)), "")</f>
        <v>2013A</v>
      </c>
      <c r="U83" s="28" t="str">
        <f ca="1">IF($N83&lt;&gt;"", INDIRECT("'Tracker'!"&amp;ADDRESS(MATCH($N83, Tracker[Anime Name], 0) + 2, 8)), "")</f>
        <v>Coalgirls, EveTaku</v>
      </c>
      <c r="V83" s="53">
        <f>IF(Completed!$C82&lt;&gt;"",Completed!$C82,"")</f>
        <v>8.5</v>
      </c>
      <c r="W83" s="53">
        <f>IF(Completed!$D82&lt;&gt;"",Completed!$D82,"")</f>
        <v>8</v>
      </c>
      <c r="X83" s="53">
        <f>IF(Completed!$E82&lt;&gt;"",Completed!$E82,"")</f>
        <v>5.5</v>
      </c>
      <c r="Y83" s="53">
        <f>IF(Completed!$F82&lt;&gt;"",Completed!$F82,"")</f>
        <v>8.5</v>
      </c>
      <c r="Z83" s="64">
        <f>IF(Completed!$G82&lt;&gt;"",Completed!$G82,"")</f>
        <v>8.2223618090452266</v>
      </c>
      <c r="AA83" s="73">
        <f>IF(Completed!$H82&lt;&gt;"",Completed!$H82,"")</f>
        <v>7.6542794686396505</v>
      </c>
      <c r="AB83" s="54">
        <f>IF(Completed!$I82&lt;&gt;"",Completed!$I82,"")</f>
        <v>41370</v>
      </c>
      <c r="AC83" s="54">
        <f>IF(Completed!$J82&lt;&gt;"",Completed!$J82,"")</f>
        <v>41512</v>
      </c>
      <c r="AD83" s="65" t="str">
        <f>IF(Completed!$K82&lt;&gt;"",Completed!$K82,"")</f>
        <v>Aragaki Ayase-tan</v>
      </c>
      <c r="AE83" s="65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IF(Completed!$A83&lt;&gt;"",Completed!$A83,"")</f>
        <v>Space ☆ Dandy 2</v>
      </c>
      <c r="O84" s="28">
        <f>IF(Completed!$B83&lt;&gt;"",Completed!$B83,"")</f>
        <v>2</v>
      </c>
      <c r="P84" s="28">
        <f ca="1">IF($N84&lt;&gt;"", INDIRECT("'Tracker'!"&amp;ADDRESS(MATCH($N84, Tracker[Anime Name], 0) + 2, 3)), "")</f>
        <v>13</v>
      </c>
      <c r="Q84" s="22" t="str">
        <f ca="1">IF($N84&lt;&gt;"", INDIRECT("'Tracker'!"&amp;ADDRESS(MATCH($N84, Tracker[Anime Name], 0) + 2, 4)), "")</f>
        <v>C</v>
      </c>
      <c r="R84" s="22" t="str">
        <f ca="1">IF($N84&lt;&gt;"", INDIRECT("'Tracker'!"&amp;ADDRESS(MATCH($N84, Tracker[Anime Name], 0) + 2, 5)), "")</f>
        <v>720p</v>
      </c>
      <c r="S84" s="22" t="str">
        <f ca="1">IF($N84&lt;&gt;"", INDIRECT("'Tracker'!"&amp;ADDRESS(MATCH($N84, Tracker[Anime Name], 0) + 2, 6)), "")</f>
        <v>TV</v>
      </c>
      <c r="T84" s="22" t="str">
        <f ca="1">IF($N84&lt;&gt;"", INDIRECT("'Tracker'!"&amp;ADDRESS(MATCH($N84, Tracker[Anime Name], 0) + 2, 7)), "")</f>
        <v>2014B</v>
      </c>
      <c r="U84" s="28" t="str">
        <f ca="1">IF($N84&lt;&gt;"", INDIRECT("'Tracker'!"&amp;ADDRESS(MATCH($N84, Tracker[Anime Name], 0) + 2, 8)), "")</f>
        <v>HorribleSubs</v>
      </c>
      <c r="V84" s="53">
        <f>IF(Completed!$C83&lt;&gt;"",Completed!$C83,"")</f>
        <v>7</v>
      </c>
      <c r="W84" s="53">
        <f>IF(Completed!$D83&lt;&gt;"",Completed!$D83,"")</f>
        <v>8</v>
      </c>
      <c r="X84" s="53">
        <f>IF(Completed!$E83&lt;&gt;"",Completed!$E83,"")</f>
        <v>6</v>
      </c>
      <c r="Y84" s="53">
        <f>IF(Completed!$F83&lt;&gt;"",Completed!$F83,"")</f>
        <v>9</v>
      </c>
      <c r="Z84" s="64">
        <f>IF(Completed!$G83&lt;&gt;"",Completed!$G83,"")</f>
        <v>8.2211055276381906</v>
      </c>
      <c r="AA84" s="73">
        <f>IF(Completed!$H83&lt;&gt;"",Completed!$H83,"")</f>
        <v>7.652597948545484</v>
      </c>
      <c r="AB84" s="54">
        <f>IF(Completed!$I83&lt;&gt;"",Completed!$I83,"")</f>
        <v>41837</v>
      </c>
      <c r="AC84" s="54">
        <f>IF(Completed!$J83&lt;&gt;"",Completed!$J83,"")</f>
        <v>42021</v>
      </c>
      <c r="AD84" s="65" t="str">
        <f>IF(Completed!$K83&lt;&gt;"",Completed!$K83,"")</f>
        <v>Scarlet</v>
      </c>
      <c r="AE84" s="65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IF(Completed!$A84&lt;&gt;"",Completed!$A84,"")</f>
        <v>Free! Eternal Summer</v>
      </c>
      <c r="O85" s="28">
        <f>IF(Completed!$B84&lt;&gt;"",Completed!$B84,"")</f>
        <v>2</v>
      </c>
      <c r="P85" s="28">
        <f ca="1">IF($N85&lt;&gt;"", INDIRECT("'Tracker'!"&amp;ADDRESS(MATCH($N85, Tracker[Anime Name], 0) + 2, 3)), "")</f>
        <v>13</v>
      </c>
      <c r="Q85" s="22" t="str">
        <f ca="1">IF($N85&lt;&gt;"", INDIRECT("'Tracker'!"&amp;ADDRESS(MATCH($N85, Tracker[Anime Name], 0) + 2, 4)), "")</f>
        <v>A</v>
      </c>
      <c r="R85" s="22" t="str">
        <f ca="1">IF($N85&lt;&gt;"", INDIRECT("'Tracker'!"&amp;ADDRESS(MATCH($N85, Tracker[Anime Name], 0) + 2, 5)), "")</f>
        <v>720p</v>
      </c>
      <c r="S85" s="22" t="str">
        <f ca="1">IF($N85&lt;&gt;"", INDIRECT("'Tracker'!"&amp;ADDRESS(MATCH($N85, Tracker[Anime Name], 0) + 2, 6)), "")</f>
        <v>TV</v>
      </c>
      <c r="T85" s="22" t="str">
        <f ca="1">IF($N85&lt;&gt;"", INDIRECT("'Tracker'!"&amp;ADDRESS(MATCH($N85, Tracker[Anime Name], 0) + 2, 7)), "")</f>
        <v>2014B</v>
      </c>
      <c r="U85" s="28" t="str">
        <f ca="1">IF($N85&lt;&gt;"", INDIRECT("'Tracker'!"&amp;ADDRESS(MATCH($N85, Tracker[Anime Name], 0) + 2, 8)), "")</f>
        <v>WhyNot</v>
      </c>
      <c r="V85" s="53">
        <f>IF(Completed!$C84&lt;&gt;"",Completed!$C84,"")</f>
        <v>8.5</v>
      </c>
      <c r="W85" s="53">
        <f>IF(Completed!$D84&lt;&gt;"",Completed!$D84,"")</f>
        <v>8</v>
      </c>
      <c r="X85" s="53">
        <f>IF(Completed!$E84&lt;&gt;"",Completed!$E84,"")</f>
        <v>5</v>
      </c>
      <c r="Y85" s="53">
        <f>IF(Completed!$F84&lt;&gt;"",Completed!$F84,"")</f>
        <v>8.5</v>
      </c>
      <c r="Z85" s="64">
        <f>IF(Completed!$G84&lt;&gt;"",Completed!$G84,"")</f>
        <v>8.198492462311556</v>
      </c>
      <c r="AA85" s="73">
        <f>IF(Completed!$H84&lt;&gt;"",Completed!$H84,"")</f>
        <v>7.6223305868505102</v>
      </c>
      <c r="AB85" s="54">
        <f>IF(Completed!$I84&lt;&gt;"",Completed!$I84,"")</f>
        <v>41827</v>
      </c>
      <c r="AC85" s="54">
        <f>IF(Completed!$J84&lt;&gt;"",Completed!$J84,"")</f>
        <v>42022</v>
      </c>
      <c r="AD85" s="65" t="str">
        <f>IF(Completed!$K84&lt;&gt;"",Completed!$K84,"")</f>
        <v>Matsuoka Rin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IF(Completed!$A85&lt;&gt;"",Completed!$A85,"")</f>
        <v>Shokugeki no Soma</v>
      </c>
      <c r="O86" s="28">
        <f>IF(Completed!$B85&lt;&gt;"",Completed!$B85,"")</f>
        <v>1</v>
      </c>
      <c r="P86" s="28">
        <f ca="1">IF($N86&lt;&gt;"", INDIRECT("'Tracker'!"&amp;ADDRESS(MATCH($N86, Tracker[Anime Name], 0) + 2, 3)), "")</f>
        <v>24</v>
      </c>
      <c r="Q86" s="22" t="str">
        <f ca="1">IF($N86&lt;&gt;"", INDIRECT("'Tracker'!"&amp;ADDRESS(MATCH($N86, Tracker[Anime Name], 0) + 2, 4)), "")</f>
        <v>C</v>
      </c>
      <c r="R86" s="22" t="str">
        <f ca="1">IF($N86&lt;&gt;"", INDIRECT("'Tracker'!"&amp;ADDRESS(MATCH($N86, Tracker[Anime Name], 0) + 2, 5)), "")</f>
        <v>720p</v>
      </c>
      <c r="S86" s="22" t="str">
        <f ca="1">IF($N86&lt;&gt;"", INDIRECT("'Tracker'!"&amp;ADDRESS(MATCH($N86, Tracker[Anime Name], 0) + 2, 6)), "")</f>
        <v>TV</v>
      </c>
      <c r="T86" s="22" t="str">
        <f ca="1">IF($N86&lt;&gt;"", INDIRECT("'Tracker'!"&amp;ADDRESS(MATCH($N86, Tracker[Anime Name], 0) + 2, 7)), "")</f>
        <v>2015A</v>
      </c>
      <c r="U86" s="28" t="str">
        <f ca="1">IF($N86&lt;&gt;"", INDIRECT("'Tracker'!"&amp;ADDRESS(MATCH($N86, Tracker[Anime Name], 0) + 2, 8)), "")</f>
        <v>FFF</v>
      </c>
      <c r="V86" s="53">
        <f>IF(Completed!$C85&lt;&gt;"",Completed!$C85,"")</f>
        <v>8</v>
      </c>
      <c r="W86" s="53">
        <f>IF(Completed!$D85&lt;&gt;"",Completed!$D85,"")</f>
        <v>9</v>
      </c>
      <c r="X86" s="53">
        <f>IF(Completed!$E85&lt;&gt;"",Completed!$E85,"")</f>
        <v>6</v>
      </c>
      <c r="Y86" s="53">
        <f>IF(Completed!$F85&lt;&gt;"",Completed!$F85,"")</f>
        <v>8</v>
      </c>
      <c r="Z86" s="64">
        <f>IF(Completed!$G85&lt;&gt;"",Completed!$G85,"")</f>
        <v>8.1733668341708547</v>
      </c>
      <c r="AA86" s="73">
        <f>IF(Completed!$H85&lt;&gt;"",Completed!$H85,"")</f>
        <v>7.5887001849672107</v>
      </c>
      <c r="AB86" s="54">
        <f>IF(Completed!$I85&lt;&gt;"",Completed!$I85,"")</f>
        <v>42203</v>
      </c>
      <c r="AC86" s="54">
        <f>IF(Completed!$J85&lt;&gt;"",Completed!$J85,"")</f>
        <v>42272</v>
      </c>
      <c r="AD86" s="65" t="str">
        <f>IF(Completed!$K85&lt;&gt;"",Completed!$K85,"")</f>
        <v>Nakiri Alice</v>
      </c>
      <c r="AE86" s="65" t="str">
        <f>IF(Completed!$L$85&lt;&gt;"",Completed!$L$85,"")</f>
        <v/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IF(Completed!$A86&lt;&gt;"",Completed!$A86,"")</f>
        <v>Arpeggio of Blue Steel - Ars Nova</v>
      </c>
      <c r="O87" s="28">
        <f>IF(Completed!$B86&lt;&gt;"",Completed!$B86,"")</f>
        <v>1</v>
      </c>
      <c r="P87" s="28">
        <f ca="1">IF($N87&lt;&gt;"", INDIRECT("'Tracker'!"&amp;ADDRESS(MATCH($N87, Tracker[Anime Name], 0) + 2, 3)), "")</f>
        <v>12</v>
      </c>
      <c r="Q87" s="22" t="str">
        <f ca="1">IF($N87&lt;&gt;"", INDIRECT("'Tracker'!"&amp;ADDRESS(MATCH($N87, Tracker[Anime Name], 0) + 2, 4)), "")</f>
        <v>C</v>
      </c>
      <c r="R87" s="22" t="str">
        <f ca="1">IF($N87&lt;&gt;"", INDIRECT("'Tracker'!"&amp;ADDRESS(MATCH($N87, Tracker[Anime Name], 0) + 2, 5)), "")</f>
        <v>720p</v>
      </c>
      <c r="S87" s="22" t="str">
        <f ca="1">IF($N87&lt;&gt;"", INDIRECT("'Tracker'!"&amp;ADDRESS(MATCH($N87, Tracker[Anime Name], 0) + 2, 6)), "")</f>
        <v>TV</v>
      </c>
      <c r="T87" s="22" t="str">
        <f ca="1">IF($N87&lt;&gt;"", INDIRECT("'Tracker'!"&amp;ADDRESS(MATCH($N87, Tracker[Anime Name], 0) + 2, 7)), "")</f>
        <v>2013C</v>
      </c>
      <c r="U87" s="28" t="str">
        <f ca="1">IF($N87&lt;&gt;"", INDIRECT("'Tracker'!"&amp;ADDRESS(MATCH($N87, Tracker[Anime Name], 0) + 2, 8)), "")</f>
        <v>HorribleSubs</v>
      </c>
      <c r="V87" s="53">
        <f>IF(Completed!$C86&lt;&gt;"",Completed!$C86,"")</f>
        <v>8.5</v>
      </c>
      <c r="W87" s="53">
        <f>IF(Completed!$D86&lt;&gt;"",Completed!$D86,"")</f>
        <v>8.5</v>
      </c>
      <c r="X87" s="53">
        <f>IF(Completed!$E86&lt;&gt;"",Completed!$E86,"")</f>
        <v>6.5</v>
      </c>
      <c r="Y87" s="53">
        <f>IF(Completed!$F86&lt;&gt;"",Completed!$F86,"")</f>
        <v>8</v>
      </c>
      <c r="Z87" s="64">
        <f>IF(Completed!$G86&lt;&gt;"",Completed!$G86,"")</f>
        <v>8.1545226130653266</v>
      </c>
      <c r="AA87" s="73">
        <f>IF(Completed!$H86&lt;&gt;"",Completed!$H86,"")</f>
        <v>7.5634773835547335</v>
      </c>
      <c r="AB87" s="54">
        <f>IF(Completed!$I86&lt;&gt;"",Completed!$I86,"")</f>
        <v>41555</v>
      </c>
      <c r="AC87" s="54">
        <f>IF(Completed!$J86&lt;&gt;"",Completed!$J86,"")</f>
        <v>41631</v>
      </c>
      <c r="AD87" s="65" t="str">
        <f>IF(Completed!$K86&lt;&gt;"",Completed!$K86,"")</f>
        <v>Iona</v>
      </c>
      <c r="AE87" s="65" t="str">
        <f>IF(Completed!$L$86&lt;&gt;"",Completed!$L$86,"")</f>
        <v>Super well animated action scenes, and lots of hexagons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IF(Completed!$A87&lt;&gt;"",Completed!$A87,"")</f>
        <v>Samurai Flamenco</v>
      </c>
      <c r="O88" s="28">
        <f>IF(Completed!$B87&lt;&gt;"",Completed!$B87,"")</f>
        <v>1</v>
      </c>
      <c r="P88" s="28">
        <f ca="1">IF($N88&lt;&gt;"", INDIRECT("'Tracker'!"&amp;ADDRESS(MATCH($N88, Tracker[Anime Name], 0) + 2, 3)), "")</f>
        <v>22</v>
      </c>
      <c r="Q88" s="22" t="str">
        <f ca="1">IF($N88&lt;&gt;"", INDIRECT("'Tracker'!"&amp;ADDRESS(MATCH($N88, Tracker[Anime Name], 0) + 2, 4)), "")</f>
        <v>C</v>
      </c>
      <c r="R88" s="22" t="str">
        <f ca="1">IF($N88&lt;&gt;"", INDIRECT("'Tracker'!"&amp;ADDRESS(MATCH($N88, Tracker[Anime Name], 0) + 2, 5)), "")</f>
        <v>720p</v>
      </c>
      <c r="S88" s="22" t="str">
        <f ca="1">IF($N88&lt;&gt;"", INDIRECT("'Tracker'!"&amp;ADDRESS(MATCH($N88, Tracker[Anime Name], 0) + 2, 6)), "")</f>
        <v>TV</v>
      </c>
      <c r="T88" s="22" t="str">
        <f ca="1">IF($N88&lt;&gt;"", INDIRECT("'Tracker'!"&amp;ADDRESS(MATCH($N88, Tracker[Anime Name], 0) + 2, 7)), "")</f>
        <v>2013C</v>
      </c>
      <c r="U88" s="28" t="str">
        <f ca="1">IF($N88&lt;&gt;"", INDIRECT("'Tracker'!"&amp;ADDRESS(MATCH($N88, Tracker[Anime Name], 0) + 2, 8)), "")</f>
        <v>HorribleSubs</v>
      </c>
      <c r="V88" s="53">
        <f>IF(Completed!$C87&lt;&gt;"",Completed!$C87,"")</f>
        <v>8.5</v>
      </c>
      <c r="W88" s="53">
        <f>IF(Completed!$D87&lt;&gt;"",Completed!$D87,"")</f>
        <v>8</v>
      </c>
      <c r="X88" s="53">
        <f>IF(Completed!$E87&lt;&gt;"",Completed!$E87,"")</f>
        <v>4</v>
      </c>
      <c r="Y88" s="53">
        <f>IF(Completed!$F87&lt;&gt;"",Completed!$F87,"")</f>
        <v>8.5</v>
      </c>
      <c r="Z88" s="64">
        <f>IF(Completed!$G87&lt;&gt;"",Completed!$G87,"")</f>
        <v>8.1507537688442202</v>
      </c>
      <c r="AA88" s="73">
        <f>IF(Completed!$H87&lt;&gt;"",Completed!$H87,"")</f>
        <v>7.5584328232722369</v>
      </c>
      <c r="AB88" s="54">
        <f>IF(Completed!$I87&lt;&gt;"",Completed!$I87,"")</f>
        <v>41562</v>
      </c>
      <c r="AC88" s="54">
        <f>IF(Completed!$J87&lt;&gt;"",Completed!$J87,"")</f>
        <v>41728</v>
      </c>
      <c r="AD88" s="65" t="str">
        <f>IF(Completed!$K87&lt;&gt;"",Completed!$K87,"")</f>
        <v>Ishihara Sumi</v>
      </c>
      <c r="AE88" s="65" t="str">
        <f>IF(Completed!$L$87&lt;&gt;"",Completed!$L$87,"")</f>
        <v>ALL the plot twists</v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IF(Completed!$A88&lt;&gt;"",Completed!$A88,"")</f>
        <v>Hitsugi no Chaika</v>
      </c>
      <c r="O89" s="28">
        <f>IF(Completed!$B88&lt;&gt;"",Completed!$B88,"")</f>
        <v>1</v>
      </c>
      <c r="P89" s="28">
        <f ca="1">IF($N89&lt;&gt;"", INDIRECT("'Tracker'!"&amp;ADDRESS(MATCH($N89, Tracker[Anime Name], 0) + 2, 3)), "")</f>
        <v>12</v>
      </c>
      <c r="Q89" s="22" t="str">
        <f ca="1">IF($N89&lt;&gt;"", INDIRECT("'Tracker'!"&amp;ADDRESS(MATCH($N89, Tracker[Anime Name], 0) + 2, 4)), "")</f>
        <v>B</v>
      </c>
      <c r="R89" s="22" t="str">
        <f ca="1">IF($N89&lt;&gt;"", INDIRECT("'Tracker'!"&amp;ADDRESS(MATCH($N89, Tracker[Anime Name], 0) + 2, 5)), "")</f>
        <v>720p</v>
      </c>
      <c r="S89" s="22" t="str">
        <f ca="1">IF($N89&lt;&gt;"", INDIRECT("'Tracker'!"&amp;ADDRESS(MATCH($N89, Tracker[Anime Name], 0) + 2, 6)), "")</f>
        <v>TV</v>
      </c>
      <c r="T89" s="22" t="str">
        <f ca="1">IF($N89&lt;&gt;"", INDIRECT("'Tracker'!"&amp;ADDRESS(MATCH($N89, Tracker[Anime Name], 0) + 2, 7)), "")</f>
        <v>2014A</v>
      </c>
      <c r="U89" s="28" t="str">
        <f ca="1">IF($N89&lt;&gt;"", INDIRECT("'Tracker'!"&amp;ADDRESS(MATCH($N89, Tracker[Anime Name], 0) + 2, 8)), "")</f>
        <v>Anime-Koi</v>
      </c>
      <c r="V89" s="53">
        <f>IF(Completed!$C88&lt;&gt;"",Completed!$C88,"")</f>
        <v>8.5</v>
      </c>
      <c r="W89" s="53">
        <f>IF(Completed!$D88&lt;&gt;"",Completed!$D88,"")</f>
        <v>8</v>
      </c>
      <c r="X89" s="53">
        <f>IF(Completed!$E88&lt;&gt;"",Completed!$E88,"")</f>
        <v>3.5</v>
      </c>
      <c r="Y89" s="53">
        <f>IF(Completed!$F88&lt;&gt;"",Completed!$F88,"")</f>
        <v>8.5</v>
      </c>
      <c r="Z89" s="64">
        <f>IF(Completed!$G88&lt;&gt;"",Completed!$G88,"")</f>
        <v>8.1268844221105532</v>
      </c>
      <c r="AA89" s="73">
        <f>IF(Completed!$H88&lt;&gt;"",Completed!$H88,"")</f>
        <v>7.5264839414831002</v>
      </c>
      <c r="AB89" s="54">
        <f>IF(Completed!$I88&lt;&gt;"",Completed!$I88,"")</f>
        <v>41789</v>
      </c>
      <c r="AC89" s="54">
        <f>IF(Completed!$J88&lt;&gt;"",Completed!$J88,"")</f>
        <v>41816</v>
      </c>
      <c r="AD89" s="65" t="str">
        <f>IF(Completed!$K88&lt;&gt;"",Completed!$K88,"")</f>
        <v>Chaika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IF(Completed!$A89&lt;&gt;"",Completed!$A89,"")</f>
        <v>Baka to Test to Shoukanjuu Ni!</v>
      </c>
      <c r="O90" s="28">
        <f>IF(Completed!$B89&lt;&gt;"",Completed!$B89,"")</f>
        <v>2</v>
      </c>
      <c r="P90" s="28">
        <f ca="1">IF($N90&lt;&gt;"", INDIRECT("'Tracker'!"&amp;ADDRESS(MATCH($N90, Tracker[Anime Name], 0) + 2, 3)), "")</f>
        <v>13</v>
      </c>
      <c r="Q90" s="22" t="str">
        <f ca="1">IF($N90&lt;&gt;"", INDIRECT("'Tracker'!"&amp;ADDRESS(MATCH($N90, Tracker[Anime Name], 0) + 2, 4)), "")</f>
        <v>C</v>
      </c>
      <c r="R90" s="22" t="str">
        <f ca="1">IF($N90&lt;&gt;"", INDIRECT("'Tracker'!"&amp;ADDRESS(MATCH($N90, Tracker[Anime Name], 0) + 2, 5)), "")</f>
        <v>720p</v>
      </c>
      <c r="S90" s="22" t="str">
        <f ca="1">IF($N90&lt;&gt;"", INDIRECT("'Tracker'!"&amp;ADDRESS(MATCH($N90, Tracker[Anime Name], 0) + 2, 6)), "")</f>
        <v>BD</v>
      </c>
      <c r="T90" s="22" t="str">
        <f ca="1">IF($N90&lt;&gt;"", INDIRECT("'Tracker'!"&amp;ADDRESS(MATCH($N90, Tracker[Anime Name], 0) + 2, 7)), "")</f>
        <v>2011B</v>
      </c>
      <c r="U90" s="28" t="str">
        <f ca="1">IF($N90&lt;&gt;"", INDIRECT("'Tracker'!"&amp;ADDRESS(MATCH($N90, Tracker[Anime Name], 0) + 2, 8)), "")</f>
        <v>Ayumi</v>
      </c>
      <c r="V90" s="53">
        <f>IF(Completed!$C89&lt;&gt;"",Completed!$C89,"")</f>
        <v>7</v>
      </c>
      <c r="W90" s="53">
        <f>IF(Completed!$D89&lt;&gt;"",Completed!$D89,"")</f>
        <v>8</v>
      </c>
      <c r="X90" s="53">
        <f>IF(Completed!$E89&lt;&gt;"",Completed!$E89,"")</f>
        <v>3.5</v>
      </c>
      <c r="Y90" s="53">
        <f>IF(Completed!$F89&lt;&gt;"",Completed!$F89,"")</f>
        <v>9</v>
      </c>
      <c r="Z90" s="64">
        <f>IF(Completed!$G89&lt;&gt;"",Completed!$G89,"")</f>
        <v>8.1017587939698501</v>
      </c>
      <c r="AA90" s="73">
        <f>IF(Completed!$H89&lt;&gt;"",Completed!$H89,"")</f>
        <v>7.4928535395997988</v>
      </c>
      <c r="AB90" s="54">
        <f>IF(Completed!$I89&lt;&gt;"",Completed!$I89,"")</f>
        <v>41354</v>
      </c>
      <c r="AC90" s="54">
        <f>IF(Completed!$J89&lt;&gt;"",Completed!$J89,"")</f>
        <v>41355</v>
      </c>
      <c r="AD90" s="65" t="str">
        <f>IF(Completed!$K89&lt;&gt;"",Completed!$K89,"")</f>
        <v>Shimada Minami</v>
      </c>
      <c r="AE90" s="65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IF(Completed!$A90&lt;&gt;"",Completed!$A90,"")</f>
        <v>Koufuku Graffiti</v>
      </c>
      <c r="O91" s="28">
        <f>IF(Completed!$B90&lt;&gt;"",Completed!$B90,"")</f>
        <v>1</v>
      </c>
      <c r="P91" s="28">
        <f ca="1">IF($N91&lt;&gt;"", INDIRECT("'Tracker'!"&amp;ADDRESS(MATCH($N91, Tracker[Anime Name], 0) + 2, 3)), "")</f>
        <v>12</v>
      </c>
      <c r="Q91" s="22" t="str">
        <f ca="1">IF($N91&lt;&gt;"", INDIRECT("'Tracker'!"&amp;ADDRESS(MATCH($N91, Tracker[Anime Name], 0) + 2, 4)), "")</f>
        <v>C</v>
      </c>
      <c r="R91" s="22" t="str">
        <f ca="1">IF($N91&lt;&gt;"", INDIRECT("'Tracker'!"&amp;ADDRESS(MATCH($N91, Tracker[Anime Name], 0) + 2, 5)), "")</f>
        <v>720p</v>
      </c>
      <c r="S91" s="22" t="str">
        <f ca="1">IF($N91&lt;&gt;"", INDIRECT("'Tracker'!"&amp;ADDRESS(MATCH($N91, Tracker[Anime Name], 0) + 2, 6)), "")</f>
        <v>TV</v>
      </c>
      <c r="T91" s="22" t="str">
        <f ca="1">IF($N91&lt;&gt;"", INDIRECT("'Tracker'!"&amp;ADDRESS(MATCH($N91, Tracker[Anime Name], 0) + 2, 7)), "")</f>
        <v>2014D</v>
      </c>
      <c r="U91" s="28" t="str">
        <f ca="1">IF($N91&lt;&gt;"", INDIRECT("'Tracker'!"&amp;ADDRESS(MATCH($N91, Tracker[Anime Name], 0) + 2, 8)), "")</f>
        <v>HorribleSubs</v>
      </c>
      <c r="V91" s="53">
        <f>IF(Completed!$C90&lt;&gt;"",Completed!$C90,"")</f>
        <v>8.5</v>
      </c>
      <c r="W91" s="53">
        <f>IF(Completed!$D90&lt;&gt;"",Completed!$D90,"")</f>
        <v>8</v>
      </c>
      <c r="X91" s="53">
        <f>IF(Completed!$E90&lt;&gt;"",Completed!$E90,"")</f>
        <v>8</v>
      </c>
      <c r="Y91" s="53">
        <f>IF(Completed!$F90&lt;&gt;"",Completed!$F90,"")</f>
        <v>8</v>
      </c>
      <c r="Z91" s="64">
        <f>IF(Completed!$G90&lt;&gt;"",Completed!$G90,"")</f>
        <v>8.0917085427135671</v>
      </c>
      <c r="AA91" s="73">
        <f>IF(Completed!$H90&lt;&gt;"",Completed!$H90,"")</f>
        <v>7.4794013788464762</v>
      </c>
      <c r="AB91" s="54">
        <f>IF(Completed!$I90&lt;&gt;"",Completed!$I90,"")</f>
        <v>42064</v>
      </c>
      <c r="AC91" s="54">
        <f>IF(Completed!$J90&lt;&gt;"",Completed!$J90,"")</f>
        <v>42197</v>
      </c>
      <c r="AD91" s="65" t="str">
        <f>IF(Completed!$K90&lt;&gt;"",Completed!$K90,"")</f>
        <v>Shiina</v>
      </c>
      <c r="AE91" s="65" t="str">
        <f>IF(Completed!$L$90&lt;&gt;"",Completed!$L$90,"")</f>
        <v/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IF(Completed!$A91&lt;&gt;"",Completed!$A91,"")</f>
        <v>Hello!! Kiniro Mosaic</v>
      </c>
      <c r="O92" s="28">
        <f>IF(Completed!$B91&lt;&gt;"",Completed!$B91,"")</f>
        <v>2</v>
      </c>
      <c r="P92" s="28">
        <f ca="1">IF($N92&lt;&gt;"", INDIRECT("'Tracker'!"&amp;ADDRESS(MATCH($N92, Tracker[Anime Name], 0) + 2, 3)), "")</f>
        <v>12</v>
      </c>
      <c r="Q92" s="22" t="str">
        <f ca="1">IF($N92&lt;&gt;"", INDIRECT("'Tracker'!"&amp;ADDRESS(MATCH($N92, Tracker[Anime Name], 0) + 2, 4)), "")</f>
        <v>C</v>
      </c>
      <c r="R92" s="22" t="str">
        <f ca="1">IF($N92&lt;&gt;"", INDIRECT("'Tracker'!"&amp;ADDRESS(MATCH($N92, Tracker[Anime Name], 0) + 2, 5)), "")</f>
        <v>720p</v>
      </c>
      <c r="S92" s="22" t="str">
        <f ca="1">IF($N92&lt;&gt;"", INDIRECT("'Tracker'!"&amp;ADDRESS(MATCH($N92, Tracker[Anime Name], 0) + 2, 6)), "")</f>
        <v>TV</v>
      </c>
      <c r="T92" s="22" t="str">
        <f ca="1">IF($N92&lt;&gt;"", INDIRECT("'Tracker'!"&amp;ADDRESS(MATCH($N92, Tracker[Anime Name], 0) + 2, 7)), "")</f>
        <v>2015A</v>
      </c>
      <c r="U92" s="28" t="str">
        <f ca="1">IF($N92&lt;&gt;"", INDIRECT("'Tracker'!"&amp;ADDRESS(MATCH($N92, Tracker[Anime Name], 0) + 2, 8)), "")</f>
        <v>HorribleSubs</v>
      </c>
      <c r="V92" s="53">
        <f>IF(Completed!$C91&lt;&gt;"",Completed!$C91,"")</f>
        <v>4.5</v>
      </c>
      <c r="W92" s="53">
        <f>IF(Completed!$D91&lt;&gt;"",Completed!$D91,"")</f>
        <v>8.5</v>
      </c>
      <c r="X92" s="53">
        <f>IF(Completed!$E91&lt;&gt;"",Completed!$E91,"")</f>
        <v>10</v>
      </c>
      <c r="Y92" s="53">
        <f>IF(Completed!$F91&lt;&gt;"",Completed!$F91,"")</f>
        <v>9</v>
      </c>
      <c r="Z92" s="64">
        <f>IF(Completed!$G91&lt;&gt;"",Completed!$G91,"")</f>
        <v>8.0879396984924625</v>
      </c>
      <c r="AA92" s="73">
        <f>IF(Completed!$H91&lt;&gt;"",Completed!$H91,"")</f>
        <v>7.4743568185639813</v>
      </c>
      <c r="AB92" s="54">
        <f>IF(Completed!$I91&lt;&gt;"",Completed!$I91,"")</f>
        <v>42111</v>
      </c>
      <c r="AC92" s="54">
        <f>IF(Completed!$J91&lt;&gt;"",Completed!$J91,"")</f>
        <v>42176</v>
      </c>
      <c r="AD92" s="65" t="str">
        <f>IF(Completed!$K91&lt;&gt;"",Completed!$K91,"")</f>
        <v>Kujo Karen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IF(Completed!$A92&lt;&gt;"",Completed!$A92,"")</f>
        <v>Tonari no Seki-kun</v>
      </c>
      <c r="O93" s="28">
        <f>IF(Completed!$B92&lt;&gt;"",Completed!$B92,"")</f>
        <v>1</v>
      </c>
      <c r="P93" s="28">
        <f ca="1">IF($N93&lt;&gt;"", INDIRECT("'Tracker'!"&amp;ADDRESS(MATCH($N93, Tracker[Anime Name], 0) + 2, 3)), "")</f>
        <v>21</v>
      </c>
      <c r="Q93" s="22" t="str">
        <f ca="1">IF($N93&lt;&gt;"", INDIRECT("'Tracker'!"&amp;ADDRESS(MATCH($N93, Tracker[Anime Name], 0) + 2, 4)), "")</f>
        <v>C</v>
      </c>
      <c r="R93" s="22" t="str">
        <f ca="1">IF($N93&lt;&gt;"", INDIRECT("'Tracker'!"&amp;ADDRESS(MATCH($N93, Tracker[Anime Name], 0) + 2, 5)), "")</f>
        <v>720p</v>
      </c>
      <c r="S93" s="22" t="str">
        <f ca="1">IF($N93&lt;&gt;"", INDIRECT("'Tracker'!"&amp;ADDRESS(MATCH($N93, Tracker[Anime Name], 0) + 2, 6)), "")</f>
        <v>TV</v>
      </c>
      <c r="T93" s="22" t="str">
        <f ca="1">IF($N93&lt;&gt;"", INDIRECT("'Tracker'!"&amp;ADDRESS(MATCH($N93, Tracker[Anime Name], 0) + 2, 7)), "")</f>
        <v>2013D</v>
      </c>
      <c r="U93" s="28" t="str">
        <f ca="1">IF($N93&lt;&gt;"", INDIRECT("'Tracker'!"&amp;ADDRESS(MATCH($N93, Tracker[Anime Name], 0) + 2, 8)), "")</f>
        <v>Vivid</v>
      </c>
      <c r="V93" s="53">
        <f>IF(Completed!$C92&lt;&gt;"",Completed!$C92,"")</f>
        <v>5</v>
      </c>
      <c r="W93" s="53">
        <f>IF(Completed!$D92&lt;&gt;"",Completed!$D92,"")</f>
        <v>9</v>
      </c>
      <c r="X93" s="53">
        <f>IF(Completed!$E92&lt;&gt;"",Completed!$E92,"")</f>
        <v>5</v>
      </c>
      <c r="Y93" s="53">
        <f>IF(Completed!$F92&lt;&gt;"",Completed!$F92,"")</f>
        <v>9</v>
      </c>
      <c r="Z93" s="64">
        <f>IF(Completed!$G92&lt;&gt;"",Completed!$G92,"")</f>
        <v>8.075376884422111</v>
      </c>
      <c r="AA93" s="73">
        <f>IF(Completed!$H92&lt;&gt;"",Completed!$H92,"")</f>
        <v>7.457541617622331</v>
      </c>
      <c r="AB93" s="54">
        <f>IF(Completed!$I92&lt;&gt;"",Completed!$I92,"")</f>
        <v>41648</v>
      </c>
      <c r="AC93" s="54">
        <f>IF(Completed!$J92&lt;&gt;"",Completed!$J92,"")</f>
        <v>41785</v>
      </c>
      <c r="AD93" s="65" t="str">
        <f>IF(Completed!$K92&lt;&gt;"",Completed!$K92,"")</f>
        <v>Yokoi Rumi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IF(Completed!$A93&lt;&gt;"",Completed!$A93,"")</f>
        <v>Black Bullet</v>
      </c>
      <c r="O94" s="28">
        <f>IF(Completed!$B93&lt;&gt;"",Completed!$B93,"")</f>
        <v>1</v>
      </c>
      <c r="P94" s="28">
        <f ca="1">IF($N94&lt;&gt;"", INDIRECT("'Tracker'!"&amp;ADDRESS(MATCH($N94, Tracker[Anime Name], 0) + 2, 3)), "")</f>
        <v>13</v>
      </c>
      <c r="Q94" s="22" t="str">
        <f ca="1">IF($N94&lt;&gt;"", INDIRECT("'Tracker'!"&amp;ADDRESS(MATCH($N94, Tracker[Anime Name], 0) + 2, 4)), "")</f>
        <v>C</v>
      </c>
      <c r="R94" s="22" t="str">
        <f ca="1">IF($N94&lt;&gt;"", INDIRECT("'Tracker'!"&amp;ADDRESS(MATCH($N94, Tracker[Anime Name], 0) + 2, 5)), "")</f>
        <v>720p</v>
      </c>
      <c r="S94" s="22" t="str">
        <f ca="1">IF($N94&lt;&gt;"", INDIRECT("'Tracker'!"&amp;ADDRESS(MATCH($N94, Tracker[Anime Name], 0) + 2, 6)), "")</f>
        <v>TV</v>
      </c>
      <c r="T94" s="22" t="str">
        <f ca="1">IF($N94&lt;&gt;"", INDIRECT("'Tracker'!"&amp;ADDRESS(MATCH($N94, Tracker[Anime Name], 0) + 2, 7)), "")</f>
        <v>2014A</v>
      </c>
      <c r="U94" s="28" t="str">
        <f ca="1">IF($N94&lt;&gt;"", INDIRECT("'Tracker'!"&amp;ADDRESS(MATCH($N94, Tracker[Anime Name], 0) + 2, 8)), "")</f>
        <v>Underwater</v>
      </c>
      <c r="V94" s="53">
        <f>IF(Completed!$C93&lt;&gt;"",Completed!$C93,"")</f>
        <v>8</v>
      </c>
      <c r="W94" s="53">
        <f>IF(Completed!$D93&lt;&gt;"",Completed!$D93,"")</f>
        <v>8.5</v>
      </c>
      <c r="X94" s="53">
        <f>IF(Completed!$E93&lt;&gt;"",Completed!$E93,"")</f>
        <v>6</v>
      </c>
      <c r="Y94" s="53">
        <f>IF(Completed!$F93&lt;&gt;"",Completed!$F93,"")</f>
        <v>8</v>
      </c>
      <c r="Z94" s="64">
        <f>IF(Completed!$G93&lt;&gt;"",Completed!$G93,"")</f>
        <v>8.0389447236180906</v>
      </c>
      <c r="AA94" s="73">
        <f>IF(Completed!$H93&lt;&gt;"",Completed!$H93,"")</f>
        <v>7.4087775348915414</v>
      </c>
      <c r="AB94" s="54">
        <f>IF(Completed!$I93&lt;&gt;"",Completed!$I93,"")</f>
        <v>41750</v>
      </c>
      <c r="AC94" s="54">
        <f>IF(Completed!$J93&lt;&gt;"",Completed!$J93,"")</f>
        <v>41831</v>
      </c>
      <c r="AD94" s="65" t="str">
        <f>IF(Completed!$K93&lt;&gt;"",Completed!$K93,"")</f>
        <v>Tina Sprout</v>
      </c>
      <c r="AE94" s="65" t="str">
        <f>IF(Completed!$L$93&lt;&gt;"",Completed!$L$93,"")</f>
        <v>Started promising, but decayed with time.</v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IF(Completed!$A94&lt;&gt;"",Completed!$A94,"")</f>
        <v>The Idolm@ster</v>
      </c>
      <c r="O95" s="28">
        <f>IF(Completed!$B94&lt;&gt;"",Completed!$B94,"")</f>
        <v>1</v>
      </c>
      <c r="P95" s="28">
        <f ca="1">IF($N95&lt;&gt;"", INDIRECT("'Tracker'!"&amp;ADDRESS(MATCH($N95, Tracker[Anime Name], 0) + 2, 3)), "")</f>
        <v>26</v>
      </c>
      <c r="Q95" s="22" t="str">
        <f ca="1">IF($N95&lt;&gt;"", INDIRECT("'Tracker'!"&amp;ADDRESS(MATCH($N95, Tracker[Anime Name], 0) + 2, 4)), "")</f>
        <v>C</v>
      </c>
      <c r="R95" s="22" t="str">
        <f ca="1">IF($N95&lt;&gt;"", INDIRECT("'Tracker'!"&amp;ADDRESS(MATCH($N95, Tracker[Anime Name], 0) + 2, 5)), "")</f>
        <v>720p</v>
      </c>
      <c r="S95" s="22" t="str">
        <f ca="1">IF($N95&lt;&gt;"", INDIRECT("'Tracker'!"&amp;ADDRESS(MATCH($N95, Tracker[Anime Name], 0) + 2, 6)), "")</f>
        <v>BD</v>
      </c>
      <c r="T95" s="22" t="str">
        <f ca="1">IF($N95&lt;&gt;"", INDIRECT("'Tracker'!"&amp;ADDRESS(MATCH($N95, Tracker[Anime Name], 0) + 2, 7)), "")</f>
        <v>2011B</v>
      </c>
      <c r="U95" s="28" t="str">
        <f ca="1">IF($N95&lt;&gt;"", INDIRECT("'Tracker'!"&amp;ADDRESS(MATCH($N95, Tracker[Anime Name], 0) + 2, 8)), "")</f>
        <v>Coalgirls, Doki</v>
      </c>
      <c r="V95" s="53">
        <f>IF(Completed!$C94&lt;&gt;"",Completed!$C94,"")</f>
        <v>6.5</v>
      </c>
      <c r="W95" s="53">
        <f>IF(Completed!$D94&lt;&gt;"",Completed!$D94,"")</f>
        <v>8.5</v>
      </c>
      <c r="X95" s="53">
        <f>IF(Completed!$E94&lt;&gt;"",Completed!$E94,"")</f>
        <v>6.5</v>
      </c>
      <c r="Y95" s="53">
        <f>IF(Completed!$F94&lt;&gt;"",Completed!$F94,"")</f>
        <v>8.5</v>
      </c>
      <c r="Z95" s="64">
        <f>IF(Completed!$G94&lt;&gt;"",Completed!$G94,"")</f>
        <v>8.0376884422110546</v>
      </c>
      <c r="AA95" s="73">
        <f>IF(Completed!$H94&lt;&gt;"",Completed!$H94,"")</f>
        <v>7.4070960147973759</v>
      </c>
      <c r="AB95" s="54">
        <f>IF(Completed!$I94&lt;&gt;"",Completed!$I94,"")</f>
        <v>41394</v>
      </c>
      <c r="AC95" s="54">
        <f>IF(Completed!$J94&lt;&gt;"",Completed!$J94,"")</f>
        <v>41397</v>
      </c>
      <c r="AD95" s="65" t="str">
        <f>IF(Completed!$K94&lt;&gt;"",Completed!$K94,"")</f>
        <v>Hoshii Miki</v>
      </c>
      <c r="AE95" s="65" t="str">
        <f>IF(Completed!$L$94&lt;&gt;"",Completed!$L$94,"")</f>
        <v>A lot better than I thought it was going to be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IF(Completed!$A95&lt;&gt;"",Completed!$A95,"")</f>
        <v>Sakura Trick</v>
      </c>
      <c r="O96" s="28">
        <f>IF(Completed!$B95&lt;&gt;"",Completed!$B95,"")</f>
        <v>1</v>
      </c>
      <c r="P96" s="28">
        <f ca="1">IF($N96&lt;&gt;"", INDIRECT("'Tracker'!"&amp;ADDRESS(MATCH($N96, Tracker[Anime Name], 0) + 2, 3)), "")</f>
        <v>12</v>
      </c>
      <c r="Q96" s="22" t="str">
        <f ca="1">IF($N96&lt;&gt;"", INDIRECT("'Tracker'!"&amp;ADDRESS(MATCH($N96, Tracker[Anime Name], 0) + 2, 4)), "")</f>
        <v>C</v>
      </c>
      <c r="R96" s="22" t="str">
        <f ca="1">IF($N96&lt;&gt;"", INDIRECT("'Tracker'!"&amp;ADDRESS(MATCH($N96, Tracker[Anime Name], 0) + 2, 5)), "")</f>
        <v>720p</v>
      </c>
      <c r="S96" s="22" t="str">
        <f ca="1">IF($N96&lt;&gt;"", INDIRECT("'Tracker'!"&amp;ADDRESS(MATCH($N96, Tracker[Anime Name], 0) + 2, 6)), "")</f>
        <v>TV</v>
      </c>
      <c r="T96" s="22" t="str">
        <f ca="1">IF($N96&lt;&gt;"", INDIRECT("'Tracker'!"&amp;ADDRESS(MATCH($N96, Tracker[Anime Name], 0) + 2, 7)), "")</f>
        <v>2013D</v>
      </c>
      <c r="U96" s="28" t="str">
        <f ca="1">IF($N96&lt;&gt;"", INDIRECT("'Tracker'!"&amp;ADDRESS(MATCH($N96, Tracker[Anime Name], 0) + 2, 8)), "")</f>
        <v>Doki</v>
      </c>
      <c r="V96" s="53">
        <f>IF(Completed!$C95&lt;&gt;"",Completed!$C95,"")</f>
        <v>6.5</v>
      </c>
      <c r="W96" s="53">
        <f>IF(Completed!$D95&lt;&gt;"",Completed!$D95,"")</f>
        <v>8</v>
      </c>
      <c r="X96" s="53">
        <f>IF(Completed!$E95&lt;&gt;"",Completed!$E95,"")</f>
        <v>9</v>
      </c>
      <c r="Y96" s="53">
        <f>IF(Completed!$F95&lt;&gt;"",Completed!$F95,"")</f>
        <v>8.5</v>
      </c>
      <c r="Z96" s="64">
        <f>IF(Completed!$G95&lt;&gt;"",Completed!$G95,"")</f>
        <v>8.0226130653266328</v>
      </c>
      <c r="AA96" s="73">
        <f>IF(Completed!$H95&lt;&gt;"",Completed!$H95,"")</f>
        <v>7.3869177736673945</v>
      </c>
      <c r="AB96" s="54">
        <f>IF(Completed!$I95&lt;&gt;"",Completed!$I95,"")</f>
        <v>41650</v>
      </c>
      <c r="AC96" s="54">
        <f>IF(Completed!$J95&lt;&gt;"",Completed!$J95,"")</f>
        <v>41733</v>
      </c>
      <c r="AD96" s="65" t="str">
        <f>IF(Completed!$K95&lt;&gt;"",Completed!$K95,"")</f>
        <v>Minami Shizuku</v>
      </c>
      <c r="AE96" s="65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IF(Completed!$A96&lt;&gt;"",Completed!$A96,"")</f>
        <v>Sora no Woto</v>
      </c>
      <c r="O97" s="28">
        <f>IF(Completed!$B96&lt;&gt;"",Completed!$B96,"")</f>
        <v>1</v>
      </c>
      <c r="P97" s="28">
        <f ca="1">IF($N97&lt;&gt;"", INDIRECT("'Tracker'!"&amp;ADDRESS(MATCH($N97, Tracker[Anime Name], 0) + 2, 3)), "")</f>
        <v>13</v>
      </c>
      <c r="Q97" s="22" t="str">
        <f ca="1">IF($N97&lt;&gt;"", INDIRECT("'Tracker'!"&amp;ADDRESS(MATCH($N97, Tracker[Anime Name], 0) + 2, 4)), "")</f>
        <v>C</v>
      </c>
      <c r="R97" s="22" t="str">
        <f ca="1">IF($N97&lt;&gt;"", INDIRECT("'Tracker'!"&amp;ADDRESS(MATCH($N97, Tracker[Anime Name], 0) + 2, 5)), "")</f>
        <v>720p</v>
      </c>
      <c r="S97" s="22" t="str">
        <f ca="1">IF($N97&lt;&gt;"", INDIRECT("'Tracker'!"&amp;ADDRESS(MATCH($N97, Tracker[Anime Name], 0) + 2, 6)), "")</f>
        <v>BD</v>
      </c>
      <c r="T97" s="22" t="str">
        <f ca="1">IF($N97&lt;&gt;"", INDIRECT("'Tracker'!"&amp;ADDRESS(MATCH($N97, Tracker[Anime Name], 0) + 2, 7)), "")</f>
        <v>2009D</v>
      </c>
      <c r="U97" s="28" t="str">
        <f ca="1">IF($N97&lt;&gt;"", INDIRECT("'Tracker'!"&amp;ADDRESS(MATCH($N97, Tracker[Anime Name], 0) + 2, 8)), "")</f>
        <v>Coalgirls, pwq</v>
      </c>
      <c r="V97" s="53">
        <f>IF(Completed!$C96&lt;&gt;"",Completed!$C96,"")</f>
        <v>8</v>
      </c>
      <c r="W97" s="53">
        <f>IF(Completed!$D96&lt;&gt;"",Completed!$D96,"")</f>
        <v>6.5</v>
      </c>
      <c r="X97" s="53">
        <f>IF(Completed!$E96&lt;&gt;"",Completed!$E96,"")</f>
        <v>6</v>
      </c>
      <c r="Y97" s="53">
        <f>IF(Completed!$F96&lt;&gt;"",Completed!$F96,"")</f>
        <v>9</v>
      </c>
      <c r="Z97" s="64">
        <f>IF(Completed!$G96&lt;&gt;"",Completed!$G96,"")</f>
        <v>8.0012562814070343</v>
      </c>
      <c r="AA97" s="73">
        <f>IF(Completed!$H96&lt;&gt;"",Completed!$H96,"")</f>
        <v>7.3583319320665863</v>
      </c>
      <c r="AB97" s="54">
        <f>IF(Completed!$I96&lt;&gt;"",Completed!$I96,"")</f>
        <v>41316</v>
      </c>
      <c r="AC97" s="54">
        <f>IF(Completed!$J96&lt;&gt;"",Completed!$J96,"")</f>
        <v>41323</v>
      </c>
      <c r="AD97" s="65" t="str">
        <f>IF(Completed!$K96&lt;&gt;"",Completed!$K96,"")</f>
        <v>Noel Kannagi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IF(Completed!$A97&lt;&gt;"",Completed!$A97,"")</f>
        <v>Dungeon ni Deai wo Motomeru no wa Machigatteiru Darou ka</v>
      </c>
      <c r="O98" s="28">
        <f>IF(Completed!$B97&lt;&gt;"",Completed!$B97,"")</f>
        <v>1</v>
      </c>
      <c r="P98" s="28">
        <f ca="1">IF($N98&lt;&gt;"", INDIRECT("'Tracker'!"&amp;ADDRESS(MATCH($N98, Tracker[Anime Name], 0) + 2, 3)), "")</f>
        <v>6</v>
      </c>
      <c r="Q98" s="22" t="str">
        <f ca="1">IF($N98&lt;&gt;"", INDIRECT("'Tracker'!"&amp;ADDRESS(MATCH($N98, Tracker[Anime Name], 0) + 2, 4)), "")</f>
        <v>C</v>
      </c>
      <c r="R98" s="22" t="str">
        <f ca="1">IF($N98&lt;&gt;"", INDIRECT("'Tracker'!"&amp;ADDRESS(MATCH($N98, Tracker[Anime Name], 0) + 2, 5)), "")</f>
        <v>720p</v>
      </c>
      <c r="S98" s="22" t="str">
        <f ca="1">IF($N98&lt;&gt;"", INDIRECT("'Tracker'!"&amp;ADDRESS(MATCH($N98, Tracker[Anime Name], 0) + 2, 6)), "")</f>
        <v>TV</v>
      </c>
      <c r="T98" s="22" t="str">
        <f ca="1">IF($N98&lt;&gt;"", INDIRECT("'Tracker'!"&amp;ADDRESS(MATCH($N98, Tracker[Anime Name], 0) + 2, 7)), "")</f>
        <v>2015A</v>
      </c>
      <c r="U98" s="28" t="str">
        <f ca="1">IF($N98&lt;&gt;"", INDIRECT("'Tracker'!"&amp;ADDRESS(MATCH($N98, Tracker[Anime Name], 0) + 2, 8)), "")</f>
        <v>FFF</v>
      </c>
      <c r="V98" s="53">
        <f>IF(Completed!$C97&lt;&gt;"",Completed!$C97,"")</f>
        <v>8.5</v>
      </c>
      <c r="W98" s="53">
        <f>IF(Completed!$D97&lt;&gt;"",Completed!$D97,"")</f>
        <v>8</v>
      </c>
      <c r="X98" s="53">
        <f>IF(Completed!$E97&lt;&gt;"",Completed!$E97,"")</f>
        <v>6</v>
      </c>
      <c r="Y98" s="53">
        <f>IF(Completed!$F97&lt;&gt;"",Completed!$F97,"")</f>
        <v>8</v>
      </c>
      <c r="Z98" s="64">
        <f>IF(Completed!$G97&lt;&gt;"",Completed!$G97,"")</f>
        <v>7.9962311557788954</v>
      </c>
      <c r="AA98" s="73">
        <f>IF(Completed!$H97&lt;&gt;"",Completed!$H97,"")</f>
        <v>7.3516058516899285</v>
      </c>
      <c r="AB98" s="54">
        <f>IF(Completed!$I97&lt;&gt;"",Completed!$I97,"")</f>
        <v>42112</v>
      </c>
      <c r="AC98" s="54">
        <f>IF(Completed!$J97&lt;&gt;"",Completed!$J97,"")</f>
        <v>42179</v>
      </c>
      <c r="AD98" s="65" t="str">
        <f>IF(Completed!$K97&lt;&gt;"",Completed!$K97,"")</f>
        <v>Aiz Wallenstein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IF(Completed!$A98&lt;&gt;"",Completed!$A98,"")</f>
        <v>Ore no Imouto ga Konna ni Kawaii Wake ga Nai</v>
      </c>
      <c r="O99" s="28">
        <f>IF(Completed!$B98&lt;&gt;"",Completed!$B98,"")</f>
        <v>1</v>
      </c>
      <c r="P99" s="28">
        <f ca="1">IF($N99&lt;&gt;"", INDIRECT("'Tracker'!"&amp;ADDRESS(MATCH($N99, Tracker[Anime Name], 0) + 2, 3)), "")</f>
        <v>16</v>
      </c>
      <c r="Q99" s="22" t="str">
        <f ca="1">IF($N99&lt;&gt;"", INDIRECT("'Tracker'!"&amp;ADDRESS(MATCH($N99, Tracker[Anime Name], 0) + 2, 4)), "")</f>
        <v>C</v>
      </c>
      <c r="R99" s="22" t="str">
        <f ca="1">IF($N99&lt;&gt;"", INDIRECT("'Tracker'!"&amp;ADDRESS(MATCH($N99, Tracker[Anime Name], 0) + 2, 5)), "")</f>
        <v>720p</v>
      </c>
      <c r="S99" s="22" t="str">
        <f ca="1">IF($N99&lt;&gt;"", INDIRECT("'Tracker'!"&amp;ADDRESS(MATCH($N99, Tracker[Anime Name], 0) + 2, 6)), "")</f>
        <v>BD</v>
      </c>
      <c r="T99" s="22" t="str">
        <f ca="1">IF($N99&lt;&gt;"", INDIRECT("'Tracker'!"&amp;ADDRESS(MATCH($N99, Tracker[Anime Name], 0) + 2, 7)), "")</f>
        <v>2010C</v>
      </c>
      <c r="U99" s="28" t="str">
        <f ca="1">IF($N99&lt;&gt;"", INDIRECT("'Tracker'!"&amp;ADDRESS(MATCH($N99, Tracker[Anime Name], 0) + 2, 8)), "")</f>
        <v>Coalgirls, Mazui</v>
      </c>
      <c r="V99" s="53">
        <f>IF(Completed!$C98&lt;&gt;"",Completed!$C98,"")</f>
        <v>8</v>
      </c>
      <c r="W99" s="53">
        <f>IF(Completed!$D98&lt;&gt;"",Completed!$D98,"")</f>
        <v>8.5</v>
      </c>
      <c r="X99" s="53">
        <f>IF(Completed!$E98&lt;&gt;"",Completed!$E98,"")</f>
        <v>5</v>
      </c>
      <c r="Y99" s="53">
        <f>IF(Completed!$F98&lt;&gt;"",Completed!$F98,"")</f>
        <v>8</v>
      </c>
      <c r="Z99" s="64">
        <f>IF(Completed!$G98&lt;&gt;"",Completed!$G98,"")</f>
        <v>7.9912060301507539</v>
      </c>
      <c r="AA99" s="73">
        <f>IF(Completed!$H98&lt;&gt;"",Completed!$H98,"")</f>
        <v>7.3448797713132672</v>
      </c>
      <c r="AB99" s="54">
        <f>IF(Completed!$I98&lt;&gt;"",Completed!$I98,"")</f>
        <v>41360</v>
      </c>
      <c r="AC99" s="54">
        <f>IF(Completed!$J98&lt;&gt;"",Completed!$J98,"")</f>
        <v>41363</v>
      </c>
      <c r="AD99" s="65" t="str">
        <f>IF(Completed!$K98&lt;&gt;"",Completed!$K98,"")</f>
        <v>Kuroneko (Gokou Ruri)</v>
      </c>
      <c r="AE99" s="65" t="str">
        <f>IF(Completed!$L$98&lt;&gt;"",Completed!$L$98,"")</f>
        <v>Kuroneko best girl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IF(Completed!$A99&lt;&gt;"",Completed!$A99,"")</f>
        <v>Gakusen Toshi Asterisk</v>
      </c>
      <c r="O100" s="28">
        <f>IF(Completed!$B99&lt;&gt;"",Completed!$B99,"")</f>
        <v>1</v>
      </c>
      <c r="P100" s="28">
        <f ca="1">IF($N100&lt;&gt;"", INDIRECT("'Tracker'!"&amp;ADDRESS(MATCH($N100, Tracker[Anime Name], 0) + 2, 3)), "")</f>
        <v>12</v>
      </c>
      <c r="Q100" s="22" t="str">
        <f ca="1">IF($N100&lt;&gt;"", INDIRECT("'Tracker'!"&amp;ADDRESS(MATCH($N100, Tracker[Anime Name], 0) + 2, 4)), "")</f>
        <v>B</v>
      </c>
      <c r="R100" s="22" t="str">
        <f ca="1">IF($N100&lt;&gt;"", INDIRECT("'Tracker'!"&amp;ADDRESS(MATCH($N100, Tracker[Anime Name], 0) + 2, 5)), "")</f>
        <v>720p</v>
      </c>
      <c r="S100" s="22" t="str">
        <f ca="1">IF($N100&lt;&gt;"", INDIRECT("'Tracker'!"&amp;ADDRESS(MATCH($N100, Tracker[Anime Name], 0) + 2, 6)), "")</f>
        <v>TV</v>
      </c>
      <c r="T100" s="22" t="str">
        <f ca="1">IF($N100&lt;&gt;"", INDIRECT("'Tracker'!"&amp;ADDRESS(MATCH($N100, Tracker[Anime Name], 0) + 2, 7)), "")</f>
        <v>2015C</v>
      </c>
      <c r="U100" s="28" t="str">
        <f ca="1">IF($N100&lt;&gt;"", INDIRECT("'Tracker'!"&amp;ADDRESS(MATCH($N100, Tracker[Anime Name], 0) + 2, 8)), "")</f>
        <v>FFF</v>
      </c>
      <c r="V100" s="53">
        <f>IF(Completed!$C99&lt;&gt;"",Completed!$C99,"")</f>
        <v>8</v>
      </c>
      <c r="W100" s="53">
        <f>IF(Completed!$D99&lt;&gt;"",Completed!$D99,"")</f>
        <v>8</v>
      </c>
      <c r="X100" s="53">
        <f>IF(Completed!$E99&lt;&gt;"",Completed!$E99,"")</f>
        <v>7</v>
      </c>
      <c r="Y100" s="53">
        <f>IF(Completed!$F99&lt;&gt;"",Completed!$F99,"")</f>
        <v>8</v>
      </c>
      <c r="Z100" s="64">
        <f>IF(Completed!$G99&lt;&gt;"",Completed!$G99,"")</f>
        <v>7.9522613065326633</v>
      </c>
      <c r="AA100" s="73">
        <f>IF(Completed!$H99&lt;&gt;"",Completed!$H99,"")</f>
        <v>7.2927526483941474</v>
      </c>
      <c r="AB100" s="54">
        <f>IF(Completed!$I99&lt;&gt;"",Completed!$I99,"")</f>
        <v>42289</v>
      </c>
      <c r="AC100" s="54">
        <f>IF(Completed!$J99&lt;&gt;"",Completed!$J99,"")</f>
        <v>42385</v>
      </c>
      <c r="AD100" s="65" t="str">
        <f>IF(Completed!$K99&lt;&gt;"",Completed!$K99,"")</f>
        <v>Toudou Kirin</v>
      </c>
      <c r="AE100" s="65" t="str">
        <f>IF(Completed!$L$99&lt;&gt;"",Completed!$L$99,"")</f>
        <v/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IF(Completed!$A100&lt;&gt;"",Completed!$A100,"")</f>
        <v>Pokemon: The Origin</v>
      </c>
      <c r="O101" s="28">
        <f>IF(Completed!$B100&lt;&gt;"",Completed!$B100,"")</f>
        <v>1</v>
      </c>
      <c r="P101" s="28">
        <f ca="1">IF($N101&lt;&gt;"", INDIRECT("'Tracker'!"&amp;ADDRESS(MATCH($N101, Tracker[Anime Name], 0) + 2, 3)), "")</f>
        <v>4</v>
      </c>
      <c r="Q101" s="22" t="str">
        <f ca="1">IF($N101&lt;&gt;"", INDIRECT("'Tracker'!"&amp;ADDRESS(MATCH($N101, Tracker[Anime Name], 0) + 2, 4)), "")</f>
        <v>A</v>
      </c>
      <c r="R101" s="22" t="str">
        <f ca="1">IF($N101&lt;&gt;"", INDIRECT("'Tracker'!"&amp;ADDRESS(MATCH($N101, Tracker[Anime Name], 0) + 2, 5)), "")</f>
        <v>720p</v>
      </c>
      <c r="S101" s="22" t="str">
        <f ca="1">IF($N101&lt;&gt;"", INDIRECT("'Tracker'!"&amp;ADDRESS(MATCH($N101, Tracker[Anime Name], 0) + 2, 6)), "")</f>
        <v>TV</v>
      </c>
      <c r="T101" s="22" t="str">
        <f ca="1">IF($N101&lt;&gt;"", INDIRECT("'Tracker'!"&amp;ADDRESS(MATCH($N101, Tracker[Anime Name], 0) + 2, 7)), "")</f>
        <v>2013C</v>
      </c>
      <c r="U101" s="28" t="str">
        <f ca="1">IF($N101&lt;&gt;"", INDIRECT("'Tracker'!"&amp;ADDRESS(MATCH($N101, Tracker[Anime Name], 0) + 2, 8)), "")</f>
        <v>Doki</v>
      </c>
      <c r="V101" s="53">
        <f>IF(Completed!$C100&lt;&gt;"",Completed!$C100,"")</f>
        <v>8.5</v>
      </c>
      <c r="W101" s="53">
        <f>IF(Completed!$D100&lt;&gt;"",Completed!$D100,"")</f>
        <v>8</v>
      </c>
      <c r="X101" s="53">
        <f>IF(Completed!$E100&lt;&gt;"",Completed!$E100,"")</f>
        <v>5</v>
      </c>
      <c r="Y101" s="53">
        <f>IF(Completed!$F100&lt;&gt;"",Completed!$F100,"")</f>
        <v>8</v>
      </c>
      <c r="Z101" s="64">
        <f>IF(Completed!$G100&lt;&gt;"",Completed!$G100,"")</f>
        <v>7.9484924623115569</v>
      </c>
      <c r="AA101" s="73">
        <f>IF(Completed!$H100&lt;&gt;"",Completed!$H100,"")</f>
        <v>7.2877080881116507</v>
      </c>
      <c r="AB101" s="54">
        <f>IF(Completed!$I100&lt;&gt;"",Completed!$I100,"")</f>
        <v>41940</v>
      </c>
      <c r="AC101" s="54">
        <f>IF(Completed!$J100&lt;&gt;"",Completed!$J100,"")</f>
        <v>41940</v>
      </c>
      <c r="AD101" s="65" t="str">
        <f>IF(Completed!$K100&lt;&gt;"",Completed!$K100,"")</f>
        <v>Erika</v>
      </c>
      <c r="AE101" s="65" t="str">
        <f>IF(Completed!$L$100&lt;&gt;"",Completed!$L$100,"")</f>
        <v>Mega Punch OP</v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IF(Completed!$A101&lt;&gt;"",Completed!$A101,"")</f>
        <v>Boku wa Tomodachi ga Sukunai</v>
      </c>
      <c r="O102" s="28">
        <f>IF(Completed!$B101&lt;&gt;"",Completed!$B101,"")</f>
        <v>1</v>
      </c>
      <c r="P102" s="28">
        <f ca="1">IF($N102&lt;&gt;"", INDIRECT("'Tracker'!"&amp;ADDRESS(MATCH($N102, Tracker[Anime Name], 0) + 2, 3)), "")</f>
        <v>13</v>
      </c>
      <c r="Q102" s="22" t="str">
        <f ca="1">IF($N102&lt;&gt;"", INDIRECT("'Tracker'!"&amp;ADDRESS(MATCH($N102, Tracker[Anime Name], 0) + 2, 4)), "")</f>
        <v>C</v>
      </c>
      <c r="R102" s="22" t="str">
        <f ca="1">IF($N102&lt;&gt;"", INDIRECT("'Tracker'!"&amp;ADDRESS(MATCH($N102, Tracker[Anime Name], 0) + 2, 5)), "")</f>
        <v>720p</v>
      </c>
      <c r="S102" s="22" t="str">
        <f ca="1">IF($N102&lt;&gt;"", INDIRECT("'Tracker'!"&amp;ADDRESS(MATCH($N102, Tracker[Anime Name], 0) + 2, 6)), "")</f>
        <v>BD</v>
      </c>
      <c r="T102" s="22" t="str">
        <f ca="1">IF($N102&lt;&gt;"", INDIRECT("'Tracker'!"&amp;ADDRESS(MATCH($N102, Tracker[Anime Name], 0) + 2, 7)), "")</f>
        <v>2011C</v>
      </c>
      <c r="U102" s="28" t="str">
        <f ca="1">IF($N102&lt;&gt;"", INDIRECT("'Tracker'!"&amp;ADDRESS(MATCH($N102, Tracker[Anime Name], 0) + 2, 8)), "")</f>
        <v>Coalgirls, Mazui</v>
      </c>
      <c r="V102" s="53">
        <f>IF(Completed!$C101&lt;&gt;"",Completed!$C101,"")</f>
        <v>7</v>
      </c>
      <c r="W102" s="53">
        <f>IF(Completed!$D101&lt;&gt;"",Completed!$D101,"")</f>
        <v>8</v>
      </c>
      <c r="X102" s="53">
        <f>IF(Completed!$E101&lt;&gt;"",Completed!$E101,"")</f>
        <v>5.5</v>
      </c>
      <c r="Y102" s="53">
        <f>IF(Completed!$F101&lt;&gt;"",Completed!$F101,"")</f>
        <v>8.5</v>
      </c>
      <c r="Z102" s="64">
        <f>IF(Completed!$G101&lt;&gt;"",Completed!$G101,"")</f>
        <v>7.9472361809045227</v>
      </c>
      <c r="AA102" s="73">
        <f>IF(Completed!$H101&lt;&gt;"",Completed!$H101,"")</f>
        <v>7.2860265680174878</v>
      </c>
      <c r="AB102" s="54">
        <f>IF(Completed!$I101&lt;&gt;"",Completed!$I101,"")</f>
        <v>41363</v>
      </c>
      <c r="AC102" s="54">
        <f>IF(Completed!$J101&lt;&gt;"",Completed!$J101,"")</f>
        <v>41364</v>
      </c>
      <c r="AD102" s="65" t="str">
        <f>IF(Completed!$K101&lt;&gt;"",Completed!$K101,"")</f>
        <v>Hasegawa Kobato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IF(Completed!$A102&lt;&gt;"",Completed!$A102,"")</f>
        <v>Free!</v>
      </c>
      <c r="O103" s="28">
        <f>IF(Completed!$B102&lt;&gt;"",Completed!$B102,"")</f>
        <v>1</v>
      </c>
      <c r="P103" s="28">
        <f ca="1">IF($N103&lt;&gt;"", INDIRECT("'Tracker'!"&amp;ADDRESS(MATCH($N103, Tracker[Anime Name], 0) + 2, 3)), "")</f>
        <v>12</v>
      </c>
      <c r="Q103" s="22" t="str">
        <f ca="1">IF($N103&lt;&gt;"", INDIRECT("'Tracker'!"&amp;ADDRESS(MATCH($N103, Tracker[Anime Name], 0) + 2, 4)), "")</f>
        <v>A</v>
      </c>
      <c r="R103" s="22" t="str">
        <f ca="1">IF($N103&lt;&gt;"", INDIRECT("'Tracker'!"&amp;ADDRESS(MATCH($N103, Tracker[Anime Name], 0) + 2, 5)), "")</f>
        <v>1080p</v>
      </c>
      <c r="S103" s="22" t="str">
        <f ca="1">IF($N103&lt;&gt;"", INDIRECT("'Tracker'!"&amp;ADDRESS(MATCH($N103, Tracker[Anime Name], 0) + 2, 6)), "")</f>
        <v>BD</v>
      </c>
      <c r="T103" s="22" t="str">
        <f ca="1">IF($N103&lt;&gt;"", INDIRECT("'Tracker'!"&amp;ADDRESS(MATCH($N103, Tracker[Anime Name], 0) + 2, 7)), "")</f>
        <v>2013B</v>
      </c>
      <c r="U103" s="28" t="str">
        <f ca="1">IF($N103&lt;&gt;"", INDIRECT("'Tracker'!"&amp;ADDRESS(MATCH($N103, Tracker[Anime Name], 0) + 2, 8)), "")</f>
        <v>Commie</v>
      </c>
      <c r="V103" s="53">
        <f>IF(Completed!$C102&lt;&gt;"",Completed!$C102,"")</f>
        <v>8.5</v>
      </c>
      <c r="W103" s="53">
        <f>IF(Completed!$D102&lt;&gt;"",Completed!$D102,"")</f>
        <v>7.5</v>
      </c>
      <c r="X103" s="53">
        <f>IF(Completed!$E102&lt;&gt;"",Completed!$E102,"")</f>
        <v>2.5</v>
      </c>
      <c r="Y103" s="53">
        <f>IF(Completed!$F102&lt;&gt;"",Completed!$F102,"")</f>
        <v>8.5</v>
      </c>
      <c r="Z103" s="64">
        <f>IF(Completed!$G102&lt;&gt;"",Completed!$G102,"")</f>
        <v>7.9447236180904515</v>
      </c>
      <c r="AA103" s="73">
        <f>IF(Completed!$H102&lt;&gt;"",Completed!$H102,"")</f>
        <v>7.2826635278291567</v>
      </c>
      <c r="AB103" s="54">
        <f>IF(Completed!$I102&lt;&gt;"",Completed!$I102,"")</f>
        <v>41459</v>
      </c>
      <c r="AC103" s="54">
        <f>IF(Completed!$J102&lt;&gt;"",Completed!$J102,"")</f>
        <v>41543</v>
      </c>
      <c r="AD103" s="65" t="str">
        <f>IF(Completed!$K102&lt;&gt;"",Completed!$K102,"")</f>
        <v>Matsuoka Gou</v>
      </c>
      <c r="AE103" s="65" t="str">
        <f>IF(Completed!$L$102&lt;&gt;"",Completed!$L$102,"")</f>
        <v>Not as bad as everyone makes it seem - KyoAni animation and music plus an actual plot is pretty nice.</v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IF(Completed!$A103&lt;&gt;"",Completed!$A103,"")</f>
        <v>K-On!</v>
      </c>
      <c r="O104" s="28">
        <f>IF(Completed!$B103&lt;&gt;"",Completed!$B103,"")</f>
        <v>1</v>
      </c>
      <c r="P104" s="28">
        <f ca="1">IF($N104&lt;&gt;"", INDIRECT("'Tracker'!"&amp;ADDRESS(MATCH($N104, Tracker[Anime Name], 0) + 2, 3)), "")</f>
        <v>13</v>
      </c>
      <c r="Q104" s="22" t="str">
        <f ca="1">IF($N104&lt;&gt;"", INDIRECT("'Tracker'!"&amp;ADDRESS(MATCH($N104, Tracker[Anime Name], 0) + 2, 4)), "")</f>
        <v>C</v>
      </c>
      <c r="R104" s="22" t="str">
        <f ca="1">IF($N104&lt;&gt;"", INDIRECT("'Tracker'!"&amp;ADDRESS(MATCH($N104, Tracker[Anime Name], 0) + 2, 5)), "")</f>
        <v>720p</v>
      </c>
      <c r="S104" s="22" t="str">
        <f ca="1">IF($N104&lt;&gt;"", INDIRECT("'Tracker'!"&amp;ADDRESS(MATCH($N104, Tracker[Anime Name], 0) + 2, 6)), "")</f>
        <v>BD</v>
      </c>
      <c r="T104" s="22" t="str">
        <f ca="1">IF($N104&lt;&gt;"", INDIRECT("'Tracker'!"&amp;ADDRESS(MATCH($N104, Tracker[Anime Name], 0) + 2, 7)), "")</f>
        <v>2009A</v>
      </c>
      <c r="U104" s="28" t="str">
        <f ca="1">IF($N104&lt;&gt;"", INDIRECT("'Tracker'!"&amp;ADDRESS(MATCH($N104, Tracker[Anime Name], 0) + 2, 8)), "")</f>
        <v>Frostii</v>
      </c>
      <c r="V104" s="53">
        <f>IF(Completed!$C103&lt;&gt;"",Completed!$C103,"")</f>
        <v>6</v>
      </c>
      <c r="W104" s="53">
        <f>IF(Completed!$D103&lt;&gt;"",Completed!$D103,"")</f>
        <v>7</v>
      </c>
      <c r="X104" s="53">
        <f>IF(Completed!$E103&lt;&gt;"",Completed!$E103,"")</f>
        <v>9</v>
      </c>
      <c r="Y104" s="53">
        <f>IF(Completed!$F103&lt;&gt;"",Completed!$F103,"")</f>
        <v>9</v>
      </c>
      <c r="Z104" s="64">
        <f>IF(Completed!$G103&lt;&gt;"",Completed!$G103,"")</f>
        <v>7.9120603015075384</v>
      </c>
      <c r="AA104" s="73">
        <f>IF(Completed!$H103&lt;&gt;"",Completed!$H103,"")</f>
        <v>7.2389440053808647</v>
      </c>
      <c r="AB104" s="54">
        <f>IF(Completed!$I103&lt;&gt;"",Completed!$I103,"")</f>
        <v>41337</v>
      </c>
      <c r="AC104" s="54">
        <f>IF(Completed!$J103&lt;&gt;"",Completed!$J103,"")</f>
        <v>41338</v>
      </c>
      <c r="AD104" s="65" t="str">
        <f>IF(Completed!$K103&lt;&gt;"",Completed!$K103,"")</f>
        <v>Nakano Azusa</v>
      </c>
      <c r="AE104" s="65" t="str">
        <f>IF(Completed!$L$103&lt;&gt;"",Completed!$L$103,"")</f>
        <v>The music is portrayed very accurately. 10/10 to the animators</v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IF(Completed!$A104&lt;&gt;"",Completed!$A104,"")</f>
        <v>Baka to Test to Shoukanjuu</v>
      </c>
      <c r="O105" s="28">
        <f>IF(Completed!$B104&lt;&gt;"",Completed!$B104,"")</f>
        <v>1</v>
      </c>
      <c r="P105" s="28">
        <f ca="1">IF($N105&lt;&gt;"", INDIRECT("'Tracker'!"&amp;ADDRESS(MATCH($N105, Tracker[Anime Name], 0) + 2, 3)), "")</f>
        <v>13</v>
      </c>
      <c r="Q105" s="22" t="str">
        <f ca="1">IF($N105&lt;&gt;"", INDIRECT("'Tracker'!"&amp;ADDRESS(MATCH($N105, Tracker[Anime Name], 0) + 2, 4)), "")</f>
        <v>C</v>
      </c>
      <c r="R105" s="22" t="str">
        <f ca="1">IF($N105&lt;&gt;"", INDIRECT("'Tracker'!"&amp;ADDRESS(MATCH($N105, Tracker[Anime Name], 0) + 2, 5)), "")</f>
        <v>1080p</v>
      </c>
      <c r="S105" s="22" t="str">
        <f ca="1">IF($N105&lt;&gt;"", INDIRECT("'Tracker'!"&amp;ADDRESS(MATCH($N105, Tracker[Anime Name], 0) + 2, 6)), "")</f>
        <v>BD</v>
      </c>
      <c r="T105" s="22" t="str">
        <f ca="1">IF($N105&lt;&gt;"", INDIRECT("'Tracker'!"&amp;ADDRESS(MATCH($N105, Tracker[Anime Name], 0) + 2, 7)), "")</f>
        <v>2009D</v>
      </c>
      <c r="U105" s="28" t="str">
        <f ca="1">IF($N105&lt;&gt;"", INDIRECT("'Tracker'!"&amp;ADDRESS(MATCH($N105, Tracker[Anime Name], 0) + 2, 8)), "")</f>
        <v>Elysium</v>
      </c>
      <c r="V105" s="53">
        <f>IF(Completed!$C104&lt;&gt;"",Completed!$C104,"")</f>
        <v>6.5</v>
      </c>
      <c r="W105" s="53">
        <f>IF(Completed!$D104&lt;&gt;"",Completed!$D104,"")</f>
        <v>7.5</v>
      </c>
      <c r="X105" s="53">
        <f>IF(Completed!$E104&lt;&gt;"",Completed!$E104,"")</f>
        <v>4</v>
      </c>
      <c r="Y105" s="53">
        <f>IF(Completed!$F104&lt;&gt;"",Completed!$F104,"")</f>
        <v>9</v>
      </c>
      <c r="Z105" s="64">
        <f>IF(Completed!$G104&lt;&gt;"",Completed!$G104,"")</f>
        <v>7.8994974874371851</v>
      </c>
      <c r="AA105" s="73">
        <f>IF(Completed!$H104&lt;&gt;"",Completed!$H104,"")</f>
        <v>7.2221288044392118</v>
      </c>
      <c r="AB105" s="54">
        <f>IF(Completed!$I104&lt;&gt;"",Completed!$I104,"")</f>
        <v>41347</v>
      </c>
      <c r="AC105" s="54">
        <f>IF(Completed!$J104&lt;&gt;"",Completed!$J104,"")</f>
        <v>41354</v>
      </c>
      <c r="AD105" s="65" t="str">
        <f>IF(Completed!$K104&lt;&gt;"",Completed!$K104,"")</f>
        <v>Kirishima Shouko</v>
      </c>
      <c r="AE105" s="65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IF(Completed!$A105&lt;&gt;"",Completed!$A105,"")</f>
        <v>Ro-Kyu-Bu! SS</v>
      </c>
      <c r="O106" s="28">
        <f>IF(Completed!$B105&lt;&gt;"",Completed!$B105,"")</f>
        <v>2</v>
      </c>
      <c r="P106" s="28">
        <f ca="1">IF($N106&lt;&gt;"", INDIRECT("'Tracker'!"&amp;ADDRESS(MATCH($N106, Tracker[Anime Name], 0) + 2, 3)), "")</f>
        <v>12</v>
      </c>
      <c r="Q106" s="22" t="str">
        <f ca="1">IF($N106&lt;&gt;"", INDIRECT("'Tracker'!"&amp;ADDRESS(MATCH($N106, Tracker[Anime Name], 0) + 2, 4)), "")</f>
        <v>C</v>
      </c>
      <c r="R106" s="22" t="str">
        <f ca="1">IF($N106&lt;&gt;"", INDIRECT("'Tracker'!"&amp;ADDRESS(MATCH($N106, Tracker[Anime Name], 0) + 2, 5)), "")</f>
        <v>1080p</v>
      </c>
      <c r="S106" s="22" t="str">
        <f ca="1">IF($N106&lt;&gt;"", INDIRECT("'Tracker'!"&amp;ADDRESS(MATCH($N106, Tracker[Anime Name], 0) + 2, 6)), "")</f>
        <v>BD</v>
      </c>
      <c r="T106" s="22" t="str">
        <f ca="1">IF($N106&lt;&gt;"", INDIRECT("'Tracker'!"&amp;ADDRESS(MATCH($N106, Tracker[Anime Name], 0) + 2, 7)), "")</f>
        <v>2013B</v>
      </c>
      <c r="U106" s="28" t="str">
        <f ca="1">IF($N106&lt;&gt;"", INDIRECT("'Tracker'!"&amp;ADDRESS(MATCH($N106, Tracker[Anime Name], 0) + 2, 8)), "")</f>
        <v>Asenshi-Doremi, Loligeddon</v>
      </c>
      <c r="V106" s="53">
        <f>IF(Completed!$C105&lt;&gt;"",Completed!$C105,"")</f>
        <v>7</v>
      </c>
      <c r="W106" s="53">
        <f>IF(Completed!$D105&lt;&gt;"",Completed!$D105,"")</f>
        <v>8</v>
      </c>
      <c r="X106" s="53">
        <f>IF(Completed!$E105&lt;&gt;"",Completed!$E105,"")</f>
        <v>9.5</v>
      </c>
      <c r="Y106" s="53">
        <f>IF(Completed!$F105&lt;&gt;"",Completed!$F105,"")</f>
        <v>8</v>
      </c>
      <c r="Z106" s="64">
        <f>IF(Completed!$G105&lt;&gt;"",Completed!$G105,"")</f>
        <v>7.8881909547738696</v>
      </c>
      <c r="AA106" s="73">
        <f>IF(Completed!$H105&lt;&gt;"",Completed!$H105,"")</f>
        <v>7.2069951235917262</v>
      </c>
      <c r="AB106" s="54">
        <f>IF(Completed!$I105&lt;&gt;"",Completed!$I105,"")</f>
        <v>41468</v>
      </c>
      <c r="AC106" s="54">
        <f>IF(Completed!$J105&lt;&gt;"",Completed!$J105,"")</f>
        <v>41589</v>
      </c>
      <c r="AD106" s="65" t="str">
        <f>IF(Completed!$K105&lt;&gt;"",Completed!$K105,"")</f>
        <v>Hakamada Hinata</v>
      </c>
      <c r="AE106" s="65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IF(Completed!$A106&lt;&gt;"",Completed!$A106,"")</f>
        <v>Kiniro Mosaic</v>
      </c>
      <c r="O107" s="28">
        <f>IF(Completed!$B106&lt;&gt;"",Completed!$B106,"")</f>
        <v>1</v>
      </c>
      <c r="P107" s="28">
        <f ca="1">IF($N107&lt;&gt;"", INDIRECT("'Tracker'!"&amp;ADDRESS(MATCH($N107, Tracker[Anime Name], 0) + 2, 3)), "")</f>
        <v>12</v>
      </c>
      <c r="Q107" s="22" t="str">
        <f ca="1">IF($N107&lt;&gt;"", INDIRECT("'Tracker'!"&amp;ADDRESS(MATCH($N107, Tracker[Anime Name], 0) + 2, 4)), "")</f>
        <v>C</v>
      </c>
      <c r="R107" s="22" t="str">
        <f ca="1">IF($N107&lt;&gt;"", INDIRECT("'Tracker'!"&amp;ADDRESS(MATCH($N107, Tracker[Anime Name], 0) + 2, 5)), "")</f>
        <v>1080p</v>
      </c>
      <c r="S107" s="22" t="str">
        <f ca="1">IF($N107&lt;&gt;"", INDIRECT("'Tracker'!"&amp;ADDRESS(MATCH($N107, Tracker[Anime Name], 0) + 2, 6)), "")</f>
        <v>BD</v>
      </c>
      <c r="T107" s="22" t="str">
        <f ca="1">IF($N107&lt;&gt;"", INDIRECT("'Tracker'!"&amp;ADDRESS(MATCH($N107, Tracker[Anime Name], 0) + 2, 7)), "")</f>
        <v>2013B</v>
      </c>
      <c r="U107" s="28" t="str">
        <f ca="1">IF($N107&lt;&gt;"", INDIRECT("'Tracker'!"&amp;ADDRESS(MATCH($N107, Tracker[Anime Name], 0) + 2, 8)), "")</f>
        <v>Doki</v>
      </c>
      <c r="V107" s="53">
        <f>IF(Completed!$C106&lt;&gt;"",Completed!$C106,"")</f>
        <v>3.5</v>
      </c>
      <c r="W107" s="53">
        <f>IF(Completed!$D106&lt;&gt;"",Completed!$D106,"")</f>
        <v>8.5</v>
      </c>
      <c r="X107" s="53">
        <f>IF(Completed!$E106&lt;&gt;"",Completed!$E106,"")</f>
        <v>9.5</v>
      </c>
      <c r="Y107" s="53">
        <f>IF(Completed!$F106&lt;&gt;"",Completed!$F106,"")</f>
        <v>9</v>
      </c>
      <c r="Z107" s="64">
        <f>IF(Completed!$G106&lt;&gt;"",Completed!$G106,"")</f>
        <v>7.8806532663316586</v>
      </c>
      <c r="AA107" s="73">
        <f>IF(Completed!$H106&lt;&gt;"",Completed!$H106,"")</f>
        <v>7.1969060030267364</v>
      </c>
      <c r="AB107" s="54">
        <f>IF(Completed!$I106&lt;&gt;"",Completed!$I106,"")</f>
        <v>41462</v>
      </c>
      <c r="AC107" s="54">
        <f>IF(Completed!$J106&lt;&gt;"",Completed!$J106,"")</f>
        <v>41538</v>
      </c>
      <c r="AD107" s="65" t="str">
        <f>IF(Completed!$K106&lt;&gt;"",Completed!$K106,"")</f>
        <v>Komichi Aya</v>
      </c>
      <c r="AE107" s="65" t="str">
        <f>IF(Completed!$L$106&lt;&gt;"",Completed!$L$106,"")</f>
        <v/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IF(Completed!$A107&lt;&gt;"",Completed!$A107,"")</f>
        <v>Wakaba * Girl</v>
      </c>
      <c r="O108" s="28">
        <f>IF(Completed!$B107&lt;&gt;"",Completed!$B107,"")</f>
        <v>1</v>
      </c>
      <c r="P108" s="28">
        <f ca="1">IF($N108&lt;&gt;"", INDIRECT("'Tracker'!"&amp;ADDRESS(MATCH($N108, Tracker[Anime Name], 0) + 2, 3)), "")</f>
        <v>10</v>
      </c>
      <c r="Q108" s="22" t="str">
        <f ca="1">IF($N108&lt;&gt;"", INDIRECT("'Tracker'!"&amp;ADDRESS(MATCH($N108, Tracker[Anime Name], 0) + 2, 4)), "")</f>
        <v>C</v>
      </c>
      <c r="R108" s="22" t="str">
        <f ca="1">IF($N108&lt;&gt;"", INDIRECT("'Tracker'!"&amp;ADDRESS(MATCH($N108, Tracker[Anime Name], 0) + 2, 5)), "")</f>
        <v>720p</v>
      </c>
      <c r="S108" s="22" t="str">
        <f ca="1">IF($N108&lt;&gt;"", INDIRECT("'Tracker'!"&amp;ADDRESS(MATCH($N108, Tracker[Anime Name], 0) + 2, 6)), "")</f>
        <v>TV</v>
      </c>
      <c r="T108" s="22" t="str">
        <f ca="1">IF($N108&lt;&gt;"", INDIRECT("'Tracker'!"&amp;ADDRESS(MATCH($N108, Tracker[Anime Name], 0) + 2, 7)), "")</f>
        <v>2015B</v>
      </c>
      <c r="U108" s="28" t="str">
        <f ca="1">IF($N108&lt;&gt;"", INDIRECT("'Tracker'!"&amp;ADDRESS(MATCH($N108, Tracker[Anime Name], 0) + 2, 8)), "")</f>
        <v>HorribleSubs</v>
      </c>
      <c r="V108" s="53">
        <f>IF(Completed!$C107&lt;&gt;"",Completed!$C107,"")</f>
        <v>7</v>
      </c>
      <c r="W108" s="53">
        <f>IF(Completed!$D107&lt;&gt;"",Completed!$D107,"")</f>
        <v>8</v>
      </c>
      <c r="X108" s="53">
        <f>IF(Completed!$E107&lt;&gt;"",Completed!$E107,"")</f>
        <v>9</v>
      </c>
      <c r="Y108" s="53">
        <f>IF(Completed!$F107&lt;&gt;"",Completed!$F107,"")</f>
        <v>8</v>
      </c>
      <c r="Z108" s="64">
        <f>IF(Completed!$G107&lt;&gt;"",Completed!$G107,"")</f>
        <v>7.8643216080402008</v>
      </c>
      <c r="AA108" s="73">
        <f>IF(Completed!$H107&lt;&gt;"",Completed!$H107,"")</f>
        <v>7.1750462418025887</v>
      </c>
      <c r="AB108" s="54">
        <f>IF(Completed!$I107&lt;&gt;"",Completed!$I107,"")</f>
        <v>42214</v>
      </c>
      <c r="AC108" s="54">
        <f>IF(Completed!$J107&lt;&gt;"",Completed!$J107,"")</f>
        <v>42272</v>
      </c>
      <c r="AD108" s="65" t="str">
        <f>IF(Completed!$K107&lt;&gt;"",Completed!$K107,"")</f>
        <v>Kohashi Yuzuha</v>
      </c>
      <c r="AE108" s="65" t="str">
        <f>IF(Completed!$L$107&lt;&gt;"",Completed!$L$107,"")</f>
        <v>Cute show, sasuga Hara Yui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IF(Completed!$A108&lt;&gt;"",Completed!$A108,"")</f>
        <v>Golden Time</v>
      </c>
      <c r="O109" s="28">
        <f>IF(Completed!$B108&lt;&gt;"",Completed!$B108,"")</f>
        <v>1</v>
      </c>
      <c r="P109" s="28">
        <f ca="1">IF($N109&lt;&gt;"", INDIRECT("'Tracker'!"&amp;ADDRESS(MATCH($N109, Tracker[Anime Name], 0) + 2, 3)), "")</f>
        <v>24</v>
      </c>
      <c r="Q109" s="22" t="str">
        <f ca="1">IF($N109&lt;&gt;"", INDIRECT("'Tracker'!"&amp;ADDRESS(MATCH($N109, Tracker[Anime Name], 0) + 2, 4)), "")</f>
        <v>C</v>
      </c>
      <c r="R109" s="22" t="str">
        <f ca="1">IF($N109&lt;&gt;"", INDIRECT("'Tracker'!"&amp;ADDRESS(MATCH($N109, Tracker[Anime Name], 0) + 2, 5)), "")</f>
        <v>720p</v>
      </c>
      <c r="S109" s="22" t="str">
        <f ca="1">IF($N109&lt;&gt;"", INDIRECT("'Tracker'!"&amp;ADDRESS(MATCH($N109, Tracker[Anime Name], 0) + 2, 6)), "")</f>
        <v>TV</v>
      </c>
      <c r="T109" s="22" t="str">
        <f ca="1">IF($N109&lt;&gt;"", INDIRECT("'Tracker'!"&amp;ADDRESS(MATCH($N109, Tracker[Anime Name], 0) + 2, 7)), "")</f>
        <v>2013C</v>
      </c>
      <c r="U109" s="28" t="str">
        <f ca="1">IF($N109&lt;&gt;"", INDIRECT("'Tracker'!"&amp;ADDRESS(MATCH($N109, Tracker[Anime Name], 0) + 2, 8)), "")</f>
        <v>FFF</v>
      </c>
      <c r="V109" s="53">
        <f>IF(Completed!$C108&lt;&gt;"",Completed!$C108,"")</f>
        <v>8</v>
      </c>
      <c r="W109" s="53">
        <f>IF(Completed!$D108&lt;&gt;"",Completed!$D108,"")</f>
        <v>8</v>
      </c>
      <c r="X109" s="53">
        <f>IF(Completed!$E108&lt;&gt;"",Completed!$E108,"")</f>
        <v>5</v>
      </c>
      <c r="Y109" s="53">
        <f>IF(Completed!$F108&lt;&gt;"",Completed!$F108,"")</f>
        <v>8</v>
      </c>
      <c r="Z109" s="64">
        <f>IF(Completed!$G108&lt;&gt;"",Completed!$G108,"")</f>
        <v>7.8567839195979898</v>
      </c>
      <c r="AA109" s="73">
        <f>IF(Completed!$H108&lt;&gt;"",Completed!$H108,"")</f>
        <v>7.164957121237598</v>
      </c>
      <c r="AB109" s="54">
        <f>IF(Completed!$I108&lt;&gt;"",Completed!$I108,"")</f>
        <v>41555</v>
      </c>
      <c r="AC109" s="54">
        <f>IF(Completed!$J108&lt;&gt;"",Completed!$J108,"")</f>
        <v>41748</v>
      </c>
      <c r="AD109" s="65" t="str">
        <f>IF(Completed!$K108&lt;&gt;"",Completed!$K108,"")</f>
        <v>Hayashida Linda</v>
      </c>
      <c r="AE109" s="65" t="str">
        <f>IF(Completed!$L$108&lt;&gt;"",Completed!$L$108,"")</f>
        <v/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IF(Completed!$A109&lt;&gt;"",Completed!$A109,"")</f>
        <v>Sword Art Online</v>
      </c>
      <c r="O110" s="28">
        <f>IF(Completed!$B109&lt;&gt;"",Completed!$B109,"")</f>
        <v>1</v>
      </c>
      <c r="P110" s="28">
        <f ca="1">IF($N110&lt;&gt;"", INDIRECT("'Tracker'!"&amp;ADDRESS(MATCH($N110, Tracker[Anime Name], 0) + 2, 3)), "")</f>
        <v>25</v>
      </c>
      <c r="Q110" s="22" t="str">
        <f ca="1">IF($N110&lt;&gt;"", INDIRECT("'Tracker'!"&amp;ADDRESS(MATCH($N110, Tracker[Anime Name], 0) + 2, 4)), "")</f>
        <v>A</v>
      </c>
      <c r="R110" s="22" t="str">
        <f ca="1">IF($N110&lt;&gt;"", INDIRECT("'Tracker'!"&amp;ADDRESS(MATCH($N110, Tracker[Anime Name], 0) + 2, 5)), "")</f>
        <v>720p</v>
      </c>
      <c r="S110" s="22" t="str">
        <f ca="1">IF($N110&lt;&gt;"", INDIRECT("'Tracker'!"&amp;ADDRESS(MATCH($N110, Tracker[Anime Name], 0) + 2, 6)), "")</f>
        <v>BD</v>
      </c>
      <c r="T110" s="22" t="str">
        <f ca="1">IF($N110&lt;&gt;"", INDIRECT("'Tracker'!"&amp;ADDRESS(MATCH($N110, Tracker[Anime Name], 0) + 2, 7)), "")</f>
        <v>2012B</v>
      </c>
      <c r="U110" s="28" t="str">
        <f ca="1">IF($N110&lt;&gt;"", INDIRECT("'Tracker'!"&amp;ADDRESS(MATCH($N110, Tracker[Anime Name], 0) + 2, 8)), "")</f>
        <v>Coalgirls, EveTaku</v>
      </c>
      <c r="V110" s="53">
        <f>IF(Completed!$C109&lt;&gt;"",Completed!$C109,"")</f>
        <v>8</v>
      </c>
      <c r="W110" s="53">
        <f>IF(Completed!$D109&lt;&gt;"",Completed!$D109,"")</f>
        <v>8</v>
      </c>
      <c r="X110" s="53">
        <f>IF(Completed!$E109&lt;&gt;"",Completed!$E109,"")</f>
        <v>5</v>
      </c>
      <c r="Y110" s="53">
        <f>IF(Completed!$F109&lt;&gt;"",Completed!$F109,"")</f>
        <v>8</v>
      </c>
      <c r="Z110" s="64">
        <f>IF(Completed!$G109&lt;&gt;"",Completed!$G109,"")</f>
        <v>7.8567839195979898</v>
      </c>
      <c r="AA110" s="73">
        <f>IF(Completed!$H109&lt;&gt;"",Completed!$H109,"")</f>
        <v>7.164957121237598</v>
      </c>
      <c r="AB110" s="54">
        <f>IF(Completed!$I109&lt;&gt;"",Completed!$I109,"")</f>
        <v>41245</v>
      </c>
      <c r="AC110" s="54">
        <f>IF(Completed!$J109&lt;&gt;"",Completed!$J109,"")</f>
        <v>41250</v>
      </c>
      <c r="AD110" s="65" t="str">
        <f>IF(Completed!$K109&lt;&gt;"",Completed!$K109,"")</f>
        <v>Yuuki Asuna</v>
      </c>
      <c r="AE110" s="65" t="str">
        <f>IF(Completed!$L$109&lt;&gt;"",Completed!$L$109,"")</f>
        <v>First cour was a lot better than the second, ratings adjusted to average both</v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IF(Completed!$A110&lt;&gt;"",Completed!$A110,"")</f>
        <v>Ro-Kyu-Bu!</v>
      </c>
      <c r="O111" s="28">
        <f>IF(Completed!$B110&lt;&gt;"",Completed!$B110,"")</f>
        <v>1</v>
      </c>
      <c r="P111" s="28">
        <f ca="1">IF($N111&lt;&gt;"", INDIRECT("'Tracker'!"&amp;ADDRESS(MATCH($N111, Tracker[Anime Name], 0) + 2, 3)), "")</f>
        <v>12</v>
      </c>
      <c r="Q111" s="22" t="str">
        <f ca="1">IF($N111&lt;&gt;"", INDIRECT("'Tracker'!"&amp;ADDRESS(MATCH($N111, Tracker[Anime Name], 0) + 2, 4)), "")</f>
        <v>C</v>
      </c>
      <c r="R111" s="22" t="str">
        <f ca="1">IF($N111&lt;&gt;"", INDIRECT("'Tracker'!"&amp;ADDRESS(MATCH($N111, Tracker[Anime Name], 0) + 2, 5)), "")</f>
        <v>720p</v>
      </c>
      <c r="S111" s="22" t="str">
        <f ca="1">IF($N111&lt;&gt;"", INDIRECT("'Tracker'!"&amp;ADDRESS(MATCH($N111, Tracker[Anime Name], 0) + 2, 6)), "")</f>
        <v>BD</v>
      </c>
      <c r="T111" s="22" t="str">
        <f ca="1">IF($N111&lt;&gt;"", INDIRECT("'Tracker'!"&amp;ADDRESS(MATCH($N111, Tracker[Anime Name], 0) + 2, 7)), "")</f>
        <v>2011B</v>
      </c>
      <c r="U111" s="28" t="str">
        <f ca="1">IF($N111&lt;&gt;"", INDIRECT("'Tracker'!"&amp;ADDRESS(MATCH($N111, Tracker[Anime Name], 0) + 2, 8)), "")</f>
        <v>Coalgirls, Shikkaku</v>
      </c>
      <c r="V111" s="53">
        <f>IF(Completed!$C110&lt;&gt;"",Completed!$C110,"")</f>
        <v>7.5</v>
      </c>
      <c r="W111" s="53">
        <f>IF(Completed!$D110&lt;&gt;"",Completed!$D110,"")</f>
        <v>7.5</v>
      </c>
      <c r="X111" s="53">
        <f>IF(Completed!$E110&lt;&gt;"",Completed!$E110,"")</f>
        <v>9.5</v>
      </c>
      <c r="Y111" s="53">
        <f>IF(Completed!$F110&lt;&gt;"",Completed!$F110,"")</f>
        <v>8</v>
      </c>
      <c r="Z111" s="64">
        <f>IF(Completed!$G110&lt;&gt;"",Completed!$G110,"")</f>
        <v>7.8454773869346734</v>
      </c>
      <c r="AA111" s="73">
        <f>IF(Completed!$H110&lt;&gt;"",Completed!$H110,"")</f>
        <v>7.1498234403901124</v>
      </c>
      <c r="AB111" s="54">
        <f>IF(Completed!$I110&lt;&gt;"",Completed!$I110,"")</f>
        <v>41453</v>
      </c>
      <c r="AC111" s="54">
        <f>IF(Completed!$J110&lt;&gt;"",Completed!$J110,"")</f>
        <v>41456</v>
      </c>
      <c r="AD111" s="65" t="str">
        <f>IF(Completed!$K110&lt;&gt;"",Completed!$K110,"")</f>
        <v>Hakamada Hinata</v>
      </c>
      <c r="AE111" s="65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IF(Completed!$A111&lt;&gt;"",Completed!$A111,"")</f>
        <v>Inari, Konkon, Koi Iroha.</v>
      </c>
      <c r="O112" s="28">
        <f>IF(Completed!$B111&lt;&gt;"",Completed!$B111,"")</f>
        <v>1</v>
      </c>
      <c r="P112" s="28">
        <f ca="1">IF($N112&lt;&gt;"", INDIRECT("'Tracker'!"&amp;ADDRESS(MATCH($N112, Tracker[Anime Name], 0) + 2, 3)), "")</f>
        <v>10</v>
      </c>
      <c r="Q112" s="22" t="str">
        <f ca="1">IF($N112&lt;&gt;"", INDIRECT("'Tracker'!"&amp;ADDRESS(MATCH($N112, Tracker[Anime Name], 0) + 2, 4)), "")</f>
        <v>C</v>
      </c>
      <c r="R112" s="22" t="str">
        <f ca="1">IF($N112&lt;&gt;"", INDIRECT("'Tracker'!"&amp;ADDRESS(MATCH($N112, Tracker[Anime Name], 0) + 2, 5)), "")</f>
        <v>720p</v>
      </c>
      <c r="S112" s="22" t="str">
        <f ca="1">IF($N112&lt;&gt;"", INDIRECT("'Tracker'!"&amp;ADDRESS(MATCH($N112, Tracker[Anime Name], 0) + 2, 6)), "")</f>
        <v>TV</v>
      </c>
      <c r="T112" s="22" t="str">
        <f ca="1">IF($N112&lt;&gt;"", INDIRECT("'Tracker'!"&amp;ADDRESS(MATCH($N112, Tracker[Anime Name], 0) + 2, 7)), "")</f>
        <v>2013D</v>
      </c>
      <c r="U112" s="28" t="str">
        <f ca="1">IF($N112&lt;&gt;"", INDIRECT("'Tracker'!"&amp;ADDRESS(MATCH($N112, Tracker[Anime Name], 0) + 2, 8)), "")</f>
        <v>Vivid</v>
      </c>
      <c r="V112" s="53">
        <f>IF(Completed!$C111&lt;&gt;"",Completed!$C111,"")</f>
        <v>7.5</v>
      </c>
      <c r="W112" s="53">
        <f>IF(Completed!$D111&lt;&gt;"",Completed!$D111,"")</f>
        <v>8</v>
      </c>
      <c r="X112" s="53">
        <f>IF(Completed!$E111&lt;&gt;"",Completed!$E111,"")</f>
        <v>6</v>
      </c>
      <c r="Y112" s="53">
        <f>IF(Completed!$F111&lt;&gt;"",Completed!$F111,"")</f>
        <v>8</v>
      </c>
      <c r="Z112" s="64">
        <f>IF(Completed!$G111&lt;&gt;"",Completed!$G111,"")</f>
        <v>7.8128140703517586</v>
      </c>
      <c r="AA112" s="73">
        <f>IF(Completed!$H111&lt;&gt;"",Completed!$H111,"")</f>
        <v>7.1061039179418186</v>
      </c>
      <c r="AB112" s="54">
        <f>IF(Completed!$I111&lt;&gt;"",Completed!$I111,"")</f>
        <v>41661</v>
      </c>
      <c r="AC112" s="54">
        <f>IF(Completed!$J111&lt;&gt;"",Completed!$J111,"")</f>
        <v>41722</v>
      </c>
      <c r="AD112" s="65" t="str">
        <f>IF(Completed!$K111&lt;&gt;"",Completed!$K111,"")</f>
        <v>Sanjou Keiko</v>
      </c>
      <c r="AE112" s="65" t="str">
        <f>IF(Completed!$L$111&lt;&gt;"",Completed!$L$111,"")</f>
        <v/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IF(Completed!$A112&lt;&gt;"",Completed!$A112,"")</f>
        <v>Space ☆ Dandy</v>
      </c>
      <c r="O113" s="28">
        <f>IF(Completed!$B112&lt;&gt;"",Completed!$B112,"")</f>
        <v>1</v>
      </c>
      <c r="P113" s="28">
        <f ca="1">IF($N113&lt;&gt;"", INDIRECT("'Tracker'!"&amp;ADDRESS(MATCH($N113, Tracker[Anime Name], 0) + 2, 3)), "")</f>
        <v>13</v>
      </c>
      <c r="Q113" s="22" t="str">
        <f ca="1">IF($N113&lt;&gt;"", INDIRECT("'Tracker'!"&amp;ADDRESS(MATCH($N113, Tracker[Anime Name], 0) + 2, 4)), "")</f>
        <v>C</v>
      </c>
      <c r="R113" s="22" t="str">
        <f ca="1">IF($N113&lt;&gt;"", INDIRECT("'Tracker'!"&amp;ADDRESS(MATCH($N113, Tracker[Anime Name], 0) + 2, 5)), "")</f>
        <v>720p</v>
      </c>
      <c r="S113" s="22" t="str">
        <f ca="1">IF($N113&lt;&gt;"", INDIRECT("'Tracker'!"&amp;ADDRESS(MATCH($N113, Tracker[Anime Name], 0) + 2, 6)), "")</f>
        <v>Web</v>
      </c>
      <c r="T113" s="22" t="str">
        <f ca="1">IF($N113&lt;&gt;"", INDIRECT("'Tracker'!"&amp;ADDRESS(MATCH($N113, Tracker[Anime Name], 0) + 2, 7)), "")</f>
        <v>2013D</v>
      </c>
      <c r="U113" s="28" t="str">
        <f ca="1">IF($N113&lt;&gt;"", INDIRECT("'Tracker'!"&amp;ADDRESS(MATCH($N113, Tracker[Anime Name], 0) + 2, 8)), "")</f>
        <v>HorribleSubs</v>
      </c>
      <c r="V113" s="53">
        <f>IF(Completed!$C112&lt;&gt;"",Completed!$C112,"")</f>
        <v>5</v>
      </c>
      <c r="W113" s="53">
        <f>IF(Completed!$D112&lt;&gt;"",Completed!$D112,"")</f>
        <v>8</v>
      </c>
      <c r="X113" s="53">
        <f>IF(Completed!$E112&lt;&gt;"",Completed!$E112,"")</f>
        <v>5</v>
      </c>
      <c r="Y113" s="53">
        <f>IF(Completed!$F112&lt;&gt;"",Completed!$F112,"")</f>
        <v>9</v>
      </c>
      <c r="Z113" s="64">
        <f>IF(Completed!$G112&lt;&gt;"",Completed!$G112,"")</f>
        <v>7.8065326633165828</v>
      </c>
      <c r="AA113" s="73">
        <f>IF(Completed!$H112&lt;&gt;"",Completed!$H112,"")</f>
        <v>7.0976963174709935</v>
      </c>
      <c r="AB113" s="54">
        <f>IF(Completed!$I112&lt;&gt;"",Completed!$I112,"")</f>
        <v>41650</v>
      </c>
      <c r="AC113" s="54">
        <f>IF(Completed!$J112&lt;&gt;"",Completed!$J112,"")</f>
        <v>41744</v>
      </c>
      <c r="AD113" s="65" t="str">
        <f>IF(Completed!$K112&lt;&gt;"",Completed!$K112,"")</f>
        <v>Adelie</v>
      </c>
      <c r="AE113" s="65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IF(Completed!$A113&lt;&gt;"",Completed!$A113,"")</f>
        <v>Danshi Koukousei no Nichijou</v>
      </c>
      <c r="O114" s="28">
        <f>IF(Completed!$B113&lt;&gt;"",Completed!$B113,"")</f>
        <v>1</v>
      </c>
      <c r="P114" s="28">
        <f ca="1">IF($N114&lt;&gt;"", INDIRECT("'Tracker'!"&amp;ADDRESS(MATCH($N114, Tracker[Anime Name], 0) + 2, 3)), "")</f>
        <v>12</v>
      </c>
      <c r="Q114" s="22" t="str">
        <f ca="1">IF($N114&lt;&gt;"", INDIRECT("'Tracker'!"&amp;ADDRESS(MATCH($N114, Tracker[Anime Name], 0) + 2, 4)), "")</f>
        <v>C</v>
      </c>
      <c r="R114" s="22" t="str">
        <f ca="1">IF($N114&lt;&gt;"", INDIRECT("'Tracker'!"&amp;ADDRESS(MATCH($N114, Tracker[Anime Name], 0) + 2, 5)), "")</f>
        <v>720p</v>
      </c>
      <c r="S114" s="22" t="str">
        <f ca="1">IF($N114&lt;&gt;"", INDIRECT("'Tracker'!"&amp;ADDRESS(MATCH($N114, Tracker[Anime Name], 0) + 2, 6)), "")</f>
        <v>BD</v>
      </c>
      <c r="T114" s="22" t="str">
        <f ca="1">IF($N114&lt;&gt;"", INDIRECT("'Tracker'!"&amp;ADDRESS(MATCH($N114, Tracker[Anime Name], 0) + 2, 7)), "")</f>
        <v>2011D</v>
      </c>
      <c r="U114" s="28" t="str">
        <f ca="1">IF($N114&lt;&gt;"", INDIRECT("'Tracker'!"&amp;ADDRESS(MATCH($N114, Tracker[Anime Name], 0) + 2, 8)), "")</f>
        <v>AnimeNOW</v>
      </c>
      <c r="V114" s="53">
        <f>IF(Completed!$C113&lt;&gt;"",Completed!$C113,"")</f>
        <v>4</v>
      </c>
      <c r="W114" s="53">
        <f>IF(Completed!$D113&lt;&gt;"",Completed!$D113,"")</f>
        <v>8</v>
      </c>
      <c r="X114" s="53">
        <f>IF(Completed!$E113&lt;&gt;"",Completed!$E113,"")</f>
        <v>3</v>
      </c>
      <c r="Y114" s="53">
        <f>IF(Completed!$F113&lt;&gt;"",Completed!$F113,"")</f>
        <v>9.5</v>
      </c>
      <c r="Z114" s="64">
        <f>IF(Completed!$G113&lt;&gt;"",Completed!$G113,"")</f>
        <v>7.7776381909547743</v>
      </c>
      <c r="AA114" s="73">
        <f>IF(Completed!$H113&lt;&gt;"",Completed!$H113,"")</f>
        <v>7.0590213553051964</v>
      </c>
      <c r="AB114" s="54">
        <f>IF(Completed!$I113&lt;&gt;"",Completed!$I113,"")</f>
        <v>41443</v>
      </c>
      <c r="AC114" s="54">
        <f>IF(Completed!$J113&lt;&gt;"",Completed!$J113,"")</f>
        <v>41444</v>
      </c>
      <c r="AD114" s="65" t="str">
        <f>IF(Completed!$K113&lt;&gt;"",Completed!$K113,"")</f>
        <v>Literary Girl</v>
      </c>
      <c r="AE114" s="65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IF(Completed!$A114&lt;&gt;"",Completed!$A114,"")</f>
        <v>Yosuga no Sora</v>
      </c>
      <c r="O115" s="28">
        <f>IF(Completed!$B114&lt;&gt;"",Completed!$B114,"")</f>
        <v>1</v>
      </c>
      <c r="P115" s="28">
        <f ca="1">IF($N115&lt;&gt;"", INDIRECT("'Tracker'!"&amp;ADDRESS(MATCH($N115, Tracker[Anime Name], 0) + 2, 3)), "")</f>
        <v>12</v>
      </c>
      <c r="Q115" s="22" t="str">
        <f ca="1">IF($N115&lt;&gt;"", INDIRECT("'Tracker'!"&amp;ADDRESS(MATCH($N115, Tracker[Anime Name], 0) + 2, 4)), "")</f>
        <v>C</v>
      </c>
      <c r="R115" s="22" t="str">
        <f ca="1">IF($N115&lt;&gt;"", INDIRECT("'Tracker'!"&amp;ADDRESS(MATCH($N115, Tracker[Anime Name], 0) + 2, 5)), "")</f>
        <v>720p</v>
      </c>
      <c r="S115" s="22" t="str">
        <f ca="1">IF($N115&lt;&gt;"", INDIRECT("'Tracker'!"&amp;ADDRESS(MATCH($N115, Tracker[Anime Name], 0) + 2, 6)), "")</f>
        <v>BD</v>
      </c>
      <c r="T115" s="22" t="str">
        <f ca="1">IF($N115&lt;&gt;"", INDIRECT("'Tracker'!"&amp;ADDRESS(MATCH($N115, Tracker[Anime Name], 0) + 2, 7)), "")</f>
        <v>2010C</v>
      </c>
      <c r="U115" s="28" t="str">
        <f ca="1">IF($N115&lt;&gt;"", INDIRECT("'Tracker'!"&amp;ADDRESS(MATCH($N115, Tracker[Anime Name], 0) + 2, 8)), "")</f>
        <v>Coalgirls, UTW, Ryuumaru</v>
      </c>
      <c r="V115" s="53">
        <f>IF(Completed!$C114&lt;&gt;"",Completed!$C114,"")</f>
        <v>7</v>
      </c>
      <c r="W115" s="53">
        <f>IF(Completed!$D114&lt;&gt;"",Completed!$D114,"")</f>
        <v>8</v>
      </c>
      <c r="X115" s="53">
        <f>IF(Completed!$E114&lt;&gt;"",Completed!$E114,"")</f>
        <v>7</v>
      </c>
      <c r="Y115" s="53">
        <f>IF(Completed!$F114&lt;&gt;"",Completed!$F114,"")</f>
        <v>8</v>
      </c>
      <c r="Z115" s="64">
        <f>IF(Completed!$G114&lt;&gt;"",Completed!$G114,"")</f>
        <v>7.7688442211055282</v>
      </c>
      <c r="AA115" s="73">
        <f>IF(Completed!$H114&lt;&gt;"",Completed!$H114,"")</f>
        <v>7.0472507146460401</v>
      </c>
      <c r="AB115" s="54">
        <f>IF(Completed!$I114&lt;&gt;"",Completed!$I114,"")</f>
        <v>41457</v>
      </c>
      <c r="AC115" s="54">
        <f>IF(Completed!$J114&lt;&gt;"",Completed!$J114,"")</f>
        <v>41463</v>
      </c>
      <c r="AD115" s="65" t="str">
        <f>IF(Completed!$K114&lt;&gt;"",Completed!$K114,"")</f>
        <v>Kasugano Sora</v>
      </c>
      <c r="AE115" s="65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IF(Completed!$A115&lt;&gt;"",Completed!$A115,"")</f>
        <v>D-Frag!</v>
      </c>
      <c r="O116" s="28">
        <f>IF(Completed!$B115&lt;&gt;"",Completed!$B115,"")</f>
        <v>1</v>
      </c>
      <c r="P116" s="28">
        <f ca="1">IF($N116&lt;&gt;"", INDIRECT("'Tracker'!"&amp;ADDRESS(MATCH($N116, Tracker[Anime Name], 0) + 2, 3)), "")</f>
        <v>12</v>
      </c>
      <c r="Q116" s="22" t="str">
        <f ca="1">IF($N116&lt;&gt;"", INDIRECT("'Tracker'!"&amp;ADDRESS(MATCH($N116, Tracker[Anime Name], 0) + 2, 4)), "")</f>
        <v>C</v>
      </c>
      <c r="R116" s="22" t="str">
        <f ca="1">IF($N116&lt;&gt;"", INDIRECT("'Tracker'!"&amp;ADDRESS(MATCH($N116, Tracker[Anime Name], 0) + 2, 5)), "")</f>
        <v>720p</v>
      </c>
      <c r="S116" s="22" t="str">
        <f ca="1">IF($N116&lt;&gt;"", INDIRECT("'Tracker'!"&amp;ADDRESS(MATCH($N116, Tracker[Anime Name], 0) + 2, 6)), "")</f>
        <v>BD</v>
      </c>
      <c r="T116" s="22" t="str">
        <f ca="1">IF($N116&lt;&gt;"", INDIRECT("'Tracker'!"&amp;ADDRESS(MATCH($N116, Tracker[Anime Name], 0) + 2, 7)), "")</f>
        <v>2013D</v>
      </c>
      <c r="U116" s="28" t="str">
        <f ca="1">IF($N116&lt;&gt;"", INDIRECT("'Tracker'!"&amp;ADDRESS(MATCH($N116, Tracker[Anime Name], 0) + 2, 8)), "")</f>
        <v>Vivid, FFF</v>
      </c>
      <c r="V116" s="53">
        <f>IF(Completed!$C115&lt;&gt;"",Completed!$C115,"")</f>
        <v>7.5</v>
      </c>
      <c r="W116" s="53">
        <f>IF(Completed!$D115&lt;&gt;"",Completed!$D115,"")</f>
        <v>8</v>
      </c>
      <c r="X116" s="53">
        <f>IF(Completed!$E115&lt;&gt;"",Completed!$E115,"")</f>
        <v>5</v>
      </c>
      <c r="Y116" s="53">
        <f>IF(Completed!$F115&lt;&gt;"",Completed!$F115,"")</f>
        <v>8</v>
      </c>
      <c r="Z116" s="64">
        <f>IF(Completed!$G115&lt;&gt;"",Completed!$G115,"")</f>
        <v>7.7650753768844227</v>
      </c>
      <c r="AA116" s="73">
        <f>IF(Completed!$H115&lt;&gt;"",Completed!$H115,"")</f>
        <v>7.0422061543635452</v>
      </c>
      <c r="AB116" s="54">
        <f>IF(Completed!$I115&lt;&gt;"",Completed!$I115,"")</f>
        <v>41648</v>
      </c>
      <c r="AC116" s="54">
        <f>IF(Completed!$J115&lt;&gt;"",Completed!$J115,"")</f>
        <v>41746</v>
      </c>
      <c r="AD116" s="65" t="str">
        <f>IF(Completed!$K115&lt;&gt;"",Completed!$K115,"")</f>
        <v>Shibasaki Roka</v>
      </c>
      <c r="AE116" s="65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IF(Completed!$A116&lt;&gt;"",Completed!$A116,"")</f>
        <v>Nichijou</v>
      </c>
      <c r="O117" s="28">
        <f>IF(Completed!$B116&lt;&gt;"",Completed!$B116,"")</f>
        <v>1</v>
      </c>
      <c r="P117" s="28">
        <f ca="1">IF($N117&lt;&gt;"", INDIRECT("'Tracker'!"&amp;ADDRESS(MATCH($N117, Tracker[Anime Name], 0) + 2, 3)), "")</f>
        <v>26</v>
      </c>
      <c r="Q117" s="22" t="str">
        <f ca="1">IF($N117&lt;&gt;"", INDIRECT("'Tracker'!"&amp;ADDRESS(MATCH($N117, Tracker[Anime Name], 0) + 2, 4)), "")</f>
        <v>C</v>
      </c>
      <c r="R117" s="22" t="str">
        <f ca="1">IF($N117&lt;&gt;"", INDIRECT("'Tracker'!"&amp;ADDRESS(MATCH($N117, Tracker[Anime Name], 0) + 2, 5)), "")</f>
        <v>1080p</v>
      </c>
      <c r="S117" s="22" t="str">
        <f ca="1">IF($N117&lt;&gt;"", INDIRECT("'Tracker'!"&amp;ADDRESS(MATCH($N117, Tracker[Anime Name], 0) + 2, 6)), "")</f>
        <v>BD</v>
      </c>
      <c r="T117" s="22" t="str">
        <f ca="1">IF($N117&lt;&gt;"", INDIRECT("'Tracker'!"&amp;ADDRESS(MATCH($N117, Tracker[Anime Name], 0) + 2, 7)), "")</f>
        <v>2011A</v>
      </c>
      <c r="U117" s="28" t="str">
        <f ca="1">IF($N117&lt;&gt;"", INDIRECT("'Tracker'!"&amp;ADDRESS(MATCH($N117, Tracker[Anime Name], 0) + 2, 8)), "")</f>
        <v>Doki</v>
      </c>
      <c r="V117" s="53">
        <f>IF(Completed!$C116&lt;&gt;"",Completed!$C116,"")</f>
        <v>2</v>
      </c>
      <c r="W117" s="53">
        <f>IF(Completed!$D116&lt;&gt;"",Completed!$D116,"")</f>
        <v>8.5</v>
      </c>
      <c r="X117" s="53">
        <f>IF(Completed!$E116&lt;&gt;"",Completed!$E116,"")</f>
        <v>7</v>
      </c>
      <c r="Y117" s="53">
        <f>IF(Completed!$F116&lt;&gt;"",Completed!$F116,"")</f>
        <v>9.5</v>
      </c>
      <c r="Z117" s="64">
        <f>IF(Completed!$G116&lt;&gt;"",Completed!$G116,"")</f>
        <v>7.7361809045226133</v>
      </c>
      <c r="AA117" s="73">
        <f>IF(Completed!$H116&lt;&gt;"",Completed!$H116,"")</f>
        <v>7.0035311921977463</v>
      </c>
      <c r="AB117" s="54">
        <f>IF(Completed!$I116&lt;&gt;"",Completed!$I116,"")</f>
        <v>41291</v>
      </c>
      <c r="AC117" s="54">
        <f>IF(Completed!$J116&lt;&gt;"",Completed!$J116,"")</f>
        <v>41298</v>
      </c>
      <c r="AD117" s="65" t="str">
        <f>IF(Completed!$K116&lt;&gt;"",Completed!$K116,"")</f>
        <v>Minakami Mai</v>
      </c>
      <c r="AE117" s="65" t="str">
        <f>IF(Completed!$L$116&lt;&gt;"",Completed!$L$116,"")</f>
        <v>The ultimate slice of life. Pretty funny, but art style bothers me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IF(Completed!$A117&lt;&gt;"",Completed!$A117,"")</f>
        <v>Himouto! Umaru-chan</v>
      </c>
      <c r="O118" s="28">
        <f>IF(Completed!$B117&lt;&gt;"",Completed!$B117,"")</f>
        <v>1</v>
      </c>
      <c r="P118" s="28">
        <f ca="1">IF($N118&lt;&gt;"", INDIRECT("'Tracker'!"&amp;ADDRESS(MATCH($N118, Tracker[Anime Name], 0) + 2, 3)), "")</f>
        <v>12</v>
      </c>
      <c r="Q118" s="22" t="str">
        <f ca="1">IF($N118&lt;&gt;"", INDIRECT("'Tracker'!"&amp;ADDRESS(MATCH($N118, Tracker[Anime Name], 0) + 2, 4)), "")</f>
        <v>B</v>
      </c>
      <c r="R118" s="22" t="str">
        <f ca="1">IF($N118&lt;&gt;"", INDIRECT("'Tracker'!"&amp;ADDRESS(MATCH($N118, Tracker[Anime Name], 0) + 2, 5)), "")</f>
        <v>720p</v>
      </c>
      <c r="S118" s="22" t="str">
        <f ca="1">IF($N118&lt;&gt;"", INDIRECT("'Tracker'!"&amp;ADDRESS(MATCH($N118, Tracker[Anime Name], 0) + 2, 6)), "")</f>
        <v>TV</v>
      </c>
      <c r="T118" s="22" t="str">
        <f ca="1">IF($N118&lt;&gt;"", INDIRECT("'Tracker'!"&amp;ADDRESS(MATCH($N118, Tracker[Anime Name], 0) + 2, 7)), "")</f>
        <v>2015B</v>
      </c>
      <c r="U118" s="28" t="str">
        <f ca="1">IF($N118&lt;&gt;"", INDIRECT("'Tracker'!"&amp;ADDRESS(MATCH($N118, Tracker[Anime Name], 0) + 2, 8)), "")</f>
        <v>HorribleSubs</v>
      </c>
      <c r="V118" s="53">
        <f>IF(Completed!$C117&lt;&gt;"",Completed!$C117,"")</f>
        <v>6.5</v>
      </c>
      <c r="W118" s="53">
        <f>IF(Completed!$D117&lt;&gt;"",Completed!$D117,"")</f>
        <v>8</v>
      </c>
      <c r="X118" s="53">
        <f>IF(Completed!$E117&lt;&gt;"",Completed!$E117,"")</f>
        <v>7</v>
      </c>
      <c r="Y118" s="53">
        <f>IF(Completed!$F117&lt;&gt;"",Completed!$F117,"")</f>
        <v>8</v>
      </c>
      <c r="Z118" s="64">
        <f>IF(Completed!$G117&lt;&gt;"",Completed!$G117,"")</f>
        <v>7.6771356783919602</v>
      </c>
      <c r="AA118" s="73">
        <f>IF(Completed!$H117&lt;&gt;"",Completed!$H117,"")</f>
        <v>6.9244997477719865</v>
      </c>
      <c r="AB118" s="54">
        <f>IF(Completed!$I117&lt;&gt;"",Completed!$I117,"")</f>
        <v>42194</v>
      </c>
      <c r="AC118" s="54">
        <f>IF(Completed!$J117&lt;&gt;"",Completed!$J117,"")</f>
        <v>42285</v>
      </c>
      <c r="AD118" s="65" t="str">
        <f>IF(Completed!$K117&lt;&gt;"",Completed!$K117,"")</f>
        <v>Kanau</v>
      </c>
      <c r="AE118" s="65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IF(Completed!$A118&lt;&gt;"",Completed!$A118,"")</f>
        <v>Coppelion</v>
      </c>
      <c r="O119" s="28">
        <f>IF(Completed!$B118&lt;&gt;"",Completed!$B118,"")</f>
        <v>1</v>
      </c>
      <c r="P119" s="28">
        <f ca="1">IF($N119&lt;&gt;"", INDIRECT("'Tracker'!"&amp;ADDRESS(MATCH($N119, Tracker[Anime Name], 0) + 2, 3)), "")</f>
        <v>13</v>
      </c>
      <c r="Q119" s="22" t="str">
        <f ca="1">IF($N119&lt;&gt;"", INDIRECT("'Tracker'!"&amp;ADDRESS(MATCH($N119, Tracker[Anime Name], 0) + 2, 4)), "")</f>
        <v>C</v>
      </c>
      <c r="R119" s="22" t="str">
        <f ca="1">IF($N119&lt;&gt;"", INDIRECT("'Tracker'!"&amp;ADDRESS(MATCH($N119, Tracker[Anime Name], 0) + 2, 5)), "")</f>
        <v>720p</v>
      </c>
      <c r="S119" s="22" t="str">
        <f ca="1">IF($N119&lt;&gt;"", INDIRECT("'Tracker'!"&amp;ADDRESS(MATCH($N119, Tracker[Anime Name], 0) + 2, 6)), "")</f>
        <v>Web</v>
      </c>
      <c r="T119" s="22" t="str">
        <f ca="1">IF($N119&lt;&gt;"", INDIRECT("'Tracker'!"&amp;ADDRESS(MATCH($N119, Tracker[Anime Name], 0) + 2, 7)), "")</f>
        <v>2013C</v>
      </c>
      <c r="U119" s="28" t="str">
        <f ca="1">IF($N119&lt;&gt;"", INDIRECT("'Tracker'!"&amp;ADDRESS(MATCH($N119, Tracker[Anime Name], 0) + 2, 8)), "")</f>
        <v>HorribleSubs</v>
      </c>
      <c r="V119" s="53">
        <f>IF(Completed!$C118&lt;&gt;"",Completed!$C118,"")</f>
        <v>8.5</v>
      </c>
      <c r="W119" s="53">
        <f>IF(Completed!$D118&lt;&gt;"",Completed!$D118,"")</f>
        <v>7.5</v>
      </c>
      <c r="X119" s="53">
        <f>IF(Completed!$E118&lt;&gt;"",Completed!$E118,"")</f>
        <v>2</v>
      </c>
      <c r="Y119" s="53">
        <f>IF(Completed!$F118&lt;&gt;"",Completed!$F118,"")</f>
        <v>8</v>
      </c>
      <c r="Z119" s="64">
        <f>IF(Completed!$G118&lt;&gt;"",Completed!$G118,"")</f>
        <v>7.6708542713567844</v>
      </c>
      <c r="AA119" s="73">
        <f>IF(Completed!$H118&lt;&gt;"",Completed!$H118,"")</f>
        <v>6.9160921473011605</v>
      </c>
      <c r="AB119" s="54">
        <f>IF(Completed!$I118&lt;&gt;"",Completed!$I118,"")</f>
        <v>41555</v>
      </c>
      <c r="AC119" s="54">
        <f>IF(Completed!$J118&lt;&gt;"",Completed!$J118,"")</f>
        <v>41634</v>
      </c>
      <c r="AD119" s="65" t="str">
        <f>IF(Completed!$K118&lt;&gt;"",Completed!$K118,"")</f>
        <v>Nomura Taeko</v>
      </c>
      <c r="AE119" s="65" t="str">
        <f>IF(Completed!$L$118&lt;&gt;"",Completed!$L$118,"")</f>
        <v>Despite a few plot holes, it was pretty good overall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IF(Completed!$A119&lt;&gt;"",Completed!$A119,"")</f>
        <v>Chuunibyou demo Koi ga Shitai! Ren</v>
      </c>
      <c r="O120" s="28">
        <f>IF(Completed!$B119&lt;&gt;"",Completed!$B119,"")</f>
        <v>2</v>
      </c>
      <c r="P120" s="28">
        <f ca="1">IF($N120&lt;&gt;"", INDIRECT("'Tracker'!"&amp;ADDRESS(MATCH($N120, Tracker[Anime Name], 0) + 2, 3)), "")</f>
        <v>12</v>
      </c>
      <c r="Q120" s="22" t="str">
        <f ca="1">IF($N120&lt;&gt;"", INDIRECT("'Tracker'!"&amp;ADDRESS(MATCH($N120, Tracker[Anime Name], 0) + 2, 4)), "")</f>
        <v>C</v>
      </c>
      <c r="R120" s="22" t="str">
        <f ca="1">IF($N120&lt;&gt;"", INDIRECT("'Tracker'!"&amp;ADDRESS(MATCH($N120, Tracker[Anime Name], 0) + 2, 5)), "")</f>
        <v>720p</v>
      </c>
      <c r="S120" s="22" t="str">
        <f ca="1">IF($N120&lt;&gt;"", INDIRECT("'Tracker'!"&amp;ADDRESS(MATCH($N120, Tracker[Anime Name], 0) + 2, 6)), "")</f>
        <v>TV</v>
      </c>
      <c r="T120" s="22" t="str">
        <f ca="1">IF($N120&lt;&gt;"", INDIRECT("'Tracker'!"&amp;ADDRESS(MATCH($N120, Tracker[Anime Name], 0) + 2, 7)), "")</f>
        <v>2013D</v>
      </c>
      <c r="U120" s="28" t="str">
        <f ca="1">IF($N120&lt;&gt;"", INDIRECT("'Tracker'!"&amp;ADDRESS(MATCH($N120, Tracker[Anime Name], 0) + 2, 8)), "")</f>
        <v>FFF, UTW (FTW)</v>
      </c>
      <c r="V120" s="53">
        <f>IF(Completed!$C119&lt;&gt;"",Completed!$C119,"")</f>
        <v>8</v>
      </c>
      <c r="W120" s="53">
        <f>IF(Completed!$D119&lt;&gt;"",Completed!$D119,"")</f>
        <v>8</v>
      </c>
      <c r="X120" s="53">
        <f>IF(Completed!$E119&lt;&gt;"",Completed!$E119,"")</f>
        <v>6</v>
      </c>
      <c r="Y120" s="53">
        <f>IF(Completed!$F119&lt;&gt;"",Completed!$F119,"")</f>
        <v>7.5</v>
      </c>
      <c r="Z120" s="64">
        <f>IF(Completed!$G119&lt;&gt;"",Completed!$G119,"")</f>
        <v>7.6545226130653274</v>
      </c>
      <c r="AA120" s="73">
        <f>IF(Completed!$H119&lt;&gt;"",Completed!$H119,"")</f>
        <v>6.8942323860770145</v>
      </c>
      <c r="AB120" s="54">
        <f>IF(Completed!$I119&lt;&gt;"",Completed!$I119,"")</f>
        <v>41648</v>
      </c>
      <c r="AC120" s="54">
        <f>IF(Completed!$J119&lt;&gt;"",Completed!$J119,"")</f>
        <v>41730</v>
      </c>
      <c r="AD120" s="65" t="str">
        <f>IF(Completed!$K119&lt;&gt;"",Completed!$K119,"")</f>
        <v>Togashi Kuzuha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IF(Completed!$A120&lt;&gt;"",Completed!$A120,"")</f>
        <v>Black ★ Rock Shooter</v>
      </c>
      <c r="O121" s="28">
        <f>IF(Completed!$B120&lt;&gt;"",Completed!$B120,"")</f>
        <v>1</v>
      </c>
      <c r="P121" s="28">
        <f ca="1">IF($N121&lt;&gt;"", INDIRECT("'Tracker'!"&amp;ADDRESS(MATCH($N121, Tracker[Anime Name], 0) + 2, 3)), "")</f>
        <v>8</v>
      </c>
      <c r="Q121" s="22" t="str">
        <f ca="1">IF($N121&lt;&gt;"", INDIRECT("'Tracker'!"&amp;ADDRESS(MATCH($N121, Tracker[Anime Name], 0) + 2, 4)), "")</f>
        <v>C</v>
      </c>
      <c r="R121" s="22" t="str">
        <f ca="1">IF($N121&lt;&gt;"", INDIRECT("'Tracker'!"&amp;ADDRESS(MATCH($N121, Tracker[Anime Name], 0) + 2, 5)), "")</f>
        <v>720p</v>
      </c>
      <c r="S121" s="22" t="str">
        <f ca="1">IF($N121&lt;&gt;"", INDIRECT("'Tracker'!"&amp;ADDRESS(MATCH($N121, Tracker[Anime Name], 0) + 2, 6)), "")</f>
        <v>BD</v>
      </c>
      <c r="T121" s="22" t="str">
        <f ca="1">IF($N121&lt;&gt;"", INDIRECT("'Tracker'!"&amp;ADDRESS(MATCH($N121, Tracker[Anime Name], 0) + 2, 7)), "")</f>
        <v>2011D</v>
      </c>
      <c r="U121" s="28" t="str">
        <f ca="1">IF($N121&lt;&gt;"", INDIRECT("'Tracker'!"&amp;ADDRESS(MATCH($N121, Tracker[Anime Name], 0) + 2, 8)), "")</f>
        <v>Final8</v>
      </c>
      <c r="V121" s="53">
        <f>IF(Completed!$C120&lt;&gt;"",Completed!$C120,"")</f>
        <v>8</v>
      </c>
      <c r="W121" s="53">
        <f>IF(Completed!$D120&lt;&gt;"",Completed!$D120,"")</f>
        <v>7.5</v>
      </c>
      <c r="X121" s="53">
        <f>IF(Completed!$E120&lt;&gt;"",Completed!$E120,"")</f>
        <v>3.5</v>
      </c>
      <c r="Y121" s="53">
        <f>IF(Completed!$F120&lt;&gt;"",Completed!$F120,"")</f>
        <v>8</v>
      </c>
      <c r="Z121" s="64">
        <f>IF(Completed!$G120&lt;&gt;"",Completed!$G120,"")</f>
        <v>7.650753768844222</v>
      </c>
      <c r="AA121" s="73">
        <f>IF(Completed!$H120&lt;&gt;"",Completed!$H120,"")</f>
        <v>6.8891878257945187</v>
      </c>
      <c r="AB121" s="54">
        <f>IF(Completed!$I120&lt;&gt;"",Completed!$I120,"")</f>
        <v>41541</v>
      </c>
      <c r="AC121" s="54">
        <f>IF(Completed!$J120&lt;&gt;"",Completed!$J120,"")</f>
        <v>41541</v>
      </c>
      <c r="AD121" s="65" t="str">
        <f>IF(Completed!$K120&lt;&gt;"",Completed!$K120,"")</f>
        <v>Black Rock Shooter</v>
      </c>
      <c r="AE121" s="65" t="str">
        <f>IF(Completed!$L$120&lt;&gt;"",Completed!$L$120,"")</f>
        <v/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IF(Completed!$A121&lt;&gt;"",Completed!$A121,"")</f>
        <v>Chuunibyou demo Koi ga Shitai!</v>
      </c>
      <c r="O122" s="28">
        <f>IF(Completed!$B121&lt;&gt;"",Completed!$B121,"")</f>
        <v>1</v>
      </c>
      <c r="P122" s="28">
        <f ca="1">IF($N122&lt;&gt;"", INDIRECT("'Tracker'!"&amp;ADDRESS(MATCH($N122, Tracker[Anime Name], 0) + 2, 3)), "")</f>
        <v>12</v>
      </c>
      <c r="Q122" s="22" t="str">
        <f ca="1">IF($N122&lt;&gt;"", INDIRECT("'Tracker'!"&amp;ADDRESS(MATCH($N122, Tracker[Anime Name], 0) + 2, 4)), "")</f>
        <v>C</v>
      </c>
      <c r="R122" s="22" t="str">
        <f ca="1">IF($N122&lt;&gt;"", INDIRECT("'Tracker'!"&amp;ADDRESS(MATCH($N122, Tracker[Anime Name], 0) + 2, 5)), "")</f>
        <v>720p</v>
      </c>
      <c r="S122" s="22" t="str">
        <f ca="1">IF($N122&lt;&gt;"", INDIRECT("'Tracker'!"&amp;ADDRESS(MATCH($N122, Tracker[Anime Name], 0) + 2, 6)), "")</f>
        <v>TV</v>
      </c>
      <c r="T122" s="22" t="str">
        <f ca="1">IF($N122&lt;&gt;"", INDIRECT("'Tracker'!"&amp;ADDRESS(MATCH($N122, Tracker[Anime Name], 0) + 2, 7)), "")</f>
        <v>2012C</v>
      </c>
      <c r="U122" s="28" t="str">
        <f ca="1">IF($N122&lt;&gt;"", INDIRECT("'Tracker'!"&amp;ADDRESS(MATCH($N122, Tracker[Anime Name], 0) + 2, 8)), "")</f>
        <v>UTW, rori (URW)</v>
      </c>
      <c r="V122" s="53">
        <f>IF(Completed!$C121&lt;&gt;"",Completed!$C121,"")</f>
        <v>8</v>
      </c>
      <c r="W122" s="53">
        <f>IF(Completed!$D121&lt;&gt;"",Completed!$D121,"")</f>
        <v>7</v>
      </c>
      <c r="X122" s="53">
        <f>IF(Completed!$E121&lt;&gt;"",Completed!$E121,"")</f>
        <v>6</v>
      </c>
      <c r="Y122" s="53">
        <f>IF(Completed!$F121&lt;&gt;"",Completed!$F121,"")</f>
        <v>8</v>
      </c>
      <c r="Z122" s="64">
        <f>IF(Completed!$G121&lt;&gt;"",Completed!$G121,"")</f>
        <v>7.6356783919597992</v>
      </c>
      <c r="AA122" s="73">
        <f>IF(Completed!$H121&lt;&gt;"",Completed!$H121,"")</f>
        <v>6.8690095846645365</v>
      </c>
      <c r="AB122" s="54">
        <f>IF(Completed!$I121&lt;&gt;"",Completed!$I121,"")</f>
        <v>41251</v>
      </c>
      <c r="AC122" s="54">
        <f>IF(Completed!$J121&lt;&gt;"",Completed!$J121,"")</f>
        <v>41263</v>
      </c>
      <c r="AD122" s="65" t="str">
        <f>IF(Completed!$K121&lt;&gt;"",Completed!$K121,"")</f>
        <v>Takanashi Touka</v>
      </c>
      <c r="AE122" s="65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IF(Completed!$A122&lt;&gt;"",Completed!$A122,"")</f>
        <v>Love Lab</v>
      </c>
      <c r="O123" s="28">
        <f>IF(Completed!$B122&lt;&gt;"",Completed!$B122,"")</f>
        <v>1</v>
      </c>
      <c r="P123" s="28">
        <f ca="1">IF($N123&lt;&gt;"", INDIRECT("'Tracker'!"&amp;ADDRESS(MATCH($N123, Tracker[Anime Name], 0) + 2, 3)), "")</f>
        <v>13</v>
      </c>
      <c r="Q123" s="22" t="str">
        <f ca="1">IF($N123&lt;&gt;"", INDIRECT("'Tracker'!"&amp;ADDRESS(MATCH($N123, Tracker[Anime Name], 0) + 2, 4)), "")</f>
        <v>C</v>
      </c>
      <c r="R123" s="22" t="str">
        <f ca="1">IF($N123&lt;&gt;"", INDIRECT("'Tracker'!"&amp;ADDRESS(MATCH($N123, Tracker[Anime Name], 0) + 2, 5)), "")</f>
        <v>720p</v>
      </c>
      <c r="S123" s="22" t="str">
        <f ca="1">IF($N123&lt;&gt;"", INDIRECT("'Tracker'!"&amp;ADDRESS(MATCH($N123, Tracker[Anime Name], 0) + 2, 6)), "")</f>
        <v>TV</v>
      </c>
      <c r="T123" s="22" t="str">
        <f ca="1">IF($N123&lt;&gt;"", INDIRECT("'Tracker'!"&amp;ADDRESS(MATCH($N123, Tracker[Anime Name], 0) + 2, 7)), "")</f>
        <v>2013B</v>
      </c>
      <c r="U123" s="28" t="str">
        <f ca="1">IF($N123&lt;&gt;"", INDIRECT("'Tracker'!"&amp;ADDRESS(MATCH($N123, Tracker[Anime Name], 0) + 2, 8)), "")</f>
        <v>FFF</v>
      </c>
      <c r="V123" s="53">
        <f>IF(Completed!$C122&lt;&gt;"",Completed!$C122,"")</f>
        <v>8</v>
      </c>
      <c r="W123" s="53">
        <f>IF(Completed!$D122&lt;&gt;"",Completed!$D122,"")</f>
        <v>8</v>
      </c>
      <c r="X123" s="53">
        <f>IF(Completed!$E122&lt;&gt;"",Completed!$E122,"")</f>
        <v>5.5</v>
      </c>
      <c r="Y123" s="53">
        <f>IF(Completed!$F122&lt;&gt;"",Completed!$F122,"")</f>
        <v>7.5</v>
      </c>
      <c r="Z123" s="64">
        <f>IF(Completed!$G122&lt;&gt;"",Completed!$G122,"")</f>
        <v>7.6306532663316586</v>
      </c>
      <c r="AA123" s="73">
        <f>IF(Completed!$H122&lt;&gt;"",Completed!$H122,"")</f>
        <v>6.862283504287876</v>
      </c>
      <c r="AB123" s="54">
        <f>IF(Completed!$I122&lt;&gt;"",Completed!$I122,"")</f>
        <v>41461</v>
      </c>
      <c r="AC123" s="54">
        <f>IF(Completed!$J122&lt;&gt;"",Completed!$J122,"")</f>
        <v>41546</v>
      </c>
      <c r="AD123" s="65" t="str">
        <f>IF(Completed!$K122&lt;&gt;"",Completed!$K122,"")</f>
        <v>Kurahashi Riko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IF(Completed!$A123&lt;&gt;"",Completed!$A123,"")</f>
        <v>Kotoura-san</v>
      </c>
      <c r="O124" s="28">
        <f>IF(Completed!$B123&lt;&gt;"",Completed!$B123,"")</f>
        <v>1</v>
      </c>
      <c r="P124" s="28">
        <f ca="1">IF($N124&lt;&gt;"", INDIRECT("'Tracker'!"&amp;ADDRESS(MATCH($N124, Tracker[Anime Name], 0) + 2, 3)), "")</f>
        <v>12</v>
      </c>
      <c r="Q124" s="22" t="str">
        <f ca="1">IF($N124&lt;&gt;"", INDIRECT("'Tracker'!"&amp;ADDRESS(MATCH($N124, Tracker[Anime Name], 0) + 2, 4)), "")</f>
        <v>C</v>
      </c>
      <c r="R124" s="22" t="str">
        <f ca="1">IF($N124&lt;&gt;"", INDIRECT("'Tracker'!"&amp;ADDRESS(MATCH($N124, Tracker[Anime Name], 0) + 2, 5)), "")</f>
        <v>720p</v>
      </c>
      <c r="S124" s="22" t="str">
        <f ca="1">IF($N124&lt;&gt;"", INDIRECT("'Tracker'!"&amp;ADDRESS(MATCH($N124, Tracker[Anime Name], 0) + 2, 6)), "")</f>
        <v>TV</v>
      </c>
      <c r="T124" s="22" t="str">
        <f ca="1">IF($N124&lt;&gt;"", INDIRECT("'Tracker'!"&amp;ADDRESS(MATCH($N124, Tracker[Anime Name], 0) + 2, 7)), "")</f>
        <v>2012D</v>
      </c>
      <c r="U124" s="28" t="str">
        <f ca="1">IF($N124&lt;&gt;"", INDIRECT("'Tracker'!"&amp;ADDRESS(MATCH($N124, Tracker[Anime Name], 0) + 2, 8)), "")</f>
        <v>HorribleSubs</v>
      </c>
      <c r="V124" s="53">
        <f>IF(Completed!$C123&lt;&gt;"",Completed!$C123,"")</f>
        <v>7</v>
      </c>
      <c r="W124" s="53">
        <f>IF(Completed!$D123&lt;&gt;"",Completed!$D123,"")</f>
        <v>7.5</v>
      </c>
      <c r="X124" s="53">
        <f>IF(Completed!$E123&lt;&gt;"",Completed!$E123,"")</f>
        <v>6.5</v>
      </c>
      <c r="Y124" s="53">
        <f>IF(Completed!$F123&lt;&gt;"",Completed!$F123,"")</f>
        <v>8</v>
      </c>
      <c r="Z124" s="64">
        <f>IF(Completed!$G123&lt;&gt;"",Completed!$G123,"")</f>
        <v>7.6105527638190953</v>
      </c>
      <c r="AA124" s="73">
        <f>IF(Completed!$H123&lt;&gt;"",Completed!$H123,"")</f>
        <v>6.8353791827812342</v>
      </c>
      <c r="AB124" s="54">
        <f>IF(Completed!$I123&lt;&gt;"",Completed!$I123,"")</f>
        <v>41430</v>
      </c>
      <c r="AC124" s="54">
        <f>IF(Completed!$J123&lt;&gt;"",Completed!$J123,"")</f>
        <v>41431</v>
      </c>
      <c r="AD124" s="65" t="str">
        <f>IF(Completed!$K123&lt;&gt;"",Completed!$K123,"")</f>
        <v>Haruka Kotoura</v>
      </c>
      <c r="AE124" s="65" t="str">
        <f>IF(Completed!$L$123&lt;&gt;"",Completed!$L$123,"")</f>
        <v>So much wasted potential - started out great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IF(Completed!$A124&lt;&gt;"",Completed!$A124,"")</f>
        <v>Jinsei</v>
      </c>
      <c r="O125" s="28">
        <f>IF(Completed!$B124&lt;&gt;"",Completed!$B124,"")</f>
        <v>1</v>
      </c>
      <c r="P125" s="28">
        <f ca="1">IF($N125&lt;&gt;"", INDIRECT("'Tracker'!"&amp;ADDRESS(MATCH($N125, Tracker[Anime Name], 0) + 2, 3)), "")</f>
        <v>13</v>
      </c>
      <c r="Q125" s="22" t="str">
        <f ca="1">IF($N125&lt;&gt;"", INDIRECT("'Tracker'!"&amp;ADDRESS(MATCH($N125, Tracker[Anime Name], 0) + 2, 4)), "")</f>
        <v>C</v>
      </c>
      <c r="R125" s="22" t="str">
        <f ca="1">IF($N125&lt;&gt;"", INDIRECT("'Tracker'!"&amp;ADDRESS(MATCH($N125, Tracker[Anime Name], 0) + 2, 5)), "")</f>
        <v>720p</v>
      </c>
      <c r="S125" s="22" t="str">
        <f ca="1">IF($N125&lt;&gt;"", INDIRECT("'Tracker'!"&amp;ADDRESS(MATCH($N125, Tracker[Anime Name], 0) + 2, 6)), "")</f>
        <v>TV</v>
      </c>
      <c r="T125" s="22" t="str">
        <f ca="1">IF($N125&lt;&gt;"", INDIRECT("'Tracker'!"&amp;ADDRESS(MATCH($N125, Tracker[Anime Name], 0) + 2, 7)), "")</f>
        <v>2014B</v>
      </c>
      <c r="U125" s="28" t="str">
        <f ca="1">IF($N125&lt;&gt;"", INDIRECT("'Tracker'!"&amp;ADDRESS(MATCH($N125, Tracker[Anime Name], 0) + 2, 8)), "")</f>
        <v>FFF</v>
      </c>
      <c r="V125" s="53">
        <f>IF(Completed!$C124&lt;&gt;"",Completed!$C124,"")</f>
        <v>7</v>
      </c>
      <c r="W125" s="53">
        <f>IF(Completed!$D124&lt;&gt;"",Completed!$D124,"")</f>
        <v>7.5</v>
      </c>
      <c r="X125" s="53">
        <f>IF(Completed!$E124&lt;&gt;"",Completed!$E124,"")</f>
        <v>6</v>
      </c>
      <c r="Y125" s="53">
        <f>IF(Completed!$F124&lt;&gt;"",Completed!$F124,"")</f>
        <v>8</v>
      </c>
      <c r="Z125" s="64">
        <f>IF(Completed!$G124&lt;&gt;"",Completed!$G124,"")</f>
        <v>7.5866834170854274</v>
      </c>
      <c r="AA125" s="73">
        <f>IF(Completed!$H124&lt;&gt;"",Completed!$H124,"")</f>
        <v>6.8034303009920967</v>
      </c>
      <c r="AB125" s="54">
        <f>IF(Completed!$I124&lt;&gt;"",Completed!$I124,"")</f>
        <v>41837</v>
      </c>
      <c r="AC125" s="54">
        <f>IF(Completed!$J124&lt;&gt;"",Completed!$J124,"")</f>
        <v>42020</v>
      </c>
      <c r="AD125" s="65" t="str">
        <f>IF(Completed!$K124&lt;&gt;"",Completed!$K124,"")</f>
        <v>Murakami Emi</v>
      </c>
      <c r="AE125" s="65" t="str">
        <f>IF(Completed!$L$124&lt;&gt;"",Completed!$L$124,"")</f>
        <v>Science was cool too, but arts wins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IF(Completed!$A125&lt;&gt;"",Completed!$A125,"")</f>
        <v>Akuma no Riddle</v>
      </c>
      <c r="O126" s="28">
        <f>IF(Completed!$B125&lt;&gt;"",Completed!$B125,"")</f>
        <v>1</v>
      </c>
      <c r="P126" s="28">
        <f ca="1">IF($N126&lt;&gt;"", INDIRECT("'Tracker'!"&amp;ADDRESS(MATCH($N126, Tracker[Anime Name], 0) + 2, 3)), "")</f>
        <v>12</v>
      </c>
      <c r="Q126" s="22" t="str">
        <f ca="1">IF($N126&lt;&gt;"", INDIRECT("'Tracker'!"&amp;ADDRESS(MATCH($N126, Tracker[Anime Name], 0) + 2, 4)), "")</f>
        <v>C</v>
      </c>
      <c r="R126" s="22" t="str">
        <f ca="1">IF($N126&lt;&gt;"", INDIRECT("'Tracker'!"&amp;ADDRESS(MATCH($N126, Tracker[Anime Name], 0) + 2, 5)), "")</f>
        <v>720p</v>
      </c>
      <c r="S126" s="22" t="str">
        <f ca="1">IF($N126&lt;&gt;"", INDIRECT("'Tracker'!"&amp;ADDRESS(MATCH($N126, Tracker[Anime Name], 0) + 2, 6)), "")</f>
        <v>Web</v>
      </c>
      <c r="T126" s="22" t="str">
        <f ca="1">IF($N126&lt;&gt;"", INDIRECT("'Tracker'!"&amp;ADDRESS(MATCH($N126, Tracker[Anime Name], 0) + 2, 7)), "")</f>
        <v>2014A</v>
      </c>
      <c r="U126" s="28" t="str">
        <f ca="1">IF($N126&lt;&gt;"", INDIRECT("'Tracker'!"&amp;ADDRESS(MATCH($N126, Tracker[Anime Name], 0) + 2, 8)), "")</f>
        <v>HorribleSubs</v>
      </c>
      <c r="V126" s="53">
        <f>IF(Completed!$C125&lt;&gt;"",Completed!$C125,"")</f>
        <v>7.5</v>
      </c>
      <c r="W126" s="53">
        <f>IF(Completed!$D125&lt;&gt;"",Completed!$D125,"")</f>
        <v>8</v>
      </c>
      <c r="X126" s="53">
        <f>IF(Completed!$E125&lt;&gt;"",Completed!$E125,"")</f>
        <v>5.5</v>
      </c>
      <c r="Y126" s="53">
        <f>IF(Completed!$F125&lt;&gt;"",Completed!$F125,"")</f>
        <v>7.5</v>
      </c>
      <c r="Z126" s="64">
        <f>IF(Completed!$G125&lt;&gt;"",Completed!$G125,"")</f>
        <v>7.5389447236180915</v>
      </c>
      <c r="AA126" s="73">
        <f>IF(Completed!$H125&lt;&gt;"",Completed!$H125,"")</f>
        <v>6.7395325374138233</v>
      </c>
      <c r="AB126" s="54">
        <f>IF(Completed!$I125&lt;&gt;"",Completed!$I125,"")</f>
        <v>41759</v>
      </c>
      <c r="AC126" s="54">
        <f>IF(Completed!$J125&lt;&gt;"",Completed!$J125,"")</f>
        <v>41812</v>
      </c>
      <c r="AD126" s="65" t="str">
        <f>IF(Completed!$K125&lt;&gt;"",Completed!$K125,"")</f>
        <v>Shutou Suzu</v>
      </c>
      <c r="AE126" s="65" t="str">
        <f>IF(Completed!$L$125&lt;&gt;"",Completed!$L$125,"")</f>
        <v>Tokaku and Haruki come close for best girl though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IF(Completed!$A126&lt;&gt;"",Completed!$A126,"")</f>
        <v>Dansai Bunri no Crime Edge</v>
      </c>
      <c r="O127" s="28">
        <f>IF(Completed!$B126&lt;&gt;"",Completed!$B126,"")</f>
        <v>1</v>
      </c>
      <c r="P127" s="28">
        <f ca="1">IF($N127&lt;&gt;"", INDIRECT("'Tracker'!"&amp;ADDRESS(MATCH($N127, Tracker[Anime Name], 0) + 2, 3)), "")</f>
        <v>13</v>
      </c>
      <c r="Q127" s="22" t="str">
        <f ca="1">IF($N127&lt;&gt;"", INDIRECT("'Tracker'!"&amp;ADDRESS(MATCH($N127, Tracker[Anime Name], 0) + 2, 4)), "")</f>
        <v>C</v>
      </c>
      <c r="R127" s="22" t="str">
        <f ca="1">IF($N127&lt;&gt;"", INDIRECT("'Tracker'!"&amp;ADDRESS(MATCH($N127, Tracker[Anime Name], 0) + 2, 5)), "")</f>
        <v>720p</v>
      </c>
      <c r="S127" s="22" t="str">
        <f ca="1">IF($N127&lt;&gt;"", INDIRECT("'Tracker'!"&amp;ADDRESS(MATCH($N127, Tracker[Anime Name], 0) + 2, 6)), "")</f>
        <v>TV</v>
      </c>
      <c r="T127" s="22" t="str">
        <f ca="1">IF($N127&lt;&gt;"", INDIRECT("'Tracker'!"&amp;ADDRESS(MATCH($N127, Tracker[Anime Name], 0) + 2, 7)), "")</f>
        <v>2013A</v>
      </c>
      <c r="U127" s="28" t="str">
        <f ca="1">IF($N127&lt;&gt;"", INDIRECT("'Tracker'!"&amp;ADDRESS(MATCH($N127, Tracker[Anime Name], 0) + 2, 8)), "")</f>
        <v>Anime-Koi</v>
      </c>
      <c r="V127" s="53">
        <f>IF(Completed!$C126&lt;&gt;"",Completed!$C126,"")</f>
        <v>8</v>
      </c>
      <c r="W127" s="53">
        <f>IF(Completed!$D126&lt;&gt;"",Completed!$D126,"")</f>
        <v>7.5</v>
      </c>
      <c r="X127" s="53">
        <f>IF(Completed!$E126&lt;&gt;"",Completed!$E126,"")</f>
        <v>5</v>
      </c>
      <c r="Y127" s="53">
        <f>IF(Completed!$F126&lt;&gt;"",Completed!$F126,"")</f>
        <v>7.5</v>
      </c>
      <c r="Z127" s="64">
        <f>IF(Completed!$G126&lt;&gt;"",Completed!$G126,"")</f>
        <v>7.4723618090452266</v>
      </c>
      <c r="AA127" s="73">
        <f>IF(Completed!$H126&lt;&gt;"",Completed!$H126,"")</f>
        <v>6.650411972423071</v>
      </c>
      <c r="AB127" s="54">
        <f>IF(Completed!$I126&lt;&gt;"",Completed!$I126,"")</f>
        <v>41453</v>
      </c>
      <c r="AC127" s="54">
        <f>IF(Completed!$J126&lt;&gt;"",Completed!$J126,"")</f>
        <v>41457</v>
      </c>
      <c r="AD127" s="65" t="str">
        <f>IF(Completed!$K126&lt;&gt;"",Completed!$K126,"")</f>
        <v>Mushanokouji Iwai</v>
      </c>
      <c r="AE127" s="65" t="str">
        <f>IF(Completed!$L$126&lt;&gt;"",Completed!$L$126,"")</f>
        <v>Besides the obvious fetish scenes, not bad. OP is pretty great</v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IF(Completed!$A127&lt;&gt;"",Completed!$A127,"")</f>
        <v>Kami-sama no Inai Nichiyoubi</v>
      </c>
      <c r="O128" s="28">
        <f>IF(Completed!$B127&lt;&gt;"",Completed!$B127,"")</f>
        <v>1</v>
      </c>
      <c r="P128" s="28">
        <f ca="1">IF($N128&lt;&gt;"", INDIRECT("'Tracker'!"&amp;ADDRESS(MATCH($N128, Tracker[Anime Name], 0) + 2, 3)), "")</f>
        <v>12</v>
      </c>
      <c r="Q128" s="22" t="str">
        <f ca="1">IF($N128&lt;&gt;"", INDIRECT("'Tracker'!"&amp;ADDRESS(MATCH($N128, Tracker[Anime Name], 0) + 2, 4)), "")</f>
        <v>C</v>
      </c>
      <c r="R128" s="22" t="str">
        <f ca="1">IF($N128&lt;&gt;"", INDIRECT("'Tracker'!"&amp;ADDRESS(MATCH($N128, Tracker[Anime Name], 0) + 2, 5)), "")</f>
        <v>720p</v>
      </c>
      <c r="S128" s="22" t="str">
        <f ca="1">IF($N128&lt;&gt;"", INDIRECT("'Tracker'!"&amp;ADDRESS(MATCH($N128, Tracker[Anime Name], 0) + 2, 6)), "")</f>
        <v>Web</v>
      </c>
      <c r="T128" s="22" t="str">
        <f ca="1">IF($N128&lt;&gt;"", INDIRECT("'Tracker'!"&amp;ADDRESS(MATCH($N128, Tracker[Anime Name], 0) + 2, 7)), "")</f>
        <v>2013B</v>
      </c>
      <c r="U128" s="28" t="str">
        <f ca="1">IF($N128&lt;&gt;"", INDIRECT("'Tracker'!"&amp;ADDRESS(MATCH($N128, Tracker[Anime Name], 0) + 2, 8)), "")</f>
        <v>HorribleSubs</v>
      </c>
      <c r="V128" s="53">
        <f>IF(Completed!$C127&lt;&gt;"",Completed!$C127,"")</f>
        <v>7</v>
      </c>
      <c r="W128" s="53">
        <f>IF(Completed!$D127&lt;&gt;"",Completed!$D127,"")</f>
        <v>7.5</v>
      </c>
      <c r="X128" s="53">
        <f>IF(Completed!$E127&lt;&gt;"",Completed!$E127,"")</f>
        <v>3.5</v>
      </c>
      <c r="Y128" s="53">
        <f>IF(Completed!$F127&lt;&gt;"",Completed!$F127,"")</f>
        <v>8</v>
      </c>
      <c r="Z128" s="64">
        <f>IF(Completed!$G127&lt;&gt;"",Completed!$G127,"")</f>
        <v>7.4673366834170851</v>
      </c>
      <c r="AA128" s="73">
        <f>IF(Completed!$H127&lt;&gt;"",Completed!$H127,"")</f>
        <v>6.6436858920464097</v>
      </c>
      <c r="AB128" s="54">
        <f>IF(Completed!$I127&lt;&gt;"",Completed!$I127,"")</f>
        <v>41465</v>
      </c>
      <c r="AC128" s="54">
        <f>IF(Completed!$J127&lt;&gt;"",Completed!$J127,"")</f>
        <v>41543</v>
      </c>
      <c r="AD128" s="65" t="str">
        <f>IF(Completed!$K127&lt;&gt;"",Completed!$K127,"")</f>
        <v>Ulla Euleus Hecmatika</v>
      </c>
      <c r="AE128" s="65" t="str">
        <f>IF(Completed!$L$127&lt;&gt;"",Completed!$L$127,"")</f>
        <v>Plot was questionable, but the art and music gives it points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IF(Completed!$A128&lt;&gt;"",Completed!$A128,"")</f>
        <v>Inu to Hasami wa Tsukaiyou</v>
      </c>
      <c r="O129" s="28">
        <f>IF(Completed!$B128&lt;&gt;"",Completed!$B128,"")</f>
        <v>1</v>
      </c>
      <c r="P129" s="28">
        <f ca="1">IF($N129&lt;&gt;"", INDIRECT("'Tracker'!"&amp;ADDRESS(MATCH($N129, Tracker[Anime Name], 0) + 2, 3)), "")</f>
        <v>12</v>
      </c>
      <c r="Q129" s="22" t="str">
        <f ca="1">IF($N129&lt;&gt;"", INDIRECT("'Tracker'!"&amp;ADDRESS(MATCH($N129, Tracker[Anime Name], 0) + 2, 4)), "")</f>
        <v>C</v>
      </c>
      <c r="R129" s="22" t="str">
        <f ca="1">IF($N129&lt;&gt;"", INDIRECT("'Tracker'!"&amp;ADDRESS(MATCH($N129, Tracker[Anime Name], 0) + 2, 5)), "")</f>
        <v>720p</v>
      </c>
      <c r="S129" s="22" t="str">
        <f ca="1">IF($N129&lt;&gt;"", INDIRECT("'Tracker'!"&amp;ADDRESS(MATCH($N129, Tracker[Anime Name], 0) + 2, 6)), "")</f>
        <v>TV</v>
      </c>
      <c r="T129" s="22" t="str">
        <f ca="1">IF($N129&lt;&gt;"", INDIRECT("'Tracker'!"&amp;ADDRESS(MATCH($N129, Tracker[Anime Name], 0) + 2, 7)), "")</f>
        <v>2013B</v>
      </c>
      <c r="U129" s="28" t="str">
        <f ca="1">IF($N129&lt;&gt;"", INDIRECT("'Tracker'!"&amp;ADDRESS(MATCH($N129, Tracker[Anime Name], 0) + 2, 8)), "")</f>
        <v>HorribleSubs</v>
      </c>
      <c r="V129" s="53">
        <f>IF(Completed!$C128&lt;&gt;"",Completed!$C128,"")</f>
        <v>6.5</v>
      </c>
      <c r="W129" s="53">
        <f>IF(Completed!$D128&lt;&gt;"",Completed!$D128,"")</f>
        <v>7.5</v>
      </c>
      <c r="X129" s="53">
        <f>IF(Completed!$E128&lt;&gt;"",Completed!$E128,"")</f>
        <v>5</v>
      </c>
      <c r="Y129" s="53">
        <f>IF(Completed!$F128&lt;&gt;"",Completed!$F128,"")</f>
        <v>8</v>
      </c>
      <c r="Z129" s="64">
        <f>IF(Completed!$G128&lt;&gt;"",Completed!$G128,"")</f>
        <v>7.4472361809045227</v>
      </c>
      <c r="AA129" s="73">
        <f>IF(Completed!$H128&lt;&gt;"",Completed!$H128,"")</f>
        <v>6.6167815705397679</v>
      </c>
      <c r="AB129" s="54">
        <f>IF(Completed!$I128&lt;&gt;"",Completed!$I128,"")</f>
        <v>41456</v>
      </c>
      <c r="AC129" s="54">
        <f>IF(Completed!$J128&lt;&gt;"",Completed!$J128,"")</f>
        <v>41535</v>
      </c>
      <c r="AD129" s="65" t="str">
        <f>IF(Completed!$K128&lt;&gt;"",Completed!$K128,"")</f>
        <v>Himehagi Momiji</v>
      </c>
      <c r="AE129" s="65" t="str">
        <f>IF(Completed!$L$128&lt;&gt;"",Completed!$L$128,"")</f>
        <v/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IF(Completed!$A129&lt;&gt;"",Completed!$A129,"")</f>
        <v>Sakigake! Cromartie High School</v>
      </c>
      <c r="O130" s="28">
        <f>IF(Completed!$B129&lt;&gt;"",Completed!$B129,"")</f>
        <v>1</v>
      </c>
      <c r="P130" s="28">
        <f ca="1">IF($N130&lt;&gt;"", INDIRECT("'Tracker'!"&amp;ADDRESS(MATCH($N130, Tracker[Anime Name], 0) + 2, 3)), "")</f>
        <v>26</v>
      </c>
      <c r="Q130" s="22" t="str">
        <f ca="1">IF($N130&lt;&gt;"", INDIRECT("'Tracker'!"&amp;ADDRESS(MATCH($N130, Tracker[Anime Name], 0) + 2, 4)), "")</f>
        <v>C</v>
      </c>
      <c r="R130" s="22" t="str">
        <f ca="1">IF($N130&lt;&gt;"", INDIRECT("'Tracker'!"&amp;ADDRESS(MATCH($N130, Tracker[Anime Name], 0) + 2, 5)), "")</f>
        <v>486p</v>
      </c>
      <c r="S130" s="22" t="str">
        <f ca="1">IF($N130&lt;&gt;"", INDIRECT("'Tracker'!"&amp;ADDRESS(MATCH($N130, Tracker[Anime Name], 0) + 2, 6)), "")</f>
        <v>DVD</v>
      </c>
      <c r="T130" s="22" t="str">
        <f ca="1">IF($N130&lt;&gt;"", INDIRECT("'Tracker'!"&amp;ADDRESS(MATCH($N130, Tracker[Anime Name], 0) + 2, 7)), "")</f>
        <v>2003C</v>
      </c>
      <c r="U130" s="28" t="str">
        <f ca="1">IF($N130&lt;&gt;"", INDIRECT("'Tracker'!"&amp;ADDRESS(MATCH($N130, Tracker[Anime Name], 0) + 2, 8)), "")</f>
        <v>Jarzk</v>
      </c>
      <c r="V130" s="53">
        <f>IF(Completed!$C129&lt;&gt;"",Completed!$C129,"")</f>
        <v>4</v>
      </c>
      <c r="W130" s="53">
        <f>IF(Completed!$D129&lt;&gt;"",Completed!$D129,"")</f>
        <v>8</v>
      </c>
      <c r="X130" s="53">
        <f>IF(Completed!$E129&lt;&gt;"",Completed!$E129,"")</f>
        <v>0</v>
      </c>
      <c r="Y130" s="53">
        <f>IF(Completed!$F129&lt;&gt;"",Completed!$F129,"")</f>
        <v>9</v>
      </c>
      <c r="Z130" s="64">
        <f>IF(Completed!$G129&lt;&gt;"",Completed!$G129,"")</f>
        <v>7.3844221105527641</v>
      </c>
      <c r="AA130" s="73">
        <f>IF(Completed!$H129&lt;&gt;"",Completed!$H129,"")</f>
        <v>6.5327055658315123</v>
      </c>
      <c r="AB130" s="54">
        <f>IF(Completed!$I129&lt;&gt;"",Completed!$I129,"")</f>
        <v>41450</v>
      </c>
      <c r="AC130" s="54">
        <f>IF(Completed!$J129&lt;&gt;"",Completed!$J129,"")</f>
        <v>41452</v>
      </c>
      <c r="AD130" s="65" t="str">
        <f>IF(Completed!$K129&lt;&gt;"",Completed!$K129,"")</f>
        <v>Gorilla</v>
      </c>
      <c r="AE130" s="65" t="str">
        <f>IF(Completed!$L$129&lt;&gt;"",Completed!$L$129,"")</f>
        <v>Like Nichibros, much better than ratings suggest. Also very funny to watch</v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IF(Completed!$A130&lt;&gt;"",Completed!$A130,"")</f>
        <v>Mahou Sensou</v>
      </c>
      <c r="O131" s="28">
        <f>IF(Completed!$B130&lt;&gt;"",Completed!$B130,"")</f>
        <v>1</v>
      </c>
      <c r="P131" s="28">
        <f ca="1">IF($N131&lt;&gt;"", INDIRECT("'Tracker'!"&amp;ADDRESS(MATCH($N131, Tracker[Anime Name], 0) + 2, 3)), "")</f>
        <v>12</v>
      </c>
      <c r="Q131" s="22" t="str">
        <f ca="1">IF($N131&lt;&gt;"", INDIRECT("'Tracker'!"&amp;ADDRESS(MATCH($N131, Tracker[Anime Name], 0) + 2, 4)), "")</f>
        <v>C</v>
      </c>
      <c r="R131" s="22" t="str">
        <f ca="1">IF($N131&lt;&gt;"", INDIRECT("'Tracker'!"&amp;ADDRESS(MATCH($N131, Tracker[Anime Name], 0) + 2, 5)), "")</f>
        <v>720p</v>
      </c>
      <c r="S131" s="22" t="str">
        <f ca="1">IF($N131&lt;&gt;"", INDIRECT("'Tracker'!"&amp;ADDRESS(MATCH($N131, Tracker[Anime Name], 0) + 2, 6)), "")</f>
        <v>TV</v>
      </c>
      <c r="T131" s="22" t="str">
        <f ca="1">IF($N131&lt;&gt;"", INDIRECT("'Tracker'!"&amp;ADDRESS(MATCH($N131, Tracker[Anime Name], 0) + 2, 7)), "")</f>
        <v>2012D</v>
      </c>
      <c r="U131" s="28" t="str">
        <f ca="1">IF($N131&lt;&gt;"", INDIRECT("'Tracker'!"&amp;ADDRESS(MATCH($N131, Tracker[Anime Name], 0) + 2, 8)), "")</f>
        <v>FFF</v>
      </c>
      <c r="V131" s="53">
        <f>IF(Completed!$C130&lt;&gt;"",Completed!$C130,"")</f>
        <v>6.5</v>
      </c>
      <c r="W131" s="53">
        <f>IF(Completed!$D130&lt;&gt;"",Completed!$D130,"")</f>
        <v>9</v>
      </c>
      <c r="X131" s="53">
        <f>IF(Completed!$E130&lt;&gt;"",Completed!$E130,"")</f>
        <v>5</v>
      </c>
      <c r="Y131" s="53">
        <f>IF(Completed!$F130&lt;&gt;"",Completed!$F130,"")</f>
        <v>7</v>
      </c>
      <c r="Z131" s="64">
        <f>IF(Completed!$G130&lt;&gt;"",Completed!$G130,"")</f>
        <v>7.3505025125628141</v>
      </c>
      <c r="AA131" s="73">
        <f>IF(Completed!$H130&lt;&gt;"",Completed!$H130,"")</f>
        <v>6.4873045232890529</v>
      </c>
      <c r="AB131" s="54">
        <f>IF(Completed!$I130&lt;&gt;"",Completed!$I130,"")</f>
        <v>41650</v>
      </c>
      <c r="AC131" s="54">
        <f>IF(Completed!$J130&lt;&gt;"",Completed!$J130,"")</f>
        <v>41745</v>
      </c>
      <c r="AD131" s="65" t="str">
        <f>IF(Completed!$K130&lt;&gt;"",Completed!$K130,"")</f>
        <v>Aiba Mui</v>
      </c>
      <c r="AE131" s="65" t="str">
        <f>IF(Completed!$L$130&lt;&gt;"",Completed!$L$130,"")</f>
        <v>Finales that make more questions than answers suck.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IF(Completed!$A131&lt;&gt;"",Completed!$A131,"")</f>
        <v>Suzumiya Haruhi no Yuuutsu</v>
      </c>
      <c r="O132" s="28">
        <f>IF(Completed!$B131&lt;&gt;"",Completed!$B131,"")</f>
        <v>1</v>
      </c>
      <c r="P132" s="28">
        <f ca="1">IF($N132&lt;&gt;"", INDIRECT("'Tracker'!"&amp;ADDRESS(MATCH($N132, Tracker[Anime Name], 0) + 2, 3)), "")</f>
        <v>28</v>
      </c>
      <c r="Q132" s="22" t="str">
        <f ca="1">IF($N132&lt;&gt;"", INDIRECT("'Tracker'!"&amp;ADDRESS(MATCH($N132, Tracker[Anime Name], 0) + 2, 4)), "")</f>
        <v>C</v>
      </c>
      <c r="R132" s="22" t="str">
        <f ca="1">IF($N132&lt;&gt;"", INDIRECT("'Tracker'!"&amp;ADDRESS(MATCH($N132, Tracker[Anime Name], 0) + 2, 5)), "")</f>
        <v>720p</v>
      </c>
      <c r="S132" s="22" t="str">
        <f ca="1">IF($N132&lt;&gt;"", INDIRECT("'Tracker'!"&amp;ADDRESS(MATCH($N132, Tracker[Anime Name], 0) + 2, 6)), "")</f>
        <v>BD</v>
      </c>
      <c r="T132" s="22" t="str">
        <f ca="1">IF($N132&lt;&gt;"", INDIRECT("'Tracker'!"&amp;ADDRESS(MATCH($N132, Tracker[Anime Name], 0) + 2, 7)), "")</f>
        <v>2006A</v>
      </c>
      <c r="U132" s="28" t="str">
        <f ca="1">IF($N132&lt;&gt;"", INDIRECT("'Tracker'!"&amp;ADDRESS(MATCH($N132, Tracker[Anime Name], 0) + 2, 8)), "")</f>
        <v>Elysium</v>
      </c>
      <c r="V132" s="53">
        <f>IF(Completed!$C131&lt;&gt;"",Completed!$C131,"")</f>
        <v>7.5</v>
      </c>
      <c r="W132" s="53">
        <f>IF(Completed!$D131&lt;&gt;"",Completed!$D131,"")</f>
        <v>7.5</v>
      </c>
      <c r="X132" s="53">
        <f>IF(Completed!$E131&lt;&gt;"",Completed!$E131,"")</f>
        <v>4</v>
      </c>
      <c r="Y132" s="53">
        <f>IF(Completed!$F131&lt;&gt;"",Completed!$F131,"")</f>
        <v>7.5</v>
      </c>
      <c r="Z132" s="64">
        <f>IF(Completed!$G131&lt;&gt;"",Completed!$G131,"")</f>
        <v>7.3329145728643219</v>
      </c>
      <c r="AA132" s="73">
        <f>IF(Completed!$H131&lt;&gt;"",Completed!$H131,"")</f>
        <v>6.4637632419707414</v>
      </c>
      <c r="AB132" s="54">
        <f>IF(Completed!$I131&lt;&gt;"",Completed!$I131,"")</f>
        <v>41330</v>
      </c>
      <c r="AC132" s="54">
        <f>IF(Completed!$J131&lt;&gt;"",Completed!$J131,"")</f>
        <v>41346</v>
      </c>
      <c r="AD132" s="65" t="str">
        <f>IF(Completed!$K131&lt;&gt;"",Completed!$K131,"")</f>
        <v>Nagato Yuki</v>
      </c>
      <c r="AE132" s="65" t="str">
        <f>IF(Completed!$L$131&lt;&gt;"",Completed!$L$131,"")</f>
        <v>Not what I expected it to be, given the hype</v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IF(Completed!$A132&lt;&gt;"",Completed!$A132,"")</f>
        <v>Miyakawa-ke no Kuufuku</v>
      </c>
      <c r="O133" s="28">
        <f>IF(Completed!$B132&lt;&gt;"",Completed!$B132,"")</f>
        <v>1</v>
      </c>
      <c r="P133" s="28">
        <f ca="1">IF($N133&lt;&gt;"", INDIRECT("'Tracker'!"&amp;ADDRESS(MATCH($N133, Tracker[Anime Name], 0) + 2, 3)), "")</f>
        <v>10</v>
      </c>
      <c r="Q133" s="22" t="str">
        <f ca="1">IF($N133&lt;&gt;"", INDIRECT("'Tracker'!"&amp;ADDRESS(MATCH($N133, Tracker[Anime Name], 0) + 2, 4)), "")</f>
        <v>B</v>
      </c>
      <c r="R133" s="22" t="str">
        <f ca="1">IF($N133&lt;&gt;"", INDIRECT("'Tracker'!"&amp;ADDRESS(MATCH($N133, Tracker[Anime Name], 0) + 2, 5)), "")</f>
        <v>1080p</v>
      </c>
      <c r="S133" s="22" t="str">
        <f ca="1">IF($N133&lt;&gt;"", INDIRECT("'Tracker'!"&amp;ADDRESS(MATCH($N133, Tracker[Anime Name], 0) + 2, 6)), "")</f>
        <v>TV</v>
      </c>
      <c r="T133" s="22" t="str">
        <f ca="1">IF($N133&lt;&gt;"", INDIRECT("'Tracker'!"&amp;ADDRESS(MATCH($N133, Tracker[Anime Name], 0) + 2, 7)), "")</f>
        <v>2013A</v>
      </c>
      <c r="U133" s="28" t="str">
        <f ca="1">IF($N133&lt;&gt;"", INDIRECT("'Tracker'!"&amp;ADDRESS(MATCH($N133, Tracker[Anime Name], 0) + 2, 8)), "")</f>
        <v>Scriptum</v>
      </c>
      <c r="V133" s="53">
        <f>IF(Completed!$C132&lt;&gt;"",Completed!$C132,"")</f>
        <v>4</v>
      </c>
      <c r="W133" s="53">
        <f>IF(Completed!$D132&lt;&gt;"",Completed!$D132,"")</f>
        <v>8</v>
      </c>
      <c r="X133" s="53">
        <f>IF(Completed!$E132&lt;&gt;"",Completed!$E132,"")</f>
        <v>9</v>
      </c>
      <c r="Y133" s="53">
        <f>IF(Completed!$F132&lt;&gt;"",Completed!$F132,"")</f>
        <v>8</v>
      </c>
      <c r="Z133" s="64">
        <f>IF(Completed!$G132&lt;&gt;"",Completed!$G132,"")</f>
        <v>7.3140703517587937</v>
      </c>
      <c r="AA133" s="73">
        <f>IF(Completed!$H132&lt;&gt;"",Completed!$H132,"")</f>
        <v>6.4385404405582634</v>
      </c>
      <c r="AB133" s="54">
        <f>IF(Completed!$I132&lt;&gt;"",Completed!$I132,"")</f>
        <v>41488</v>
      </c>
      <c r="AC133" s="54">
        <f>IF(Completed!$J132&lt;&gt;"",Completed!$J132,"")</f>
        <v>41492</v>
      </c>
      <c r="AD133" s="65" t="str">
        <f>IF(Completed!$K132&lt;&gt;"",Completed!$K132,"")</f>
        <v>Miyakawa Hikage</v>
      </c>
      <c r="AE133" s="65" t="str">
        <f>IF(Completed!$L$132&lt;&gt;"",Completed!$L$132,"")</f>
        <v>Need a higher resolution copy</v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IF(Completed!$A133&lt;&gt;"",Completed!$A133,"")</f>
        <v>Witch Craft Works</v>
      </c>
      <c r="O134" s="28">
        <f>IF(Completed!$B133&lt;&gt;"",Completed!$B133,"")</f>
        <v>1</v>
      </c>
      <c r="P134" s="28">
        <f ca="1">IF($N134&lt;&gt;"", INDIRECT("'Tracker'!"&amp;ADDRESS(MATCH($N134, Tracker[Anime Name], 0) + 2, 3)), "")</f>
        <v>12</v>
      </c>
      <c r="Q134" s="22" t="str">
        <f ca="1">IF($N134&lt;&gt;"", INDIRECT("'Tracker'!"&amp;ADDRESS(MATCH($N134, Tracker[Anime Name], 0) + 2, 4)), "")</f>
        <v>C</v>
      </c>
      <c r="R134" s="22" t="str">
        <f ca="1">IF($N134&lt;&gt;"", INDIRECT("'Tracker'!"&amp;ADDRESS(MATCH($N134, Tracker[Anime Name], 0) + 2, 5)), "")</f>
        <v>720p</v>
      </c>
      <c r="S134" s="22" t="str">
        <f ca="1">IF($N134&lt;&gt;"", INDIRECT("'Tracker'!"&amp;ADDRESS(MATCH($N134, Tracker[Anime Name], 0) + 2, 6)), "")</f>
        <v>TV</v>
      </c>
      <c r="T134" s="22" t="str">
        <f ca="1">IF($N134&lt;&gt;"", INDIRECT("'Tracker'!"&amp;ADDRESS(MATCH($N134, Tracker[Anime Name], 0) + 2, 7)), "")</f>
        <v>2013D</v>
      </c>
      <c r="U134" s="28" t="str">
        <f ca="1">IF($N134&lt;&gt;"", INDIRECT("'Tracker'!"&amp;ADDRESS(MATCH($N134, Tracker[Anime Name], 0) + 2, 8)), "")</f>
        <v>FFF</v>
      </c>
      <c r="V134" s="53">
        <f>IF(Completed!$C133&lt;&gt;"",Completed!$C133,"")</f>
        <v>7.5</v>
      </c>
      <c r="W134" s="53">
        <f>IF(Completed!$D133&lt;&gt;"",Completed!$D133,"")</f>
        <v>7.5</v>
      </c>
      <c r="X134" s="53">
        <f>IF(Completed!$E133&lt;&gt;"",Completed!$E133,"")</f>
        <v>3.5</v>
      </c>
      <c r="Y134" s="53">
        <f>IF(Completed!$F133&lt;&gt;"",Completed!$F133,"")</f>
        <v>7.5</v>
      </c>
      <c r="Z134" s="64">
        <f>IF(Completed!$G133&lt;&gt;"",Completed!$G133,"")</f>
        <v>7.3090452261306531</v>
      </c>
      <c r="AA134" s="73">
        <f>IF(Completed!$H133&lt;&gt;"",Completed!$H133,"")</f>
        <v>6.4318143601816038</v>
      </c>
      <c r="AB134" s="54">
        <f>IF(Completed!$I133&lt;&gt;"",Completed!$I133,"")</f>
        <v>41650</v>
      </c>
      <c r="AC134" s="54">
        <f>IF(Completed!$J133&lt;&gt;"",Completed!$J133,"")</f>
        <v>41749</v>
      </c>
      <c r="AD134" s="65" t="str">
        <f>IF(Completed!$K133&lt;&gt;"",Completed!$K133,"")</f>
        <v>Kazari Rin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IF(Completed!$A134&lt;&gt;"",Completed!$A134,"")</f>
        <v>Haiyore! Nyaruko-san</v>
      </c>
      <c r="O135" s="28">
        <f>IF(Completed!$B134&lt;&gt;"",Completed!$B134,"")</f>
        <v>1</v>
      </c>
      <c r="P135" s="28">
        <f ca="1">IF($N135&lt;&gt;"", INDIRECT("'Tracker'!"&amp;ADDRESS(MATCH($N135, Tracker[Anime Name], 0) + 2, 3)), "")</f>
        <v>13</v>
      </c>
      <c r="Q135" s="22" t="str">
        <f ca="1">IF($N135&lt;&gt;"", INDIRECT("'Tracker'!"&amp;ADDRESS(MATCH($N135, Tracker[Anime Name], 0) + 2, 4)), "")</f>
        <v>C</v>
      </c>
      <c r="R135" s="22" t="str">
        <f ca="1">IF($N135&lt;&gt;"", INDIRECT("'Tracker'!"&amp;ADDRESS(MATCH($N135, Tracker[Anime Name], 0) + 2, 5)), "")</f>
        <v>720p</v>
      </c>
      <c r="S135" s="22" t="str">
        <f ca="1">IF($N135&lt;&gt;"", INDIRECT("'Tracker'!"&amp;ADDRESS(MATCH($N135, Tracker[Anime Name], 0) + 2, 6)), "")</f>
        <v>TV</v>
      </c>
      <c r="T135" s="22" t="str">
        <f ca="1">IF($N135&lt;&gt;"", INDIRECT("'Tracker'!"&amp;ADDRESS(MATCH($N135, Tracker[Anime Name], 0) + 2, 7)), "")</f>
        <v>2012A</v>
      </c>
      <c r="U135" s="28" t="str">
        <f ca="1">IF($N135&lt;&gt;"", INDIRECT("'Tracker'!"&amp;ADDRESS(MATCH($N135, Tracker[Anime Name], 0) + 2, 8)), "")</f>
        <v>Hatsuyuki</v>
      </c>
      <c r="V135" s="53">
        <f>IF(Completed!$C134&lt;&gt;"",Completed!$C134,"")</f>
        <v>6</v>
      </c>
      <c r="W135" s="53">
        <f>IF(Completed!$D134&lt;&gt;"",Completed!$D134,"")</f>
        <v>7</v>
      </c>
      <c r="X135" s="53">
        <f>IF(Completed!$E134&lt;&gt;"",Completed!$E134,"")</f>
        <v>6</v>
      </c>
      <c r="Y135" s="53">
        <f>IF(Completed!$F134&lt;&gt;"",Completed!$F134,"")</f>
        <v>8</v>
      </c>
      <c r="Z135" s="64">
        <f>IF(Completed!$G134&lt;&gt;"",Completed!$G134,"")</f>
        <v>7.2688442211055273</v>
      </c>
      <c r="AA135" s="73">
        <f>IF(Completed!$H134&lt;&gt;"",Completed!$H134,"")</f>
        <v>6.3780057171683193</v>
      </c>
      <c r="AB135" s="54">
        <f>IF(Completed!$I134&lt;&gt;"",Completed!$I134,"")</f>
        <v>41365</v>
      </c>
      <c r="AC135" s="54">
        <f>IF(Completed!$J134&lt;&gt;"",Completed!$J134,"")</f>
        <v>41369</v>
      </c>
      <c r="AD135" s="65" t="str">
        <f>IF(Completed!$K134&lt;&gt;"",Completed!$K134,"")</f>
        <v>Kuuko</v>
      </c>
      <c r="AE135" s="65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IF(Completed!$A135&lt;&gt;"",Completed!$A135,"")</f>
        <v>Tokyo ESP</v>
      </c>
      <c r="O136" s="28">
        <f>IF(Completed!$B135&lt;&gt;"",Completed!$B135,"")</f>
        <v>1</v>
      </c>
      <c r="P136" s="28">
        <f ca="1">IF($N136&lt;&gt;"", INDIRECT("'Tracker'!"&amp;ADDRESS(MATCH($N136, Tracker[Anime Name], 0) + 2, 3)), "")</f>
        <v>12</v>
      </c>
      <c r="Q136" s="22" t="str">
        <f ca="1">IF($N136&lt;&gt;"", INDIRECT("'Tracker'!"&amp;ADDRESS(MATCH($N136, Tracker[Anime Name], 0) + 2, 4)), "")</f>
        <v>C</v>
      </c>
      <c r="R136" s="22" t="str">
        <f ca="1">IF($N136&lt;&gt;"", INDIRECT("'Tracker'!"&amp;ADDRESS(MATCH($N136, Tracker[Anime Name], 0) + 2, 5)), "")</f>
        <v>720p</v>
      </c>
      <c r="S136" s="22" t="str">
        <f ca="1">IF($N136&lt;&gt;"", INDIRECT("'Tracker'!"&amp;ADDRESS(MATCH($N136, Tracker[Anime Name], 0) + 2, 6)), "")</f>
        <v>TV</v>
      </c>
      <c r="T136" s="22" t="str">
        <f ca="1">IF($N136&lt;&gt;"", INDIRECT("'Tracker'!"&amp;ADDRESS(MATCH($N136, Tracker[Anime Name], 0) + 2, 7)), "")</f>
        <v>2014B</v>
      </c>
      <c r="U136" s="28" t="str">
        <f ca="1">IF($N136&lt;&gt;"", INDIRECT("'Tracker'!"&amp;ADDRESS(MATCH($N136, Tracker[Anime Name], 0) + 2, 8)), "")</f>
        <v>FFF</v>
      </c>
      <c r="V136" s="53">
        <f>IF(Completed!$C135&lt;&gt;"",Completed!$C135,"")</f>
        <v>7.5</v>
      </c>
      <c r="W136" s="53">
        <f>IF(Completed!$D135&lt;&gt;"",Completed!$D135,"")</f>
        <v>8</v>
      </c>
      <c r="X136" s="53">
        <f>IF(Completed!$E135&lt;&gt;"",Completed!$E135,"")</f>
        <v>5</v>
      </c>
      <c r="Y136" s="53">
        <f>IF(Completed!$F135&lt;&gt;"",Completed!$F135,"")</f>
        <v>7</v>
      </c>
      <c r="Z136" s="64">
        <f>IF(Completed!$G135&lt;&gt;"",Completed!$G135,"")</f>
        <v>7.2650753768844218</v>
      </c>
      <c r="AA136" s="73">
        <f>IF(Completed!$H135&lt;&gt;"",Completed!$H135,"")</f>
        <v>6.3729611568858235</v>
      </c>
      <c r="AB136" s="54">
        <f>IF(Completed!$I135&lt;&gt;"",Completed!$I135,"")</f>
        <v>41832</v>
      </c>
      <c r="AC136" s="54">
        <f>IF(Completed!$J135&lt;&gt;"",Completed!$J135,"")</f>
        <v>42023</v>
      </c>
      <c r="AD136" s="65" t="str">
        <f>IF(Completed!$K135&lt;&gt;"",Completed!$K135,"")</f>
        <v>Urushiba Rinka</v>
      </c>
      <c r="AE136" s="65" t="str">
        <f>IF(Completed!$L$135&lt;&gt;"",Completed!$L$135,"")</f>
        <v>Probably didn't live up to the manga. Had potential, but didn't carry through.</v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IF(Completed!$A136&lt;&gt;"",Completed!$A136,"")</f>
        <v>Nisemonogatari</v>
      </c>
      <c r="O137" s="28">
        <f>IF(Completed!$B136&lt;&gt;"",Completed!$B136,"")</f>
        <v>2</v>
      </c>
      <c r="P137" s="28">
        <f ca="1">IF($N137&lt;&gt;"", INDIRECT("'Tracker'!"&amp;ADDRESS(MATCH($N137, Tracker[Anime Name], 0) + 2, 3)), "")</f>
        <v>11</v>
      </c>
      <c r="Q137" s="22" t="str">
        <f ca="1">IF($N137&lt;&gt;"", INDIRECT("'Tracker'!"&amp;ADDRESS(MATCH($N137, Tracker[Anime Name], 0) + 2, 4)), "")</f>
        <v>A</v>
      </c>
      <c r="R137" s="22" t="str">
        <f ca="1">IF($N137&lt;&gt;"", INDIRECT("'Tracker'!"&amp;ADDRESS(MATCH($N137, Tracker[Anime Name], 0) + 2, 5)), "")</f>
        <v>720p</v>
      </c>
      <c r="S137" s="22" t="str">
        <f ca="1">IF($N137&lt;&gt;"", INDIRECT("'Tracker'!"&amp;ADDRESS(MATCH($N137, Tracker[Anime Name], 0) + 2, 6)), "")</f>
        <v>BD</v>
      </c>
      <c r="T137" s="22" t="str">
        <f ca="1">IF($N137&lt;&gt;"", INDIRECT("'Tracker'!"&amp;ADDRESS(MATCH($N137, Tracker[Anime Name], 0) + 2, 7)), "")</f>
        <v>2011D</v>
      </c>
      <c r="U137" s="28" t="str">
        <f ca="1">IF($N137&lt;&gt;"", INDIRECT("'Tracker'!"&amp;ADDRESS(MATCH($N137, Tracker[Anime Name], 0) + 2, 8)), "")</f>
        <v>Coalgirls, CMS</v>
      </c>
      <c r="V137" s="53">
        <f>IF(Completed!$C136&lt;&gt;"",Completed!$C136,"")</f>
        <v>7</v>
      </c>
      <c r="W137" s="53">
        <f>IF(Completed!$D136&lt;&gt;"",Completed!$D136,"")</f>
        <v>7.5</v>
      </c>
      <c r="X137" s="53">
        <f>IF(Completed!$E136&lt;&gt;"",Completed!$E136,"")</f>
        <v>4.5</v>
      </c>
      <c r="Y137" s="53">
        <f>IF(Completed!$F136&lt;&gt;"",Completed!$F136,"")</f>
        <v>7.5</v>
      </c>
      <c r="Z137" s="64">
        <f>IF(Completed!$G136&lt;&gt;"",Completed!$G136,"")</f>
        <v>7.2650753768844218</v>
      </c>
      <c r="AA137" s="73">
        <f>IF(Completed!$H136&lt;&gt;"",Completed!$H136,"")</f>
        <v>6.3729611568858235</v>
      </c>
      <c r="AB137" s="54">
        <f>IF(Completed!$I136&lt;&gt;"",Completed!$I136,"")</f>
        <v>41345</v>
      </c>
      <c r="AC137" s="54">
        <f>IF(Completed!$J136&lt;&gt;"",Completed!$J136,"")</f>
        <v>41350</v>
      </c>
      <c r="AD137" s="65" t="str">
        <f>IF(Completed!$K136&lt;&gt;"",Completed!$K136,"")</f>
        <v>Oshino Shinobu</v>
      </c>
      <c r="AE137" s="65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IF(Completed!$A137&lt;&gt;"",Completed!$A137,"")</f>
        <v>Yuyushiki</v>
      </c>
      <c r="O138" s="28">
        <f>IF(Completed!$B137&lt;&gt;"",Completed!$B137,"")</f>
        <v>1</v>
      </c>
      <c r="P138" s="28">
        <f ca="1">IF($N138&lt;&gt;"", INDIRECT("'Tracker'!"&amp;ADDRESS(MATCH($N138, Tracker[Anime Name], 0) + 2, 3)), "")</f>
        <v>12</v>
      </c>
      <c r="Q138" s="22" t="str">
        <f ca="1">IF($N138&lt;&gt;"", INDIRECT("'Tracker'!"&amp;ADDRESS(MATCH($N138, Tracker[Anime Name], 0) + 2, 4)), "")</f>
        <v>C</v>
      </c>
      <c r="R138" s="22" t="str">
        <f ca="1">IF($N138&lt;&gt;"", INDIRECT("'Tracker'!"&amp;ADDRESS(MATCH($N138, Tracker[Anime Name], 0) + 2, 5)), "")</f>
        <v>720p</v>
      </c>
      <c r="S138" s="22" t="str">
        <f ca="1">IF($N138&lt;&gt;"", INDIRECT("'Tracker'!"&amp;ADDRESS(MATCH($N138, Tracker[Anime Name], 0) + 2, 6)), "")</f>
        <v>BD</v>
      </c>
      <c r="T138" s="22" t="str">
        <f ca="1">IF($N138&lt;&gt;"", INDIRECT("'Tracker'!"&amp;ADDRESS(MATCH($N138, Tracker[Anime Name], 0) + 2, 7)), "")</f>
        <v>2013A</v>
      </c>
      <c r="U138" s="28" t="str">
        <f ca="1">IF($N138&lt;&gt;"", INDIRECT("'Tracker'!"&amp;ADDRESS(MATCH($N138, Tracker[Anime Name], 0) + 2, 8)), "")</f>
        <v>Commie</v>
      </c>
      <c r="V138" s="53">
        <f>IF(Completed!$C137&lt;&gt;"",Completed!$C137,"")</f>
        <v>4</v>
      </c>
      <c r="W138" s="53">
        <f>IF(Completed!$D137&lt;&gt;"",Completed!$D137,"")</f>
        <v>7</v>
      </c>
      <c r="X138" s="53">
        <f>IF(Completed!$E137&lt;&gt;"",Completed!$E137,"")</f>
        <v>8</v>
      </c>
      <c r="Y138" s="53">
        <f>IF(Completed!$F137&lt;&gt;"",Completed!$F137,"")</f>
        <v>8.5</v>
      </c>
      <c r="Z138" s="64">
        <f>IF(Completed!$G137&lt;&gt;"",Completed!$G137,"")</f>
        <v>7.2474874371859297</v>
      </c>
      <c r="AA138" s="73">
        <f>IF(Completed!$H137&lt;&gt;"",Completed!$H137,"")</f>
        <v>6.3494198755675129</v>
      </c>
      <c r="AB138" s="54">
        <f>IF(Completed!$I137&lt;&gt;"",Completed!$I137,"")</f>
        <v>41449</v>
      </c>
      <c r="AC138" s="54">
        <f>IF(Completed!$J137&lt;&gt;"",Completed!$J137,"")</f>
        <v>41451</v>
      </c>
      <c r="AD138" s="65" t="str">
        <f>IF(Completed!$K137&lt;&gt;"",Completed!$K137,"")</f>
        <v>Hinata Yukari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IF(Completed!$A138&lt;&gt;"",Completed!$A138,"")</f>
        <v>Shinryaku! Ika Musume</v>
      </c>
      <c r="O139" s="28">
        <f>IF(Completed!$B138&lt;&gt;"",Completed!$B138,"")</f>
        <v>1</v>
      </c>
      <c r="P139" s="28">
        <f ca="1">IF($N139&lt;&gt;"", INDIRECT("'Tracker'!"&amp;ADDRESS(MATCH($N139, Tracker[Anime Name], 0) + 2, 3)), "")</f>
        <v>12</v>
      </c>
      <c r="Q139" s="22" t="str">
        <f ca="1">IF($N139&lt;&gt;"", INDIRECT("'Tracker'!"&amp;ADDRESS(MATCH($N139, Tracker[Anime Name], 0) + 2, 4)), "")</f>
        <v>C</v>
      </c>
      <c r="R139" s="22" t="str">
        <f ca="1">IF($N139&lt;&gt;"", INDIRECT("'Tracker'!"&amp;ADDRESS(MATCH($N139, Tracker[Anime Name], 0) + 2, 5)), "")</f>
        <v>720p</v>
      </c>
      <c r="S139" s="22" t="str">
        <f ca="1">IF($N139&lt;&gt;"", INDIRECT("'Tracker'!"&amp;ADDRESS(MATCH($N139, Tracker[Anime Name], 0) + 2, 6)), "")</f>
        <v>BD</v>
      </c>
      <c r="T139" s="22" t="str">
        <f ca="1">IF($N139&lt;&gt;"", INDIRECT("'Tracker'!"&amp;ADDRESS(MATCH($N139, Tracker[Anime Name], 0) + 2, 7)), "")</f>
        <v>2010C</v>
      </c>
      <c r="U139" s="28" t="str">
        <f ca="1">IF($N139&lt;&gt;"", INDIRECT("'Tracker'!"&amp;ADDRESS(MATCH($N139, Tracker[Anime Name], 0) + 2, 8)), "")</f>
        <v>FFF</v>
      </c>
      <c r="V139" s="53">
        <f>IF(Completed!$C138&lt;&gt;"",Completed!$C138,"")</f>
        <v>3</v>
      </c>
      <c r="W139" s="53">
        <f>IF(Completed!$D138&lt;&gt;"",Completed!$D138,"")</f>
        <v>8</v>
      </c>
      <c r="X139" s="53">
        <f>IF(Completed!$E138&lt;&gt;"",Completed!$E138,"")</f>
        <v>9</v>
      </c>
      <c r="Y139" s="53">
        <f>IF(Completed!$F138&lt;&gt;"",Completed!$F138,"")</f>
        <v>8</v>
      </c>
      <c r="Z139" s="64">
        <f>IF(Completed!$G138&lt;&gt;"",Completed!$G138,"")</f>
        <v>7.1306532663316586</v>
      </c>
      <c r="AA139" s="73">
        <f>IF(Completed!$H138&lt;&gt;"",Completed!$H138,"")</f>
        <v>6.1930385068101561</v>
      </c>
      <c r="AB139" s="54">
        <f>IF(Completed!$I138&lt;&gt;"",Completed!$I138,"")</f>
        <v>41288</v>
      </c>
      <c r="AC139" s="54">
        <f>IF(Completed!$J138&lt;&gt;"",Completed!$J138,"")</f>
        <v>41288</v>
      </c>
      <c r="AD139" s="65" t="str">
        <f>IF(Completed!$K138&lt;&gt;"",Completed!$K138,"")</f>
        <v>Aizawa Chizuru</v>
      </c>
      <c r="AE139" s="65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IF(Completed!$A139&lt;&gt;"",Completed!$A139,"")</f>
        <v>Koe de Oshigoto!</v>
      </c>
      <c r="O140" s="28">
        <f>IF(Completed!$B139&lt;&gt;"",Completed!$B139,"")</f>
        <v>1</v>
      </c>
      <c r="P140" s="28">
        <f ca="1">IF($N140&lt;&gt;"", INDIRECT("'Tracker'!"&amp;ADDRESS(MATCH($N140, Tracker[Anime Name], 0) + 2, 3)), "")</f>
        <v>2</v>
      </c>
      <c r="Q140" s="22" t="str">
        <f ca="1">IF($N140&lt;&gt;"", INDIRECT("'Tracker'!"&amp;ADDRESS(MATCH($N140, Tracker[Anime Name], 0) + 2, 4)), "")</f>
        <v>B</v>
      </c>
      <c r="R140" s="22" t="str">
        <f ca="1">IF($N140&lt;&gt;"", INDIRECT("'Tracker'!"&amp;ADDRESS(MATCH($N140, Tracker[Anime Name], 0) + 2, 5)), "")</f>
        <v>720p</v>
      </c>
      <c r="S140" s="22" t="str">
        <f ca="1">IF($N140&lt;&gt;"", INDIRECT("'Tracker'!"&amp;ADDRESS(MATCH($N140, Tracker[Anime Name], 0) + 2, 6)), "")</f>
        <v>TV</v>
      </c>
      <c r="T140" s="22" t="str">
        <f ca="1">IF($N140&lt;&gt;"", INDIRECT("'Tracker'!"&amp;ADDRESS(MATCH($N140, Tracker[Anime Name], 0) + 2, 7)), "")</f>
        <v>2010D</v>
      </c>
      <c r="U140" s="28" t="str">
        <f ca="1">IF($N140&lt;&gt;"", INDIRECT("'Tracker'!"&amp;ADDRESS(MATCH($N140, Tracker[Anime Name], 0) + 2, 8)), "")</f>
        <v>Doki, Chihiro</v>
      </c>
      <c r="V140" s="53">
        <f>IF(Completed!$C139&lt;&gt;"",Completed!$C139,"")</f>
        <v>6.5</v>
      </c>
      <c r="W140" s="53">
        <f>IF(Completed!$D139&lt;&gt;"",Completed!$D139,"")</f>
        <v>7.5</v>
      </c>
      <c r="X140" s="53">
        <f>IF(Completed!$E139&lt;&gt;"",Completed!$E139,"")</f>
        <v>8</v>
      </c>
      <c r="Y140" s="53">
        <f>IF(Completed!$F139&lt;&gt;"",Completed!$F139,"")</f>
        <v>7</v>
      </c>
      <c r="Z140" s="64">
        <f>IF(Completed!$G139&lt;&gt;"",Completed!$G139,"")</f>
        <v>7.0904522613065328</v>
      </c>
      <c r="AA140" s="73">
        <f>IF(Completed!$H139&lt;&gt;"",Completed!$H139,"")</f>
        <v>6.1392298637968725</v>
      </c>
      <c r="AB140" s="54">
        <f>IF(Completed!$I139&lt;&gt;"",Completed!$I139,"")</f>
        <v>42018</v>
      </c>
      <c r="AC140" s="54">
        <f>IF(Completed!$J139&lt;&gt;"",Completed!$J139,"")</f>
        <v>42018</v>
      </c>
      <c r="AD140" s="65" t="str">
        <f>IF(Completed!$K139&lt;&gt;"",Completed!$K139,"")</f>
        <v>Aoyagi Kanna</v>
      </c>
      <c r="AE140" s="65" t="str">
        <f>IF(Completed!$L$139&lt;&gt;"",Completed!$L$139,"")</f>
        <v>Do not watch with other people. Ever.</v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IF(Completed!$A140&lt;&gt;"",Completed!$A140,"")</f>
        <v>Naruto</v>
      </c>
      <c r="O141" s="28">
        <f>IF(Completed!$B140&lt;&gt;"",Completed!$B140,"")</f>
        <v>5</v>
      </c>
      <c r="P141" s="28">
        <f ca="1">IF($N141&lt;&gt;"", INDIRECT("'Tracker'!"&amp;ADDRESS(MATCH($N141, Tracker[Anime Name], 0) + 2, 3)), "")</f>
        <v>220</v>
      </c>
      <c r="Q141" s="22" t="str">
        <f ca="1">IF($N141&lt;&gt;"", INDIRECT("'Tracker'!"&amp;ADDRESS(MATCH($N141, Tracker[Anime Name], 0) + 2, 4)), "")</f>
        <v>--</v>
      </c>
      <c r="R141" s="22" t="str">
        <f ca="1">IF($N141&lt;&gt;"", INDIRECT("'Tracker'!"&amp;ADDRESS(MATCH($N141, Tracker[Anime Name], 0) + 2, 5)), "")</f>
        <v>--</v>
      </c>
      <c r="S141" s="22" t="str">
        <f ca="1">IF($N141&lt;&gt;"", INDIRECT("'Tracker'!"&amp;ADDRESS(MATCH($N141, Tracker[Anime Name], 0) + 2, 6)), "")</f>
        <v>--</v>
      </c>
      <c r="T141" s="22" t="str">
        <f ca="1">IF($N141&lt;&gt;"", INDIRECT("'Tracker'!"&amp;ADDRESS(MATCH($N141, Tracker[Anime Name], 0) + 2, 7)), "")</f>
        <v>2002C</v>
      </c>
      <c r="U141" s="28" t="str">
        <f ca="1">IF($N141&lt;&gt;"", INDIRECT("'Tracker'!"&amp;ADDRESS(MATCH($N141, Tracker[Anime Name], 0) + 2, 8)), "")</f>
        <v>-- NO DL --</v>
      </c>
      <c r="V141" s="53">
        <f>IF(Completed!$C140&lt;&gt;"",Completed!$C140,"")</f>
        <v>7.5</v>
      </c>
      <c r="W141" s="53">
        <f>IF(Completed!$D140&lt;&gt;"",Completed!$D140,"")</f>
        <v>8</v>
      </c>
      <c r="X141" s="53">
        <f>IF(Completed!$E140&lt;&gt;"",Completed!$E140,"")</f>
        <v>0.5</v>
      </c>
      <c r="Y141" s="53">
        <f>IF(Completed!$F140&lt;&gt;"",Completed!$F140,"")</f>
        <v>7</v>
      </c>
      <c r="Z141" s="64">
        <f>IF(Completed!$G140&lt;&gt;"",Completed!$G140,"")</f>
        <v>7.0502512562814079</v>
      </c>
      <c r="AA141" s="73">
        <f>IF(Completed!$H140&lt;&gt;"",Completed!$H140,"")</f>
        <v>6.0854212207835898</v>
      </c>
      <c r="AB141" s="54">
        <f>IF(Completed!$I140&lt;&gt;"",Completed!$I140,"")</f>
        <v>41088</v>
      </c>
      <c r="AC141" s="54">
        <f>IF(Completed!$J140&lt;&gt;"",Completed!$J140,"")</f>
        <v>41108</v>
      </c>
      <c r="AD141" s="65" t="str">
        <f>IF(Completed!$K140&lt;&gt;"",Completed!$K140,"")</f>
        <v>Hyuuga Hinata</v>
      </c>
      <c r="AE141" s="65" t="str">
        <f>IF(Completed!$L$140&lt;&gt;"",Completed!$L$140,"")</f>
        <v>Too many filler arcs killed everything else. Should have waited for the manga to continue instead</v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IF(Completed!$A141&lt;&gt;"",Completed!$A141,"")</f>
        <v>Haiyore! Nyaruko-san W</v>
      </c>
      <c r="O142" s="28">
        <f>IF(Completed!$B141&lt;&gt;"",Completed!$B141,"")</f>
        <v>2</v>
      </c>
      <c r="P142" s="28">
        <f ca="1">IF($N142&lt;&gt;"", INDIRECT("'Tracker'!"&amp;ADDRESS(MATCH($N142, Tracker[Anime Name], 0) + 2, 3)), "")</f>
        <v>12</v>
      </c>
      <c r="Q142" s="22" t="str">
        <f ca="1">IF($N142&lt;&gt;"", INDIRECT("'Tracker'!"&amp;ADDRESS(MATCH($N142, Tracker[Anime Name], 0) + 2, 4)), "")</f>
        <v>C</v>
      </c>
      <c r="R142" s="22" t="str">
        <f ca="1">IF($N142&lt;&gt;"", INDIRECT("'Tracker'!"&amp;ADDRESS(MATCH($N142, Tracker[Anime Name], 0) + 2, 5)), "")</f>
        <v>720p</v>
      </c>
      <c r="S142" s="22" t="str">
        <f ca="1">IF($N142&lt;&gt;"", INDIRECT("'Tracker'!"&amp;ADDRESS(MATCH($N142, Tracker[Anime Name], 0) + 2, 6)), "")</f>
        <v>BD</v>
      </c>
      <c r="T142" s="22" t="str">
        <f ca="1">IF($N142&lt;&gt;"", INDIRECT("'Tracker'!"&amp;ADDRESS(MATCH($N142, Tracker[Anime Name], 0) + 2, 7)), "")</f>
        <v>2013A</v>
      </c>
      <c r="U142" s="28" t="str">
        <f ca="1">IF($N142&lt;&gt;"", INDIRECT("'Tracker'!"&amp;ADDRESS(MATCH($N142, Tracker[Anime Name], 0) + 2, 8)), "")</f>
        <v>Final8</v>
      </c>
      <c r="V142" s="53">
        <f>IF(Completed!$C141&lt;&gt;"",Completed!$C141,"")</f>
        <v>6</v>
      </c>
      <c r="W142" s="53">
        <f>IF(Completed!$D141&lt;&gt;"",Completed!$D141,"")</f>
        <v>7</v>
      </c>
      <c r="X142" s="53">
        <f>IF(Completed!$E141&lt;&gt;"",Completed!$E141,"")</f>
        <v>6.5</v>
      </c>
      <c r="Y142" s="53">
        <f>IF(Completed!$F141&lt;&gt;"",Completed!$F141,"")</f>
        <v>7.5</v>
      </c>
      <c r="Z142" s="64">
        <f>IF(Completed!$G141&lt;&gt;"",Completed!$G141,"")</f>
        <v>7.0427135678391961</v>
      </c>
      <c r="AA142" s="73">
        <f>IF(Completed!$H141&lt;&gt;"",Completed!$H141,"")</f>
        <v>6.0753321002185974</v>
      </c>
      <c r="AB142" s="54">
        <f>IF(Completed!$I141&lt;&gt;"",Completed!$I141,"")</f>
        <v>41371</v>
      </c>
      <c r="AC142" s="54">
        <f>IF(Completed!$J141&lt;&gt;"",Completed!$J141,"")</f>
        <v>41455</v>
      </c>
      <c r="AD142" s="65" t="str">
        <f>IF(Completed!$K141&lt;&gt;"",Completed!$K141,"")</f>
        <v>Kuuko</v>
      </c>
      <c r="AE142" s="65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IF(Completed!$A142&lt;&gt;"",Completed!$A142,"")</f>
        <v>Watashi ga Motenai no wa Dou Kangaetemo Omaera no Warui!</v>
      </c>
      <c r="O143" s="28">
        <f>IF(Completed!$B142&lt;&gt;"",Completed!$B142,"")</f>
        <v>1</v>
      </c>
      <c r="P143" s="28">
        <f ca="1">IF($N143&lt;&gt;"", INDIRECT("'Tracker'!"&amp;ADDRESS(MATCH($N143, Tracker[Anime Name], 0) + 2, 3)), "")</f>
        <v>12</v>
      </c>
      <c r="Q143" s="22" t="str">
        <f ca="1">IF($N143&lt;&gt;"", INDIRECT("'Tracker'!"&amp;ADDRESS(MATCH($N143, Tracker[Anime Name], 0) + 2, 4)), "")</f>
        <v>C</v>
      </c>
      <c r="R143" s="22" t="str">
        <f ca="1">IF($N143&lt;&gt;"", INDIRECT("'Tracker'!"&amp;ADDRESS(MATCH($N143, Tracker[Anime Name], 0) + 2, 5)), "")</f>
        <v>720p</v>
      </c>
      <c r="S143" s="22" t="str">
        <f ca="1">IF($N143&lt;&gt;"", INDIRECT("'Tracker'!"&amp;ADDRESS(MATCH($N143, Tracker[Anime Name], 0) + 2, 6)), "")</f>
        <v>TV</v>
      </c>
      <c r="T143" s="22" t="str">
        <f ca="1">IF($N143&lt;&gt;"", INDIRECT("'Tracker'!"&amp;ADDRESS(MATCH($N143, Tracker[Anime Name], 0) + 2, 7)), "")</f>
        <v>2013B</v>
      </c>
      <c r="U143" s="28" t="str">
        <f ca="1">IF($N143&lt;&gt;"", INDIRECT("'Tracker'!"&amp;ADDRESS(MATCH($N143, Tracker[Anime Name], 0) + 2, 8)), "")</f>
        <v>FFF, UTW (FTW)</v>
      </c>
      <c r="V143" s="53">
        <f>IF(Completed!$C142&lt;&gt;"",Completed!$C142,"")</f>
        <v>6.5</v>
      </c>
      <c r="W143" s="53">
        <f>IF(Completed!$D142&lt;&gt;"",Completed!$D142,"")</f>
        <v>7</v>
      </c>
      <c r="X143" s="53">
        <f>IF(Completed!$E142&lt;&gt;"",Completed!$E142,"")</f>
        <v>4.5</v>
      </c>
      <c r="Y143" s="53">
        <f>IF(Completed!$F142&lt;&gt;"",Completed!$F142,"")</f>
        <v>7.5</v>
      </c>
      <c r="Z143" s="64">
        <f>IF(Completed!$G142&lt;&gt;"",Completed!$G142,"")</f>
        <v>7.0389447236180906</v>
      </c>
      <c r="AA143" s="73">
        <f>IF(Completed!$H142&lt;&gt;"",Completed!$H142,"")</f>
        <v>6.0702875399361016</v>
      </c>
      <c r="AB143" s="54">
        <f>IF(Completed!$I142&lt;&gt;"",Completed!$I142,"")</f>
        <v>41464</v>
      </c>
      <c r="AC143" s="54">
        <f>IF(Completed!$J142&lt;&gt;"",Completed!$J142,"")</f>
        <v>41543</v>
      </c>
      <c r="AD143" s="65" t="str">
        <f>IF(Completed!$K142&lt;&gt;"",Completed!$K142,"")</f>
        <v>Kii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IF(Completed!$A143&lt;&gt;"",Completed!$A143,"")</f>
        <v>Sora no Otoshimono</v>
      </c>
      <c r="O144" s="28">
        <f>IF(Completed!$B143&lt;&gt;"",Completed!$B143,"")</f>
        <v>1</v>
      </c>
      <c r="P144" s="28">
        <f ca="1">IF($N144&lt;&gt;"", INDIRECT("'Tracker'!"&amp;ADDRESS(MATCH($N144, Tracker[Anime Name], 0) + 2, 3)), "")</f>
        <v>13</v>
      </c>
      <c r="Q144" s="22" t="str">
        <f ca="1">IF($N144&lt;&gt;"", INDIRECT("'Tracker'!"&amp;ADDRESS(MATCH($N144, Tracker[Anime Name], 0) + 2, 4)), "")</f>
        <v>C</v>
      </c>
      <c r="R144" s="22" t="str">
        <f ca="1">IF($N144&lt;&gt;"", INDIRECT("'Tracker'!"&amp;ADDRESS(MATCH($N144, Tracker[Anime Name], 0) + 2, 5)), "")</f>
        <v>720p</v>
      </c>
      <c r="S144" s="22" t="str">
        <f ca="1">IF($N144&lt;&gt;"", INDIRECT("'Tracker'!"&amp;ADDRESS(MATCH($N144, Tracker[Anime Name], 0) + 2, 6)), "")</f>
        <v>DVD</v>
      </c>
      <c r="T144" s="22" t="str">
        <f ca="1">IF($N144&lt;&gt;"", INDIRECT("'Tracker'!"&amp;ADDRESS(MATCH($N144, Tracker[Anime Name], 0) + 2, 7)), "")</f>
        <v>2009C</v>
      </c>
      <c r="U144" s="28" t="str">
        <f ca="1">IF($N144&lt;&gt;"", INDIRECT("'Tracker'!"&amp;ADDRESS(MATCH($N144, Tracker[Anime Name], 0) + 2, 8)), "")</f>
        <v>Polished</v>
      </c>
      <c r="V144" s="53">
        <f>IF(Completed!$C143&lt;&gt;"",Completed!$C143,"")</f>
        <v>7</v>
      </c>
      <c r="W144" s="53">
        <f>IF(Completed!$D143&lt;&gt;"",Completed!$D143,"")</f>
        <v>7</v>
      </c>
      <c r="X144" s="53">
        <f>IF(Completed!$E143&lt;&gt;"",Completed!$E143,"")</f>
        <v>7.5</v>
      </c>
      <c r="Y144" s="53">
        <f>IF(Completed!$F143&lt;&gt;"",Completed!$F143,"")</f>
        <v>7</v>
      </c>
      <c r="Z144" s="64">
        <f>IF(Completed!$G143&lt;&gt;"",Completed!$G143,"")</f>
        <v>7.0238693467336679</v>
      </c>
      <c r="AA144" s="73">
        <f>IF(Completed!$H143&lt;&gt;"",Completed!$H143,"")</f>
        <v>6.0501092988061203</v>
      </c>
      <c r="AB144" s="54">
        <f>IF(Completed!$I143&lt;&gt;"",Completed!$I143,"")</f>
        <v>41496</v>
      </c>
      <c r="AC144" s="54">
        <f>IF(Completed!$J143&lt;&gt;"",Completed!$J143,"")</f>
        <v>41512</v>
      </c>
      <c r="AD144" s="65" t="str">
        <f>IF(Completed!$K143&lt;&gt;"",Completed!$K143,"")</f>
        <v>Nymph</v>
      </c>
      <c r="AE144" s="65" t="str">
        <f>IF(Completed!$L$143&lt;&gt;"",Completed!$L$143,"")</f>
        <v>Ignoring the ecchi, it would be pretty nice</v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IF(Completed!$A144&lt;&gt;"",Completed!$A144,"")</f>
        <v>Panty &amp; Stocking with Garterbelt</v>
      </c>
      <c r="O145" s="28">
        <f>IF(Completed!$B144&lt;&gt;"",Completed!$B144,"")</f>
        <v>1</v>
      </c>
      <c r="P145" s="28">
        <f ca="1">IF($N145&lt;&gt;"", INDIRECT("'Tracker'!"&amp;ADDRESS(MATCH($N145, Tracker[Anime Name], 0) + 2, 3)), "")</f>
        <v>13</v>
      </c>
      <c r="Q145" s="22" t="str">
        <f ca="1">IF($N145&lt;&gt;"", INDIRECT("'Tracker'!"&amp;ADDRESS(MATCH($N145, Tracker[Anime Name], 0) + 2, 4)), "")</f>
        <v>C</v>
      </c>
      <c r="R145" s="22" t="str">
        <f ca="1">IF($N145&lt;&gt;"", INDIRECT("'Tracker'!"&amp;ADDRESS(MATCH($N145, Tracker[Anime Name], 0) + 2, 5)), "")</f>
        <v>720p</v>
      </c>
      <c r="S145" s="22" t="str">
        <f ca="1">IF($N145&lt;&gt;"", INDIRECT("'Tracker'!"&amp;ADDRESS(MATCH($N145, Tracker[Anime Name], 0) + 2, 6)), "")</f>
        <v>BD</v>
      </c>
      <c r="T145" s="22" t="str">
        <f ca="1">IF($N145&lt;&gt;"", INDIRECT("'Tracker'!"&amp;ADDRESS(MATCH($N145, Tracker[Anime Name], 0) + 2, 7)), "")</f>
        <v>2010C</v>
      </c>
      <c r="U145" s="28" t="str">
        <f ca="1">IF($N145&lt;&gt;"", INDIRECT("'Tracker'!"&amp;ADDRESS(MATCH($N145, Tracker[Anime Name], 0) + 2, 8)), "")</f>
        <v>WhyNot</v>
      </c>
      <c r="V145" s="53">
        <f>IF(Completed!$C144&lt;&gt;"",Completed!$C144,"")</f>
        <v>5</v>
      </c>
      <c r="W145" s="53">
        <f>IF(Completed!$D144&lt;&gt;"",Completed!$D144,"")</f>
        <v>7</v>
      </c>
      <c r="X145" s="53">
        <f>IF(Completed!$E144&lt;&gt;"",Completed!$E144,"")</f>
        <v>4.5</v>
      </c>
      <c r="Y145" s="53">
        <f>IF(Completed!$F144&lt;&gt;"",Completed!$F144,"")</f>
        <v>8</v>
      </c>
      <c r="Z145" s="64">
        <f>IF(Completed!$G144&lt;&gt;"",Completed!$G144,"")</f>
        <v>7.0138190954773867</v>
      </c>
      <c r="AA145" s="73">
        <f>IF(Completed!$H144&lt;&gt;"",Completed!$H144,"")</f>
        <v>6.0366571380527994</v>
      </c>
      <c r="AB145" s="54">
        <f>IF(Completed!$I144&lt;&gt;"",Completed!$I144,"")</f>
        <v>41470</v>
      </c>
      <c r="AC145" s="54">
        <f>IF(Completed!$J144&lt;&gt;"",Completed!$J144,"")</f>
        <v>41482</v>
      </c>
      <c r="AD145" s="65" t="str">
        <f>IF(Completed!$K144&lt;&gt;"",Completed!$K144,"")</f>
        <v>Stocking Anarchy</v>
      </c>
      <c r="AE145" s="65" t="str">
        <f>IF(Completed!$L$144&lt;&gt;"",Completed!$L$144,"")</f>
        <v>Interesting animation style, nice break from "normal" anime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IF(Completed!$A145&lt;&gt;"",Completed!$A145,"")</f>
        <v>Shinryaku?! Ika Musume</v>
      </c>
      <c r="O146" s="28">
        <f>IF(Completed!$B145&lt;&gt;"",Completed!$B145,"")</f>
        <v>2</v>
      </c>
      <c r="P146" s="28">
        <f ca="1">IF($N146&lt;&gt;"", INDIRECT("'Tracker'!"&amp;ADDRESS(MATCH($N146, Tracker[Anime Name], 0) + 2, 3)), "")</f>
        <v>12</v>
      </c>
      <c r="Q146" s="22" t="str">
        <f ca="1">IF($N146&lt;&gt;"", INDIRECT("'Tracker'!"&amp;ADDRESS(MATCH($N146, Tracker[Anime Name], 0) + 2, 4)), "")</f>
        <v>C</v>
      </c>
      <c r="R146" s="22" t="str">
        <f ca="1">IF($N146&lt;&gt;"", INDIRECT("'Tracker'!"&amp;ADDRESS(MATCH($N146, Tracker[Anime Name], 0) + 2, 5)), "")</f>
        <v>720p</v>
      </c>
      <c r="S146" s="22" t="str">
        <f ca="1">IF($N146&lt;&gt;"", INDIRECT("'Tracker'!"&amp;ADDRESS(MATCH($N146, Tracker[Anime Name], 0) + 2, 6)), "")</f>
        <v>BD</v>
      </c>
      <c r="T146" s="22" t="str">
        <f ca="1">IF($N146&lt;&gt;"", INDIRECT("'Tracker'!"&amp;ADDRESS(MATCH($N146, Tracker[Anime Name], 0) + 2, 7)), "")</f>
        <v>2011C</v>
      </c>
      <c r="U146" s="28" t="str">
        <f ca="1">IF($N146&lt;&gt;"", INDIRECT("'Tracker'!"&amp;ADDRESS(MATCH($N146, Tracker[Anime Name], 0) + 2, 8)), "")</f>
        <v>FFF</v>
      </c>
      <c r="V146" s="53">
        <f>IF(Completed!$C145&lt;&gt;"",Completed!$C145,"")</f>
        <v>3.5</v>
      </c>
      <c r="W146" s="53">
        <f>IF(Completed!$D145&lt;&gt;"",Completed!$D145,"")</f>
        <v>8</v>
      </c>
      <c r="X146" s="53">
        <f>IF(Completed!$E145&lt;&gt;"",Completed!$E145,"")</f>
        <v>9</v>
      </c>
      <c r="Y146" s="53">
        <f>IF(Completed!$F145&lt;&gt;"",Completed!$F145,"")</f>
        <v>7.5</v>
      </c>
      <c r="Z146" s="64">
        <f>IF(Completed!$G145&lt;&gt;"",Completed!$G145,"")</f>
        <v>6.9723618090452257</v>
      </c>
      <c r="AA146" s="73">
        <f>IF(Completed!$H145&lt;&gt;"",Completed!$H145,"")</f>
        <v>5.9811669749453493</v>
      </c>
      <c r="AB146" s="54">
        <f>IF(Completed!$I145&lt;&gt;"",Completed!$I145,"")</f>
        <v>41289</v>
      </c>
      <c r="AC146" s="54">
        <f>IF(Completed!$J145&lt;&gt;"",Completed!$J145,"")</f>
        <v>41289</v>
      </c>
      <c r="AD146" s="65" t="str">
        <f>IF(Completed!$K145&lt;&gt;"",Completed!$K145,"")</f>
        <v>Aizawa Chizuru</v>
      </c>
      <c r="AE146" s="65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IF(Completed!$A146&lt;&gt;"",Completed!$A146,"")</f>
        <v>Nekomonogatari Black</v>
      </c>
      <c r="O147" s="28">
        <f>IF(Completed!$B146&lt;&gt;"",Completed!$B146,"")</f>
        <v>1</v>
      </c>
      <c r="P147" s="28">
        <f ca="1">IF($N147&lt;&gt;"", INDIRECT("'Tracker'!"&amp;ADDRESS(MATCH($N147, Tracker[Anime Name], 0) + 2, 3)), "")</f>
        <v>4</v>
      </c>
      <c r="Q147" s="22" t="str">
        <f ca="1">IF($N147&lt;&gt;"", INDIRECT("'Tracker'!"&amp;ADDRESS(MATCH($N147, Tracker[Anime Name], 0) + 2, 4)), "")</f>
        <v>A</v>
      </c>
      <c r="R147" s="22" t="str">
        <f ca="1">IF($N147&lt;&gt;"", INDIRECT("'Tracker'!"&amp;ADDRESS(MATCH($N147, Tracker[Anime Name], 0) + 2, 5)), "")</f>
        <v>1080p</v>
      </c>
      <c r="S147" s="22" t="str">
        <f ca="1">IF($N147&lt;&gt;"", INDIRECT("'Tracker'!"&amp;ADDRESS(MATCH($N147, Tracker[Anime Name], 0) + 2, 6)), "")</f>
        <v>BD</v>
      </c>
      <c r="T147" s="22" t="str">
        <f ca="1">IF($N147&lt;&gt;"", INDIRECT("'Tracker'!"&amp;ADDRESS(MATCH($N147, Tracker[Anime Name], 0) + 2, 7)), "")</f>
        <v>2012D</v>
      </c>
      <c r="U147" s="28" t="str">
        <f ca="1">IF($N147&lt;&gt;"", INDIRECT("'Tracker'!"&amp;ADDRESS(MATCH($N147, Tracker[Anime Name], 0) + 2, 8)), "")</f>
        <v>Coalgirls, Mazui</v>
      </c>
      <c r="V147" s="53">
        <f>IF(Completed!$C146&lt;&gt;"",Completed!$C146,"")</f>
        <v>7</v>
      </c>
      <c r="W147" s="53">
        <f>IF(Completed!$D146&lt;&gt;"",Completed!$D146,"")</f>
        <v>6.5</v>
      </c>
      <c r="X147" s="53">
        <f>IF(Completed!$E146&lt;&gt;"",Completed!$E146,"")</f>
        <v>2.5</v>
      </c>
      <c r="Y147" s="53">
        <f>IF(Completed!$F146&lt;&gt;"",Completed!$F146,"")</f>
        <v>7.5</v>
      </c>
      <c r="Z147" s="64">
        <f>IF(Completed!$G146&lt;&gt;"",Completed!$G146,"")</f>
        <v>6.9007537688442211</v>
      </c>
      <c r="AA147" s="73">
        <f>IF(Completed!$H146&lt;&gt;"",Completed!$H146,"")</f>
        <v>5.8853203295779384</v>
      </c>
      <c r="AB147" s="54">
        <f>IF(Completed!$I146&lt;&gt;"",Completed!$I146,"")</f>
        <v>41465</v>
      </c>
      <c r="AC147" s="54">
        <f>IF(Completed!$J146&lt;&gt;"",Completed!$J146,"")</f>
        <v>41465</v>
      </c>
      <c r="AD147" s="65" t="str">
        <f>IF(Completed!$K146&lt;&gt;"",Completed!$K146,"")</f>
        <v>Oshino Shinobu</v>
      </c>
      <c r="AE147" s="65" t="str">
        <f>IF(Completed!$L$146&lt;&gt;"",Completed!$L$146,"")</f>
        <v>Pretty relaxing to watch, got better near the end</v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IF(Completed!$A147&lt;&gt;"",Completed!$A147,"")</f>
        <v>Photokano</v>
      </c>
      <c r="O148" s="28">
        <f>IF(Completed!$B147&lt;&gt;"",Completed!$B147,"")</f>
        <v>1</v>
      </c>
      <c r="P148" s="28">
        <f ca="1">IF($N148&lt;&gt;"", INDIRECT("'Tracker'!"&amp;ADDRESS(MATCH($N148, Tracker[Anime Name], 0) + 2, 3)), "")</f>
        <v>13</v>
      </c>
      <c r="Q148" s="22" t="str">
        <f ca="1">IF($N148&lt;&gt;"", INDIRECT("'Tracker'!"&amp;ADDRESS(MATCH($N148, Tracker[Anime Name], 0) + 2, 4)), "")</f>
        <v>C</v>
      </c>
      <c r="R148" s="22" t="str">
        <f ca="1">IF($N148&lt;&gt;"", INDIRECT("'Tracker'!"&amp;ADDRESS(MATCH($N148, Tracker[Anime Name], 0) + 2, 5)), "")</f>
        <v>720p</v>
      </c>
      <c r="S148" s="22" t="str">
        <f ca="1">IF($N148&lt;&gt;"", INDIRECT("'Tracker'!"&amp;ADDRESS(MATCH($N148, Tracker[Anime Name], 0) + 2, 6)), "")</f>
        <v>TV</v>
      </c>
      <c r="T148" s="22" t="str">
        <f ca="1">IF($N148&lt;&gt;"", INDIRECT("'Tracker'!"&amp;ADDRESS(MATCH($N148, Tracker[Anime Name], 0) + 2, 7)), "")</f>
        <v>2013A</v>
      </c>
      <c r="U148" s="28" t="str">
        <f ca="1">IF($N148&lt;&gt;"", INDIRECT("'Tracker'!"&amp;ADDRESS(MATCH($N148, Tracker[Anime Name], 0) + 2, 8)), "")</f>
        <v>HorribleSubs</v>
      </c>
      <c r="V148" s="53">
        <f>IF(Completed!$C147&lt;&gt;"",Completed!$C147,"")</f>
        <v>6.5</v>
      </c>
      <c r="W148" s="53">
        <f>IF(Completed!$D147&lt;&gt;"",Completed!$D147,"")</f>
        <v>7</v>
      </c>
      <c r="X148" s="53">
        <f>IF(Completed!$E147&lt;&gt;"",Completed!$E147,"")</f>
        <v>6.5</v>
      </c>
      <c r="Y148" s="53">
        <f>IF(Completed!$F147&lt;&gt;"",Completed!$F147,"")</f>
        <v>7</v>
      </c>
      <c r="Z148" s="64">
        <f>IF(Completed!$G147&lt;&gt;"",Completed!$G147,"")</f>
        <v>6.8844221105527632</v>
      </c>
      <c r="AA148" s="73">
        <f>IF(Completed!$H147&lt;&gt;"",Completed!$H147,"")</f>
        <v>5.8634605683537906</v>
      </c>
      <c r="AB148" s="54">
        <f>IF(Completed!$I147&lt;&gt;"",Completed!$I147,"")</f>
        <v>41371</v>
      </c>
      <c r="AC148" s="54">
        <f>IF(Completed!$J147&lt;&gt;"",Completed!$J147,"")</f>
        <v>41453</v>
      </c>
      <c r="AD148" s="65" t="str">
        <f>IF(Completed!$K147&lt;&gt;"",Completed!$K147,"")</f>
        <v>Sakura Mai</v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IF(Completed!$A148&lt;&gt;"",Completed!$A148,"")</f>
        <v>Sasami-san @ Ganbaranai</v>
      </c>
      <c r="O149" s="28">
        <f>IF(Completed!$B148&lt;&gt;"",Completed!$B148,"")</f>
        <v>1</v>
      </c>
      <c r="P149" s="28">
        <f ca="1">IF($N149&lt;&gt;"", INDIRECT("'Tracker'!"&amp;ADDRESS(MATCH($N149, Tracker[Anime Name], 0) + 2, 3)), "")</f>
        <v>12</v>
      </c>
      <c r="Q149" s="22" t="str">
        <f ca="1">IF($N149&lt;&gt;"", INDIRECT("'Tracker'!"&amp;ADDRESS(MATCH($N149, Tracker[Anime Name], 0) + 2, 4)), "")</f>
        <v>C</v>
      </c>
      <c r="R149" s="22" t="str">
        <f ca="1">IF($N149&lt;&gt;"", INDIRECT("'Tracker'!"&amp;ADDRESS(MATCH($N149, Tracker[Anime Name], 0) + 2, 5)), "")</f>
        <v>720p</v>
      </c>
      <c r="S149" s="22" t="str">
        <f ca="1">IF($N149&lt;&gt;"", INDIRECT("'Tracker'!"&amp;ADDRESS(MATCH($N149, Tracker[Anime Name], 0) + 2, 6)), "")</f>
        <v>TV</v>
      </c>
      <c r="T149" s="22" t="str">
        <f ca="1">IF($N149&lt;&gt;"", INDIRECT("'Tracker'!"&amp;ADDRESS(MATCH($N149, Tracker[Anime Name], 0) + 2, 7)), "")</f>
        <v>2012D</v>
      </c>
      <c r="U149" s="28" t="str">
        <f ca="1">IF($N149&lt;&gt;"", INDIRECT("'Tracker'!"&amp;ADDRESS(MATCH($N149, Tracker[Anime Name], 0) + 2, 8)), "")</f>
        <v>FFF</v>
      </c>
      <c r="V149" s="53">
        <f>IF(Completed!$C148&lt;&gt;"",Completed!$C148,"")</f>
        <v>7</v>
      </c>
      <c r="W149" s="53">
        <f>IF(Completed!$D148&lt;&gt;"",Completed!$D148,"")</f>
        <v>7</v>
      </c>
      <c r="X149" s="53">
        <f>IF(Completed!$E148&lt;&gt;"",Completed!$E148,"")</f>
        <v>4.5</v>
      </c>
      <c r="Y149" s="53">
        <f>IF(Completed!$F148&lt;&gt;"",Completed!$F148,"")</f>
        <v>7</v>
      </c>
      <c r="Z149" s="64">
        <f>IF(Completed!$G148&lt;&gt;"",Completed!$G148,"")</f>
        <v>6.8806532663316577</v>
      </c>
      <c r="AA149" s="73">
        <f>IF(Completed!$H148&lt;&gt;"",Completed!$H148,"")</f>
        <v>5.8584160080712957</v>
      </c>
      <c r="AB149" s="54">
        <f>IF(Completed!$I148&lt;&gt;"",Completed!$I148,"")</f>
        <v>41292</v>
      </c>
      <c r="AC149" s="54">
        <f>IF(Completed!$J148&lt;&gt;"",Completed!$J148,"")</f>
        <v>41369</v>
      </c>
      <c r="AD149" s="65" t="str">
        <f>IF(Completed!$K148&lt;&gt;"",Completed!$K148,"")</f>
        <v>Yagami Kagami</v>
      </c>
      <c r="AE149" s="65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IF(Completed!$A149&lt;&gt;"",Completed!$A149,"")</f>
        <v>Red Data Girl</v>
      </c>
      <c r="O150" s="28">
        <f>IF(Completed!$B149&lt;&gt;"",Completed!$B149,"")</f>
        <v>1</v>
      </c>
      <c r="P150" s="28">
        <f ca="1">IF($N150&lt;&gt;"", INDIRECT("'Tracker'!"&amp;ADDRESS(MATCH($N150, Tracker[Anime Name], 0) + 2, 3)), "")</f>
        <v>12</v>
      </c>
      <c r="Q150" s="22" t="str">
        <f ca="1">IF($N150&lt;&gt;"", INDIRECT("'Tracker'!"&amp;ADDRESS(MATCH($N150, Tracker[Anime Name], 0) + 2, 4)), "")</f>
        <v>C</v>
      </c>
      <c r="R150" s="22" t="str">
        <f ca="1">IF($N150&lt;&gt;"", INDIRECT("'Tracker'!"&amp;ADDRESS(MATCH($N150, Tracker[Anime Name], 0) + 2, 5)), "")</f>
        <v>720p</v>
      </c>
      <c r="S150" s="22" t="str">
        <f ca="1">IF($N150&lt;&gt;"", INDIRECT("'Tracker'!"&amp;ADDRESS(MATCH($N150, Tracker[Anime Name], 0) + 2, 6)), "")</f>
        <v>TV</v>
      </c>
      <c r="T150" s="22" t="str">
        <f ca="1">IF($N150&lt;&gt;"", INDIRECT("'Tracker'!"&amp;ADDRESS(MATCH($N150, Tracker[Anime Name], 0) + 2, 7)), "")</f>
        <v>2013A</v>
      </c>
      <c r="U150" s="28" t="str">
        <f ca="1">IF($N150&lt;&gt;"", INDIRECT("'Tracker'!"&amp;ADDRESS(MATCH($N150, Tracker[Anime Name], 0) + 2, 8)), "")</f>
        <v>HorribleSubs</v>
      </c>
      <c r="V150" s="53">
        <f>IF(Completed!$C149&lt;&gt;"",Completed!$C149,"")</f>
        <v>7</v>
      </c>
      <c r="W150" s="53">
        <f>IF(Completed!$D149&lt;&gt;"",Completed!$D149,"")</f>
        <v>6</v>
      </c>
      <c r="X150" s="53">
        <f>IF(Completed!$E149&lt;&gt;"",Completed!$E149,"")</f>
        <v>4.5</v>
      </c>
      <c r="Y150" s="53">
        <f>IF(Completed!$F149&lt;&gt;"",Completed!$F149,"")</f>
        <v>7.5</v>
      </c>
      <c r="Z150" s="64">
        <f>IF(Completed!$G149&lt;&gt;"",Completed!$G149,"")</f>
        <v>6.8618090452261313</v>
      </c>
      <c r="AA150" s="73">
        <f>IF(Completed!$H149&lt;&gt;"",Completed!$H149,"")</f>
        <v>5.8331932066588204</v>
      </c>
      <c r="AB150" s="54">
        <f>IF(Completed!$I149&lt;&gt;"",Completed!$I149,"")</f>
        <v>41379</v>
      </c>
      <c r="AC150" s="54">
        <f>IF(Completed!$J149&lt;&gt;"",Completed!$J149,"")</f>
        <v>41464</v>
      </c>
      <c r="AD150" s="65" t="str">
        <f>IF(Completed!$K149&lt;&gt;"",Completed!$K149,"")</f>
        <v>Himegami</v>
      </c>
      <c r="AE150" s="65" t="str">
        <f>IF(Completed!$L$149&lt;&gt;"",Completed!$L$149,"")</f>
        <v>They tried a bit too hard. 3strange5me</v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IF(Completed!$A150&lt;&gt;"",Completed!$A150,"")</f>
        <v>Yuru Yuri ♪♪</v>
      </c>
      <c r="O151" s="28">
        <f>IF(Completed!$B150&lt;&gt;"",Completed!$B150,"")</f>
        <v>2</v>
      </c>
      <c r="P151" s="28">
        <f ca="1">IF($N151&lt;&gt;"", INDIRECT("'Tracker'!"&amp;ADDRESS(MATCH($N151, Tracker[Anime Name], 0) + 2, 3)), "")</f>
        <v>12</v>
      </c>
      <c r="Q151" s="22" t="str">
        <f ca="1">IF($N151&lt;&gt;"", INDIRECT("'Tracker'!"&amp;ADDRESS(MATCH($N151, Tracker[Anime Name], 0) + 2, 4)), "")</f>
        <v>C</v>
      </c>
      <c r="R151" s="22" t="str">
        <f ca="1">IF($N151&lt;&gt;"", INDIRECT("'Tracker'!"&amp;ADDRESS(MATCH($N151, Tracker[Anime Name], 0) + 2, 5)), "")</f>
        <v>1080p</v>
      </c>
      <c r="S151" s="22" t="str">
        <f ca="1">IF($N151&lt;&gt;"", INDIRECT("'Tracker'!"&amp;ADDRESS(MATCH($N151, Tracker[Anime Name], 0) + 2, 6)), "")</f>
        <v>BD</v>
      </c>
      <c r="T151" s="22" t="str">
        <f ca="1">IF($N151&lt;&gt;"", INDIRECT("'Tracker'!"&amp;ADDRESS(MATCH($N151, Tracker[Anime Name], 0) + 2, 7)), "")</f>
        <v>2012B</v>
      </c>
      <c r="U151" s="28" t="str">
        <f ca="1">IF($N151&lt;&gt;"", INDIRECT("'Tracker'!"&amp;ADDRESS(MATCH($N151, Tracker[Anime Name], 0) + 2, 8)), "")</f>
        <v>Doki</v>
      </c>
      <c r="V151" s="53">
        <f>IF(Completed!$C150&lt;&gt;"",Completed!$C150,"")</f>
        <v>2</v>
      </c>
      <c r="W151" s="53">
        <f>IF(Completed!$D150&lt;&gt;"",Completed!$D150,"")</f>
        <v>7.5</v>
      </c>
      <c r="X151" s="53">
        <f>IF(Completed!$E150&lt;&gt;"",Completed!$E150,"")</f>
        <v>10</v>
      </c>
      <c r="Y151" s="53">
        <f>IF(Completed!$F150&lt;&gt;"",Completed!$F150,"")</f>
        <v>8</v>
      </c>
      <c r="Z151" s="64">
        <f>IF(Completed!$G150&lt;&gt;"",Completed!$G150,"")</f>
        <v>6.8605527638190953</v>
      </c>
      <c r="AA151" s="73">
        <f>IF(Completed!$H150&lt;&gt;"",Completed!$H150,"")</f>
        <v>5.8315116865646539</v>
      </c>
      <c r="AB151" s="54">
        <f>IF(Completed!$I150&lt;&gt;"",Completed!$I150,"")</f>
        <v>41229</v>
      </c>
      <c r="AC151" s="54">
        <f>IF(Completed!$J150&lt;&gt;"",Completed!$J150,"")</f>
        <v>41230</v>
      </c>
      <c r="AD151" s="65" t="str">
        <f>IF(Completed!$K150&lt;&gt;"",Completed!$K150,"")</f>
        <v>Funami Yui</v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IF(Completed!$A151&lt;&gt;"",Completed!$A151,"")</f>
        <v>Super Sonico the Animation</v>
      </c>
      <c r="O152" s="28">
        <f>IF(Completed!$B151&lt;&gt;"",Completed!$B151,"")</f>
        <v>1</v>
      </c>
      <c r="P152" s="28">
        <f ca="1">IF($N152&lt;&gt;"", INDIRECT("'Tracker'!"&amp;ADDRESS(MATCH($N152, Tracker[Anime Name], 0) + 2, 3)), "")</f>
        <v>12</v>
      </c>
      <c r="Q152" s="22" t="str">
        <f ca="1">IF($N152&lt;&gt;"", INDIRECT("'Tracker'!"&amp;ADDRESS(MATCH($N152, Tracker[Anime Name], 0) + 2, 4)), "")</f>
        <v>C</v>
      </c>
      <c r="R152" s="22" t="str">
        <f ca="1">IF($N152&lt;&gt;"", INDIRECT("'Tracker'!"&amp;ADDRESS(MATCH($N152, Tracker[Anime Name], 0) + 2, 5)), "")</f>
        <v>720p</v>
      </c>
      <c r="S152" s="22" t="str">
        <f ca="1">IF($N152&lt;&gt;"", INDIRECT("'Tracker'!"&amp;ADDRESS(MATCH($N152, Tracker[Anime Name], 0) + 2, 6)), "")</f>
        <v>Web</v>
      </c>
      <c r="T152" s="22" t="str">
        <f ca="1">IF($N152&lt;&gt;"", INDIRECT("'Tracker'!"&amp;ADDRESS(MATCH($N152, Tracker[Anime Name], 0) + 2, 7)), "")</f>
        <v>2013D</v>
      </c>
      <c r="U152" s="28" t="str">
        <f ca="1">IF($N152&lt;&gt;"", INDIRECT("'Tracker'!"&amp;ADDRESS(MATCH($N152, Tracker[Anime Name], 0) + 2, 8)), "")</f>
        <v>HorribleSubs</v>
      </c>
      <c r="V152" s="53">
        <f>IF(Completed!$C151&lt;&gt;"",Completed!$C151,"")</f>
        <v>5.5</v>
      </c>
      <c r="W152" s="53">
        <f>IF(Completed!$D151&lt;&gt;"",Completed!$D151,"")</f>
        <v>7</v>
      </c>
      <c r="X152" s="53">
        <f>IF(Completed!$E151&lt;&gt;"",Completed!$E151,"")</f>
        <v>4.5</v>
      </c>
      <c r="Y152" s="53">
        <f>IF(Completed!$F151&lt;&gt;"",Completed!$F151,"")</f>
        <v>7.5</v>
      </c>
      <c r="Z152" s="64">
        <f>IF(Completed!$G151&lt;&gt;"",Completed!$G151,"")</f>
        <v>6.8555276381909547</v>
      </c>
      <c r="AA152" s="73">
        <f>IF(Completed!$H151&lt;&gt;"",Completed!$H151,"")</f>
        <v>5.8247856061879935</v>
      </c>
      <c r="AB152" s="54">
        <f>IF(Completed!$I151&lt;&gt;"",Completed!$I151,"")</f>
        <v>41647</v>
      </c>
      <c r="AC152" s="54">
        <f>IF(Completed!$J151&lt;&gt;"",Completed!$J151,"")</f>
        <v>41733</v>
      </c>
      <c r="AD152" s="65" t="str">
        <f>IF(Completed!$K151&lt;&gt;"",Completed!$K151,"")</f>
        <v>Leila</v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IF(Completed!$A152&lt;&gt;"",Completed!$A152,"")</f>
        <v>Yuru Yuri</v>
      </c>
      <c r="O153" s="28">
        <f>IF(Completed!$B152&lt;&gt;"",Completed!$B152,"")</f>
        <v>1</v>
      </c>
      <c r="P153" s="28">
        <f ca="1">IF($N153&lt;&gt;"", INDIRECT("'Tracker'!"&amp;ADDRESS(MATCH($N153, Tracker[Anime Name], 0) + 2, 3)), "")</f>
        <v>12</v>
      </c>
      <c r="Q153" s="22" t="str">
        <f ca="1">IF($N153&lt;&gt;"", INDIRECT("'Tracker'!"&amp;ADDRESS(MATCH($N153, Tracker[Anime Name], 0) + 2, 4)), "")</f>
        <v>C</v>
      </c>
      <c r="R153" s="22" t="str">
        <f ca="1">IF($N153&lt;&gt;"", INDIRECT("'Tracker'!"&amp;ADDRESS(MATCH($N153, Tracker[Anime Name], 0) + 2, 5)), "")</f>
        <v>1080p</v>
      </c>
      <c r="S153" s="22" t="str">
        <f ca="1">IF($N153&lt;&gt;"", INDIRECT("'Tracker'!"&amp;ADDRESS(MATCH($N153, Tracker[Anime Name], 0) + 2, 6)), "")</f>
        <v>BD</v>
      </c>
      <c r="T153" s="22" t="str">
        <f ca="1">IF($N153&lt;&gt;"", INDIRECT("'Tracker'!"&amp;ADDRESS(MATCH($N153, Tracker[Anime Name], 0) + 2, 7)), "")</f>
        <v>2011B</v>
      </c>
      <c r="U153" s="28" t="str">
        <f ca="1">IF($N153&lt;&gt;"", INDIRECT("'Tracker'!"&amp;ADDRESS(MATCH($N153, Tracker[Anime Name], 0) + 2, 8)), "")</f>
        <v>Doki</v>
      </c>
      <c r="V153" s="53">
        <f>IF(Completed!$C152&lt;&gt;"",Completed!$C152,"")</f>
        <v>2</v>
      </c>
      <c r="W153" s="53">
        <f>IF(Completed!$D152&lt;&gt;"",Completed!$D152,"")</f>
        <v>7.5</v>
      </c>
      <c r="X153" s="53">
        <f>IF(Completed!$E152&lt;&gt;"",Completed!$E152,"")</f>
        <v>9.5</v>
      </c>
      <c r="Y153" s="53">
        <f>IF(Completed!$F152&lt;&gt;"",Completed!$F152,"")</f>
        <v>8</v>
      </c>
      <c r="Z153" s="64">
        <f>IF(Completed!$G152&lt;&gt;"",Completed!$G152,"")</f>
        <v>6.8366834170854274</v>
      </c>
      <c r="AA153" s="73">
        <f>IF(Completed!$H152&lt;&gt;"",Completed!$H152,"")</f>
        <v>5.7995628047755172</v>
      </c>
      <c r="AB153" s="54">
        <f>IF(Completed!$I152&lt;&gt;"",Completed!$I152,"")</f>
        <v>41228</v>
      </c>
      <c r="AC153" s="54">
        <f>IF(Completed!$J152&lt;&gt;"",Completed!$J152,"")</f>
        <v>41229</v>
      </c>
      <c r="AD153" s="65" t="str">
        <f>IF(Completed!$K152&lt;&gt;"",Completed!$K152,"")</f>
        <v>Funami Yui</v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IF(Completed!$A153&lt;&gt;"",Completed!$A153,"")</f>
        <v>Miss Monochrome: The Animation 3</v>
      </c>
      <c r="O154" s="28">
        <f>IF(Completed!$B153&lt;&gt;"",Completed!$B153,"")</f>
        <v>3</v>
      </c>
      <c r="P154" s="28">
        <f ca="1">IF($N154&lt;&gt;"", INDIRECT("'Tracker'!"&amp;ADDRESS(MATCH($N154, Tracker[Anime Name], 0) + 2, 3)), "")</f>
        <v>13</v>
      </c>
      <c r="Q154" s="22" t="str">
        <f ca="1">IF($N154&lt;&gt;"", INDIRECT("'Tracker'!"&amp;ADDRESS(MATCH($N154, Tracker[Anime Name], 0) + 2, 4)), "")</f>
        <v>B</v>
      </c>
      <c r="R154" s="22" t="str">
        <f ca="1">IF($N154&lt;&gt;"", INDIRECT("'Tracker'!"&amp;ADDRESS(MATCH($N154, Tracker[Anime Name], 0) + 2, 5)), "")</f>
        <v>720p</v>
      </c>
      <c r="S154" s="22" t="str">
        <f ca="1">IF($N154&lt;&gt;"", INDIRECT("'Tracker'!"&amp;ADDRESS(MATCH($N154, Tracker[Anime Name], 0) + 2, 6)), "")</f>
        <v>Web</v>
      </c>
      <c r="T154" s="22" t="str">
        <f ca="1">IF($N154&lt;&gt;"", INDIRECT("'Tracker'!"&amp;ADDRESS(MATCH($N154, Tracker[Anime Name], 0) + 2, 7)), "")</f>
        <v>2015C</v>
      </c>
      <c r="U154" s="28" t="str">
        <f ca="1">IF($N154&lt;&gt;"", INDIRECT("'Tracker'!"&amp;ADDRESS(MATCH($N154, Tracker[Anime Name], 0) + 2, 8)), "")</f>
        <v>HorribleSubs</v>
      </c>
      <c r="V154" s="53">
        <f>IF(Completed!$C153&lt;&gt;"",Completed!$C153,"")</f>
        <v>5.5</v>
      </c>
      <c r="W154" s="53">
        <f>IF(Completed!$D153&lt;&gt;"",Completed!$D153,"")</f>
        <v>6</v>
      </c>
      <c r="X154" s="53">
        <f>IF(Completed!$E153&lt;&gt;"",Completed!$E153,"")</f>
        <v>7</v>
      </c>
      <c r="Y154" s="53">
        <f>IF(Completed!$F153&lt;&gt;"",Completed!$F153,"")</f>
        <v>7</v>
      </c>
      <c r="Z154" s="64">
        <f>IF(Completed!$G153&lt;&gt;"",Completed!$G153,"")</f>
        <v>6.4560301507537687</v>
      </c>
      <c r="AA154" s="73">
        <f>IF(Completed!$H153&lt;&gt;"",Completed!$H153,"")</f>
        <v>5.2900622162434834</v>
      </c>
      <c r="AB154" s="54">
        <f>IF(Completed!$I153&lt;&gt;"",Completed!$I153,"")</f>
        <v>42286</v>
      </c>
      <c r="AC154" s="54">
        <f>IF(Completed!$J153&lt;&gt;"",Completed!$J153,"")</f>
        <v>42364</v>
      </c>
      <c r="AD154" s="65" t="str">
        <f>IF(Completed!$K153&lt;&gt;"",Completed!$K153,"")</f>
        <v>I don't even care</v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IF(Completed!$A154&lt;&gt;"",Completed!$A154,"")</f>
        <v>Kanojo no Flag wo Oraretara</v>
      </c>
      <c r="O155" s="28">
        <f>IF(Completed!$B154&lt;&gt;"",Completed!$B154,"")</f>
        <v>1</v>
      </c>
      <c r="P155" s="28">
        <f ca="1">IF($N155&lt;&gt;"", INDIRECT("'Tracker'!"&amp;ADDRESS(MATCH($N155, Tracker[Anime Name], 0) + 2, 3)), "")</f>
        <v>13</v>
      </c>
      <c r="Q155" s="22" t="str">
        <f ca="1">IF($N155&lt;&gt;"", INDIRECT("'Tracker'!"&amp;ADDRESS(MATCH($N155, Tracker[Anime Name], 0) + 2, 4)), "")</f>
        <v>C</v>
      </c>
      <c r="R155" s="22" t="str">
        <f ca="1">IF($N155&lt;&gt;"", INDIRECT("'Tracker'!"&amp;ADDRESS(MATCH($N155, Tracker[Anime Name], 0) + 2, 5)), "")</f>
        <v>720p</v>
      </c>
      <c r="S155" s="22" t="str">
        <f ca="1">IF($N155&lt;&gt;"", INDIRECT("'Tracker'!"&amp;ADDRESS(MATCH($N155, Tracker[Anime Name], 0) + 2, 6)), "")</f>
        <v>TV</v>
      </c>
      <c r="T155" s="22" t="str">
        <f ca="1">IF($N155&lt;&gt;"", INDIRECT("'Tracker'!"&amp;ADDRESS(MATCH($N155, Tracker[Anime Name], 0) + 2, 7)), "")</f>
        <v>2014A</v>
      </c>
      <c r="U155" s="28" t="str">
        <f ca="1">IF($N155&lt;&gt;"", INDIRECT("'Tracker'!"&amp;ADDRESS(MATCH($N155, Tracker[Anime Name], 0) + 2, 8)), "")</f>
        <v>Underwater</v>
      </c>
      <c r="V155" s="53">
        <f>IF(Completed!$C154&lt;&gt;"",Completed!$C154,"")</f>
        <v>6</v>
      </c>
      <c r="W155" s="53">
        <f>IF(Completed!$D154&lt;&gt;"",Completed!$D154,"")</f>
        <v>7.5</v>
      </c>
      <c r="X155" s="53">
        <f>IF(Completed!$E154&lt;&gt;"",Completed!$E154,"")</f>
        <v>6</v>
      </c>
      <c r="Y155" s="53">
        <f>IF(Completed!$F154&lt;&gt;"",Completed!$F154,"")</f>
        <v>6</v>
      </c>
      <c r="Z155" s="64">
        <f>IF(Completed!$G154&lt;&gt;"",Completed!$G154,"")</f>
        <v>6.4032663316582914</v>
      </c>
      <c r="AA155" s="73">
        <f>IF(Completed!$H154&lt;&gt;"",Completed!$H154,"")</f>
        <v>5.2194383722885487</v>
      </c>
      <c r="AB155" s="54">
        <f>IF(Completed!$I154&lt;&gt;"",Completed!$I154,"")</f>
        <v>41796</v>
      </c>
      <c r="AC155" s="54">
        <f>IF(Completed!$J154&lt;&gt;"",Completed!$J154,"")</f>
        <v>41820</v>
      </c>
      <c r="AD155" s="65" t="str">
        <f>IF(Completed!$K154&lt;&gt;"",Completed!$K154,"")</f>
        <v>Nanami Bladefield</v>
      </c>
      <c r="AE155" s="65" t="str">
        <f>IF(Completed!$L$154&lt;&gt;"",Completed!$L$154,"")</f>
        <v>It would've been nicer if it kept the tone of the first few episodes</v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IF(Completed!$A155&lt;&gt;"",Completed!$A155,"")</f>
        <v>Namiuchigiwa no Muromi-san</v>
      </c>
      <c r="O156" s="28">
        <f>IF(Completed!$B155&lt;&gt;"",Completed!$B155,"")</f>
        <v>1</v>
      </c>
      <c r="P156" s="28">
        <f ca="1">IF($N156&lt;&gt;"", INDIRECT("'Tracker'!"&amp;ADDRESS(MATCH($N156, Tracker[Anime Name], 0) + 2, 3)), "")</f>
        <v>13</v>
      </c>
      <c r="Q156" s="22" t="str">
        <f ca="1">IF($N156&lt;&gt;"", INDIRECT("'Tracker'!"&amp;ADDRESS(MATCH($N156, Tracker[Anime Name], 0) + 2, 4)), "")</f>
        <v>C</v>
      </c>
      <c r="R156" s="22" t="str">
        <f ca="1">IF($N156&lt;&gt;"", INDIRECT("'Tracker'!"&amp;ADDRESS(MATCH($N156, Tracker[Anime Name], 0) + 2, 5)), "")</f>
        <v>720p</v>
      </c>
      <c r="S156" s="22" t="str">
        <f ca="1">IF($N156&lt;&gt;"", INDIRECT("'Tracker'!"&amp;ADDRESS(MATCH($N156, Tracker[Anime Name], 0) + 2, 6)), "")</f>
        <v>Web</v>
      </c>
      <c r="T156" s="22" t="str">
        <f ca="1">IF($N156&lt;&gt;"", INDIRECT("'Tracker'!"&amp;ADDRESS(MATCH($N156, Tracker[Anime Name], 0) + 2, 7)), "")</f>
        <v>2013A</v>
      </c>
      <c r="U156" s="28" t="str">
        <f ca="1">IF($N156&lt;&gt;"", INDIRECT("'Tracker'!"&amp;ADDRESS(MATCH($N156, Tracker[Anime Name], 0) + 2, 8)), "")</f>
        <v>HorribleSubs</v>
      </c>
      <c r="V156" s="53">
        <f>IF(Completed!$C155&lt;&gt;"",Completed!$C155,"")</f>
        <v>3</v>
      </c>
      <c r="W156" s="53">
        <f>IF(Completed!$D155&lt;&gt;"",Completed!$D155,"")</f>
        <v>6.5</v>
      </c>
      <c r="X156" s="53">
        <f>IF(Completed!$E155&lt;&gt;"",Completed!$E155,"")</f>
        <v>6.5</v>
      </c>
      <c r="Y156" s="53">
        <f>IF(Completed!$F155&lt;&gt;"",Completed!$F155,"")</f>
        <v>7.5</v>
      </c>
      <c r="Z156" s="64">
        <f>IF(Completed!$G155&lt;&gt;"",Completed!$G155,"")</f>
        <v>6.358040201005025</v>
      </c>
      <c r="AA156" s="73">
        <f>IF(Completed!$H155&lt;&gt;"",Completed!$H155,"")</f>
        <v>5.1589036488986038</v>
      </c>
      <c r="AB156" s="54">
        <f>IF(Completed!$I155&lt;&gt;"",Completed!$I155,"")</f>
        <v>41448</v>
      </c>
      <c r="AC156" s="54">
        <f>IF(Completed!$J155&lt;&gt;"",Completed!$J155,"")</f>
        <v>41455</v>
      </c>
      <c r="AD156" s="65" t="str">
        <f>IF(Completed!$K155&lt;&gt;"",Completed!$K155,"")</f>
        <v>Levia-san</v>
      </c>
      <c r="AE156" s="65" t="str">
        <f>IF(Completed!$L$155&lt;&gt;"",Completed!$L$155,"")</f>
        <v>Not a bad show, despite low ratings. Pretty entertaining to watch overall</v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IF(Completed!$A156&lt;&gt;"",Completed!$A156,"")</f>
        <v>Mangaka-san to Assistant-san to</v>
      </c>
      <c r="O157" s="28">
        <f>IF(Completed!$B156&lt;&gt;"",Completed!$B156,"")</f>
        <v>1</v>
      </c>
      <c r="P157" s="28">
        <f ca="1">IF($N157&lt;&gt;"", INDIRECT("'Tracker'!"&amp;ADDRESS(MATCH($N157, Tracker[Anime Name], 0) + 2, 3)), "")</f>
        <v>12</v>
      </c>
      <c r="Q157" s="22" t="str">
        <f ca="1">IF($N157&lt;&gt;"", INDIRECT("'Tracker'!"&amp;ADDRESS(MATCH($N157, Tracker[Anime Name], 0) + 2, 4)), "")</f>
        <v>C</v>
      </c>
      <c r="R157" s="22" t="str">
        <f ca="1">IF($N157&lt;&gt;"", INDIRECT("'Tracker'!"&amp;ADDRESS(MATCH($N157, Tracker[Anime Name], 0) + 2, 5)), "")</f>
        <v>720p</v>
      </c>
      <c r="S157" s="22" t="str">
        <f ca="1">IF($N157&lt;&gt;"", INDIRECT("'Tracker'!"&amp;ADDRESS(MATCH($N157, Tracker[Anime Name], 0) + 2, 6)), "")</f>
        <v>TV</v>
      </c>
      <c r="T157" s="22" t="str">
        <f ca="1">IF($N157&lt;&gt;"", INDIRECT("'Tracker'!"&amp;ADDRESS(MATCH($N157, Tracker[Anime Name], 0) + 2, 7)), "")</f>
        <v>2014A</v>
      </c>
      <c r="U157" s="28" t="str">
        <f ca="1">IF($N157&lt;&gt;"", INDIRECT("'Tracker'!"&amp;ADDRESS(MATCH($N157, Tracker[Anime Name], 0) + 2, 8)), "")</f>
        <v>Doki</v>
      </c>
      <c r="V157" s="53">
        <f>IF(Completed!$C156&lt;&gt;"",Completed!$C156,"")</f>
        <v>5</v>
      </c>
      <c r="W157" s="53">
        <f>IF(Completed!$D156&lt;&gt;"",Completed!$D156,"")</f>
        <v>6.5</v>
      </c>
      <c r="X157" s="53">
        <f>IF(Completed!$E156&lt;&gt;"",Completed!$E156,"")</f>
        <v>8</v>
      </c>
      <c r="Y157" s="53">
        <f>IF(Completed!$F156&lt;&gt;"",Completed!$F156,"")</f>
        <v>6.5</v>
      </c>
      <c r="Z157" s="64">
        <f>IF(Completed!$G156&lt;&gt;"",Completed!$G156,"")</f>
        <v>6.2964824120603025</v>
      </c>
      <c r="AA157" s="73">
        <f>IF(Completed!$H156&lt;&gt;"",Completed!$H156,"")</f>
        <v>5.0765091642845146</v>
      </c>
      <c r="AB157" s="54">
        <f>IF(Completed!$I156&lt;&gt;"",Completed!$I156,"")</f>
        <v>41785</v>
      </c>
      <c r="AC157" s="54">
        <f>IF(Completed!$J156&lt;&gt;"",Completed!$J156,"")</f>
        <v>41814</v>
      </c>
      <c r="AD157" s="65" t="str">
        <f>IF(Completed!$K156&lt;&gt;"",Completed!$K156,"")</f>
        <v>Sahoto Ashisu</v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IF(Completed!$A157&lt;&gt;"",Completed!$A157,"")</f>
        <v>Ore no Nounai Sentakushi ga, Gakuen Love Comedy wo Zenryoku de Jama Shiteiru</v>
      </c>
      <c r="O158" s="28">
        <f>IF(Completed!$B157&lt;&gt;"",Completed!$B157,"")</f>
        <v>1</v>
      </c>
      <c r="P158" s="28">
        <f ca="1">IF($N158&lt;&gt;"", INDIRECT("'Tracker'!"&amp;ADDRESS(MATCH($N158, Tracker[Anime Name], 0) + 2, 3)), "")</f>
        <v>10</v>
      </c>
      <c r="Q158" s="22" t="str">
        <f ca="1">IF($N158&lt;&gt;"", INDIRECT("'Tracker'!"&amp;ADDRESS(MATCH($N158, Tracker[Anime Name], 0) + 2, 4)), "")</f>
        <v>C</v>
      </c>
      <c r="R158" s="22" t="str">
        <f ca="1">IF($N158&lt;&gt;"", INDIRECT("'Tracker'!"&amp;ADDRESS(MATCH($N158, Tracker[Anime Name], 0) + 2, 5)), "")</f>
        <v>720p</v>
      </c>
      <c r="S158" s="22" t="str">
        <f ca="1">IF($N158&lt;&gt;"", INDIRECT("'Tracker'!"&amp;ADDRESS(MATCH($N158, Tracker[Anime Name], 0) + 2, 6)), "")</f>
        <v>TV</v>
      </c>
      <c r="T158" s="22" t="str">
        <f ca="1">IF($N158&lt;&gt;"", INDIRECT("'Tracker'!"&amp;ADDRESS(MATCH($N158, Tracker[Anime Name], 0) + 2, 7)), "")</f>
        <v>2013C</v>
      </c>
      <c r="U158" s="28" t="str">
        <f ca="1">IF($N158&lt;&gt;"", INDIRECT("'Tracker'!"&amp;ADDRESS(MATCH($N158, Tracker[Anime Name], 0) + 2, 8)), "")</f>
        <v>HorribleSubs</v>
      </c>
      <c r="V158" s="53">
        <f>IF(Completed!$C157&lt;&gt;"",Completed!$C157,"")</f>
        <v>6.5</v>
      </c>
      <c r="W158" s="53">
        <f>IF(Completed!$D157&lt;&gt;"",Completed!$D157,"")</f>
        <v>5.5</v>
      </c>
      <c r="X158" s="53">
        <f>IF(Completed!$E157&lt;&gt;"",Completed!$E157,"")</f>
        <v>7.5</v>
      </c>
      <c r="Y158" s="53">
        <f>IF(Completed!$F157&lt;&gt;"",Completed!$F157,"")</f>
        <v>6.5</v>
      </c>
      <c r="Z158" s="64">
        <f>IF(Completed!$G157&lt;&gt;"",Completed!$G157,"")</f>
        <v>6.2788944723618094</v>
      </c>
      <c r="AA158" s="73">
        <f>IF(Completed!$H157&lt;&gt;"",Completed!$H157,"")</f>
        <v>5.0529678829662013</v>
      </c>
      <c r="AB158" s="54">
        <f>IF(Completed!$I157&lt;&gt;"",Completed!$I157,"")</f>
        <v>41560</v>
      </c>
      <c r="AC158" s="54">
        <f>IF(Completed!$J157&lt;&gt;"",Completed!$J157,"")</f>
        <v>41618</v>
      </c>
      <c r="AD158" s="65" t="str">
        <f>IF(Completed!$K157&lt;&gt;"",Completed!$K157,"")</f>
        <v>Chocolat</v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IF(Completed!$A158&lt;&gt;"",Completed!$A158,"")</f>
        <v>Miss Monochrome: The Animation 2</v>
      </c>
      <c r="O159" s="28">
        <f>IF(Completed!$B158&lt;&gt;"",Completed!$B158,"")</f>
        <v>2</v>
      </c>
      <c r="P159" s="28">
        <f ca="1">IF($N159&lt;&gt;"", INDIRECT("'Tracker'!"&amp;ADDRESS(MATCH($N159, Tracker[Anime Name], 0) + 2, 3)), "")</f>
        <v>13</v>
      </c>
      <c r="Q159" s="22" t="str">
        <f ca="1">IF($N159&lt;&gt;"", INDIRECT("'Tracker'!"&amp;ADDRESS(MATCH($N159, Tracker[Anime Name], 0) + 2, 4)), "")</f>
        <v>B</v>
      </c>
      <c r="R159" s="22" t="str">
        <f ca="1">IF($N159&lt;&gt;"", INDIRECT("'Tracker'!"&amp;ADDRESS(MATCH($N159, Tracker[Anime Name], 0) + 2, 5)), "")</f>
        <v>720p</v>
      </c>
      <c r="S159" s="22" t="str">
        <f ca="1">IF($N159&lt;&gt;"", INDIRECT("'Tracker'!"&amp;ADDRESS(MATCH($N159, Tracker[Anime Name], 0) + 2, 6)), "")</f>
        <v>TV</v>
      </c>
      <c r="T159" s="22" t="str">
        <f ca="1">IF($N159&lt;&gt;"", INDIRECT("'Tracker'!"&amp;ADDRESS(MATCH($N159, Tracker[Anime Name], 0) + 2, 7)), "")</f>
        <v>2015B</v>
      </c>
      <c r="U159" s="28" t="str">
        <f ca="1">IF($N159&lt;&gt;"", INDIRECT("'Tracker'!"&amp;ADDRESS(MATCH($N159, Tracker[Anime Name], 0) + 2, 8)), "")</f>
        <v>HorribleSubs</v>
      </c>
      <c r="V159" s="53">
        <f>IF(Completed!$C158&lt;&gt;"",Completed!$C158,"")</f>
        <v>5</v>
      </c>
      <c r="W159" s="53">
        <f>IF(Completed!$D158&lt;&gt;"",Completed!$D158,"")</f>
        <v>6</v>
      </c>
      <c r="X159" s="53">
        <f>IF(Completed!$E158&lt;&gt;"",Completed!$E158,"")</f>
        <v>7</v>
      </c>
      <c r="Y159" s="53">
        <f>IF(Completed!$F158&lt;&gt;"",Completed!$F158,"")</f>
        <v>6.5</v>
      </c>
      <c r="Z159" s="64">
        <f>IF(Completed!$G158&lt;&gt;"",Completed!$G158,"")</f>
        <v>6.1143216080402016</v>
      </c>
      <c r="AA159" s="73">
        <f>IF(Completed!$H158&lt;&gt;"",Completed!$H158,"")</f>
        <v>4.8326887506305711</v>
      </c>
      <c r="AB159" s="54">
        <f>IF(Completed!$I158&lt;&gt;"",Completed!$I158,"")</f>
        <v>42193</v>
      </c>
      <c r="AC159" s="54">
        <f>IF(Completed!$J158&lt;&gt;"",Completed!$J158,"")</f>
        <v>42272</v>
      </c>
      <c r="AD159" s="65" t="str">
        <f>IF(Completed!$K158&lt;&gt;"",Completed!$K158,"")</f>
        <v>Akiko</v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IF(Completed!$A159&lt;&gt;"",Completed!$A159,"")</f>
        <v>Miss Monochrome</v>
      </c>
      <c r="O160" s="28">
        <f>IF(Completed!$B159&lt;&gt;"",Completed!$B159,"")</f>
        <v>1</v>
      </c>
      <c r="P160" s="28">
        <f ca="1">IF($N160&lt;&gt;"", INDIRECT("'Tracker'!"&amp;ADDRESS(MATCH($N160, Tracker[Anime Name], 0) + 2, 3)), "")</f>
        <v>13</v>
      </c>
      <c r="Q160" s="22" t="str">
        <f ca="1">IF($N160&lt;&gt;"", INDIRECT("'Tracker'!"&amp;ADDRESS(MATCH($N160, Tracker[Anime Name], 0) + 2, 4)), "")</f>
        <v>C</v>
      </c>
      <c r="R160" s="22" t="str">
        <f ca="1">IF($N160&lt;&gt;"", INDIRECT("'Tracker'!"&amp;ADDRESS(MATCH($N160, Tracker[Anime Name], 0) + 2, 5)), "")</f>
        <v>720p</v>
      </c>
      <c r="S160" s="22" t="str">
        <f ca="1">IF($N160&lt;&gt;"", INDIRECT("'Tracker'!"&amp;ADDRESS(MATCH($N160, Tracker[Anime Name], 0) + 2, 6)), "")</f>
        <v>Web</v>
      </c>
      <c r="T160" s="22" t="str">
        <f ca="1">IF($N160&lt;&gt;"", INDIRECT("'Tracker'!"&amp;ADDRESS(MATCH($N160, Tracker[Anime Name], 0) + 2, 7)), "")</f>
        <v>2013C</v>
      </c>
      <c r="U160" s="28" t="str">
        <f ca="1">IF($N160&lt;&gt;"", INDIRECT("'Tracker'!"&amp;ADDRESS(MATCH($N160, Tracker[Anime Name], 0) + 2, 8)), "")</f>
        <v>HorribleSubs</v>
      </c>
      <c r="V160" s="53">
        <f>IF(Completed!$C159&lt;&gt;"",Completed!$C159,"")</f>
        <v>5</v>
      </c>
      <c r="W160" s="53">
        <f>IF(Completed!$D159&lt;&gt;"",Completed!$D159,"")</f>
        <v>6</v>
      </c>
      <c r="X160" s="53">
        <f>IF(Completed!$E159&lt;&gt;"",Completed!$E159,"")</f>
        <v>7</v>
      </c>
      <c r="Y160" s="53">
        <f>IF(Completed!$F159&lt;&gt;"",Completed!$F159,"")</f>
        <v>6.5</v>
      </c>
      <c r="Z160" s="64">
        <f>IF(Completed!$G159&lt;&gt;"",Completed!$G159,"")</f>
        <v>6.1143216080402016</v>
      </c>
      <c r="AA160" s="73">
        <f>IF(Completed!$H159&lt;&gt;"",Completed!$H159,"")</f>
        <v>4.8326887506305711</v>
      </c>
      <c r="AB160" s="54">
        <f>IF(Completed!$I159&lt;&gt;"",Completed!$I159,"")</f>
        <v>41550</v>
      </c>
      <c r="AC160" s="54">
        <f>IF(Completed!$J159&lt;&gt;"",Completed!$J159,"")</f>
        <v>41634</v>
      </c>
      <c r="AD160" s="65" t="str">
        <f>IF(Completed!$K159&lt;&gt;"",Completed!$K159,"")</f>
        <v>Miss Monochrome</v>
      </c>
      <c r="AE160" s="65" t="str">
        <f>IF(Completed!$L$159&lt;&gt;"",Completed!$L$159,"")</f>
        <v>Too short to give accurate ratings, but entertaining nonetheless</v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IF(Completed!$A160&lt;&gt;"",Completed!$A160,"")</f>
        <v>Himegoto</v>
      </c>
      <c r="O161" s="28">
        <f>IF(Completed!$B160&lt;&gt;"",Completed!$B160,"")</f>
        <v>1</v>
      </c>
      <c r="P161" s="28">
        <f ca="1">IF($N161&lt;&gt;"", INDIRECT("'Tracker'!"&amp;ADDRESS(MATCH($N161, Tracker[Anime Name], 0) + 2, 3)), "")</f>
        <v>13</v>
      </c>
      <c r="Q161" s="22" t="str">
        <f ca="1">IF($N161&lt;&gt;"", INDIRECT("'Tracker'!"&amp;ADDRESS(MATCH($N161, Tracker[Anime Name], 0) + 2, 4)), "")</f>
        <v>C</v>
      </c>
      <c r="R161" s="22" t="str">
        <f ca="1">IF($N161&lt;&gt;"", INDIRECT("'Tracker'!"&amp;ADDRESS(MATCH($N161, Tracker[Anime Name], 0) + 2, 5)), "")</f>
        <v>720p</v>
      </c>
      <c r="S161" s="22" t="str">
        <f ca="1">IF($N161&lt;&gt;"", INDIRECT("'Tracker'!"&amp;ADDRESS(MATCH($N161, Tracker[Anime Name], 0) + 2, 6)), "")</f>
        <v>TV</v>
      </c>
      <c r="T161" s="22" t="str">
        <f ca="1">IF($N161&lt;&gt;"", INDIRECT("'Tracker'!"&amp;ADDRESS(MATCH($N161, Tracker[Anime Name], 0) + 2, 7)), "")</f>
        <v>2014B</v>
      </c>
      <c r="U161" s="28" t="str">
        <f ca="1">IF($N161&lt;&gt;"", INDIRECT("'Tracker'!"&amp;ADDRESS(MATCH($N161, Tracker[Anime Name], 0) + 2, 8)), "")</f>
        <v>Doki</v>
      </c>
      <c r="V161" s="53">
        <f>IF(Completed!$C160&lt;&gt;"",Completed!$C160,"")</f>
        <v>5.5</v>
      </c>
      <c r="W161" s="53">
        <f>IF(Completed!$D160&lt;&gt;"",Completed!$D160,"")</f>
        <v>6</v>
      </c>
      <c r="X161" s="53">
        <f>IF(Completed!$E160&lt;&gt;"",Completed!$E160,"")</f>
        <v>7</v>
      </c>
      <c r="Y161" s="53">
        <f>IF(Completed!$F160&lt;&gt;"",Completed!$F160,"")</f>
        <v>6</v>
      </c>
      <c r="Z161" s="64">
        <f>IF(Completed!$G160&lt;&gt;"",Completed!$G160,"")</f>
        <v>5.9560301507537687</v>
      </c>
      <c r="AA161" s="73">
        <f>IF(Completed!$H160&lt;&gt;"",Completed!$H160,"")</f>
        <v>4.6208172187657635</v>
      </c>
      <c r="AB161" s="54">
        <f>IF(Completed!$I160&lt;&gt;"",Completed!$I160,"")</f>
        <v>41828</v>
      </c>
      <c r="AC161" s="54">
        <f>IF(Completed!$J160&lt;&gt;"",Completed!$J160,"")</f>
        <v>41915</v>
      </c>
      <c r="AD161" s="65" t="str">
        <f>IF(Completed!$K160&lt;&gt;"",Completed!$K160,"")</f>
        <v>Arikawa Hime</v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IF(Completed!$A161&lt;&gt;"",Completed!$A161,"")</f>
        <v>Tamako Market</v>
      </c>
      <c r="O162" s="28">
        <f>IF(Completed!$B161&lt;&gt;"",Completed!$B161,"")</f>
        <v>1</v>
      </c>
      <c r="P162" s="28">
        <f ca="1">IF($N162&lt;&gt;"", INDIRECT("'Tracker'!"&amp;ADDRESS(MATCH($N162, Tracker[Anime Name], 0) + 2, 3)), "")</f>
        <v>12</v>
      </c>
      <c r="Q162" s="22" t="str">
        <f ca="1">IF($N162&lt;&gt;"", INDIRECT("'Tracker'!"&amp;ADDRESS(MATCH($N162, Tracker[Anime Name], 0) + 2, 4)), "")</f>
        <v>C</v>
      </c>
      <c r="R162" s="22" t="str">
        <f ca="1">IF($N162&lt;&gt;"", INDIRECT("'Tracker'!"&amp;ADDRESS(MATCH($N162, Tracker[Anime Name], 0) + 2, 5)), "")</f>
        <v>720p</v>
      </c>
      <c r="S162" s="22" t="str">
        <f ca="1">IF($N162&lt;&gt;"", INDIRECT("'Tracker'!"&amp;ADDRESS(MATCH($N162, Tracker[Anime Name], 0) + 2, 6)), "")</f>
        <v>TV</v>
      </c>
      <c r="T162" s="22" t="str">
        <f ca="1">IF($N162&lt;&gt;"", INDIRECT("'Tracker'!"&amp;ADDRESS(MATCH($N162, Tracker[Anime Name], 0) + 2, 7)), "")</f>
        <v>2012D</v>
      </c>
      <c r="U162" s="28" t="str">
        <f ca="1">IF($N162&lt;&gt;"", INDIRECT("'Tracker'!"&amp;ADDRESS(MATCH($N162, Tracker[Anime Name], 0) + 2, 8)), "")</f>
        <v>Mazui</v>
      </c>
      <c r="V162" s="53">
        <f>IF(Completed!$C161&lt;&gt;"",Completed!$C161,"")</f>
        <v>5.5</v>
      </c>
      <c r="W162" s="53">
        <f>IF(Completed!$D161&lt;&gt;"",Completed!$D161,"")</f>
        <v>5.5</v>
      </c>
      <c r="X162" s="53">
        <f>IF(Completed!$E161&lt;&gt;"",Completed!$E161,"")</f>
        <v>5</v>
      </c>
      <c r="Y162" s="53">
        <f>IF(Completed!$F161&lt;&gt;"",Completed!$F161,"")</f>
        <v>6</v>
      </c>
      <c r="Z162" s="64">
        <f>IF(Completed!$G161&lt;&gt;"",Completed!$G161,"")</f>
        <v>5.7261306532663312</v>
      </c>
      <c r="AA162" s="73">
        <f>IF(Completed!$H161&lt;&gt;"",Completed!$H161,"")</f>
        <v>4.3130990415335448</v>
      </c>
      <c r="AB162" s="54">
        <f>IF(Completed!$I161&lt;&gt;"",Completed!$I161,"")</f>
        <v>41302</v>
      </c>
      <c r="AC162" s="54">
        <f>IF(Completed!$J161&lt;&gt;"",Completed!$J161,"")</f>
        <v>41360</v>
      </c>
      <c r="AD162" s="65" t="str">
        <f>IF(Completed!$K161&lt;&gt;"",Completed!$K161,"")</f>
        <v>Makino Kanna</v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IF(Completed!$A162&lt;&gt;"",Completed!$A162,"")</f>
        <v>Shiba Inuko-san</v>
      </c>
      <c r="O163" s="28">
        <f>IF(Completed!$B162&lt;&gt;"",Completed!$B162,"")</f>
        <v>1</v>
      </c>
      <c r="P163" s="28">
        <f ca="1">IF($N163&lt;&gt;"", INDIRECT("'Tracker'!"&amp;ADDRESS(MATCH($N163, Tracker[Anime Name], 0) + 2, 3)), "")</f>
        <v>26</v>
      </c>
      <c r="Q163" s="22" t="str">
        <f ca="1">IF($N163&lt;&gt;"", INDIRECT("'Tracker'!"&amp;ADDRESS(MATCH($N163, Tracker[Anime Name], 0) + 2, 4)), "")</f>
        <v>C</v>
      </c>
      <c r="R163" s="22" t="str">
        <f ca="1">IF($N163&lt;&gt;"", INDIRECT("'Tracker'!"&amp;ADDRESS(MATCH($N163, Tracker[Anime Name], 0) + 2, 5)), "")</f>
        <v>720p</v>
      </c>
      <c r="S163" s="22" t="str">
        <f ca="1">IF($N163&lt;&gt;"", INDIRECT("'Tracker'!"&amp;ADDRESS(MATCH($N163, Tracker[Anime Name], 0) + 2, 6)), "")</f>
        <v>TV</v>
      </c>
      <c r="T163" s="22" t="str">
        <f ca="1">IF($N163&lt;&gt;"", INDIRECT("'Tracker'!"&amp;ADDRESS(MATCH($N163, Tracker[Anime Name], 0) + 2, 7)), "")</f>
        <v>2012A</v>
      </c>
      <c r="U163" s="28" t="str">
        <f ca="1">IF($N163&lt;&gt;"", INDIRECT("'Tracker'!"&amp;ADDRESS(MATCH($N163, Tracker[Anime Name], 0) + 2, 8)), "")</f>
        <v>Migoto</v>
      </c>
      <c r="V163" s="53">
        <f>IF(Completed!$C162&lt;&gt;"",Completed!$C162,"")</f>
        <v>1.5</v>
      </c>
      <c r="W163" s="53">
        <f>IF(Completed!$D162&lt;&gt;"",Completed!$D162,"")</f>
        <v>5</v>
      </c>
      <c r="X163" s="53">
        <f>IF(Completed!$E162&lt;&gt;"",Completed!$E162,"")</f>
        <v>4</v>
      </c>
      <c r="Y163" s="53">
        <f>IF(Completed!$F162&lt;&gt;"",Completed!$F162,"")</f>
        <v>6.5</v>
      </c>
      <c r="Z163" s="64">
        <f>IF(Completed!$G162&lt;&gt;"",Completed!$G162,"")</f>
        <v>5.0603015075376883</v>
      </c>
      <c r="AA163" s="73">
        <f>IF(Completed!$H162&lt;&gt;"",Completed!$H162,"")</f>
        <v>3.4218933916260297</v>
      </c>
      <c r="AB163" s="54">
        <f>IF(Completed!$I162&lt;&gt;"",Completed!$I162,"")</f>
        <v>41705</v>
      </c>
      <c r="AC163" s="54">
        <f>IF(Completed!$J162&lt;&gt;"",Completed!$J162,"")</f>
        <v>41705</v>
      </c>
      <c r="AD163" s="65" t="str">
        <f>IF(Completed!$K162&lt;&gt;"",Completed!$K162,"")</f>
        <v>Ishibashi Chako</v>
      </c>
      <c r="AE163" s="65" t="str">
        <f>IF(Completed!$L$162&lt;&gt;"",Completed!$L$162,"")</f>
        <v>Wow</v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IF(Completed!$A163&lt;&gt;"",Completed!$A163,"")</f>
        <v>Oku-sama wa Joushikousei</v>
      </c>
      <c r="O164" s="28">
        <f>IF(Completed!$B163&lt;&gt;"",Completed!$B163,"")</f>
        <v>1</v>
      </c>
      <c r="P164" s="28">
        <f ca="1">IF($N164&lt;&gt;"", INDIRECT("'Tracker'!"&amp;ADDRESS(MATCH($N164, Tracker[Anime Name], 0) + 2, 3)), "")</f>
        <v>13</v>
      </c>
      <c r="Q164" s="22" t="str">
        <f ca="1">IF($N164&lt;&gt;"", INDIRECT("'Tracker'!"&amp;ADDRESS(MATCH($N164, Tracker[Anime Name], 0) + 2, 4)), "")</f>
        <v>C</v>
      </c>
      <c r="R164" s="22" t="str">
        <f ca="1">IF($N164&lt;&gt;"", INDIRECT("'Tracker'!"&amp;ADDRESS(MATCH($N164, Tracker[Anime Name], 0) + 2, 5)), "")</f>
        <v>480p</v>
      </c>
      <c r="S164" s="22" t="str">
        <f ca="1">IF($N164&lt;&gt;"", INDIRECT("'Tracker'!"&amp;ADDRESS(MATCH($N164, Tracker[Anime Name], 0) + 2, 6)), "")</f>
        <v>TV</v>
      </c>
      <c r="T164" s="22" t="str">
        <f ca="1">IF($N164&lt;&gt;"", INDIRECT("'Tracker'!"&amp;ADDRESS(MATCH($N164, Tracker[Anime Name], 0) + 2, 7)), "")</f>
        <v>2005C</v>
      </c>
      <c r="U164" s="28" t="str">
        <f ca="1">IF($N164&lt;&gt;"", INDIRECT("'Tracker'!"&amp;ADDRESS(MATCH($N164, Tracker[Anime Name], 0) + 2, 8)), "")</f>
        <v>LIME</v>
      </c>
      <c r="V164" s="53">
        <f>IF(Completed!$C163&lt;&gt;"",Completed!$C163,"")</f>
        <v>3.5</v>
      </c>
      <c r="W164" s="53">
        <f>IF(Completed!$D163&lt;&gt;"",Completed!$D163,"")</f>
        <v>5.5</v>
      </c>
      <c r="X164" s="53">
        <f>IF(Completed!$E163&lt;&gt;"",Completed!$E163,"")</f>
        <v>6</v>
      </c>
      <c r="Y164" s="53">
        <f>IF(Completed!$F163&lt;&gt;"",Completed!$F163,"")</f>
        <v>5</v>
      </c>
      <c r="Z164" s="64">
        <f>IF(Completed!$G163&lt;&gt;"",Completed!$G163,"")</f>
        <v>4.9070351758793969</v>
      </c>
      <c r="AA164" s="73">
        <f>IF(Completed!$H163&lt;&gt;"",Completed!$H163,"")</f>
        <v>3.2167479401378842</v>
      </c>
      <c r="AB164" s="54">
        <f>IF(Completed!$I163&lt;&gt;"",Completed!$I163,"")</f>
        <v>40674</v>
      </c>
      <c r="AC164" s="54">
        <f>IF(Completed!$J163&lt;&gt;"",Completed!$J163,"")</f>
        <v>40675</v>
      </c>
      <c r="AD164" s="65" t="str">
        <f>IF(Completed!$K163&lt;&gt;"",Completed!$K163,"")</f>
        <v>--</v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IF(Completed!$A164&lt;&gt;"",Completed!$A164,"")</f>
        <v>Onii-chan dakedo Ai sae Areba Kankeinai yone!</v>
      </c>
      <c r="O165" s="28">
        <f>IF(Completed!$B164&lt;&gt;"",Completed!$B164,"")</f>
        <v>1</v>
      </c>
      <c r="P165" s="28">
        <f ca="1">IF($N165&lt;&gt;"", INDIRECT("'Tracker'!"&amp;ADDRESS(MATCH($N165, Tracker[Anime Name], 0) + 2, 3)), "")</f>
        <v>12</v>
      </c>
      <c r="Q165" s="22" t="str">
        <f ca="1">IF($N165&lt;&gt;"", INDIRECT("'Tracker'!"&amp;ADDRESS(MATCH($N165, Tracker[Anime Name], 0) + 2, 4)), "")</f>
        <v>--</v>
      </c>
      <c r="R165" s="22" t="str">
        <f ca="1">IF($N165&lt;&gt;"", INDIRECT("'Tracker'!"&amp;ADDRESS(MATCH($N165, Tracker[Anime Name], 0) + 2, 5)), "")</f>
        <v>--</v>
      </c>
      <c r="S165" s="22" t="str">
        <f ca="1">IF($N165&lt;&gt;"", INDIRECT("'Tracker'!"&amp;ADDRESS(MATCH($N165, Tracker[Anime Name], 0) + 2, 6)), "")</f>
        <v>--</v>
      </c>
      <c r="T165" s="22" t="str">
        <f ca="1">IF($N165&lt;&gt;"", INDIRECT("'Tracker'!"&amp;ADDRESS(MATCH($N165, Tracker[Anime Name], 0) + 2, 7)), "")</f>
        <v>2012C</v>
      </c>
      <c r="U165" s="28" t="str">
        <f ca="1">IF($N165&lt;&gt;"", INDIRECT("'Tracker'!"&amp;ADDRESS(MATCH($N165, Tracker[Anime Name], 0) + 2, 8)), "")</f>
        <v>-- NO DL --</v>
      </c>
      <c r="V165" s="53">
        <f>IF(Completed!$C164&lt;&gt;"",Completed!$C164,"")</f>
        <v>3</v>
      </c>
      <c r="W165" s="53">
        <f>IF(Completed!$D164&lt;&gt;"",Completed!$D164,"")</f>
        <v>2</v>
      </c>
      <c r="X165" s="53">
        <f>IF(Completed!$E164&lt;&gt;"",Completed!$E164,"")</f>
        <v>7</v>
      </c>
      <c r="Y165" s="53">
        <f>IF(Completed!$F164&lt;&gt;"",Completed!$F164,"")</f>
        <v>3</v>
      </c>
      <c r="Z165" s="64">
        <f>IF(Completed!$G164&lt;&gt;"",Completed!$G164,"")</f>
        <v>2.9221105527638187</v>
      </c>
      <c r="AA165" s="73">
        <f>IF(Completed!$H164&lt;&gt;"",Completed!$H164,"")</f>
        <v>0.5599461913569862</v>
      </c>
      <c r="AB165" s="54">
        <f>IF(Completed!$I164&lt;&gt;"",Completed!$I164,"")</f>
        <v>41254</v>
      </c>
      <c r="AC165" s="54">
        <f>IF(Completed!$J164&lt;&gt;"",Completed!$J164,"")</f>
        <v>41264</v>
      </c>
      <c r="AD165" s="65" t="str">
        <f>IF(Completed!$K164&lt;&gt;"",Completed!$K164,"")</f>
        <v>Sawatari Ginbei</v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IF(Completed!$A165&lt;&gt;"",Completed!$A165,"")</f>
        <v>Cyclops Shoujo Saipu</v>
      </c>
      <c r="O166" s="28">
        <f>IF(Completed!$B165&lt;&gt;"",Completed!$B165,"")</f>
        <v>1</v>
      </c>
      <c r="P166" s="28">
        <f ca="1">IF($N166&lt;&gt;"", INDIRECT("'Tracker'!"&amp;ADDRESS(MATCH($N166, Tracker[Anime Name], 0) + 2, 3)), "")</f>
        <v>12</v>
      </c>
      <c r="Q166" s="22" t="str">
        <f ca="1">IF($N166&lt;&gt;"", INDIRECT("'Tracker'!"&amp;ADDRESS(MATCH($N166, Tracker[Anime Name], 0) + 2, 4)), "")</f>
        <v>C</v>
      </c>
      <c r="R166" s="22" t="str">
        <f ca="1">IF($N166&lt;&gt;"", INDIRECT("'Tracker'!"&amp;ADDRESS(MATCH($N166, Tracker[Anime Name], 0) + 2, 5)), "")</f>
        <v>720p</v>
      </c>
      <c r="S166" s="22" t="str">
        <f ca="1">IF($N166&lt;&gt;"", INDIRECT("'Tracker'!"&amp;ADDRESS(MATCH($N166, Tracker[Anime Name], 0) + 2, 6)), "")</f>
        <v>TV</v>
      </c>
      <c r="T166" s="22" t="str">
        <f ca="1">IF($N166&lt;&gt;"", INDIRECT("'Tracker'!"&amp;ADDRESS(MATCH($N166, Tracker[Anime Name], 0) + 2, 7)), "")</f>
        <v>2013A</v>
      </c>
      <c r="U166" s="28" t="str">
        <f ca="1">IF($N166&lt;&gt;"", INDIRECT("'Tracker'!"&amp;ADDRESS(MATCH($N166, Tracker[Anime Name], 0) + 2, 8)), "")</f>
        <v>Migoto</v>
      </c>
      <c r="V166" s="53">
        <f>IF(Completed!$C165&lt;&gt;"",Completed!$C165,"")</f>
        <v>1.5</v>
      </c>
      <c r="W166" s="53">
        <f>IF(Completed!$D165&lt;&gt;"",Completed!$D165,"")</f>
        <v>2</v>
      </c>
      <c r="X166" s="53">
        <f>IF(Completed!$E165&lt;&gt;"",Completed!$E165,"")</f>
        <v>4</v>
      </c>
      <c r="Y166" s="53">
        <f>IF(Completed!$F165&lt;&gt;"",Completed!$F165,"")</f>
        <v>3</v>
      </c>
      <c r="Z166" s="64">
        <f>IF(Completed!$G165&lt;&gt;"",Completed!$G165,"")</f>
        <v>2.5037688442211055</v>
      </c>
      <c r="AA166" s="73">
        <f>IF(Completed!$H165&lt;&gt;"",Completed!$H165,"")</f>
        <v>0</v>
      </c>
      <c r="AB166" s="54">
        <f>IF(Completed!$I165&lt;&gt;"",Completed!$I165,"")</f>
        <v>41355</v>
      </c>
      <c r="AC166" s="54">
        <f>IF(Completed!$J165&lt;&gt;"",Completed!$J165,"")</f>
        <v>41451</v>
      </c>
      <c r="AD166" s="65" t="str">
        <f>IF(Completed!$K165&lt;&gt;"",Completed!$K165,"")</f>
        <v>--</v>
      </c>
      <c r="AE166" s="65" t="str">
        <f>IF(Completed!$L$165&lt;&gt;"",Completed!$L$165,"")</f>
        <v>Only watched because each episode was short enough to care about</v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IF(Completed!$A166&lt;&gt;"",Completed!$A166,"")</f>
        <v/>
      </c>
      <c r="O167" s="28" t="str">
        <f>IF(Completed!$B166&lt;&gt;"",Completed!$B166,"")</f>
        <v/>
      </c>
      <c r="P167" s="28" t="str">
        <f ca="1">IF($N167&lt;&gt;"", INDIRECT("'Tracker'!"&amp;ADDRESS(MATCH($N167, Tracker[Anime Name], 0) + 2, 3)), "")</f>
        <v/>
      </c>
      <c r="Q167" s="22" t="str">
        <f ca="1">IF($N167&lt;&gt;"", INDIRECT("'Tracker'!"&amp;ADDRESS(MATCH($N167, Tracker[Anime Name], 0) + 2, 4)), "")</f>
        <v/>
      </c>
      <c r="R167" s="22" t="str">
        <f ca="1">IF($N167&lt;&gt;"", INDIRECT("'Tracker'!"&amp;ADDRESS(MATCH($N167, Tracker[Anime Name], 0) + 2, 5)), "")</f>
        <v/>
      </c>
      <c r="S167" s="22" t="str">
        <f ca="1">IF($N167&lt;&gt;"", INDIRECT("'Tracker'!"&amp;ADDRESS(MATCH($N167, Tracker[Anime Name], 0) + 2, 6)), "")</f>
        <v/>
      </c>
      <c r="T167" s="22" t="str">
        <f ca="1">IF($N167&lt;&gt;"", INDIRECT("'Tracker'!"&amp;ADDRESS(MATCH($N167, Tracker[Anime Name], 0) + 2, 7)), "")</f>
        <v/>
      </c>
      <c r="U167" s="28" t="str">
        <f ca="1">IF($N167&lt;&gt;"", INDIRECT("'Tracker'!"&amp;ADDRESS(MATCH($N167, Tracker[Anime Name], 0) + 2, 8)), "")</f>
        <v/>
      </c>
      <c r="V167" s="53" t="str">
        <f>IF(Completed!$C166&lt;&gt;"",Completed!$C166,"")</f>
        <v/>
      </c>
      <c r="W167" s="53" t="str">
        <f>IF(Completed!$D166&lt;&gt;"",Completed!$D166,"")</f>
        <v/>
      </c>
      <c r="X167" s="53" t="str">
        <f>IF(Completed!$E166&lt;&gt;"",Completed!$E166,"")</f>
        <v/>
      </c>
      <c r="Y167" s="53" t="str">
        <f>IF(Completed!$F166&lt;&gt;"",Completed!$F166,"")</f>
        <v/>
      </c>
      <c r="Z167" s="64" t="str">
        <f>IF(Completed!$G166&lt;&gt;"",Completed!$G166,"")</f>
        <v/>
      </c>
      <c r="AA167" s="73" t="str">
        <f>IF(Completed!$H166&lt;&gt;"",Completed!$H166,"")</f>
        <v/>
      </c>
      <c r="AB167" s="54" t="str">
        <f>IF(Completed!$I166&lt;&gt;"",Completed!$I166,"")</f>
        <v/>
      </c>
      <c r="AC167" s="54" t="str">
        <f>IF(Completed!$J166&lt;&gt;"",Completed!$J166,"")</f>
        <v/>
      </c>
      <c r="AD167" s="65" t="str">
        <f>IF(Completed!$K166&lt;&gt;"",Completed!$K166,"")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IF(Completed!$A167&lt;&gt;"",Completed!$A167,"")</f>
        <v/>
      </c>
      <c r="O168" s="28" t="str">
        <f>IF(Completed!$B167&lt;&gt;"",Completed!$B167,"")</f>
        <v/>
      </c>
      <c r="P168" s="28" t="str">
        <f ca="1">IF($N168&lt;&gt;"", INDIRECT("'Tracker'!"&amp;ADDRESS(MATCH($N168, Tracker[Anime Name], 0) + 2, 3)), "")</f>
        <v/>
      </c>
      <c r="Q168" s="22" t="str">
        <f ca="1">IF($N168&lt;&gt;"", INDIRECT("'Tracker'!"&amp;ADDRESS(MATCH($N168, Tracker[Anime Name], 0) + 2, 4)), "")</f>
        <v/>
      </c>
      <c r="R168" s="22" t="str">
        <f ca="1">IF($N168&lt;&gt;"", INDIRECT("'Tracker'!"&amp;ADDRESS(MATCH($N168, Tracker[Anime Name], 0) + 2, 5)), "")</f>
        <v/>
      </c>
      <c r="S168" s="22" t="str">
        <f ca="1">IF($N168&lt;&gt;"", INDIRECT("'Tracker'!"&amp;ADDRESS(MATCH($N168, Tracker[Anime Name], 0) + 2, 6)), "")</f>
        <v/>
      </c>
      <c r="T168" s="22" t="str">
        <f ca="1">IF($N168&lt;&gt;"", INDIRECT("'Tracker'!"&amp;ADDRESS(MATCH($N168, Tracker[Anime Name], 0) + 2, 7)), "")</f>
        <v/>
      </c>
      <c r="U168" s="28" t="str">
        <f ca="1">IF($N168&lt;&gt;"", INDIRECT("'Tracker'!"&amp;ADDRESS(MATCH($N168, Tracker[Anime Name], 0) + 2, 8)), "")</f>
        <v/>
      </c>
      <c r="V168" s="53" t="str">
        <f>IF(Completed!$C167&lt;&gt;"",Completed!$C167,"")</f>
        <v/>
      </c>
      <c r="W168" s="53" t="str">
        <f>IF(Completed!$D167&lt;&gt;"",Completed!$D167,"")</f>
        <v/>
      </c>
      <c r="X168" s="53" t="str">
        <f>IF(Completed!$E167&lt;&gt;"",Completed!$E167,"")</f>
        <v/>
      </c>
      <c r="Y168" s="53" t="str">
        <f>IF(Completed!$F167&lt;&gt;"",Completed!$F167,"")</f>
        <v/>
      </c>
      <c r="Z168" s="64" t="str">
        <f>IF(Completed!$G167&lt;&gt;"",Completed!$G167,"")</f>
        <v/>
      </c>
      <c r="AA168" s="73" t="str">
        <f>IF(Completed!$H167&lt;&gt;"",Completed!$H167,"")</f>
        <v/>
      </c>
      <c r="AB168" s="54" t="str">
        <f>IF(Completed!$I167&lt;&gt;"",Completed!$I167,"")</f>
        <v/>
      </c>
      <c r="AC168" s="54" t="str">
        <f>IF(Completed!$J167&lt;&gt;"",Completed!$J167,"")</f>
        <v/>
      </c>
      <c r="AD168" s="65" t="str">
        <f>IF(Completed!$K167&lt;&gt;"",Completed!$K167,"")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IF(Completed!$A168&lt;&gt;"",Completed!$A168,"")</f>
        <v/>
      </c>
      <c r="O169" s="28" t="str">
        <f>IF(Completed!$B168&lt;&gt;"",Completed!$B168,"")</f>
        <v/>
      </c>
      <c r="P169" s="28" t="str">
        <f ca="1">IF($N169&lt;&gt;"", INDIRECT("'Tracker'!"&amp;ADDRESS(MATCH($N169, Tracker[Anime Name], 0) + 2, 3)), "")</f>
        <v/>
      </c>
      <c r="Q169" s="22" t="str">
        <f ca="1">IF($N169&lt;&gt;"", INDIRECT("'Tracker'!"&amp;ADDRESS(MATCH($N169, Tracker[Anime Name], 0) + 2, 4)), "")</f>
        <v/>
      </c>
      <c r="R169" s="22" t="str">
        <f ca="1">IF($N169&lt;&gt;"", INDIRECT("'Tracker'!"&amp;ADDRESS(MATCH($N169, Tracker[Anime Name], 0) + 2, 5)), "")</f>
        <v/>
      </c>
      <c r="S169" s="22" t="str">
        <f ca="1">IF($N169&lt;&gt;"", INDIRECT("'Tracker'!"&amp;ADDRESS(MATCH($N169, Tracker[Anime Name], 0) + 2, 6)), "")</f>
        <v/>
      </c>
      <c r="T169" s="22" t="str">
        <f ca="1">IF($N169&lt;&gt;"", INDIRECT("'Tracker'!"&amp;ADDRESS(MATCH($N169, Tracker[Anime Name], 0) + 2, 7)), "")</f>
        <v/>
      </c>
      <c r="U169" s="28" t="str">
        <f ca="1">IF($N169&lt;&gt;"", INDIRECT("'Tracker'!"&amp;ADDRESS(MATCH($N169, Tracker[Anime Name], 0) + 2, 8)), "")</f>
        <v/>
      </c>
      <c r="V169" s="53" t="str">
        <f>IF(Completed!$C168&lt;&gt;"",Completed!$C168,"")</f>
        <v/>
      </c>
      <c r="W169" s="53" t="str">
        <f>IF(Completed!$D168&lt;&gt;"",Completed!$D168,"")</f>
        <v/>
      </c>
      <c r="X169" s="53" t="str">
        <f>IF(Completed!$E168&lt;&gt;"",Completed!$E168,"")</f>
        <v/>
      </c>
      <c r="Y169" s="53" t="str">
        <f>IF(Completed!$F168&lt;&gt;"",Completed!$F168,"")</f>
        <v/>
      </c>
      <c r="Z169" s="64" t="str">
        <f>IF(Completed!$G168&lt;&gt;"",Completed!$G168,"")</f>
        <v/>
      </c>
      <c r="AA169" s="73" t="str">
        <f>IF(Completed!$H168&lt;&gt;"",Completed!$H168,"")</f>
        <v/>
      </c>
      <c r="AB169" s="54" t="str">
        <f>IF(Completed!$I168&lt;&gt;"",Completed!$I168,"")</f>
        <v/>
      </c>
      <c r="AC169" s="54" t="str">
        <f>IF(Completed!$J168&lt;&gt;"",Completed!$J168,"")</f>
        <v/>
      </c>
      <c r="AD169" s="65" t="str">
        <f>IF(Completed!$K168&lt;&gt;"",Completed!$K168,"")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IF(Completed!$A169&lt;&gt;"",Completed!$A169,"")</f>
        <v/>
      </c>
      <c r="O170" s="28" t="str">
        <f>IF(Completed!$B169&lt;&gt;"",Completed!$B169,"")</f>
        <v/>
      </c>
      <c r="P170" s="28" t="str">
        <f ca="1">IF($N170&lt;&gt;"", INDIRECT("'Tracker'!"&amp;ADDRESS(MATCH($N170, Tracker[Anime Name], 0) + 2, 3)), "")</f>
        <v/>
      </c>
      <c r="Q170" s="22" t="str">
        <f ca="1">IF($N170&lt;&gt;"", INDIRECT("'Tracker'!"&amp;ADDRESS(MATCH($N170, Tracker[Anime Name], 0) + 2, 4)), "")</f>
        <v/>
      </c>
      <c r="R170" s="22" t="str">
        <f ca="1">IF($N170&lt;&gt;"", INDIRECT("'Tracker'!"&amp;ADDRESS(MATCH($N170, Tracker[Anime Name], 0) + 2, 5)), "")</f>
        <v/>
      </c>
      <c r="S170" s="22" t="str">
        <f ca="1">IF($N170&lt;&gt;"", INDIRECT("'Tracker'!"&amp;ADDRESS(MATCH($N170, Tracker[Anime Name], 0) + 2, 6)), "")</f>
        <v/>
      </c>
      <c r="T170" s="22" t="str">
        <f ca="1">IF($N170&lt;&gt;"", INDIRECT("'Tracker'!"&amp;ADDRESS(MATCH($N170, Tracker[Anime Name], 0) + 2, 7)), "")</f>
        <v/>
      </c>
      <c r="U170" s="28" t="str">
        <f ca="1">IF($N170&lt;&gt;"", INDIRECT("'Tracker'!"&amp;ADDRESS(MATCH($N170, Tracker[Anime Name], 0) + 2, 8)), "")</f>
        <v/>
      </c>
      <c r="V170" s="53" t="str">
        <f>IF(Completed!$C169&lt;&gt;"",Completed!$C169,"")</f>
        <v/>
      </c>
      <c r="W170" s="53" t="str">
        <f>IF(Completed!$D169&lt;&gt;"",Completed!$D169,"")</f>
        <v/>
      </c>
      <c r="X170" s="53" t="str">
        <f>IF(Completed!$E169&lt;&gt;"",Completed!$E169,"")</f>
        <v/>
      </c>
      <c r="Y170" s="53" t="str">
        <f>IF(Completed!$F169&lt;&gt;"",Completed!$F169,"")</f>
        <v/>
      </c>
      <c r="Z170" s="64" t="str">
        <f>IF(Completed!$G169&lt;&gt;"",Completed!$G169,"")</f>
        <v/>
      </c>
      <c r="AA170" s="73" t="str">
        <f>IF(Completed!$H169&lt;&gt;"",Completed!$H169,"")</f>
        <v/>
      </c>
      <c r="AB170" s="54" t="str">
        <f>IF(Completed!$I169&lt;&gt;"",Completed!$I169,"")</f>
        <v/>
      </c>
      <c r="AC170" s="54" t="str">
        <f>IF(Completed!$J169&lt;&gt;"",Completed!$J169,"")</f>
        <v/>
      </c>
      <c r="AD170" s="65" t="str">
        <f>IF(Completed!$K169&lt;&gt;"",Completed!$K169,"")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IF(Completed!$A170&lt;&gt;"",Completed!$A170,"")</f>
        <v/>
      </c>
      <c r="O171" s="28" t="str">
        <f>IF(Completed!$B170&lt;&gt;"",Completed!$B170,"")</f>
        <v/>
      </c>
      <c r="P171" s="28" t="str">
        <f ca="1">IF($N171&lt;&gt;"", INDIRECT("'Tracker'!"&amp;ADDRESS(MATCH($N171, Tracker[Anime Name], 0) + 2, 3)), "")</f>
        <v/>
      </c>
      <c r="Q171" s="22" t="str">
        <f ca="1">IF($N171&lt;&gt;"", INDIRECT("'Tracker'!"&amp;ADDRESS(MATCH($N171, Tracker[Anime Name], 0) + 2, 4)), "")</f>
        <v/>
      </c>
      <c r="R171" s="22" t="str">
        <f ca="1">IF($N171&lt;&gt;"", INDIRECT("'Tracker'!"&amp;ADDRESS(MATCH($N171, Tracker[Anime Name], 0) + 2, 5)), "")</f>
        <v/>
      </c>
      <c r="S171" s="22" t="str">
        <f ca="1">IF($N171&lt;&gt;"", INDIRECT("'Tracker'!"&amp;ADDRESS(MATCH($N171, Tracker[Anime Name], 0) + 2, 6)), "")</f>
        <v/>
      </c>
      <c r="T171" s="22" t="str">
        <f ca="1">IF($N171&lt;&gt;"", INDIRECT("'Tracker'!"&amp;ADDRESS(MATCH($N171, Tracker[Anime Name], 0) + 2, 7)), "")</f>
        <v/>
      </c>
      <c r="U171" s="28" t="str">
        <f ca="1">IF($N171&lt;&gt;"", INDIRECT("'Tracker'!"&amp;ADDRESS(MATCH($N171, Tracker[Anime Name], 0) + 2, 8)), "")</f>
        <v/>
      </c>
      <c r="V171" s="53" t="str">
        <f>IF(Completed!$C170&lt;&gt;"",Completed!$C170,"")</f>
        <v/>
      </c>
      <c r="W171" s="53" t="str">
        <f>IF(Completed!$D170&lt;&gt;"",Completed!$D170,"")</f>
        <v/>
      </c>
      <c r="X171" s="53" t="str">
        <f>IF(Completed!$E170&lt;&gt;"",Completed!$E170,"")</f>
        <v/>
      </c>
      <c r="Y171" s="53" t="str">
        <f>IF(Completed!$F170&lt;&gt;"",Completed!$F170,"")</f>
        <v/>
      </c>
      <c r="Z171" s="64" t="str">
        <f>IF(Completed!$G170&lt;&gt;"",Completed!$G170,"")</f>
        <v/>
      </c>
      <c r="AA171" s="73" t="str">
        <f>IF(Completed!$H170&lt;&gt;"",Completed!$H170,"")</f>
        <v/>
      </c>
      <c r="AB171" s="54" t="str">
        <f>IF(Completed!$I170&lt;&gt;"",Completed!$I170,"")</f>
        <v/>
      </c>
      <c r="AC171" s="54" t="str">
        <f>IF(Completed!$J170&lt;&gt;"",Completed!$J170,"")</f>
        <v/>
      </c>
      <c r="AD171" s="65" t="str">
        <f>IF(Completed!$K170&lt;&gt;"",Completed!$K170,"")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IF(Completed!$A171&lt;&gt;"",Completed!$A171,"")</f>
        <v/>
      </c>
      <c r="O172" s="28" t="str">
        <f>IF(Completed!$B171&lt;&gt;"",Completed!$B171,"")</f>
        <v/>
      </c>
      <c r="P172" s="28" t="str">
        <f ca="1">IF($N172&lt;&gt;"", INDIRECT("'Tracker'!"&amp;ADDRESS(MATCH($N172, Tracker[Anime Name], 0) + 2, 3)), "")</f>
        <v/>
      </c>
      <c r="Q172" s="22" t="str">
        <f ca="1">IF($N172&lt;&gt;"", INDIRECT("'Tracker'!"&amp;ADDRESS(MATCH($N172, Tracker[Anime Name], 0) + 2, 4)), "")</f>
        <v/>
      </c>
      <c r="R172" s="22" t="str">
        <f ca="1">IF($N172&lt;&gt;"", INDIRECT("'Tracker'!"&amp;ADDRESS(MATCH($N172, Tracker[Anime Name], 0) + 2, 5)), "")</f>
        <v/>
      </c>
      <c r="S172" s="22" t="str">
        <f ca="1">IF($N172&lt;&gt;"", INDIRECT("'Tracker'!"&amp;ADDRESS(MATCH($N172, Tracker[Anime Name], 0) + 2, 6)), "")</f>
        <v/>
      </c>
      <c r="T172" s="22" t="str">
        <f ca="1">IF($N172&lt;&gt;"", INDIRECT("'Tracker'!"&amp;ADDRESS(MATCH($N172, Tracker[Anime Name], 0) + 2, 7)), "")</f>
        <v/>
      </c>
      <c r="U172" s="28" t="str">
        <f ca="1">IF($N172&lt;&gt;"", INDIRECT("'Tracker'!"&amp;ADDRESS(MATCH($N172, Tracker[Anime Name], 0) + 2, 8)), "")</f>
        <v/>
      </c>
      <c r="V172" s="53" t="str">
        <f>IF(Completed!$C171&lt;&gt;"",Completed!$C171,"")</f>
        <v/>
      </c>
      <c r="W172" s="53" t="str">
        <f>IF(Completed!$D171&lt;&gt;"",Completed!$D171,"")</f>
        <v/>
      </c>
      <c r="X172" s="53" t="str">
        <f>IF(Completed!$E171&lt;&gt;"",Completed!$E171,"")</f>
        <v/>
      </c>
      <c r="Y172" s="53" t="str">
        <f>IF(Completed!$F171&lt;&gt;"",Completed!$F171,"")</f>
        <v/>
      </c>
      <c r="Z172" s="64" t="str">
        <f>IF(Completed!$G171&lt;&gt;"",Completed!$G171,"")</f>
        <v/>
      </c>
      <c r="AA172" s="73" t="str">
        <f>IF(Completed!$H171&lt;&gt;"",Completed!$H171,"")</f>
        <v/>
      </c>
      <c r="AB172" s="54" t="str">
        <f>IF(Completed!$I171&lt;&gt;"",Completed!$I171,"")</f>
        <v/>
      </c>
      <c r="AC172" s="54" t="str">
        <f>IF(Completed!$J171&lt;&gt;"",Completed!$J171,"")</f>
        <v/>
      </c>
      <c r="AD172" s="65" t="str">
        <f>IF(Completed!$K171&lt;&gt;"",Completed!$K171,"")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IF(Completed!$A172&lt;&gt;"",Completed!$A172,"")</f>
        <v/>
      </c>
      <c r="O173" s="28" t="str">
        <f>IF(Completed!$B172&lt;&gt;"",Completed!$B172,"")</f>
        <v/>
      </c>
      <c r="P173" s="28" t="str">
        <f ca="1">IF($N173&lt;&gt;"", INDIRECT("'Tracker'!"&amp;ADDRESS(MATCH($N173, Tracker[Anime Name], 0) + 2, 3)), "")</f>
        <v/>
      </c>
      <c r="Q173" s="22" t="str">
        <f ca="1">IF($N173&lt;&gt;"", INDIRECT("'Tracker'!"&amp;ADDRESS(MATCH($N173, Tracker[Anime Name], 0) + 2, 4)), "")</f>
        <v/>
      </c>
      <c r="R173" s="22" t="str">
        <f ca="1">IF($N173&lt;&gt;"", INDIRECT("'Tracker'!"&amp;ADDRESS(MATCH($N173, Tracker[Anime Name], 0) + 2, 5)), "")</f>
        <v/>
      </c>
      <c r="S173" s="22" t="str">
        <f ca="1">IF($N173&lt;&gt;"", INDIRECT("'Tracker'!"&amp;ADDRESS(MATCH($N173, Tracker[Anime Name], 0) + 2, 6)), "")</f>
        <v/>
      </c>
      <c r="T173" s="22" t="str">
        <f ca="1">IF($N173&lt;&gt;"", INDIRECT("'Tracker'!"&amp;ADDRESS(MATCH($N173, Tracker[Anime Name], 0) + 2, 7)), "")</f>
        <v/>
      </c>
      <c r="U173" s="28" t="str">
        <f ca="1">IF($N173&lt;&gt;"", INDIRECT("'Tracker'!"&amp;ADDRESS(MATCH($N173, Tracker[Anime Name], 0) + 2, 8)), "")</f>
        <v/>
      </c>
      <c r="V173" s="53" t="str">
        <f>IF(Completed!$C172&lt;&gt;"",Completed!$C172,"")</f>
        <v/>
      </c>
      <c r="W173" s="53" t="str">
        <f>IF(Completed!$D172&lt;&gt;"",Completed!$D172,"")</f>
        <v/>
      </c>
      <c r="X173" s="53" t="str">
        <f>IF(Completed!$E172&lt;&gt;"",Completed!$E172,"")</f>
        <v/>
      </c>
      <c r="Y173" s="53" t="str">
        <f>IF(Completed!$F172&lt;&gt;"",Completed!$F172,"")</f>
        <v/>
      </c>
      <c r="Z173" s="64" t="str">
        <f>IF(Completed!$G172&lt;&gt;"",Completed!$G172,"")</f>
        <v/>
      </c>
      <c r="AA173" s="73" t="str">
        <f>IF(Completed!$H172&lt;&gt;"",Completed!$H172,"")</f>
        <v/>
      </c>
      <c r="AB173" s="54" t="str">
        <f>IF(Completed!$I172&lt;&gt;"",Completed!$I172,"")</f>
        <v/>
      </c>
      <c r="AC173" s="54" t="str">
        <f>IF(Completed!$J172&lt;&gt;"",Completed!$J172,"")</f>
        <v/>
      </c>
      <c r="AD173" s="65" t="str">
        <f>IF(Completed!$K172&lt;&gt;"",Completed!$K172,"")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IF(Completed!$A173&lt;&gt;"",Completed!$A173,"")</f>
        <v/>
      </c>
      <c r="O174" s="28" t="str">
        <f>IF(Completed!$B173&lt;&gt;"",Completed!$B173,"")</f>
        <v/>
      </c>
      <c r="P174" s="28" t="str">
        <f ca="1">IF($N174&lt;&gt;"", INDIRECT("'Tracker'!"&amp;ADDRESS(MATCH($N174, Tracker[Anime Name], 0) + 2, 3)), "")</f>
        <v/>
      </c>
      <c r="Q174" s="22" t="str">
        <f ca="1">IF($N174&lt;&gt;"", INDIRECT("'Tracker'!"&amp;ADDRESS(MATCH($N174, Tracker[Anime Name], 0) + 2, 4)), "")</f>
        <v/>
      </c>
      <c r="R174" s="22" t="str">
        <f ca="1">IF($N174&lt;&gt;"", INDIRECT("'Tracker'!"&amp;ADDRESS(MATCH($N174, Tracker[Anime Name], 0) + 2, 5)), "")</f>
        <v/>
      </c>
      <c r="S174" s="22" t="str">
        <f ca="1">IF($N174&lt;&gt;"", INDIRECT("'Tracker'!"&amp;ADDRESS(MATCH($N174, Tracker[Anime Name], 0) + 2, 6)), "")</f>
        <v/>
      </c>
      <c r="T174" s="22" t="str">
        <f ca="1">IF($N174&lt;&gt;"", INDIRECT("'Tracker'!"&amp;ADDRESS(MATCH($N174, Tracker[Anime Name], 0) + 2, 7)), "")</f>
        <v/>
      </c>
      <c r="U174" s="28" t="str">
        <f ca="1">IF($N174&lt;&gt;"", INDIRECT("'Tracker'!"&amp;ADDRESS(MATCH($N174, Tracker[Anime Name], 0) + 2, 8)), "")</f>
        <v/>
      </c>
      <c r="V174" s="53" t="str">
        <f>IF(Completed!$C173&lt;&gt;"",Completed!$C173,"")</f>
        <v/>
      </c>
      <c r="W174" s="53" t="str">
        <f>IF(Completed!$D173&lt;&gt;"",Completed!$D173,"")</f>
        <v/>
      </c>
      <c r="X174" s="53" t="str">
        <f>IF(Completed!$E173&lt;&gt;"",Completed!$E173,"")</f>
        <v/>
      </c>
      <c r="Y174" s="53" t="str">
        <f>IF(Completed!$F173&lt;&gt;"",Completed!$F173,"")</f>
        <v/>
      </c>
      <c r="Z174" s="64" t="str">
        <f>IF(Completed!$G173&lt;&gt;"",Completed!$G173,"")</f>
        <v/>
      </c>
      <c r="AA174" s="73" t="str">
        <f>IF(Completed!$H173&lt;&gt;"",Completed!$H173,"")</f>
        <v/>
      </c>
      <c r="AB174" s="54" t="str">
        <f>IF(Completed!$I173&lt;&gt;"",Completed!$I173,"")</f>
        <v/>
      </c>
      <c r="AC174" s="54" t="str">
        <f>IF(Completed!$J173&lt;&gt;"",Completed!$J173,"")</f>
        <v/>
      </c>
      <c r="AD174" s="65" t="str">
        <f>IF(Completed!$K173&lt;&gt;"",Completed!$K173,"")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IF(Completed!$A174&lt;&gt;"",Completed!$A174,"")</f>
        <v/>
      </c>
      <c r="O175" s="28" t="str">
        <f>IF(Completed!$B174&lt;&gt;"",Completed!$B174,"")</f>
        <v/>
      </c>
      <c r="P175" s="28" t="str">
        <f ca="1">IF($N175&lt;&gt;"", INDIRECT("'Tracker'!"&amp;ADDRESS(MATCH($N175, Tracker[Anime Name], 0) + 2, 3)), "")</f>
        <v/>
      </c>
      <c r="Q175" s="22" t="str">
        <f ca="1">IF($N175&lt;&gt;"", INDIRECT("'Tracker'!"&amp;ADDRESS(MATCH($N175, Tracker[Anime Name], 0) + 2, 4)), "")</f>
        <v/>
      </c>
      <c r="R175" s="22" t="str">
        <f ca="1">IF($N175&lt;&gt;"", INDIRECT("'Tracker'!"&amp;ADDRESS(MATCH($N175, Tracker[Anime Name], 0) + 2, 5)), "")</f>
        <v/>
      </c>
      <c r="S175" s="22" t="str">
        <f ca="1">IF($N175&lt;&gt;"", INDIRECT("'Tracker'!"&amp;ADDRESS(MATCH($N175, Tracker[Anime Name], 0) + 2, 6)), "")</f>
        <v/>
      </c>
      <c r="T175" s="22" t="str">
        <f ca="1">IF($N175&lt;&gt;"", INDIRECT("'Tracker'!"&amp;ADDRESS(MATCH($N175, Tracker[Anime Name], 0) + 2, 7)), "")</f>
        <v/>
      </c>
      <c r="U175" s="28" t="str">
        <f ca="1">IF($N175&lt;&gt;"", INDIRECT("'Tracker'!"&amp;ADDRESS(MATCH($N175, Tracker[Anime Name], 0) + 2, 8)), "")</f>
        <v/>
      </c>
      <c r="V175" s="53" t="str">
        <f>IF(Completed!$C174&lt;&gt;"",Completed!$C174,"")</f>
        <v/>
      </c>
      <c r="W175" s="53" t="str">
        <f>IF(Completed!$D174&lt;&gt;"",Completed!$D174,"")</f>
        <v/>
      </c>
      <c r="X175" s="53" t="str">
        <f>IF(Completed!$E174&lt;&gt;"",Completed!$E174,"")</f>
        <v/>
      </c>
      <c r="Y175" s="53" t="str">
        <f>IF(Completed!$F174&lt;&gt;"",Completed!$F174,"")</f>
        <v/>
      </c>
      <c r="Z175" s="64" t="str">
        <f>IF(Completed!$G174&lt;&gt;"",Completed!$G174,"")</f>
        <v/>
      </c>
      <c r="AA175" s="73" t="str">
        <f>IF(Completed!$H174&lt;&gt;"",Completed!$H174,"")</f>
        <v/>
      </c>
      <c r="AB175" s="54" t="str">
        <f>IF(Completed!$I174&lt;&gt;"",Completed!$I174,"")</f>
        <v/>
      </c>
      <c r="AC175" s="54" t="str">
        <f>IF(Completed!$J174&lt;&gt;"",Completed!$J174,"")</f>
        <v/>
      </c>
      <c r="AD175" s="65" t="str">
        <f>IF(Completed!$K174&lt;&gt;"",Completed!$K174,"")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IF(Completed!$A175&lt;&gt;"",Completed!$A175,"")</f>
        <v/>
      </c>
      <c r="O176" s="28" t="str">
        <f>IF(Completed!$B175&lt;&gt;"",Completed!$B175,"")</f>
        <v/>
      </c>
      <c r="P176" s="28" t="str">
        <f ca="1">IF($N176&lt;&gt;"", INDIRECT("'Tracker'!"&amp;ADDRESS(MATCH($N176, Tracker[Anime Name], 0) + 2, 3)), "")</f>
        <v/>
      </c>
      <c r="Q176" s="22" t="str">
        <f ca="1">IF($N176&lt;&gt;"", INDIRECT("'Tracker'!"&amp;ADDRESS(MATCH($N176, Tracker[Anime Name], 0) + 2, 4)), "")</f>
        <v/>
      </c>
      <c r="R176" s="22" t="str">
        <f ca="1">IF($N176&lt;&gt;"", INDIRECT("'Tracker'!"&amp;ADDRESS(MATCH($N176, Tracker[Anime Name], 0) + 2, 5)), "")</f>
        <v/>
      </c>
      <c r="S176" s="22" t="str">
        <f ca="1">IF($N176&lt;&gt;"", INDIRECT("'Tracker'!"&amp;ADDRESS(MATCH($N176, Tracker[Anime Name], 0) + 2, 6)), "")</f>
        <v/>
      </c>
      <c r="T176" s="22" t="str">
        <f ca="1">IF($N176&lt;&gt;"", INDIRECT("'Tracker'!"&amp;ADDRESS(MATCH($N176, Tracker[Anime Name], 0) + 2, 7)), "")</f>
        <v/>
      </c>
      <c r="U176" s="28" t="str">
        <f ca="1">IF($N176&lt;&gt;"", INDIRECT("'Tracker'!"&amp;ADDRESS(MATCH($N176, Tracker[Anime Name], 0) + 2, 8)), "")</f>
        <v/>
      </c>
      <c r="V176" s="53" t="str">
        <f>IF(Completed!$C175&lt;&gt;"",Completed!$C175,"")</f>
        <v/>
      </c>
      <c r="W176" s="53" t="str">
        <f>IF(Completed!$D175&lt;&gt;"",Completed!$D175,"")</f>
        <v/>
      </c>
      <c r="X176" s="53" t="str">
        <f>IF(Completed!$E175&lt;&gt;"",Completed!$E175,"")</f>
        <v/>
      </c>
      <c r="Y176" s="53" t="str">
        <f>IF(Completed!$F175&lt;&gt;"",Completed!$F175,"")</f>
        <v/>
      </c>
      <c r="Z176" s="64" t="str">
        <f>IF(Completed!$G175&lt;&gt;"",Completed!$G175,"")</f>
        <v/>
      </c>
      <c r="AA176" s="73" t="str">
        <f>IF(Completed!$H175&lt;&gt;"",Completed!$H175,"")</f>
        <v/>
      </c>
      <c r="AB176" s="54" t="str">
        <f>IF(Completed!$I175&lt;&gt;"",Completed!$I175,"")</f>
        <v/>
      </c>
      <c r="AC176" s="54" t="str">
        <f>IF(Completed!$J175&lt;&gt;"",Completed!$J175,"")</f>
        <v/>
      </c>
      <c r="AD176" s="65" t="str">
        <f>IF(Completed!$K175&lt;&gt;"",Completed!$K175,"")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IF(Completed!$A176&lt;&gt;"",Completed!$A176,"")</f>
        <v/>
      </c>
      <c r="O177" s="28" t="str">
        <f>IF(Completed!$B176&lt;&gt;"",Completed!$B176,"")</f>
        <v/>
      </c>
      <c r="P177" s="28" t="str">
        <f ca="1">IF($N177&lt;&gt;"", INDIRECT("'Tracker'!"&amp;ADDRESS(MATCH($N177, Tracker[Anime Name], 0) + 2, 3)), "")</f>
        <v/>
      </c>
      <c r="Q177" s="22" t="str">
        <f ca="1">IF($N177&lt;&gt;"", INDIRECT("'Tracker'!"&amp;ADDRESS(MATCH($N177, Tracker[Anime Name], 0) + 2, 4)), "")</f>
        <v/>
      </c>
      <c r="R177" s="22" t="str">
        <f ca="1">IF($N177&lt;&gt;"", INDIRECT("'Tracker'!"&amp;ADDRESS(MATCH($N177, Tracker[Anime Name], 0) + 2, 5)), "")</f>
        <v/>
      </c>
      <c r="S177" s="22" t="str">
        <f ca="1">IF($N177&lt;&gt;"", INDIRECT("'Tracker'!"&amp;ADDRESS(MATCH($N177, Tracker[Anime Name], 0) + 2, 6)), "")</f>
        <v/>
      </c>
      <c r="T177" s="22" t="str">
        <f ca="1">IF($N177&lt;&gt;"", INDIRECT("'Tracker'!"&amp;ADDRESS(MATCH($N177, Tracker[Anime Name], 0) + 2, 7)), "")</f>
        <v/>
      </c>
      <c r="U177" s="28" t="str">
        <f ca="1">IF($N177&lt;&gt;"", INDIRECT("'Tracker'!"&amp;ADDRESS(MATCH($N177, Tracker[Anime Name], 0) + 2, 8)), "")</f>
        <v/>
      </c>
      <c r="V177" s="53" t="str">
        <f>IF(Completed!$C176&lt;&gt;"",Completed!$C176,"")</f>
        <v/>
      </c>
      <c r="W177" s="53" t="str">
        <f>IF(Completed!$D176&lt;&gt;"",Completed!$D176,"")</f>
        <v/>
      </c>
      <c r="X177" s="53" t="str">
        <f>IF(Completed!$E176&lt;&gt;"",Completed!$E176,"")</f>
        <v/>
      </c>
      <c r="Y177" s="53" t="str">
        <f>IF(Completed!$F176&lt;&gt;"",Completed!$F176,"")</f>
        <v/>
      </c>
      <c r="Z177" s="64" t="str">
        <f>IF(Completed!$G176&lt;&gt;"",Completed!$G176,"")</f>
        <v/>
      </c>
      <c r="AA177" s="73" t="str">
        <f>IF(Completed!$H176&lt;&gt;"",Completed!$H176,"")</f>
        <v/>
      </c>
      <c r="AB177" s="54" t="str">
        <f>IF(Completed!$I176&lt;&gt;"",Completed!$I176,"")</f>
        <v/>
      </c>
      <c r="AC177" s="54" t="str">
        <f>IF(Completed!$J176&lt;&gt;"",Completed!$J176,"")</f>
        <v/>
      </c>
      <c r="AD177" s="65" t="str">
        <f>IF(Completed!$K176&lt;&gt;"",Completed!$K176,"")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IF(Completed!$A177&lt;&gt;"",Completed!$A177,"")</f>
        <v/>
      </c>
      <c r="O178" s="28" t="str">
        <f>IF(Completed!$B177&lt;&gt;"",Completed!$B177,"")</f>
        <v/>
      </c>
      <c r="P178" s="28" t="str">
        <f ca="1">IF($N178&lt;&gt;"", INDIRECT("'Tracker'!"&amp;ADDRESS(MATCH($N178, Tracker[Anime Name], 0) + 2, 3)), "")</f>
        <v/>
      </c>
      <c r="Q178" s="22" t="str">
        <f ca="1">IF($N178&lt;&gt;"", INDIRECT("'Tracker'!"&amp;ADDRESS(MATCH($N178, Tracker[Anime Name], 0) + 2, 4)), "")</f>
        <v/>
      </c>
      <c r="R178" s="22" t="str">
        <f ca="1">IF($N178&lt;&gt;"", INDIRECT("'Tracker'!"&amp;ADDRESS(MATCH($N178, Tracker[Anime Name], 0) + 2, 5)), "")</f>
        <v/>
      </c>
      <c r="S178" s="22" t="str">
        <f ca="1">IF($N178&lt;&gt;"", INDIRECT("'Tracker'!"&amp;ADDRESS(MATCH($N178, Tracker[Anime Name], 0) + 2, 6)), "")</f>
        <v/>
      </c>
      <c r="T178" s="22" t="str">
        <f ca="1">IF($N178&lt;&gt;"", INDIRECT("'Tracker'!"&amp;ADDRESS(MATCH($N178, Tracker[Anime Name], 0) + 2, 7)), "")</f>
        <v/>
      </c>
      <c r="U178" s="28" t="str">
        <f ca="1">IF($N178&lt;&gt;"", INDIRECT("'Tracker'!"&amp;ADDRESS(MATCH($N178, Tracker[Anime Name], 0) + 2, 8)), "")</f>
        <v/>
      </c>
      <c r="V178" s="53" t="str">
        <f>IF(Completed!$C177&lt;&gt;"",Completed!$C177,"")</f>
        <v/>
      </c>
      <c r="W178" s="53" t="str">
        <f>IF(Completed!$D177&lt;&gt;"",Completed!$D177,"")</f>
        <v/>
      </c>
      <c r="X178" s="53" t="str">
        <f>IF(Completed!$E177&lt;&gt;"",Completed!$E177,"")</f>
        <v/>
      </c>
      <c r="Y178" s="53" t="str">
        <f>IF(Completed!$F177&lt;&gt;"",Completed!$F177,"")</f>
        <v/>
      </c>
      <c r="Z178" s="64" t="str">
        <f>IF(Completed!$G177&lt;&gt;"",Completed!$G177,"")</f>
        <v/>
      </c>
      <c r="AA178" s="73" t="str">
        <f>IF(Completed!$H177&lt;&gt;"",Completed!$H177,"")</f>
        <v/>
      </c>
      <c r="AB178" s="54" t="str">
        <f>IF(Completed!$I177&lt;&gt;"",Completed!$I177,"")</f>
        <v/>
      </c>
      <c r="AC178" s="54" t="str">
        <f>IF(Completed!$J177&lt;&gt;"",Completed!$J177,"")</f>
        <v/>
      </c>
      <c r="AD178" s="65" t="str">
        <f>IF(Completed!$K177&lt;&gt;"",Completed!$K177,"")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IF(Completed!$A178&lt;&gt;"",Completed!$A178,"")</f>
        <v/>
      </c>
      <c r="O179" s="28" t="str">
        <f>IF(Completed!$B178&lt;&gt;"",Completed!$B178,"")</f>
        <v/>
      </c>
      <c r="P179" s="28" t="str">
        <f ca="1">IF($N179&lt;&gt;"", INDIRECT("'Tracker'!"&amp;ADDRESS(MATCH($N179, Tracker[Anime Name], 0) + 2, 3)), "")</f>
        <v/>
      </c>
      <c r="Q179" s="22" t="str">
        <f ca="1">IF($N179&lt;&gt;"", INDIRECT("'Tracker'!"&amp;ADDRESS(MATCH($N179, Tracker[Anime Name], 0) + 2, 4)), "")</f>
        <v/>
      </c>
      <c r="R179" s="22" t="str">
        <f ca="1">IF($N179&lt;&gt;"", INDIRECT("'Tracker'!"&amp;ADDRESS(MATCH($N179, Tracker[Anime Name], 0) + 2, 5)), "")</f>
        <v/>
      </c>
      <c r="S179" s="22" t="str">
        <f ca="1">IF($N179&lt;&gt;"", INDIRECT("'Tracker'!"&amp;ADDRESS(MATCH($N179, Tracker[Anime Name], 0) + 2, 6)), "")</f>
        <v/>
      </c>
      <c r="T179" s="22" t="str">
        <f ca="1">IF($N179&lt;&gt;"", INDIRECT("'Tracker'!"&amp;ADDRESS(MATCH($N179, Tracker[Anime Name], 0) + 2, 7)), "")</f>
        <v/>
      </c>
      <c r="U179" s="28" t="str">
        <f ca="1">IF($N179&lt;&gt;"", INDIRECT("'Tracker'!"&amp;ADDRESS(MATCH($N179, Tracker[Anime Name], 0) + 2, 8)), "")</f>
        <v/>
      </c>
      <c r="V179" s="53" t="str">
        <f>IF(Completed!$C178&lt;&gt;"",Completed!$C178,"")</f>
        <v/>
      </c>
      <c r="W179" s="53" t="str">
        <f>IF(Completed!$D178&lt;&gt;"",Completed!$D178,"")</f>
        <v/>
      </c>
      <c r="X179" s="53" t="str">
        <f>IF(Completed!$E178&lt;&gt;"",Completed!$E178,"")</f>
        <v/>
      </c>
      <c r="Y179" s="53" t="str">
        <f>IF(Completed!$F178&lt;&gt;"",Completed!$F178,"")</f>
        <v/>
      </c>
      <c r="Z179" s="64" t="str">
        <f>IF(Completed!$G178&lt;&gt;"",Completed!$G178,"")</f>
        <v/>
      </c>
      <c r="AA179" s="73" t="str">
        <f>IF(Completed!$H178&lt;&gt;"",Completed!$H178,"")</f>
        <v/>
      </c>
      <c r="AB179" s="54" t="str">
        <f>IF(Completed!$I178&lt;&gt;"",Completed!$I178,"")</f>
        <v/>
      </c>
      <c r="AC179" s="54" t="str">
        <f>IF(Completed!$J178&lt;&gt;"",Completed!$J178,"")</f>
        <v/>
      </c>
      <c r="AD179" s="65" t="str">
        <f>IF(Completed!$K178&lt;&gt;"",Completed!$K178,"")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IF(Completed!$A179&lt;&gt;"",Completed!$A179,"")</f>
        <v/>
      </c>
      <c r="O180" s="28" t="str">
        <f>IF(Completed!$B179&lt;&gt;"",Completed!$B179,"")</f>
        <v/>
      </c>
      <c r="P180" s="28" t="str">
        <f ca="1">IF($N180&lt;&gt;"", INDIRECT("'Tracker'!"&amp;ADDRESS(MATCH($N180, Tracker[Anime Name], 0) + 2, 3)), "")</f>
        <v/>
      </c>
      <c r="Q180" s="22" t="str">
        <f ca="1">IF($N180&lt;&gt;"", INDIRECT("'Tracker'!"&amp;ADDRESS(MATCH($N180, Tracker[Anime Name], 0) + 2, 4)), "")</f>
        <v/>
      </c>
      <c r="R180" s="22" t="str">
        <f ca="1">IF($N180&lt;&gt;"", INDIRECT("'Tracker'!"&amp;ADDRESS(MATCH($N180, Tracker[Anime Name], 0) + 2, 5)), "")</f>
        <v/>
      </c>
      <c r="S180" s="22" t="str">
        <f ca="1">IF($N180&lt;&gt;"", INDIRECT("'Tracker'!"&amp;ADDRESS(MATCH($N180, Tracker[Anime Name], 0) + 2, 6)), "")</f>
        <v/>
      </c>
      <c r="T180" s="22" t="str">
        <f ca="1">IF($N180&lt;&gt;"", INDIRECT("'Tracker'!"&amp;ADDRESS(MATCH($N180, Tracker[Anime Name], 0) + 2, 7)), "")</f>
        <v/>
      </c>
      <c r="U180" s="28" t="str">
        <f ca="1">IF($N180&lt;&gt;"", INDIRECT("'Tracker'!"&amp;ADDRESS(MATCH($N180, Tracker[Anime Name], 0) + 2, 8)), "")</f>
        <v/>
      </c>
      <c r="V180" s="53" t="str">
        <f>IF(Completed!$C179&lt;&gt;"",Completed!$C179,"")</f>
        <v/>
      </c>
      <c r="W180" s="53" t="str">
        <f>IF(Completed!$D179&lt;&gt;"",Completed!$D179,"")</f>
        <v/>
      </c>
      <c r="X180" s="53" t="str">
        <f>IF(Completed!$E179&lt;&gt;"",Completed!$E179,"")</f>
        <v/>
      </c>
      <c r="Y180" s="53" t="str">
        <f>IF(Completed!$F179&lt;&gt;"",Completed!$F179,"")</f>
        <v/>
      </c>
      <c r="Z180" s="64" t="str">
        <f>IF(Completed!$G179&lt;&gt;"",Completed!$G179,"")</f>
        <v/>
      </c>
      <c r="AA180" s="73" t="str">
        <f>IF(Completed!$H179&lt;&gt;"",Completed!$H179,"")</f>
        <v/>
      </c>
      <c r="AB180" s="54" t="str">
        <f>IF(Completed!$I179&lt;&gt;"",Completed!$I179,"")</f>
        <v/>
      </c>
      <c r="AC180" s="54" t="str">
        <f>IF(Completed!$J179&lt;&gt;"",Completed!$J179,"")</f>
        <v/>
      </c>
      <c r="AD180" s="65" t="str">
        <f>IF(Completed!$K179&lt;&gt;"",Completed!$K179,"")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IF(Completed!$A180&lt;&gt;"",Completed!$A180,"")</f>
        <v/>
      </c>
      <c r="O181" s="28" t="str">
        <f>IF(Completed!$B180&lt;&gt;"",Completed!$B180,"")</f>
        <v/>
      </c>
      <c r="P181" s="28" t="str">
        <f ca="1">IF($N181&lt;&gt;"", INDIRECT("'Tracker'!"&amp;ADDRESS(MATCH($N181, Tracker[Anime Name], 0) + 2, 3)), "")</f>
        <v/>
      </c>
      <c r="Q181" s="22" t="str">
        <f ca="1">IF($N181&lt;&gt;"", INDIRECT("'Tracker'!"&amp;ADDRESS(MATCH($N181, Tracker[Anime Name], 0) + 2, 4)), "")</f>
        <v/>
      </c>
      <c r="R181" s="22" t="str">
        <f ca="1">IF($N181&lt;&gt;"", INDIRECT("'Tracker'!"&amp;ADDRESS(MATCH($N181, Tracker[Anime Name], 0) + 2, 5)), "")</f>
        <v/>
      </c>
      <c r="S181" s="22" t="str">
        <f ca="1">IF($N181&lt;&gt;"", INDIRECT("'Tracker'!"&amp;ADDRESS(MATCH($N181, Tracker[Anime Name], 0) + 2, 6)), "")</f>
        <v/>
      </c>
      <c r="T181" s="22" t="str">
        <f ca="1">IF($N181&lt;&gt;"", INDIRECT("'Tracker'!"&amp;ADDRESS(MATCH($N181, Tracker[Anime Name], 0) + 2, 7)), "")</f>
        <v/>
      </c>
      <c r="U181" s="28" t="str">
        <f ca="1">IF($N181&lt;&gt;"", INDIRECT("'Tracker'!"&amp;ADDRESS(MATCH($N181, Tracker[Anime Name], 0) + 2, 8)), "")</f>
        <v/>
      </c>
      <c r="V181" s="53" t="str">
        <f>IF(Completed!$C180&lt;&gt;"",Completed!$C180,"")</f>
        <v/>
      </c>
      <c r="W181" s="53" t="str">
        <f>IF(Completed!$D180&lt;&gt;"",Completed!$D180,"")</f>
        <v/>
      </c>
      <c r="X181" s="53" t="str">
        <f>IF(Completed!$E180&lt;&gt;"",Completed!$E180,"")</f>
        <v/>
      </c>
      <c r="Y181" s="53" t="str">
        <f>IF(Completed!$F180&lt;&gt;"",Completed!$F180,"")</f>
        <v/>
      </c>
      <c r="Z181" s="64" t="str">
        <f>IF(Completed!$G180&lt;&gt;"",Completed!$G180,"")</f>
        <v/>
      </c>
      <c r="AA181" s="73" t="str">
        <f>IF(Completed!$H180&lt;&gt;"",Completed!$H180,"")</f>
        <v/>
      </c>
      <c r="AB181" s="54" t="str">
        <f>IF(Completed!$I180&lt;&gt;"",Completed!$I180,"")</f>
        <v/>
      </c>
      <c r="AC181" s="54" t="str">
        <f>IF(Completed!$J180&lt;&gt;"",Completed!$J180,"")</f>
        <v/>
      </c>
      <c r="AD181" s="65" t="str">
        <f>IF(Completed!$K180&lt;&gt;"",Completed!$K180,"")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IF(Completed!$A181&lt;&gt;"",Completed!$A181,"")</f>
        <v/>
      </c>
      <c r="O182" s="28" t="str">
        <f>IF(Completed!$B181&lt;&gt;"",Completed!$B181,"")</f>
        <v/>
      </c>
      <c r="P182" s="28" t="str">
        <f ca="1">IF($N182&lt;&gt;"", INDIRECT("'Tracker'!"&amp;ADDRESS(MATCH($N182, Tracker[Anime Name], 0) + 2, 3)), "")</f>
        <v/>
      </c>
      <c r="Q182" s="22" t="str">
        <f ca="1">IF($N182&lt;&gt;"", INDIRECT("'Tracker'!"&amp;ADDRESS(MATCH($N182, Tracker[Anime Name], 0) + 2, 4)), "")</f>
        <v/>
      </c>
      <c r="R182" s="22" t="str">
        <f ca="1">IF($N182&lt;&gt;"", INDIRECT("'Tracker'!"&amp;ADDRESS(MATCH($N182, Tracker[Anime Name], 0) + 2, 5)), "")</f>
        <v/>
      </c>
      <c r="S182" s="22" t="str">
        <f ca="1">IF($N182&lt;&gt;"", INDIRECT("'Tracker'!"&amp;ADDRESS(MATCH($N182, Tracker[Anime Name], 0) + 2, 6)), "")</f>
        <v/>
      </c>
      <c r="T182" s="22" t="str">
        <f ca="1">IF($N182&lt;&gt;"", INDIRECT("'Tracker'!"&amp;ADDRESS(MATCH($N182, Tracker[Anime Name], 0) + 2, 7)), "")</f>
        <v/>
      </c>
      <c r="U182" s="28" t="str">
        <f ca="1">IF($N182&lt;&gt;"", INDIRECT("'Tracker'!"&amp;ADDRESS(MATCH($N182, Tracker[Anime Name], 0) + 2, 8)), "")</f>
        <v/>
      </c>
      <c r="V182" s="53" t="str">
        <f>IF(Completed!$C181&lt;&gt;"",Completed!$C181,"")</f>
        <v/>
      </c>
      <c r="W182" s="53" t="str">
        <f>IF(Completed!$D181&lt;&gt;"",Completed!$D181,"")</f>
        <v/>
      </c>
      <c r="X182" s="53" t="str">
        <f>IF(Completed!$E181&lt;&gt;"",Completed!$E181,"")</f>
        <v/>
      </c>
      <c r="Y182" s="53" t="str">
        <f>IF(Completed!$F181&lt;&gt;"",Completed!$F181,"")</f>
        <v/>
      </c>
      <c r="Z182" s="64" t="str">
        <f>IF(Completed!$G181&lt;&gt;"",Completed!$G181,"")</f>
        <v/>
      </c>
      <c r="AA182" s="73" t="str">
        <f>IF(Completed!$H181&lt;&gt;"",Completed!$H181,"")</f>
        <v/>
      </c>
      <c r="AB182" s="54" t="str">
        <f>IF(Completed!$I181&lt;&gt;"",Completed!$I181,"")</f>
        <v/>
      </c>
      <c r="AC182" s="54" t="str">
        <f>IF(Completed!$J181&lt;&gt;"",Completed!$J181,"")</f>
        <v/>
      </c>
      <c r="AD182" s="65" t="str">
        <f>IF(Completed!$K181&lt;&gt;"",Completed!$K181,"")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IF(Completed!$A182&lt;&gt;"",Completed!$A182,"")</f>
        <v/>
      </c>
      <c r="O183" s="28" t="str">
        <f>IF(Completed!$B182&lt;&gt;"",Completed!$B182,"")</f>
        <v/>
      </c>
      <c r="P183" s="28" t="str">
        <f ca="1">IF($N183&lt;&gt;"", INDIRECT("'Tracker'!"&amp;ADDRESS(MATCH($N183, Tracker[Anime Name], 0) + 2, 3)), "")</f>
        <v/>
      </c>
      <c r="Q183" s="22" t="str">
        <f ca="1">IF($N183&lt;&gt;"", INDIRECT("'Tracker'!"&amp;ADDRESS(MATCH($N183, Tracker[Anime Name], 0) + 2, 4)), "")</f>
        <v/>
      </c>
      <c r="R183" s="22" t="str">
        <f ca="1">IF($N183&lt;&gt;"", INDIRECT("'Tracker'!"&amp;ADDRESS(MATCH($N183, Tracker[Anime Name], 0) + 2, 5)), "")</f>
        <v/>
      </c>
      <c r="S183" s="22" t="str">
        <f ca="1">IF($N183&lt;&gt;"", INDIRECT("'Tracker'!"&amp;ADDRESS(MATCH($N183, Tracker[Anime Name], 0) + 2, 6)), "")</f>
        <v/>
      </c>
      <c r="T183" s="22" t="str">
        <f ca="1">IF($N183&lt;&gt;"", INDIRECT("'Tracker'!"&amp;ADDRESS(MATCH($N183, Tracker[Anime Name], 0) + 2, 7)), "")</f>
        <v/>
      </c>
      <c r="U183" s="28" t="str">
        <f ca="1">IF($N183&lt;&gt;"", INDIRECT("'Tracker'!"&amp;ADDRESS(MATCH($N183, Tracker[Anime Name], 0) + 2, 8)), "")</f>
        <v/>
      </c>
      <c r="V183" s="53" t="str">
        <f>IF(Completed!$C182&lt;&gt;"",Completed!$C182,"")</f>
        <v/>
      </c>
      <c r="W183" s="53" t="str">
        <f>IF(Completed!$D182&lt;&gt;"",Completed!$D182,"")</f>
        <v/>
      </c>
      <c r="X183" s="53" t="str">
        <f>IF(Completed!$E182&lt;&gt;"",Completed!$E182,"")</f>
        <v/>
      </c>
      <c r="Y183" s="53" t="str">
        <f>IF(Completed!$F182&lt;&gt;"",Completed!$F182,"")</f>
        <v/>
      </c>
      <c r="Z183" s="64" t="str">
        <f>IF(Completed!$G182&lt;&gt;"",Completed!$G182,"")</f>
        <v/>
      </c>
      <c r="AA183" s="73" t="str">
        <f>IF(Completed!$H182&lt;&gt;"",Completed!$H182,"")</f>
        <v/>
      </c>
      <c r="AB183" s="54" t="str">
        <f>IF(Completed!$I182&lt;&gt;"",Completed!$I182,"")</f>
        <v/>
      </c>
      <c r="AC183" s="54" t="str">
        <f>IF(Completed!$J182&lt;&gt;"",Completed!$J182,"")</f>
        <v/>
      </c>
      <c r="AD183" s="65" t="str">
        <f>IF(Completed!$K182&lt;&gt;"",Completed!$K182,"")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IF(Completed!$A183&lt;&gt;"",Completed!$A183,"")</f>
        <v/>
      </c>
      <c r="O184" s="28" t="str">
        <f>IF(Completed!$B183&lt;&gt;"",Completed!$B183,"")</f>
        <v/>
      </c>
      <c r="P184" s="28" t="str">
        <f ca="1">IF($N184&lt;&gt;"", INDIRECT("'Tracker'!"&amp;ADDRESS(MATCH($N184, Tracker[Anime Name], 0) + 2, 3)), "")</f>
        <v/>
      </c>
      <c r="Q184" s="22" t="str">
        <f ca="1">IF($N184&lt;&gt;"", INDIRECT("'Tracker'!"&amp;ADDRESS(MATCH($N184, Tracker[Anime Name], 0) + 2, 4)), "")</f>
        <v/>
      </c>
      <c r="R184" s="22" t="str">
        <f ca="1">IF($N184&lt;&gt;"", INDIRECT("'Tracker'!"&amp;ADDRESS(MATCH($N184, Tracker[Anime Name], 0) + 2, 5)), "")</f>
        <v/>
      </c>
      <c r="S184" s="22" t="str">
        <f ca="1">IF($N184&lt;&gt;"", INDIRECT("'Tracker'!"&amp;ADDRESS(MATCH($N184, Tracker[Anime Name], 0) + 2, 6)), "")</f>
        <v/>
      </c>
      <c r="T184" s="22" t="str">
        <f ca="1">IF($N184&lt;&gt;"", INDIRECT("'Tracker'!"&amp;ADDRESS(MATCH($N184, Tracker[Anime Name], 0) + 2, 7)), "")</f>
        <v/>
      </c>
      <c r="U184" s="28" t="str">
        <f ca="1">IF($N184&lt;&gt;"", INDIRECT("'Tracker'!"&amp;ADDRESS(MATCH($N184, Tracker[Anime Name], 0) + 2, 8)), "")</f>
        <v/>
      </c>
      <c r="V184" s="53" t="str">
        <f>IF(Completed!$C183&lt;&gt;"",Completed!$C183,"")</f>
        <v/>
      </c>
      <c r="W184" s="53" t="str">
        <f>IF(Completed!$D183&lt;&gt;"",Completed!$D183,"")</f>
        <v/>
      </c>
      <c r="X184" s="53" t="str">
        <f>IF(Completed!$E183&lt;&gt;"",Completed!$E183,"")</f>
        <v/>
      </c>
      <c r="Y184" s="53" t="str">
        <f>IF(Completed!$F183&lt;&gt;"",Completed!$F183,"")</f>
        <v/>
      </c>
      <c r="Z184" s="64" t="str">
        <f>IF(Completed!$G183&lt;&gt;"",Completed!$G183,"")</f>
        <v/>
      </c>
      <c r="AA184" s="73" t="str">
        <f>IF(Completed!$H183&lt;&gt;"",Completed!$H183,"")</f>
        <v/>
      </c>
      <c r="AB184" s="54" t="str">
        <f>IF(Completed!$I183&lt;&gt;"",Completed!$I183,"")</f>
        <v/>
      </c>
      <c r="AC184" s="54" t="str">
        <f>IF(Completed!$J183&lt;&gt;"",Completed!$J183,"")</f>
        <v/>
      </c>
      <c r="AD184" s="65" t="str">
        <f>IF(Completed!$K183&lt;&gt;"",Completed!$K183,"")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IF(Completed!$A184&lt;&gt;"",Completed!$A184,"")</f>
        <v/>
      </c>
      <c r="O185" s="28" t="str">
        <f>IF(Completed!$B184&lt;&gt;"",Completed!$B184,"")</f>
        <v/>
      </c>
      <c r="P185" s="28" t="str">
        <f ca="1">IF($N185&lt;&gt;"", INDIRECT("'Tracker'!"&amp;ADDRESS(MATCH($N185, Tracker[Anime Name], 0) + 2, 3)), "")</f>
        <v/>
      </c>
      <c r="Q185" s="22" t="str">
        <f ca="1">IF($N185&lt;&gt;"", INDIRECT("'Tracker'!"&amp;ADDRESS(MATCH($N185, Tracker[Anime Name], 0) + 2, 4)), "")</f>
        <v/>
      </c>
      <c r="R185" s="22" t="str">
        <f ca="1">IF($N185&lt;&gt;"", INDIRECT("'Tracker'!"&amp;ADDRESS(MATCH($N185, Tracker[Anime Name], 0) + 2, 5)), "")</f>
        <v/>
      </c>
      <c r="S185" s="22" t="str">
        <f ca="1">IF($N185&lt;&gt;"", INDIRECT("'Tracker'!"&amp;ADDRESS(MATCH($N185, Tracker[Anime Name], 0) + 2, 6)), "")</f>
        <v/>
      </c>
      <c r="T185" s="22" t="str">
        <f ca="1">IF($N185&lt;&gt;"", INDIRECT("'Tracker'!"&amp;ADDRESS(MATCH($N185, Tracker[Anime Name], 0) + 2, 7)), "")</f>
        <v/>
      </c>
      <c r="U185" s="28" t="str">
        <f ca="1">IF($N185&lt;&gt;"", INDIRECT("'Tracker'!"&amp;ADDRESS(MATCH($N185, Tracker[Anime Name], 0) + 2, 8)), "")</f>
        <v/>
      </c>
      <c r="V185" s="53" t="str">
        <f>IF(Completed!$C184&lt;&gt;"",Completed!$C184,"")</f>
        <v/>
      </c>
      <c r="W185" s="53" t="str">
        <f>IF(Completed!$D184&lt;&gt;"",Completed!$D184,"")</f>
        <v/>
      </c>
      <c r="X185" s="53" t="str">
        <f>IF(Completed!$E184&lt;&gt;"",Completed!$E184,"")</f>
        <v/>
      </c>
      <c r="Y185" s="53" t="str">
        <f>IF(Completed!$F184&lt;&gt;"",Completed!$F184,"")</f>
        <v/>
      </c>
      <c r="Z185" s="64" t="str">
        <f>IF(Completed!$G184&lt;&gt;"",Completed!$G184,"")</f>
        <v/>
      </c>
      <c r="AA185" s="73" t="str">
        <f>IF(Completed!$H184&lt;&gt;"",Completed!$H184,"")</f>
        <v/>
      </c>
      <c r="AB185" s="54" t="str">
        <f>IF(Completed!$I184&lt;&gt;"",Completed!$I184,"")</f>
        <v/>
      </c>
      <c r="AC185" s="54" t="str">
        <f>IF(Completed!$J184&lt;&gt;"",Completed!$J184,"")</f>
        <v/>
      </c>
      <c r="AD185" s="65" t="str">
        <f>IF(Completed!$K184&lt;&gt;"",Completed!$K184,"")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IF(Completed!$A185&lt;&gt;"",Completed!$A185,"")</f>
        <v/>
      </c>
      <c r="O186" s="28" t="str">
        <f>IF(Completed!$B185&lt;&gt;"",Completed!$B185,"")</f>
        <v/>
      </c>
      <c r="P186" s="28" t="str">
        <f ca="1">IF($N186&lt;&gt;"", INDIRECT("'Tracker'!"&amp;ADDRESS(MATCH($N186, Tracker[Anime Name], 0) + 2, 3)), "")</f>
        <v/>
      </c>
      <c r="Q186" s="22" t="str">
        <f ca="1">IF($N186&lt;&gt;"", INDIRECT("'Tracker'!"&amp;ADDRESS(MATCH($N186, Tracker[Anime Name], 0) + 2, 4)), "")</f>
        <v/>
      </c>
      <c r="R186" s="22" t="str">
        <f ca="1">IF($N186&lt;&gt;"", INDIRECT("'Tracker'!"&amp;ADDRESS(MATCH($N186, Tracker[Anime Name], 0) + 2, 5)), "")</f>
        <v/>
      </c>
      <c r="S186" s="22" t="str">
        <f ca="1">IF($N186&lt;&gt;"", INDIRECT("'Tracker'!"&amp;ADDRESS(MATCH($N186, Tracker[Anime Name], 0) + 2, 6)), "")</f>
        <v/>
      </c>
      <c r="T186" s="22" t="str">
        <f ca="1">IF($N186&lt;&gt;"", INDIRECT("'Tracker'!"&amp;ADDRESS(MATCH($N186, Tracker[Anime Name], 0) + 2, 7)), "")</f>
        <v/>
      </c>
      <c r="U186" s="28" t="str">
        <f ca="1">IF($N186&lt;&gt;"", INDIRECT("'Tracker'!"&amp;ADDRESS(MATCH($N186, Tracker[Anime Name], 0) + 2, 8)), "")</f>
        <v/>
      </c>
      <c r="V186" s="53" t="str">
        <f>IF(Completed!$C185&lt;&gt;"",Completed!$C185,"")</f>
        <v/>
      </c>
      <c r="W186" s="53" t="str">
        <f>IF(Completed!$D185&lt;&gt;"",Completed!$D185,"")</f>
        <v/>
      </c>
      <c r="X186" s="53" t="str">
        <f>IF(Completed!$E185&lt;&gt;"",Completed!$E185,"")</f>
        <v/>
      </c>
      <c r="Y186" s="53" t="str">
        <f>IF(Completed!$F185&lt;&gt;"",Completed!$F185,"")</f>
        <v/>
      </c>
      <c r="Z186" s="64" t="str">
        <f>IF(Completed!$G185&lt;&gt;"",Completed!$G185,"")</f>
        <v/>
      </c>
      <c r="AA186" s="73" t="str">
        <f>IF(Completed!$H185&lt;&gt;"",Completed!$H185,"")</f>
        <v/>
      </c>
      <c r="AB186" s="54" t="str">
        <f>IF(Completed!$I185&lt;&gt;"",Completed!$I185,"")</f>
        <v/>
      </c>
      <c r="AC186" s="54" t="str">
        <f>IF(Completed!$J185&lt;&gt;"",Completed!$J185,"")</f>
        <v/>
      </c>
      <c r="AD186" s="65" t="str">
        <f>IF(Completed!$K185&lt;&gt;"",Completed!$K185,"")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IF(Completed!$A186&lt;&gt;"",Completed!$A186,"")</f>
        <v/>
      </c>
      <c r="O187" s="28" t="str">
        <f>IF(Completed!$B186&lt;&gt;"",Completed!$B186,"")</f>
        <v/>
      </c>
      <c r="P187" s="28" t="str">
        <f ca="1">IF($N187&lt;&gt;"", INDIRECT("'Tracker'!"&amp;ADDRESS(MATCH($N187, Tracker[Anime Name], 0) + 2, 3)), "")</f>
        <v/>
      </c>
      <c r="Q187" s="22" t="str">
        <f ca="1">IF($N187&lt;&gt;"", INDIRECT("'Tracker'!"&amp;ADDRESS(MATCH($N187, Tracker[Anime Name], 0) + 2, 4)), "")</f>
        <v/>
      </c>
      <c r="R187" s="22" t="str">
        <f ca="1">IF($N187&lt;&gt;"", INDIRECT("'Tracker'!"&amp;ADDRESS(MATCH($N187, Tracker[Anime Name], 0) + 2, 5)), "")</f>
        <v/>
      </c>
      <c r="S187" s="22" t="str">
        <f ca="1">IF($N187&lt;&gt;"", INDIRECT("'Tracker'!"&amp;ADDRESS(MATCH($N187, Tracker[Anime Name], 0) + 2, 6)), "")</f>
        <v/>
      </c>
      <c r="T187" s="22" t="str">
        <f ca="1">IF($N187&lt;&gt;"", INDIRECT("'Tracker'!"&amp;ADDRESS(MATCH($N187, Tracker[Anime Name], 0) + 2, 7)), "")</f>
        <v/>
      </c>
      <c r="U187" s="28" t="str">
        <f ca="1">IF($N187&lt;&gt;"", INDIRECT("'Tracker'!"&amp;ADDRESS(MATCH($N187, Tracker[Anime Name], 0) + 2, 8)), "")</f>
        <v/>
      </c>
      <c r="V187" s="53" t="str">
        <f>IF(Completed!$C186&lt;&gt;"",Completed!$C186,"")</f>
        <v/>
      </c>
      <c r="W187" s="53" t="str">
        <f>IF(Completed!$D186&lt;&gt;"",Completed!$D186,"")</f>
        <v/>
      </c>
      <c r="X187" s="53" t="str">
        <f>IF(Completed!$E186&lt;&gt;"",Completed!$E186,"")</f>
        <v/>
      </c>
      <c r="Y187" s="53" t="str">
        <f>IF(Completed!$F186&lt;&gt;"",Completed!$F186,"")</f>
        <v/>
      </c>
      <c r="Z187" s="64" t="str">
        <f>IF(Completed!$G186&lt;&gt;"",Completed!$G186,"")</f>
        <v/>
      </c>
      <c r="AA187" s="73" t="str">
        <f>IF(Completed!$H186&lt;&gt;"",Completed!$H186,"")</f>
        <v/>
      </c>
      <c r="AB187" s="54" t="str">
        <f>IF(Completed!$I186&lt;&gt;"",Completed!$I186,"")</f>
        <v/>
      </c>
      <c r="AC187" s="54" t="str">
        <f>IF(Completed!$J186&lt;&gt;"",Completed!$J186,"")</f>
        <v/>
      </c>
      <c r="AD187" s="65" t="str">
        <f>IF(Completed!$K186&lt;&gt;"",Completed!$K186,"")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IF(Completed!$A187&lt;&gt;"",Completed!$A187,"")</f>
        <v/>
      </c>
      <c r="O188" s="28" t="str">
        <f>IF(Completed!$B187&lt;&gt;"",Completed!$B187,"")</f>
        <v/>
      </c>
      <c r="P188" s="28" t="str">
        <f ca="1">IF($N188&lt;&gt;"", INDIRECT("'Tracker'!"&amp;ADDRESS(MATCH($N188, Tracker[Anime Name], 0) + 2, 3)), "")</f>
        <v/>
      </c>
      <c r="Q188" s="22" t="str">
        <f ca="1">IF($N188&lt;&gt;"", INDIRECT("'Tracker'!"&amp;ADDRESS(MATCH($N188, Tracker[Anime Name], 0) + 2, 4)), "")</f>
        <v/>
      </c>
      <c r="R188" s="22" t="str">
        <f ca="1">IF($N188&lt;&gt;"", INDIRECT("'Tracker'!"&amp;ADDRESS(MATCH($N188, Tracker[Anime Name], 0) + 2, 5)), "")</f>
        <v/>
      </c>
      <c r="S188" s="22" t="str">
        <f ca="1">IF($N188&lt;&gt;"", INDIRECT("'Tracker'!"&amp;ADDRESS(MATCH($N188, Tracker[Anime Name], 0) + 2, 6)), "")</f>
        <v/>
      </c>
      <c r="T188" s="22" t="str">
        <f ca="1">IF($N188&lt;&gt;"", INDIRECT("'Tracker'!"&amp;ADDRESS(MATCH($N188, Tracker[Anime Name], 0) + 2, 7)), "")</f>
        <v/>
      </c>
      <c r="U188" s="28" t="str">
        <f ca="1">IF($N188&lt;&gt;"", INDIRECT("'Tracker'!"&amp;ADDRESS(MATCH($N188, Tracker[Anime Name], 0) + 2, 8)), "")</f>
        <v/>
      </c>
      <c r="V188" s="53" t="str">
        <f>IF(Completed!$C187&lt;&gt;"",Completed!$C187,"")</f>
        <v/>
      </c>
      <c r="W188" s="53" t="str">
        <f>IF(Completed!$D187&lt;&gt;"",Completed!$D187,"")</f>
        <v/>
      </c>
      <c r="X188" s="53" t="str">
        <f>IF(Completed!$E187&lt;&gt;"",Completed!$E187,"")</f>
        <v/>
      </c>
      <c r="Y188" s="53" t="str">
        <f>IF(Completed!$F187&lt;&gt;"",Completed!$F187,"")</f>
        <v/>
      </c>
      <c r="Z188" s="64" t="str">
        <f>IF(Completed!$G187&lt;&gt;"",Completed!$G187,"")</f>
        <v/>
      </c>
      <c r="AA188" s="73" t="str">
        <f>IF(Completed!$H187&lt;&gt;"",Completed!$H187,"")</f>
        <v/>
      </c>
      <c r="AB188" s="54" t="str">
        <f>IF(Completed!$I187&lt;&gt;"",Completed!$I187,"")</f>
        <v/>
      </c>
      <c r="AC188" s="54" t="str">
        <f>IF(Completed!$J187&lt;&gt;"",Completed!$J187,"")</f>
        <v/>
      </c>
      <c r="AD188" s="65" t="str">
        <f>IF(Completed!$K187&lt;&gt;"",Completed!$K187,"")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IF(Completed!$A188&lt;&gt;"",Completed!$A188,"")</f>
        <v/>
      </c>
      <c r="O189" s="28" t="str">
        <f>IF(Completed!$B188&lt;&gt;"",Completed!$B188,"")</f>
        <v/>
      </c>
      <c r="P189" s="28" t="str">
        <f ca="1">IF($N189&lt;&gt;"", INDIRECT("'Tracker'!"&amp;ADDRESS(MATCH($N189, Tracker[Anime Name], 0) + 2, 3)), "")</f>
        <v/>
      </c>
      <c r="Q189" s="22" t="str">
        <f ca="1">IF($N189&lt;&gt;"", INDIRECT("'Tracker'!"&amp;ADDRESS(MATCH($N189, Tracker[Anime Name], 0) + 2, 4)), "")</f>
        <v/>
      </c>
      <c r="R189" s="22" t="str">
        <f ca="1">IF($N189&lt;&gt;"", INDIRECT("'Tracker'!"&amp;ADDRESS(MATCH($N189, Tracker[Anime Name], 0) + 2, 5)), "")</f>
        <v/>
      </c>
      <c r="S189" s="22" t="str">
        <f ca="1">IF($N189&lt;&gt;"", INDIRECT("'Tracker'!"&amp;ADDRESS(MATCH($N189, Tracker[Anime Name], 0) + 2, 6)), "")</f>
        <v/>
      </c>
      <c r="T189" s="22" t="str">
        <f ca="1">IF($N189&lt;&gt;"", INDIRECT("'Tracker'!"&amp;ADDRESS(MATCH($N189, Tracker[Anime Name], 0) + 2, 7)), "")</f>
        <v/>
      </c>
      <c r="U189" s="28" t="str">
        <f ca="1">IF($N189&lt;&gt;"", INDIRECT("'Tracker'!"&amp;ADDRESS(MATCH($N189, Tracker[Anime Name], 0) + 2, 8)), "")</f>
        <v/>
      </c>
      <c r="V189" s="53" t="str">
        <f>IF(Completed!$C188&lt;&gt;"",Completed!$C188,"")</f>
        <v/>
      </c>
      <c r="W189" s="53" t="str">
        <f>IF(Completed!$D188&lt;&gt;"",Completed!$D188,"")</f>
        <v/>
      </c>
      <c r="X189" s="53" t="str">
        <f>IF(Completed!$E188&lt;&gt;"",Completed!$E188,"")</f>
        <v/>
      </c>
      <c r="Y189" s="53" t="str">
        <f>IF(Completed!$F188&lt;&gt;"",Completed!$F188,"")</f>
        <v/>
      </c>
      <c r="Z189" s="64" t="str">
        <f>IF(Completed!$G188&lt;&gt;"",Completed!$G188,"")</f>
        <v/>
      </c>
      <c r="AA189" s="73" t="str">
        <f>IF(Completed!$H188&lt;&gt;"",Completed!$H188,"")</f>
        <v/>
      </c>
      <c r="AB189" s="54" t="str">
        <f>IF(Completed!$I188&lt;&gt;"",Completed!$I188,"")</f>
        <v/>
      </c>
      <c r="AC189" s="54" t="str">
        <f>IF(Completed!$J188&lt;&gt;"",Completed!$J188,"")</f>
        <v/>
      </c>
      <c r="AD189" s="65" t="str">
        <f>IF(Completed!$K188&lt;&gt;"",Completed!$K188,"")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IF(Completed!$A189&lt;&gt;"",Completed!$A189,"")</f>
        <v/>
      </c>
      <c r="O190" s="28" t="str">
        <f>IF(Completed!$B189&lt;&gt;"",Completed!$B189,"")</f>
        <v/>
      </c>
      <c r="P190" s="28" t="str">
        <f ca="1">IF($N190&lt;&gt;"", INDIRECT("'Tracker'!"&amp;ADDRESS(MATCH($N190, Tracker[Anime Name], 0) + 2, 3)), "")</f>
        <v/>
      </c>
      <c r="Q190" s="22" t="str">
        <f ca="1">IF($N190&lt;&gt;"", INDIRECT("'Tracker'!"&amp;ADDRESS(MATCH($N190, Tracker[Anime Name], 0) + 2, 4)), "")</f>
        <v/>
      </c>
      <c r="R190" s="22" t="str">
        <f ca="1">IF($N190&lt;&gt;"", INDIRECT("'Tracker'!"&amp;ADDRESS(MATCH($N190, Tracker[Anime Name], 0) + 2, 5)), "")</f>
        <v/>
      </c>
      <c r="S190" s="22" t="str">
        <f ca="1">IF($N190&lt;&gt;"", INDIRECT("'Tracker'!"&amp;ADDRESS(MATCH($N190, Tracker[Anime Name], 0) + 2, 6)), "")</f>
        <v/>
      </c>
      <c r="T190" s="22" t="str">
        <f ca="1">IF($N190&lt;&gt;"", INDIRECT("'Tracker'!"&amp;ADDRESS(MATCH($N190, Tracker[Anime Name], 0) + 2, 7)), "")</f>
        <v/>
      </c>
      <c r="U190" s="28" t="str">
        <f ca="1">IF($N190&lt;&gt;"", INDIRECT("'Tracker'!"&amp;ADDRESS(MATCH($N190, Tracker[Anime Name], 0) + 2, 8)), "")</f>
        <v/>
      </c>
      <c r="V190" s="53" t="str">
        <f>IF(Completed!$C189&lt;&gt;"",Completed!$C189,"")</f>
        <v/>
      </c>
      <c r="W190" s="53" t="str">
        <f>IF(Completed!$D189&lt;&gt;"",Completed!$D189,"")</f>
        <v/>
      </c>
      <c r="X190" s="53" t="str">
        <f>IF(Completed!$E189&lt;&gt;"",Completed!$E189,"")</f>
        <v/>
      </c>
      <c r="Y190" s="53" t="str">
        <f>IF(Completed!$F189&lt;&gt;"",Completed!$F189,"")</f>
        <v/>
      </c>
      <c r="Z190" s="64" t="str">
        <f>IF(Completed!$G189&lt;&gt;"",Completed!$G189,"")</f>
        <v/>
      </c>
      <c r="AA190" s="73" t="str">
        <f>IF(Completed!$H189&lt;&gt;"",Completed!$H189,"")</f>
        <v/>
      </c>
      <c r="AB190" s="54" t="str">
        <f>IF(Completed!$I189&lt;&gt;"",Completed!$I189,"")</f>
        <v/>
      </c>
      <c r="AC190" s="54" t="str">
        <f>IF(Completed!$J189&lt;&gt;"",Completed!$J189,"")</f>
        <v/>
      </c>
      <c r="AD190" s="65" t="str">
        <f>IF(Completed!$K189&lt;&gt;"",Completed!$K189,"")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IF(Completed!$A190&lt;&gt;"",Completed!$A190,"")</f>
        <v/>
      </c>
      <c r="O191" s="28" t="str">
        <f>IF(Completed!$B190&lt;&gt;"",Completed!$B190,"")</f>
        <v/>
      </c>
      <c r="P191" s="28" t="str">
        <f ca="1">IF($N191&lt;&gt;"", INDIRECT("'Tracker'!"&amp;ADDRESS(MATCH($N191, Tracker[Anime Name], 0) + 2, 3)), "")</f>
        <v/>
      </c>
      <c r="Q191" s="22" t="str">
        <f ca="1">IF($N191&lt;&gt;"", INDIRECT("'Tracker'!"&amp;ADDRESS(MATCH($N191, Tracker[Anime Name], 0) + 2, 4)), "")</f>
        <v/>
      </c>
      <c r="R191" s="22" t="str">
        <f ca="1">IF($N191&lt;&gt;"", INDIRECT("'Tracker'!"&amp;ADDRESS(MATCH($N191, Tracker[Anime Name], 0) + 2, 5)), "")</f>
        <v/>
      </c>
      <c r="S191" s="22" t="str">
        <f ca="1">IF($N191&lt;&gt;"", INDIRECT("'Tracker'!"&amp;ADDRESS(MATCH($N191, Tracker[Anime Name], 0) + 2, 6)), "")</f>
        <v/>
      </c>
      <c r="T191" s="22" t="str">
        <f ca="1">IF($N191&lt;&gt;"", INDIRECT("'Tracker'!"&amp;ADDRESS(MATCH($N191, Tracker[Anime Name], 0) + 2, 7)), "")</f>
        <v/>
      </c>
      <c r="U191" s="28" t="str">
        <f ca="1">IF($N191&lt;&gt;"", INDIRECT("'Tracker'!"&amp;ADDRESS(MATCH($N191, Tracker[Anime Name], 0) + 2, 8)), "")</f>
        <v/>
      </c>
      <c r="V191" s="53" t="str">
        <f>IF(Completed!$C190&lt;&gt;"",Completed!$C190,"")</f>
        <v/>
      </c>
      <c r="W191" s="53" t="str">
        <f>IF(Completed!$D190&lt;&gt;"",Completed!$D190,"")</f>
        <v/>
      </c>
      <c r="X191" s="53" t="str">
        <f>IF(Completed!$E190&lt;&gt;"",Completed!$E190,"")</f>
        <v/>
      </c>
      <c r="Y191" s="53" t="str">
        <f>IF(Completed!$F190&lt;&gt;"",Completed!$F190,"")</f>
        <v/>
      </c>
      <c r="Z191" s="64" t="str">
        <f>IF(Completed!$G190&lt;&gt;"",Completed!$G190,"")</f>
        <v/>
      </c>
      <c r="AA191" s="73" t="str">
        <f>IF(Completed!$H190&lt;&gt;"",Completed!$H190,"")</f>
        <v/>
      </c>
      <c r="AB191" s="54" t="str">
        <f>IF(Completed!$I190&lt;&gt;"",Completed!$I190,"")</f>
        <v/>
      </c>
      <c r="AC191" s="54" t="str">
        <f>IF(Completed!$J190&lt;&gt;"",Completed!$J190,"")</f>
        <v/>
      </c>
      <c r="AD191" s="65" t="str">
        <f>IF(Completed!$K190&lt;&gt;"",Completed!$K190,"")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IF(Completed!$A191&lt;&gt;"",Completed!$A191,"")</f>
        <v/>
      </c>
      <c r="O192" s="28" t="str">
        <f>IF(Completed!$B191&lt;&gt;"",Completed!$B191,"")</f>
        <v/>
      </c>
      <c r="P192" s="28" t="str">
        <f ca="1">IF($N192&lt;&gt;"", INDIRECT("'Tracker'!"&amp;ADDRESS(MATCH($N192, Tracker[Anime Name], 0) + 2, 3)), "")</f>
        <v/>
      </c>
      <c r="Q192" s="22" t="str">
        <f ca="1">IF($N192&lt;&gt;"", INDIRECT("'Tracker'!"&amp;ADDRESS(MATCH($N192, Tracker[Anime Name], 0) + 2, 4)), "")</f>
        <v/>
      </c>
      <c r="R192" s="22" t="str">
        <f ca="1">IF($N192&lt;&gt;"", INDIRECT("'Tracker'!"&amp;ADDRESS(MATCH($N192, Tracker[Anime Name], 0) + 2, 5)), "")</f>
        <v/>
      </c>
      <c r="S192" s="22" t="str">
        <f ca="1">IF($N192&lt;&gt;"", INDIRECT("'Tracker'!"&amp;ADDRESS(MATCH($N192, Tracker[Anime Name], 0) + 2, 6)), "")</f>
        <v/>
      </c>
      <c r="T192" s="22" t="str">
        <f ca="1">IF($N192&lt;&gt;"", INDIRECT("'Tracker'!"&amp;ADDRESS(MATCH($N192, Tracker[Anime Name], 0) + 2, 7)), "")</f>
        <v/>
      </c>
      <c r="U192" s="28" t="str">
        <f ca="1">IF($N192&lt;&gt;"", INDIRECT("'Tracker'!"&amp;ADDRESS(MATCH($N192, Tracker[Anime Name], 0) + 2, 8)), "")</f>
        <v/>
      </c>
      <c r="V192" s="53" t="str">
        <f>IF(Completed!$C191&lt;&gt;"",Completed!$C191,"")</f>
        <v/>
      </c>
      <c r="W192" s="53" t="str">
        <f>IF(Completed!$D191&lt;&gt;"",Completed!$D191,"")</f>
        <v/>
      </c>
      <c r="X192" s="53" t="str">
        <f>IF(Completed!$E191&lt;&gt;"",Completed!$E191,"")</f>
        <v/>
      </c>
      <c r="Y192" s="53" t="str">
        <f>IF(Completed!$F191&lt;&gt;"",Completed!$F191,"")</f>
        <v/>
      </c>
      <c r="Z192" s="64" t="str">
        <f>IF(Completed!$G191&lt;&gt;"",Completed!$G191,"")</f>
        <v/>
      </c>
      <c r="AA192" s="73" t="str">
        <f>IF(Completed!$H191&lt;&gt;"",Completed!$H191,"")</f>
        <v/>
      </c>
      <c r="AB192" s="54" t="str">
        <f>IF(Completed!$I191&lt;&gt;"",Completed!$I191,"")</f>
        <v/>
      </c>
      <c r="AC192" s="54" t="str">
        <f>IF(Completed!$J191&lt;&gt;"",Completed!$J191,"")</f>
        <v/>
      </c>
      <c r="AD192" s="65" t="str">
        <f>IF(Completed!$K191&lt;&gt;"",Completed!$K191,"")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IF(Completed!$A192&lt;&gt;"",Completed!$A192,"")</f>
        <v/>
      </c>
      <c r="O193" s="28" t="str">
        <f>IF(Completed!$B192&lt;&gt;"",Completed!$B192,"")</f>
        <v/>
      </c>
      <c r="P193" s="28" t="str">
        <f ca="1">IF($N193&lt;&gt;"", INDIRECT("'Tracker'!"&amp;ADDRESS(MATCH($N193, Tracker[Anime Name], 0) + 2, 3)), "")</f>
        <v/>
      </c>
      <c r="Q193" s="22" t="str">
        <f ca="1">IF($N193&lt;&gt;"", INDIRECT("'Tracker'!"&amp;ADDRESS(MATCH($N193, Tracker[Anime Name], 0) + 2, 4)), "")</f>
        <v/>
      </c>
      <c r="R193" s="22" t="str">
        <f ca="1">IF($N193&lt;&gt;"", INDIRECT("'Tracker'!"&amp;ADDRESS(MATCH($N193, Tracker[Anime Name], 0) + 2, 5)), "")</f>
        <v/>
      </c>
      <c r="S193" s="22" t="str">
        <f ca="1">IF($N193&lt;&gt;"", INDIRECT("'Tracker'!"&amp;ADDRESS(MATCH($N193, Tracker[Anime Name], 0) + 2, 6)), "")</f>
        <v/>
      </c>
      <c r="T193" s="22" t="str">
        <f ca="1">IF($N193&lt;&gt;"", INDIRECT("'Tracker'!"&amp;ADDRESS(MATCH($N193, Tracker[Anime Name], 0) + 2, 7)), "")</f>
        <v/>
      </c>
      <c r="U193" s="28" t="str">
        <f ca="1">IF($N193&lt;&gt;"", INDIRECT("'Tracker'!"&amp;ADDRESS(MATCH($N193, Tracker[Anime Name], 0) + 2, 8)), "")</f>
        <v/>
      </c>
      <c r="V193" s="53" t="str">
        <f>IF(Completed!$C192&lt;&gt;"",Completed!$C192,"")</f>
        <v/>
      </c>
      <c r="W193" s="53" t="str">
        <f>IF(Completed!$D192&lt;&gt;"",Completed!$D192,"")</f>
        <v/>
      </c>
      <c r="X193" s="53" t="str">
        <f>IF(Completed!$E192&lt;&gt;"",Completed!$E192,"")</f>
        <v/>
      </c>
      <c r="Y193" s="53" t="str">
        <f>IF(Completed!$F192&lt;&gt;"",Completed!$F192,"")</f>
        <v/>
      </c>
      <c r="Z193" s="64" t="str">
        <f>IF(Completed!$G192&lt;&gt;"",Completed!$G192,"")</f>
        <v/>
      </c>
      <c r="AA193" s="73" t="str">
        <f>IF(Completed!$H192&lt;&gt;"",Completed!$H192,"")</f>
        <v/>
      </c>
      <c r="AB193" s="54" t="str">
        <f>IF(Completed!$I192&lt;&gt;"",Completed!$I192,"")</f>
        <v/>
      </c>
      <c r="AC193" s="54" t="str">
        <f>IF(Completed!$J192&lt;&gt;"",Completed!$J192,"")</f>
        <v/>
      </c>
      <c r="AD193" s="65" t="str">
        <f>IF(Completed!$K192&lt;&gt;"",Completed!$K192,"")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IF(Completed!$A193&lt;&gt;"",Completed!$A193,"")</f>
        <v/>
      </c>
      <c r="O194" s="28" t="str">
        <f>IF(Completed!$B193&lt;&gt;"",Completed!$B193,"")</f>
        <v/>
      </c>
      <c r="P194" s="28" t="str">
        <f ca="1">IF($N194&lt;&gt;"", INDIRECT("'Tracker'!"&amp;ADDRESS(MATCH($N194, Tracker[Anime Name], 0) + 2, 3)), "")</f>
        <v/>
      </c>
      <c r="Q194" s="22" t="str">
        <f ca="1">IF($N194&lt;&gt;"", INDIRECT("'Tracker'!"&amp;ADDRESS(MATCH($N194, Tracker[Anime Name], 0) + 2, 4)), "")</f>
        <v/>
      </c>
      <c r="R194" s="22" t="str">
        <f ca="1">IF($N194&lt;&gt;"", INDIRECT("'Tracker'!"&amp;ADDRESS(MATCH($N194, Tracker[Anime Name], 0) + 2, 5)), "")</f>
        <v/>
      </c>
      <c r="S194" s="22" t="str">
        <f ca="1">IF($N194&lt;&gt;"", INDIRECT("'Tracker'!"&amp;ADDRESS(MATCH($N194, Tracker[Anime Name], 0) + 2, 6)), "")</f>
        <v/>
      </c>
      <c r="T194" s="22" t="str">
        <f ca="1">IF($N194&lt;&gt;"", INDIRECT("'Tracker'!"&amp;ADDRESS(MATCH($N194, Tracker[Anime Name], 0) + 2, 7)), "")</f>
        <v/>
      </c>
      <c r="U194" s="28" t="str">
        <f ca="1">IF($N194&lt;&gt;"", INDIRECT("'Tracker'!"&amp;ADDRESS(MATCH($N194, Tracker[Anime Name], 0) + 2, 8)), "")</f>
        <v/>
      </c>
      <c r="V194" s="53" t="str">
        <f>IF(Completed!$C193&lt;&gt;"",Completed!$C193,"")</f>
        <v/>
      </c>
      <c r="W194" s="53" t="str">
        <f>IF(Completed!$D193&lt;&gt;"",Completed!$D193,"")</f>
        <v/>
      </c>
      <c r="X194" s="53" t="str">
        <f>IF(Completed!$E193&lt;&gt;"",Completed!$E193,"")</f>
        <v/>
      </c>
      <c r="Y194" s="53" t="str">
        <f>IF(Completed!$F193&lt;&gt;"",Completed!$F193,"")</f>
        <v/>
      </c>
      <c r="Z194" s="64" t="str">
        <f>IF(Completed!$G193&lt;&gt;"",Completed!$G193,"")</f>
        <v/>
      </c>
      <c r="AA194" s="73" t="str">
        <f>IF(Completed!$H193&lt;&gt;"",Completed!$H193,"")</f>
        <v/>
      </c>
      <c r="AB194" s="54" t="str">
        <f>IF(Completed!$I193&lt;&gt;"",Completed!$I193,"")</f>
        <v/>
      </c>
      <c r="AC194" s="54" t="str">
        <f>IF(Completed!$J193&lt;&gt;"",Completed!$J193,"")</f>
        <v/>
      </c>
      <c r="AD194" s="65" t="str">
        <f>IF(Completed!$K193&lt;&gt;"",Completed!$K193,"")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IF(Completed!$A194&lt;&gt;"",Completed!$A194,"")</f>
        <v/>
      </c>
      <c r="O195" s="28" t="str">
        <f>IF(Completed!$B194&lt;&gt;"",Completed!$B194,"")</f>
        <v/>
      </c>
      <c r="P195" s="28" t="str">
        <f ca="1">IF($N195&lt;&gt;"", INDIRECT("'Tracker'!"&amp;ADDRESS(MATCH($N195, Tracker[Anime Name], 0) + 2, 3)), "")</f>
        <v/>
      </c>
      <c r="Q195" s="22" t="str">
        <f ca="1">IF($N195&lt;&gt;"", INDIRECT("'Tracker'!"&amp;ADDRESS(MATCH($N195, Tracker[Anime Name], 0) + 2, 4)), "")</f>
        <v/>
      </c>
      <c r="R195" s="22" t="str">
        <f ca="1">IF($N195&lt;&gt;"", INDIRECT("'Tracker'!"&amp;ADDRESS(MATCH($N195, Tracker[Anime Name], 0) + 2, 5)), "")</f>
        <v/>
      </c>
      <c r="S195" s="22" t="str">
        <f ca="1">IF($N195&lt;&gt;"", INDIRECT("'Tracker'!"&amp;ADDRESS(MATCH($N195, Tracker[Anime Name], 0) + 2, 6)), "")</f>
        <v/>
      </c>
      <c r="T195" s="22" t="str">
        <f ca="1">IF($N195&lt;&gt;"", INDIRECT("'Tracker'!"&amp;ADDRESS(MATCH($N195, Tracker[Anime Name], 0) + 2, 7)), "")</f>
        <v/>
      </c>
      <c r="U195" s="28" t="str">
        <f ca="1">IF($N195&lt;&gt;"", INDIRECT("'Tracker'!"&amp;ADDRESS(MATCH($N195, Tracker[Anime Name], 0) + 2, 8)), "")</f>
        <v/>
      </c>
      <c r="V195" s="53" t="str">
        <f>IF(Completed!$C194&lt;&gt;"",Completed!$C194,"")</f>
        <v/>
      </c>
      <c r="W195" s="53" t="str">
        <f>IF(Completed!$D194&lt;&gt;"",Completed!$D194,"")</f>
        <v/>
      </c>
      <c r="X195" s="53" t="str">
        <f>IF(Completed!$E194&lt;&gt;"",Completed!$E194,"")</f>
        <v/>
      </c>
      <c r="Y195" s="53" t="str">
        <f>IF(Completed!$F194&lt;&gt;"",Completed!$F194,"")</f>
        <v/>
      </c>
      <c r="Z195" s="64" t="str">
        <f>IF(Completed!$G194&lt;&gt;"",Completed!$G194,"")</f>
        <v/>
      </c>
      <c r="AA195" s="73" t="str">
        <f>IF(Completed!$H194&lt;&gt;"",Completed!$H194,"")</f>
        <v/>
      </c>
      <c r="AB195" s="54" t="str">
        <f>IF(Completed!$I194&lt;&gt;"",Completed!$I194,"")</f>
        <v/>
      </c>
      <c r="AC195" s="54" t="str">
        <f>IF(Completed!$J194&lt;&gt;"",Completed!$J194,"")</f>
        <v/>
      </c>
      <c r="AD195" s="65" t="str">
        <f>IF(Completed!$K194&lt;&gt;"",Completed!$K194,"")</f>
        <v/>
      </c>
      <c r="AE195" s="65" t="str">
        <f>IF(Completed!$L$196&lt;&gt;"",Completed!$L$196,"")</f>
        <v/>
      </c>
    </row>
  </sheetData>
  <sheetProtection algorithmName="SHA-512" hashValue="x+IFkTTtmOELjFEo61Edd6sZcuBKc2v2DTBgDj3E1AhKYZkRhjYmC3uDPV3fxCNsi6X+ngGYLTGs1GPghZ1SrQ==" saltValue="47xp5lCqeSCBarFbc8bIHw==" spinCount="100000" sheet="1" objects="1" scenarios="1" formatCells="0" formatColumns="0" formatRows="0"/>
  <sortState ref="A4:F23">
    <sortCondition sortBy="cellColor" ref="A4:A23" dxfId="92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91" priority="3">
      <formula>(($E4-$D4)=0)</formula>
    </cfRule>
    <cfRule type="expression" dxfId="90" priority="4">
      <formula>(($E4-$D4)&gt;0)</formula>
    </cfRule>
  </conditionalFormatting>
  <conditionalFormatting sqref="A5:A23">
    <cfRule type="expression" dxfId="89" priority="1">
      <formula>(($E5-$D5)=0)</formula>
    </cfRule>
    <cfRule type="expression" dxfId="88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47"/>
  <sheetViews>
    <sheetView showGridLines="0" tabSelected="1" topLeftCell="A139" workbookViewId="0">
      <selection activeCell="F147" sqref="F147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51" t="s">
        <v>461</v>
      </c>
      <c r="B1" s="252"/>
      <c r="C1" s="252"/>
      <c r="D1" s="252"/>
      <c r="E1" s="252"/>
      <c r="F1" s="252"/>
      <c r="G1" s="252"/>
      <c r="H1" s="253"/>
    </row>
    <row r="2" spans="1:8" ht="16.5">
      <c r="A2" s="9" t="s">
        <v>3</v>
      </c>
      <c r="B2" s="9" t="s">
        <v>155</v>
      </c>
      <c r="C2" s="9" t="s">
        <v>459</v>
      </c>
      <c r="D2" s="9" t="s">
        <v>263</v>
      </c>
      <c r="E2" s="9" t="s">
        <v>460</v>
      </c>
      <c r="F2" s="9" t="s">
        <v>109</v>
      </c>
      <c r="G2" s="9" t="s">
        <v>430</v>
      </c>
      <c r="H2" s="9" t="s">
        <v>513</v>
      </c>
    </row>
    <row r="3" spans="1:8" ht="16.5">
      <c r="A3" s="21" t="s">
        <v>605</v>
      </c>
      <c r="B3" s="28">
        <v>1</v>
      </c>
      <c r="C3" s="28">
        <v>24</v>
      </c>
      <c r="D3" s="22" t="s">
        <v>261</v>
      </c>
      <c r="E3" s="22" t="s">
        <v>478</v>
      </c>
      <c r="F3" s="212" t="s">
        <v>442</v>
      </c>
      <c r="G3" s="33" t="s">
        <v>525</v>
      </c>
      <c r="H3" s="114" t="s">
        <v>285</v>
      </c>
    </row>
    <row r="4" spans="1:8" ht="16.5">
      <c r="A4" s="17" t="s">
        <v>88</v>
      </c>
      <c r="B4" s="6">
        <v>1</v>
      </c>
      <c r="C4" s="6">
        <v>13</v>
      </c>
      <c r="D4" s="18" t="s">
        <v>666</v>
      </c>
      <c r="E4" s="22" t="s">
        <v>478</v>
      </c>
      <c r="F4" s="22" t="s">
        <v>442</v>
      </c>
      <c r="G4" s="33" t="s">
        <v>525</v>
      </c>
      <c r="H4" s="117" t="s">
        <v>299</v>
      </c>
    </row>
    <row r="5" spans="1:8" ht="16.5">
      <c r="A5" s="21" t="s">
        <v>38</v>
      </c>
      <c r="B5" s="28">
        <v>1</v>
      </c>
      <c r="C5" s="28">
        <v>13</v>
      </c>
      <c r="D5" s="22" t="s">
        <v>261</v>
      </c>
      <c r="E5" s="22" t="s">
        <v>478</v>
      </c>
      <c r="F5" s="22" t="s">
        <v>442</v>
      </c>
      <c r="G5" s="33" t="s">
        <v>527</v>
      </c>
      <c r="H5" s="114" t="s">
        <v>300</v>
      </c>
    </row>
    <row r="6" spans="1:8" ht="16.5">
      <c r="A6" s="21" t="s">
        <v>658</v>
      </c>
      <c r="B6" s="28">
        <v>1</v>
      </c>
      <c r="C6" s="28">
        <v>12</v>
      </c>
      <c r="D6" s="22" t="s">
        <v>261</v>
      </c>
      <c r="E6" s="22" t="s">
        <v>478</v>
      </c>
      <c r="F6" s="22" t="s">
        <v>442</v>
      </c>
      <c r="G6" s="33" t="s">
        <v>544</v>
      </c>
      <c r="H6" s="114" t="s">
        <v>311</v>
      </c>
    </row>
    <row r="7" spans="1:8" ht="16.5">
      <c r="A7" s="21" t="s">
        <v>405</v>
      </c>
      <c r="B7" s="6">
        <v>1</v>
      </c>
      <c r="C7" s="28">
        <v>12</v>
      </c>
      <c r="D7" s="18" t="s">
        <v>666</v>
      </c>
      <c r="E7" s="22" t="s">
        <v>478</v>
      </c>
      <c r="F7" s="48" t="s">
        <v>443</v>
      </c>
      <c r="G7" s="33" t="s">
        <v>521</v>
      </c>
      <c r="H7" s="117" t="s">
        <v>303</v>
      </c>
    </row>
    <row r="8" spans="1:8" ht="16.5">
      <c r="A8" s="21" t="s">
        <v>611</v>
      </c>
      <c r="B8" s="28">
        <v>1</v>
      </c>
      <c r="C8" s="28">
        <v>12</v>
      </c>
      <c r="D8" s="22" t="s">
        <v>264</v>
      </c>
      <c r="E8" s="22" t="s">
        <v>478</v>
      </c>
      <c r="F8" s="22" t="s">
        <v>441</v>
      </c>
      <c r="G8" s="33" t="s">
        <v>618</v>
      </c>
      <c r="H8" s="114" t="s">
        <v>652</v>
      </c>
    </row>
    <row r="9" spans="1:8" ht="16.5">
      <c r="A9" s="177" t="s">
        <v>689</v>
      </c>
      <c r="B9" s="178">
        <v>1</v>
      </c>
      <c r="C9" s="178">
        <v>13</v>
      </c>
      <c r="D9" s="170" t="s">
        <v>666</v>
      </c>
      <c r="E9" s="190" t="s">
        <v>478</v>
      </c>
      <c r="F9" s="170" t="s">
        <v>442</v>
      </c>
      <c r="G9" s="191" t="s">
        <v>705</v>
      </c>
      <c r="H9" s="174" t="s">
        <v>778</v>
      </c>
    </row>
    <row r="10" spans="1:8" ht="16.5">
      <c r="A10" s="17" t="s">
        <v>28</v>
      </c>
      <c r="B10" s="6">
        <v>1</v>
      </c>
      <c r="C10" s="6">
        <v>14</v>
      </c>
      <c r="D10" s="18" t="s">
        <v>666</v>
      </c>
      <c r="E10" s="22" t="s">
        <v>478</v>
      </c>
      <c r="F10" s="22" t="s">
        <v>442</v>
      </c>
      <c r="G10" s="33" t="s">
        <v>516</v>
      </c>
      <c r="H10" s="117" t="s">
        <v>300</v>
      </c>
    </row>
    <row r="11" spans="1:8" ht="16.5">
      <c r="A11" s="17" t="s">
        <v>176</v>
      </c>
      <c r="B11" s="6">
        <v>1</v>
      </c>
      <c r="C11" s="6">
        <v>11</v>
      </c>
      <c r="D11" s="18" t="s">
        <v>666</v>
      </c>
      <c r="E11" s="22" t="s">
        <v>479</v>
      </c>
      <c r="F11" s="22" t="s">
        <v>442</v>
      </c>
      <c r="G11" s="33" t="s">
        <v>523</v>
      </c>
      <c r="H11" s="117" t="s">
        <v>300</v>
      </c>
    </row>
    <row r="12" spans="1:8" ht="16.5">
      <c r="A12" s="21" t="s">
        <v>330</v>
      </c>
      <c r="B12" s="28">
        <v>1</v>
      </c>
      <c r="C12" s="28">
        <v>12</v>
      </c>
      <c r="D12" s="22" t="s">
        <v>261</v>
      </c>
      <c r="E12" s="22" t="s">
        <v>478</v>
      </c>
      <c r="F12" s="22" t="s">
        <v>441</v>
      </c>
      <c r="G12" s="33" t="s">
        <v>528</v>
      </c>
      <c r="H12" s="114" t="s">
        <v>311</v>
      </c>
    </row>
    <row r="13" spans="1:8" ht="16.5">
      <c r="A13" s="21" t="s">
        <v>661</v>
      </c>
      <c r="B13" s="28">
        <v>1</v>
      </c>
      <c r="C13" s="28">
        <v>13</v>
      </c>
      <c r="D13" s="22" t="s">
        <v>261</v>
      </c>
      <c r="E13" s="22" t="s">
        <v>672</v>
      </c>
      <c r="F13" s="22" t="s">
        <v>442</v>
      </c>
      <c r="G13" s="33" t="s">
        <v>516</v>
      </c>
      <c r="H13" s="114" t="s">
        <v>308</v>
      </c>
    </row>
    <row r="14" spans="1:8" ht="16.5">
      <c r="A14" s="21" t="s">
        <v>670</v>
      </c>
      <c r="B14" s="28">
        <v>2</v>
      </c>
      <c r="C14" s="28">
        <v>13</v>
      </c>
      <c r="D14" s="22" t="s">
        <v>261</v>
      </c>
      <c r="E14" s="22" t="s">
        <v>478</v>
      </c>
      <c r="F14" s="22" t="s">
        <v>442</v>
      </c>
      <c r="G14" s="33" t="s">
        <v>537</v>
      </c>
      <c r="H14" s="114" t="s">
        <v>671</v>
      </c>
    </row>
    <row r="15" spans="1:8" ht="16.5">
      <c r="A15" s="17" t="s">
        <v>288</v>
      </c>
      <c r="B15" s="6">
        <v>1</v>
      </c>
      <c r="C15" s="6">
        <v>12</v>
      </c>
      <c r="D15" s="18" t="s">
        <v>666</v>
      </c>
      <c r="E15" s="22" t="s">
        <v>478</v>
      </c>
      <c r="F15" s="22" t="s">
        <v>441</v>
      </c>
      <c r="G15" s="33" t="s">
        <v>518</v>
      </c>
      <c r="H15" s="117" t="s">
        <v>303</v>
      </c>
    </row>
    <row r="16" spans="1:8" ht="16.5">
      <c r="A16" s="21" t="s">
        <v>259</v>
      </c>
      <c r="B16" s="28">
        <v>1</v>
      </c>
      <c r="C16" s="28">
        <v>26</v>
      </c>
      <c r="D16" s="22" t="s">
        <v>261</v>
      </c>
      <c r="E16" s="22" t="s">
        <v>482</v>
      </c>
      <c r="F16" s="22" t="s">
        <v>445</v>
      </c>
      <c r="G16" s="33" t="s">
        <v>529</v>
      </c>
      <c r="H16" s="114" t="s">
        <v>333</v>
      </c>
    </row>
    <row r="17" spans="1:8" ht="16.5">
      <c r="A17" s="17" t="s">
        <v>125</v>
      </c>
      <c r="B17" s="6">
        <v>1</v>
      </c>
      <c r="C17" s="6">
        <v>16</v>
      </c>
      <c r="D17" s="18" t="s">
        <v>666</v>
      </c>
      <c r="E17" s="22" t="s">
        <v>478</v>
      </c>
      <c r="F17" s="22" t="s">
        <v>442</v>
      </c>
      <c r="G17" s="33" t="s">
        <v>530</v>
      </c>
      <c r="H17" s="117" t="s">
        <v>509</v>
      </c>
    </row>
    <row r="18" spans="1:8" ht="16.5">
      <c r="A18" s="17" t="s">
        <v>84</v>
      </c>
      <c r="B18" s="6">
        <v>1</v>
      </c>
      <c r="C18" s="6">
        <v>13</v>
      </c>
      <c r="D18" s="18" t="s">
        <v>666</v>
      </c>
      <c r="E18" s="22" t="s">
        <v>479</v>
      </c>
      <c r="F18" s="22" t="s">
        <v>442</v>
      </c>
      <c r="G18" s="33" t="s">
        <v>520</v>
      </c>
      <c r="H18" s="117" t="s">
        <v>308</v>
      </c>
    </row>
    <row r="19" spans="1:8" ht="16.5">
      <c r="A19" s="17" t="s">
        <v>79</v>
      </c>
      <c r="B19" s="6">
        <v>2</v>
      </c>
      <c r="C19" s="6">
        <v>13</v>
      </c>
      <c r="D19" s="18" t="s">
        <v>666</v>
      </c>
      <c r="E19" s="22" t="s">
        <v>478</v>
      </c>
      <c r="F19" s="22" t="s">
        <v>442</v>
      </c>
      <c r="G19" s="33" t="s">
        <v>532</v>
      </c>
      <c r="H19" s="117" t="s">
        <v>458</v>
      </c>
    </row>
    <row r="20" spans="1:8" ht="16.5">
      <c r="A20" s="17" t="s">
        <v>48</v>
      </c>
      <c r="B20" s="6">
        <v>1</v>
      </c>
      <c r="C20" s="6">
        <v>15</v>
      </c>
      <c r="D20" s="18" t="s">
        <v>261</v>
      </c>
      <c r="E20" s="22" t="s">
        <v>478</v>
      </c>
      <c r="F20" s="22" t="s">
        <v>442</v>
      </c>
      <c r="G20" s="33" t="s">
        <v>533</v>
      </c>
      <c r="H20" s="117" t="s">
        <v>492</v>
      </c>
    </row>
    <row r="21" spans="1:8" ht="16.5">
      <c r="A21" s="21" t="s">
        <v>534</v>
      </c>
      <c r="B21" s="28">
        <v>1</v>
      </c>
      <c r="C21" s="28">
        <v>25</v>
      </c>
      <c r="D21" s="22" t="s">
        <v>261</v>
      </c>
      <c r="E21" s="22" t="s">
        <v>478</v>
      </c>
      <c r="F21" s="22" t="s">
        <v>441</v>
      </c>
      <c r="G21" s="33" t="s">
        <v>537</v>
      </c>
      <c r="H21" s="114" t="s">
        <v>363</v>
      </c>
    </row>
    <row r="22" spans="1:8" ht="16.5">
      <c r="A22" s="21" t="s">
        <v>535</v>
      </c>
      <c r="B22" s="28">
        <v>2</v>
      </c>
      <c r="C22" s="28">
        <v>24</v>
      </c>
      <c r="D22" s="32" t="s">
        <v>261</v>
      </c>
      <c r="E22" s="22" t="s">
        <v>478</v>
      </c>
      <c r="F22" s="32" t="s">
        <v>441</v>
      </c>
      <c r="G22" s="35" t="s">
        <v>519</v>
      </c>
      <c r="H22" s="115" t="s">
        <v>364</v>
      </c>
    </row>
    <row r="23" spans="1:8" ht="16.5">
      <c r="A23" s="21" t="s">
        <v>536</v>
      </c>
      <c r="B23" s="28">
        <v>3</v>
      </c>
      <c r="C23" s="28">
        <v>25</v>
      </c>
      <c r="D23" s="22" t="s">
        <v>261</v>
      </c>
      <c r="E23" s="22" t="s">
        <v>478</v>
      </c>
      <c r="F23" s="22" t="s">
        <v>441</v>
      </c>
      <c r="G23" s="33" t="s">
        <v>517</v>
      </c>
      <c r="H23" s="114" t="s">
        <v>364</v>
      </c>
    </row>
    <row r="24" spans="1:8" ht="16.5">
      <c r="A24" s="17" t="s">
        <v>313</v>
      </c>
      <c r="B24" s="6">
        <v>1</v>
      </c>
      <c r="C24" s="6">
        <v>8</v>
      </c>
      <c r="D24" s="18" t="s">
        <v>666</v>
      </c>
      <c r="E24" s="22" t="s">
        <v>478</v>
      </c>
      <c r="F24" s="22" t="s">
        <v>442</v>
      </c>
      <c r="G24" s="33" t="s">
        <v>528</v>
      </c>
      <c r="H24" s="117" t="s">
        <v>302</v>
      </c>
    </row>
    <row r="25" spans="1:8" ht="16.5">
      <c r="A25" s="21" t="s">
        <v>406</v>
      </c>
      <c r="B25" s="6">
        <v>1</v>
      </c>
      <c r="C25" s="28">
        <v>13</v>
      </c>
      <c r="D25" s="18" t="s">
        <v>666</v>
      </c>
      <c r="E25" s="22" t="s">
        <v>478</v>
      </c>
      <c r="F25" s="48" t="s">
        <v>441</v>
      </c>
      <c r="G25" s="33" t="s">
        <v>521</v>
      </c>
      <c r="H25" s="111" t="s">
        <v>315</v>
      </c>
    </row>
    <row r="26" spans="1:8" ht="16.5">
      <c r="A26" s="17" t="s">
        <v>72</v>
      </c>
      <c r="B26" s="6">
        <v>1</v>
      </c>
      <c r="C26" s="6">
        <v>13</v>
      </c>
      <c r="D26" s="18" t="s">
        <v>666</v>
      </c>
      <c r="E26" s="22" t="s">
        <v>478</v>
      </c>
      <c r="F26" s="22" t="s">
        <v>442</v>
      </c>
      <c r="G26" s="33" t="s">
        <v>519</v>
      </c>
      <c r="H26" s="117" t="s">
        <v>493</v>
      </c>
    </row>
    <row r="27" spans="1:8" ht="16.5">
      <c r="A27" s="17" t="s">
        <v>226</v>
      </c>
      <c r="B27" s="6">
        <v>2</v>
      </c>
      <c r="C27" s="6">
        <v>12</v>
      </c>
      <c r="D27" s="18" t="s">
        <v>666</v>
      </c>
      <c r="E27" s="22" t="s">
        <v>478</v>
      </c>
      <c r="F27" s="22" t="s">
        <v>441</v>
      </c>
      <c r="G27" s="33" t="s">
        <v>522</v>
      </c>
      <c r="H27" s="117" t="s">
        <v>310</v>
      </c>
    </row>
    <row r="28" spans="1:8" ht="16.5">
      <c r="A28" s="21" t="s">
        <v>407</v>
      </c>
      <c r="B28" s="6">
        <v>1</v>
      </c>
      <c r="C28" s="28">
        <v>25</v>
      </c>
      <c r="D28" s="18" t="s">
        <v>666</v>
      </c>
      <c r="E28" s="22" t="s">
        <v>478</v>
      </c>
      <c r="F28" s="48" t="s">
        <v>441</v>
      </c>
      <c r="G28" s="33" t="s">
        <v>521</v>
      </c>
      <c r="H28" s="111" t="s">
        <v>421</v>
      </c>
    </row>
    <row r="29" spans="1:8" ht="16.5">
      <c r="A29" s="21" t="s">
        <v>382</v>
      </c>
      <c r="B29" s="28">
        <v>1</v>
      </c>
      <c r="C29" s="28">
        <v>70</v>
      </c>
      <c r="D29" s="32" t="s">
        <v>123</v>
      </c>
      <c r="E29" s="32" t="s">
        <v>123</v>
      </c>
      <c r="F29" s="32" t="s">
        <v>123</v>
      </c>
      <c r="G29" s="35" t="s">
        <v>514</v>
      </c>
      <c r="H29" s="115" t="s">
        <v>123</v>
      </c>
    </row>
    <row r="30" spans="1:8" ht="16.5">
      <c r="A30" s="21" t="s">
        <v>757</v>
      </c>
      <c r="B30" s="28">
        <v>1</v>
      </c>
      <c r="C30" s="28">
        <v>13</v>
      </c>
      <c r="D30" s="22" t="s">
        <v>666</v>
      </c>
      <c r="E30" s="22" t="s">
        <v>478</v>
      </c>
      <c r="F30" s="22" t="s">
        <v>441</v>
      </c>
      <c r="G30" s="33" t="s">
        <v>749</v>
      </c>
      <c r="H30" s="114" t="s">
        <v>771</v>
      </c>
    </row>
    <row r="31" spans="1:8" ht="16.5">
      <c r="A31" s="17" t="s">
        <v>116</v>
      </c>
      <c r="B31" s="6">
        <v>1</v>
      </c>
      <c r="C31" s="6">
        <v>25</v>
      </c>
      <c r="D31" s="18" t="s">
        <v>666</v>
      </c>
      <c r="E31" s="22" t="s">
        <v>478</v>
      </c>
      <c r="F31" s="22" t="s">
        <v>441</v>
      </c>
      <c r="G31" s="33" t="s">
        <v>519</v>
      </c>
      <c r="H31" s="117" t="s">
        <v>303</v>
      </c>
    </row>
    <row r="32" spans="1:8" ht="16.5">
      <c r="A32" s="17" t="s">
        <v>181</v>
      </c>
      <c r="B32" s="6">
        <v>2</v>
      </c>
      <c r="C32" s="6">
        <v>25</v>
      </c>
      <c r="D32" s="18" t="s">
        <v>666</v>
      </c>
      <c r="E32" s="22" t="s">
        <v>478</v>
      </c>
      <c r="F32" s="22" t="s">
        <v>441</v>
      </c>
      <c r="G32" s="33" t="s">
        <v>522</v>
      </c>
      <c r="H32" s="117" t="s">
        <v>303</v>
      </c>
    </row>
    <row r="33" spans="1:8" ht="16.5">
      <c r="A33" s="17" t="s">
        <v>68</v>
      </c>
      <c r="B33" s="6">
        <v>1</v>
      </c>
      <c r="C33" s="6">
        <v>12</v>
      </c>
      <c r="D33" s="18" t="s">
        <v>666</v>
      </c>
      <c r="E33" s="22" t="s">
        <v>478</v>
      </c>
      <c r="F33" s="22" t="s">
        <v>441</v>
      </c>
      <c r="G33" s="33" t="s">
        <v>517</v>
      </c>
      <c r="H33" s="117" t="s">
        <v>490</v>
      </c>
    </row>
    <row r="34" spans="1:8" ht="16.5">
      <c r="A34" s="17" t="s">
        <v>353</v>
      </c>
      <c r="B34" s="6">
        <v>2</v>
      </c>
      <c r="C34" s="6">
        <v>12</v>
      </c>
      <c r="D34" s="18" t="s">
        <v>666</v>
      </c>
      <c r="E34" s="22" t="s">
        <v>478</v>
      </c>
      <c r="F34" s="22" t="s">
        <v>441</v>
      </c>
      <c r="G34" s="33" t="s">
        <v>538</v>
      </c>
      <c r="H34" s="117" t="s">
        <v>489</v>
      </c>
    </row>
    <row r="35" spans="1:8" ht="16.5">
      <c r="A35" s="17" t="s">
        <v>107</v>
      </c>
      <c r="B35" s="6">
        <v>1</v>
      </c>
      <c r="C35" s="6">
        <v>22</v>
      </c>
      <c r="D35" s="18" t="s">
        <v>666</v>
      </c>
      <c r="E35" s="22" t="s">
        <v>478</v>
      </c>
      <c r="F35" s="22" t="s">
        <v>442</v>
      </c>
      <c r="G35" s="33" t="s">
        <v>540</v>
      </c>
      <c r="H35" s="117" t="s">
        <v>511</v>
      </c>
    </row>
    <row r="36" spans="1:8" ht="16.5">
      <c r="A36" s="17" t="s">
        <v>563</v>
      </c>
      <c r="B36" s="6">
        <v>2</v>
      </c>
      <c r="C36" s="6">
        <v>22</v>
      </c>
      <c r="D36" s="18" t="s">
        <v>666</v>
      </c>
      <c r="E36" s="22" t="s">
        <v>478</v>
      </c>
      <c r="F36" s="22" t="s">
        <v>442</v>
      </c>
      <c r="G36" s="33" t="s">
        <v>539</v>
      </c>
      <c r="H36" s="117" t="s">
        <v>300</v>
      </c>
    </row>
    <row r="37" spans="1:8" ht="16.5">
      <c r="A37" s="21" t="s">
        <v>234</v>
      </c>
      <c r="B37" s="28">
        <v>1</v>
      </c>
      <c r="C37" s="28">
        <v>25</v>
      </c>
      <c r="D37" s="22" t="s">
        <v>261</v>
      </c>
      <c r="E37" s="22"/>
      <c r="F37" s="22" t="s">
        <v>442</v>
      </c>
      <c r="G37" s="33" t="s">
        <v>541</v>
      </c>
      <c r="H37" s="114" t="s">
        <v>494</v>
      </c>
    </row>
    <row r="38" spans="1:8" ht="16.5">
      <c r="A38" s="21" t="s">
        <v>235</v>
      </c>
      <c r="B38" s="28">
        <v>2</v>
      </c>
      <c r="C38" s="28">
        <v>25</v>
      </c>
      <c r="D38" s="22" t="s">
        <v>261</v>
      </c>
      <c r="E38" s="22"/>
      <c r="F38" s="22" t="s">
        <v>442</v>
      </c>
      <c r="G38" s="33" t="s">
        <v>542</v>
      </c>
      <c r="H38" s="115" t="s">
        <v>494</v>
      </c>
    </row>
    <row r="39" spans="1:8" ht="16.5">
      <c r="A39" s="17" t="s">
        <v>277</v>
      </c>
      <c r="B39" s="6">
        <v>1</v>
      </c>
      <c r="C39" s="6">
        <v>13</v>
      </c>
      <c r="D39" s="18" t="s">
        <v>666</v>
      </c>
      <c r="E39" s="22" t="s">
        <v>478</v>
      </c>
      <c r="F39" s="22" t="s">
        <v>443</v>
      </c>
      <c r="G39" s="33" t="s">
        <v>518</v>
      </c>
      <c r="H39" s="117" t="s">
        <v>303</v>
      </c>
    </row>
    <row r="40" spans="1:8" ht="16.5">
      <c r="A40" s="17" t="s">
        <v>19</v>
      </c>
      <c r="B40" s="6">
        <v>1</v>
      </c>
      <c r="C40" s="6">
        <v>12</v>
      </c>
      <c r="D40" s="18" t="s">
        <v>666</v>
      </c>
      <c r="E40" s="22" t="s">
        <v>478</v>
      </c>
      <c r="F40" s="22" t="s">
        <v>441</v>
      </c>
      <c r="G40" s="33" t="s">
        <v>544</v>
      </c>
      <c r="H40" s="117" t="s">
        <v>304</v>
      </c>
    </row>
    <row r="41" spans="1:8" ht="16.5">
      <c r="A41" s="21" t="s">
        <v>272</v>
      </c>
      <c r="B41" s="28">
        <v>1</v>
      </c>
      <c r="C41" s="28">
        <v>12</v>
      </c>
      <c r="D41" s="32" t="s">
        <v>261</v>
      </c>
      <c r="E41" s="22" t="s">
        <v>478</v>
      </c>
      <c r="F41" s="32" t="s">
        <v>441</v>
      </c>
      <c r="G41" s="35" t="s">
        <v>543</v>
      </c>
      <c r="H41" s="114" t="s">
        <v>284</v>
      </c>
    </row>
    <row r="42" spans="1:8" ht="16.5">
      <c r="A42" s="17" t="s">
        <v>118</v>
      </c>
      <c r="B42" s="6">
        <v>1</v>
      </c>
      <c r="C42" s="6">
        <v>13</v>
      </c>
      <c r="D42" s="18" t="s">
        <v>666</v>
      </c>
      <c r="E42" s="22" t="s">
        <v>478</v>
      </c>
      <c r="F42" s="22" t="s">
        <v>441</v>
      </c>
      <c r="G42" s="33" t="s">
        <v>544</v>
      </c>
      <c r="H42" s="117" t="s">
        <v>305</v>
      </c>
    </row>
    <row r="43" spans="1:8" ht="16.5">
      <c r="A43" s="17" t="s">
        <v>166</v>
      </c>
      <c r="B43" s="6">
        <v>1</v>
      </c>
      <c r="C43" s="6">
        <v>12</v>
      </c>
      <c r="D43" s="18" t="s">
        <v>666</v>
      </c>
      <c r="E43" s="22" t="s">
        <v>478</v>
      </c>
      <c r="F43" s="22" t="s">
        <v>442</v>
      </c>
      <c r="G43" s="33" t="s">
        <v>528</v>
      </c>
      <c r="H43" s="117" t="s">
        <v>306</v>
      </c>
    </row>
    <row r="44" spans="1:8" ht="16.5">
      <c r="A44" s="21" t="s">
        <v>236</v>
      </c>
      <c r="B44" s="28">
        <v>1</v>
      </c>
      <c r="C44" s="28">
        <v>26</v>
      </c>
      <c r="D44" s="22" t="s">
        <v>261</v>
      </c>
      <c r="E44" s="22" t="s">
        <v>478</v>
      </c>
      <c r="F44" s="22" t="s">
        <v>442</v>
      </c>
      <c r="G44" s="33" t="s">
        <v>531</v>
      </c>
      <c r="H44" s="114" t="s">
        <v>495</v>
      </c>
    </row>
    <row r="45" spans="1:8" ht="16.5">
      <c r="A45" s="21" t="s">
        <v>177</v>
      </c>
      <c r="B45" s="28">
        <v>1</v>
      </c>
      <c r="C45" s="28">
        <v>12</v>
      </c>
      <c r="D45" s="22" t="s">
        <v>261</v>
      </c>
      <c r="E45" s="22" t="s">
        <v>478</v>
      </c>
      <c r="F45" s="22" t="s">
        <v>441</v>
      </c>
      <c r="G45" s="33" t="s">
        <v>544</v>
      </c>
      <c r="H45" s="114" t="s">
        <v>285</v>
      </c>
    </row>
    <row r="46" spans="1:8" ht="16.5">
      <c r="A46" s="21" t="s">
        <v>729</v>
      </c>
      <c r="B46" s="28">
        <v>1</v>
      </c>
      <c r="C46" s="28">
        <v>12</v>
      </c>
      <c r="D46" s="22" t="s">
        <v>666</v>
      </c>
      <c r="E46" s="22" t="s">
        <v>478</v>
      </c>
      <c r="F46" s="22" t="s">
        <v>441</v>
      </c>
      <c r="G46" s="33" t="s">
        <v>727</v>
      </c>
      <c r="H46" s="114" t="s">
        <v>285</v>
      </c>
    </row>
    <row r="47" spans="1:8" ht="16.5">
      <c r="A47" s="21" t="s">
        <v>252</v>
      </c>
      <c r="B47" s="28">
        <v>1</v>
      </c>
      <c r="C47" s="28">
        <v>24</v>
      </c>
      <c r="D47" s="22" t="s">
        <v>261</v>
      </c>
      <c r="E47" s="22" t="s">
        <v>478</v>
      </c>
      <c r="F47" s="22" t="s">
        <v>442</v>
      </c>
      <c r="G47" s="33" t="s">
        <v>531</v>
      </c>
      <c r="H47" s="114" t="s">
        <v>496</v>
      </c>
    </row>
    <row r="48" spans="1:8" ht="16.5">
      <c r="A48" s="21" t="s">
        <v>41</v>
      </c>
      <c r="B48" s="28">
        <v>1</v>
      </c>
      <c r="C48" s="28">
        <v>12</v>
      </c>
      <c r="D48" s="22" t="s">
        <v>261</v>
      </c>
      <c r="E48" s="22" t="s">
        <v>478</v>
      </c>
      <c r="F48" s="22" t="s">
        <v>442</v>
      </c>
      <c r="G48" s="33" t="s">
        <v>523</v>
      </c>
      <c r="H48" s="114" t="s">
        <v>493</v>
      </c>
    </row>
    <row r="49" spans="1:8" ht="16.5">
      <c r="A49" s="17" t="s">
        <v>356</v>
      </c>
      <c r="B49" s="6">
        <v>1</v>
      </c>
      <c r="C49" s="6">
        <v>12</v>
      </c>
      <c r="D49" s="18" t="s">
        <v>666</v>
      </c>
      <c r="E49" s="22" t="s">
        <v>478</v>
      </c>
      <c r="F49" s="22" t="s">
        <v>442</v>
      </c>
      <c r="G49" s="33" t="s">
        <v>538</v>
      </c>
      <c r="H49" s="117" t="s">
        <v>812</v>
      </c>
    </row>
    <row r="50" spans="1:8" ht="16.5">
      <c r="A50" s="21" t="s">
        <v>739</v>
      </c>
      <c r="B50" s="28">
        <v>1</v>
      </c>
      <c r="C50" s="28">
        <v>6</v>
      </c>
      <c r="D50" s="22" t="s">
        <v>666</v>
      </c>
      <c r="E50" s="22" t="s">
        <v>478</v>
      </c>
      <c r="F50" s="22" t="s">
        <v>441</v>
      </c>
      <c r="G50" s="33" t="s">
        <v>737</v>
      </c>
      <c r="H50" s="114" t="s">
        <v>285</v>
      </c>
    </row>
    <row r="51" spans="1:8" ht="16.5">
      <c r="A51" s="17" t="s">
        <v>126</v>
      </c>
      <c r="B51" s="6">
        <v>1</v>
      </c>
      <c r="C51" s="6">
        <v>25</v>
      </c>
      <c r="D51" s="18" t="s">
        <v>666</v>
      </c>
      <c r="E51" s="22" t="s">
        <v>478</v>
      </c>
      <c r="F51" s="22" t="s">
        <v>442</v>
      </c>
      <c r="G51" s="33" t="s">
        <v>520</v>
      </c>
      <c r="H51" s="117" t="s">
        <v>494</v>
      </c>
    </row>
    <row r="52" spans="1:8" ht="16.5">
      <c r="A52" s="21" t="s">
        <v>726</v>
      </c>
      <c r="B52" s="28">
        <v>2</v>
      </c>
      <c r="C52" s="28">
        <v>12</v>
      </c>
      <c r="D52" s="22" t="s">
        <v>666</v>
      </c>
      <c r="E52" s="22" t="s">
        <v>478</v>
      </c>
      <c r="F52" s="22" t="s">
        <v>441</v>
      </c>
      <c r="G52" s="33" t="s">
        <v>727</v>
      </c>
      <c r="H52" s="114" t="s">
        <v>378</v>
      </c>
    </row>
    <row r="53" spans="1:8" ht="16.5">
      <c r="A53" s="17" t="s">
        <v>250</v>
      </c>
      <c r="B53" s="6">
        <v>1</v>
      </c>
      <c r="C53" s="6">
        <v>24</v>
      </c>
      <c r="D53" s="18" t="s">
        <v>261</v>
      </c>
      <c r="E53" s="22" t="s">
        <v>478</v>
      </c>
      <c r="F53" s="22" t="s">
        <v>442</v>
      </c>
      <c r="G53" s="33" t="s">
        <v>545</v>
      </c>
      <c r="H53" s="117" t="s">
        <v>497</v>
      </c>
    </row>
    <row r="54" spans="1:8" ht="16.5">
      <c r="A54" s="21" t="s">
        <v>251</v>
      </c>
      <c r="B54" s="28">
        <v>2</v>
      </c>
      <c r="C54" s="28">
        <v>25</v>
      </c>
      <c r="D54" s="22" t="s">
        <v>261</v>
      </c>
      <c r="E54" s="22" t="s">
        <v>478</v>
      </c>
      <c r="F54" s="22" t="s">
        <v>442</v>
      </c>
      <c r="G54" s="33" t="s">
        <v>519</v>
      </c>
      <c r="H54" s="114" t="s">
        <v>284</v>
      </c>
    </row>
    <row r="55" spans="1:8" ht="16.5">
      <c r="A55" s="21" t="s">
        <v>258</v>
      </c>
      <c r="B55" s="28">
        <v>1</v>
      </c>
      <c r="C55" s="28">
        <v>7</v>
      </c>
      <c r="D55" s="22" t="s">
        <v>261</v>
      </c>
      <c r="E55" s="22" t="s">
        <v>478</v>
      </c>
      <c r="F55" s="22" t="s">
        <v>442</v>
      </c>
      <c r="G55" s="33" t="s">
        <v>546</v>
      </c>
      <c r="H55" s="114" t="s">
        <v>308</v>
      </c>
    </row>
    <row r="56" spans="1:8" ht="16.5">
      <c r="A56" s="17" t="s">
        <v>170</v>
      </c>
      <c r="B56" s="6">
        <v>1</v>
      </c>
      <c r="C56" s="6">
        <v>12</v>
      </c>
      <c r="D56" s="18" t="s">
        <v>261</v>
      </c>
      <c r="E56" s="22" t="s">
        <v>479</v>
      </c>
      <c r="F56" s="22" t="s">
        <v>442</v>
      </c>
      <c r="G56" s="33" t="s">
        <v>543</v>
      </c>
      <c r="H56" s="117" t="s">
        <v>311</v>
      </c>
    </row>
    <row r="57" spans="1:8" ht="16.5">
      <c r="A57" s="21" t="s">
        <v>610</v>
      </c>
      <c r="B57" s="28">
        <v>2</v>
      </c>
      <c r="C57" s="28">
        <v>13</v>
      </c>
      <c r="D57" s="22" t="s">
        <v>261</v>
      </c>
      <c r="E57" s="22" t="s">
        <v>478</v>
      </c>
      <c r="F57" s="22" t="s">
        <v>441</v>
      </c>
      <c r="G57" s="33" t="s">
        <v>618</v>
      </c>
      <c r="H57" s="114" t="s">
        <v>421</v>
      </c>
    </row>
    <row r="58" spans="1:8" ht="16.5">
      <c r="A58" s="21" t="s">
        <v>446</v>
      </c>
      <c r="B58" s="28">
        <v>2</v>
      </c>
      <c r="C58" s="28">
        <v>64</v>
      </c>
      <c r="D58" s="22" t="s">
        <v>261</v>
      </c>
      <c r="E58" s="22" t="s">
        <v>478</v>
      </c>
      <c r="F58" s="22" t="s">
        <v>441</v>
      </c>
      <c r="G58" s="33" t="s">
        <v>547</v>
      </c>
      <c r="H58" s="114" t="s">
        <v>320</v>
      </c>
    </row>
    <row r="59" spans="1:8" ht="16.5">
      <c r="A59" s="21" t="s">
        <v>807</v>
      </c>
      <c r="B59" s="28">
        <v>1</v>
      </c>
      <c r="C59" s="28">
        <v>12</v>
      </c>
      <c r="D59" s="22" t="s">
        <v>264</v>
      </c>
      <c r="E59" s="22" t="s">
        <v>478</v>
      </c>
      <c r="F59" s="22" t="s">
        <v>441</v>
      </c>
      <c r="G59" s="33" t="s">
        <v>768</v>
      </c>
      <c r="H59" s="114" t="s">
        <v>285</v>
      </c>
    </row>
    <row r="60" spans="1:8" ht="16.5">
      <c r="A60" s="17" t="s">
        <v>249</v>
      </c>
      <c r="B60" s="6">
        <v>1</v>
      </c>
      <c r="C60" s="6">
        <v>12</v>
      </c>
      <c r="D60" s="18" t="s">
        <v>261</v>
      </c>
      <c r="E60" s="22" t="s">
        <v>478</v>
      </c>
      <c r="F60" s="22" t="s">
        <v>441</v>
      </c>
      <c r="G60" s="33" t="s">
        <v>543</v>
      </c>
      <c r="H60" s="117" t="s">
        <v>303</v>
      </c>
    </row>
    <row r="61" spans="1:8" ht="16.5">
      <c r="A61" s="21" t="s">
        <v>662</v>
      </c>
      <c r="B61" s="28">
        <v>1</v>
      </c>
      <c r="C61" s="28">
        <v>12</v>
      </c>
      <c r="D61" s="22" t="s">
        <v>666</v>
      </c>
      <c r="E61" s="22" t="s">
        <v>478</v>
      </c>
      <c r="F61" s="22" t="s">
        <v>441</v>
      </c>
      <c r="G61" s="33" t="s">
        <v>618</v>
      </c>
      <c r="H61" s="114" t="s">
        <v>303</v>
      </c>
    </row>
    <row r="62" spans="1:8" ht="16.5">
      <c r="A62" s="21" t="s">
        <v>44</v>
      </c>
      <c r="B62" s="28">
        <v>1</v>
      </c>
      <c r="C62" s="28">
        <v>12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4" t="s">
        <v>456</v>
      </c>
    </row>
    <row r="63" spans="1:8" ht="16.5">
      <c r="A63" s="21" t="s">
        <v>80</v>
      </c>
      <c r="B63" s="28">
        <v>1</v>
      </c>
      <c r="C63" s="28">
        <v>12</v>
      </c>
      <c r="D63" s="32" t="s">
        <v>261</v>
      </c>
      <c r="E63" s="22" t="s">
        <v>478</v>
      </c>
      <c r="F63" s="32" t="s">
        <v>442</v>
      </c>
      <c r="G63" s="35" t="s">
        <v>522</v>
      </c>
      <c r="H63" s="114" t="s">
        <v>300</v>
      </c>
    </row>
    <row r="64" spans="1:8" ht="16.5">
      <c r="A64" s="21" t="s">
        <v>408</v>
      </c>
      <c r="B64" s="6">
        <v>1</v>
      </c>
      <c r="C64" s="28">
        <v>12</v>
      </c>
      <c r="D64" s="18" t="s">
        <v>666</v>
      </c>
      <c r="E64" s="22" t="s">
        <v>478</v>
      </c>
      <c r="F64" s="48" t="s">
        <v>441</v>
      </c>
      <c r="G64" s="33" t="s">
        <v>521</v>
      </c>
      <c r="H64" s="111" t="s">
        <v>488</v>
      </c>
    </row>
    <row r="65" spans="1:8" ht="16.5">
      <c r="A65" s="21" t="s">
        <v>770</v>
      </c>
      <c r="B65" s="28">
        <v>2</v>
      </c>
      <c r="C65" s="28">
        <v>12</v>
      </c>
      <c r="D65" s="22" t="s">
        <v>666</v>
      </c>
      <c r="E65" s="22" t="s">
        <v>478</v>
      </c>
      <c r="F65" s="22" t="s">
        <v>441</v>
      </c>
      <c r="G65" s="33" t="s">
        <v>768</v>
      </c>
      <c r="H65" s="114" t="s">
        <v>488</v>
      </c>
    </row>
    <row r="66" spans="1:8" ht="16.5">
      <c r="A66" s="17" t="s">
        <v>276</v>
      </c>
      <c r="B66" s="6">
        <v>1</v>
      </c>
      <c r="C66" s="6">
        <v>24</v>
      </c>
      <c r="D66" s="18" t="s">
        <v>666</v>
      </c>
      <c r="E66" s="22" t="s">
        <v>478</v>
      </c>
      <c r="F66" s="22" t="s">
        <v>441</v>
      </c>
      <c r="G66" s="33" t="s">
        <v>518</v>
      </c>
      <c r="H66" s="117" t="s">
        <v>285</v>
      </c>
    </row>
    <row r="67" spans="1:8" ht="16.5">
      <c r="A67" s="21" t="s">
        <v>784</v>
      </c>
      <c r="B67" s="28">
        <v>1</v>
      </c>
      <c r="C67" s="28">
        <v>22</v>
      </c>
      <c r="D67" s="22" t="s">
        <v>261</v>
      </c>
      <c r="E67" s="22" t="s">
        <v>479</v>
      </c>
      <c r="F67" s="22" t="s">
        <v>442</v>
      </c>
      <c r="G67" s="33" t="s">
        <v>519</v>
      </c>
      <c r="H67" s="114" t="s">
        <v>300</v>
      </c>
    </row>
    <row r="68" spans="1:8" ht="16.5">
      <c r="A68" s="17" t="s">
        <v>77</v>
      </c>
      <c r="B68" s="6">
        <v>1</v>
      </c>
      <c r="C68" s="6">
        <v>13</v>
      </c>
      <c r="D68" s="18" t="s">
        <v>666</v>
      </c>
      <c r="E68" s="22" t="s">
        <v>478</v>
      </c>
      <c r="F68" s="22" t="s">
        <v>441</v>
      </c>
      <c r="G68" s="33" t="s">
        <v>525</v>
      </c>
      <c r="H68" s="117" t="s">
        <v>307</v>
      </c>
    </row>
    <row r="69" spans="1:8" ht="16.5">
      <c r="A69" s="17" t="s">
        <v>12</v>
      </c>
      <c r="B69" s="6">
        <v>2</v>
      </c>
      <c r="C69" s="6">
        <v>12</v>
      </c>
      <c r="D69" s="18" t="s">
        <v>666</v>
      </c>
      <c r="E69" s="22" t="s">
        <v>478</v>
      </c>
      <c r="F69" s="22" t="s">
        <v>442</v>
      </c>
      <c r="G69" s="33" t="s">
        <v>544</v>
      </c>
      <c r="H69" s="117" t="s">
        <v>302</v>
      </c>
    </row>
    <row r="70" spans="1:8" ht="16.5">
      <c r="A70" s="21" t="s">
        <v>743</v>
      </c>
      <c r="B70" s="28">
        <v>1</v>
      </c>
      <c r="C70" s="28">
        <v>12</v>
      </c>
      <c r="D70" s="22" t="s">
        <v>123</v>
      </c>
      <c r="E70" s="22" t="s">
        <v>123</v>
      </c>
      <c r="F70" s="22" t="s">
        <v>123</v>
      </c>
      <c r="G70" s="33" t="s">
        <v>618</v>
      </c>
      <c r="H70" s="114" t="s">
        <v>123</v>
      </c>
    </row>
    <row r="71" spans="1:8" ht="16.5">
      <c r="A71" s="17" t="s">
        <v>22</v>
      </c>
      <c r="B71" s="6">
        <v>1</v>
      </c>
      <c r="C71" s="6">
        <v>13</v>
      </c>
      <c r="D71" s="18" t="s">
        <v>666</v>
      </c>
      <c r="E71" s="22" t="s">
        <v>478</v>
      </c>
      <c r="F71" s="22" t="s">
        <v>442</v>
      </c>
      <c r="G71" s="33" t="s">
        <v>544</v>
      </c>
      <c r="H71" s="117" t="s">
        <v>285</v>
      </c>
    </row>
    <row r="72" spans="1:8" ht="16.5">
      <c r="A72" s="21" t="s">
        <v>736</v>
      </c>
      <c r="B72" s="28">
        <v>2</v>
      </c>
      <c r="C72" s="28">
        <v>12</v>
      </c>
      <c r="D72" s="22" t="s">
        <v>666</v>
      </c>
      <c r="E72" s="22" t="s">
        <v>478</v>
      </c>
      <c r="F72" s="22" t="s">
        <v>441</v>
      </c>
      <c r="G72" s="33" t="s">
        <v>737</v>
      </c>
      <c r="H72" s="114" t="s">
        <v>303</v>
      </c>
    </row>
    <row r="73" spans="1:8" ht="16.5">
      <c r="A73" s="17" t="s">
        <v>131</v>
      </c>
      <c r="B73" s="6">
        <v>1</v>
      </c>
      <c r="C73" s="6">
        <v>13</v>
      </c>
      <c r="D73" s="18" t="s">
        <v>666</v>
      </c>
      <c r="E73" s="22" t="s">
        <v>479</v>
      </c>
      <c r="F73" s="22" t="s">
        <v>442</v>
      </c>
      <c r="G73" s="33" t="s">
        <v>544</v>
      </c>
      <c r="H73" s="117" t="s">
        <v>300</v>
      </c>
    </row>
    <row r="74" spans="1:8" ht="16.5">
      <c r="A74" s="21" t="s">
        <v>229</v>
      </c>
      <c r="B74" s="28">
        <v>1</v>
      </c>
      <c r="C74" s="28">
        <v>52</v>
      </c>
      <c r="D74" s="22" t="s">
        <v>261</v>
      </c>
      <c r="E74" s="22" t="s">
        <v>480</v>
      </c>
      <c r="F74" s="22" t="s">
        <v>445</v>
      </c>
      <c r="G74" s="33" t="s">
        <v>548</v>
      </c>
      <c r="H74" s="114" t="s">
        <v>318</v>
      </c>
    </row>
    <row r="75" spans="1:8" ht="16.5">
      <c r="A75" s="21" t="s">
        <v>47</v>
      </c>
      <c r="B75" s="28">
        <v>1</v>
      </c>
      <c r="C75" s="28">
        <v>12</v>
      </c>
      <c r="D75" s="22" t="s">
        <v>261</v>
      </c>
      <c r="E75" s="22" t="s">
        <v>478</v>
      </c>
      <c r="F75" s="22" t="s">
        <v>442</v>
      </c>
      <c r="G75" s="33" t="s">
        <v>549</v>
      </c>
      <c r="H75" s="114" t="s">
        <v>321</v>
      </c>
    </row>
    <row r="76" spans="1:8" ht="16.5">
      <c r="A76" s="21" t="s">
        <v>476</v>
      </c>
      <c r="B76" s="28">
        <v>2</v>
      </c>
      <c r="C76" s="28">
        <v>12</v>
      </c>
      <c r="D76" s="32" t="s">
        <v>123</v>
      </c>
      <c r="E76" s="22" t="s">
        <v>123</v>
      </c>
      <c r="F76" s="22" t="s">
        <v>123</v>
      </c>
      <c r="G76" s="33" t="s">
        <v>520</v>
      </c>
      <c r="H76" s="114" t="s">
        <v>123</v>
      </c>
    </row>
    <row r="77" spans="1:8" ht="16.5">
      <c r="A77" s="21" t="s">
        <v>428</v>
      </c>
      <c r="B77" s="28">
        <v>3</v>
      </c>
      <c r="C77" s="28">
        <v>13</v>
      </c>
      <c r="D77" s="32" t="s">
        <v>123</v>
      </c>
      <c r="E77" s="22" t="s">
        <v>123</v>
      </c>
      <c r="F77" s="22" t="s">
        <v>123</v>
      </c>
      <c r="G77" s="33" t="s">
        <v>515</v>
      </c>
      <c r="H77" s="114" t="s">
        <v>123</v>
      </c>
    </row>
    <row r="78" spans="1:8" ht="16.5">
      <c r="A78" s="21" t="s">
        <v>429</v>
      </c>
      <c r="B78" s="28">
        <v>4</v>
      </c>
      <c r="C78" s="28">
        <v>12</v>
      </c>
      <c r="D78" s="32" t="s">
        <v>123</v>
      </c>
      <c r="E78" s="22" t="s">
        <v>123</v>
      </c>
      <c r="F78" s="22" t="s">
        <v>123</v>
      </c>
      <c r="G78" s="33" t="s">
        <v>517</v>
      </c>
      <c r="H78" s="114" t="s">
        <v>123</v>
      </c>
    </row>
    <row r="79" spans="1:8" ht="16.5">
      <c r="A79" s="21" t="s">
        <v>230</v>
      </c>
      <c r="B79" s="28">
        <v>1</v>
      </c>
      <c r="C79" s="28">
        <v>12</v>
      </c>
      <c r="D79" s="22" t="s">
        <v>261</v>
      </c>
      <c r="E79" s="22" t="s">
        <v>478</v>
      </c>
      <c r="F79" s="22" t="s">
        <v>441</v>
      </c>
      <c r="G79" s="33" t="s">
        <v>523</v>
      </c>
      <c r="H79" s="114" t="s">
        <v>284</v>
      </c>
    </row>
    <row r="80" spans="1:8" ht="16.5">
      <c r="A80" s="21" t="s">
        <v>622</v>
      </c>
      <c r="B80" s="28">
        <v>1</v>
      </c>
      <c r="C80" s="28">
        <v>13</v>
      </c>
      <c r="D80" s="22" t="s">
        <v>666</v>
      </c>
      <c r="E80" s="22" t="s">
        <v>478</v>
      </c>
      <c r="F80" s="22" t="s">
        <v>441</v>
      </c>
      <c r="G80" s="33" t="s">
        <v>618</v>
      </c>
      <c r="H80" s="114" t="s">
        <v>300</v>
      </c>
    </row>
    <row r="81" spans="1:8" ht="16.5">
      <c r="A81" s="21" t="s">
        <v>748</v>
      </c>
      <c r="B81" s="28">
        <v>1</v>
      </c>
      <c r="C81" s="28">
        <v>12</v>
      </c>
      <c r="D81" s="22" t="s">
        <v>264</v>
      </c>
      <c r="E81" s="22" t="s">
        <v>478</v>
      </c>
      <c r="F81" s="22" t="s">
        <v>441</v>
      </c>
      <c r="G81" s="33" t="s">
        <v>749</v>
      </c>
      <c r="H81" s="114" t="s">
        <v>303</v>
      </c>
    </row>
    <row r="82" spans="1:8" ht="16.5">
      <c r="A82" s="21" t="s">
        <v>409</v>
      </c>
      <c r="B82" s="6">
        <v>1</v>
      </c>
      <c r="C82" s="28">
        <v>12</v>
      </c>
      <c r="D82" s="18" t="s">
        <v>264</v>
      </c>
      <c r="E82" s="22" t="s">
        <v>478</v>
      </c>
      <c r="F82" s="48" t="s">
        <v>441</v>
      </c>
      <c r="G82" s="33" t="s">
        <v>521</v>
      </c>
      <c r="H82" s="111" t="s">
        <v>305</v>
      </c>
    </row>
    <row r="83" spans="1:8" ht="16.5">
      <c r="A83" s="21" t="s">
        <v>18</v>
      </c>
      <c r="B83" s="28">
        <v>1</v>
      </c>
      <c r="C83" s="28">
        <v>24</v>
      </c>
      <c r="D83" s="32" t="s">
        <v>261</v>
      </c>
      <c r="E83" s="22" t="s">
        <v>485</v>
      </c>
      <c r="F83" s="22" t="s">
        <v>445</v>
      </c>
      <c r="G83" s="33" t="s">
        <v>551</v>
      </c>
      <c r="H83" s="115" t="s">
        <v>323</v>
      </c>
    </row>
    <row r="84" spans="1:8" ht="16.5">
      <c r="A84" s="21" t="s">
        <v>237</v>
      </c>
      <c r="B84" s="28">
        <v>2</v>
      </c>
      <c r="C84" s="28">
        <v>12</v>
      </c>
      <c r="D84" s="32" t="s">
        <v>261</v>
      </c>
      <c r="E84" s="22" t="s">
        <v>478</v>
      </c>
      <c r="F84" s="22" t="s">
        <v>445</v>
      </c>
      <c r="G84" s="33" t="s">
        <v>550</v>
      </c>
      <c r="H84" s="115" t="s">
        <v>451</v>
      </c>
    </row>
    <row r="85" spans="1:8" ht="16.5">
      <c r="A85" s="17" t="s">
        <v>154</v>
      </c>
      <c r="B85" s="6">
        <v>1</v>
      </c>
      <c r="C85" s="6">
        <v>22</v>
      </c>
      <c r="D85" s="18" t="s">
        <v>666</v>
      </c>
      <c r="E85" s="22" t="s">
        <v>478</v>
      </c>
      <c r="F85" s="22" t="s">
        <v>442</v>
      </c>
      <c r="G85" s="33" t="s">
        <v>525</v>
      </c>
      <c r="H85" s="117" t="s">
        <v>493</v>
      </c>
    </row>
    <row r="86" spans="1:8" ht="16.5">
      <c r="A86" s="17" t="s">
        <v>358</v>
      </c>
      <c r="B86" s="6">
        <v>1</v>
      </c>
      <c r="C86" s="6">
        <v>10</v>
      </c>
      <c r="D86" s="18" t="s">
        <v>666</v>
      </c>
      <c r="E86" s="22" t="s">
        <v>478</v>
      </c>
      <c r="F86" s="22" t="s">
        <v>441</v>
      </c>
      <c r="G86" s="33" t="s">
        <v>538</v>
      </c>
      <c r="H86" s="117" t="s">
        <v>378</v>
      </c>
    </row>
    <row r="87" spans="1:8" ht="16.5">
      <c r="A87" s="17" t="s">
        <v>42</v>
      </c>
      <c r="B87" s="6">
        <v>1</v>
      </c>
      <c r="C87" s="6">
        <v>13</v>
      </c>
      <c r="D87" s="18" t="s">
        <v>264</v>
      </c>
      <c r="E87" s="22" t="s">
        <v>478</v>
      </c>
      <c r="F87" s="22" t="s">
        <v>443</v>
      </c>
      <c r="G87" s="33" t="s">
        <v>522</v>
      </c>
      <c r="H87" s="117" t="s">
        <v>311</v>
      </c>
    </row>
    <row r="88" spans="1:8" ht="16.5">
      <c r="A88" s="177" t="s">
        <v>706</v>
      </c>
      <c r="B88" s="178">
        <v>1</v>
      </c>
      <c r="C88" s="178">
        <v>12</v>
      </c>
      <c r="D88" s="190" t="s">
        <v>264</v>
      </c>
      <c r="E88" s="190" t="s">
        <v>478</v>
      </c>
      <c r="F88" s="190" t="s">
        <v>441</v>
      </c>
      <c r="G88" s="191" t="s">
        <v>705</v>
      </c>
      <c r="H88" s="192" t="s">
        <v>303</v>
      </c>
    </row>
    <row r="89" spans="1:8" ht="16.5">
      <c r="A89" s="17" t="s">
        <v>138</v>
      </c>
      <c r="B89" s="6">
        <v>1</v>
      </c>
      <c r="C89" s="6">
        <v>12</v>
      </c>
      <c r="D89" s="18" t="s">
        <v>666</v>
      </c>
      <c r="E89" s="22" t="s">
        <v>478</v>
      </c>
      <c r="F89" s="22" t="s">
        <v>441</v>
      </c>
      <c r="G89" s="33" t="s">
        <v>543</v>
      </c>
      <c r="H89" s="117" t="s">
        <v>303</v>
      </c>
    </row>
    <row r="90" spans="1:8" ht="16.5">
      <c r="A90" s="21" t="s">
        <v>410</v>
      </c>
      <c r="B90" s="6">
        <v>1</v>
      </c>
      <c r="C90" s="28">
        <v>12</v>
      </c>
      <c r="D90" s="18" t="s">
        <v>666</v>
      </c>
      <c r="E90" s="22" t="s">
        <v>478</v>
      </c>
      <c r="F90" s="48" t="s">
        <v>441</v>
      </c>
      <c r="G90" s="33" t="s">
        <v>521</v>
      </c>
      <c r="H90" s="111" t="s">
        <v>378</v>
      </c>
    </row>
    <row r="91" spans="1:8" ht="16.5">
      <c r="A91" s="21" t="s">
        <v>256</v>
      </c>
      <c r="B91" s="28">
        <v>1</v>
      </c>
      <c r="C91" s="28">
        <v>16</v>
      </c>
      <c r="D91" s="32" t="s">
        <v>261</v>
      </c>
      <c r="E91" s="22" t="s">
        <v>478</v>
      </c>
      <c r="F91" s="32" t="s">
        <v>442</v>
      </c>
      <c r="G91" s="35" t="s">
        <v>526</v>
      </c>
      <c r="H91" s="114" t="s">
        <v>300</v>
      </c>
    </row>
    <row r="92" spans="1:8" ht="16.5">
      <c r="A92" s="21" t="s">
        <v>651</v>
      </c>
      <c r="B92" s="28">
        <v>1</v>
      </c>
      <c r="C92" s="28">
        <v>13</v>
      </c>
      <c r="D92" s="22" t="s">
        <v>666</v>
      </c>
      <c r="E92" s="22" t="s">
        <v>478</v>
      </c>
      <c r="F92" s="22" t="s">
        <v>441</v>
      </c>
      <c r="G92" s="33" t="s">
        <v>618</v>
      </c>
      <c r="H92" s="114" t="s">
        <v>285</v>
      </c>
    </row>
    <row r="93" spans="1:8" ht="16.5">
      <c r="A93" s="21" t="s">
        <v>659</v>
      </c>
      <c r="B93" s="28">
        <v>1</v>
      </c>
      <c r="C93" s="28">
        <v>13</v>
      </c>
      <c r="D93" s="22" t="s">
        <v>261</v>
      </c>
      <c r="E93" s="22" t="s">
        <v>478</v>
      </c>
      <c r="F93" s="22" t="s">
        <v>442</v>
      </c>
      <c r="G93" s="33" t="s">
        <v>526</v>
      </c>
      <c r="H93" s="114" t="s">
        <v>318</v>
      </c>
    </row>
    <row r="94" spans="1:8" ht="16.5">
      <c r="A94" s="17" t="s">
        <v>50</v>
      </c>
      <c r="B94" s="6">
        <v>1</v>
      </c>
      <c r="C94" s="6">
        <v>13</v>
      </c>
      <c r="D94" s="18" t="s">
        <v>666</v>
      </c>
      <c r="E94" s="22" t="s">
        <v>479</v>
      </c>
      <c r="F94" s="22" t="s">
        <v>442</v>
      </c>
      <c r="G94" s="33" t="s">
        <v>517</v>
      </c>
      <c r="H94" s="117" t="s">
        <v>300</v>
      </c>
    </row>
    <row r="95" spans="1:8" ht="16.5">
      <c r="A95" s="21" t="s">
        <v>20</v>
      </c>
      <c r="B95" s="28">
        <v>1</v>
      </c>
      <c r="C95" s="28">
        <v>12</v>
      </c>
      <c r="D95" s="22" t="s">
        <v>261</v>
      </c>
      <c r="E95" s="22" t="s">
        <v>478</v>
      </c>
      <c r="F95" s="22" t="s">
        <v>441</v>
      </c>
      <c r="G95" s="33" t="s">
        <v>542</v>
      </c>
      <c r="H95" s="114" t="s">
        <v>772</v>
      </c>
    </row>
    <row r="96" spans="1:8" ht="16.5">
      <c r="A96" s="21" t="s">
        <v>127</v>
      </c>
      <c r="B96" s="28">
        <v>1</v>
      </c>
      <c r="C96" s="28">
        <v>27</v>
      </c>
      <c r="D96" s="22" t="s">
        <v>261</v>
      </c>
      <c r="E96" s="22" t="s">
        <v>478</v>
      </c>
      <c r="F96" s="22" t="s">
        <v>441</v>
      </c>
      <c r="G96" s="33" t="s">
        <v>516</v>
      </c>
      <c r="H96" s="114" t="s">
        <v>285</v>
      </c>
    </row>
    <row r="97" spans="1:8" ht="16.5">
      <c r="A97" s="17" t="s">
        <v>169</v>
      </c>
      <c r="B97" s="6">
        <v>1</v>
      </c>
      <c r="C97" s="6">
        <v>12</v>
      </c>
      <c r="D97" s="18" t="s">
        <v>666</v>
      </c>
      <c r="E97" s="22" t="s">
        <v>478</v>
      </c>
      <c r="F97" s="22" t="s">
        <v>443</v>
      </c>
      <c r="G97" s="33" t="s">
        <v>543</v>
      </c>
      <c r="H97" s="117" t="s">
        <v>303</v>
      </c>
    </row>
    <row r="98" spans="1:8" ht="16.5">
      <c r="A98" s="21" t="s">
        <v>411</v>
      </c>
      <c r="B98" s="6">
        <v>1</v>
      </c>
      <c r="C98" s="28">
        <v>13</v>
      </c>
      <c r="D98" s="18" t="s">
        <v>666</v>
      </c>
      <c r="E98" s="22" t="s">
        <v>478</v>
      </c>
      <c r="F98" s="19" t="s">
        <v>441</v>
      </c>
      <c r="G98" s="33" t="s">
        <v>521</v>
      </c>
      <c r="H98" s="111" t="s">
        <v>315</v>
      </c>
    </row>
    <row r="99" spans="1:8" ht="16.5">
      <c r="A99" s="21" t="s">
        <v>52</v>
      </c>
      <c r="B99" s="28">
        <v>1</v>
      </c>
      <c r="C99" s="28">
        <v>24</v>
      </c>
      <c r="D99" s="22" t="s">
        <v>261</v>
      </c>
      <c r="E99" s="22" t="s">
        <v>478</v>
      </c>
      <c r="F99" s="22" t="s">
        <v>442</v>
      </c>
      <c r="G99" s="33" t="s">
        <v>541</v>
      </c>
      <c r="H99" s="114" t="s">
        <v>497</v>
      </c>
    </row>
    <row r="100" spans="1:8" ht="16.5">
      <c r="A100" s="21" t="s">
        <v>728</v>
      </c>
      <c r="B100" s="28">
        <v>1</v>
      </c>
      <c r="C100" s="28">
        <v>12</v>
      </c>
      <c r="D100" s="22" t="s">
        <v>666</v>
      </c>
      <c r="E100" s="22" t="s">
        <v>478</v>
      </c>
      <c r="F100" s="22" t="s">
        <v>441</v>
      </c>
      <c r="G100" s="33" t="s">
        <v>727</v>
      </c>
      <c r="H100" s="114" t="s">
        <v>303</v>
      </c>
    </row>
    <row r="101" spans="1:8" ht="16.5">
      <c r="A101" s="21" t="s">
        <v>254</v>
      </c>
      <c r="B101" s="28">
        <v>1</v>
      </c>
      <c r="C101" s="28">
        <v>12</v>
      </c>
      <c r="D101" s="22" t="s">
        <v>261</v>
      </c>
      <c r="E101" s="22" t="s">
        <v>478</v>
      </c>
      <c r="F101" s="22" t="s">
        <v>442</v>
      </c>
      <c r="G101" s="33" t="s">
        <v>520</v>
      </c>
      <c r="H101" s="114" t="s">
        <v>493</v>
      </c>
    </row>
    <row r="102" spans="1:8" ht="16.5">
      <c r="A102" s="17" t="s">
        <v>278</v>
      </c>
      <c r="B102" s="6">
        <v>1</v>
      </c>
      <c r="C102" s="6">
        <v>24</v>
      </c>
      <c r="D102" s="18" t="s">
        <v>666</v>
      </c>
      <c r="E102" s="22" t="s">
        <v>478</v>
      </c>
      <c r="F102" s="22" t="s">
        <v>441</v>
      </c>
      <c r="G102" s="33" t="s">
        <v>518</v>
      </c>
      <c r="H102" s="117" t="s">
        <v>303</v>
      </c>
    </row>
    <row r="103" spans="1:8" ht="16.5">
      <c r="A103" s="164" t="s">
        <v>668</v>
      </c>
      <c r="B103" s="165">
        <v>1</v>
      </c>
      <c r="C103" s="165">
        <v>13</v>
      </c>
      <c r="D103" s="170" t="s">
        <v>261</v>
      </c>
      <c r="E103" s="170" t="s">
        <v>478</v>
      </c>
      <c r="F103" s="170" t="s">
        <v>441</v>
      </c>
      <c r="G103" s="33" t="s">
        <v>528</v>
      </c>
      <c r="H103" s="174" t="s">
        <v>669</v>
      </c>
    </row>
    <row r="104" spans="1:8" ht="16.5">
      <c r="A104" s="17" t="s">
        <v>167</v>
      </c>
      <c r="B104" s="6">
        <v>1</v>
      </c>
      <c r="C104" s="6">
        <v>12</v>
      </c>
      <c r="D104" s="18" t="s">
        <v>666</v>
      </c>
      <c r="E104" s="22" t="s">
        <v>479</v>
      </c>
      <c r="F104" s="22" t="s">
        <v>442</v>
      </c>
      <c r="G104" s="33" t="s">
        <v>543</v>
      </c>
      <c r="H104" s="117" t="s">
        <v>300</v>
      </c>
    </row>
    <row r="105" spans="1:8" ht="16.5">
      <c r="A105" s="21" t="s">
        <v>656</v>
      </c>
      <c r="B105" s="28">
        <v>1</v>
      </c>
      <c r="C105" s="28">
        <v>12</v>
      </c>
      <c r="D105" s="22" t="s">
        <v>261</v>
      </c>
      <c r="E105" s="22" t="s">
        <v>482</v>
      </c>
      <c r="F105" s="22" t="s">
        <v>445</v>
      </c>
      <c r="G105" s="33" t="s">
        <v>540</v>
      </c>
      <c r="H105" s="114" t="s">
        <v>657</v>
      </c>
    </row>
    <row r="106" spans="1:8" ht="16.5">
      <c r="A106" s="177" t="s">
        <v>707</v>
      </c>
      <c r="B106" s="178">
        <v>1</v>
      </c>
      <c r="C106" s="178">
        <v>2</v>
      </c>
      <c r="D106" s="190" t="s">
        <v>264</v>
      </c>
      <c r="E106" s="190" t="s">
        <v>478</v>
      </c>
      <c r="F106" s="190" t="s">
        <v>441</v>
      </c>
      <c r="G106" s="191" t="s">
        <v>555</v>
      </c>
      <c r="H106" s="192" t="s">
        <v>487</v>
      </c>
    </row>
    <row r="107" spans="1:8" ht="16.5">
      <c r="A107" s="17" t="s">
        <v>40</v>
      </c>
      <c r="B107" s="6">
        <v>1</v>
      </c>
      <c r="C107" s="6">
        <v>17</v>
      </c>
      <c r="D107" s="18" t="s">
        <v>666</v>
      </c>
      <c r="E107" s="22" t="s">
        <v>478</v>
      </c>
      <c r="F107" s="22" t="s">
        <v>442</v>
      </c>
      <c r="G107" s="33" t="s">
        <v>526</v>
      </c>
      <c r="H107" s="117" t="s">
        <v>487</v>
      </c>
    </row>
    <row r="108" spans="1:8" ht="16.5">
      <c r="A108" s="17" t="s">
        <v>111</v>
      </c>
      <c r="B108" s="6">
        <v>1</v>
      </c>
      <c r="C108" s="6">
        <v>13</v>
      </c>
      <c r="D108" s="18" t="s">
        <v>666</v>
      </c>
      <c r="E108" s="22" t="s">
        <v>478</v>
      </c>
      <c r="F108" s="22" t="s">
        <v>442</v>
      </c>
      <c r="G108" s="33" t="s">
        <v>547</v>
      </c>
      <c r="H108" s="117" t="s">
        <v>312</v>
      </c>
    </row>
    <row r="109" spans="1:8" ht="16.5">
      <c r="A109" s="17" t="s">
        <v>149</v>
      </c>
      <c r="B109" s="6">
        <v>2</v>
      </c>
      <c r="C109" s="6">
        <v>24</v>
      </c>
      <c r="D109" s="18" t="s">
        <v>666</v>
      </c>
      <c r="E109" s="22" t="s">
        <v>478</v>
      </c>
      <c r="F109" s="22" t="s">
        <v>442</v>
      </c>
      <c r="G109" s="33" t="s">
        <v>516</v>
      </c>
      <c r="H109" s="117" t="s">
        <v>308</v>
      </c>
    </row>
    <row r="110" spans="1:8" ht="16.5">
      <c r="A110" s="17" t="s">
        <v>113</v>
      </c>
      <c r="B110" s="6">
        <v>1</v>
      </c>
      <c r="C110" s="6">
        <v>12</v>
      </c>
      <c r="D110" s="18" t="s">
        <v>666</v>
      </c>
      <c r="E110" s="22" t="s">
        <v>478</v>
      </c>
      <c r="F110" s="22" t="s">
        <v>441</v>
      </c>
      <c r="G110" s="33" t="s">
        <v>522</v>
      </c>
      <c r="H110" s="117" t="s">
        <v>303</v>
      </c>
    </row>
    <row r="111" spans="1:8" ht="16.5">
      <c r="A111" s="21" t="s">
        <v>730</v>
      </c>
      <c r="B111" s="28">
        <v>1</v>
      </c>
      <c r="C111" s="28">
        <v>12</v>
      </c>
      <c r="D111" s="22" t="s">
        <v>666</v>
      </c>
      <c r="E111" s="22" t="s">
        <v>478</v>
      </c>
      <c r="F111" s="22" t="s">
        <v>441</v>
      </c>
      <c r="G111" s="33" t="s">
        <v>727</v>
      </c>
      <c r="H111" s="114" t="s">
        <v>303</v>
      </c>
    </row>
    <row r="112" spans="1:8" ht="16.5">
      <c r="A112" s="17" t="s">
        <v>275</v>
      </c>
      <c r="B112" s="6">
        <v>1</v>
      </c>
      <c r="C112" s="6">
        <v>12</v>
      </c>
      <c r="D112" s="18" t="s">
        <v>666</v>
      </c>
      <c r="E112" s="22" t="s">
        <v>478</v>
      </c>
      <c r="F112" s="22" t="s">
        <v>441</v>
      </c>
      <c r="G112" s="33" t="s">
        <v>518</v>
      </c>
      <c r="H112" s="117" t="s">
        <v>284</v>
      </c>
    </row>
    <row r="113" spans="1:8" ht="16.5">
      <c r="A113" s="21" t="s">
        <v>342</v>
      </c>
      <c r="B113" s="28">
        <v>1</v>
      </c>
      <c r="C113" s="28">
        <v>13</v>
      </c>
      <c r="D113" s="32" t="s">
        <v>261</v>
      </c>
      <c r="E113" s="13" t="s">
        <v>478</v>
      </c>
      <c r="F113" s="13" t="s">
        <v>441</v>
      </c>
      <c r="G113" s="50" t="s">
        <v>518</v>
      </c>
      <c r="H113" s="114" t="s">
        <v>674</v>
      </c>
    </row>
    <row r="114" spans="1:8" ht="16.5">
      <c r="A114" s="17" t="s">
        <v>279</v>
      </c>
      <c r="B114" s="6">
        <v>1</v>
      </c>
      <c r="C114" s="6">
        <v>25</v>
      </c>
      <c r="D114" s="18" t="s">
        <v>264</v>
      </c>
      <c r="E114" s="22" t="s">
        <v>478</v>
      </c>
      <c r="F114" s="22" t="s">
        <v>441</v>
      </c>
      <c r="G114" s="33" t="s">
        <v>518</v>
      </c>
      <c r="H114" s="117" t="s">
        <v>303</v>
      </c>
    </row>
    <row r="115" spans="1:8" ht="16.5">
      <c r="A115" s="17" t="s">
        <v>171</v>
      </c>
      <c r="B115" s="6">
        <v>1</v>
      </c>
      <c r="C115" s="6">
        <v>13</v>
      </c>
      <c r="D115" s="18" t="s">
        <v>666</v>
      </c>
      <c r="E115" s="22" t="s">
        <v>478</v>
      </c>
      <c r="F115" s="22" t="s">
        <v>441</v>
      </c>
      <c r="G115" s="33" t="s">
        <v>543</v>
      </c>
      <c r="H115" s="117" t="s">
        <v>285</v>
      </c>
    </row>
    <row r="116" spans="1:8" ht="16.5">
      <c r="A116" s="21" t="s">
        <v>447</v>
      </c>
      <c r="B116" s="28">
        <v>1</v>
      </c>
      <c r="C116" s="28">
        <v>13</v>
      </c>
      <c r="D116" s="32" t="s">
        <v>261</v>
      </c>
      <c r="E116" s="22" t="s">
        <v>478</v>
      </c>
      <c r="F116" s="32" t="s">
        <v>442</v>
      </c>
      <c r="G116" s="35" t="s">
        <v>522</v>
      </c>
      <c r="H116" s="114" t="s">
        <v>285</v>
      </c>
    </row>
    <row r="117" spans="1:8" ht="16.5">
      <c r="A117" s="17" t="s">
        <v>148</v>
      </c>
      <c r="B117" s="6">
        <v>1</v>
      </c>
      <c r="C117" s="6">
        <v>24</v>
      </c>
      <c r="D117" s="18" t="s">
        <v>666</v>
      </c>
      <c r="E117" s="22" t="s">
        <v>478</v>
      </c>
      <c r="F117" s="22" t="s">
        <v>442</v>
      </c>
      <c r="G117" s="33" t="s">
        <v>531</v>
      </c>
      <c r="H117" s="117" t="s">
        <v>300</v>
      </c>
    </row>
    <row r="118" spans="1:8" ht="16.5">
      <c r="A118" s="21" t="s">
        <v>660</v>
      </c>
      <c r="B118" s="28">
        <v>1</v>
      </c>
      <c r="C118" s="28">
        <v>25</v>
      </c>
      <c r="D118" s="22" t="s">
        <v>261</v>
      </c>
      <c r="E118" s="22" t="s">
        <v>478</v>
      </c>
      <c r="F118" s="22" t="s">
        <v>441</v>
      </c>
      <c r="G118" s="33" t="s">
        <v>517</v>
      </c>
      <c r="H118" s="114" t="s">
        <v>318</v>
      </c>
    </row>
    <row r="119" spans="1:8" ht="16.5">
      <c r="A119" s="17" t="s">
        <v>355</v>
      </c>
      <c r="B119" s="6">
        <v>1</v>
      </c>
      <c r="C119" s="6">
        <v>12</v>
      </c>
      <c r="D119" s="18" t="s">
        <v>666</v>
      </c>
      <c r="E119" s="22" t="s">
        <v>478</v>
      </c>
      <c r="F119" s="22" t="s">
        <v>441</v>
      </c>
      <c r="G119" s="33" t="s">
        <v>522</v>
      </c>
      <c r="H119" s="117" t="s">
        <v>285</v>
      </c>
    </row>
    <row r="120" spans="1:8" ht="16.5">
      <c r="A120" s="21" t="s">
        <v>412</v>
      </c>
      <c r="B120" s="6">
        <v>1</v>
      </c>
      <c r="C120" s="28">
        <v>26</v>
      </c>
      <c r="D120" s="19" t="s">
        <v>261</v>
      </c>
      <c r="E120" s="32" t="s">
        <v>478</v>
      </c>
      <c r="F120" s="19" t="s">
        <v>441</v>
      </c>
      <c r="G120" s="33" t="s">
        <v>521</v>
      </c>
      <c r="H120" s="264" t="s">
        <v>300</v>
      </c>
    </row>
    <row r="121" spans="1:8" ht="16.5">
      <c r="A121" s="21" t="s">
        <v>420</v>
      </c>
      <c r="B121" s="6">
        <v>1</v>
      </c>
      <c r="C121" s="28">
        <v>12</v>
      </c>
      <c r="D121" s="18" t="s">
        <v>666</v>
      </c>
      <c r="E121" s="22" t="s">
        <v>478</v>
      </c>
      <c r="F121" s="48" t="s">
        <v>441</v>
      </c>
      <c r="G121" s="33" t="s">
        <v>521</v>
      </c>
      <c r="H121" s="111" t="s">
        <v>300</v>
      </c>
    </row>
    <row r="122" spans="1:8" ht="16.5">
      <c r="A122" s="17" t="s">
        <v>45</v>
      </c>
      <c r="B122" s="6">
        <v>1</v>
      </c>
      <c r="C122" s="6">
        <v>12</v>
      </c>
      <c r="D122" s="18" t="s">
        <v>666</v>
      </c>
      <c r="E122" s="22" t="s">
        <v>478</v>
      </c>
      <c r="F122" s="22" t="s">
        <v>442</v>
      </c>
      <c r="G122" s="33" t="s">
        <v>522</v>
      </c>
      <c r="H122" s="117" t="s">
        <v>306</v>
      </c>
    </row>
    <row r="123" spans="1:8" ht="16.5">
      <c r="A123" s="21" t="s">
        <v>422</v>
      </c>
      <c r="B123" s="6">
        <v>1</v>
      </c>
      <c r="C123" s="28">
        <v>12</v>
      </c>
      <c r="D123" s="18" t="s">
        <v>666</v>
      </c>
      <c r="E123" s="22" t="s">
        <v>478</v>
      </c>
      <c r="F123" s="48" t="s">
        <v>441</v>
      </c>
      <c r="G123" s="33" t="s">
        <v>521</v>
      </c>
      <c r="H123" s="117" t="s">
        <v>303</v>
      </c>
    </row>
    <row r="124" spans="1:8" ht="16.5">
      <c r="A124" s="21" t="s">
        <v>780</v>
      </c>
      <c r="B124" s="28">
        <v>1</v>
      </c>
      <c r="C124" s="28">
        <v>12</v>
      </c>
      <c r="D124" s="22" t="s">
        <v>666</v>
      </c>
      <c r="E124" s="22" t="s">
        <v>478</v>
      </c>
      <c r="F124" s="22" t="s">
        <v>441</v>
      </c>
      <c r="G124" s="33" t="s">
        <v>538</v>
      </c>
      <c r="H124" s="114" t="s">
        <v>315</v>
      </c>
    </row>
    <row r="125" spans="1:8" ht="16.5">
      <c r="A125" s="17" t="s">
        <v>232</v>
      </c>
      <c r="B125" s="6">
        <v>1</v>
      </c>
      <c r="C125" s="6">
        <v>26</v>
      </c>
      <c r="D125" s="18" t="s">
        <v>666</v>
      </c>
      <c r="E125" s="22" t="s">
        <v>478</v>
      </c>
      <c r="F125" s="22" t="s">
        <v>442</v>
      </c>
      <c r="G125" s="33" t="s">
        <v>519</v>
      </c>
      <c r="H125" s="117" t="s">
        <v>302</v>
      </c>
    </row>
    <row r="126" spans="1:8" ht="16.5">
      <c r="A126" s="17" t="s">
        <v>283</v>
      </c>
      <c r="B126" s="6">
        <v>1</v>
      </c>
      <c r="C126" s="6">
        <v>13</v>
      </c>
      <c r="D126" s="18" t="s">
        <v>666</v>
      </c>
      <c r="E126" s="22" t="s">
        <v>478</v>
      </c>
      <c r="F126" s="22" t="s">
        <v>443</v>
      </c>
      <c r="G126" s="33" t="s">
        <v>518</v>
      </c>
      <c r="H126" s="117" t="s">
        <v>303</v>
      </c>
    </row>
    <row r="127" spans="1:8" ht="16.5">
      <c r="A127" s="21" t="s">
        <v>750</v>
      </c>
      <c r="B127" s="28">
        <v>2</v>
      </c>
      <c r="C127" s="28">
        <v>13</v>
      </c>
      <c r="D127" s="22" t="s">
        <v>264</v>
      </c>
      <c r="E127" s="22" t="s">
        <v>478</v>
      </c>
      <c r="F127" s="22" t="s">
        <v>441</v>
      </c>
      <c r="G127" s="33" t="s">
        <v>749</v>
      </c>
      <c r="H127" s="114" t="s">
        <v>303</v>
      </c>
    </row>
    <row r="128" spans="1:8" ht="16.5">
      <c r="A128" s="21" t="s">
        <v>773</v>
      </c>
      <c r="B128" s="28">
        <v>3</v>
      </c>
      <c r="C128" s="28">
        <v>13</v>
      </c>
      <c r="D128" s="22" t="s">
        <v>264</v>
      </c>
      <c r="E128" s="22" t="s">
        <v>478</v>
      </c>
      <c r="F128" s="22" t="s">
        <v>443</v>
      </c>
      <c r="G128" s="33" t="s">
        <v>768</v>
      </c>
      <c r="H128" s="114" t="s">
        <v>303</v>
      </c>
    </row>
    <row r="129" spans="1:8" ht="16.5">
      <c r="A129" s="17" t="s">
        <v>175</v>
      </c>
      <c r="B129" s="6">
        <v>1</v>
      </c>
      <c r="C129" s="6">
        <v>10</v>
      </c>
      <c r="D129" s="22" t="s">
        <v>264</v>
      </c>
      <c r="E129" s="22" t="s">
        <v>479</v>
      </c>
      <c r="F129" s="22" t="s">
        <v>441</v>
      </c>
      <c r="G129" s="33" t="s">
        <v>544</v>
      </c>
      <c r="H129" s="117" t="s">
        <v>710</v>
      </c>
    </row>
    <row r="130" spans="1:8" ht="16.5">
      <c r="A130" s="21" t="s">
        <v>688</v>
      </c>
      <c r="B130" s="28">
        <v>1</v>
      </c>
      <c r="C130" s="28">
        <v>10</v>
      </c>
      <c r="D130" s="22" t="s">
        <v>123</v>
      </c>
      <c r="E130" s="22" t="s">
        <v>123</v>
      </c>
      <c r="F130" s="22" t="s">
        <v>123</v>
      </c>
      <c r="G130" s="33" t="s">
        <v>522</v>
      </c>
      <c r="H130" s="114" t="s">
        <v>123</v>
      </c>
    </row>
    <row r="131" spans="1:8" ht="16.5">
      <c r="A131" s="17" t="s">
        <v>367</v>
      </c>
      <c r="B131" s="6">
        <v>2</v>
      </c>
      <c r="C131" s="6">
        <v>26</v>
      </c>
      <c r="D131" s="18" t="s">
        <v>261</v>
      </c>
      <c r="E131" s="22" t="s">
        <v>478</v>
      </c>
      <c r="F131" s="22" t="s">
        <v>441</v>
      </c>
      <c r="G131" s="33" t="s">
        <v>543</v>
      </c>
      <c r="H131" s="117" t="s">
        <v>303</v>
      </c>
    </row>
    <row r="132" spans="1:8" ht="16.5">
      <c r="A132" s="21" t="s">
        <v>58</v>
      </c>
      <c r="B132" s="6">
        <v>1</v>
      </c>
      <c r="C132" s="28">
        <v>26</v>
      </c>
      <c r="D132" s="19" t="s">
        <v>261</v>
      </c>
      <c r="E132" s="22" t="s">
        <v>479</v>
      </c>
      <c r="F132" s="49" t="s">
        <v>442</v>
      </c>
      <c r="G132" s="33" t="s">
        <v>552</v>
      </c>
      <c r="H132" s="5" t="s">
        <v>322</v>
      </c>
    </row>
    <row r="133" spans="1:8" ht="16.5">
      <c r="A133" s="21" t="s">
        <v>404</v>
      </c>
      <c r="B133" s="28">
        <v>2</v>
      </c>
      <c r="C133" s="262">
        <v>10</v>
      </c>
      <c r="D133" s="32" t="s">
        <v>123</v>
      </c>
      <c r="E133" s="22" t="s">
        <v>123</v>
      </c>
      <c r="F133" s="22" t="s">
        <v>123</v>
      </c>
      <c r="G133" s="33" t="s">
        <v>521</v>
      </c>
      <c r="H133" s="114" t="s">
        <v>123</v>
      </c>
    </row>
    <row r="134" spans="1:8" ht="16.5">
      <c r="A134" s="17" t="s">
        <v>130</v>
      </c>
      <c r="B134" s="6">
        <v>1</v>
      </c>
      <c r="C134" s="6">
        <v>13</v>
      </c>
      <c r="D134" s="18" t="s">
        <v>666</v>
      </c>
      <c r="E134" s="22" t="s">
        <v>478</v>
      </c>
      <c r="F134" s="22" t="s">
        <v>443</v>
      </c>
      <c r="G134" s="33" t="s">
        <v>544</v>
      </c>
      <c r="H134" s="117" t="s">
        <v>303</v>
      </c>
    </row>
    <row r="135" spans="1:8" ht="16.5">
      <c r="A135" s="17" t="s">
        <v>95</v>
      </c>
      <c r="B135" s="6">
        <v>5</v>
      </c>
      <c r="C135" s="6">
        <v>220</v>
      </c>
      <c r="D135" s="19" t="s">
        <v>123</v>
      </c>
      <c r="E135" s="32" t="s">
        <v>123</v>
      </c>
      <c r="F135" s="32" t="s">
        <v>123</v>
      </c>
      <c r="G135" s="35" t="s">
        <v>524</v>
      </c>
      <c r="H135" s="116" t="s">
        <v>444</v>
      </c>
    </row>
    <row r="136" spans="1:8" ht="16.5">
      <c r="A136" s="17" t="s">
        <v>498</v>
      </c>
      <c r="B136" s="6">
        <v>1</v>
      </c>
      <c r="C136" s="6">
        <v>4</v>
      </c>
      <c r="D136" s="18" t="s">
        <v>261</v>
      </c>
      <c r="E136" s="22" t="s">
        <v>479</v>
      </c>
      <c r="F136" s="22" t="s">
        <v>442</v>
      </c>
      <c r="G136" s="33" t="s">
        <v>522</v>
      </c>
      <c r="H136" s="117" t="s">
        <v>493</v>
      </c>
    </row>
    <row r="137" spans="1:8" ht="16.5">
      <c r="A137" s="21" t="s">
        <v>331</v>
      </c>
      <c r="B137" s="28">
        <v>1</v>
      </c>
      <c r="C137" s="28">
        <v>26</v>
      </c>
      <c r="D137" s="22" t="s">
        <v>261</v>
      </c>
      <c r="E137" s="22" t="s">
        <v>481</v>
      </c>
      <c r="F137" s="22" t="s">
        <v>445</v>
      </c>
      <c r="G137" s="33" t="s">
        <v>553</v>
      </c>
      <c r="H137" s="114" t="s">
        <v>332</v>
      </c>
    </row>
    <row r="138" spans="1:8" ht="16.5">
      <c r="A138" s="17" t="s">
        <v>147</v>
      </c>
      <c r="B138" s="6">
        <v>1</v>
      </c>
      <c r="C138" s="6">
        <v>26</v>
      </c>
      <c r="D138" s="18" t="s">
        <v>666</v>
      </c>
      <c r="E138" s="22" t="s">
        <v>479</v>
      </c>
      <c r="F138" s="22" t="s">
        <v>442</v>
      </c>
      <c r="G138" s="33" t="s">
        <v>523</v>
      </c>
      <c r="H138" s="117" t="s">
        <v>300</v>
      </c>
    </row>
    <row r="139" spans="1:8" ht="16.5">
      <c r="A139" s="21" t="s">
        <v>740</v>
      </c>
      <c r="B139" s="28">
        <v>1</v>
      </c>
      <c r="C139" s="28">
        <v>26</v>
      </c>
      <c r="D139" s="22" t="s">
        <v>264</v>
      </c>
      <c r="E139" s="22" t="s">
        <v>478</v>
      </c>
      <c r="F139" s="22" t="s">
        <v>441</v>
      </c>
      <c r="G139" s="33" t="s">
        <v>737</v>
      </c>
      <c r="H139" s="114" t="s">
        <v>303</v>
      </c>
    </row>
    <row r="140" spans="1:8" ht="16.5">
      <c r="A140" s="21" t="s">
        <v>352</v>
      </c>
      <c r="B140" s="6">
        <v>1</v>
      </c>
      <c r="C140" s="28">
        <v>20</v>
      </c>
      <c r="D140" s="18" t="s">
        <v>666</v>
      </c>
      <c r="E140" s="22" t="s">
        <v>478</v>
      </c>
      <c r="F140" s="48" t="s">
        <v>441</v>
      </c>
      <c r="G140" s="33" t="s">
        <v>538</v>
      </c>
      <c r="H140" s="111" t="s">
        <v>285</v>
      </c>
    </row>
    <row r="141" spans="1:8" ht="16.5">
      <c r="A141" s="17" t="s">
        <v>86</v>
      </c>
      <c r="B141" s="6">
        <v>2</v>
      </c>
      <c r="C141" s="6">
        <v>11</v>
      </c>
      <c r="D141" s="18" t="s">
        <v>261</v>
      </c>
      <c r="E141" s="22" t="s">
        <v>478</v>
      </c>
      <c r="F141" s="22" t="s">
        <v>442</v>
      </c>
      <c r="G141" s="33" t="s">
        <v>528</v>
      </c>
      <c r="H141" s="117" t="s">
        <v>499</v>
      </c>
    </row>
    <row r="142" spans="1:8" ht="16.5">
      <c r="A142" s="21" t="s">
        <v>413</v>
      </c>
      <c r="B142" s="6">
        <v>1</v>
      </c>
      <c r="C142" s="28">
        <v>12</v>
      </c>
      <c r="D142" s="18" t="s">
        <v>666</v>
      </c>
      <c r="E142" s="22" t="s">
        <v>478</v>
      </c>
      <c r="F142" s="48" t="s">
        <v>441</v>
      </c>
      <c r="G142" s="33" t="s">
        <v>521</v>
      </c>
      <c r="H142" s="111" t="s">
        <v>486</v>
      </c>
    </row>
    <row r="143" spans="1:8" ht="16.5">
      <c r="A143" s="21" t="s">
        <v>23</v>
      </c>
      <c r="B143" s="28">
        <v>1</v>
      </c>
      <c r="C143" s="28">
        <v>23</v>
      </c>
      <c r="D143" s="22" t="s">
        <v>261</v>
      </c>
      <c r="E143" s="22" t="s">
        <v>478</v>
      </c>
      <c r="F143" s="22" t="s">
        <v>441</v>
      </c>
      <c r="G143" s="33" t="s">
        <v>549</v>
      </c>
      <c r="H143" s="114" t="s">
        <v>450</v>
      </c>
    </row>
    <row r="144" spans="1:8" ht="16.5">
      <c r="A144" s="21" t="s">
        <v>238</v>
      </c>
      <c r="B144" s="28">
        <v>2</v>
      </c>
      <c r="C144" s="28">
        <v>11</v>
      </c>
      <c r="D144" s="22" t="s">
        <v>261</v>
      </c>
      <c r="E144" s="22" t="s">
        <v>478</v>
      </c>
      <c r="F144" s="22" t="s">
        <v>441</v>
      </c>
      <c r="G144" s="33" t="s">
        <v>539</v>
      </c>
      <c r="H144" s="114" t="s">
        <v>491</v>
      </c>
    </row>
    <row r="145" spans="1:8" ht="16.5">
      <c r="A145" s="21" t="s">
        <v>239</v>
      </c>
      <c r="B145" s="28">
        <v>3</v>
      </c>
      <c r="C145" s="28">
        <v>12</v>
      </c>
      <c r="D145" s="22" t="s">
        <v>261</v>
      </c>
      <c r="E145" s="22" t="s">
        <v>478</v>
      </c>
      <c r="F145" s="22" t="s">
        <v>441</v>
      </c>
      <c r="G145" s="33" t="s">
        <v>520</v>
      </c>
      <c r="H145" s="114" t="s">
        <v>312</v>
      </c>
    </row>
    <row r="146" spans="1:8" ht="16.5">
      <c r="A146" s="17" t="s">
        <v>369</v>
      </c>
      <c r="B146" s="6">
        <v>1</v>
      </c>
      <c r="C146" s="6">
        <v>12</v>
      </c>
      <c r="D146" s="18" t="s">
        <v>666</v>
      </c>
      <c r="E146" s="22" t="s">
        <v>478</v>
      </c>
      <c r="F146" s="22" t="s">
        <v>442</v>
      </c>
      <c r="G146" s="33" t="s">
        <v>518</v>
      </c>
      <c r="H146" s="117" t="s">
        <v>300</v>
      </c>
    </row>
    <row r="147" spans="1:8" ht="16.5">
      <c r="A147" s="21" t="s">
        <v>756</v>
      </c>
      <c r="B147" s="28">
        <v>2</v>
      </c>
      <c r="C147" s="28">
        <v>12</v>
      </c>
      <c r="D147" s="22" t="s">
        <v>264</v>
      </c>
      <c r="E147" s="22" t="s">
        <v>478</v>
      </c>
      <c r="F147" s="22" t="s">
        <v>441</v>
      </c>
      <c r="G147" s="33" t="s">
        <v>749</v>
      </c>
      <c r="H147" s="114" t="s">
        <v>378</v>
      </c>
    </row>
    <row r="148" spans="1:8" ht="16.5">
      <c r="A148" s="17" t="s">
        <v>371</v>
      </c>
      <c r="B148" s="6">
        <v>1</v>
      </c>
      <c r="C148" s="6">
        <v>12</v>
      </c>
      <c r="D148" s="18" t="s">
        <v>666</v>
      </c>
      <c r="E148" s="22" t="s">
        <v>478</v>
      </c>
      <c r="F148" s="22" t="s">
        <v>441</v>
      </c>
      <c r="G148" s="33" t="s">
        <v>538</v>
      </c>
      <c r="H148" s="117" t="s">
        <v>285</v>
      </c>
    </row>
    <row r="149" spans="1:8" ht="16.5">
      <c r="A149" s="21" t="s">
        <v>401</v>
      </c>
      <c r="B149" s="28">
        <v>1</v>
      </c>
      <c r="C149" s="28">
        <v>12</v>
      </c>
      <c r="D149" s="32" t="s">
        <v>261</v>
      </c>
      <c r="E149" s="32" t="s">
        <v>478</v>
      </c>
      <c r="F149" s="32" t="s">
        <v>441</v>
      </c>
      <c r="G149" s="33" t="s">
        <v>538</v>
      </c>
      <c r="H149" s="115" t="s">
        <v>673</v>
      </c>
    </row>
    <row r="150" spans="1:8" ht="16.5">
      <c r="A150" s="21" t="s">
        <v>257</v>
      </c>
      <c r="B150" s="28">
        <v>1</v>
      </c>
      <c r="C150" s="28">
        <v>12</v>
      </c>
      <c r="D150" s="22" t="s">
        <v>261</v>
      </c>
      <c r="E150" s="22" t="s">
        <v>478</v>
      </c>
      <c r="F150" s="22" t="s">
        <v>442</v>
      </c>
      <c r="G150" s="33" t="s">
        <v>554</v>
      </c>
      <c r="H150" s="114" t="s">
        <v>510</v>
      </c>
    </row>
    <row r="151" spans="1:8" ht="16.5">
      <c r="A151" s="17" t="s">
        <v>115</v>
      </c>
      <c r="B151" s="6">
        <v>1</v>
      </c>
      <c r="C151" s="6">
        <v>12</v>
      </c>
      <c r="D151" s="18" t="s">
        <v>666</v>
      </c>
      <c r="E151" s="22" t="s">
        <v>479</v>
      </c>
      <c r="F151" s="22" t="s">
        <v>442</v>
      </c>
      <c r="G151" s="33" t="s">
        <v>517</v>
      </c>
      <c r="H151" s="117" t="s">
        <v>300</v>
      </c>
    </row>
    <row r="152" spans="1:8" ht="16.5">
      <c r="A152" s="17" t="s">
        <v>104</v>
      </c>
      <c r="B152" s="6">
        <v>1</v>
      </c>
      <c r="C152" s="6">
        <v>13</v>
      </c>
      <c r="D152" s="18" t="s">
        <v>666</v>
      </c>
      <c r="E152" s="22" t="s">
        <v>482</v>
      </c>
      <c r="F152" s="22" t="s">
        <v>441</v>
      </c>
      <c r="G152" s="33" t="s">
        <v>552</v>
      </c>
      <c r="H152" s="117" t="s">
        <v>314</v>
      </c>
    </row>
    <row r="153" spans="1:8" ht="16.5">
      <c r="A153" s="21" t="s">
        <v>766</v>
      </c>
      <c r="B153" s="28">
        <v>1</v>
      </c>
      <c r="C153" s="28">
        <v>12</v>
      </c>
      <c r="D153" s="22" t="s">
        <v>264</v>
      </c>
      <c r="E153" s="22" t="s">
        <v>478</v>
      </c>
      <c r="F153" s="22" t="s">
        <v>441</v>
      </c>
      <c r="G153" s="33" t="s">
        <v>768</v>
      </c>
      <c r="H153" s="114" t="s">
        <v>311</v>
      </c>
    </row>
    <row r="154" spans="1:8" ht="16.5">
      <c r="A154" s="17" t="s">
        <v>105</v>
      </c>
      <c r="B154" s="6">
        <v>1</v>
      </c>
      <c r="C154" s="6">
        <v>12</v>
      </c>
      <c r="D154" s="19" t="s">
        <v>123</v>
      </c>
      <c r="E154" s="32" t="s">
        <v>123</v>
      </c>
      <c r="F154" s="32" t="s">
        <v>123</v>
      </c>
      <c r="G154" s="35" t="s">
        <v>517</v>
      </c>
      <c r="H154" s="116" t="s">
        <v>444</v>
      </c>
    </row>
    <row r="155" spans="1:8" ht="16.5">
      <c r="A155" s="17" t="s">
        <v>134</v>
      </c>
      <c r="B155" s="6">
        <v>1</v>
      </c>
      <c r="C155" s="6">
        <v>16</v>
      </c>
      <c r="D155" s="18" t="s">
        <v>666</v>
      </c>
      <c r="E155" s="22" t="s">
        <v>478</v>
      </c>
      <c r="F155" s="22" t="s">
        <v>442</v>
      </c>
      <c r="G155" s="33" t="s">
        <v>537</v>
      </c>
      <c r="H155" s="117" t="s">
        <v>493</v>
      </c>
    </row>
    <row r="156" spans="1:8" ht="16.5">
      <c r="A156" s="17" t="s">
        <v>273</v>
      </c>
      <c r="B156" s="6">
        <v>2</v>
      </c>
      <c r="C156" s="6">
        <v>16</v>
      </c>
      <c r="D156" s="18" t="s">
        <v>666</v>
      </c>
      <c r="E156" s="22" t="s">
        <v>479</v>
      </c>
      <c r="F156" s="22" t="s">
        <v>442</v>
      </c>
      <c r="G156" s="33" t="s">
        <v>544</v>
      </c>
      <c r="H156" s="117" t="s">
        <v>500</v>
      </c>
    </row>
    <row r="157" spans="1:8" ht="16.5">
      <c r="A157" s="21" t="s">
        <v>25</v>
      </c>
      <c r="B157" s="28">
        <v>1</v>
      </c>
      <c r="C157" s="28">
        <v>13</v>
      </c>
      <c r="D157" s="22" t="s">
        <v>261</v>
      </c>
      <c r="E157" s="22" t="s">
        <v>478</v>
      </c>
      <c r="F157" s="22" t="s">
        <v>441</v>
      </c>
      <c r="G157" s="33" t="s">
        <v>522</v>
      </c>
      <c r="H157" s="114" t="s">
        <v>303</v>
      </c>
    </row>
    <row r="158" spans="1:8" ht="16.5">
      <c r="A158" s="17" t="s">
        <v>289</v>
      </c>
      <c r="B158" s="6">
        <v>1</v>
      </c>
      <c r="C158" s="6">
        <v>10</v>
      </c>
      <c r="D158" s="18" t="s">
        <v>666</v>
      </c>
      <c r="E158" s="22" t="s">
        <v>478</v>
      </c>
      <c r="F158" s="22" t="s">
        <v>441</v>
      </c>
      <c r="G158" s="33" t="s">
        <v>518</v>
      </c>
      <c r="H158" s="117" t="s">
        <v>303</v>
      </c>
    </row>
    <row r="159" spans="1:8" ht="16.5">
      <c r="A159" s="177" t="s">
        <v>690</v>
      </c>
      <c r="B159" s="178">
        <v>1</v>
      </c>
      <c r="C159" s="178">
        <v>12</v>
      </c>
      <c r="D159" s="170" t="s">
        <v>666</v>
      </c>
      <c r="E159" s="190" t="s">
        <v>478</v>
      </c>
      <c r="F159" s="170" t="s">
        <v>442</v>
      </c>
      <c r="G159" s="191" t="s">
        <v>705</v>
      </c>
      <c r="H159" s="192" t="s">
        <v>300</v>
      </c>
    </row>
    <row r="160" spans="1:8" ht="16.5">
      <c r="A160" s="17" t="s">
        <v>183</v>
      </c>
      <c r="B160" s="6">
        <v>1</v>
      </c>
      <c r="C160" s="6">
        <v>13</v>
      </c>
      <c r="D160" s="18" t="s">
        <v>666</v>
      </c>
      <c r="E160" s="22" t="s">
        <v>478</v>
      </c>
      <c r="F160" s="22" t="s">
        <v>442</v>
      </c>
      <c r="G160" s="33" t="s">
        <v>537</v>
      </c>
      <c r="H160" s="117" t="s">
        <v>421</v>
      </c>
    </row>
    <row r="161" spans="1:8" ht="16.5">
      <c r="A161" s="17" t="s">
        <v>119</v>
      </c>
      <c r="B161" s="6">
        <v>1</v>
      </c>
      <c r="C161" s="6">
        <v>13</v>
      </c>
      <c r="D161" s="18" t="s">
        <v>666</v>
      </c>
      <c r="E161" s="22" t="s">
        <v>478</v>
      </c>
      <c r="F161" s="22" t="s">
        <v>441</v>
      </c>
      <c r="G161" s="33" t="s">
        <v>544</v>
      </c>
      <c r="H161" s="117" t="s">
        <v>303</v>
      </c>
    </row>
    <row r="162" spans="1:8" ht="16.5">
      <c r="A162" s="21" t="s">
        <v>414</v>
      </c>
      <c r="B162" s="6">
        <v>1</v>
      </c>
      <c r="C162" s="28">
        <v>11</v>
      </c>
      <c r="D162" s="18" t="s">
        <v>666</v>
      </c>
      <c r="E162" s="22" t="s">
        <v>478</v>
      </c>
      <c r="F162" s="48" t="s">
        <v>441</v>
      </c>
      <c r="G162" s="33" t="s">
        <v>521</v>
      </c>
      <c r="H162" s="111" t="s">
        <v>421</v>
      </c>
    </row>
    <row r="163" spans="1:8" ht="16.5">
      <c r="A163" s="21" t="s">
        <v>685</v>
      </c>
      <c r="B163" s="28">
        <v>1</v>
      </c>
      <c r="C163" s="28">
        <v>4</v>
      </c>
      <c r="D163" s="22" t="s">
        <v>261</v>
      </c>
      <c r="E163" s="22" t="s">
        <v>478</v>
      </c>
      <c r="F163" s="22" t="s">
        <v>441</v>
      </c>
      <c r="G163" s="33" t="s">
        <v>518</v>
      </c>
      <c r="H163" s="114" t="s">
        <v>300</v>
      </c>
    </row>
    <row r="164" spans="1:8" ht="16.5">
      <c r="A164" s="21" t="s">
        <v>704</v>
      </c>
      <c r="B164" s="28">
        <v>1</v>
      </c>
      <c r="C164" s="28">
        <v>11</v>
      </c>
      <c r="D164" s="22" t="s">
        <v>264</v>
      </c>
      <c r="E164" s="22" t="s">
        <v>478</v>
      </c>
      <c r="F164" s="22" t="s">
        <v>441</v>
      </c>
      <c r="G164" s="33" t="s">
        <v>618</v>
      </c>
      <c r="H164" s="114" t="s">
        <v>303</v>
      </c>
    </row>
    <row r="165" spans="1:8" ht="16.5">
      <c r="A165" s="15" t="s">
        <v>64</v>
      </c>
      <c r="B165" s="34">
        <v>1</v>
      </c>
      <c r="C165" s="34">
        <v>64</v>
      </c>
      <c r="D165" s="176" t="s">
        <v>123</v>
      </c>
      <c r="E165" s="13" t="s">
        <v>123</v>
      </c>
      <c r="F165" s="13" t="s">
        <v>123</v>
      </c>
      <c r="G165" s="50" t="s">
        <v>522</v>
      </c>
      <c r="H165" s="114" t="s">
        <v>123</v>
      </c>
    </row>
    <row r="166" spans="1:8" ht="16.5">
      <c r="A166" s="17" t="s">
        <v>59</v>
      </c>
      <c r="B166" s="6">
        <v>1</v>
      </c>
      <c r="C166" s="6">
        <v>12</v>
      </c>
      <c r="D166" s="18" t="s">
        <v>666</v>
      </c>
      <c r="E166" s="22" t="s">
        <v>478</v>
      </c>
      <c r="F166" s="22" t="s">
        <v>442</v>
      </c>
      <c r="G166" s="33" t="s">
        <v>555</v>
      </c>
      <c r="H166" s="117" t="s">
        <v>300</v>
      </c>
    </row>
    <row r="167" spans="1:8" ht="16.5">
      <c r="A167" s="21" t="s">
        <v>791</v>
      </c>
      <c r="B167" s="28">
        <v>1</v>
      </c>
      <c r="C167" s="28">
        <v>12</v>
      </c>
      <c r="D167" s="22" t="s">
        <v>264</v>
      </c>
      <c r="E167" s="22" t="s">
        <v>478</v>
      </c>
      <c r="F167" s="22" t="s">
        <v>441</v>
      </c>
      <c r="G167" s="33" t="s">
        <v>768</v>
      </c>
      <c r="H167" s="114" t="s">
        <v>300</v>
      </c>
    </row>
    <row r="168" spans="1:8" ht="16.5">
      <c r="A168" s="17" t="s">
        <v>17</v>
      </c>
      <c r="B168" s="6">
        <v>1</v>
      </c>
      <c r="C168" s="6">
        <v>12</v>
      </c>
      <c r="D168" s="18" t="s">
        <v>666</v>
      </c>
      <c r="E168" s="22" t="s">
        <v>478</v>
      </c>
      <c r="F168" s="22" t="s">
        <v>441</v>
      </c>
      <c r="G168" s="33" t="s">
        <v>544</v>
      </c>
      <c r="H168" s="117" t="s">
        <v>303</v>
      </c>
    </row>
    <row r="169" spans="1:8" ht="16.5">
      <c r="A169" s="17" t="s">
        <v>122</v>
      </c>
      <c r="B169" s="6">
        <v>1</v>
      </c>
      <c r="C169" s="6">
        <v>12</v>
      </c>
      <c r="D169" s="18" t="s">
        <v>666</v>
      </c>
      <c r="E169" s="22" t="s">
        <v>478</v>
      </c>
      <c r="F169" s="22" t="s">
        <v>442</v>
      </c>
      <c r="G169" s="33" t="s">
        <v>532</v>
      </c>
      <c r="H169" s="117" t="s">
        <v>501</v>
      </c>
    </row>
    <row r="170" spans="1:8" ht="16.5">
      <c r="A170" s="17" t="s">
        <v>168</v>
      </c>
      <c r="B170" s="6">
        <v>2</v>
      </c>
      <c r="C170" s="6">
        <v>12</v>
      </c>
      <c r="D170" s="18" t="s">
        <v>666</v>
      </c>
      <c r="E170" s="22" t="s">
        <v>479</v>
      </c>
      <c r="F170" s="22" t="s">
        <v>442</v>
      </c>
      <c r="G170" s="33" t="s">
        <v>543</v>
      </c>
      <c r="H170" s="117" t="s">
        <v>457</v>
      </c>
    </row>
    <row r="171" spans="1:8" ht="16.5">
      <c r="A171" s="21" t="s">
        <v>424</v>
      </c>
      <c r="B171" s="6">
        <v>1</v>
      </c>
      <c r="C171" s="28">
        <v>11</v>
      </c>
      <c r="D171" s="18" t="s">
        <v>666</v>
      </c>
      <c r="E171" s="22" t="s">
        <v>478</v>
      </c>
      <c r="F171" s="48" t="s">
        <v>441</v>
      </c>
      <c r="G171" s="33" t="s">
        <v>521</v>
      </c>
      <c r="H171" s="111" t="s">
        <v>285</v>
      </c>
    </row>
    <row r="172" spans="1:8" ht="16.5">
      <c r="A172" s="17" t="s">
        <v>337</v>
      </c>
      <c r="B172" s="6">
        <v>1</v>
      </c>
      <c r="C172" s="6">
        <v>12</v>
      </c>
      <c r="D172" s="18" t="s">
        <v>666</v>
      </c>
      <c r="E172" s="22" t="s">
        <v>478</v>
      </c>
      <c r="F172" s="22" t="s">
        <v>443</v>
      </c>
      <c r="G172" s="33" t="s">
        <v>525</v>
      </c>
      <c r="H172" s="117" t="s">
        <v>303</v>
      </c>
    </row>
    <row r="173" spans="1:8" ht="16.5">
      <c r="A173" s="21" t="s">
        <v>683</v>
      </c>
      <c r="B173" s="28">
        <v>1</v>
      </c>
      <c r="C173" s="28">
        <v>25</v>
      </c>
      <c r="D173" s="22" t="s">
        <v>261</v>
      </c>
      <c r="E173" s="22" t="s">
        <v>478</v>
      </c>
      <c r="F173" s="22" t="s">
        <v>442</v>
      </c>
      <c r="G173" s="33" t="s">
        <v>547</v>
      </c>
      <c r="H173" s="114" t="s">
        <v>697</v>
      </c>
    </row>
    <row r="174" spans="1:8" ht="16.5">
      <c r="A174" s="21" t="s">
        <v>696</v>
      </c>
      <c r="B174" s="28">
        <v>2</v>
      </c>
      <c r="C174" s="28">
        <v>12</v>
      </c>
      <c r="D174" s="22" t="s">
        <v>261</v>
      </c>
      <c r="E174" s="22" t="s">
        <v>478</v>
      </c>
      <c r="F174" s="22" t="s">
        <v>442</v>
      </c>
      <c r="G174" s="33" t="s">
        <v>525</v>
      </c>
      <c r="H174" s="114" t="s">
        <v>486</v>
      </c>
    </row>
    <row r="175" spans="1:8" ht="16.5">
      <c r="A175" s="15" t="s">
        <v>684</v>
      </c>
      <c r="B175" s="34">
        <v>3</v>
      </c>
      <c r="C175" s="34">
        <v>13</v>
      </c>
      <c r="D175" s="13" t="s">
        <v>261</v>
      </c>
      <c r="E175" s="13" t="s">
        <v>478</v>
      </c>
      <c r="F175" s="13" t="s">
        <v>441</v>
      </c>
      <c r="G175" s="50" t="s">
        <v>538</v>
      </c>
      <c r="H175" s="114" t="s">
        <v>486</v>
      </c>
    </row>
    <row r="176" spans="1:8" ht="16.5">
      <c r="A176" s="17" t="s">
        <v>120</v>
      </c>
      <c r="B176" s="6">
        <v>1</v>
      </c>
      <c r="C176" s="6">
        <v>26</v>
      </c>
      <c r="D176" s="18" t="s">
        <v>666</v>
      </c>
      <c r="E176" s="22" t="s">
        <v>483</v>
      </c>
      <c r="F176" s="22" t="s">
        <v>445</v>
      </c>
      <c r="G176" s="33" t="s">
        <v>556</v>
      </c>
      <c r="H176" s="117" t="s">
        <v>317</v>
      </c>
    </row>
    <row r="177" spans="1:8" ht="16.5">
      <c r="A177" s="17" t="s">
        <v>354</v>
      </c>
      <c r="B177" s="6">
        <v>1</v>
      </c>
      <c r="C177" s="6">
        <v>12</v>
      </c>
      <c r="D177" s="18" t="s">
        <v>666</v>
      </c>
      <c r="E177" s="22" t="s">
        <v>478</v>
      </c>
      <c r="F177" s="22" t="s">
        <v>441</v>
      </c>
      <c r="G177" s="33" t="s">
        <v>538</v>
      </c>
      <c r="H177" s="117" t="s">
        <v>300</v>
      </c>
    </row>
    <row r="178" spans="1:8" ht="16.5">
      <c r="A178" s="17" t="s">
        <v>150</v>
      </c>
      <c r="B178" s="6">
        <v>1</v>
      </c>
      <c r="C178" s="6">
        <v>24</v>
      </c>
      <c r="D178" s="18" t="s">
        <v>666</v>
      </c>
      <c r="E178" s="22" t="s">
        <v>478</v>
      </c>
      <c r="F178" s="22" t="s">
        <v>442</v>
      </c>
      <c r="G178" s="33" t="s">
        <v>517</v>
      </c>
      <c r="H178" s="117" t="s">
        <v>500</v>
      </c>
    </row>
    <row r="179" spans="1:8" ht="16.5">
      <c r="A179" s="17" t="s">
        <v>280</v>
      </c>
      <c r="B179" s="6">
        <v>1</v>
      </c>
      <c r="C179" s="6">
        <v>22</v>
      </c>
      <c r="D179" s="18" t="s">
        <v>666</v>
      </c>
      <c r="E179" s="22" t="s">
        <v>478</v>
      </c>
      <c r="F179" s="22" t="s">
        <v>441</v>
      </c>
      <c r="G179" s="33" t="s">
        <v>518</v>
      </c>
      <c r="H179" s="117" t="s">
        <v>303</v>
      </c>
    </row>
    <row r="180" spans="1:8" ht="16.5">
      <c r="A180" s="17" t="s">
        <v>99</v>
      </c>
      <c r="B180" s="6">
        <v>1</v>
      </c>
      <c r="C180" s="6">
        <v>12</v>
      </c>
      <c r="D180" s="18" t="s">
        <v>666</v>
      </c>
      <c r="E180" s="22" t="s">
        <v>478</v>
      </c>
      <c r="F180" s="22" t="s">
        <v>441</v>
      </c>
      <c r="G180" s="33" t="s">
        <v>522</v>
      </c>
      <c r="H180" s="117" t="s">
        <v>285</v>
      </c>
    </row>
    <row r="181" spans="1:8" ht="16.5">
      <c r="A181" s="21" t="s">
        <v>71</v>
      </c>
      <c r="B181" s="28">
        <v>1</v>
      </c>
      <c r="C181" s="28">
        <v>24</v>
      </c>
      <c r="D181" s="32" t="s">
        <v>123</v>
      </c>
      <c r="E181" s="22" t="s">
        <v>123</v>
      </c>
      <c r="F181" s="22" t="s">
        <v>123</v>
      </c>
      <c r="G181" s="33" t="s">
        <v>520</v>
      </c>
      <c r="H181" s="114" t="s">
        <v>123</v>
      </c>
    </row>
    <row r="182" spans="1:8" ht="16.5">
      <c r="A182" s="21" t="s">
        <v>242</v>
      </c>
      <c r="B182" s="28">
        <v>2</v>
      </c>
      <c r="C182" s="28">
        <v>12</v>
      </c>
      <c r="D182" s="32" t="s">
        <v>123</v>
      </c>
      <c r="E182" s="22" t="s">
        <v>123</v>
      </c>
      <c r="F182" s="22" t="s">
        <v>123</v>
      </c>
      <c r="G182" s="33" t="s">
        <v>523</v>
      </c>
      <c r="H182" s="114" t="s">
        <v>123</v>
      </c>
    </row>
    <row r="183" spans="1:8" ht="16.5">
      <c r="A183" s="21" t="s">
        <v>664</v>
      </c>
      <c r="B183" s="28">
        <v>1</v>
      </c>
      <c r="C183" s="28">
        <v>12</v>
      </c>
      <c r="D183" s="22" t="s">
        <v>261</v>
      </c>
      <c r="E183" s="22" t="s">
        <v>478</v>
      </c>
      <c r="F183" s="22" t="s">
        <v>441</v>
      </c>
      <c r="G183" s="33" t="s">
        <v>618</v>
      </c>
      <c r="H183" s="114" t="s">
        <v>285</v>
      </c>
    </row>
    <row r="184" spans="1:8" ht="16.5">
      <c r="A184" s="21" t="s">
        <v>231</v>
      </c>
      <c r="B184" s="28">
        <v>1</v>
      </c>
      <c r="C184" s="28">
        <v>13</v>
      </c>
      <c r="D184" s="22" t="s">
        <v>261</v>
      </c>
      <c r="E184" s="22" t="s">
        <v>478</v>
      </c>
      <c r="F184" s="22" t="s">
        <v>442</v>
      </c>
      <c r="G184" s="33" t="s">
        <v>557</v>
      </c>
      <c r="H184" s="114" t="s">
        <v>502</v>
      </c>
    </row>
    <row r="185" spans="1:8" ht="16.5">
      <c r="A185" s="17" t="s">
        <v>173</v>
      </c>
      <c r="B185" s="6">
        <v>1</v>
      </c>
      <c r="C185" s="6">
        <v>13</v>
      </c>
      <c r="D185" s="18" t="s">
        <v>666</v>
      </c>
      <c r="E185" s="22" t="s">
        <v>478</v>
      </c>
      <c r="F185" s="22" t="s">
        <v>443</v>
      </c>
      <c r="G185" s="33" t="s">
        <v>543</v>
      </c>
      <c r="H185" s="117" t="s">
        <v>303</v>
      </c>
    </row>
    <row r="186" spans="1:8" ht="16.5">
      <c r="A186" s="17" t="s">
        <v>110</v>
      </c>
      <c r="B186" s="6">
        <v>1</v>
      </c>
      <c r="C186" s="6">
        <v>24</v>
      </c>
      <c r="D186" s="18" t="s">
        <v>666</v>
      </c>
      <c r="E186" s="22" t="s">
        <v>478</v>
      </c>
      <c r="F186" s="22" t="s">
        <v>442</v>
      </c>
      <c r="G186" s="33" t="s">
        <v>552</v>
      </c>
      <c r="H186" s="117" t="s">
        <v>308</v>
      </c>
    </row>
    <row r="187" spans="1:8" ht="16.5">
      <c r="A187" s="17" t="s">
        <v>153</v>
      </c>
      <c r="B187" s="6">
        <v>3</v>
      </c>
      <c r="C187" s="6">
        <v>24</v>
      </c>
      <c r="D187" s="18" t="s">
        <v>666</v>
      </c>
      <c r="E187" s="22" t="s">
        <v>478</v>
      </c>
      <c r="F187" s="22" t="s">
        <v>442</v>
      </c>
      <c r="G187" s="33" t="s">
        <v>519</v>
      </c>
      <c r="H187" s="117" t="s">
        <v>300</v>
      </c>
    </row>
    <row r="188" spans="1:8" ht="16.5">
      <c r="A188" s="17" t="s">
        <v>152</v>
      </c>
      <c r="B188" s="6">
        <v>2</v>
      </c>
      <c r="C188" s="6">
        <v>24</v>
      </c>
      <c r="D188" s="18" t="s">
        <v>666</v>
      </c>
      <c r="E188" s="22" t="s">
        <v>478</v>
      </c>
      <c r="F188" s="22" t="s">
        <v>441</v>
      </c>
      <c r="G188" s="33" t="s">
        <v>540</v>
      </c>
      <c r="H188" s="117" t="s">
        <v>512</v>
      </c>
    </row>
    <row r="189" spans="1:8" ht="16.5">
      <c r="A189" s="17" t="s">
        <v>383</v>
      </c>
      <c r="B189" s="6">
        <v>1</v>
      </c>
      <c r="C189" s="6">
        <v>26</v>
      </c>
      <c r="D189" s="18" t="s">
        <v>666</v>
      </c>
      <c r="E189" s="22" t="s">
        <v>478</v>
      </c>
      <c r="F189" s="22" t="s">
        <v>441</v>
      </c>
      <c r="G189" s="33" t="s">
        <v>525</v>
      </c>
      <c r="H189" s="117" t="s">
        <v>304</v>
      </c>
    </row>
    <row r="190" spans="1:8" ht="16.5">
      <c r="A190" s="17" t="s">
        <v>477</v>
      </c>
      <c r="B190" s="6">
        <v>1</v>
      </c>
      <c r="C190" s="6">
        <v>25</v>
      </c>
      <c r="D190" s="18" t="s">
        <v>666</v>
      </c>
      <c r="E190" s="22" t="s">
        <v>478</v>
      </c>
      <c r="F190" s="22" t="s">
        <v>442</v>
      </c>
      <c r="G190" s="33" t="s">
        <v>544</v>
      </c>
      <c r="H190" s="117" t="s">
        <v>500</v>
      </c>
    </row>
    <row r="191" spans="1:8" ht="16.5">
      <c r="A191" s="17" t="s">
        <v>97</v>
      </c>
      <c r="B191" s="6">
        <v>1</v>
      </c>
      <c r="C191" s="6">
        <v>12</v>
      </c>
      <c r="D191" s="18" t="s">
        <v>666</v>
      </c>
      <c r="E191" s="22" t="s">
        <v>478</v>
      </c>
      <c r="F191" s="22" t="s">
        <v>442</v>
      </c>
      <c r="G191" s="33" t="s">
        <v>537</v>
      </c>
      <c r="H191" s="117" t="s">
        <v>285</v>
      </c>
    </row>
    <row r="192" spans="1:8" ht="16.5">
      <c r="A192" s="37" t="s">
        <v>94</v>
      </c>
      <c r="B192" s="38">
        <v>2</v>
      </c>
      <c r="C192" s="38">
        <v>12</v>
      </c>
      <c r="D192" s="39" t="s">
        <v>666</v>
      </c>
      <c r="E192" s="13" t="s">
        <v>478</v>
      </c>
      <c r="F192" s="13" t="s">
        <v>442</v>
      </c>
      <c r="G192" s="50" t="s">
        <v>519</v>
      </c>
      <c r="H192" s="161" t="s">
        <v>285</v>
      </c>
    </row>
    <row r="193" spans="1:8" ht="16.5">
      <c r="A193" s="15" t="s">
        <v>76</v>
      </c>
      <c r="B193" s="34">
        <v>1</v>
      </c>
      <c r="C193" s="34">
        <v>25</v>
      </c>
      <c r="D193" s="176" t="s">
        <v>261</v>
      </c>
      <c r="E193" s="13" t="s">
        <v>478</v>
      </c>
      <c r="F193" s="176" t="s">
        <v>441</v>
      </c>
      <c r="G193" s="263" t="s">
        <v>517</v>
      </c>
      <c r="H193" s="175" t="s">
        <v>284</v>
      </c>
    </row>
    <row r="194" spans="1:8" ht="16.5">
      <c r="A194" s="200" t="s">
        <v>676</v>
      </c>
      <c r="B194" s="201">
        <v>1</v>
      </c>
      <c r="C194" s="201">
        <v>24</v>
      </c>
      <c r="D194" s="203" t="s">
        <v>666</v>
      </c>
      <c r="E194" s="203" t="s">
        <v>478</v>
      </c>
      <c r="F194" s="203" t="s">
        <v>441</v>
      </c>
      <c r="G194" s="205" t="s">
        <v>705</v>
      </c>
      <c r="H194" s="207" t="s">
        <v>722</v>
      </c>
    </row>
    <row r="195" spans="1:8" ht="16.5">
      <c r="A195" s="15" t="s">
        <v>751</v>
      </c>
      <c r="B195" s="34">
        <v>1</v>
      </c>
      <c r="C195" s="34">
        <v>24</v>
      </c>
      <c r="D195" s="13" t="s">
        <v>666</v>
      </c>
      <c r="E195" s="13" t="s">
        <v>478</v>
      </c>
      <c r="F195" s="13" t="s">
        <v>441</v>
      </c>
      <c r="G195" s="50" t="s">
        <v>737</v>
      </c>
      <c r="H195" s="175" t="s">
        <v>285</v>
      </c>
    </row>
    <row r="196" spans="1:8" ht="16.5">
      <c r="A196" s="15" t="s">
        <v>415</v>
      </c>
      <c r="B196" s="38">
        <v>1</v>
      </c>
      <c r="C196" s="34">
        <v>12</v>
      </c>
      <c r="D196" s="39" t="s">
        <v>666</v>
      </c>
      <c r="E196" s="13" t="s">
        <v>478</v>
      </c>
      <c r="F196" s="202" t="s">
        <v>441</v>
      </c>
      <c r="G196" s="50" t="s">
        <v>521</v>
      </c>
      <c r="H196" s="206" t="s">
        <v>315</v>
      </c>
    </row>
    <row r="197" spans="1:8" ht="16.5">
      <c r="A197" s="183" t="s">
        <v>677</v>
      </c>
      <c r="B197" s="184">
        <v>1</v>
      </c>
      <c r="C197" s="184">
        <v>13</v>
      </c>
      <c r="D197" s="203" t="s">
        <v>666</v>
      </c>
      <c r="E197" s="211" t="s">
        <v>478</v>
      </c>
      <c r="F197" s="211" t="s">
        <v>441</v>
      </c>
      <c r="G197" s="213" t="s">
        <v>705</v>
      </c>
      <c r="H197" s="214" t="s">
        <v>303</v>
      </c>
    </row>
    <row r="198" spans="1:8" ht="16.5">
      <c r="A198" s="37" t="s">
        <v>244</v>
      </c>
      <c r="B198" s="38">
        <v>1</v>
      </c>
      <c r="C198" s="38">
        <v>13</v>
      </c>
      <c r="D198" s="39" t="s">
        <v>666</v>
      </c>
      <c r="E198" s="13" t="s">
        <v>478</v>
      </c>
      <c r="F198" s="13" t="s">
        <v>445</v>
      </c>
      <c r="G198" s="50" t="s">
        <v>554</v>
      </c>
      <c r="H198" s="161" t="s">
        <v>319</v>
      </c>
    </row>
    <row r="199" spans="1:8" ht="16.5">
      <c r="A199" s="15" t="s">
        <v>240</v>
      </c>
      <c r="B199" s="34">
        <v>2</v>
      </c>
      <c r="C199" s="34">
        <v>12</v>
      </c>
      <c r="D199" s="13" t="s">
        <v>666</v>
      </c>
      <c r="E199" s="13" t="s">
        <v>478</v>
      </c>
      <c r="F199" s="13" t="s">
        <v>442</v>
      </c>
      <c r="G199" s="50" t="s">
        <v>537</v>
      </c>
      <c r="H199" s="175" t="s">
        <v>324</v>
      </c>
    </row>
    <row r="200" spans="1:8" ht="16.5">
      <c r="A200" s="37" t="s">
        <v>179</v>
      </c>
      <c r="B200" s="38">
        <v>1</v>
      </c>
      <c r="C200" s="38">
        <v>13</v>
      </c>
      <c r="D200" s="39" t="s">
        <v>666</v>
      </c>
      <c r="E200" s="13" t="s">
        <v>478</v>
      </c>
      <c r="F200" s="13" t="s">
        <v>442</v>
      </c>
      <c r="G200" s="50" t="s">
        <v>520</v>
      </c>
      <c r="H200" s="161" t="s">
        <v>503</v>
      </c>
    </row>
    <row r="201" spans="1:8" ht="16.5">
      <c r="A201" s="37" t="s">
        <v>357</v>
      </c>
      <c r="B201" s="38">
        <v>1</v>
      </c>
      <c r="C201" s="38">
        <v>13</v>
      </c>
      <c r="D201" s="39" t="s">
        <v>666</v>
      </c>
      <c r="E201" s="13" t="s">
        <v>478</v>
      </c>
      <c r="F201" s="13" t="s">
        <v>443</v>
      </c>
      <c r="G201" s="50" t="s">
        <v>538</v>
      </c>
      <c r="H201" s="161" t="s">
        <v>303</v>
      </c>
    </row>
    <row r="202" spans="1:8" ht="16.5">
      <c r="A202" s="15" t="s">
        <v>613</v>
      </c>
      <c r="B202" s="34">
        <v>2</v>
      </c>
      <c r="C202" s="34">
        <v>13</v>
      </c>
      <c r="D202" s="13" t="s">
        <v>666</v>
      </c>
      <c r="E202" s="13" t="s">
        <v>478</v>
      </c>
      <c r="F202" s="13" t="s">
        <v>441</v>
      </c>
      <c r="G202" s="50" t="s">
        <v>618</v>
      </c>
      <c r="H202" s="175" t="s">
        <v>303</v>
      </c>
    </row>
    <row r="203" spans="1:8" ht="16.5">
      <c r="A203" s="37" t="s">
        <v>26</v>
      </c>
      <c r="B203" s="38">
        <v>1</v>
      </c>
      <c r="C203" s="38">
        <v>13</v>
      </c>
      <c r="D203" s="39" t="s">
        <v>666</v>
      </c>
      <c r="E203" s="13" t="s">
        <v>478</v>
      </c>
      <c r="F203" s="13" t="s">
        <v>442</v>
      </c>
      <c r="G203" s="50" t="s">
        <v>558</v>
      </c>
      <c r="H203" s="161" t="s">
        <v>495</v>
      </c>
    </row>
    <row r="204" spans="1:8" ht="16.5">
      <c r="A204" s="37" t="s">
        <v>32</v>
      </c>
      <c r="B204" s="38">
        <v>2</v>
      </c>
      <c r="C204" s="38">
        <v>12</v>
      </c>
      <c r="D204" s="39" t="s">
        <v>666</v>
      </c>
      <c r="E204" s="13" t="s">
        <v>478</v>
      </c>
      <c r="F204" s="13" t="s">
        <v>442</v>
      </c>
      <c r="G204" s="50" t="s">
        <v>533</v>
      </c>
      <c r="H204" s="161" t="s">
        <v>493</v>
      </c>
    </row>
    <row r="205" spans="1:8" ht="16.5">
      <c r="A205" s="37" t="s">
        <v>108</v>
      </c>
      <c r="B205" s="38">
        <v>1</v>
      </c>
      <c r="C205" s="38">
        <v>25</v>
      </c>
      <c r="D205" s="39" t="s">
        <v>666</v>
      </c>
      <c r="E205" s="13" t="s">
        <v>478</v>
      </c>
      <c r="F205" s="13" t="s">
        <v>442</v>
      </c>
      <c r="G205" s="50" t="s">
        <v>523</v>
      </c>
      <c r="H205" s="161" t="s">
        <v>421</v>
      </c>
    </row>
    <row r="206" spans="1:8" ht="16.5">
      <c r="A206" s="15" t="s">
        <v>124</v>
      </c>
      <c r="B206" s="34">
        <v>1</v>
      </c>
      <c r="C206" s="34">
        <v>26</v>
      </c>
      <c r="D206" s="13" t="s">
        <v>261</v>
      </c>
      <c r="E206" s="13" t="s">
        <v>482</v>
      </c>
      <c r="F206" s="13" t="s">
        <v>445</v>
      </c>
      <c r="G206" s="50" t="s">
        <v>559</v>
      </c>
      <c r="H206" s="175" t="s">
        <v>325</v>
      </c>
    </row>
    <row r="207" spans="1:8" ht="16.5">
      <c r="A207" s="15" t="s">
        <v>782</v>
      </c>
      <c r="B207" s="34">
        <v>1</v>
      </c>
      <c r="C207" s="34">
        <v>11</v>
      </c>
      <c r="D207" s="13" t="s">
        <v>264</v>
      </c>
      <c r="E207" s="13" t="s">
        <v>478</v>
      </c>
      <c r="F207" s="13" t="s">
        <v>441</v>
      </c>
      <c r="G207" s="50" t="s">
        <v>768</v>
      </c>
      <c r="H207" s="175" t="s">
        <v>783</v>
      </c>
    </row>
    <row r="208" spans="1:8" ht="16.5">
      <c r="A208" s="37" t="s">
        <v>379</v>
      </c>
      <c r="B208" s="38">
        <v>1</v>
      </c>
      <c r="C208" s="38">
        <v>12</v>
      </c>
      <c r="D208" s="39" t="s">
        <v>666</v>
      </c>
      <c r="E208" s="13" t="s">
        <v>478</v>
      </c>
      <c r="F208" s="13" t="s">
        <v>443</v>
      </c>
      <c r="G208" s="50" t="s">
        <v>538</v>
      </c>
      <c r="H208" s="161" t="s">
        <v>303</v>
      </c>
    </row>
    <row r="209" spans="1:8" ht="16.5">
      <c r="A209" s="37" t="s">
        <v>309</v>
      </c>
      <c r="B209" s="38">
        <v>1</v>
      </c>
      <c r="C209" s="38">
        <v>28</v>
      </c>
      <c r="D209" s="39" t="s">
        <v>666</v>
      </c>
      <c r="E209" s="13" t="s">
        <v>478</v>
      </c>
      <c r="F209" s="13" t="s">
        <v>442</v>
      </c>
      <c r="G209" s="50" t="s">
        <v>559</v>
      </c>
      <c r="H209" s="161" t="s">
        <v>308</v>
      </c>
    </row>
    <row r="210" spans="1:8" ht="16.5">
      <c r="A210" s="37" t="s">
        <v>504</v>
      </c>
      <c r="B210" s="38">
        <v>1</v>
      </c>
      <c r="C210" s="38">
        <v>25</v>
      </c>
      <c r="D210" s="39" t="s">
        <v>261</v>
      </c>
      <c r="E210" s="13" t="s">
        <v>478</v>
      </c>
      <c r="F210" s="13" t="s">
        <v>442</v>
      </c>
      <c r="G210" s="50" t="s">
        <v>526</v>
      </c>
      <c r="H210" s="161" t="s">
        <v>500</v>
      </c>
    </row>
    <row r="211" spans="1:8" ht="16.5">
      <c r="A211" s="15" t="s">
        <v>612</v>
      </c>
      <c r="B211" s="34">
        <v>2</v>
      </c>
      <c r="C211" s="34">
        <v>24</v>
      </c>
      <c r="D211" s="13" t="s">
        <v>261</v>
      </c>
      <c r="E211" s="13" t="s">
        <v>478</v>
      </c>
      <c r="F211" s="13" t="s">
        <v>441</v>
      </c>
      <c r="G211" s="50" t="s">
        <v>618</v>
      </c>
      <c r="H211" s="175" t="s">
        <v>303</v>
      </c>
    </row>
    <row r="212" spans="1:8" ht="16.5">
      <c r="A212" s="37" t="s">
        <v>103</v>
      </c>
      <c r="B212" s="38">
        <v>1</v>
      </c>
      <c r="C212" s="38">
        <v>12</v>
      </c>
      <c r="D212" s="39" t="s">
        <v>666</v>
      </c>
      <c r="E212" s="13" t="s">
        <v>478</v>
      </c>
      <c r="F212" s="13" t="s">
        <v>441</v>
      </c>
      <c r="G212" s="50" t="s">
        <v>522</v>
      </c>
      <c r="H212" s="161" t="s">
        <v>310</v>
      </c>
    </row>
    <row r="213" spans="1:8" ht="16.5">
      <c r="A213" s="37" t="s">
        <v>151</v>
      </c>
      <c r="B213" s="38">
        <v>1</v>
      </c>
      <c r="C213" s="38">
        <v>26</v>
      </c>
      <c r="D213" s="39" t="s">
        <v>666</v>
      </c>
      <c r="E213" s="13" t="s">
        <v>478</v>
      </c>
      <c r="F213" s="13" t="s">
        <v>442</v>
      </c>
      <c r="G213" s="50" t="s">
        <v>532</v>
      </c>
      <c r="H213" s="161" t="s">
        <v>505</v>
      </c>
    </row>
    <row r="214" spans="1:8" ht="16.5">
      <c r="A214" s="37" t="s">
        <v>27</v>
      </c>
      <c r="B214" s="38">
        <v>1</v>
      </c>
      <c r="C214" s="38">
        <v>11</v>
      </c>
      <c r="D214" s="39" t="s">
        <v>666</v>
      </c>
      <c r="E214" s="13" t="s">
        <v>478</v>
      </c>
      <c r="F214" s="13" t="s">
        <v>442</v>
      </c>
      <c r="G214" s="50" t="s">
        <v>516</v>
      </c>
      <c r="H214" s="161" t="s">
        <v>308</v>
      </c>
    </row>
    <row r="215" spans="1:8" ht="16.5">
      <c r="A215" s="15" t="s">
        <v>31</v>
      </c>
      <c r="B215" s="34">
        <v>1</v>
      </c>
      <c r="C215" s="34">
        <v>12</v>
      </c>
      <c r="D215" s="13" t="s">
        <v>261</v>
      </c>
      <c r="E215" s="13" t="s">
        <v>478</v>
      </c>
      <c r="F215" s="13" t="s">
        <v>442</v>
      </c>
      <c r="G215" s="50" t="s">
        <v>537</v>
      </c>
      <c r="H215" s="175" t="s">
        <v>326</v>
      </c>
    </row>
    <row r="216" spans="1:8" ht="16.5">
      <c r="A216" s="15" t="s">
        <v>241</v>
      </c>
      <c r="B216" s="34">
        <v>2</v>
      </c>
      <c r="C216" s="34">
        <v>12</v>
      </c>
      <c r="D216" s="13" t="s">
        <v>261</v>
      </c>
      <c r="E216" s="13" t="s">
        <v>478</v>
      </c>
      <c r="F216" s="13" t="s">
        <v>442</v>
      </c>
      <c r="G216" s="50" t="s">
        <v>523</v>
      </c>
      <c r="H216" s="175" t="s">
        <v>326</v>
      </c>
    </row>
    <row r="217" spans="1:8" ht="16.5">
      <c r="A217" s="37" t="s">
        <v>452</v>
      </c>
      <c r="B217" s="38">
        <v>1</v>
      </c>
      <c r="C217" s="38">
        <v>24</v>
      </c>
      <c r="D217" s="39" t="s">
        <v>666</v>
      </c>
      <c r="E217" s="13" t="s">
        <v>478</v>
      </c>
      <c r="F217" s="13" t="s">
        <v>442</v>
      </c>
      <c r="G217" s="50" t="s">
        <v>554</v>
      </c>
      <c r="H217" s="161" t="s">
        <v>308</v>
      </c>
    </row>
    <row r="218" spans="1:8" ht="16.5">
      <c r="A218" s="37" t="s">
        <v>453</v>
      </c>
      <c r="B218" s="38">
        <v>2</v>
      </c>
      <c r="C218" s="38">
        <v>24</v>
      </c>
      <c r="D218" s="39" t="s">
        <v>666</v>
      </c>
      <c r="E218" s="13" t="s">
        <v>478</v>
      </c>
      <c r="F218" s="13" t="s">
        <v>442</v>
      </c>
      <c r="G218" s="50" t="s">
        <v>544</v>
      </c>
      <c r="H218" s="161" t="s">
        <v>506</v>
      </c>
    </row>
    <row r="219" spans="1:8" ht="16.5">
      <c r="A219" s="37" t="s">
        <v>484</v>
      </c>
      <c r="B219" s="38">
        <v>1</v>
      </c>
      <c r="C219" s="38">
        <v>24</v>
      </c>
      <c r="D219" s="39" t="s">
        <v>666</v>
      </c>
      <c r="E219" s="13" t="s">
        <v>478</v>
      </c>
      <c r="F219" s="13" t="s">
        <v>442</v>
      </c>
      <c r="G219" s="50" t="s">
        <v>539</v>
      </c>
      <c r="H219" s="161" t="s">
        <v>497</v>
      </c>
    </row>
    <row r="220" spans="1:8" ht="16.5">
      <c r="A220" s="37" t="s">
        <v>132</v>
      </c>
      <c r="B220" s="38">
        <v>2</v>
      </c>
      <c r="C220" s="38">
        <v>24</v>
      </c>
      <c r="D220" s="39" t="s">
        <v>666</v>
      </c>
      <c r="E220" s="13" t="s">
        <v>478</v>
      </c>
      <c r="F220" s="13" t="s">
        <v>442</v>
      </c>
      <c r="G220" s="50" t="s">
        <v>537</v>
      </c>
      <c r="H220" s="161" t="s">
        <v>506</v>
      </c>
    </row>
    <row r="221" spans="1:8" ht="16.5">
      <c r="A221" s="15" t="s">
        <v>621</v>
      </c>
      <c r="B221" s="34">
        <v>1</v>
      </c>
      <c r="C221" s="34">
        <v>12</v>
      </c>
      <c r="D221" s="13" t="s">
        <v>666</v>
      </c>
      <c r="E221" s="13" t="s">
        <v>478</v>
      </c>
      <c r="F221" s="13" t="s">
        <v>441</v>
      </c>
      <c r="G221" s="50" t="s">
        <v>618</v>
      </c>
      <c r="H221" s="175" t="s">
        <v>285</v>
      </c>
    </row>
    <row r="222" spans="1:8" ht="16.5">
      <c r="A222" s="37" t="s">
        <v>372</v>
      </c>
      <c r="B222" s="38">
        <v>1</v>
      </c>
      <c r="C222" s="38">
        <v>21</v>
      </c>
      <c r="D222" s="39" t="s">
        <v>666</v>
      </c>
      <c r="E222" s="13" t="s">
        <v>478</v>
      </c>
      <c r="F222" s="13" t="s">
        <v>441</v>
      </c>
      <c r="G222" s="50" t="s">
        <v>538</v>
      </c>
      <c r="H222" s="161" t="s">
        <v>378</v>
      </c>
    </row>
    <row r="223" spans="1:8" ht="16.5">
      <c r="A223" s="37" t="s">
        <v>146</v>
      </c>
      <c r="B223" s="38">
        <v>1</v>
      </c>
      <c r="C223" s="38">
        <v>25</v>
      </c>
      <c r="D223" s="39" t="s">
        <v>666</v>
      </c>
      <c r="E223" s="13" t="s">
        <v>478</v>
      </c>
      <c r="F223" s="13" t="s">
        <v>442</v>
      </c>
      <c r="G223" s="50" t="s">
        <v>539</v>
      </c>
      <c r="H223" s="161" t="s">
        <v>494</v>
      </c>
    </row>
    <row r="224" spans="1:8" ht="16.5">
      <c r="A224" s="15" t="s">
        <v>34</v>
      </c>
      <c r="B224" s="34">
        <v>1</v>
      </c>
      <c r="C224" s="34">
        <v>12</v>
      </c>
      <c r="D224" s="13" t="s">
        <v>261</v>
      </c>
      <c r="E224" s="13" t="s">
        <v>478</v>
      </c>
      <c r="F224" s="13" t="s">
        <v>442</v>
      </c>
      <c r="G224" s="50" t="s">
        <v>542</v>
      </c>
      <c r="H224" s="175" t="s">
        <v>308</v>
      </c>
    </row>
    <row r="225" spans="1:8" ht="16.5">
      <c r="A225" s="15" t="s">
        <v>397</v>
      </c>
      <c r="B225" s="34">
        <v>1</v>
      </c>
      <c r="C225" s="34">
        <v>13</v>
      </c>
      <c r="D225" s="13" t="s">
        <v>261</v>
      </c>
      <c r="E225" s="13" t="s">
        <v>478</v>
      </c>
      <c r="F225" s="13" t="s">
        <v>441</v>
      </c>
      <c r="G225" s="50" t="s">
        <v>518</v>
      </c>
      <c r="H225" s="175" t="s">
        <v>378</v>
      </c>
    </row>
    <row r="226" spans="1:8" ht="16.5">
      <c r="A226" s="15" t="s">
        <v>327</v>
      </c>
      <c r="B226" s="34">
        <v>1</v>
      </c>
      <c r="C226" s="34">
        <v>11</v>
      </c>
      <c r="D226" s="13" t="s">
        <v>261</v>
      </c>
      <c r="E226" s="13" t="s">
        <v>478</v>
      </c>
      <c r="F226" s="13" t="s">
        <v>442</v>
      </c>
      <c r="G226" s="50" t="s">
        <v>532</v>
      </c>
      <c r="H226" s="175" t="s">
        <v>328</v>
      </c>
    </row>
    <row r="227" spans="1:8" ht="16.5">
      <c r="A227" s="15" t="s">
        <v>785</v>
      </c>
      <c r="B227" s="34">
        <v>1</v>
      </c>
      <c r="C227" s="34"/>
      <c r="D227" s="13" t="s">
        <v>264</v>
      </c>
      <c r="E227" s="13" t="s">
        <v>478</v>
      </c>
      <c r="F227" s="13" t="s">
        <v>441</v>
      </c>
      <c r="G227" s="50" t="s">
        <v>768</v>
      </c>
      <c r="H227" s="175" t="s">
        <v>783</v>
      </c>
    </row>
    <row r="228" spans="1:8" ht="16.5">
      <c r="A228" s="15" t="s">
        <v>745</v>
      </c>
      <c r="B228" s="34">
        <v>1</v>
      </c>
      <c r="C228" s="34">
        <v>10</v>
      </c>
      <c r="D228" s="13" t="s">
        <v>666</v>
      </c>
      <c r="E228" s="13" t="s">
        <v>478</v>
      </c>
      <c r="F228" s="13" t="s">
        <v>441</v>
      </c>
      <c r="G228" s="50" t="s">
        <v>749</v>
      </c>
      <c r="H228" s="175" t="s">
        <v>303</v>
      </c>
    </row>
    <row r="229" spans="1:8" ht="16.5">
      <c r="A229" s="261" t="s">
        <v>174</v>
      </c>
      <c r="B229" s="38">
        <v>1</v>
      </c>
      <c r="C229" s="38">
        <v>12</v>
      </c>
      <c r="D229" s="39" t="s">
        <v>666</v>
      </c>
      <c r="E229" s="13" t="s">
        <v>478</v>
      </c>
      <c r="F229" s="13" t="s">
        <v>441</v>
      </c>
      <c r="G229" s="50" t="s">
        <v>543</v>
      </c>
      <c r="H229" s="161" t="s">
        <v>489</v>
      </c>
    </row>
    <row r="230" spans="1:8" ht="16.5">
      <c r="A230" s="15" t="s">
        <v>260</v>
      </c>
      <c r="B230" s="34">
        <v>1</v>
      </c>
      <c r="C230" s="34">
        <v>24</v>
      </c>
      <c r="D230" s="13" t="s">
        <v>261</v>
      </c>
      <c r="E230" s="13" t="s">
        <v>482</v>
      </c>
      <c r="F230" s="13" t="s">
        <v>445</v>
      </c>
      <c r="G230" s="50" t="s">
        <v>550</v>
      </c>
      <c r="H230" s="175" t="s">
        <v>329</v>
      </c>
    </row>
    <row r="231" spans="1:8" ht="16.5">
      <c r="A231" s="15" t="s">
        <v>294</v>
      </c>
      <c r="B231" s="34">
        <v>1</v>
      </c>
      <c r="C231" s="34">
        <v>26</v>
      </c>
      <c r="D231" s="176" t="s">
        <v>261</v>
      </c>
      <c r="E231" s="13" t="s">
        <v>478</v>
      </c>
      <c r="F231" s="176" t="s">
        <v>442</v>
      </c>
      <c r="G231" s="263" t="s">
        <v>548</v>
      </c>
      <c r="H231" s="175" t="s">
        <v>497</v>
      </c>
    </row>
    <row r="232" spans="1:8" ht="16.5">
      <c r="A232" s="37" t="s">
        <v>281</v>
      </c>
      <c r="B232" s="38">
        <v>2</v>
      </c>
      <c r="C232" s="38">
        <v>12</v>
      </c>
      <c r="D232" s="39" t="s">
        <v>666</v>
      </c>
      <c r="E232" s="13" t="s">
        <v>478</v>
      </c>
      <c r="F232" s="13" t="s">
        <v>441</v>
      </c>
      <c r="G232" s="50" t="s">
        <v>518</v>
      </c>
      <c r="H232" s="161" t="s">
        <v>284</v>
      </c>
    </row>
    <row r="233" spans="1:8" ht="16.5">
      <c r="A233" s="37" t="s">
        <v>375</v>
      </c>
      <c r="B233" s="38">
        <v>1</v>
      </c>
      <c r="C233" s="38">
        <v>12</v>
      </c>
      <c r="D233" s="39" t="s">
        <v>666</v>
      </c>
      <c r="E233" s="13" t="s">
        <v>478</v>
      </c>
      <c r="F233" s="13" t="s">
        <v>441</v>
      </c>
      <c r="G233" s="50" t="s">
        <v>538</v>
      </c>
      <c r="H233" s="161" t="s">
        <v>285</v>
      </c>
    </row>
    <row r="234" spans="1:8" ht="16.5">
      <c r="A234" s="15" t="s">
        <v>738</v>
      </c>
      <c r="B234" s="34">
        <v>2</v>
      </c>
      <c r="C234" s="34">
        <v>13</v>
      </c>
      <c r="D234" s="13" t="s">
        <v>264</v>
      </c>
      <c r="E234" s="13" t="s">
        <v>478</v>
      </c>
      <c r="F234" s="13" t="s">
        <v>441</v>
      </c>
      <c r="G234" s="50" t="s">
        <v>737</v>
      </c>
      <c r="H234" s="175" t="s">
        <v>311</v>
      </c>
    </row>
    <row r="235" spans="1:8" ht="16.5">
      <c r="A235" s="37" t="s">
        <v>24</v>
      </c>
      <c r="B235" s="38">
        <v>1</v>
      </c>
      <c r="C235" s="38">
        <v>13</v>
      </c>
      <c r="D235" s="39" t="s">
        <v>666</v>
      </c>
      <c r="E235" s="13" t="s">
        <v>478</v>
      </c>
      <c r="F235" s="13" t="s">
        <v>442</v>
      </c>
      <c r="G235" s="50" t="s">
        <v>544</v>
      </c>
      <c r="H235" s="161" t="s">
        <v>507</v>
      </c>
    </row>
    <row r="236" spans="1:8" ht="16.5">
      <c r="A236" s="37" t="s">
        <v>36</v>
      </c>
      <c r="B236" s="38">
        <v>1</v>
      </c>
      <c r="C236" s="38">
        <v>12</v>
      </c>
      <c r="D236" s="39" t="s">
        <v>666</v>
      </c>
      <c r="E236" s="13" t="s">
        <v>478</v>
      </c>
      <c r="F236" s="13" t="s">
        <v>442</v>
      </c>
      <c r="G236" s="50" t="s">
        <v>537</v>
      </c>
      <c r="H236" s="161" t="s">
        <v>508</v>
      </c>
    </row>
    <row r="237" spans="1:8" ht="16.5">
      <c r="A237" s="37" t="s">
        <v>101</v>
      </c>
      <c r="B237" s="38">
        <v>1</v>
      </c>
      <c r="C237" s="38">
        <v>12</v>
      </c>
      <c r="D237" s="39" t="s">
        <v>666</v>
      </c>
      <c r="E237" s="13" t="s">
        <v>479</v>
      </c>
      <c r="F237" s="13" t="s">
        <v>442</v>
      </c>
      <c r="G237" s="50" t="s">
        <v>532</v>
      </c>
      <c r="H237" s="161" t="s">
        <v>300</v>
      </c>
    </row>
    <row r="238" spans="1:8" ht="16.5">
      <c r="A238" s="37" t="s">
        <v>102</v>
      </c>
      <c r="B238" s="38">
        <v>2</v>
      </c>
      <c r="C238" s="38">
        <v>12</v>
      </c>
      <c r="D238" s="39" t="s">
        <v>666</v>
      </c>
      <c r="E238" s="13" t="s">
        <v>479</v>
      </c>
      <c r="F238" s="13" t="s">
        <v>442</v>
      </c>
      <c r="G238" s="50" t="s">
        <v>526</v>
      </c>
      <c r="H238" s="161" t="s">
        <v>300</v>
      </c>
    </row>
    <row r="239" spans="1:8" ht="16.5">
      <c r="A239" s="15" t="s">
        <v>769</v>
      </c>
      <c r="B239" s="34">
        <v>3</v>
      </c>
      <c r="C239" s="34"/>
      <c r="D239" s="13" t="s">
        <v>666</v>
      </c>
      <c r="E239" s="13" t="s">
        <v>478</v>
      </c>
      <c r="F239" s="13" t="s">
        <v>441</v>
      </c>
      <c r="G239" s="50" t="s">
        <v>768</v>
      </c>
      <c r="H239" s="175" t="s">
        <v>285</v>
      </c>
    </row>
    <row r="240" spans="1:8" ht="16.5">
      <c r="A240" s="183" t="s">
        <v>692</v>
      </c>
      <c r="B240" s="184">
        <v>1</v>
      </c>
      <c r="C240" s="184">
        <v>12</v>
      </c>
      <c r="D240" s="203" t="s">
        <v>666</v>
      </c>
      <c r="E240" s="211" t="s">
        <v>478</v>
      </c>
      <c r="F240" s="211" t="s">
        <v>441</v>
      </c>
      <c r="G240" s="213" t="s">
        <v>705</v>
      </c>
      <c r="H240" s="214" t="s">
        <v>303</v>
      </c>
    </row>
    <row r="241" spans="1:8" ht="16.5">
      <c r="A241" s="37" t="s">
        <v>129</v>
      </c>
      <c r="B241" s="38">
        <v>1</v>
      </c>
      <c r="C241" s="38">
        <v>12</v>
      </c>
      <c r="D241" s="39" t="s">
        <v>666</v>
      </c>
      <c r="E241" s="13" t="s">
        <v>478</v>
      </c>
      <c r="F241" s="13" t="s">
        <v>442</v>
      </c>
      <c r="G241" s="50" t="s">
        <v>544</v>
      </c>
      <c r="H241" s="161" t="s">
        <v>311</v>
      </c>
    </row>
    <row r="242" spans="1:8" ht="16.5">
      <c r="A242" s="15" t="s">
        <v>614</v>
      </c>
      <c r="B242" s="34">
        <v>1</v>
      </c>
      <c r="C242" s="34">
        <v>11</v>
      </c>
      <c r="D242" s="13" t="s">
        <v>666</v>
      </c>
      <c r="E242" s="13" t="s">
        <v>478</v>
      </c>
      <c r="F242" s="13" t="s">
        <v>441</v>
      </c>
      <c r="G242" s="50" t="s">
        <v>618</v>
      </c>
      <c r="H242" s="175" t="s">
        <v>285</v>
      </c>
    </row>
    <row r="243" spans="1:8" ht="16.5">
      <c r="A243" s="15" t="s">
        <v>395</v>
      </c>
      <c r="B243" s="34">
        <v>1</v>
      </c>
      <c r="C243" s="34">
        <v>13</v>
      </c>
      <c r="D243" s="13" t="s">
        <v>261</v>
      </c>
      <c r="E243" s="13" t="s">
        <v>478</v>
      </c>
      <c r="F243" s="13" t="s">
        <v>442</v>
      </c>
      <c r="G243" s="50" t="s">
        <v>550</v>
      </c>
      <c r="H243" s="175" t="s">
        <v>300</v>
      </c>
    </row>
    <row r="244" spans="1:8" ht="16.5">
      <c r="A244" s="15" t="s">
        <v>396</v>
      </c>
      <c r="B244" s="34">
        <v>4</v>
      </c>
      <c r="C244" s="34">
        <v>12</v>
      </c>
      <c r="D244" s="13" t="s">
        <v>261</v>
      </c>
      <c r="E244" s="13" t="s">
        <v>478</v>
      </c>
      <c r="F244" s="13" t="s">
        <v>442</v>
      </c>
      <c r="G244" s="50" t="s">
        <v>528</v>
      </c>
      <c r="H244" s="175" t="s">
        <v>300</v>
      </c>
    </row>
    <row r="245" spans="1:8" ht="16.5">
      <c r="A245" s="15" t="s">
        <v>449</v>
      </c>
      <c r="B245" s="34">
        <v>2</v>
      </c>
      <c r="C245" s="34">
        <v>12</v>
      </c>
      <c r="D245" s="13" t="s">
        <v>261</v>
      </c>
      <c r="E245" s="13" t="s">
        <v>478</v>
      </c>
      <c r="F245" s="13" t="s">
        <v>442</v>
      </c>
      <c r="G245" s="50" t="s">
        <v>530</v>
      </c>
      <c r="H245" s="175" t="s">
        <v>300</v>
      </c>
    </row>
    <row r="246" spans="1:8" ht="16.5">
      <c r="A246" s="15" t="s">
        <v>448</v>
      </c>
      <c r="B246" s="34">
        <v>3</v>
      </c>
      <c r="C246" s="34">
        <v>12</v>
      </c>
      <c r="D246" s="13" t="s">
        <v>261</v>
      </c>
      <c r="E246" s="13" t="s">
        <v>478</v>
      </c>
      <c r="F246" s="13" t="s">
        <v>442</v>
      </c>
      <c r="G246" s="50" t="s">
        <v>515</v>
      </c>
      <c r="H246" s="175" t="s">
        <v>300</v>
      </c>
    </row>
    <row r="247" spans="1:8" ht="16.5">
      <c r="A247" s="15"/>
      <c r="B247" s="34"/>
      <c r="C247" s="34"/>
      <c r="D247" s="13"/>
      <c r="E247" s="13"/>
      <c r="F247" s="13"/>
      <c r="G247" s="50"/>
      <c r="H247" s="175"/>
    </row>
  </sheetData>
  <mergeCells count="1">
    <mergeCell ref="A1:H1"/>
  </mergeCells>
  <conditionalFormatting sqref="A99 A102:A103 A105:A108 A110:A111">
    <cfRule type="expression" dxfId="87" priority="20">
      <formula>NOT(($F99-$D99)=0)</formula>
    </cfRule>
  </conditionalFormatting>
  <conditionalFormatting sqref="A113">
    <cfRule type="expression" dxfId="86" priority="29">
      <formula>(($F113-$D113)=0)</formula>
    </cfRule>
    <cfRule type="expression" dxfId="85" priority="30">
      <formula>(($F113-$D113)&gt;0)</formula>
    </cfRule>
  </conditionalFormatting>
  <conditionalFormatting sqref="A176:A191">
    <cfRule type="expression" dxfId="84" priority="1">
      <formula>(($E176-$D176)=0)</formula>
    </cfRule>
    <cfRule type="expression" dxfId="83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2" bestFit="1" customWidth="1"/>
    <col min="3" max="3" width="9.140625" style="113"/>
    <col min="4" max="16384" width="9.140625" style="23"/>
  </cols>
  <sheetData>
    <row r="1" spans="1:3">
      <c r="A1" s="254" t="s">
        <v>1</v>
      </c>
      <c r="B1" s="255"/>
      <c r="C1" s="255"/>
    </row>
    <row r="2" spans="1:3">
      <c r="A2" s="23" t="s">
        <v>3</v>
      </c>
      <c r="B2" s="112" t="s">
        <v>155</v>
      </c>
      <c r="C2" s="113" t="s">
        <v>4</v>
      </c>
    </row>
    <row r="3" spans="1:3">
      <c r="A3" s="40" t="s">
        <v>605</v>
      </c>
      <c r="B3" s="36">
        <v>1</v>
      </c>
      <c r="C3" s="119" t="s">
        <v>13</v>
      </c>
    </row>
    <row r="4" spans="1:3">
      <c r="A4" s="40" t="s">
        <v>38</v>
      </c>
      <c r="B4" s="36">
        <v>1</v>
      </c>
      <c r="C4" s="118" t="s">
        <v>13</v>
      </c>
    </row>
    <row r="5" spans="1:3">
      <c r="A5" s="40" t="s">
        <v>658</v>
      </c>
      <c r="B5" s="36">
        <v>1</v>
      </c>
      <c r="C5" s="118" t="s">
        <v>13</v>
      </c>
    </row>
    <row r="6" spans="1:3">
      <c r="A6" s="23" t="s">
        <v>330</v>
      </c>
      <c r="B6" s="112">
        <v>1</v>
      </c>
      <c r="C6" s="118" t="s">
        <v>13</v>
      </c>
    </row>
    <row r="7" spans="1:3">
      <c r="A7" s="40" t="s">
        <v>661</v>
      </c>
      <c r="B7" s="36">
        <v>1</v>
      </c>
      <c r="C7" s="118" t="s">
        <v>13</v>
      </c>
    </row>
    <row r="8" spans="1:3">
      <c r="A8" s="40" t="s">
        <v>670</v>
      </c>
      <c r="B8" s="36">
        <v>2</v>
      </c>
      <c r="C8" s="118" t="s">
        <v>13</v>
      </c>
    </row>
    <row r="9" spans="1:3">
      <c r="A9" s="23" t="s">
        <v>259</v>
      </c>
      <c r="B9" s="112">
        <v>1</v>
      </c>
      <c r="C9" s="118" t="s">
        <v>13</v>
      </c>
    </row>
    <row r="10" spans="1:3">
      <c r="A10" s="23" t="s">
        <v>341</v>
      </c>
      <c r="B10" s="112">
        <v>1</v>
      </c>
      <c r="C10" s="118" t="s">
        <v>13</v>
      </c>
    </row>
    <row r="11" spans="1:3">
      <c r="A11" s="23" t="s">
        <v>361</v>
      </c>
      <c r="B11" s="112">
        <v>2</v>
      </c>
      <c r="C11" s="118" t="s">
        <v>13</v>
      </c>
    </row>
    <row r="12" spans="1:3">
      <c r="A12" s="23" t="s">
        <v>362</v>
      </c>
      <c r="B12" s="112">
        <v>3</v>
      </c>
      <c r="C12" s="118" t="s">
        <v>13</v>
      </c>
    </row>
    <row r="13" spans="1:3">
      <c r="A13" s="23" t="s">
        <v>592</v>
      </c>
      <c r="B13" s="112">
        <v>1</v>
      </c>
      <c r="C13" s="118" t="s">
        <v>13</v>
      </c>
    </row>
    <row r="14" spans="1:3">
      <c r="A14" s="23" t="s">
        <v>593</v>
      </c>
      <c r="B14" s="112">
        <v>2</v>
      </c>
      <c r="C14" s="118" t="s">
        <v>13</v>
      </c>
    </row>
    <row r="15" spans="1:3">
      <c r="A15" s="23" t="s">
        <v>272</v>
      </c>
      <c r="B15" s="112">
        <v>1</v>
      </c>
      <c r="C15" s="118" t="s">
        <v>13</v>
      </c>
    </row>
    <row r="16" spans="1:3">
      <c r="A16" s="23" t="s">
        <v>594</v>
      </c>
      <c r="B16" s="112">
        <v>1</v>
      </c>
      <c r="C16" s="118" t="s">
        <v>13</v>
      </c>
    </row>
    <row r="17" spans="1:3">
      <c r="A17" s="23" t="s">
        <v>177</v>
      </c>
      <c r="B17" s="112">
        <v>1</v>
      </c>
      <c r="C17" s="118" t="s">
        <v>13</v>
      </c>
    </row>
    <row r="18" spans="1:3">
      <c r="A18" s="23" t="s">
        <v>252</v>
      </c>
      <c r="B18" s="112">
        <v>1</v>
      </c>
      <c r="C18" s="118" t="s">
        <v>13</v>
      </c>
    </row>
    <row r="19" spans="1:3">
      <c r="A19" s="23" t="s">
        <v>41</v>
      </c>
      <c r="B19" s="112">
        <v>1</v>
      </c>
      <c r="C19" s="118" t="s">
        <v>13</v>
      </c>
    </row>
    <row r="20" spans="1:3">
      <c r="A20" s="23" t="s">
        <v>251</v>
      </c>
      <c r="B20" s="112">
        <v>1</v>
      </c>
      <c r="C20" s="118" t="s">
        <v>13</v>
      </c>
    </row>
    <row r="21" spans="1:3">
      <c r="A21" s="23" t="s">
        <v>258</v>
      </c>
      <c r="B21" s="112">
        <v>1</v>
      </c>
      <c r="C21" s="118" t="s">
        <v>13</v>
      </c>
    </row>
    <row r="22" spans="1:3">
      <c r="A22" s="23" t="s">
        <v>446</v>
      </c>
      <c r="B22" s="112">
        <v>2</v>
      </c>
      <c r="C22" s="118" t="s">
        <v>13</v>
      </c>
    </row>
    <row r="23" spans="1:3">
      <c r="A23" s="23" t="s">
        <v>44</v>
      </c>
      <c r="B23" s="112">
        <v>1</v>
      </c>
      <c r="C23" s="118" t="s">
        <v>13</v>
      </c>
    </row>
    <row r="24" spans="1:3">
      <c r="A24" s="23" t="s">
        <v>80</v>
      </c>
      <c r="B24" s="112">
        <v>1</v>
      </c>
      <c r="C24" s="118" t="s">
        <v>13</v>
      </c>
    </row>
    <row r="25" spans="1:3">
      <c r="A25" s="40" t="s">
        <v>784</v>
      </c>
      <c r="B25" s="36">
        <v>1</v>
      </c>
      <c r="C25" s="118" t="s">
        <v>13</v>
      </c>
    </row>
    <row r="26" spans="1:3">
      <c r="A26" s="23" t="s">
        <v>595</v>
      </c>
      <c r="B26" s="112">
        <v>1</v>
      </c>
      <c r="C26" s="118" t="s">
        <v>13</v>
      </c>
    </row>
    <row r="27" spans="1:3">
      <c r="A27" s="23" t="s">
        <v>47</v>
      </c>
      <c r="B27" s="112">
        <v>1</v>
      </c>
      <c r="C27" s="118" t="s">
        <v>13</v>
      </c>
    </row>
    <row r="28" spans="1:3">
      <c r="A28" s="23" t="s">
        <v>596</v>
      </c>
      <c r="B28" s="112">
        <v>1</v>
      </c>
      <c r="C28" s="118" t="s">
        <v>13</v>
      </c>
    </row>
    <row r="29" spans="1:3">
      <c r="A29" s="23" t="s">
        <v>18</v>
      </c>
      <c r="B29" s="112">
        <v>1</v>
      </c>
      <c r="C29" s="118" t="s">
        <v>13</v>
      </c>
    </row>
    <row r="30" spans="1:3">
      <c r="A30" s="23" t="s">
        <v>597</v>
      </c>
      <c r="B30" s="112">
        <v>2</v>
      </c>
      <c r="C30" s="118" t="s">
        <v>13</v>
      </c>
    </row>
    <row r="31" spans="1:3">
      <c r="A31" s="188" t="s">
        <v>706</v>
      </c>
      <c r="B31" s="189">
        <v>1</v>
      </c>
      <c r="C31" s="187" t="s">
        <v>13</v>
      </c>
    </row>
    <row r="32" spans="1:3">
      <c r="A32" s="23" t="s">
        <v>256</v>
      </c>
      <c r="B32" s="112">
        <v>1</v>
      </c>
      <c r="C32" s="118" t="s">
        <v>13</v>
      </c>
    </row>
    <row r="33" spans="1:3">
      <c r="A33" s="40" t="s">
        <v>659</v>
      </c>
      <c r="B33" s="36">
        <v>1</v>
      </c>
      <c r="C33" s="118" t="s">
        <v>13</v>
      </c>
    </row>
    <row r="34" spans="1:3">
      <c r="A34" s="23" t="s">
        <v>20</v>
      </c>
      <c r="B34" s="112">
        <v>1</v>
      </c>
      <c r="C34" s="118" t="s">
        <v>13</v>
      </c>
    </row>
    <row r="35" spans="1:3">
      <c r="A35" s="23" t="s">
        <v>127</v>
      </c>
      <c r="B35" s="112">
        <v>1</v>
      </c>
      <c r="C35" s="118" t="s">
        <v>13</v>
      </c>
    </row>
    <row r="36" spans="1:3">
      <c r="A36" s="23" t="s">
        <v>52</v>
      </c>
      <c r="B36" s="112">
        <v>1</v>
      </c>
      <c r="C36" s="118" t="s">
        <v>13</v>
      </c>
    </row>
    <row r="37" spans="1:3">
      <c r="A37" s="23" t="s">
        <v>254</v>
      </c>
      <c r="B37" s="112">
        <v>1</v>
      </c>
      <c r="C37" s="118" t="s">
        <v>13</v>
      </c>
    </row>
    <row r="38" spans="1:3">
      <c r="A38" s="171" t="s">
        <v>668</v>
      </c>
      <c r="B38" s="172">
        <v>1</v>
      </c>
      <c r="C38" s="173" t="s">
        <v>13</v>
      </c>
    </row>
    <row r="39" spans="1:3">
      <c r="A39" s="40" t="s">
        <v>656</v>
      </c>
      <c r="B39" s="36">
        <v>1</v>
      </c>
      <c r="C39" s="118" t="s">
        <v>13</v>
      </c>
    </row>
    <row r="40" spans="1:3">
      <c r="A40" s="23" t="s">
        <v>342</v>
      </c>
      <c r="B40" s="112">
        <v>1</v>
      </c>
      <c r="C40" s="118" t="s">
        <v>13</v>
      </c>
    </row>
    <row r="41" spans="1:3">
      <c r="A41" s="40" t="s">
        <v>660</v>
      </c>
      <c r="B41" s="36">
        <v>1</v>
      </c>
      <c r="C41" s="118" t="s">
        <v>13</v>
      </c>
    </row>
    <row r="42" spans="1:3">
      <c r="A42" s="23" t="s">
        <v>331</v>
      </c>
      <c r="B42" s="112">
        <v>1</v>
      </c>
      <c r="C42" s="118" t="s">
        <v>13</v>
      </c>
    </row>
    <row r="43" spans="1:3">
      <c r="A43" s="23" t="s">
        <v>23</v>
      </c>
      <c r="B43" s="112">
        <v>1</v>
      </c>
      <c r="C43" s="118" t="s">
        <v>13</v>
      </c>
    </row>
    <row r="44" spans="1:3">
      <c r="A44" s="23" t="s">
        <v>598</v>
      </c>
      <c r="B44" s="112">
        <v>2</v>
      </c>
      <c r="C44" s="118" t="s">
        <v>13</v>
      </c>
    </row>
    <row r="45" spans="1:3">
      <c r="A45" s="23" t="s">
        <v>599</v>
      </c>
      <c r="B45" s="112">
        <v>3</v>
      </c>
      <c r="C45" s="118" t="s">
        <v>13</v>
      </c>
    </row>
    <row r="46" spans="1:3">
      <c r="A46" s="23" t="s">
        <v>401</v>
      </c>
      <c r="B46" s="112">
        <v>1</v>
      </c>
      <c r="C46" s="118" t="s">
        <v>13</v>
      </c>
    </row>
    <row r="47" spans="1:3">
      <c r="A47" s="23" t="s">
        <v>257</v>
      </c>
      <c r="B47" s="112">
        <v>1</v>
      </c>
      <c r="C47" s="118" t="s">
        <v>13</v>
      </c>
    </row>
    <row r="48" spans="1:3">
      <c r="A48" s="23" t="s">
        <v>25</v>
      </c>
      <c r="B48" s="112">
        <v>1</v>
      </c>
      <c r="C48" s="118" t="s">
        <v>13</v>
      </c>
    </row>
    <row r="49" spans="1:3">
      <c r="A49" s="23" t="s">
        <v>703</v>
      </c>
      <c r="B49" s="112">
        <v>1</v>
      </c>
      <c r="C49" s="118" t="s">
        <v>13</v>
      </c>
    </row>
    <row r="50" spans="1:3">
      <c r="A50" s="40" t="s">
        <v>683</v>
      </c>
      <c r="B50" s="36">
        <v>1</v>
      </c>
      <c r="C50" s="118" t="s">
        <v>13</v>
      </c>
    </row>
    <row r="51" spans="1:3">
      <c r="A51" s="40" t="s">
        <v>696</v>
      </c>
      <c r="B51" s="36">
        <v>2</v>
      </c>
      <c r="C51" s="118" t="s">
        <v>13</v>
      </c>
    </row>
    <row r="52" spans="1:3">
      <c r="A52" s="40" t="s">
        <v>684</v>
      </c>
      <c r="B52" s="36">
        <v>3</v>
      </c>
      <c r="C52" s="118" t="s">
        <v>13</v>
      </c>
    </row>
    <row r="53" spans="1:3">
      <c r="A53" s="40" t="s">
        <v>664</v>
      </c>
      <c r="B53" s="36">
        <v>1</v>
      </c>
      <c r="C53" s="118" t="s">
        <v>13</v>
      </c>
    </row>
    <row r="54" spans="1:3">
      <c r="A54" s="23" t="s">
        <v>600</v>
      </c>
      <c r="B54" s="112">
        <v>1</v>
      </c>
      <c r="C54" s="118" t="s">
        <v>13</v>
      </c>
    </row>
    <row r="55" spans="1:3">
      <c r="A55" s="23" t="s">
        <v>76</v>
      </c>
      <c r="B55" s="112">
        <v>1</v>
      </c>
      <c r="C55" s="118" t="s">
        <v>13</v>
      </c>
    </row>
    <row r="56" spans="1:3">
      <c r="A56" s="23" t="s">
        <v>601</v>
      </c>
      <c r="B56" s="112">
        <v>2</v>
      </c>
      <c r="C56" s="118" t="s">
        <v>13</v>
      </c>
    </row>
    <row r="57" spans="1:3">
      <c r="A57" s="23" t="s">
        <v>124</v>
      </c>
      <c r="B57" s="112">
        <v>1</v>
      </c>
      <c r="C57" s="118" t="s">
        <v>13</v>
      </c>
    </row>
    <row r="58" spans="1:3">
      <c r="A58" s="23" t="s">
        <v>31</v>
      </c>
      <c r="B58" s="112">
        <v>1</v>
      </c>
      <c r="C58" s="118" t="s">
        <v>13</v>
      </c>
    </row>
    <row r="59" spans="1:3">
      <c r="A59" s="23" t="s">
        <v>602</v>
      </c>
      <c r="B59" s="112">
        <v>2</v>
      </c>
      <c r="C59" s="118" t="s">
        <v>13</v>
      </c>
    </row>
    <row r="60" spans="1:3">
      <c r="A60" s="23" t="s">
        <v>34</v>
      </c>
      <c r="B60" s="112">
        <v>1</v>
      </c>
      <c r="C60" s="118" t="s">
        <v>13</v>
      </c>
    </row>
    <row r="61" spans="1:3">
      <c r="A61" s="23" t="s">
        <v>397</v>
      </c>
      <c r="B61" s="112">
        <v>1</v>
      </c>
      <c r="C61" s="118" t="s">
        <v>13</v>
      </c>
    </row>
    <row r="62" spans="1:3">
      <c r="A62" s="23" t="s">
        <v>260</v>
      </c>
      <c r="B62" s="112">
        <v>1</v>
      </c>
      <c r="C62" s="118" t="s">
        <v>13</v>
      </c>
    </row>
    <row r="63" spans="1:3">
      <c r="A63" s="23" t="s">
        <v>294</v>
      </c>
      <c r="B63" s="112">
        <v>1</v>
      </c>
      <c r="C63" s="120" t="s">
        <v>13</v>
      </c>
    </row>
    <row r="64" spans="1:3">
      <c r="A64" s="23" t="s">
        <v>395</v>
      </c>
      <c r="B64" s="112">
        <v>1</v>
      </c>
      <c r="C64" s="120" t="s">
        <v>13</v>
      </c>
    </row>
    <row r="65" spans="1:3">
      <c r="A65" s="23" t="s">
        <v>396</v>
      </c>
      <c r="B65" s="112">
        <v>2</v>
      </c>
      <c r="C65" s="120" t="s">
        <v>13</v>
      </c>
    </row>
    <row r="66" spans="1:3">
      <c r="A66" s="23" t="s">
        <v>449</v>
      </c>
      <c r="B66" s="112">
        <v>3</v>
      </c>
      <c r="C66" s="120" t="s">
        <v>13</v>
      </c>
    </row>
    <row r="67" spans="1:3">
      <c r="A67" s="23" t="s">
        <v>448</v>
      </c>
      <c r="B67" s="112">
        <v>4</v>
      </c>
      <c r="C67" s="120" t="s">
        <v>13</v>
      </c>
    </row>
    <row r="68" spans="1:3">
      <c r="A68" s="23" t="s">
        <v>382</v>
      </c>
      <c r="B68" s="112">
        <v>1</v>
      </c>
      <c r="C68" s="120" t="s">
        <v>39</v>
      </c>
    </row>
    <row r="69" spans="1:3">
      <c r="A69" s="40" t="s">
        <v>743</v>
      </c>
      <c r="B69" s="36">
        <v>1</v>
      </c>
      <c r="C69" s="120" t="s">
        <v>39</v>
      </c>
    </row>
    <row r="70" spans="1:3">
      <c r="A70" s="23" t="s">
        <v>591</v>
      </c>
      <c r="B70" s="112">
        <v>2</v>
      </c>
      <c r="C70" s="120" t="s">
        <v>39</v>
      </c>
    </row>
    <row r="71" spans="1:3">
      <c r="A71" s="23" t="s">
        <v>428</v>
      </c>
      <c r="B71" s="112">
        <v>3</v>
      </c>
      <c r="C71" s="120" t="s">
        <v>39</v>
      </c>
    </row>
    <row r="72" spans="1:3">
      <c r="A72" s="23" t="s">
        <v>429</v>
      </c>
      <c r="B72" s="112">
        <v>4</v>
      </c>
      <c r="C72" s="120" t="s">
        <v>39</v>
      </c>
    </row>
    <row r="73" spans="1:3">
      <c r="A73" s="40" t="s">
        <v>688</v>
      </c>
      <c r="B73" s="36">
        <v>1</v>
      </c>
      <c r="C73" s="120" t="s">
        <v>39</v>
      </c>
    </row>
    <row r="74" spans="1:3">
      <c r="A74" s="23" t="s">
        <v>404</v>
      </c>
      <c r="B74" s="112">
        <v>2</v>
      </c>
      <c r="C74" s="120" t="s">
        <v>39</v>
      </c>
    </row>
    <row r="75" spans="1:3">
      <c r="A75" s="23" t="s">
        <v>64</v>
      </c>
      <c r="B75" s="112">
        <v>1</v>
      </c>
      <c r="C75" s="120" t="s">
        <v>39</v>
      </c>
    </row>
    <row r="76" spans="1:3">
      <c r="A76" s="23" t="s">
        <v>71</v>
      </c>
      <c r="B76" s="112">
        <v>1</v>
      </c>
      <c r="C76" s="120" t="s">
        <v>39</v>
      </c>
    </row>
    <row r="77" spans="1:3">
      <c r="A77" s="23" t="s">
        <v>603</v>
      </c>
      <c r="B77" s="112">
        <v>2</v>
      </c>
      <c r="C77" s="120" t="s">
        <v>39</v>
      </c>
    </row>
    <row r="78" spans="1:3">
      <c r="C78" s="120"/>
    </row>
    <row r="79" spans="1:3">
      <c r="C79" s="120"/>
    </row>
    <row r="80" spans="1:3">
      <c r="A80" s="188"/>
      <c r="B80" s="189"/>
    </row>
    <row r="81" spans="1:2">
      <c r="A81" s="188"/>
      <c r="B81" s="189"/>
    </row>
    <row r="82" spans="1:2">
      <c r="A82" s="188"/>
      <c r="B82" s="18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4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56" t="s">
        <v>439</v>
      </c>
      <c r="B1" s="257"/>
      <c r="C1" s="257"/>
      <c r="D1" s="258"/>
    </row>
    <row r="2" spans="1:4" ht="16.5">
      <c r="A2" s="10" t="s">
        <v>3</v>
      </c>
      <c r="B2" s="20" t="s">
        <v>155</v>
      </c>
      <c r="C2" s="9" t="s">
        <v>432</v>
      </c>
      <c r="D2" s="11" t="s">
        <v>434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1">
        <v>41696</v>
      </c>
      <c r="D6" s="81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477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695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414</v>
      </c>
      <c r="B20" s="13">
        <v>1</v>
      </c>
      <c r="C20" s="14">
        <v>42004</v>
      </c>
      <c r="D20" s="14">
        <v>42004</v>
      </c>
    </row>
    <row r="21" spans="1:4" ht="16.5">
      <c r="A21" s="15" t="s">
        <v>614</v>
      </c>
      <c r="B21" s="13">
        <v>1</v>
      </c>
      <c r="C21" s="14">
        <v>42067</v>
      </c>
      <c r="D21" s="14">
        <v>42070</v>
      </c>
    </row>
    <row r="22" spans="1:4" ht="16.5">
      <c r="A22" s="15" t="s">
        <v>662</v>
      </c>
      <c r="B22" s="13">
        <v>1</v>
      </c>
      <c r="C22" s="14">
        <v>42067</v>
      </c>
      <c r="D22" s="14">
        <v>42073</v>
      </c>
    </row>
    <row r="23" spans="1:4" ht="16.5">
      <c r="A23" s="15" t="s">
        <v>413</v>
      </c>
      <c r="B23" s="13">
        <v>1</v>
      </c>
      <c r="C23" s="14">
        <v>42091</v>
      </c>
      <c r="D23" s="14">
        <v>42092</v>
      </c>
    </row>
    <row r="24" spans="1:4" ht="16.5">
      <c r="A24" s="15" t="s">
        <v>148</v>
      </c>
      <c r="B24" s="13">
        <v>1</v>
      </c>
      <c r="C24" s="14">
        <v>42102</v>
      </c>
      <c r="D24" s="14">
        <v>42109</v>
      </c>
    </row>
    <row r="25" spans="1:4" ht="16.5">
      <c r="A25" s="15" t="s">
        <v>148</v>
      </c>
      <c r="B25" s="13">
        <v>1</v>
      </c>
      <c r="C25" s="14">
        <v>42109</v>
      </c>
      <c r="D25" s="14">
        <v>42115</v>
      </c>
    </row>
    <row r="26" spans="1:4" ht="16.5">
      <c r="A26" s="15" t="s">
        <v>154</v>
      </c>
      <c r="B26" s="13">
        <v>1</v>
      </c>
      <c r="C26" s="14">
        <v>42124</v>
      </c>
      <c r="D26" s="14">
        <v>42129</v>
      </c>
    </row>
    <row r="27" spans="1:4" ht="16.5">
      <c r="A27" s="15" t="s">
        <v>88</v>
      </c>
      <c r="B27" s="13">
        <v>1</v>
      </c>
      <c r="C27" s="14">
        <v>42125</v>
      </c>
      <c r="D27" s="14">
        <v>42136</v>
      </c>
    </row>
    <row r="28" spans="1:4" ht="16.5">
      <c r="A28" s="15" t="s">
        <v>357</v>
      </c>
      <c r="B28" s="13">
        <v>1</v>
      </c>
      <c r="C28" s="14">
        <v>42301</v>
      </c>
      <c r="D28" s="14">
        <v>42305</v>
      </c>
    </row>
    <row r="29" spans="1:4" ht="16.5">
      <c r="A29" s="15" t="s">
        <v>613</v>
      </c>
      <c r="B29" s="13">
        <v>2</v>
      </c>
      <c r="C29" s="14">
        <v>42308</v>
      </c>
      <c r="D29" s="14">
        <v>42317</v>
      </c>
    </row>
    <row r="30" spans="1:4" ht="16.5">
      <c r="A30" s="15" t="s">
        <v>780</v>
      </c>
      <c r="B30" s="13">
        <v>1</v>
      </c>
      <c r="C30" s="14">
        <v>42314</v>
      </c>
      <c r="D30" s="14">
        <v>42320</v>
      </c>
    </row>
    <row r="31" spans="1:4" ht="16.5">
      <c r="A31" s="15" t="s">
        <v>337</v>
      </c>
      <c r="B31" s="13">
        <v>1</v>
      </c>
      <c r="C31" s="14">
        <v>42322</v>
      </c>
      <c r="D31" s="14">
        <v>42324</v>
      </c>
    </row>
    <row r="32" spans="1:4" ht="16.5">
      <c r="A32" s="15" t="s">
        <v>369</v>
      </c>
      <c r="B32" s="13">
        <v>1</v>
      </c>
      <c r="C32" s="14">
        <v>42325</v>
      </c>
      <c r="D32" s="14">
        <v>42327</v>
      </c>
    </row>
    <row r="33" spans="1:4" ht="16.5">
      <c r="A33" s="15" t="s">
        <v>756</v>
      </c>
      <c r="B33" s="13">
        <v>2</v>
      </c>
      <c r="C33" s="14">
        <v>42328</v>
      </c>
      <c r="D33" s="14">
        <v>42332</v>
      </c>
    </row>
    <row r="34" spans="1:4" ht="16.5">
      <c r="A34" s="15" t="s">
        <v>173</v>
      </c>
      <c r="B34" s="13">
        <v>1</v>
      </c>
      <c r="C34" s="14">
        <v>42352</v>
      </c>
      <c r="D34" s="14">
        <v>42356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65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56" t="s">
        <v>2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431</v>
      </c>
      <c r="J2" s="51" t="s">
        <v>560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676</v>
      </c>
      <c r="B4" s="28">
        <v>1</v>
      </c>
      <c r="C4" s="53">
        <v>10</v>
      </c>
      <c r="D4" s="53">
        <v>9.5</v>
      </c>
      <c r="E4" s="53">
        <v>7</v>
      </c>
      <c r="F4" s="53">
        <v>10</v>
      </c>
      <c r="G4" s="69">
        <f>(Completed[[#This Row],[Plot]]*'Vars and Stats'!$B$3+Completed[[#This Row],[Char.]]*'Vars and Stats'!$B$4+Completed[[#This Row],[Moe]]*'Vars and Stats'!$B$5+Completed[[#This Row],[Pref]]*'Vars and Stats'!$B$6)/'Vars and Stats'!$B$11</f>
        <v>9.7223618090452266</v>
      </c>
      <c r="H4" s="70">
        <f>IF('Vars and Stats'!$B$13="Y",10*(Completed[[#This Row],[Raw]]-'Vars and Stats'!$B$9)/'Vars and Stats'!$B$10, 10*Completed[[#This Row],[Raw]]/'Vars and Stats'!$B$8)</f>
        <v>9.6620144610728094</v>
      </c>
      <c r="I4" s="54">
        <v>42215</v>
      </c>
      <c r="J4" s="54">
        <v>42218</v>
      </c>
      <c r="K4" s="56" t="s">
        <v>754</v>
      </c>
      <c r="L4" s="29"/>
    </row>
    <row r="5" spans="1:12" ht="16.5">
      <c r="A5" s="21" t="s">
        <v>412</v>
      </c>
      <c r="B5" s="28">
        <v>1</v>
      </c>
      <c r="C5" s="53">
        <v>9.5</v>
      </c>
      <c r="D5" s="53">
        <v>10</v>
      </c>
      <c r="E5" s="53">
        <v>5</v>
      </c>
      <c r="F5" s="53">
        <v>10</v>
      </c>
      <c r="G5" s="69">
        <f>(Completed[[#This Row],[Plot]]*'Vars and Stats'!$B$3+Completed[[#This Row],[Char.]]*'Vars and Stats'!$B$4+Completed[[#This Row],[Moe]]*'Vars and Stats'!$B$5+Completed[[#This Row],[Pref]]*'Vars and Stats'!$B$6)/'Vars and Stats'!$B$11</f>
        <v>9.6695979899497484</v>
      </c>
      <c r="H5" s="70">
        <f>IF('Vars and Stats'!$B$13="Y",10*(Completed[[#This Row],[Raw]]-'Vars and Stats'!$B$9)/'Vars and Stats'!$B$10, 10*Completed[[#This Row],[Raw]]/'Vars and Stats'!$B$8)</f>
        <v>9.591390617117872</v>
      </c>
      <c r="I5" s="54">
        <v>42358</v>
      </c>
      <c r="J5" s="54">
        <v>42361</v>
      </c>
      <c r="K5" s="56" t="s">
        <v>789</v>
      </c>
      <c r="L5" s="29" t="s">
        <v>790</v>
      </c>
    </row>
    <row r="6" spans="1:12" ht="16.5">
      <c r="A6" s="21" t="s">
        <v>108</v>
      </c>
      <c r="B6" s="28">
        <v>1</v>
      </c>
      <c r="C6" s="53">
        <v>10</v>
      </c>
      <c r="D6" s="53">
        <v>9.5</v>
      </c>
      <c r="E6" s="53">
        <v>4.5</v>
      </c>
      <c r="F6" s="53">
        <v>10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9.6030150753768844</v>
      </c>
      <c r="H6" s="59">
        <f>IF('Vars and Stats'!$B$13="Y",10*(Completed[[#This Row],[Raw]]-'Vars and Stats'!$B$9)/'Vars and Stats'!$B$10, 10*Completed[[#This Row],[Raw]]/'Vars and Stats'!$B$8)</f>
        <v>9.5022700521271215</v>
      </c>
      <c r="I6" s="54">
        <v>41270</v>
      </c>
      <c r="J6" s="54">
        <v>41279</v>
      </c>
      <c r="K6" s="56" t="s">
        <v>186</v>
      </c>
      <c r="L6" s="29" t="s">
        <v>386</v>
      </c>
    </row>
    <row r="7" spans="1:12" ht="16.5">
      <c r="A7" s="21" t="s">
        <v>782</v>
      </c>
      <c r="B7" s="28">
        <v>1</v>
      </c>
      <c r="C7" s="53">
        <v>10</v>
      </c>
      <c r="D7" s="53">
        <v>9.5</v>
      </c>
      <c r="E7" s="53">
        <v>6</v>
      </c>
      <c r="F7" s="53">
        <v>9.75</v>
      </c>
      <c r="G7" s="69">
        <f>(Completed[[#This Row],[Plot]]*'Vars and Stats'!$B$3+Completed[[#This Row],[Char.]]*'Vars and Stats'!$B$4+Completed[[#This Row],[Moe]]*'Vars and Stats'!$B$5+Completed[[#This Row],[Pref]]*'Vars and Stats'!$B$6)/'Vars and Stats'!$B$11</f>
        <v>9.549623115577889</v>
      </c>
      <c r="H7" s="70">
        <f>IF('Vars and Stats'!$B$13="Y",10*(Completed[[#This Row],[Raw]]-'Vars and Stats'!$B$9)/'Vars and Stats'!$B$10, 10*Completed[[#This Row],[Raw]]/'Vars and Stats'!$B$8)</f>
        <v>9.4308054481251045</v>
      </c>
      <c r="I7" s="54">
        <v>42318</v>
      </c>
      <c r="J7" s="54">
        <v>42385</v>
      </c>
      <c r="K7" s="56" t="s">
        <v>808</v>
      </c>
      <c r="L7" s="29" t="s">
        <v>809</v>
      </c>
    </row>
    <row r="8" spans="1:12" ht="16.5">
      <c r="A8" s="21" t="s">
        <v>337</v>
      </c>
      <c r="B8" s="28">
        <v>1</v>
      </c>
      <c r="C8" s="53">
        <v>9.5</v>
      </c>
      <c r="D8" s="53">
        <v>9.5</v>
      </c>
      <c r="E8" s="53">
        <v>3.5</v>
      </c>
      <c r="F8" s="53">
        <v>10</v>
      </c>
      <c r="G8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8" s="59">
        <f>IF('Vars and Stats'!$B$13="Y",10*(Completed[[#This Row],[Raw]]-'Vars and Stats'!$B$9)/'Vars and Stats'!$B$10, 10*Completed[[#This Row],[Raw]]/'Vars and Stats'!$B$8)</f>
        <v>9.3156213216747918</v>
      </c>
      <c r="I8" s="54">
        <v>41646</v>
      </c>
      <c r="J8" s="54">
        <v>41647</v>
      </c>
      <c r="K8" s="56" t="s">
        <v>376</v>
      </c>
      <c r="L8" s="29" t="s">
        <v>377</v>
      </c>
    </row>
    <row r="9" spans="1:12" ht="16.5">
      <c r="A9" s="21" t="s">
        <v>125</v>
      </c>
      <c r="B9" s="28">
        <v>1</v>
      </c>
      <c r="C9" s="53">
        <v>10</v>
      </c>
      <c r="D9" s="53">
        <v>10</v>
      </c>
      <c r="E9" s="53">
        <v>3</v>
      </c>
      <c r="F9" s="53">
        <v>9.5</v>
      </c>
      <c r="G9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9" s="59">
        <f>IF('Vars and Stats'!$B$13="Y",10*(Completed[[#This Row],[Raw]]-'Vars and Stats'!$B$9)/'Vars and Stats'!$B$10, 10*Completed[[#This Row],[Raw]]/'Vars and Stats'!$B$8)</f>
        <v>9.2517235580965203</v>
      </c>
      <c r="I9" s="54">
        <v>41607</v>
      </c>
      <c r="J9" s="54">
        <v>41634</v>
      </c>
      <c r="K9" s="56" t="s">
        <v>343</v>
      </c>
      <c r="L9" s="29" t="s">
        <v>344</v>
      </c>
    </row>
    <row r="10" spans="1:12" ht="16.5">
      <c r="A10" s="177" t="s">
        <v>614</v>
      </c>
      <c r="B10" s="178">
        <v>1</v>
      </c>
      <c r="C10" s="179">
        <v>10</v>
      </c>
      <c r="D10" s="179">
        <v>9.5</v>
      </c>
      <c r="E10" s="179">
        <v>4</v>
      </c>
      <c r="F10" s="179">
        <v>9.5</v>
      </c>
      <c r="G10" s="185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10" s="186">
        <f>IF('Vars and Stats'!$B$13="Y",10*(Completed[[#This Row],[Raw]]-'Vars and Stats'!$B$9)/'Vars and Stats'!$B$10, 10*Completed[[#This Row],[Raw]]/'Vars and Stats'!$B$8)</f>
        <v>9.1356986715991262</v>
      </c>
      <c r="I10" s="180">
        <v>41831</v>
      </c>
      <c r="J10" s="180">
        <v>42017</v>
      </c>
      <c r="K10" s="181" t="s">
        <v>698</v>
      </c>
      <c r="L10" s="182"/>
    </row>
    <row r="11" spans="1:12" ht="16.5">
      <c r="A11" s="21" t="s">
        <v>410</v>
      </c>
      <c r="B11" s="28">
        <v>1</v>
      </c>
      <c r="C11" s="53">
        <v>9</v>
      </c>
      <c r="D11" s="53">
        <v>9.5</v>
      </c>
      <c r="E11" s="53">
        <v>7</v>
      </c>
      <c r="F11" s="53">
        <v>9.5</v>
      </c>
      <c r="G11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11" s="70">
        <f>IF('Vars and Stats'!$B$13="Y",10*(Completed[[#This Row],[Raw]]-'Vars and Stats'!$B$9)/'Vars and Stats'!$B$10, 10*Completed[[#This Row],[Raw]]/'Vars and Stats'!$B$8)</f>
        <v>9.0818900285858408</v>
      </c>
      <c r="I11" s="49">
        <v>41749</v>
      </c>
      <c r="J11" s="54">
        <v>41815</v>
      </c>
      <c r="K11" s="56" t="s">
        <v>572</v>
      </c>
      <c r="L11" s="29" t="s">
        <v>573</v>
      </c>
    </row>
    <row r="12" spans="1:12" ht="16.5">
      <c r="A12" s="21" t="s">
        <v>27</v>
      </c>
      <c r="B12" s="28">
        <v>1</v>
      </c>
      <c r="C12" s="53">
        <v>10</v>
      </c>
      <c r="D12" s="53">
        <v>9</v>
      </c>
      <c r="E12" s="53">
        <v>5</v>
      </c>
      <c r="F12" s="53">
        <v>9.5</v>
      </c>
      <c r="G12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12" s="59">
        <f>IF('Vars and Stats'!$B$13="Y",10*(Completed[[#This Row],[Raw]]-'Vars and Stats'!$B$9)/'Vars and Stats'!$B$10, 10*Completed[[#This Row],[Raw]]/'Vars and Stats'!$B$8)</f>
        <v>9.0196737851017303</v>
      </c>
      <c r="I12" s="54">
        <v>41742</v>
      </c>
      <c r="J12" s="54">
        <v>41746</v>
      </c>
      <c r="K12" s="56" t="s">
        <v>417</v>
      </c>
      <c r="L12" s="29" t="s">
        <v>418</v>
      </c>
    </row>
    <row r="13" spans="1:12" ht="16.5">
      <c r="A13" s="21" t="s">
        <v>563</v>
      </c>
      <c r="B13" s="28">
        <v>2</v>
      </c>
      <c r="C13" s="53">
        <v>9.5</v>
      </c>
      <c r="D13" s="53">
        <v>10</v>
      </c>
      <c r="E13" s="53">
        <v>6</v>
      </c>
      <c r="F13" s="53">
        <v>9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3" s="59">
        <f>IF('Vars and Stats'!$B$13="Y",10*(Completed[[#This Row],[Raw]]-'Vars and Stats'!$B$9)/'Vars and Stats'!$B$10, 10*Completed[[#This Row],[Raw]]/'Vars and Stats'!$B$8)</f>
        <v>8.9860433832184299</v>
      </c>
      <c r="I13" s="54">
        <v>41293</v>
      </c>
      <c r="J13" s="54">
        <v>41294</v>
      </c>
      <c r="K13" s="56" t="s">
        <v>162</v>
      </c>
      <c r="L13" s="40" t="s">
        <v>21</v>
      </c>
    </row>
    <row r="14" spans="1:12" ht="16.5">
      <c r="A14" s="21" t="s">
        <v>447</v>
      </c>
      <c r="B14" s="28">
        <v>2</v>
      </c>
      <c r="C14" s="53">
        <v>9</v>
      </c>
      <c r="D14" s="53">
        <v>9</v>
      </c>
      <c r="E14" s="53">
        <v>8</v>
      </c>
      <c r="F14" s="53">
        <v>9.5</v>
      </c>
      <c r="G14" s="69">
        <f>(Completed[[#This Row],[Plot]]*'Vars and Stats'!$B$3+Completed[[#This Row],[Char.]]*'Vars and Stats'!$B$4+Completed[[#This Row],[Moe]]*'Vars and Stats'!$B$5+Completed[[#This Row],[Pref]]*'Vars and Stats'!$B$6)/'Vars and Stats'!$B$11</f>
        <v>9.2022613065326642</v>
      </c>
      <c r="H14" s="70">
        <f>IF('Vars and Stats'!$B$13="Y",10*(Completed[[#This Row],[Raw]]-'Vars and Stats'!$B$9)/'Vars and Stats'!$B$10, 10*Completed[[#This Row],[Raw]]/'Vars and Stats'!$B$8)</f>
        <v>8.9658651420884485</v>
      </c>
      <c r="I14" s="54">
        <v>42352</v>
      </c>
      <c r="J14" s="54">
        <v>42358</v>
      </c>
      <c r="K14" s="56" t="s">
        <v>788</v>
      </c>
      <c r="L14" s="29"/>
    </row>
    <row r="15" spans="1:12" ht="16.5">
      <c r="A15" s="21" t="s">
        <v>726</v>
      </c>
      <c r="B15" s="28">
        <v>2</v>
      </c>
      <c r="C15" s="53">
        <v>10</v>
      </c>
      <c r="D15" s="53">
        <v>9</v>
      </c>
      <c r="E15" s="53">
        <v>4</v>
      </c>
      <c r="F15" s="53">
        <v>9.5</v>
      </c>
      <c r="G15" s="6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5" s="70">
        <f>IF('Vars and Stats'!$B$13="Y",10*(Completed[[#This Row],[Raw]]-'Vars and Stats'!$B$9)/'Vars and Stats'!$B$10, 10*Completed[[#This Row],[Raw]]/'Vars and Stats'!$B$8)</f>
        <v>8.9557760215234552</v>
      </c>
      <c r="I15" s="54">
        <v>42029</v>
      </c>
      <c r="J15" s="54">
        <v>42095</v>
      </c>
      <c r="K15" s="56" t="s">
        <v>426</v>
      </c>
      <c r="L15" s="29"/>
    </row>
    <row r="16" spans="1:12" ht="16.5">
      <c r="A16" s="21" t="s">
        <v>126</v>
      </c>
      <c r="B16" s="28">
        <v>1</v>
      </c>
      <c r="C16" s="53">
        <v>10</v>
      </c>
      <c r="D16" s="53">
        <v>9</v>
      </c>
      <c r="E16" s="53">
        <v>4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6" s="59">
        <f>IF('Vars and Stats'!$B$13="Y",10*(Completed[[#This Row],[Raw]]-'Vars and Stats'!$B$9)/'Vars and Stats'!$B$10, 10*Completed[[#This Row],[Raw]]/'Vars and Stats'!$B$8)</f>
        <v>8.9557760215234552</v>
      </c>
      <c r="I16" s="54">
        <v>41750</v>
      </c>
      <c r="J16" s="54">
        <v>41756</v>
      </c>
      <c r="K16" s="56" t="s">
        <v>426</v>
      </c>
      <c r="L16" s="29"/>
    </row>
    <row r="17" spans="1:12" ht="16.5">
      <c r="A17" s="21" t="s">
        <v>780</v>
      </c>
      <c r="B17" s="28">
        <v>1</v>
      </c>
      <c r="C17" s="53">
        <v>9</v>
      </c>
      <c r="D17" s="53">
        <v>9</v>
      </c>
      <c r="E17" s="53">
        <v>7.5</v>
      </c>
      <c r="F17" s="53">
        <v>9.5</v>
      </c>
      <c r="G17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7" s="70">
        <f>IF('Vars and Stats'!$B$13="Y",10*(Completed[[#This Row],[Raw]]-'Vars and Stats'!$B$9)/'Vars and Stats'!$B$10, 10*Completed[[#This Row],[Raw]]/'Vars and Stats'!$B$8)</f>
        <v>8.933916260299311</v>
      </c>
      <c r="I17" s="49">
        <v>41814</v>
      </c>
      <c r="J17" s="54">
        <v>41815</v>
      </c>
      <c r="K17" s="56" t="s">
        <v>569</v>
      </c>
      <c r="L17" s="29" t="s">
        <v>570</v>
      </c>
    </row>
    <row r="18" spans="1:12" ht="16.5">
      <c r="A18" s="21" t="s">
        <v>26</v>
      </c>
      <c r="B18" s="28">
        <v>1</v>
      </c>
      <c r="C18" s="53">
        <v>9</v>
      </c>
      <c r="D18" s="53">
        <v>9.5</v>
      </c>
      <c r="E18" s="53">
        <v>4.5</v>
      </c>
      <c r="F18" s="53">
        <v>9.5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8" s="59">
        <f>IF('Vars and Stats'!$B$13="Y",10*(Completed[[#This Row],[Raw]]-'Vars and Stats'!$B$9)/'Vars and Stats'!$B$10, 10*Completed[[#This Row],[Raw]]/'Vars and Stats'!$B$8)</f>
        <v>8.9221456196401565</v>
      </c>
      <c r="I18" s="54">
        <v>41357</v>
      </c>
      <c r="J18" s="54">
        <v>41357</v>
      </c>
      <c r="K18" s="56" t="s">
        <v>187</v>
      </c>
      <c r="L18" s="29"/>
    </row>
    <row r="19" spans="1:12" ht="16.5">
      <c r="A19" s="21" t="s">
        <v>729</v>
      </c>
      <c r="B19" s="28">
        <v>1</v>
      </c>
      <c r="C19" s="53">
        <v>9.5</v>
      </c>
      <c r="D19" s="53">
        <v>9</v>
      </c>
      <c r="E19" s="53">
        <v>5</v>
      </c>
      <c r="F19" s="53">
        <v>9.5</v>
      </c>
      <c r="G19" s="69">
        <f>(Completed[[#This Row],[Plot]]*'Vars and Stats'!$B$3+Completed[[#This Row],[Char.]]*'Vars and Stats'!$B$4+Completed[[#This Row],[Moe]]*'Vars and Stats'!$B$5+Completed[[#This Row],[Pref]]*'Vars and Stats'!$B$6)/'Vars and Stats'!$B$11</f>
        <v>9.150753768844222</v>
      </c>
      <c r="H19" s="70">
        <f>IF('Vars and Stats'!$B$13="Y",10*(Completed[[#This Row],[Raw]]-'Vars and Stats'!$B$9)/'Vars and Stats'!$B$10, 10*Completed[[#This Row],[Raw]]/'Vars and Stats'!$B$8)</f>
        <v>8.8969228182276776</v>
      </c>
      <c r="I19" s="54">
        <v>42043</v>
      </c>
      <c r="J19" s="54">
        <v>42101</v>
      </c>
      <c r="K19" s="56" t="s">
        <v>735</v>
      </c>
      <c r="L19" s="29"/>
    </row>
    <row r="20" spans="1:12" ht="16.5">
      <c r="A20" s="21" t="s">
        <v>279</v>
      </c>
      <c r="B20" s="28">
        <v>1</v>
      </c>
      <c r="C20" s="53">
        <v>8.5</v>
      </c>
      <c r="D20" s="53">
        <v>9</v>
      </c>
      <c r="E20" s="53">
        <v>6.5</v>
      </c>
      <c r="F20" s="53">
        <v>9.5</v>
      </c>
      <c r="G20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20" s="59">
        <f>IF('Vars and Stats'!$B$13="Y",10*(Completed[[#This Row],[Raw]]-'Vars and Stats'!$B$9)/'Vars and Stats'!$B$10, 10*Completed[[#This Row],[Raw]]/'Vars and Stats'!$B$8)</f>
        <v>8.7472675298469813</v>
      </c>
      <c r="I20" s="54">
        <v>41555</v>
      </c>
      <c r="J20" s="54">
        <v>41720</v>
      </c>
      <c r="K20" s="56" t="s">
        <v>290</v>
      </c>
      <c r="L20" s="29" t="s">
        <v>391</v>
      </c>
    </row>
    <row r="21" spans="1:12" ht="16.5">
      <c r="A21" s="21" t="s">
        <v>115</v>
      </c>
      <c r="B21" s="28">
        <v>1</v>
      </c>
      <c r="C21" s="53">
        <v>9</v>
      </c>
      <c r="D21" s="53">
        <v>9.5</v>
      </c>
      <c r="E21" s="53">
        <v>6.5</v>
      </c>
      <c r="F21" s="53">
        <v>9</v>
      </c>
      <c r="G21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21" s="59">
        <f>IF('Vars and Stats'!$B$13="Y",10*(Completed[[#This Row],[Raw]]-'Vars and Stats'!$B$9)/'Vars and Stats'!$B$10, 10*Completed[[#This Row],[Raw]]/'Vars and Stats'!$B$8)</f>
        <v>8.7153186480578437</v>
      </c>
      <c r="I21" s="54">
        <v>41636</v>
      </c>
      <c r="J21" s="54">
        <v>41636</v>
      </c>
      <c r="K21" s="56" t="s">
        <v>365</v>
      </c>
      <c r="L21" s="29" t="s">
        <v>366</v>
      </c>
    </row>
    <row r="22" spans="1:12" ht="16.5">
      <c r="A22" s="21" t="s">
        <v>414</v>
      </c>
      <c r="B22" s="28">
        <v>1</v>
      </c>
      <c r="C22" s="53">
        <v>10</v>
      </c>
      <c r="D22" s="53">
        <v>8.5</v>
      </c>
      <c r="E22" s="53">
        <v>3</v>
      </c>
      <c r="F22" s="53">
        <v>9.5</v>
      </c>
      <c r="G22" s="69">
        <f>(Completed[[#This Row],[Plot]]*'Vars and Stats'!$B$3+Completed[[#This Row],[Char.]]*'Vars and Stats'!$B$4+Completed[[#This Row],[Moe]]*'Vars and Stats'!$B$5+Completed[[#This Row],[Pref]]*'Vars and Stats'!$B$6)/'Vars and Stats'!$B$11</f>
        <v>9.0125628140703533</v>
      </c>
      <c r="H22" s="70">
        <f>IF('Vars and Stats'!$B$13="Y",10*(Completed[[#This Row],[Raw]]-'Vars and Stats'!$B$9)/'Vars and Stats'!$B$10, 10*Completed[[#This Row],[Raw]]/'Vars and Stats'!$B$8)</f>
        <v>8.7119556078695162</v>
      </c>
      <c r="I22" s="110">
        <v>41750</v>
      </c>
      <c r="J22" s="54">
        <v>41817</v>
      </c>
      <c r="K22" s="55" t="s">
        <v>123</v>
      </c>
      <c r="L22" s="29" t="s">
        <v>579</v>
      </c>
    </row>
    <row r="23" spans="1:12" ht="16.5">
      <c r="A23" s="21" t="s">
        <v>28</v>
      </c>
      <c r="B23" s="28">
        <v>1</v>
      </c>
      <c r="C23" s="53">
        <v>9</v>
      </c>
      <c r="D23" s="53">
        <v>9</v>
      </c>
      <c r="E23" s="53">
        <v>4</v>
      </c>
      <c r="F23" s="53">
        <v>9.5</v>
      </c>
      <c r="G23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23" s="59">
        <f>IF('Vars and Stats'!$B$13="Y",10*(Completed[[#This Row],[Raw]]-'Vars and Stats'!$B$9)/'Vars and Stats'!$B$10, 10*Completed[[#This Row],[Raw]]/'Vars and Stats'!$B$8)</f>
        <v>8.7102740877753533</v>
      </c>
      <c r="I23" s="54">
        <v>41295</v>
      </c>
      <c r="J23" s="54">
        <v>41300</v>
      </c>
      <c r="K23" s="56" t="s">
        <v>159</v>
      </c>
      <c r="L23" s="29" t="s">
        <v>29</v>
      </c>
    </row>
    <row r="24" spans="1:12" ht="16.5">
      <c r="A24" s="21" t="s">
        <v>415</v>
      </c>
      <c r="B24" s="28">
        <v>1</v>
      </c>
      <c r="C24" s="53">
        <v>10</v>
      </c>
      <c r="D24" s="53">
        <v>9</v>
      </c>
      <c r="E24" s="53">
        <v>5</v>
      </c>
      <c r="F24" s="53">
        <v>9</v>
      </c>
      <c r="G24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24" s="70">
        <f>IF('Vars and Stats'!$B$13="Y",10*(Completed[[#This Row],[Raw]]-'Vars and Stats'!$B$9)/'Vars and Stats'!$B$10, 10*Completed[[#This Row],[Raw]]/'Vars and Stats'!$B$8)</f>
        <v>8.6850512863628726</v>
      </c>
      <c r="I24" s="49">
        <v>41796</v>
      </c>
      <c r="J24" s="54">
        <v>41816</v>
      </c>
      <c r="K24" s="56" t="s">
        <v>578</v>
      </c>
      <c r="L24" s="29"/>
    </row>
    <row r="25" spans="1:12" ht="16.5">
      <c r="A25" s="21" t="s">
        <v>281</v>
      </c>
      <c r="B25" s="28">
        <v>2</v>
      </c>
      <c r="C25" s="53">
        <v>9</v>
      </c>
      <c r="D25" s="53">
        <v>9.5</v>
      </c>
      <c r="E25" s="53">
        <v>6</v>
      </c>
      <c r="F25" s="53">
        <v>9</v>
      </c>
      <c r="G25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25" s="59">
        <f>IF('Vars and Stats'!$B$13="Y",10*(Completed[[#This Row],[Raw]]-'Vars and Stats'!$B$9)/'Vars and Stats'!$B$10, 10*Completed[[#This Row],[Raw]]/'Vars and Stats'!$B$8)</f>
        <v>8.6833697662687044</v>
      </c>
      <c r="I25" s="54">
        <v>41553</v>
      </c>
      <c r="J25" s="54">
        <v>41632</v>
      </c>
      <c r="K25" s="56" t="s">
        <v>295</v>
      </c>
      <c r="L25" s="29"/>
    </row>
    <row r="26" spans="1:12" ht="16.5">
      <c r="A26" s="177" t="s">
        <v>611</v>
      </c>
      <c r="B26" s="178">
        <v>1</v>
      </c>
      <c r="C26" s="179">
        <v>10</v>
      </c>
      <c r="D26" s="179">
        <v>9</v>
      </c>
      <c r="E26" s="179">
        <v>4.5</v>
      </c>
      <c r="F26" s="179">
        <v>9</v>
      </c>
      <c r="G26" s="185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26" s="186">
        <f>IF('Vars and Stats'!$B$13="Y",10*(Completed[[#This Row],[Raw]]-'Vars and Stats'!$B$9)/'Vars and Stats'!$B$10, 10*Completed[[#This Row],[Raw]]/'Vars and Stats'!$B$8)</f>
        <v>8.6531024045737333</v>
      </c>
      <c r="I26" s="180">
        <v>41831</v>
      </c>
      <c r="J26" s="180">
        <v>42017</v>
      </c>
      <c r="K26" s="181" t="s">
        <v>699</v>
      </c>
      <c r="L26" s="182" t="s">
        <v>700</v>
      </c>
    </row>
    <row r="27" spans="1:12" ht="16.5">
      <c r="A27" s="21" t="s">
        <v>692</v>
      </c>
      <c r="B27" s="28">
        <v>1</v>
      </c>
      <c r="C27" s="53">
        <v>9.5</v>
      </c>
      <c r="D27" s="53">
        <v>9</v>
      </c>
      <c r="E27" s="53">
        <v>6</v>
      </c>
      <c r="F27" s="53">
        <v>9</v>
      </c>
      <c r="G27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7" s="70">
        <f>IF('Vars and Stats'!$B$13="Y",10*(Completed[[#This Row],[Raw]]-'Vars and Stats'!$B$9)/'Vars and Stats'!$B$10, 10*Completed[[#This Row],[Raw]]/'Vars and Stats'!$B$8)</f>
        <v>8.6261980830670932</v>
      </c>
      <c r="I27" s="54">
        <v>42026</v>
      </c>
      <c r="J27" s="54">
        <v>42029</v>
      </c>
      <c r="K27" s="56" t="s">
        <v>725</v>
      </c>
      <c r="L27" s="29"/>
    </row>
    <row r="28" spans="1:12" ht="16.5">
      <c r="A28" s="164" t="s">
        <v>689</v>
      </c>
      <c r="B28" s="165">
        <v>1</v>
      </c>
      <c r="C28" s="166">
        <v>8</v>
      </c>
      <c r="D28" s="166">
        <v>9</v>
      </c>
      <c r="E28" s="166">
        <v>6.5</v>
      </c>
      <c r="F28" s="166">
        <v>9.5</v>
      </c>
      <c r="G28" s="79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8" s="80">
        <f>IF('Vars and Stats'!$B$13="Y",10*(Completed[[#This Row],[Raw]]-'Vars and Stats'!$B$9)/'Vars and Stats'!$B$10, 10*Completed[[#This Row],[Raw]]/'Vars and Stats'!$B$8)</f>
        <v>8.624516562972925</v>
      </c>
      <c r="I28" s="167">
        <v>42023</v>
      </c>
      <c r="J28" s="167">
        <v>42026</v>
      </c>
      <c r="K28" s="168" t="s">
        <v>723</v>
      </c>
      <c r="L28" s="169" t="s">
        <v>724</v>
      </c>
    </row>
    <row r="29" spans="1:12" ht="16.5">
      <c r="A29" s="21" t="s">
        <v>278</v>
      </c>
      <c r="B29" s="28">
        <v>1</v>
      </c>
      <c r="C29" s="53">
        <v>9</v>
      </c>
      <c r="D29" s="53">
        <v>8.5</v>
      </c>
      <c r="E29" s="53">
        <v>5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9" s="59">
        <f>IF('Vars and Stats'!$B$13="Y",10*(Completed[[#This Row],[Raw]]-'Vars and Stats'!$B$9)/'Vars and Stats'!$B$10, 10*Completed[[#This Row],[Raw]]/'Vars and Stats'!$B$8)</f>
        <v>8.5942492012779557</v>
      </c>
      <c r="I29" s="54">
        <v>41555</v>
      </c>
      <c r="J29" s="54">
        <v>41726</v>
      </c>
      <c r="K29" s="56" t="s">
        <v>387</v>
      </c>
      <c r="L29" s="29" t="s">
        <v>388</v>
      </c>
    </row>
    <row r="30" spans="1:12" ht="16.5">
      <c r="A30" s="21" t="s">
        <v>116</v>
      </c>
      <c r="B30" s="28">
        <v>1</v>
      </c>
      <c r="C30" s="53">
        <v>9.5</v>
      </c>
      <c r="D30" s="53">
        <v>8.5</v>
      </c>
      <c r="E30" s="53">
        <v>3</v>
      </c>
      <c r="F30" s="53">
        <v>9.5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30" s="59">
        <f>IF('Vars and Stats'!$B$13="Y",10*(Completed[[#This Row],[Raw]]-'Vars and Stats'!$B$9)/'Vars and Stats'!$B$10, 10*Completed[[#This Row],[Raw]]/'Vars and Stats'!$B$8)</f>
        <v>8.5892046409954599</v>
      </c>
      <c r="I30" s="54">
        <v>41477</v>
      </c>
      <c r="J30" s="54">
        <v>41479</v>
      </c>
      <c r="K30" s="56" t="s">
        <v>190</v>
      </c>
      <c r="L30" s="29"/>
    </row>
    <row r="31" spans="1:12" ht="16.5">
      <c r="A31" s="164" t="s">
        <v>413</v>
      </c>
      <c r="B31" s="165">
        <v>1</v>
      </c>
      <c r="C31" s="166">
        <v>9.5</v>
      </c>
      <c r="D31" s="166">
        <v>8.5</v>
      </c>
      <c r="E31" s="166">
        <v>7.5</v>
      </c>
      <c r="F31" s="166">
        <v>9</v>
      </c>
      <c r="G31" s="79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31" s="80">
        <f>IF('Vars and Stats'!$B$13="Y",10*(Completed[[#This Row],[Raw]]-'Vars and Stats'!$B$9)/'Vars and Stats'!$B$10, 10*Completed[[#This Row],[Raw]]/'Vars and Stats'!$B$8)</f>
        <v>8.5421220783588367</v>
      </c>
      <c r="I31" s="49">
        <v>41750</v>
      </c>
      <c r="J31" s="167">
        <v>41815</v>
      </c>
      <c r="K31" s="168" t="s">
        <v>577</v>
      </c>
      <c r="L31" s="169"/>
    </row>
    <row r="32" spans="1:12" ht="16.5">
      <c r="A32" s="21" t="s">
        <v>662</v>
      </c>
      <c r="B32" s="28">
        <v>1</v>
      </c>
      <c r="C32" s="53">
        <v>8.5</v>
      </c>
      <c r="D32" s="53">
        <v>9</v>
      </c>
      <c r="E32" s="53">
        <v>8.5</v>
      </c>
      <c r="F32" s="53">
        <v>9</v>
      </c>
      <c r="G32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32" s="70">
        <f>IF('Vars and Stats'!$B$13="Y",10*(Completed[[#This Row],[Raw]]-'Vars and Stats'!$B$9)/'Vars and Stats'!$B$10, 10*Completed[[#This Row],[Raw]]/'Vars and Stats'!$B$8)</f>
        <v>8.5404405582646721</v>
      </c>
      <c r="I32" s="54">
        <v>41862</v>
      </c>
      <c r="J32" s="54">
        <v>41907</v>
      </c>
      <c r="K32" s="56" t="s">
        <v>663</v>
      </c>
      <c r="L32" s="29"/>
    </row>
    <row r="33" spans="1:12" ht="16.5">
      <c r="A33" s="21" t="s">
        <v>153</v>
      </c>
      <c r="B33" s="28">
        <v>3</v>
      </c>
      <c r="C33" s="53">
        <v>8.5</v>
      </c>
      <c r="D33" s="53">
        <v>8.5</v>
      </c>
      <c r="E33" s="53">
        <v>6</v>
      </c>
      <c r="F33" s="53">
        <v>9.5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33" s="59">
        <f>IF('Vars and Stats'!$B$13="Y",10*(Completed[[#This Row],[Raw]]-'Vars and Stats'!$B$9)/'Vars and Stats'!$B$10, 10*Completed[[#This Row],[Raw]]/'Vars and Stats'!$B$8)</f>
        <v>8.5353959979821745</v>
      </c>
      <c r="I33" s="54">
        <v>41400</v>
      </c>
      <c r="J33" s="54">
        <v>41402</v>
      </c>
      <c r="K33" s="56" t="s">
        <v>157</v>
      </c>
      <c r="L33" s="29"/>
    </row>
    <row r="34" spans="1:12" ht="16.5">
      <c r="A34" s="215" t="s">
        <v>791</v>
      </c>
      <c r="B34" s="216">
        <v>1</v>
      </c>
      <c r="C34" s="217">
        <v>9</v>
      </c>
      <c r="D34" s="217">
        <v>9</v>
      </c>
      <c r="E34" s="217">
        <v>6</v>
      </c>
      <c r="F34" s="217">
        <v>9</v>
      </c>
      <c r="G34" s="221">
        <f>(Completed[[#This Row],[Plot]]*'Vars and Stats'!$B$3+Completed[[#This Row],[Char.]]*'Vars and Stats'!$B$4+Completed[[#This Row],[Moe]]*'Vars and Stats'!$B$5+Completed[[#This Row],[Pref]]*'Vars and Stats'!$B$6)/'Vars and Stats'!$B$11</f>
        <v>8.8567839195979907</v>
      </c>
      <c r="H34" s="222">
        <f>IF('Vars and Stats'!$B$13="Y",10*(Completed[[#This Row],[Raw]]-'Vars and Stats'!$B$9)/'Vars and Stats'!$B$10, 10*Completed[[#This Row],[Raw]]/'Vars and Stats'!$B$8)</f>
        <v>8.5034471161930387</v>
      </c>
      <c r="I34" s="218">
        <v>42295</v>
      </c>
      <c r="J34" s="218">
        <v>42361</v>
      </c>
      <c r="K34" s="219" t="s">
        <v>792</v>
      </c>
      <c r="L34" s="220"/>
    </row>
    <row r="35" spans="1:12" ht="16.5">
      <c r="A35" s="21" t="s">
        <v>146</v>
      </c>
      <c r="B35" s="28">
        <v>1</v>
      </c>
      <c r="C35" s="53">
        <v>9</v>
      </c>
      <c r="D35" s="53">
        <v>9</v>
      </c>
      <c r="E35" s="53">
        <v>5.5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35" s="59">
        <f>IF('Vars and Stats'!$B$13="Y",10*(Completed[[#This Row],[Raw]]-'Vars and Stats'!$B$9)/'Vars and Stats'!$B$10, 10*Completed[[#This Row],[Raw]]/'Vars and Stats'!$B$8)</f>
        <v>8.4714982344039012</v>
      </c>
      <c r="I35" s="54">
        <v>41280</v>
      </c>
      <c r="J35" s="54">
        <v>41281</v>
      </c>
      <c r="K35" s="56" t="s">
        <v>338</v>
      </c>
      <c r="L35" s="29"/>
    </row>
    <row r="36" spans="1:12" ht="16.5">
      <c r="A36" s="21" t="s">
        <v>181</v>
      </c>
      <c r="B36" s="28">
        <v>2</v>
      </c>
      <c r="C36" s="53">
        <v>9</v>
      </c>
      <c r="D36" s="53">
        <v>8.5</v>
      </c>
      <c r="E36" s="53">
        <v>3</v>
      </c>
      <c r="F36" s="53">
        <v>9.5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36" s="59">
        <f>IF('Vars and Stats'!$B$13="Y",10*(Completed[[#This Row],[Raw]]-'Vars and Stats'!$B$9)/'Vars and Stats'!$B$10, 10*Completed[[#This Row],[Raw]]/'Vars and Stats'!$B$8)</f>
        <v>8.4664536741214036</v>
      </c>
      <c r="I36" s="54">
        <v>41479</v>
      </c>
      <c r="J36" s="54">
        <v>41481</v>
      </c>
      <c r="K36" s="56" t="s">
        <v>190</v>
      </c>
      <c r="L36" s="29" t="s">
        <v>182</v>
      </c>
    </row>
    <row r="37" spans="1:12" ht="16.5">
      <c r="A37" s="21" t="s">
        <v>48</v>
      </c>
      <c r="B37" s="28">
        <v>1</v>
      </c>
      <c r="C37" s="53">
        <v>8.5</v>
      </c>
      <c r="D37" s="53">
        <v>9.5</v>
      </c>
      <c r="E37" s="53">
        <v>4.5</v>
      </c>
      <c r="F37" s="53">
        <v>9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7" s="59">
        <f>IF('Vars and Stats'!$B$13="Y",10*(Completed[[#This Row],[Raw]]-'Vars and Stats'!$B$9)/'Vars and Stats'!$B$10, 10*Completed[[#This Row],[Raw]]/'Vars and Stats'!$B$8)</f>
        <v>8.4647721540272425</v>
      </c>
      <c r="I37" s="54">
        <v>41304</v>
      </c>
      <c r="J37" s="54">
        <v>41312</v>
      </c>
      <c r="K37" s="56" t="s">
        <v>195</v>
      </c>
      <c r="L37" s="29" t="s">
        <v>49</v>
      </c>
    </row>
    <row r="38" spans="1:12" ht="16.5">
      <c r="A38" s="21" t="s">
        <v>249</v>
      </c>
      <c r="B38" s="28">
        <v>1</v>
      </c>
      <c r="C38" s="53">
        <v>9.5</v>
      </c>
      <c r="D38" s="53">
        <v>8.5</v>
      </c>
      <c r="E38" s="53">
        <v>6</v>
      </c>
      <c r="F38" s="53">
        <v>9</v>
      </c>
      <c r="G38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8" s="59">
        <f>IF('Vars and Stats'!$B$13="Y",10*(Completed[[#This Row],[Raw]]-'Vars and Stats'!$B$9)/'Vars and Stats'!$B$10, 10*Completed[[#This Row],[Raw]]/'Vars and Stats'!$B$8)</f>
        <v>8.446275432991424</v>
      </c>
      <c r="I38" s="54">
        <v>41562</v>
      </c>
      <c r="J38" s="54">
        <v>41574</v>
      </c>
      <c r="K38" s="56" t="s">
        <v>291</v>
      </c>
      <c r="L38" s="29" t="s">
        <v>292</v>
      </c>
    </row>
    <row r="39" spans="1:12" ht="16.5">
      <c r="A39" s="21" t="s">
        <v>250</v>
      </c>
      <c r="B39" s="28">
        <v>1</v>
      </c>
      <c r="C39" s="53">
        <v>9</v>
      </c>
      <c r="D39" s="53">
        <v>9</v>
      </c>
      <c r="E39" s="53">
        <v>5</v>
      </c>
      <c r="F39" s="53">
        <v>9</v>
      </c>
      <c r="G39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9" s="59">
        <f>IF('Vars and Stats'!$B$13="Y",10*(Completed[[#This Row],[Raw]]-'Vars and Stats'!$B$9)/'Vars and Stats'!$B$10, 10*Completed[[#This Row],[Raw]]/'Vars and Stats'!$B$8)</f>
        <v>8.4395493526147636</v>
      </c>
      <c r="I39" s="54">
        <v>41537</v>
      </c>
      <c r="J39" s="57">
        <v>41559</v>
      </c>
      <c r="K39" s="56" t="s">
        <v>286</v>
      </c>
      <c r="L39" s="40"/>
    </row>
    <row r="40" spans="1:12" ht="16.5">
      <c r="A40" s="21" t="s">
        <v>107</v>
      </c>
      <c r="B40" s="28">
        <v>1</v>
      </c>
      <c r="C40" s="53">
        <v>8</v>
      </c>
      <c r="D40" s="53">
        <v>9.5</v>
      </c>
      <c r="E40" s="53">
        <v>6</v>
      </c>
      <c r="F40" s="53">
        <v>9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40" s="59">
        <f>IF('Vars and Stats'!$B$13="Y",10*(Completed[[#This Row],[Raw]]-'Vars and Stats'!$B$9)/'Vars and Stats'!$B$10, 10*Completed[[#This Row],[Raw]]/'Vars and Stats'!$B$8)</f>
        <v>8.4378678325206025</v>
      </c>
      <c r="I40" s="54">
        <v>41286</v>
      </c>
      <c r="J40" s="54">
        <v>41292</v>
      </c>
      <c r="K40" s="56" t="s">
        <v>162</v>
      </c>
      <c r="L40" s="29"/>
    </row>
    <row r="41" spans="1:12" ht="16.5">
      <c r="A41" s="21" t="s">
        <v>477</v>
      </c>
      <c r="B41" s="28">
        <v>1</v>
      </c>
      <c r="C41" s="53">
        <v>10</v>
      </c>
      <c r="D41" s="53">
        <v>8</v>
      </c>
      <c r="E41" s="53">
        <v>1.5</v>
      </c>
      <c r="F41" s="53">
        <v>9.5</v>
      </c>
      <c r="G41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41" s="59">
        <f>IF('Vars and Stats'!$B$13="Y",10*(Completed[[#This Row],[Raw]]-'Vars and Stats'!$B$9)/'Vars and Stats'!$B$10, 10*Completed[[#This Row],[Raw]]/'Vars and Stats'!$B$8)</f>
        <v>8.4361863124264325</v>
      </c>
      <c r="I41" s="54">
        <v>41397</v>
      </c>
      <c r="J41" s="54">
        <v>41546</v>
      </c>
      <c r="K41" s="56" t="s">
        <v>274</v>
      </c>
      <c r="L41" s="29"/>
    </row>
    <row r="42" spans="1:12" ht="16.5">
      <c r="A42" s="21" t="s">
        <v>50</v>
      </c>
      <c r="B42" s="28">
        <v>1</v>
      </c>
      <c r="C42" s="53">
        <v>9</v>
      </c>
      <c r="D42" s="53">
        <v>9</v>
      </c>
      <c r="E42" s="53">
        <v>4.5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42" s="59">
        <f>IF('Vars and Stats'!$B$13="Y",10*(Completed[[#This Row],[Raw]]-'Vars and Stats'!$B$9)/'Vars and Stats'!$B$10, 10*Completed[[#This Row],[Raw]]/'Vars and Stats'!$B$8)</f>
        <v>8.4076004708256278</v>
      </c>
      <c r="I42" s="54">
        <v>41645</v>
      </c>
      <c r="J42" s="54">
        <v>41645</v>
      </c>
      <c r="K42" s="56" t="s">
        <v>374</v>
      </c>
      <c r="L42" s="29" t="s">
        <v>373</v>
      </c>
    </row>
    <row r="43" spans="1:12" ht="16.5">
      <c r="A43" s="21" t="s">
        <v>24</v>
      </c>
      <c r="B43" s="28">
        <v>1</v>
      </c>
      <c r="C43" s="53">
        <v>8</v>
      </c>
      <c r="D43" s="53">
        <v>9.5</v>
      </c>
      <c r="E43" s="53">
        <v>5</v>
      </c>
      <c r="F43" s="53">
        <v>9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43" s="59">
        <f>IF('Vars and Stats'!$B$13="Y",10*(Completed[[#This Row],[Raw]]-'Vars and Stats'!$B$9)/'Vars and Stats'!$B$10, 10*Completed[[#This Row],[Raw]]/'Vars and Stats'!$B$8)</f>
        <v>8.3739700689423238</v>
      </c>
      <c r="I43" s="54">
        <v>41370</v>
      </c>
      <c r="J43" s="54">
        <v>41454</v>
      </c>
      <c r="K43" s="56" t="s">
        <v>191</v>
      </c>
      <c r="L43" s="40" t="s">
        <v>437</v>
      </c>
    </row>
    <row r="44" spans="1:12" ht="16.5">
      <c r="A44" s="21" t="s">
        <v>728</v>
      </c>
      <c r="B44" s="28">
        <v>1</v>
      </c>
      <c r="C44" s="53">
        <v>7.5</v>
      </c>
      <c r="D44" s="53">
        <v>9</v>
      </c>
      <c r="E44" s="53">
        <v>9</v>
      </c>
      <c r="F44" s="53">
        <v>9</v>
      </c>
      <c r="G44" s="69">
        <f>(Completed[[#This Row],[Plot]]*'Vars and Stats'!$B$3+Completed[[#This Row],[Char.]]*'Vars and Stats'!$B$4+Completed[[#This Row],[Moe]]*'Vars and Stats'!$B$5+Completed[[#This Row],[Pref]]*'Vars and Stats'!$B$6)/'Vars and Stats'!$B$11</f>
        <v>8.7248743718592969</v>
      </c>
      <c r="H44" s="70">
        <f>IF('Vars and Stats'!$B$13="Y",10*(Completed[[#This Row],[Raw]]-'Vars and Stats'!$B$9)/'Vars and Stats'!$B$10, 10*Completed[[#This Row],[Raw]]/'Vars and Stats'!$B$8)</f>
        <v>8.3268875063057006</v>
      </c>
      <c r="I44" s="54">
        <v>42043</v>
      </c>
      <c r="J44" s="54">
        <v>42089</v>
      </c>
      <c r="K44" s="56" t="s">
        <v>731</v>
      </c>
      <c r="L44" s="29" t="s">
        <v>732</v>
      </c>
    </row>
    <row r="45" spans="1:12" ht="16.5">
      <c r="A45" s="21" t="s">
        <v>756</v>
      </c>
      <c r="B45" s="28">
        <v>2</v>
      </c>
      <c r="C45" s="53">
        <v>4.5</v>
      </c>
      <c r="D45" s="53">
        <v>9</v>
      </c>
      <c r="E45" s="53">
        <v>10</v>
      </c>
      <c r="F45" s="53">
        <v>10</v>
      </c>
      <c r="G45" s="69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45" s="70">
        <f>IF('Vars and Stats'!$B$13="Y",10*(Completed[[#This Row],[Raw]]-'Vars and Stats'!$B$9)/'Vars and Stats'!$B$10, 10*Completed[[#This Row],[Raw]]/'Vars and Stats'!$B$8)</f>
        <v>8.3235244661173713</v>
      </c>
      <c r="I45" s="54">
        <v>42220</v>
      </c>
      <c r="J45" s="54">
        <v>42316</v>
      </c>
      <c r="K45" s="56" t="s">
        <v>781</v>
      </c>
      <c r="L45" s="29"/>
    </row>
    <row r="46" spans="1:12" ht="16.5">
      <c r="A46" s="21" t="s">
        <v>110</v>
      </c>
      <c r="B46" s="28">
        <v>1</v>
      </c>
      <c r="C46" s="53">
        <v>9.5</v>
      </c>
      <c r="D46" s="53">
        <v>9</v>
      </c>
      <c r="E46" s="53">
        <v>6.5</v>
      </c>
      <c r="F46" s="53">
        <v>8.5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46" s="59">
        <f>IF('Vars and Stats'!$B$13="Y",10*(Completed[[#This Row],[Raw]]-'Vars and Stats'!$B$9)/'Vars and Stats'!$B$10, 10*Completed[[#This Row],[Raw]]/'Vars and Stats'!$B$8)</f>
        <v>8.3235244661173713</v>
      </c>
      <c r="I46" s="54">
        <v>41369</v>
      </c>
      <c r="J46" s="54">
        <v>41389</v>
      </c>
      <c r="K46" s="56" t="s">
        <v>157</v>
      </c>
      <c r="L46" s="29" t="s">
        <v>14</v>
      </c>
    </row>
    <row r="47" spans="1:12" ht="16.5">
      <c r="A47" s="177" t="s">
        <v>677</v>
      </c>
      <c r="B47" s="178">
        <v>1</v>
      </c>
      <c r="C47" s="179">
        <v>8</v>
      </c>
      <c r="D47" s="179">
        <v>8.5</v>
      </c>
      <c r="E47" s="179">
        <v>9.5</v>
      </c>
      <c r="F47" s="179">
        <v>9</v>
      </c>
      <c r="G47" s="185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47" s="186">
        <f>IF('Vars and Stats'!$B$13="Y",10*(Completed[[#This Row],[Raw]]-'Vars and Stats'!$B$9)/'Vars and Stats'!$B$10, 10*Completed[[#This Row],[Raw]]/'Vars and Stats'!$B$8)</f>
        <v>8.3016647048932253</v>
      </c>
      <c r="I47" s="180">
        <v>42024</v>
      </c>
      <c r="J47" s="180">
        <v>42024</v>
      </c>
      <c r="K47" s="181" t="s">
        <v>719</v>
      </c>
      <c r="L47" s="182"/>
    </row>
    <row r="48" spans="1:12" ht="16.5">
      <c r="A48" s="21" t="s">
        <v>176</v>
      </c>
      <c r="B48" s="28">
        <v>1</v>
      </c>
      <c r="C48" s="53">
        <v>9.5</v>
      </c>
      <c r="D48" s="53">
        <v>8</v>
      </c>
      <c r="E48" s="53">
        <v>6</v>
      </c>
      <c r="F48" s="53">
        <v>9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48" s="59">
        <f>IF('Vars and Stats'!$B$13="Y",10*(Completed[[#This Row],[Raw]]-'Vars and Stats'!$B$9)/'Vars and Stats'!$B$10, 10*Completed[[#This Row],[Raw]]/'Vars and Stats'!$B$8)</f>
        <v>8.2663527829157566</v>
      </c>
      <c r="I48" s="54">
        <v>41530</v>
      </c>
      <c r="J48" s="54">
        <v>41532</v>
      </c>
      <c r="K48" s="56" t="s">
        <v>247</v>
      </c>
      <c r="L48" s="40" t="s">
        <v>248</v>
      </c>
    </row>
    <row r="49" spans="1:12" ht="16.5">
      <c r="A49" s="21" t="s">
        <v>32</v>
      </c>
      <c r="B49" s="28">
        <v>2</v>
      </c>
      <c r="C49" s="53">
        <v>8.5</v>
      </c>
      <c r="D49" s="53">
        <v>9</v>
      </c>
      <c r="E49" s="53">
        <v>4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9" s="59">
        <f>IF('Vars and Stats'!$B$13="Y",10*(Completed[[#This Row],[Raw]]-'Vars and Stats'!$B$9)/'Vars and Stats'!$B$10, 10*Completed[[#This Row],[Raw]]/'Vars and Stats'!$B$8)</f>
        <v>8.2529006221624357</v>
      </c>
      <c r="I49" s="54">
        <v>41358</v>
      </c>
      <c r="J49" s="54">
        <v>41359</v>
      </c>
      <c r="K49" s="56" t="s">
        <v>188</v>
      </c>
      <c r="L49" s="29"/>
    </row>
    <row r="50" spans="1:12" ht="16.5">
      <c r="A50" s="21" t="s">
        <v>40</v>
      </c>
      <c r="B50" s="28">
        <v>1</v>
      </c>
      <c r="C50" s="53">
        <v>8.5</v>
      </c>
      <c r="D50" s="53">
        <v>9</v>
      </c>
      <c r="E50" s="53">
        <v>4</v>
      </c>
      <c r="F50" s="53">
        <v>9</v>
      </c>
      <c r="G50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50" s="59">
        <f>IF('Vars and Stats'!$B$13="Y",10*(Completed[[#This Row],[Raw]]-'Vars and Stats'!$B$9)/'Vars and Stats'!$B$10, 10*Completed[[#This Row],[Raw]]/'Vars and Stats'!$B$8)</f>
        <v>8.2529006221624357</v>
      </c>
      <c r="I50" s="54">
        <v>41328</v>
      </c>
      <c r="J50" s="54">
        <v>41329</v>
      </c>
      <c r="K50" s="56" t="s">
        <v>189</v>
      </c>
      <c r="L50" s="29"/>
    </row>
    <row r="51" spans="1:12" ht="16.5">
      <c r="A51" s="21" t="s">
        <v>173</v>
      </c>
      <c r="B51" s="28">
        <v>1</v>
      </c>
      <c r="C51" s="53">
        <v>8</v>
      </c>
      <c r="D51" s="53">
        <v>9</v>
      </c>
      <c r="E51" s="53">
        <v>5.5</v>
      </c>
      <c r="F51" s="53">
        <v>9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51" s="59">
        <f>IF('Vars and Stats'!$B$13="Y",10*(Completed[[#This Row],[Raw]]-'Vars and Stats'!$B$9)/'Vars and Stats'!$B$10, 10*Completed[[#This Row],[Raw]]/'Vars and Stats'!$B$8)</f>
        <v>8.2259963006557921</v>
      </c>
      <c r="I51" s="54">
        <v>41461</v>
      </c>
      <c r="J51" s="54">
        <v>41543</v>
      </c>
      <c r="K51" s="56" t="s">
        <v>270</v>
      </c>
      <c r="L51" s="29" t="s">
        <v>271</v>
      </c>
    </row>
    <row r="52" spans="1:12" ht="16.5">
      <c r="A52" s="21" t="s">
        <v>152</v>
      </c>
      <c r="B52" s="28">
        <v>2</v>
      </c>
      <c r="C52" s="53">
        <v>9</v>
      </c>
      <c r="D52" s="53">
        <v>9</v>
      </c>
      <c r="E52" s="53">
        <v>6.5</v>
      </c>
      <c r="F52" s="53">
        <v>8.5</v>
      </c>
      <c r="G52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52" s="59">
        <f>IF('Vars and Stats'!$B$13="Y",10*(Completed[[#This Row],[Raw]]-'Vars and Stats'!$B$9)/'Vars and Stats'!$B$10, 10*Completed[[#This Row],[Raw]]/'Vars and Stats'!$B$8)</f>
        <v>8.2007734992433168</v>
      </c>
      <c r="I52" s="54">
        <v>41395</v>
      </c>
      <c r="J52" s="54">
        <v>41400</v>
      </c>
      <c r="K52" s="56" t="s">
        <v>157</v>
      </c>
      <c r="L52" s="29" t="s">
        <v>462</v>
      </c>
    </row>
    <row r="53" spans="1:12" ht="16.5">
      <c r="A53" s="21" t="s">
        <v>369</v>
      </c>
      <c r="B53" s="28">
        <v>1</v>
      </c>
      <c r="C53" s="53">
        <v>4</v>
      </c>
      <c r="D53" s="53">
        <v>9</v>
      </c>
      <c r="E53" s="53">
        <v>9.5</v>
      </c>
      <c r="F53" s="53">
        <v>10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53" s="59">
        <f>IF('Vars and Stats'!$B$13="Y",10*(Completed[[#This Row],[Raw]]-'Vars and Stats'!$B$9)/'Vars and Stats'!$B$10, 10*Completed[[#This Row],[Raw]]/'Vars and Stats'!$B$8)</f>
        <v>8.1688246174541774</v>
      </c>
      <c r="I53" s="54">
        <v>41638</v>
      </c>
      <c r="J53" s="54">
        <v>41641</v>
      </c>
      <c r="K53" s="56" t="s">
        <v>370</v>
      </c>
      <c r="L53" s="29"/>
    </row>
    <row r="54" spans="1:12" ht="16.5">
      <c r="A54" s="21" t="s">
        <v>452</v>
      </c>
      <c r="B54" s="28">
        <v>1</v>
      </c>
      <c r="C54" s="53">
        <v>7.5</v>
      </c>
      <c r="D54" s="53">
        <v>9</v>
      </c>
      <c r="E54" s="53">
        <v>6</v>
      </c>
      <c r="F54" s="53">
        <v>9</v>
      </c>
      <c r="G54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54" s="59">
        <f>IF('Vars and Stats'!$B$13="Y",10*(Completed[[#This Row],[Raw]]-'Vars and Stats'!$B$9)/'Vars and Stats'!$B$10, 10*Completed[[#This Row],[Raw]]/'Vars and Stats'!$B$8)</f>
        <v>8.1351942155708752</v>
      </c>
      <c r="I54" s="54">
        <v>41436</v>
      </c>
      <c r="J54" s="54">
        <v>41438</v>
      </c>
      <c r="K54" s="56" t="s">
        <v>192</v>
      </c>
      <c r="L54" s="29"/>
    </row>
    <row r="55" spans="1:12" ht="16.5">
      <c r="A55" s="215" t="s">
        <v>766</v>
      </c>
      <c r="B55" s="216">
        <v>1</v>
      </c>
      <c r="C55" s="217">
        <v>9</v>
      </c>
      <c r="D55" s="217">
        <v>8.5</v>
      </c>
      <c r="E55" s="217">
        <v>3</v>
      </c>
      <c r="F55" s="217">
        <v>9</v>
      </c>
      <c r="G55" s="221">
        <f>(Completed[[#This Row],[Plot]]*'Vars and Stats'!$B$3+Completed[[#This Row],[Char.]]*'Vars and Stats'!$B$4+Completed[[#This Row],[Moe]]*'Vars and Stats'!$B$5+Completed[[#This Row],[Pref]]*'Vars and Stats'!$B$6)/'Vars and Stats'!$B$11</f>
        <v>8.5791457286432156</v>
      </c>
      <c r="H55" s="222">
        <f>IF('Vars and Stats'!$B$13="Y",10*(Completed[[#This Row],[Raw]]-'Vars and Stats'!$B$9)/'Vars and Stats'!$B$10, 10*Completed[[#This Row],[Raw]]/'Vars and Stats'!$B$8)</f>
        <v>8.1318311753825441</v>
      </c>
      <c r="I55" s="218">
        <v>42286</v>
      </c>
      <c r="J55" s="218">
        <v>42361</v>
      </c>
      <c r="K55" s="219" t="s">
        <v>803</v>
      </c>
      <c r="L55" s="220"/>
    </row>
    <row r="56" spans="1:12" ht="16.5">
      <c r="A56" s="177" t="s">
        <v>612</v>
      </c>
      <c r="B56" s="178">
        <v>2</v>
      </c>
      <c r="C56" s="179">
        <v>9</v>
      </c>
      <c r="D56" s="179">
        <v>8.5</v>
      </c>
      <c r="E56" s="179">
        <v>8</v>
      </c>
      <c r="F56" s="179">
        <v>8.5</v>
      </c>
      <c r="G56" s="185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56" s="186">
        <f>IF('Vars and Stats'!$B$13="Y",10*(Completed[[#This Row],[Raw]]-'Vars and Stats'!$B$9)/'Vars and Stats'!$B$10, 10*Completed[[#This Row],[Raw]]/'Vars and Stats'!$B$8)</f>
        <v>8.1166974945350603</v>
      </c>
      <c r="I56" s="180">
        <v>41826</v>
      </c>
      <c r="J56" s="180">
        <v>41993</v>
      </c>
      <c r="K56" s="181" t="s">
        <v>701</v>
      </c>
      <c r="L56" s="182" t="s">
        <v>702</v>
      </c>
    </row>
    <row r="57" spans="1:12" ht="16.5">
      <c r="A57" s="21" t="s">
        <v>367</v>
      </c>
      <c r="B57" s="28">
        <v>2</v>
      </c>
      <c r="C57" s="53">
        <v>9</v>
      </c>
      <c r="D57" s="53">
        <v>8</v>
      </c>
      <c r="E57" s="53">
        <v>5.5</v>
      </c>
      <c r="F57" s="53">
        <v>9</v>
      </c>
      <c r="G57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57" s="59">
        <f>IF('Vars and Stats'!$B$13="Y",10*(Completed[[#This Row],[Raw]]-'Vars and Stats'!$B$9)/'Vars and Stats'!$B$10, 10*Completed[[#This Row],[Raw]]/'Vars and Stats'!$B$8)</f>
        <v>8.1116529342525627</v>
      </c>
      <c r="I57" s="54">
        <v>41461</v>
      </c>
      <c r="J57" s="54">
        <v>41638</v>
      </c>
      <c r="K57" s="56" t="s">
        <v>195</v>
      </c>
      <c r="L57" s="29" t="s">
        <v>368</v>
      </c>
    </row>
    <row r="58" spans="1:12" ht="16.5">
      <c r="A58" s="21" t="s">
        <v>88</v>
      </c>
      <c r="B58" s="28">
        <v>1</v>
      </c>
      <c r="C58" s="53">
        <v>5</v>
      </c>
      <c r="D58" s="53">
        <v>9</v>
      </c>
      <c r="E58" s="53">
        <v>10</v>
      </c>
      <c r="F58" s="53">
        <v>9.5</v>
      </c>
      <c r="G58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58" s="59">
        <f>IF('Vars and Stats'!$B$13="Y",10*(Completed[[#This Row],[Raw]]-'Vars and Stats'!$B$9)/'Vars and Stats'!$B$10, 10*Completed[[#This Row],[Raw]]/'Vars and Stats'!$B$8)</f>
        <v>8.1116529342525627</v>
      </c>
      <c r="I58" s="54">
        <v>41316</v>
      </c>
      <c r="J58" s="54">
        <v>41316</v>
      </c>
      <c r="K58" s="56" t="s">
        <v>215</v>
      </c>
      <c r="L58" s="29" t="s">
        <v>89</v>
      </c>
    </row>
    <row r="59" spans="1:12" ht="16.5">
      <c r="A59" s="21" t="s">
        <v>453</v>
      </c>
      <c r="B59" s="28">
        <v>2</v>
      </c>
      <c r="C59" s="53">
        <v>8.5</v>
      </c>
      <c r="D59" s="53">
        <v>8.5</v>
      </c>
      <c r="E59" s="53">
        <v>4.5</v>
      </c>
      <c r="F59" s="53">
        <v>9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59" s="59">
        <f>IF('Vars and Stats'!$B$13="Y",10*(Completed[[#This Row],[Raw]]-'Vars and Stats'!$B$9)/'Vars and Stats'!$B$10, 10*Completed[[#This Row],[Raw]]/'Vars and Stats'!$B$8)</f>
        <v>8.1049268538759023</v>
      </c>
      <c r="I59" s="54">
        <v>41473</v>
      </c>
      <c r="J59" s="54">
        <v>41546</v>
      </c>
      <c r="K59" s="56" t="s">
        <v>192</v>
      </c>
      <c r="L59" s="29"/>
    </row>
    <row r="60" spans="1:12" ht="16.5">
      <c r="A60" s="21" t="s">
        <v>770</v>
      </c>
      <c r="B60" s="28">
        <v>2</v>
      </c>
      <c r="C60" s="53">
        <v>5</v>
      </c>
      <c r="D60" s="53">
        <v>9</v>
      </c>
      <c r="E60" s="53">
        <v>9.5</v>
      </c>
      <c r="F60" s="53">
        <v>9.5</v>
      </c>
      <c r="G60" s="69">
        <f>(Completed[[#This Row],[Plot]]*'Vars and Stats'!$B$3+Completed[[#This Row],[Char.]]*'Vars and Stats'!$B$4+Completed[[#This Row],[Moe]]*'Vars and Stats'!$B$5+Completed[[#This Row],[Pref]]*'Vars and Stats'!$B$6)/'Vars and Stats'!$B$11</f>
        <v>8.5402010050251267</v>
      </c>
      <c r="H60" s="70">
        <f>IF('Vars and Stats'!$B$13="Y",10*(Completed[[#This Row],[Raw]]-'Vars and Stats'!$B$9)/'Vars and Stats'!$B$10, 10*Completed[[#This Row],[Raw]]/'Vars and Stats'!$B$8)</f>
        <v>8.0797040524634287</v>
      </c>
      <c r="I60" s="54">
        <v>42286</v>
      </c>
      <c r="J60" s="54">
        <v>42386</v>
      </c>
      <c r="K60" s="56" t="s">
        <v>811</v>
      </c>
      <c r="L60" s="29"/>
    </row>
    <row r="61" spans="1:12" ht="16.5">
      <c r="A61" s="21" t="s">
        <v>757</v>
      </c>
      <c r="B61" s="28">
        <v>1</v>
      </c>
      <c r="C61" s="53">
        <v>8.5</v>
      </c>
      <c r="D61" s="53">
        <v>9</v>
      </c>
      <c r="E61" s="53">
        <v>6.5</v>
      </c>
      <c r="F61" s="53">
        <v>8.5</v>
      </c>
      <c r="G61" s="69">
        <f>(Completed[[#This Row],[Plot]]*'Vars and Stats'!$B$3+Completed[[#This Row],[Char.]]*'Vars and Stats'!$B$4+Completed[[#This Row],[Moe]]*'Vars and Stats'!$B$5+Completed[[#This Row],[Pref]]*'Vars and Stats'!$B$6)/'Vars and Stats'!$B$11</f>
        <v>8.5389447236180906</v>
      </c>
      <c r="H61" s="70">
        <f>IF('Vars and Stats'!$B$13="Y",10*(Completed[[#This Row],[Raw]]-'Vars and Stats'!$B$9)/'Vars and Stats'!$B$10, 10*Completed[[#This Row],[Raw]]/'Vars and Stats'!$B$8)</f>
        <v>8.0780225323692605</v>
      </c>
      <c r="I61" s="54">
        <v>42241</v>
      </c>
      <c r="J61" s="54">
        <v>42274</v>
      </c>
      <c r="K61" s="56" t="s">
        <v>760</v>
      </c>
      <c r="L61" s="29" t="s">
        <v>761</v>
      </c>
    </row>
    <row r="62" spans="1:12" ht="16.5">
      <c r="A62" s="21" t="s">
        <v>232</v>
      </c>
      <c r="B62" s="28">
        <v>1</v>
      </c>
      <c r="C62" s="53">
        <v>9.5</v>
      </c>
      <c r="D62" s="53">
        <v>7.5</v>
      </c>
      <c r="E62" s="53">
        <v>5</v>
      </c>
      <c r="F62" s="53">
        <v>9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62" s="59">
        <f>IF('Vars and Stats'!$B$13="Y",10*(Completed[[#This Row],[Raw]]-'Vars and Stats'!$B$9)/'Vars and Stats'!$B$10, 10*Completed[[#This Row],[Raw]]/'Vars and Stats'!$B$8)</f>
        <v>8.0225323692618122</v>
      </c>
      <c r="I62" s="54">
        <v>41485</v>
      </c>
      <c r="J62" s="54">
        <v>41491</v>
      </c>
      <c r="K62" s="56" t="s">
        <v>233</v>
      </c>
      <c r="L62" s="29" t="s">
        <v>246</v>
      </c>
    </row>
    <row r="63" spans="1:12" ht="16.5">
      <c r="A63" s="21" t="s">
        <v>132</v>
      </c>
      <c r="B63" s="28">
        <v>2</v>
      </c>
      <c r="C63" s="53">
        <v>9</v>
      </c>
      <c r="D63" s="53">
        <v>8</v>
      </c>
      <c r="E63" s="53">
        <v>4</v>
      </c>
      <c r="F63" s="53">
        <v>9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63" s="59">
        <f>IF('Vars and Stats'!$B$13="Y",10*(Completed[[#This Row],[Raw]]-'Vars and Stats'!$B$9)/'Vars and Stats'!$B$10, 10*Completed[[#This Row],[Raw]]/'Vars and Stats'!$B$8)</f>
        <v>8.0158062888851518</v>
      </c>
      <c r="I63" s="54">
        <v>41468</v>
      </c>
      <c r="J63" s="54">
        <v>41470</v>
      </c>
      <c r="K63" s="56" t="s">
        <v>192</v>
      </c>
      <c r="L63" s="29" t="s">
        <v>180</v>
      </c>
    </row>
    <row r="64" spans="1:12" ht="16.5">
      <c r="A64" s="21" t="s">
        <v>422</v>
      </c>
      <c r="B64" s="28">
        <v>1</v>
      </c>
      <c r="C64" s="53">
        <v>8.5</v>
      </c>
      <c r="D64" s="53">
        <v>9</v>
      </c>
      <c r="E64" s="53">
        <v>5.5</v>
      </c>
      <c r="F64" s="53">
        <v>8.5</v>
      </c>
      <c r="G64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64" s="70">
        <f>IF('Vars and Stats'!$B$13="Y",10*(Completed[[#This Row],[Raw]]-'Vars and Stats'!$B$9)/'Vars and Stats'!$B$10, 10*Completed[[#This Row],[Raw]]/'Vars and Stats'!$B$8)</f>
        <v>8.0141247687909889</v>
      </c>
      <c r="I64" s="54">
        <v>41785</v>
      </c>
      <c r="J64" s="54">
        <v>41818</v>
      </c>
      <c r="K64" s="56" t="s">
        <v>581</v>
      </c>
      <c r="L64" s="29" t="s">
        <v>580</v>
      </c>
    </row>
    <row r="65" spans="1:12" ht="16.5">
      <c r="A65" s="21" t="s">
        <v>22</v>
      </c>
      <c r="B65" s="28">
        <v>1</v>
      </c>
      <c r="C65" s="53">
        <v>8</v>
      </c>
      <c r="D65" s="53">
        <v>8.5</v>
      </c>
      <c r="E65" s="53">
        <v>5</v>
      </c>
      <c r="F65" s="53">
        <v>9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65" s="59">
        <f>IF('Vars and Stats'!$B$13="Y",10*(Completed[[#This Row],[Raw]]-'Vars and Stats'!$B$9)/'Vars and Stats'!$B$10, 10*Completed[[#This Row],[Raw]]/'Vars and Stats'!$B$8)</f>
        <v>8.0141247687909889</v>
      </c>
      <c r="I65" s="54">
        <v>41371</v>
      </c>
      <c r="J65" s="54">
        <v>41452</v>
      </c>
      <c r="K65" s="56" t="s">
        <v>197</v>
      </c>
      <c r="L65" s="29"/>
    </row>
    <row r="66" spans="1:12" ht="16.5">
      <c r="A66" s="21" t="s">
        <v>408</v>
      </c>
      <c r="B66" s="28">
        <v>1</v>
      </c>
      <c r="C66" s="53">
        <v>4.5</v>
      </c>
      <c r="D66" s="53">
        <v>9</v>
      </c>
      <c r="E66" s="53">
        <v>10</v>
      </c>
      <c r="F66" s="53">
        <v>9.5</v>
      </c>
      <c r="G66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66" s="70">
        <f>IF('Vars and Stats'!$B$13="Y",10*(Completed[[#This Row],[Raw]]-'Vars and Stats'!$B$9)/'Vars and Stats'!$B$10, 10*Completed[[#This Row],[Raw]]/'Vars and Stats'!$B$8)</f>
        <v>7.9889019673785109</v>
      </c>
      <c r="I66" s="54">
        <v>41762</v>
      </c>
      <c r="J66" s="54">
        <v>41820</v>
      </c>
      <c r="K66" s="56" t="s">
        <v>583</v>
      </c>
      <c r="L66" s="29"/>
    </row>
    <row r="67" spans="1:12" ht="16.5">
      <c r="A67" s="21" t="s">
        <v>424</v>
      </c>
      <c r="B67" s="28">
        <v>1</v>
      </c>
      <c r="C67" s="53">
        <v>9</v>
      </c>
      <c r="D67" s="53">
        <v>8.5</v>
      </c>
      <c r="E67" s="53">
        <v>5.5</v>
      </c>
      <c r="F67" s="53">
        <v>8.5</v>
      </c>
      <c r="G67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67" s="70">
        <f>IF('Vars and Stats'!$B$13="Y",10*(Completed[[#This Row],[Raw]]-'Vars and Stats'!$B$9)/'Vars and Stats'!$B$10, 10*Completed[[#This Row],[Raw]]/'Vars and Stats'!$B$8)</f>
        <v>7.9569530855893724</v>
      </c>
      <c r="I67" s="57">
        <v>41786</v>
      </c>
      <c r="J67" s="54">
        <v>41812</v>
      </c>
      <c r="K67" s="56" t="s">
        <v>571</v>
      </c>
      <c r="L67" s="40"/>
    </row>
    <row r="68" spans="1:12" ht="16.5">
      <c r="A68" s="21" t="s">
        <v>150</v>
      </c>
      <c r="B68" s="28">
        <v>1</v>
      </c>
      <c r="C68" s="53">
        <v>8.5</v>
      </c>
      <c r="D68" s="53">
        <v>8</v>
      </c>
      <c r="E68" s="53">
        <v>5</v>
      </c>
      <c r="F68" s="53">
        <v>9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68" s="59">
        <f>IF('Vars and Stats'!$B$13="Y",10*(Completed[[#This Row],[Raw]]-'Vars and Stats'!$B$9)/'Vars and Stats'!$B$10, 10*Completed[[#This Row],[Raw]]/'Vars and Stats'!$B$8)</f>
        <v>7.9569530855893724</v>
      </c>
      <c r="I68" s="54">
        <v>41261</v>
      </c>
      <c r="J68" s="54">
        <v>41359</v>
      </c>
      <c r="K68" s="56" t="s">
        <v>160</v>
      </c>
      <c r="L68" s="29"/>
    </row>
    <row r="69" spans="1:12" ht="16.5">
      <c r="A69" s="21" t="s">
        <v>371</v>
      </c>
      <c r="B69" s="28">
        <v>1</v>
      </c>
      <c r="C69" s="53">
        <v>9</v>
      </c>
      <c r="D69" s="53">
        <v>8.5</v>
      </c>
      <c r="E69" s="53">
        <v>5</v>
      </c>
      <c r="F69" s="53">
        <v>8.5</v>
      </c>
      <c r="G69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69" s="59">
        <f>IF('Vars and Stats'!$B$13="Y",10*(Completed[[#This Row],[Raw]]-'Vars and Stats'!$B$9)/'Vars and Stats'!$B$10, 10*Completed[[#This Row],[Raw]]/'Vars and Stats'!$B$8)</f>
        <v>7.9250042038002348</v>
      </c>
      <c r="I69" s="54">
        <v>41647</v>
      </c>
      <c r="J69" s="54">
        <v>41726</v>
      </c>
      <c r="K69" s="56" t="s">
        <v>390</v>
      </c>
      <c r="L69" s="29"/>
    </row>
    <row r="70" spans="1:12" ht="16.5">
      <c r="A70" s="164" t="s">
        <v>407</v>
      </c>
      <c r="B70" s="165">
        <v>1</v>
      </c>
      <c r="C70" s="166">
        <v>7.5</v>
      </c>
      <c r="D70" s="166">
        <v>9.5</v>
      </c>
      <c r="E70" s="166">
        <v>5</v>
      </c>
      <c r="F70" s="166">
        <v>8.5</v>
      </c>
      <c r="G70" s="79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70" s="80">
        <f>IF('Vars and Stats'!$B$13="Y",10*(Completed[[#This Row],[Raw]]-'Vars and Stats'!$B$9)/'Vars and Stats'!$B$10, 10*Completed[[#This Row],[Raw]]/'Vars and Stats'!$B$8)</f>
        <v>7.9165966033294071</v>
      </c>
      <c r="I70" s="167">
        <v>41751</v>
      </c>
      <c r="J70" s="167">
        <v>42020</v>
      </c>
      <c r="K70" s="168" t="s">
        <v>713</v>
      </c>
      <c r="L70" s="169" t="s">
        <v>714</v>
      </c>
    </row>
    <row r="71" spans="1:12" ht="16.5">
      <c r="A71" s="21" t="s">
        <v>149</v>
      </c>
      <c r="B71" s="28">
        <v>2</v>
      </c>
      <c r="C71" s="53">
        <v>6.5</v>
      </c>
      <c r="D71" s="53">
        <v>7.5</v>
      </c>
      <c r="E71" s="53">
        <v>9</v>
      </c>
      <c r="F71" s="53">
        <v>9.5</v>
      </c>
      <c r="G71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71" s="59">
        <f>IF('Vars and Stats'!$B$13="Y",10*(Completed[[#This Row],[Raw]]-'Vars and Stats'!$B$9)/'Vars and Stats'!$B$10, 10*Completed[[#This Row],[Raw]]/'Vars and Stats'!$B$8)</f>
        <v>7.8762401210694479</v>
      </c>
      <c r="I71" s="54">
        <v>41338</v>
      </c>
      <c r="J71" s="54">
        <v>41340</v>
      </c>
      <c r="K71" s="56" t="s">
        <v>165</v>
      </c>
      <c r="L71" s="29" t="s">
        <v>53</v>
      </c>
    </row>
    <row r="72" spans="1:12" ht="16.5">
      <c r="A72" s="21" t="s">
        <v>275</v>
      </c>
      <c r="B72" s="28">
        <v>1</v>
      </c>
      <c r="C72" s="53">
        <v>8.5</v>
      </c>
      <c r="D72" s="53">
        <v>8.5</v>
      </c>
      <c r="E72" s="53">
        <v>6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72" s="59">
        <f>IF('Vars and Stats'!$B$13="Y",10*(Completed[[#This Row],[Raw]]-'Vars and Stats'!$B$9)/'Vars and Stats'!$B$10, 10*Completed[[#This Row],[Raw]]/'Vars and Stats'!$B$8)</f>
        <v>7.8661510005044573</v>
      </c>
      <c r="I72" s="54">
        <v>41550</v>
      </c>
      <c r="J72" s="54">
        <v>41628</v>
      </c>
      <c r="K72" s="56" t="s">
        <v>340</v>
      </c>
      <c r="L72" s="29" t="s">
        <v>438</v>
      </c>
    </row>
    <row r="73" spans="1:12" ht="16.5">
      <c r="A73" s="21" t="s">
        <v>148</v>
      </c>
      <c r="B73" s="28">
        <v>1</v>
      </c>
      <c r="C73" s="53">
        <v>4</v>
      </c>
      <c r="D73" s="53">
        <v>9</v>
      </c>
      <c r="E73" s="53">
        <v>10</v>
      </c>
      <c r="F73" s="53">
        <v>9.5</v>
      </c>
      <c r="G73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73" s="59">
        <f>IF('Vars and Stats'!$B$13="Y",10*(Completed[[#This Row],[Raw]]-'Vars and Stats'!$B$9)/'Vars and Stats'!$B$10, 10*Completed[[#This Row],[Raw]]/'Vars and Stats'!$B$8)</f>
        <v>7.8661510005044573</v>
      </c>
      <c r="I73" s="54">
        <v>41300</v>
      </c>
      <c r="J73" s="54">
        <v>41302</v>
      </c>
      <c r="K73" s="56" t="s">
        <v>214</v>
      </c>
      <c r="L73" s="29" t="s">
        <v>91</v>
      </c>
    </row>
    <row r="74" spans="1:12" ht="16.5">
      <c r="A74" s="21" t="s">
        <v>59</v>
      </c>
      <c r="B74" s="28">
        <v>1</v>
      </c>
      <c r="C74" s="53">
        <v>9</v>
      </c>
      <c r="D74" s="53">
        <v>8</v>
      </c>
      <c r="E74" s="53">
        <v>6.5</v>
      </c>
      <c r="F74" s="53">
        <v>8.5</v>
      </c>
      <c r="G74" s="58">
        <f>(Completed[[#This Row],[Plot]]*'Vars and Stats'!$B$3+Completed[[#This Row],[Char.]]*'Vars and Stats'!$B$4+Completed[[#This Row],[Moe]]*'Vars and Stats'!$B$5+Completed[[#This Row],[Pref]]*'Vars and Stats'!$B$6)/'Vars and Stats'!$B$11</f>
        <v>8.3618090452261313</v>
      </c>
      <c r="H74" s="59">
        <f>IF('Vars and Stats'!$B$13="Y",10*(Completed[[#This Row],[Raw]]-'Vars and Stats'!$B$9)/'Vars and Stats'!$B$10, 10*Completed[[#This Row],[Raw]]/'Vars and Stats'!$B$8)</f>
        <v>7.8409281990919792</v>
      </c>
      <c r="I74" s="54">
        <v>41255</v>
      </c>
      <c r="J74" s="54">
        <v>41256</v>
      </c>
      <c r="K74" s="75" t="s">
        <v>196</v>
      </c>
      <c r="L74" s="29"/>
    </row>
    <row r="75" spans="1:12" ht="16.5">
      <c r="A75" s="164" t="s">
        <v>690</v>
      </c>
      <c r="B75" s="165">
        <v>1</v>
      </c>
      <c r="C75" s="166">
        <v>7</v>
      </c>
      <c r="D75" s="166">
        <v>9</v>
      </c>
      <c r="E75" s="166">
        <v>8.5</v>
      </c>
      <c r="F75" s="166">
        <v>8.5</v>
      </c>
      <c r="G75" s="79">
        <f>(Completed[[#This Row],[Plot]]*'Vars and Stats'!$B$3+Completed[[#This Row],[Char.]]*'Vars and Stats'!$B$4+Completed[[#This Row],[Moe]]*'Vars and Stats'!$B$5+Completed[[#This Row],[Pref]]*'Vars and Stats'!$B$6)/'Vars and Stats'!$B$11</f>
        <v>8.3592964824120592</v>
      </c>
      <c r="H75" s="80">
        <f>IF('Vars and Stats'!$B$13="Y",10*(Completed[[#This Row],[Raw]]-'Vars and Stats'!$B$9)/'Vars and Stats'!$B$10, 10*Completed[[#This Row],[Raw]]/'Vars and Stats'!$B$8)</f>
        <v>7.8375651589036472</v>
      </c>
      <c r="I75" s="167">
        <v>42023</v>
      </c>
      <c r="J75" s="167">
        <v>42025</v>
      </c>
      <c r="K75" s="168" t="s">
        <v>720</v>
      </c>
      <c r="L75" s="169" t="s">
        <v>721</v>
      </c>
    </row>
    <row r="76" spans="1:12" ht="16.5">
      <c r="A76" s="21" t="s">
        <v>45</v>
      </c>
      <c r="B76" s="28">
        <v>1</v>
      </c>
      <c r="C76" s="53">
        <v>9</v>
      </c>
      <c r="D76" s="53">
        <v>8.5</v>
      </c>
      <c r="E76" s="53">
        <v>3</v>
      </c>
      <c r="F76" s="53">
        <v>8.5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76" s="59">
        <f>IF('Vars and Stats'!$B$13="Y",10*(Completed[[#This Row],[Raw]]-'Vars and Stats'!$B$9)/'Vars and Stats'!$B$10, 10*Completed[[#This Row],[Raw]]/'Vars and Stats'!$B$8)</f>
        <v>7.7972086766436846</v>
      </c>
      <c r="I76" s="54">
        <v>41411</v>
      </c>
      <c r="J76" s="54">
        <v>41413</v>
      </c>
      <c r="K76" s="56" t="s">
        <v>194</v>
      </c>
      <c r="L76" s="29"/>
    </row>
    <row r="77" spans="1:12" ht="16.5">
      <c r="A77" s="21" t="s">
        <v>226</v>
      </c>
      <c r="B77" s="28">
        <v>2</v>
      </c>
      <c r="C77" s="53">
        <v>9</v>
      </c>
      <c r="D77" s="53">
        <v>8</v>
      </c>
      <c r="E77" s="53">
        <v>5.5</v>
      </c>
      <c r="F77" s="53">
        <v>8.5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77" s="59">
        <f>IF('Vars and Stats'!$B$13="Y",10*(Completed[[#This Row],[Raw]]-'Vars and Stats'!$B$9)/'Vars and Stats'!$B$10, 10*Completed[[#This Row],[Raw]]/'Vars and Stats'!$B$8)</f>
        <v>7.7770304355137059</v>
      </c>
      <c r="I77" s="54">
        <v>41633</v>
      </c>
      <c r="J77" s="54">
        <v>41635</v>
      </c>
      <c r="K77" s="56" t="s">
        <v>359</v>
      </c>
      <c r="L77" s="29" t="s">
        <v>360</v>
      </c>
    </row>
    <row r="78" spans="1:12" ht="16.5">
      <c r="A78" s="21" t="s">
        <v>484</v>
      </c>
      <c r="B78" s="28">
        <v>1</v>
      </c>
      <c r="C78" s="53">
        <v>8.5</v>
      </c>
      <c r="D78" s="53">
        <v>7.5</v>
      </c>
      <c r="E78" s="53">
        <v>5</v>
      </c>
      <c r="F78" s="53">
        <v>9</v>
      </c>
      <c r="G78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78" s="59">
        <f>IF('Vars and Stats'!$B$13="Y",10*(Completed[[#This Row],[Raw]]-'Vars and Stats'!$B$9)/'Vars and Stats'!$B$10, 10*Completed[[#This Row],[Raw]]/'Vars and Stats'!$B$8)</f>
        <v>7.7770304355137059</v>
      </c>
      <c r="I78" s="54">
        <v>41431</v>
      </c>
      <c r="J78" s="54">
        <v>41436</v>
      </c>
      <c r="K78" s="56" t="s">
        <v>192</v>
      </c>
      <c r="L78" s="29"/>
    </row>
    <row r="79" spans="1:12" ht="16.5">
      <c r="A79" s="21" t="s">
        <v>352</v>
      </c>
      <c r="B79" s="28">
        <v>1</v>
      </c>
      <c r="C79" s="53">
        <v>8.5</v>
      </c>
      <c r="D79" s="53">
        <v>9</v>
      </c>
      <c r="E79" s="53">
        <v>7</v>
      </c>
      <c r="F79" s="53">
        <v>8</v>
      </c>
      <c r="G79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79" s="70">
        <f>IF('Vars and Stats'!$B$13="Y",10*(Completed[[#This Row],[Raw]]-'Vars and Stats'!$B$9)/'Vars and Stats'!$B$10, 10*Completed[[#This Row],[Raw]]/'Vars and Stats'!$B$8)</f>
        <v>7.7753489154195394</v>
      </c>
      <c r="I79" s="54">
        <v>41652</v>
      </c>
      <c r="J79" s="54">
        <v>41824</v>
      </c>
      <c r="K79" s="56" t="s">
        <v>609</v>
      </c>
      <c r="L79" s="29"/>
    </row>
    <row r="80" spans="1:12" ht="16.5">
      <c r="A80" s="21" t="s">
        <v>131</v>
      </c>
      <c r="B80" s="28">
        <v>1</v>
      </c>
      <c r="C80" s="53">
        <v>7</v>
      </c>
      <c r="D80" s="53">
        <v>8.5</v>
      </c>
      <c r="E80" s="53">
        <v>10</v>
      </c>
      <c r="F80" s="53">
        <v>8.5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80" s="59">
        <f>IF('Vars and Stats'!$B$13="Y",10*(Completed[[#This Row],[Raw]]-'Vars and Stats'!$B$9)/'Vars and Stats'!$B$10, 10*Completed[[#This Row],[Raw]]/'Vars and Stats'!$B$8)</f>
        <v>7.7534891541953899</v>
      </c>
      <c r="I80" s="54">
        <v>41378</v>
      </c>
      <c r="J80" s="54">
        <v>41454</v>
      </c>
      <c r="K80" s="56" t="s">
        <v>201</v>
      </c>
      <c r="L80" s="29"/>
    </row>
    <row r="81" spans="1:12" ht="16.5">
      <c r="A81" s="21" t="s">
        <v>154</v>
      </c>
      <c r="B81" s="28">
        <v>1</v>
      </c>
      <c r="C81" s="53">
        <v>9</v>
      </c>
      <c r="D81" s="53">
        <v>8</v>
      </c>
      <c r="E81" s="53">
        <v>5</v>
      </c>
      <c r="F81" s="53">
        <v>8.5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81" s="59">
        <f>IF('Vars and Stats'!$B$13="Y",10*(Completed[[#This Row],[Raw]]-'Vars and Stats'!$B$9)/'Vars and Stats'!$B$10, 10*Completed[[#This Row],[Raw]]/'Vars and Stats'!$B$8)</f>
        <v>7.7450815537245683</v>
      </c>
      <c r="I81" s="54">
        <v>41424</v>
      </c>
      <c r="J81" s="54">
        <v>41430</v>
      </c>
      <c r="K81" s="56" t="s">
        <v>193</v>
      </c>
      <c r="L81" s="29" t="s">
        <v>112</v>
      </c>
    </row>
    <row r="82" spans="1:12" ht="16.5">
      <c r="A82" s="21" t="s">
        <v>273</v>
      </c>
      <c r="B82" s="28">
        <v>2</v>
      </c>
      <c r="C82" s="53">
        <v>8.5</v>
      </c>
      <c r="D82" s="53">
        <v>8</v>
      </c>
      <c r="E82" s="53">
        <v>5.5</v>
      </c>
      <c r="F82" s="53">
        <v>8.5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82" s="59">
        <f>IF('Vars and Stats'!$B$13="Y",10*(Completed[[#This Row],[Raw]]-'Vars and Stats'!$B$9)/'Vars and Stats'!$B$10, 10*Completed[[#This Row],[Raw]]/'Vars and Stats'!$B$8)</f>
        <v>7.6542794686396505</v>
      </c>
      <c r="I82" s="54">
        <v>41370</v>
      </c>
      <c r="J82" s="54">
        <v>41512</v>
      </c>
      <c r="K82" s="56" t="s">
        <v>225</v>
      </c>
      <c r="L82" s="29"/>
    </row>
    <row r="83" spans="1:12" ht="16.5">
      <c r="A83" s="177" t="s">
        <v>613</v>
      </c>
      <c r="B83" s="178">
        <v>2</v>
      </c>
      <c r="C83" s="179">
        <v>7</v>
      </c>
      <c r="D83" s="179">
        <v>8</v>
      </c>
      <c r="E83" s="179">
        <v>6</v>
      </c>
      <c r="F83" s="179">
        <v>9</v>
      </c>
      <c r="G83" s="185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83" s="186">
        <f>IF('Vars and Stats'!$B$13="Y",10*(Completed[[#This Row],[Raw]]-'Vars and Stats'!$B$9)/'Vars and Stats'!$B$10, 10*Completed[[#This Row],[Raw]]/'Vars and Stats'!$B$8)</f>
        <v>7.652597948545484</v>
      </c>
      <c r="I83" s="180">
        <v>41837</v>
      </c>
      <c r="J83" s="180">
        <v>42021</v>
      </c>
      <c r="K83" s="181" t="s">
        <v>715</v>
      </c>
      <c r="L83" s="182"/>
    </row>
    <row r="84" spans="1:12" ht="16.5">
      <c r="A84" s="177" t="s">
        <v>610</v>
      </c>
      <c r="B84" s="178">
        <v>2</v>
      </c>
      <c r="C84" s="179">
        <v>8.5</v>
      </c>
      <c r="D84" s="179">
        <v>8</v>
      </c>
      <c r="E84" s="179">
        <v>5</v>
      </c>
      <c r="F84" s="179">
        <v>8.5</v>
      </c>
      <c r="G84" s="185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84" s="186">
        <f>IF('Vars and Stats'!$B$13="Y",10*(Completed[[#This Row],[Raw]]-'Vars and Stats'!$B$9)/'Vars and Stats'!$B$10, 10*Completed[[#This Row],[Raw]]/'Vars and Stats'!$B$8)</f>
        <v>7.6223305868505102</v>
      </c>
      <c r="I84" s="180">
        <v>41827</v>
      </c>
      <c r="J84" s="180">
        <v>42022</v>
      </c>
      <c r="K84" s="181" t="s">
        <v>716</v>
      </c>
      <c r="L84" s="182"/>
    </row>
    <row r="85" spans="1:12" ht="16.5">
      <c r="A85" s="21" t="s">
        <v>751</v>
      </c>
      <c r="B85" s="28">
        <v>1</v>
      </c>
      <c r="C85" s="53">
        <v>8</v>
      </c>
      <c r="D85" s="53">
        <v>9</v>
      </c>
      <c r="E85" s="53">
        <v>6</v>
      </c>
      <c r="F85" s="53">
        <v>8</v>
      </c>
      <c r="G85" s="69">
        <f>(Completed[[#This Row],[Plot]]*'Vars and Stats'!$B$3+Completed[[#This Row],[Char.]]*'Vars and Stats'!$B$4+Completed[[#This Row],[Moe]]*'Vars and Stats'!$B$5+Completed[[#This Row],[Pref]]*'Vars and Stats'!$B$6)/'Vars and Stats'!$B$11</f>
        <v>8.1733668341708547</v>
      </c>
      <c r="H85" s="70">
        <f>IF('Vars and Stats'!$B$13="Y",10*(Completed[[#This Row],[Raw]]-'Vars and Stats'!$B$9)/'Vars and Stats'!$B$10, 10*Completed[[#This Row],[Raw]]/'Vars and Stats'!$B$8)</f>
        <v>7.5887001849672107</v>
      </c>
      <c r="I85" s="54">
        <v>42203</v>
      </c>
      <c r="J85" s="54">
        <v>42272</v>
      </c>
      <c r="K85" s="56" t="s">
        <v>758</v>
      </c>
      <c r="L85" s="29"/>
    </row>
    <row r="86" spans="1:12" ht="16.5">
      <c r="A86" s="21" t="s">
        <v>288</v>
      </c>
      <c r="B86" s="28">
        <v>1</v>
      </c>
      <c r="C86" s="53">
        <v>8.5</v>
      </c>
      <c r="D86" s="53">
        <v>8.5</v>
      </c>
      <c r="E86" s="53">
        <v>6.5</v>
      </c>
      <c r="F86" s="53">
        <v>8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86" s="59">
        <f>IF('Vars and Stats'!$B$13="Y",10*(Completed[[#This Row],[Raw]]-'Vars and Stats'!$B$9)/'Vars and Stats'!$B$10, 10*Completed[[#This Row],[Raw]]/'Vars and Stats'!$B$8)</f>
        <v>7.5634773835547335</v>
      </c>
      <c r="I86" s="54">
        <v>41555</v>
      </c>
      <c r="J86" s="54">
        <v>41631</v>
      </c>
      <c r="K86" s="75" t="s">
        <v>348</v>
      </c>
      <c r="L86" s="29" t="s">
        <v>349</v>
      </c>
    </row>
    <row r="87" spans="1:12" ht="16.5">
      <c r="A87" s="21" t="s">
        <v>280</v>
      </c>
      <c r="B87" s="28">
        <v>1</v>
      </c>
      <c r="C87" s="53">
        <v>8.5</v>
      </c>
      <c r="D87" s="53">
        <v>8</v>
      </c>
      <c r="E87" s="53">
        <v>4</v>
      </c>
      <c r="F87" s="53">
        <v>8.5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87" s="59">
        <f>IF('Vars and Stats'!$B$13="Y",10*(Completed[[#This Row],[Raw]]-'Vars and Stats'!$B$9)/'Vars and Stats'!$B$10, 10*Completed[[#This Row],[Raw]]/'Vars and Stats'!$B$8)</f>
        <v>7.5584328232722369</v>
      </c>
      <c r="I87" s="54">
        <v>41562</v>
      </c>
      <c r="J87" s="54">
        <v>41728</v>
      </c>
      <c r="K87" s="56" t="s">
        <v>392</v>
      </c>
      <c r="L87" s="29" t="s">
        <v>393</v>
      </c>
    </row>
    <row r="88" spans="1:12" ht="16.5">
      <c r="A88" s="21" t="s">
        <v>409</v>
      </c>
      <c r="B88" s="28">
        <v>1</v>
      </c>
      <c r="C88" s="53">
        <v>8.5</v>
      </c>
      <c r="D88" s="53">
        <v>8</v>
      </c>
      <c r="E88" s="53">
        <v>3.5</v>
      </c>
      <c r="F88" s="53">
        <v>8.5</v>
      </c>
      <c r="G88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88" s="70">
        <f>IF('Vars and Stats'!$B$13="Y",10*(Completed[[#This Row],[Raw]]-'Vars and Stats'!$B$9)/'Vars and Stats'!$B$10, 10*Completed[[#This Row],[Raw]]/'Vars and Stats'!$B$8)</f>
        <v>7.5264839414831002</v>
      </c>
      <c r="I88" s="49">
        <v>41789</v>
      </c>
      <c r="J88" s="54">
        <v>41816</v>
      </c>
      <c r="K88" s="56" t="s">
        <v>574</v>
      </c>
      <c r="L88" s="29"/>
    </row>
    <row r="89" spans="1:12" ht="16.5">
      <c r="A89" s="21" t="s">
        <v>79</v>
      </c>
      <c r="B89" s="28">
        <v>2</v>
      </c>
      <c r="C89" s="53">
        <v>7</v>
      </c>
      <c r="D89" s="53">
        <v>8</v>
      </c>
      <c r="E89" s="53">
        <v>3.5</v>
      </c>
      <c r="F89" s="53">
        <v>9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89" s="59">
        <f>IF('Vars and Stats'!$B$13="Y",10*(Completed[[#This Row],[Raw]]-'Vars and Stats'!$B$9)/'Vars and Stats'!$B$10, 10*Completed[[#This Row],[Raw]]/'Vars and Stats'!$B$8)</f>
        <v>7.4928535395997988</v>
      </c>
      <c r="I89" s="54">
        <v>41354</v>
      </c>
      <c r="J89" s="54">
        <v>41355</v>
      </c>
      <c r="K89" s="56" t="s">
        <v>335</v>
      </c>
      <c r="L89" s="29"/>
    </row>
    <row r="90" spans="1:12" ht="16.5">
      <c r="A90" s="21" t="s">
        <v>730</v>
      </c>
      <c r="B90" s="28">
        <v>1</v>
      </c>
      <c r="C90" s="53">
        <v>8.5</v>
      </c>
      <c r="D90" s="53">
        <v>8</v>
      </c>
      <c r="E90" s="53">
        <v>8</v>
      </c>
      <c r="F90" s="53">
        <v>8</v>
      </c>
      <c r="G90" s="69">
        <f>(Completed[[#This Row],[Plot]]*'Vars and Stats'!$B$3+Completed[[#This Row],[Char.]]*'Vars and Stats'!$B$4+Completed[[#This Row],[Moe]]*'Vars and Stats'!$B$5+Completed[[#This Row],[Pref]]*'Vars and Stats'!$B$6)/'Vars and Stats'!$B$11</f>
        <v>8.0917085427135671</v>
      </c>
      <c r="H90" s="70">
        <f>IF('Vars and Stats'!$B$13="Y",10*(Completed[[#This Row],[Raw]]-'Vars and Stats'!$B$9)/'Vars and Stats'!$B$10, 10*Completed[[#This Row],[Raw]]/'Vars and Stats'!$B$8)</f>
        <v>7.4794013788464762</v>
      </c>
      <c r="I90" s="54">
        <v>42064</v>
      </c>
      <c r="J90" s="54">
        <v>42197</v>
      </c>
      <c r="K90" s="56" t="s">
        <v>747</v>
      </c>
      <c r="L90" s="29"/>
    </row>
    <row r="91" spans="1:12" ht="16.5">
      <c r="A91" s="21" t="s">
        <v>736</v>
      </c>
      <c r="B91" s="28">
        <v>2</v>
      </c>
      <c r="C91" s="53">
        <v>4.5</v>
      </c>
      <c r="D91" s="53">
        <v>8.5</v>
      </c>
      <c r="E91" s="53">
        <v>10</v>
      </c>
      <c r="F91" s="53">
        <v>9</v>
      </c>
      <c r="G91" s="69">
        <f>(Completed[[#This Row],[Plot]]*'Vars and Stats'!$B$3+Completed[[#This Row],[Char.]]*'Vars and Stats'!$B$4+Completed[[#This Row],[Moe]]*'Vars and Stats'!$B$5+Completed[[#This Row],[Pref]]*'Vars and Stats'!$B$6)/'Vars and Stats'!$B$11</f>
        <v>8.0879396984924625</v>
      </c>
      <c r="H91" s="70">
        <f>IF('Vars and Stats'!$B$13="Y",10*(Completed[[#This Row],[Raw]]-'Vars and Stats'!$B$9)/'Vars and Stats'!$B$10, 10*Completed[[#This Row],[Raw]]/'Vars and Stats'!$B$8)</f>
        <v>7.4743568185639813</v>
      </c>
      <c r="I91" s="54">
        <v>42111</v>
      </c>
      <c r="J91" s="54">
        <v>42176</v>
      </c>
      <c r="K91" s="56" t="s">
        <v>742</v>
      </c>
      <c r="L91" s="29"/>
    </row>
    <row r="92" spans="1:12" ht="16.5">
      <c r="A92" s="21" t="s">
        <v>372</v>
      </c>
      <c r="B92" s="28">
        <v>1</v>
      </c>
      <c r="C92" s="53">
        <v>5</v>
      </c>
      <c r="D92" s="53">
        <v>9</v>
      </c>
      <c r="E92" s="53">
        <v>5</v>
      </c>
      <c r="F92" s="53">
        <v>9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92" s="59">
        <f>IF('Vars and Stats'!$B$13="Y",10*(Completed[[#This Row],[Raw]]-'Vars and Stats'!$B$9)/'Vars and Stats'!$B$10, 10*Completed[[#This Row],[Raw]]/'Vars and Stats'!$B$8)</f>
        <v>7.457541617622331</v>
      </c>
      <c r="I92" s="54">
        <v>41648</v>
      </c>
      <c r="J92" s="54">
        <v>41785</v>
      </c>
      <c r="K92" s="56" t="s">
        <v>433</v>
      </c>
      <c r="L92" s="29"/>
    </row>
    <row r="93" spans="1:12" ht="16.5">
      <c r="A93" s="21" t="s">
        <v>406</v>
      </c>
      <c r="B93" s="28">
        <v>1</v>
      </c>
      <c r="C93" s="53">
        <v>8</v>
      </c>
      <c r="D93" s="53">
        <v>8.5</v>
      </c>
      <c r="E93" s="53">
        <v>6</v>
      </c>
      <c r="F93" s="53">
        <v>8</v>
      </c>
      <c r="G93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93" s="70">
        <f>IF('Vars and Stats'!$B$13="Y",10*(Completed[[#This Row],[Raw]]-'Vars and Stats'!$B$9)/'Vars and Stats'!$B$10, 10*Completed[[#This Row],[Raw]]/'Vars and Stats'!$B$8)</f>
        <v>7.4087775348915414</v>
      </c>
      <c r="I93" s="54">
        <v>41750</v>
      </c>
      <c r="J93" s="54">
        <v>41831</v>
      </c>
      <c r="K93" s="56" t="s">
        <v>653</v>
      </c>
      <c r="L93" s="29" t="s">
        <v>654</v>
      </c>
    </row>
    <row r="94" spans="1:12" ht="16.5">
      <c r="A94" s="21" t="s">
        <v>151</v>
      </c>
      <c r="B94" s="28">
        <v>1</v>
      </c>
      <c r="C94" s="53">
        <v>6.5</v>
      </c>
      <c r="D94" s="53">
        <v>8.5</v>
      </c>
      <c r="E94" s="53">
        <v>6.5</v>
      </c>
      <c r="F94" s="53">
        <v>8.5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94" s="59">
        <f>IF('Vars and Stats'!$B$13="Y",10*(Completed[[#This Row],[Raw]]-'Vars and Stats'!$B$9)/'Vars and Stats'!$B$10, 10*Completed[[#This Row],[Raw]]/'Vars and Stats'!$B$8)</f>
        <v>7.4070960147973759</v>
      </c>
      <c r="I94" s="54">
        <v>41394</v>
      </c>
      <c r="J94" s="54">
        <v>41397</v>
      </c>
      <c r="K94" s="56" t="s">
        <v>203</v>
      </c>
      <c r="L94" s="29" t="s">
        <v>65</v>
      </c>
    </row>
    <row r="95" spans="1:12" ht="16.5">
      <c r="A95" s="21" t="s">
        <v>354</v>
      </c>
      <c r="B95" s="28">
        <v>1</v>
      </c>
      <c r="C95" s="53">
        <v>6.5</v>
      </c>
      <c r="D95" s="53">
        <v>8</v>
      </c>
      <c r="E95" s="53">
        <v>9</v>
      </c>
      <c r="F95" s="53">
        <v>8.5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95" s="59">
        <f>IF('Vars and Stats'!$B$13="Y",10*(Completed[[#This Row],[Raw]]-'Vars and Stats'!$B$9)/'Vars and Stats'!$B$10, 10*Completed[[#This Row],[Raw]]/'Vars and Stats'!$B$8)</f>
        <v>7.3869177736673945</v>
      </c>
      <c r="I95" s="54">
        <v>41650</v>
      </c>
      <c r="J95" s="54">
        <v>41733</v>
      </c>
      <c r="K95" s="56" t="s">
        <v>398</v>
      </c>
      <c r="L95" s="29"/>
    </row>
    <row r="96" spans="1:12" ht="16.5">
      <c r="A96" s="21" t="s">
        <v>179</v>
      </c>
      <c r="B96" s="28">
        <v>1</v>
      </c>
      <c r="C96" s="53">
        <v>8</v>
      </c>
      <c r="D96" s="53">
        <v>6.5</v>
      </c>
      <c r="E96" s="53">
        <v>6</v>
      </c>
      <c r="F96" s="53">
        <v>9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96" s="59">
        <f>IF('Vars and Stats'!$B$13="Y",10*(Completed[[#This Row],[Raw]]-'Vars and Stats'!$B$9)/'Vars and Stats'!$B$10, 10*Completed[[#This Row],[Raw]]/'Vars and Stats'!$B$8)</f>
        <v>7.3583319320665863</v>
      </c>
      <c r="I96" s="54">
        <v>41316</v>
      </c>
      <c r="J96" s="54">
        <v>41323</v>
      </c>
      <c r="K96" s="56" t="s">
        <v>200</v>
      </c>
      <c r="L96" s="29"/>
    </row>
    <row r="97" spans="1:12" ht="16.5">
      <c r="A97" s="21" t="s">
        <v>739</v>
      </c>
      <c r="B97" s="28">
        <v>1</v>
      </c>
      <c r="C97" s="53">
        <v>8.5</v>
      </c>
      <c r="D97" s="53">
        <v>8</v>
      </c>
      <c r="E97" s="53">
        <v>6</v>
      </c>
      <c r="F97" s="53">
        <v>8</v>
      </c>
      <c r="G97" s="69">
        <f>(Completed[[#This Row],[Plot]]*'Vars and Stats'!$B$3+Completed[[#This Row],[Char.]]*'Vars and Stats'!$B$4+Completed[[#This Row],[Moe]]*'Vars and Stats'!$B$5+Completed[[#This Row],[Pref]]*'Vars and Stats'!$B$6)/'Vars and Stats'!$B$11</f>
        <v>7.9962311557788954</v>
      </c>
      <c r="H97" s="70">
        <f>IF('Vars and Stats'!$B$13="Y",10*(Completed[[#This Row],[Raw]]-'Vars and Stats'!$B$9)/'Vars and Stats'!$B$10, 10*Completed[[#This Row],[Raw]]/'Vars and Stats'!$B$8)</f>
        <v>7.3516058516899285</v>
      </c>
      <c r="I97" s="54">
        <v>42112</v>
      </c>
      <c r="J97" s="54">
        <v>42179</v>
      </c>
      <c r="K97" s="56" t="s">
        <v>746</v>
      </c>
      <c r="L97" s="29"/>
    </row>
    <row r="98" spans="1:12" ht="16.5">
      <c r="A98" s="21" t="s">
        <v>134</v>
      </c>
      <c r="B98" s="28">
        <v>1</v>
      </c>
      <c r="C98" s="53">
        <v>8</v>
      </c>
      <c r="D98" s="53">
        <v>8.5</v>
      </c>
      <c r="E98" s="53">
        <v>5</v>
      </c>
      <c r="F98" s="53">
        <v>8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98" s="59">
        <f>IF('Vars and Stats'!$B$13="Y",10*(Completed[[#This Row],[Raw]]-'Vars and Stats'!$B$9)/'Vars and Stats'!$B$10, 10*Completed[[#This Row],[Raw]]/'Vars and Stats'!$B$8)</f>
        <v>7.3448797713132672</v>
      </c>
      <c r="I98" s="54">
        <v>41360</v>
      </c>
      <c r="J98" s="54">
        <v>41363</v>
      </c>
      <c r="K98" s="56" t="s">
        <v>202</v>
      </c>
      <c r="L98" s="29" t="s">
        <v>140</v>
      </c>
    </row>
    <row r="99" spans="1:12" ht="16.5">
      <c r="A99" s="21" t="s">
        <v>807</v>
      </c>
      <c r="B99" s="28">
        <v>1</v>
      </c>
      <c r="C99" s="53">
        <v>8</v>
      </c>
      <c r="D99" s="53">
        <v>8</v>
      </c>
      <c r="E99" s="53">
        <v>7</v>
      </c>
      <c r="F99" s="53">
        <v>8</v>
      </c>
      <c r="G99" s="69">
        <f>(Completed[[#This Row],[Plot]]*'Vars and Stats'!$B$3+Completed[[#This Row],[Char.]]*'Vars and Stats'!$B$4+Completed[[#This Row],[Moe]]*'Vars and Stats'!$B$5+Completed[[#This Row],[Pref]]*'Vars and Stats'!$B$6)/'Vars and Stats'!$B$11</f>
        <v>7.9522613065326633</v>
      </c>
      <c r="H99" s="70">
        <f>IF('Vars and Stats'!$B$13="Y",10*(Completed[[#This Row],[Raw]]-'Vars and Stats'!$B$9)/'Vars and Stats'!$B$10, 10*Completed[[#This Row],[Raw]]/'Vars and Stats'!$B$8)</f>
        <v>7.2927526483941474</v>
      </c>
      <c r="I99" s="54">
        <v>42289</v>
      </c>
      <c r="J99" s="54">
        <v>42385</v>
      </c>
      <c r="K99" s="56" t="s">
        <v>810</v>
      </c>
      <c r="L99" s="29"/>
    </row>
    <row r="100" spans="1:12" ht="16.5">
      <c r="A100" s="21" t="s">
        <v>685</v>
      </c>
      <c r="B100" s="28">
        <v>1</v>
      </c>
      <c r="C100" s="53">
        <v>8.5</v>
      </c>
      <c r="D100" s="53">
        <v>8</v>
      </c>
      <c r="E100" s="53">
        <v>5</v>
      </c>
      <c r="F100" s="53">
        <v>8</v>
      </c>
      <c r="G100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100" s="70">
        <f>IF('Vars and Stats'!$B$13="Y",10*(Completed[[#This Row],[Raw]]-'Vars and Stats'!$B$9)/'Vars and Stats'!$B$10, 10*Completed[[#This Row],[Raw]]/'Vars and Stats'!$B$8)</f>
        <v>7.2877080881116507</v>
      </c>
      <c r="I100" s="54">
        <v>41940</v>
      </c>
      <c r="J100" s="54">
        <v>41940</v>
      </c>
      <c r="K100" s="56" t="s">
        <v>686</v>
      </c>
      <c r="L100" s="29" t="s">
        <v>687</v>
      </c>
    </row>
    <row r="101" spans="1:12" ht="16.5">
      <c r="A101" s="21" t="s">
        <v>72</v>
      </c>
      <c r="B101" s="28">
        <v>1</v>
      </c>
      <c r="C101" s="53">
        <v>7</v>
      </c>
      <c r="D101" s="53">
        <v>8</v>
      </c>
      <c r="E101" s="53">
        <v>5.5</v>
      </c>
      <c r="F101" s="53">
        <v>8.5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101" s="59">
        <f>IF('Vars and Stats'!$B$13="Y",10*(Completed[[#This Row],[Raw]]-'Vars and Stats'!$B$9)/'Vars and Stats'!$B$10, 10*Completed[[#This Row],[Raw]]/'Vars and Stats'!$B$8)</f>
        <v>7.2860265680174878</v>
      </c>
      <c r="I101" s="54">
        <v>41363</v>
      </c>
      <c r="J101" s="54">
        <v>41364</v>
      </c>
      <c r="K101" s="56" t="s">
        <v>228</v>
      </c>
      <c r="L101" s="29"/>
    </row>
    <row r="102" spans="1:12" ht="16.5">
      <c r="A102" s="21" t="s">
        <v>170</v>
      </c>
      <c r="B102" s="28">
        <v>1</v>
      </c>
      <c r="C102" s="53">
        <v>8.5</v>
      </c>
      <c r="D102" s="53">
        <v>7.5</v>
      </c>
      <c r="E102" s="53">
        <v>2.5</v>
      </c>
      <c r="F102" s="53">
        <v>8.5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102" s="59">
        <f>IF('Vars and Stats'!$B$13="Y",10*(Completed[[#This Row],[Raw]]-'Vars and Stats'!$B$9)/'Vars and Stats'!$B$10, 10*Completed[[#This Row],[Raw]]/'Vars and Stats'!$B$8)</f>
        <v>7.2826635278291567</v>
      </c>
      <c r="I102" s="54">
        <v>41459</v>
      </c>
      <c r="J102" s="54">
        <v>41543</v>
      </c>
      <c r="K102" s="56" t="s">
        <v>266</v>
      </c>
      <c r="L102" s="29" t="s">
        <v>582</v>
      </c>
    </row>
    <row r="103" spans="1:12" ht="16.5">
      <c r="A103" s="21" t="s">
        <v>111</v>
      </c>
      <c r="B103" s="28">
        <v>1</v>
      </c>
      <c r="C103" s="53">
        <v>6</v>
      </c>
      <c r="D103" s="53">
        <v>7</v>
      </c>
      <c r="E103" s="53">
        <v>9</v>
      </c>
      <c r="F103" s="53">
        <v>9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103" s="59">
        <f>IF('Vars and Stats'!$B$13="Y",10*(Completed[[#This Row],[Raw]]-'Vars and Stats'!$B$9)/'Vars and Stats'!$B$10, 10*Completed[[#This Row],[Raw]]/'Vars and Stats'!$B$8)</f>
        <v>7.2389440053808647</v>
      </c>
      <c r="I103" s="54">
        <v>41337</v>
      </c>
      <c r="J103" s="54">
        <v>41338</v>
      </c>
      <c r="K103" s="56" t="s">
        <v>165</v>
      </c>
      <c r="L103" s="29" t="s">
        <v>139</v>
      </c>
    </row>
    <row r="104" spans="1:12" ht="16.5">
      <c r="A104" s="21" t="s">
        <v>84</v>
      </c>
      <c r="B104" s="28">
        <v>1</v>
      </c>
      <c r="C104" s="53">
        <v>6.5</v>
      </c>
      <c r="D104" s="53">
        <v>7.5</v>
      </c>
      <c r="E104" s="53">
        <v>4</v>
      </c>
      <c r="F104" s="53">
        <v>9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104" s="59">
        <f>IF('Vars and Stats'!$B$13="Y",10*(Completed[[#This Row],[Raw]]-'Vars and Stats'!$B$9)/'Vars and Stats'!$B$10, 10*Completed[[#This Row],[Raw]]/'Vars and Stats'!$B$8)</f>
        <v>7.2221288044392118</v>
      </c>
      <c r="I104" s="54">
        <v>41347</v>
      </c>
      <c r="J104" s="54">
        <v>41354</v>
      </c>
      <c r="K104" s="74" t="s">
        <v>619</v>
      </c>
      <c r="L104" s="29"/>
    </row>
    <row r="105" spans="1:12" ht="16.5">
      <c r="A105" s="21" t="s">
        <v>168</v>
      </c>
      <c r="B105" s="28">
        <v>2</v>
      </c>
      <c r="C105" s="53">
        <v>7</v>
      </c>
      <c r="D105" s="53">
        <v>8</v>
      </c>
      <c r="E105" s="53">
        <v>9.5</v>
      </c>
      <c r="F105" s="53">
        <v>8</v>
      </c>
      <c r="G105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105" s="59">
        <f>IF('Vars and Stats'!$B$13="Y",10*(Completed[[#This Row],[Raw]]-'Vars and Stats'!$B$9)/'Vars and Stats'!$B$10, 10*Completed[[#This Row],[Raw]]/'Vars and Stats'!$B$8)</f>
        <v>7.2069951235917262</v>
      </c>
      <c r="I105" s="54">
        <v>41468</v>
      </c>
      <c r="J105" s="54">
        <v>41589</v>
      </c>
      <c r="K105" s="56" t="s">
        <v>164</v>
      </c>
      <c r="L105" s="29"/>
    </row>
    <row r="106" spans="1:12" ht="16.5">
      <c r="A106" s="21" t="s">
        <v>167</v>
      </c>
      <c r="B106" s="28">
        <v>1</v>
      </c>
      <c r="C106" s="53">
        <v>3.5</v>
      </c>
      <c r="D106" s="53">
        <v>8.5</v>
      </c>
      <c r="E106" s="53">
        <v>9.5</v>
      </c>
      <c r="F106" s="53">
        <v>9</v>
      </c>
      <c r="G106" s="58">
        <f>(Completed[[#This Row],[Plot]]*'Vars and Stats'!$B$3+Completed[[#This Row],[Char.]]*'Vars and Stats'!$B$4+Completed[[#This Row],[Moe]]*'Vars and Stats'!$B$5+Completed[[#This Row],[Pref]]*'Vars and Stats'!$B$6)/'Vars and Stats'!$B$11</f>
        <v>7.8806532663316586</v>
      </c>
      <c r="H106" s="59">
        <f>IF('Vars and Stats'!$B$13="Y",10*(Completed[[#This Row],[Raw]]-'Vars and Stats'!$B$9)/'Vars and Stats'!$B$10, 10*Completed[[#This Row],[Raw]]/'Vars and Stats'!$B$8)</f>
        <v>7.1969060030267364</v>
      </c>
      <c r="I106" s="54">
        <v>41462</v>
      </c>
      <c r="J106" s="54">
        <v>41538</v>
      </c>
      <c r="K106" s="56" t="s">
        <v>255</v>
      </c>
      <c r="L106" s="29"/>
    </row>
    <row r="107" spans="1:12" ht="16.5">
      <c r="A107" s="21" t="s">
        <v>745</v>
      </c>
      <c r="B107" s="28">
        <v>1</v>
      </c>
      <c r="C107" s="53">
        <v>7</v>
      </c>
      <c r="D107" s="53">
        <v>8</v>
      </c>
      <c r="E107" s="53">
        <v>9</v>
      </c>
      <c r="F107" s="53">
        <v>8</v>
      </c>
      <c r="G107" s="69">
        <f>(Completed[[#This Row],[Plot]]*'Vars and Stats'!$B$3+Completed[[#This Row],[Char.]]*'Vars and Stats'!$B$4+Completed[[#This Row],[Moe]]*'Vars and Stats'!$B$5+Completed[[#This Row],[Pref]]*'Vars and Stats'!$B$6)/'Vars and Stats'!$B$11</f>
        <v>7.8643216080402008</v>
      </c>
      <c r="H107" s="70">
        <f>IF('Vars and Stats'!$B$13="Y",10*(Completed[[#This Row],[Raw]]-'Vars and Stats'!$B$9)/'Vars and Stats'!$B$10, 10*Completed[[#This Row],[Raw]]/'Vars and Stats'!$B$8)</f>
        <v>7.1750462418025887</v>
      </c>
      <c r="I107" s="54">
        <v>42214</v>
      </c>
      <c r="J107" s="54">
        <v>42272</v>
      </c>
      <c r="K107" s="56" t="s">
        <v>762</v>
      </c>
      <c r="L107" s="29" t="s">
        <v>763</v>
      </c>
    </row>
    <row r="108" spans="1:12" ht="16.5">
      <c r="A108" s="21" t="s">
        <v>276</v>
      </c>
      <c r="B108" s="28">
        <v>1</v>
      </c>
      <c r="C108" s="53">
        <v>8</v>
      </c>
      <c r="D108" s="53">
        <v>8</v>
      </c>
      <c r="E108" s="53">
        <v>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108" s="59">
        <f>IF('Vars and Stats'!$B$13="Y",10*(Completed[[#This Row],[Raw]]-'Vars and Stats'!$B$9)/'Vars and Stats'!$B$10, 10*Completed[[#This Row],[Raw]]/'Vars and Stats'!$B$8)</f>
        <v>7.164957121237598</v>
      </c>
      <c r="I108" s="54">
        <v>41555</v>
      </c>
      <c r="J108" s="54">
        <v>41748</v>
      </c>
      <c r="K108" s="56" t="s">
        <v>419</v>
      </c>
      <c r="L108" s="29"/>
    </row>
    <row r="109" spans="1:12" ht="16.5">
      <c r="A109" s="21" t="s">
        <v>504</v>
      </c>
      <c r="B109" s="28">
        <v>1</v>
      </c>
      <c r="C109" s="53">
        <v>8</v>
      </c>
      <c r="D109" s="53">
        <v>8</v>
      </c>
      <c r="E109" s="53">
        <v>5</v>
      </c>
      <c r="F109" s="53">
        <v>8</v>
      </c>
      <c r="G109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109" s="59">
        <f>IF('Vars and Stats'!$B$13="Y",10*(Completed[[#This Row],[Raw]]-'Vars and Stats'!$B$9)/'Vars and Stats'!$B$10, 10*Completed[[#This Row],[Raw]]/'Vars and Stats'!$B$8)</f>
        <v>7.164957121237598</v>
      </c>
      <c r="I109" s="54">
        <v>41245</v>
      </c>
      <c r="J109" s="54">
        <v>41250</v>
      </c>
      <c r="K109" s="56" t="s">
        <v>227</v>
      </c>
      <c r="L109" s="29" t="s">
        <v>562</v>
      </c>
    </row>
    <row r="110" spans="1:12" ht="16.5">
      <c r="A110" s="21" t="s">
        <v>122</v>
      </c>
      <c r="B110" s="28">
        <v>1</v>
      </c>
      <c r="C110" s="53">
        <v>7.5</v>
      </c>
      <c r="D110" s="53">
        <v>7.5</v>
      </c>
      <c r="E110" s="53">
        <v>9.5</v>
      </c>
      <c r="F110" s="53">
        <v>8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110" s="59">
        <f>IF('Vars and Stats'!$B$13="Y",10*(Completed[[#This Row],[Raw]]-'Vars and Stats'!$B$9)/'Vars and Stats'!$B$10, 10*Completed[[#This Row],[Raw]]/'Vars and Stats'!$B$8)</f>
        <v>7.1498234403901124</v>
      </c>
      <c r="I110" s="54">
        <v>41453</v>
      </c>
      <c r="J110" s="54">
        <v>41456</v>
      </c>
      <c r="K110" s="56" t="s">
        <v>164</v>
      </c>
      <c r="L110" s="29"/>
    </row>
    <row r="111" spans="1:12" ht="16.5">
      <c r="A111" s="21" t="s">
        <v>358</v>
      </c>
      <c r="B111" s="28">
        <v>1</v>
      </c>
      <c r="C111" s="53">
        <v>7.5</v>
      </c>
      <c r="D111" s="53">
        <v>8</v>
      </c>
      <c r="E111" s="53">
        <v>6</v>
      </c>
      <c r="F111" s="53">
        <v>8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111" s="59">
        <f>IF('Vars and Stats'!$B$13="Y",10*(Completed[[#This Row],[Raw]]-'Vars and Stats'!$B$9)/'Vars and Stats'!$B$10, 10*Completed[[#This Row],[Raw]]/'Vars and Stats'!$B$8)</f>
        <v>7.1061039179418186</v>
      </c>
      <c r="I111" s="54">
        <v>41661</v>
      </c>
      <c r="J111" s="54">
        <v>41722</v>
      </c>
      <c r="K111" s="56" t="s">
        <v>389</v>
      </c>
      <c r="L111" s="29"/>
    </row>
    <row r="112" spans="1:12" ht="16.5">
      <c r="A112" s="21" t="s">
        <v>357</v>
      </c>
      <c r="B112" s="28">
        <v>1</v>
      </c>
      <c r="C112" s="53">
        <v>5</v>
      </c>
      <c r="D112" s="53">
        <v>8</v>
      </c>
      <c r="E112" s="53">
        <v>5</v>
      </c>
      <c r="F112" s="53">
        <v>9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112" s="59">
        <f>IF('Vars and Stats'!$B$13="Y",10*(Completed[[#This Row],[Raw]]-'Vars and Stats'!$B$9)/'Vars and Stats'!$B$10, 10*Completed[[#This Row],[Raw]]/'Vars and Stats'!$B$8)</f>
        <v>7.0976963174709935</v>
      </c>
      <c r="I112" s="54">
        <v>41650</v>
      </c>
      <c r="J112" s="54">
        <v>41744</v>
      </c>
      <c r="K112" s="56" t="s">
        <v>400</v>
      </c>
      <c r="L112" s="29"/>
    </row>
    <row r="113" spans="1:12" ht="16.5">
      <c r="A113" s="21" t="s">
        <v>166</v>
      </c>
      <c r="B113" s="28">
        <v>1</v>
      </c>
      <c r="C113" s="53">
        <v>4</v>
      </c>
      <c r="D113" s="53">
        <v>8</v>
      </c>
      <c r="E113" s="53">
        <v>3</v>
      </c>
      <c r="F113" s="53">
        <v>9.5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113" s="59">
        <f>IF('Vars and Stats'!$B$13="Y",10*(Completed[[#This Row],[Raw]]-'Vars and Stats'!$B$9)/'Vars and Stats'!$B$10, 10*Completed[[#This Row],[Raw]]/'Vars and Stats'!$B$8)</f>
        <v>7.0590213553051964</v>
      </c>
      <c r="I113" s="54">
        <v>41443</v>
      </c>
      <c r="J113" s="54">
        <v>41444</v>
      </c>
      <c r="K113" s="56" t="s">
        <v>207</v>
      </c>
      <c r="L113" s="29"/>
    </row>
    <row r="114" spans="1:12" ht="16.5">
      <c r="A114" s="21" t="s">
        <v>36</v>
      </c>
      <c r="B114" s="28">
        <v>1</v>
      </c>
      <c r="C114" s="53">
        <v>7</v>
      </c>
      <c r="D114" s="53">
        <v>8</v>
      </c>
      <c r="E114" s="53">
        <v>7</v>
      </c>
      <c r="F114" s="53">
        <v>8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114" s="59">
        <f>IF('Vars and Stats'!$B$13="Y",10*(Completed[[#This Row],[Raw]]-'Vars and Stats'!$B$9)/'Vars and Stats'!$B$10, 10*Completed[[#This Row],[Raw]]/'Vars and Stats'!$B$8)</f>
        <v>7.0472507146460401</v>
      </c>
      <c r="I114" s="54">
        <v>41457</v>
      </c>
      <c r="J114" s="54">
        <v>41463</v>
      </c>
      <c r="K114" s="56" t="s">
        <v>163</v>
      </c>
      <c r="L114" s="29"/>
    </row>
    <row r="115" spans="1:12" ht="16.5">
      <c r="A115" s="21" t="s">
        <v>356</v>
      </c>
      <c r="B115" s="34">
        <v>1</v>
      </c>
      <c r="C115" s="68">
        <v>7.5</v>
      </c>
      <c r="D115" s="68">
        <v>8</v>
      </c>
      <c r="E115" s="68">
        <v>5</v>
      </c>
      <c r="F115" s="68">
        <v>8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115" s="59">
        <f>IF('Vars and Stats'!$B$13="Y",10*(Completed[[#This Row],[Raw]]-'Vars and Stats'!$B$9)/'Vars and Stats'!$B$10, 10*Completed[[#This Row],[Raw]]/'Vars and Stats'!$B$8)</f>
        <v>7.0422061543635452</v>
      </c>
      <c r="I115" s="16">
        <v>41648</v>
      </c>
      <c r="J115" s="16">
        <v>41746</v>
      </c>
      <c r="K115" s="71" t="s">
        <v>416</v>
      </c>
      <c r="L115" s="72"/>
    </row>
    <row r="116" spans="1:12" ht="16.5">
      <c r="A116" s="15" t="s">
        <v>147</v>
      </c>
      <c r="B116" s="34">
        <v>1</v>
      </c>
      <c r="C116" s="68">
        <v>2</v>
      </c>
      <c r="D116" s="68">
        <v>8.5</v>
      </c>
      <c r="E116" s="68">
        <v>7</v>
      </c>
      <c r="F116" s="68">
        <v>9.5</v>
      </c>
      <c r="G116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116" s="59">
        <f>IF('Vars and Stats'!$B$13="Y",10*(Completed[[#This Row],[Raw]]-'Vars and Stats'!$B$9)/'Vars and Stats'!$B$10, 10*Completed[[#This Row],[Raw]]/'Vars and Stats'!$B$8)</f>
        <v>7.0035311921977463</v>
      </c>
      <c r="I116" s="54">
        <v>41291</v>
      </c>
      <c r="J116" s="16">
        <v>41298</v>
      </c>
      <c r="K116" s="71" t="s">
        <v>211</v>
      </c>
      <c r="L116" s="72" t="s">
        <v>100</v>
      </c>
    </row>
    <row r="117" spans="1:12" ht="16.5">
      <c r="A117" s="15" t="s">
        <v>748</v>
      </c>
      <c r="B117" s="34">
        <v>1</v>
      </c>
      <c r="C117" s="68">
        <v>6.5</v>
      </c>
      <c r="D117" s="68">
        <v>8</v>
      </c>
      <c r="E117" s="68">
        <v>7</v>
      </c>
      <c r="F117" s="68">
        <v>8</v>
      </c>
      <c r="G117" s="69">
        <f>(Completed[[#This Row],[Plot]]*'Vars and Stats'!$B$3+Completed[[#This Row],[Char.]]*'Vars and Stats'!$B$4+Completed[[#This Row],[Moe]]*'Vars and Stats'!$B$5+Completed[[#This Row],[Pref]]*'Vars and Stats'!$B$6)/'Vars and Stats'!$B$11</f>
        <v>7.6771356783919602</v>
      </c>
      <c r="H117" s="70">
        <f>IF('Vars and Stats'!$B$13="Y",10*(Completed[[#This Row],[Raw]]-'Vars and Stats'!$B$9)/'Vars and Stats'!$B$10, 10*Completed[[#This Row],[Raw]]/'Vars and Stats'!$B$8)</f>
        <v>6.9244997477719865</v>
      </c>
      <c r="I117" s="54">
        <v>42194</v>
      </c>
      <c r="J117" s="16">
        <v>42285</v>
      </c>
      <c r="K117" s="71" t="s">
        <v>764</v>
      </c>
      <c r="L117" s="72"/>
    </row>
    <row r="118" spans="1:12" ht="16.5">
      <c r="A118" s="15" t="s">
        <v>277</v>
      </c>
      <c r="B118" s="34">
        <v>1</v>
      </c>
      <c r="C118" s="68">
        <v>8.5</v>
      </c>
      <c r="D118" s="68">
        <v>7.5</v>
      </c>
      <c r="E118" s="68">
        <v>2</v>
      </c>
      <c r="F118" s="68">
        <v>8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118" s="59">
        <f>IF('Vars and Stats'!$B$13="Y",10*(Completed[[#This Row],[Raw]]-'Vars and Stats'!$B$9)/'Vars and Stats'!$B$10, 10*Completed[[#This Row],[Raw]]/'Vars and Stats'!$B$8)</f>
        <v>6.9160921473011605</v>
      </c>
      <c r="I118" s="16">
        <v>41555</v>
      </c>
      <c r="J118" s="16">
        <v>41634</v>
      </c>
      <c r="K118" s="71" t="s">
        <v>346</v>
      </c>
      <c r="L118" s="72" t="s">
        <v>347</v>
      </c>
    </row>
    <row r="119" spans="1:12" ht="16.5">
      <c r="A119" s="15" t="s">
        <v>353</v>
      </c>
      <c r="B119" s="34">
        <v>2</v>
      </c>
      <c r="C119" s="68">
        <v>8</v>
      </c>
      <c r="D119" s="68">
        <v>8</v>
      </c>
      <c r="E119" s="68">
        <v>6</v>
      </c>
      <c r="F119" s="68">
        <v>7.5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19" s="59">
        <f>IF('Vars and Stats'!$B$13="Y",10*(Completed[[#This Row],[Raw]]-'Vars and Stats'!$B$9)/'Vars and Stats'!$B$10, 10*Completed[[#This Row],[Raw]]/'Vars and Stats'!$B$8)</f>
        <v>6.8942323860770145</v>
      </c>
      <c r="I119" s="54">
        <v>41648</v>
      </c>
      <c r="J119" s="16">
        <v>41730</v>
      </c>
      <c r="K119" s="71" t="s">
        <v>394</v>
      </c>
      <c r="L119" s="72"/>
    </row>
    <row r="120" spans="1:12" ht="16.5">
      <c r="A120" s="15" t="s">
        <v>313</v>
      </c>
      <c r="B120" s="34">
        <v>1</v>
      </c>
      <c r="C120" s="68">
        <v>8</v>
      </c>
      <c r="D120" s="68">
        <v>7.5</v>
      </c>
      <c r="E120" s="68">
        <v>3.5</v>
      </c>
      <c r="F120" s="68">
        <v>8</v>
      </c>
      <c r="G120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20" s="59">
        <f>IF('Vars and Stats'!$B$13="Y",10*(Completed[[#This Row],[Raw]]-'Vars and Stats'!$B$9)/'Vars and Stats'!$B$10, 10*Completed[[#This Row],[Raw]]/'Vars and Stats'!$B$8)</f>
        <v>6.8891878257945187</v>
      </c>
      <c r="I120" s="54">
        <v>41541</v>
      </c>
      <c r="J120" s="16">
        <v>41541</v>
      </c>
      <c r="K120" s="71" t="s">
        <v>265</v>
      </c>
      <c r="L120" s="72"/>
    </row>
    <row r="121" spans="1:12" ht="16.5">
      <c r="A121" s="15" t="s">
        <v>68</v>
      </c>
      <c r="B121" s="34">
        <v>1</v>
      </c>
      <c r="C121" s="68">
        <v>8</v>
      </c>
      <c r="D121" s="68">
        <v>7</v>
      </c>
      <c r="E121" s="68">
        <v>6</v>
      </c>
      <c r="F121" s="68">
        <v>8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21" s="59">
        <f>IF('Vars and Stats'!$B$13="Y",10*(Completed[[#This Row],[Raw]]-'Vars and Stats'!$B$9)/'Vars and Stats'!$B$10, 10*Completed[[#This Row],[Raw]]/'Vars and Stats'!$B$8)</f>
        <v>6.8690095846645365</v>
      </c>
      <c r="I121" s="54">
        <v>41251</v>
      </c>
      <c r="J121" s="16">
        <v>41263</v>
      </c>
      <c r="K121" s="71" t="s">
        <v>218</v>
      </c>
      <c r="L121" s="72"/>
    </row>
    <row r="122" spans="1:12" ht="16.5">
      <c r="A122" s="15" t="s">
        <v>171</v>
      </c>
      <c r="B122" s="34">
        <v>1</v>
      </c>
      <c r="C122" s="68">
        <v>8</v>
      </c>
      <c r="D122" s="68">
        <v>8</v>
      </c>
      <c r="E122" s="68">
        <v>5.5</v>
      </c>
      <c r="F122" s="68">
        <v>7.5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22" s="59">
        <f>IF('Vars and Stats'!$B$13="Y",10*(Completed[[#This Row],[Raw]]-'Vars and Stats'!$B$9)/'Vars and Stats'!$B$10, 10*Completed[[#This Row],[Raw]]/'Vars and Stats'!$B$8)</f>
        <v>6.862283504287876</v>
      </c>
      <c r="I122" s="54">
        <v>41461</v>
      </c>
      <c r="J122" s="16">
        <v>41546</v>
      </c>
      <c r="K122" s="71" t="s">
        <v>334</v>
      </c>
      <c r="L122" s="72"/>
    </row>
    <row r="123" spans="1:12" ht="16.5">
      <c r="A123" s="15" t="s">
        <v>113</v>
      </c>
      <c r="B123" s="34">
        <v>1</v>
      </c>
      <c r="C123" s="68">
        <v>7</v>
      </c>
      <c r="D123" s="68">
        <v>7.5</v>
      </c>
      <c r="E123" s="68">
        <v>6.5</v>
      </c>
      <c r="F123" s="68">
        <v>8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23" s="59">
        <f>IF('Vars and Stats'!$B$13="Y",10*(Completed[[#This Row],[Raw]]-'Vars and Stats'!$B$9)/'Vars and Stats'!$B$10, 10*Completed[[#This Row],[Raw]]/'Vars and Stats'!$B$8)</f>
        <v>6.8353791827812342</v>
      </c>
      <c r="I123" s="54">
        <v>41430</v>
      </c>
      <c r="J123" s="16">
        <v>41431</v>
      </c>
      <c r="K123" s="76" t="s">
        <v>336</v>
      </c>
      <c r="L123" s="72" t="s">
        <v>114</v>
      </c>
    </row>
    <row r="124" spans="1:12" ht="16.5">
      <c r="A124" s="183" t="s">
        <v>651</v>
      </c>
      <c r="B124" s="184">
        <v>1</v>
      </c>
      <c r="C124" s="194">
        <v>7</v>
      </c>
      <c r="D124" s="194">
        <v>7.5</v>
      </c>
      <c r="E124" s="194">
        <v>6</v>
      </c>
      <c r="F124" s="194">
        <v>8</v>
      </c>
      <c r="G124" s="185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24" s="186">
        <f>IF('Vars and Stats'!$B$13="Y",10*(Completed[[#This Row],[Raw]]-'Vars and Stats'!$B$9)/'Vars and Stats'!$B$10, 10*Completed[[#This Row],[Raw]]/'Vars and Stats'!$B$8)</f>
        <v>6.8034303009920967</v>
      </c>
      <c r="I124" s="195">
        <v>41837</v>
      </c>
      <c r="J124" s="195">
        <v>42020</v>
      </c>
      <c r="K124" s="196" t="s">
        <v>711</v>
      </c>
      <c r="L124" s="197" t="s">
        <v>712</v>
      </c>
    </row>
    <row r="125" spans="1:12" ht="16.5">
      <c r="A125" s="15" t="s">
        <v>405</v>
      </c>
      <c r="B125" s="34">
        <v>1</v>
      </c>
      <c r="C125" s="68">
        <v>7.5</v>
      </c>
      <c r="D125" s="68">
        <v>8</v>
      </c>
      <c r="E125" s="68">
        <v>5.5</v>
      </c>
      <c r="F125" s="68">
        <v>7.5</v>
      </c>
      <c r="G125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25" s="70">
        <f>IF('Vars and Stats'!$B$13="Y",10*(Completed[[#This Row],[Raw]]-'Vars and Stats'!$B$9)/'Vars and Stats'!$B$10, 10*Completed[[#This Row],[Raw]]/'Vars and Stats'!$B$8)</f>
        <v>6.7395325374138233</v>
      </c>
      <c r="I125" s="204">
        <v>41759</v>
      </c>
      <c r="J125" s="16">
        <v>41812</v>
      </c>
      <c r="K125" s="71" t="s">
        <v>567</v>
      </c>
      <c r="L125" s="72" t="s">
        <v>568</v>
      </c>
    </row>
    <row r="126" spans="1:12" ht="16.5">
      <c r="A126" s="15" t="s">
        <v>118</v>
      </c>
      <c r="B126" s="34">
        <v>1</v>
      </c>
      <c r="C126" s="68">
        <v>8</v>
      </c>
      <c r="D126" s="68">
        <v>7.5</v>
      </c>
      <c r="E126" s="68">
        <v>5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26" s="59">
        <f>IF('Vars and Stats'!$B$13="Y",10*(Completed[[#This Row],[Raw]]-'Vars and Stats'!$B$9)/'Vars and Stats'!$B$10, 10*Completed[[#This Row],[Raw]]/'Vars and Stats'!$B$8)</f>
        <v>6.650411972423071</v>
      </c>
      <c r="I126" s="16">
        <v>41453</v>
      </c>
      <c r="J126" s="16">
        <v>41457</v>
      </c>
      <c r="K126" s="71" t="s">
        <v>217</v>
      </c>
      <c r="L126" s="72" t="s">
        <v>145</v>
      </c>
    </row>
    <row r="127" spans="1:12" ht="16.5">
      <c r="A127" s="15" t="s">
        <v>169</v>
      </c>
      <c r="B127" s="34">
        <v>1</v>
      </c>
      <c r="C127" s="68">
        <v>7</v>
      </c>
      <c r="D127" s="68">
        <v>7.5</v>
      </c>
      <c r="E127" s="68">
        <v>3.5</v>
      </c>
      <c r="F127" s="68">
        <v>8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27" s="59">
        <f>IF('Vars and Stats'!$B$13="Y",10*(Completed[[#This Row],[Raw]]-'Vars and Stats'!$B$9)/'Vars and Stats'!$B$10, 10*Completed[[#This Row],[Raw]]/'Vars and Stats'!$B$8)</f>
        <v>6.6436858920464097</v>
      </c>
      <c r="I127" s="16">
        <v>41465</v>
      </c>
      <c r="J127" s="16">
        <v>41543</v>
      </c>
      <c r="K127" s="71" t="s">
        <v>268</v>
      </c>
      <c r="L127" s="72" t="s">
        <v>267</v>
      </c>
    </row>
    <row r="128" spans="1:12" ht="16.5">
      <c r="A128" s="15" t="s">
        <v>138</v>
      </c>
      <c r="B128" s="34">
        <v>1</v>
      </c>
      <c r="C128" s="68">
        <v>6.5</v>
      </c>
      <c r="D128" s="68">
        <v>7.5</v>
      </c>
      <c r="E128" s="68">
        <v>5</v>
      </c>
      <c r="F128" s="68">
        <v>8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28" s="59">
        <f>IF('Vars and Stats'!$B$13="Y",10*(Completed[[#This Row],[Raw]]-'Vars and Stats'!$B$9)/'Vars and Stats'!$B$10, 10*Completed[[#This Row],[Raw]]/'Vars and Stats'!$B$8)</f>
        <v>6.6167815705397679</v>
      </c>
      <c r="I128" s="16">
        <v>41456</v>
      </c>
      <c r="J128" s="16">
        <v>41535</v>
      </c>
      <c r="K128" s="71" t="s">
        <v>253</v>
      </c>
      <c r="L128" s="72"/>
    </row>
    <row r="129" spans="1:12" ht="16.5">
      <c r="A129" s="15" t="s">
        <v>120</v>
      </c>
      <c r="B129" s="34">
        <v>1</v>
      </c>
      <c r="C129" s="68">
        <v>4</v>
      </c>
      <c r="D129" s="68">
        <v>8</v>
      </c>
      <c r="E129" s="68">
        <v>0</v>
      </c>
      <c r="F129" s="68">
        <v>9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29" s="59">
        <f>IF('Vars and Stats'!$B$13="Y",10*(Completed[[#This Row],[Raw]]-'Vars and Stats'!$B$9)/'Vars and Stats'!$B$10, 10*Completed[[#This Row],[Raw]]/'Vars and Stats'!$B$8)</f>
        <v>6.5327055658315123</v>
      </c>
      <c r="I129" s="16">
        <v>41450</v>
      </c>
      <c r="J129" s="16">
        <v>41452</v>
      </c>
      <c r="K129" s="71" t="s">
        <v>206</v>
      </c>
      <c r="L129" s="72" t="s">
        <v>121</v>
      </c>
    </row>
    <row r="130" spans="1:12" ht="16.5">
      <c r="A130" s="15" t="s">
        <v>355</v>
      </c>
      <c r="B130" s="34">
        <v>1</v>
      </c>
      <c r="C130" s="68">
        <v>6.5</v>
      </c>
      <c r="D130" s="68">
        <v>9</v>
      </c>
      <c r="E130" s="68">
        <v>5</v>
      </c>
      <c r="F130" s="68">
        <v>7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30" s="59">
        <f>IF('Vars and Stats'!$B$13="Y",10*(Completed[[#This Row],[Raw]]-'Vars and Stats'!$B$9)/'Vars and Stats'!$B$10, 10*Completed[[#This Row],[Raw]]/'Vars and Stats'!$B$8)</f>
        <v>6.4873045232890529</v>
      </c>
      <c r="I130" s="16">
        <v>41650</v>
      </c>
      <c r="J130" s="16">
        <v>41745</v>
      </c>
      <c r="K130" s="71" t="s">
        <v>402</v>
      </c>
      <c r="L130" s="72" t="s">
        <v>403</v>
      </c>
    </row>
    <row r="131" spans="1:12" ht="16.5">
      <c r="A131" s="15" t="s">
        <v>309</v>
      </c>
      <c r="B131" s="34">
        <v>1</v>
      </c>
      <c r="C131" s="68">
        <v>7.5</v>
      </c>
      <c r="D131" s="68">
        <v>7.5</v>
      </c>
      <c r="E131" s="68">
        <v>4</v>
      </c>
      <c r="F131" s="68">
        <v>7.5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31" s="59">
        <f>IF('Vars and Stats'!$B$13="Y",10*(Completed[[#This Row],[Raw]]-'Vars and Stats'!$B$9)/'Vars and Stats'!$B$10, 10*Completed[[#This Row],[Raw]]/'Vars and Stats'!$B$8)</f>
        <v>6.4637632419707414</v>
      </c>
      <c r="I131" s="16">
        <v>41330</v>
      </c>
      <c r="J131" s="16">
        <v>41346</v>
      </c>
      <c r="K131" s="71" t="s">
        <v>204</v>
      </c>
      <c r="L131" s="72" t="s">
        <v>82</v>
      </c>
    </row>
    <row r="132" spans="1:12" ht="16.5">
      <c r="A132" s="15" t="s">
        <v>175</v>
      </c>
      <c r="B132" s="34">
        <v>1</v>
      </c>
      <c r="C132" s="68">
        <v>4</v>
      </c>
      <c r="D132" s="68">
        <v>8</v>
      </c>
      <c r="E132" s="68">
        <v>9</v>
      </c>
      <c r="F132" s="68">
        <v>8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32" s="59">
        <f>IF('Vars and Stats'!$B$13="Y",10*(Completed[[#This Row],[Raw]]-'Vars and Stats'!$B$9)/'Vars and Stats'!$B$10, 10*Completed[[#This Row],[Raw]]/'Vars and Stats'!$B$8)</f>
        <v>6.4385404405582634</v>
      </c>
      <c r="I132" s="16">
        <v>41488</v>
      </c>
      <c r="J132" s="16">
        <v>41492</v>
      </c>
      <c r="K132" s="71" t="s">
        <v>243</v>
      </c>
      <c r="L132" s="72" t="s">
        <v>436</v>
      </c>
    </row>
    <row r="133" spans="1:12" ht="16.5">
      <c r="A133" s="15" t="s">
        <v>375</v>
      </c>
      <c r="B133" s="34">
        <v>1</v>
      </c>
      <c r="C133" s="68">
        <v>7.5</v>
      </c>
      <c r="D133" s="68">
        <v>7.5</v>
      </c>
      <c r="E133" s="68">
        <v>3.5</v>
      </c>
      <c r="F133" s="68">
        <v>7.5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33" s="59">
        <f>IF('Vars and Stats'!$B$13="Y",10*(Completed[[#This Row],[Raw]]-'Vars and Stats'!$B$9)/'Vars and Stats'!$B$10, 10*Completed[[#This Row],[Raw]]/'Vars and Stats'!$B$8)</f>
        <v>6.4318143601816038</v>
      </c>
      <c r="I133" s="16">
        <v>41650</v>
      </c>
      <c r="J133" s="16">
        <v>41749</v>
      </c>
      <c r="K133" s="71" t="s">
        <v>423</v>
      </c>
      <c r="L133" s="72"/>
    </row>
    <row r="134" spans="1:12" ht="16.5">
      <c r="A134" s="15" t="s">
        <v>77</v>
      </c>
      <c r="B134" s="34">
        <v>1</v>
      </c>
      <c r="C134" s="68">
        <v>6</v>
      </c>
      <c r="D134" s="68">
        <v>7</v>
      </c>
      <c r="E134" s="68">
        <v>6</v>
      </c>
      <c r="F134" s="68">
        <v>8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34" s="59">
        <f>IF('Vars and Stats'!$B$13="Y",10*(Completed[[#This Row],[Raw]]-'Vars and Stats'!$B$9)/'Vars and Stats'!$B$10, 10*Completed[[#This Row],[Raw]]/'Vars and Stats'!$B$8)</f>
        <v>6.3780057171683193</v>
      </c>
      <c r="I134" s="16">
        <v>41365</v>
      </c>
      <c r="J134" s="16">
        <v>41369</v>
      </c>
      <c r="K134" s="198" t="s">
        <v>199</v>
      </c>
      <c r="L134" s="72"/>
    </row>
    <row r="135" spans="1:12" ht="16.5">
      <c r="A135" s="183" t="s">
        <v>621</v>
      </c>
      <c r="B135" s="184">
        <v>1</v>
      </c>
      <c r="C135" s="194">
        <v>7.5</v>
      </c>
      <c r="D135" s="194">
        <v>8</v>
      </c>
      <c r="E135" s="194">
        <v>5</v>
      </c>
      <c r="F135" s="194">
        <v>7</v>
      </c>
      <c r="G135" s="185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35" s="186">
        <f>IF('Vars and Stats'!$B$13="Y",10*(Completed[[#This Row],[Raw]]-'Vars and Stats'!$B$9)/'Vars and Stats'!$B$10, 10*Completed[[#This Row],[Raw]]/'Vars and Stats'!$B$8)</f>
        <v>6.3729611568858235</v>
      </c>
      <c r="I135" s="195">
        <v>41832</v>
      </c>
      <c r="J135" s="195">
        <v>42023</v>
      </c>
      <c r="K135" s="196" t="s">
        <v>717</v>
      </c>
      <c r="L135" s="197" t="s">
        <v>718</v>
      </c>
    </row>
    <row r="136" spans="1:12" ht="16.5">
      <c r="A136" s="15" t="s">
        <v>86</v>
      </c>
      <c r="B136" s="34">
        <v>2</v>
      </c>
      <c r="C136" s="68">
        <v>7</v>
      </c>
      <c r="D136" s="68">
        <v>7.5</v>
      </c>
      <c r="E136" s="68">
        <v>4.5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36" s="59">
        <f>IF('Vars and Stats'!$B$13="Y",10*(Completed[[#This Row],[Raw]]-'Vars and Stats'!$B$9)/'Vars and Stats'!$B$10, 10*Completed[[#This Row],[Raw]]/'Vars and Stats'!$B$8)</f>
        <v>6.3729611568858235</v>
      </c>
      <c r="I136" s="16">
        <v>41345</v>
      </c>
      <c r="J136" s="16">
        <v>41350</v>
      </c>
      <c r="K136" s="71" t="s">
        <v>195</v>
      </c>
      <c r="L136" s="72"/>
    </row>
    <row r="137" spans="1:12" ht="16.5">
      <c r="A137" s="15" t="s">
        <v>129</v>
      </c>
      <c r="B137" s="34">
        <v>1</v>
      </c>
      <c r="C137" s="68">
        <v>4</v>
      </c>
      <c r="D137" s="68">
        <v>7</v>
      </c>
      <c r="E137" s="68">
        <v>8</v>
      </c>
      <c r="F137" s="68">
        <v>8.5</v>
      </c>
      <c r="G137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37" s="59">
        <f>IF('Vars and Stats'!$B$13="Y",10*(Completed[[#This Row],[Raw]]-'Vars and Stats'!$B$9)/'Vars and Stats'!$B$10, 10*Completed[[#This Row],[Raw]]/'Vars and Stats'!$B$8)</f>
        <v>6.3494198755675129</v>
      </c>
      <c r="I137" s="16">
        <v>41449</v>
      </c>
      <c r="J137" s="16">
        <v>41451</v>
      </c>
      <c r="K137" s="71" t="s">
        <v>209</v>
      </c>
      <c r="L137" s="72"/>
    </row>
    <row r="138" spans="1:12" ht="16.5">
      <c r="A138" s="15" t="s">
        <v>97</v>
      </c>
      <c r="B138" s="34">
        <v>1</v>
      </c>
      <c r="C138" s="68">
        <v>3</v>
      </c>
      <c r="D138" s="68">
        <v>8</v>
      </c>
      <c r="E138" s="68">
        <v>9</v>
      </c>
      <c r="F138" s="68">
        <v>8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38" s="59">
        <f>IF('Vars and Stats'!$B$13="Y",10*(Completed[[#This Row],[Raw]]-'Vars and Stats'!$B$9)/'Vars and Stats'!$B$10, 10*Completed[[#This Row],[Raw]]/'Vars and Stats'!$B$8)</f>
        <v>6.1930385068101561</v>
      </c>
      <c r="I138" s="16">
        <v>41288</v>
      </c>
      <c r="J138" s="16">
        <v>41288</v>
      </c>
      <c r="K138" s="71" t="s">
        <v>212</v>
      </c>
      <c r="L138" s="72"/>
    </row>
    <row r="139" spans="1:12" ht="16.5">
      <c r="A139" s="183" t="s">
        <v>707</v>
      </c>
      <c r="B139" s="184">
        <v>1</v>
      </c>
      <c r="C139" s="194">
        <v>6.5</v>
      </c>
      <c r="D139" s="194">
        <v>7.5</v>
      </c>
      <c r="E139" s="194">
        <v>8</v>
      </c>
      <c r="F139" s="194">
        <v>7</v>
      </c>
      <c r="G139" s="185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39" s="186">
        <f>IF('Vars and Stats'!$B$13="Y",10*(Completed[[#This Row],[Raw]]-'Vars and Stats'!$B$9)/'Vars and Stats'!$B$10, 10*Completed[[#This Row],[Raw]]/'Vars and Stats'!$B$8)</f>
        <v>6.1392298637968725</v>
      </c>
      <c r="I139" s="195">
        <v>42018</v>
      </c>
      <c r="J139" s="195">
        <v>42018</v>
      </c>
      <c r="K139" s="196" t="s">
        <v>708</v>
      </c>
      <c r="L139" s="197" t="s">
        <v>709</v>
      </c>
    </row>
    <row r="140" spans="1:12" ht="16.5">
      <c r="A140" s="15" t="s">
        <v>95</v>
      </c>
      <c r="B140" s="34">
        <v>5</v>
      </c>
      <c r="C140" s="68">
        <v>7.5</v>
      </c>
      <c r="D140" s="68">
        <v>8</v>
      </c>
      <c r="E140" s="68">
        <v>0.5</v>
      </c>
      <c r="F140" s="68">
        <v>7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40" s="59">
        <f>IF('Vars and Stats'!$B$13="Y",10*(Completed[[#This Row],[Raw]]-'Vars and Stats'!$B$9)/'Vars and Stats'!$B$10, 10*Completed[[#This Row],[Raw]]/'Vars and Stats'!$B$8)</f>
        <v>6.0854212207835898</v>
      </c>
      <c r="I140" s="16">
        <v>41088</v>
      </c>
      <c r="J140" s="16">
        <v>41108</v>
      </c>
      <c r="K140" s="71" t="s">
        <v>216</v>
      </c>
      <c r="L140" s="72" t="s">
        <v>316</v>
      </c>
    </row>
    <row r="141" spans="1:12" ht="16.5">
      <c r="A141" s="15" t="s">
        <v>12</v>
      </c>
      <c r="B141" s="34">
        <v>2</v>
      </c>
      <c r="C141" s="68">
        <v>6</v>
      </c>
      <c r="D141" s="68">
        <v>7</v>
      </c>
      <c r="E141" s="68">
        <v>6.5</v>
      </c>
      <c r="F141" s="68">
        <v>7.5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41" s="59">
        <f>IF('Vars and Stats'!$B$13="Y",10*(Completed[[#This Row],[Raw]]-'Vars and Stats'!$B$9)/'Vars and Stats'!$B$10, 10*Completed[[#This Row],[Raw]]/'Vars and Stats'!$B$8)</f>
        <v>6.0753321002185974</v>
      </c>
      <c r="I141" s="16">
        <v>41371</v>
      </c>
      <c r="J141" s="16">
        <v>41455</v>
      </c>
      <c r="K141" s="71" t="s">
        <v>199</v>
      </c>
      <c r="L141" s="72"/>
    </row>
    <row r="142" spans="1:12" ht="16.5">
      <c r="A142" s="193" t="s">
        <v>174</v>
      </c>
      <c r="B142" s="34">
        <v>1</v>
      </c>
      <c r="C142" s="68">
        <v>6.5</v>
      </c>
      <c r="D142" s="68">
        <v>7</v>
      </c>
      <c r="E142" s="68">
        <v>4.5</v>
      </c>
      <c r="F142" s="68">
        <v>7.5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42" s="59">
        <f>IF('Vars and Stats'!$B$13="Y",10*(Completed[[#This Row],[Raw]]-'Vars and Stats'!$B$9)/'Vars and Stats'!$B$10, 10*Completed[[#This Row],[Raw]]/'Vars and Stats'!$B$8)</f>
        <v>6.0702875399361016</v>
      </c>
      <c r="I142" s="16">
        <v>41464</v>
      </c>
      <c r="J142" s="16">
        <v>41543</v>
      </c>
      <c r="K142" s="71" t="s">
        <v>269</v>
      </c>
      <c r="L142" s="72"/>
    </row>
    <row r="143" spans="1:12" ht="16.5">
      <c r="A143" s="15" t="s">
        <v>244</v>
      </c>
      <c r="B143" s="34">
        <v>1</v>
      </c>
      <c r="C143" s="68">
        <v>7</v>
      </c>
      <c r="D143" s="68">
        <v>7</v>
      </c>
      <c r="E143" s="68">
        <v>7.5</v>
      </c>
      <c r="F143" s="68">
        <v>7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43" s="59">
        <f>IF('Vars and Stats'!$B$13="Y",10*(Completed[[#This Row],[Raw]]-'Vars and Stats'!$B$9)/'Vars and Stats'!$B$10, 10*Completed[[#This Row],[Raw]]/'Vars and Stats'!$B$8)</f>
        <v>6.0501092988061203</v>
      </c>
      <c r="I143" s="16">
        <v>41496</v>
      </c>
      <c r="J143" s="16">
        <v>41512</v>
      </c>
      <c r="K143" s="71" t="s">
        <v>245</v>
      </c>
      <c r="L143" s="72" t="s">
        <v>435</v>
      </c>
    </row>
    <row r="144" spans="1:12" ht="16.5">
      <c r="A144" s="15" t="s">
        <v>183</v>
      </c>
      <c r="B144" s="34">
        <v>1</v>
      </c>
      <c r="C144" s="68">
        <v>5</v>
      </c>
      <c r="D144" s="68">
        <v>7</v>
      </c>
      <c r="E144" s="68">
        <v>4.5</v>
      </c>
      <c r="F144" s="68">
        <v>8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44" s="59">
        <f>IF('Vars and Stats'!$B$13="Y",10*(Completed[[#This Row],[Raw]]-'Vars and Stats'!$B$9)/'Vars and Stats'!$B$10, 10*Completed[[#This Row],[Raw]]/'Vars and Stats'!$B$8)</f>
        <v>6.0366571380527994</v>
      </c>
      <c r="I144" s="16">
        <v>41470</v>
      </c>
      <c r="J144" s="16">
        <v>41482</v>
      </c>
      <c r="K144" s="71" t="s">
        <v>213</v>
      </c>
      <c r="L144" s="72" t="s">
        <v>184</v>
      </c>
    </row>
    <row r="145" spans="1:12" ht="16.5">
      <c r="A145" s="15" t="s">
        <v>94</v>
      </c>
      <c r="B145" s="34">
        <v>2</v>
      </c>
      <c r="C145" s="68">
        <v>3.5</v>
      </c>
      <c r="D145" s="68">
        <v>8</v>
      </c>
      <c r="E145" s="68">
        <v>9</v>
      </c>
      <c r="F145" s="68">
        <v>7.5</v>
      </c>
      <c r="G145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45" s="59">
        <f>IF('Vars and Stats'!$B$13="Y",10*(Completed[[#This Row],[Raw]]-'Vars and Stats'!$B$9)/'Vars and Stats'!$B$10, 10*Completed[[#This Row],[Raw]]/'Vars and Stats'!$B$8)</f>
        <v>5.9811669749453493</v>
      </c>
      <c r="I145" s="16">
        <v>41289</v>
      </c>
      <c r="J145" s="16">
        <v>41289</v>
      </c>
      <c r="K145" s="71" t="s">
        <v>212</v>
      </c>
      <c r="L145" s="72"/>
    </row>
    <row r="146" spans="1:12" ht="16.5">
      <c r="A146" s="15" t="s">
        <v>498</v>
      </c>
      <c r="B146" s="34">
        <v>1</v>
      </c>
      <c r="C146" s="68">
        <v>7</v>
      </c>
      <c r="D146" s="68">
        <v>6.5</v>
      </c>
      <c r="E146" s="68">
        <v>2.5</v>
      </c>
      <c r="F146" s="68">
        <v>7.5</v>
      </c>
      <c r="G146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46" s="59">
        <f>IF('Vars and Stats'!$B$13="Y",10*(Completed[[#This Row],[Raw]]-'Vars and Stats'!$B$9)/'Vars and Stats'!$B$10, 10*Completed[[#This Row],[Raw]]/'Vars and Stats'!$B$8)</f>
        <v>5.8853203295779384</v>
      </c>
      <c r="I146" s="16">
        <v>41465</v>
      </c>
      <c r="J146" s="16">
        <v>41465</v>
      </c>
      <c r="K146" s="71" t="s">
        <v>195</v>
      </c>
      <c r="L146" s="72" t="s">
        <v>427</v>
      </c>
    </row>
    <row r="147" spans="1:12" ht="16.5">
      <c r="A147" s="15" t="s">
        <v>119</v>
      </c>
      <c r="B147" s="34">
        <v>1</v>
      </c>
      <c r="C147" s="68">
        <v>6.5</v>
      </c>
      <c r="D147" s="68">
        <v>7</v>
      </c>
      <c r="E147" s="68">
        <v>6.5</v>
      </c>
      <c r="F147" s="68">
        <v>7</v>
      </c>
      <c r="G147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47" s="59">
        <f>IF('Vars and Stats'!$B$13="Y",10*(Completed[[#This Row],[Raw]]-'Vars and Stats'!$B$9)/'Vars and Stats'!$B$10, 10*Completed[[#This Row],[Raw]]/'Vars and Stats'!$B$8)</f>
        <v>5.8634605683537906</v>
      </c>
      <c r="I147" s="16">
        <v>41371</v>
      </c>
      <c r="J147" s="16">
        <v>41453</v>
      </c>
      <c r="K147" s="71" t="s">
        <v>205</v>
      </c>
      <c r="L147" s="72"/>
    </row>
    <row r="148" spans="1:12" ht="16.5">
      <c r="A148" s="15" t="s">
        <v>99</v>
      </c>
      <c r="B148" s="34">
        <v>1</v>
      </c>
      <c r="C148" s="68">
        <v>7</v>
      </c>
      <c r="D148" s="68">
        <v>7</v>
      </c>
      <c r="E148" s="68">
        <v>4.5</v>
      </c>
      <c r="F148" s="68">
        <v>7</v>
      </c>
      <c r="G148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48" s="59">
        <f>IF('Vars and Stats'!$B$13="Y",10*(Completed[[#This Row],[Raw]]-'Vars and Stats'!$B$9)/'Vars and Stats'!$B$10, 10*Completed[[#This Row],[Raw]]/'Vars and Stats'!$B$8)</f>
        <v>5.8584160080712957</v>
      </c>
      <c r="I148" s="16">
        <v>41292</v>
      </c>
      <c r="J148" s="16">
        <v>41369</v>
      </c>
      <c r="K148" s="71" t="s">
        <v>220</v>
      </c>
      <c r="L148" s="72"/>
    </row>
    <row r="149" spans="1:12" ht="16.5">
      <c r="A149" s="15" t="s">
        <v>17</v>
      </c>
      <c r="B149" s="34">
        <v>1</v>
      </c>
      <c r="C149" s="68">
        <v>7</v>
      </c>
      <c r="D149" s="68">
        <v>6</v>
      </c>
      <c r="E149" s="68">
        <v>4.5</v>
      </c>
      <c r="F149" s="68">
        <v>7.5</v>
      </c>
      <c r="G149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49" s="59">
        <f>IF('Vars and Stats'!$B$13="Y",10*(Completed[[#This Row],[Raw]]-'Vars and Stats'!$B$9)/'Vars and Stats'!$B$10, 10*Completed[[#This Row],[Raw]]/'Vars and Stats'!$B$8)</f>
        <v>5.8331932066588204</v>
      </c>
      <c r="I149" s="16">
        <v>41379</v>
      </c>
      <c r="J149" s="16">
        <v>41464</v>
      </c>
      <c r="K149" s="71" t="s">
        <v>219</v>
      </c>
      <c r="L149" s="72" t="s">
        <v>178</v>
      </c>
    </row>
    <row r="150" spans="1:12" ht="16.5">
      <c r="A150" s="15" t="s">
        <v>102</v>
      </c>
      <c r="B150" s="34">
        <v>2</v>
      </c>
      <c r="C150" s="68">
        <v>2</v>
      </c>
      <c r="D150" s="68">
        <v>7.5</v>
      </c>
      <c r="E150" s="68">
        <v>10</v>
      </c>
      <c r="F150" s="68">
        <v>8</v>
      </c>
      <c r="G150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50" s="59">
        <f>IF('Vars and Stats'!$B$13="Y",10*(Completed[[#This Row],[Raw]]-'Vars and Stats'!$B$9)/'Vars and Stats'!$B$10, 10*Completed[[#This Row],[Raw]]/'Vars and Stats'!$B$8)</f>
        <v>5.8315116865646539</v>
      </c>
      <c r="I150" s="16">
        <v>41229</v>
      </c>
      <c r="J150" s="16">
        <v>41230</v>
      </c>
      <c r="K150" s="71" t="s">
        <v>198</v>
      </c>
      <c r="L150" s="72"/>
    </row>
    <row r="151" spans="1:12" ht="16.5">
      <c r="A151" s="15" t="s">
        <v>379</v>
      </c>
      <c r="B151" s="34">
        <v>1</v>
      </c>
      <c r="C151" s="68">
        <v>5.5</v>
      </c>
      <c r="D151" s="68">
        <v>7</v>
      </c>
      <c r="E151" s="68">
        <v>4.5</v>
      </c>
      <c r="F151" s="68">
        <v>7.5</v>
      </c>
      <c r="G151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51" s="59">
        <f>IF('Vars and Stats'!$B$13="Y",10*(Completed[[#This Row],[Raw]]-'Vars and Stats'!$B$9)/'Vars and Stats'!$B$10, 10*Completed[[#This Row],[Raw]]/'Vars and Stats'!$B$8)</f>
        <v>5.8247856061879935</v>
      </c>
      <c r="I151" s="16">
        <v>41647</v>
      </c>
      <c r="J151" s="16">
        <v>41733</v>
      </c>
      <c r="K151" s="71" t="s">
        <v>399</v>
      </c>
      <c r="L151" s="72"/>
    </row>
    <row r="152" spans="1:12" ht="16.5">
      <c r="A152" s="15" t="s">
        <v>101</v>
      </c>
      <c r="B152" s="34">
        <v>1</v>
      </c>
      <c r="C152" s="68">
        <v>2</v>
      </c>
      <c r="D152" s="68">
        <v>7.5</v>
      </c>
      <c r="E152" s="68">
        <v>9.5</v>
      </c>
      <c r="F152" s="68">
        <v>8</v>
      </c>
      <c r="G152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52" s="59">
        <f>IF('Vars and Stats'!$B$13="Y",10*(Completed[[#This Row],[Raw]]-'Vars and Stats'!$B$9)/'Vars and Stats'!$B$10, 10*Completed[[#This Row],[Raw]]/'Vars and Stats'!$B$8)</f>
        <v>5.7995628047755172</v>
      </c>
      <c r="I152" s="16">
        <v>41228</v>
      </c>
      <c r="J152" s="16">
        <v>41229</v>
      </c>
      <c r="K152" s="71" t="s">
        <v>198</v>
      </c>
      <c r="L152" s="72"/>
    </row>
    <row r="153" spans="1:12" ht="16.5">
      <c r="A153" s="15" t="s">
        <v>773</v>
      </c>
      <c r="B153" s="34">
        <v>3</v>
      </c>
      <c r="C153" s="68">
        <v>5.5</v>
      </c>
      <c r="D153" s="68">
        <v>6</v>
      </c>
      <c r="E153" s="68">
        <v>7</v>
      </c>
      <c r="F153" s="68">
        <v>7</v>
      </c>
      <c r="G153" s="69">
        <f>(Completed[[#This Row],[Plot]]*'Vars and Stats'!$B$3+Completed[[#This Row],[Char.]]*'Vars and Stats'!$B$4+Completed[[#This Row],[Moe]]*'Vars and Stats'!$B$5+Completed[[#This Row],[Pref]]*'Vars and Stats'!$B$6)/'Vars and Stats'!$B$11</f>
        <v>6.4560301507537687</v>
      </c>
      <c r="H153" s="70">
        <f>IF('Vars and Stats'!$B$13="Y",10*(Completed[[#This Row],[Raw]]-'Vars and Stats'!$B$9)/'Vars and Stats'!$B$10, 10*Completed[[#This Row],[Raw]]/'Vars and Stats'!$B$8)</f>
        <v>5.2900622162434834</v>
      </c>
      <c r="I153" s="16">
        <v>42286</v>
      </c>
      <c r="J153" s="16">
        <v>42364</v>
      </c>
      <c r="K153" s="71" t="s">
        <v>806</v>
      </c>
      <c r="L153" s="72"/>
    </row>
    <row r="154" spans="1:12" ht="16.5">
      <c r="A154" s="15" t="s">
        <v>411</v>
      </c>
      <c r="B154" s="34">
        <v>1</v>
      </c>
      <c r="C154" s="68">
        <v>6</v>
      </c>
      <c r="D154" s="68">
        <v>7.5</v>
      </c>
      <c r="E154" s="68">
        <v>6</v>
      </c>
      <c r="F154" s="68">
        <v>6</v>
      </c>
      <c r="G154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54" s="70">
        <f>IF('Vars and Stats'!$B$13="Y",10*(Completed[[#This Row],[Raw]]-'Vars and Stats'!$B$9)/'Vars and Stats'!$B$10, 10*Completed[[#This Row],[Raw]]/'Vars and Stats'!$B$8)</f>
        <v>5.2194383722885487</v>
      </c>
      <c r="I154" s="16">
        <v>41796</v>
      </c>
      <c r="J154" s="16">
        <v>41820</v>
      </c>
      <c r="K154" s="71" t="s">
        <v>584</v>
      </c>
      <c r="L154" s="72" t="s">
        <v>585</v>
      </c>
    </row>
    <row r="155" spans="1:12" ht="16.5">
      <c r="A155" s="15" t="s">
        <v>130</v>
      </c>
      <c r="B155" s="34">
        <v>1</v>
      </c>
      <c r="C155" s="68">
        <v>3</v>
      </c>
      <c r="D155" s="68">
        <v>6.5</v>
      </c>
      <c r="E155" s="68">
        <v>6.5</v>
      </c>
      <c r="F155" s="68">
        <v>7.5</v>
      </c>
      <c r="G155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55" s="59">
        <f>IF('Vars and Stats'!$B$13="Y",10*(Completed[[#This Row],[Raw]]-'Vars and Stats'!$B$9)/'Vars and Stats'!$B$10, 10*Completed[[#This Row],[Raw]]/'Vars and Stats'!$B$8)</f>
        <v>5.1589036488986038</v>
      </c>
      <c r="I155" s="16">
        <v>41448</v>
      </c>
      <c r="J155" s="16">
        <v>41455</v>
      </c>
      <c r="K155" s="71" t="s">
        <v>208</v>
      </c>
      <c r="L155" s="72" t="s">
        <v>133</v>
      </c>
    </row>
    <row r="156" spans="1:12" ht="16.5">
      <c r="A156" s="15" t="s">
        <v>420</v>
      </c>
      <c r="B156" s="34">
        <v>1</v>
      </c>
      <c r="C156" s="68">
        <v>5</v>
      </c>
      <c r="D156" s="68">
        <v>6.5</v>
      </c>
      <c r="E156" s="68">
        <v>8</v>
      </c>
      <c r="F156" s="68">
        <v>6.5</v>
      </c>
      <c r="G156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56" s="70">
        <f>IF('Vars and Stats'!$B$13="Y",10*(Completed[[#This Row],[Raw]]-'Vars and Stats'!$B$9)/'Vars and Stats'!$B$10, 10*Completed[[#This Row],[Raw]]/'Vars and Stats'!$B$8)</f>
        <v>5.0765091642845146</v>
      </c>
      <c r="I156" s="16">
        <v>41785</v>
      </c>
      <c r="J156" s="16">
        <v>41814</v>
      </c>
      <c r="K156" s="71" t="s">
        <v>564</v>
      </c>
      <c r="L156" s="72"/>
    </row>
    <row r="157" spans="1:12" ht="16.5">
      <c r="A157" s="15" t="s">
        <v>289</v>
      </c>
      <c r="B157" s="34">
        <v>1</v>
      </c>
      <c r="C157" s="68">
        <v>6.5</v>
      </c>
      <c r="D157" s="68">
        <v>5.5</v>
      </c>
      <c r="E157" s="68">
        <v>7.5</v>
      </c>
      <c r="F157" s="68">
        <v>6.5</v>
      </c>
      <c r="G157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57" s="59">
        <f>IF('Vars and Stats'!$B$13="Y",10*(Completed[[#This Row],[Raw]]-'Vars and Stats'!$B$9)/'Vars and Stats'!$B$10, 10*Completed[[#This Row],[Raw]]/'Vars and Stats'!$B$8)</f>
        <v>5.0529678829662013</v>
      </c>
      <c r="I157" s="16">
        <v>41560</v>
      </c>
      <c r="J157" s="16">
        <v>41618</v>
      </c>
      <c r="K157" s="71" t="s">
        <v>339</v>
      </c>
      <c r="L157" s="72"/>
    </row>
    <row r="158" spans="1:12" ht="16.5">
      <c r="A158" s="15" t="s">
        <v>750</v>
      </c>
      <c r="B158" s="34">
        <v>2</v>
      </c>
      <c r="C158" s="68">
        <v>5</v>
      </c>
      <c r="D158" s="68">
        <v>6</v>
      </c>
      <c r="E158" s="68">
        <v>7</v>
      </c>
      <c r="F158" s="68">
        <v>6.5</v>
      </c>
      <c r="G158" s="69">
        <f>(Completed[[#This Row],[Plot]]*'Vars and Stats'!$B$3+Completed[[#This Row],[Char.]]*'Vars and Stats'!$B$4+Completed[[#This Row],[Moe]]*'Vars and Stats'!$B$5+Completed[[#This Row],[Pref]]*'Vars and Stats'!$B$6)/'Vars and Stats'!$B$11</f>
        <v>6.1143216080402016</v>
      </c>
      <c r="H158" s="70">
        <f>IF('Vars and Stats'!$B$13="Y",10*(Completed[[#This Row],[Raw]]-'Vars and Stats'!$B$9)/'Vars and Stats'!$B$10, 10*Completed[[#This Row],[Raw]]/'Vars and Stats'!$B$8)</f>
        <v>4.8326887506305711</v>
      </c>
      <c r="I158" s="16">
        <v>42193</v>
      </c>
      <c r="J158" s="16">
        <v>42272</v>
      </c>
      <c r="K158" s="71" t="s">
        <v>759</v>
      </c>
      <c r="L158" s="72"/>
    </row>
    <row r="159" spans="1:12" ht="16.5">
      <c r="A159" s="15" t="s">
        <v>283</v>
      </c>
      <c r="B159" s="34">
        <v>1</v>
      </c>
      <c r="C159" s="68">
        <v>5</v>
      </c>
      <c r="D159" s="68">
        <v>6</v>
      </c>
      <c r="E159" s="68">
        <v>7</v>
      </c>
      <c r="F159" s="68">
        <v>6.5</v>
      </c>
      <c r="G159" s="58">
        <f>(Completed[[#This Row],[Plot]]*'Vars and Stats'!$B$3+Completed[[#This Row],[Char.]]*'Vars and Stats'!$B$4+Completed[[#This Row],[Moe]]*'Vars and Stats'!$B$5+Completed[[#This Row],[Pref]]*'Vars and Stats'!$B$6)/'Vars and Stats'!$B$11</f>
        <v>6.1143216080402016</v>
      </c>
      <c r="H159" s="59">
        <f>IF('Vars and Stats'!$B$13="Y",10*(Completed[[#This Row],[Raw]]-'Vars and Stats'!$B$9)/'Vars and Stats'!$B$10, 10*Completed[[#This Row],[Raw]]/'Vars and Stats'!$B$8)</f>
        <v>4.8326887506305711</v>
      </c>
      <c r="I159" s="16">
        <v>41550</v>
      </c>
      <c r="J159" s="16">
        <v>41634</v>
      </c>
      <c r="K159" s="71" t="s">
        <v>283</v>
      </c>
      <c r="L159" s="72" t="s">
        <v>345</v>
      </c>
    </row>
    <row r="160" spans="1:12" ht="16.5">
      <c r="A160" s="15" t="s">
        <v>622</v>
      </c>
      <c r="B160" s="34">
        <v>1</v>
      </c>
      <c r="C160" s="68">
        <v>5.5</v>
      </c>
      <c r="D160" s="68">
        <v>6</v>
      </c>
      <c r="E160" s="68">
        <v>7</v>
      </c>
      <c r="F160" s="68">
        <v>6</v>
      </c>
      <c r="G160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60" s="70">
        <f>IF('Vars and Stats'!$B$13="Y",10*(Completed[[#This Row],[Raw]]-'Vars and Stats'!$B$9)/'Vars and Stats'!$B$10, 10*Completed[[#This Row],[Raw]]/'Vars and Stats'!$B$8)</f>
        <v>4.6208172187657635</v>
      </c>
      <c r="I160" s="16">
        <v>41828</v>
      </c>
      <c r="J160" s="16">
        <v>41915</v>
      </c>
      <c r="K160" s="71" t="s">
        <v>665</v>
      </c>
      <c r="L160" s="72"/>
    </row>
    <row r="161" spans="1:12" ht="16.5">
      <c r="A161" s="15" t="s">
        <v>103</v>
      </c>
      <c r="B161" s="34">
        <v>1</v>
      </c>
      <c r="C161" s="68">
        <v>5.5</v>
      </c>
      <c r="D161" s="68">
        <v>5.5</v>
      </c>
      <c r="E161" s="68">
        <v>5</v>
      </c>
      <c r="F161" s="68">
        <v>6</v>
      </c>
      <c r="G161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61" s="59">
        <f>IF('Vars and Stats'!$B$13="Y",10*(Completed[[#This Row],[Raw]]-'Vars and Stats'!$B$9)/'Vars and Stats'!$B$10, 10*Completed[[#This Row],[Raw]]/'Vars and Stats'!$B$8)</f>
        <v>4.3130990415335448</v>
      </c>
      <c r="I161" s="16">
        <v>41302</v>
      </c>
      <c r="J161" s="16">
        <v>41360</v>
      </c>
      <c r="K161" s="71" t="s">
        <v>210</v>
      </c>
      <c r="L161" s="72"/>
    </row>
    <row r="162" spans="1:12" ht="16.5">
      <c r="A162" s="15" t="s">
        <v>383</v>
      </c>
      <c r="B162" s="34">
        <v>1</v>
      </c>
      <c r="C162" s="68">
        <v>1.5</v>
      </c>
      <c r="D162" s="68">
        <v>5</v>
      </c>
      <c r="E162" s="68">
        <v>4</v>
      </c>
      <c r="F162" s="68">
        <v>6.5</v>
      </c>
      <c r="G162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62" s="59">
        <f>IF('Vars and Stats'!$B$13="Y",10*(Completed[[#This Row],[Raw]]-'Vars and Stats'!$B$9)/'Vars and Stats'!$B$10, 10*Completed[[#This Row],[Raw]]/'Vars and Stats'!$B$8)</f>
        <v>3.4218933916260297</v>
      </c>
      <c r="I162" s="16">
        <v>41705</v>
      </c>
      <c r="J162" s="16">
        <v>41705</v>
      </c>
      <c r="K162" s="71" t="s">
        <v>384</v>
      </c>
      <c r="L162" s="72" t="s">
        <v>385</v>
      </c>
    </row>
    <row r="163" spans="1:12" ht="16.5">
      <c r="A163" s="15" t="s">
        <v>104</v>
      </c>
      <c r="B163" s="34">
        <v>1</v>
      </c>
      <c r="C163" s="68">
        <v>3.5</v>
      </c>
      <c r="D163" s="68">
        <v>5.5</v>
      </c>
      <c r="E163" s="68">
        <v>6</v>
      </c>
      <c r="F163" s="68">
        <v>5</v>
      </c>
      <c r="G163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63" s="59">
        <f>IF('Vars and Stats'!$B$13="Y",10*(Completed[[#This Row],[Raw]]-'Vars and Stats'!$B$9)/'Vars and Stats'!$B$10, 10*Completed[[#This Row],[Raw]]/'Vars and Stats'!$B$8)</f>
        <v>3.2167479401378842</v>
      </c>
      <c r="I163" s="16">
        <v>40674</v>
      </c>
      <c r="J163" s="16">
        <v>40675</v>
      </c>
      <c r="K163" s="76" t="s">
        <v>123</v>
      </c>
      <c r="L163" s="72"/>
    </row>
    <row r="164" spans="1:12" ht="16.5">
      <c r="A164" s="15" t="s">
        <v>105</v>
      </c>
      <c r="B164" s="34">
        <v>1</v>
      </c>
      <c r="C164" s="68">
        <v>3</v>
      </c>
      <c r="D164" s="68">
        <v>2</v>
      </c>
      <c r="E164" s="68">
        <v>7</v>
      </c>
      <c r="F164" s="68">
        <v>3</v>
      </c>
      <c r="G164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64" s="59">
        <f>IF('Vars and Stats'!$B$13="Y",10*(Completed[[#This Row],[Raw]]-'Vars and Stats'!$B$9)/'Vars and Stats'!$B$10, 10*Completed[[#This Row],[Raw]]/'Vars and Stats'!$B$8)</f>
        <v>0.5599461913569862</v>
      </c>
      <c r="I164" s="16">
        <v>41254</v>
      </c>
      <c r="J164" s="16">
        <v>41264</v>
      </c>
      <c r="K164" s="71" t="s">
        <v>221</v>
      </c>
      <c r="L164" s="72"/>
    </row>
    <row r="165" spans="1:12" ht="16.5">
      <c r="A165" s="15" t="s">
        <v>19</v>
      </c>
      <c r="B165" s="34">
        <v>1</v>
      </c>
      <c r="C165" s="68">
        <v>1.5</v>
      </c>
      <c r="D165" s="68">
        <v>2</v>
      </c>
      <c r="E165" s="68">
        <v>4</v>
      </c>
      <c r="F165" s="68">
        <v>3</v>
      </c>
      <c r="G165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65" s="59">
        <f>IF('Vars and Stats'!$B$13="Y",10*(Completed[[#This Row],[Raw]]-'Vars and Stats'!$B$9)/'Vars and Stats'!$B$10, 10*Completed[[#This Row],[Raw]]/'Vars and Stats'!$B$8)</f>
        <v>0</v>
      </c>
      <c r="I165" s="16">
        <v>41355</v>
      </c>
      <c r="J165" s="16">
        <v>41451</v>
      </c>
      <c r="K165" s="71" t="s">
        <v>123</v>
      </c>
      <c r="L165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51" t="s">
        <v>55</v>
      </c>
      <c r="B1" s="252"/>
      <c r="C1" s="252"/>
      <c r="D1" s="253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350</v>
      </c>
      <c r="D2" s="77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575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575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575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576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8">
        <v>1</v>
      </c>
      <c r="C9" s="38">
        <v>3</v>
      </c>
      <c r="D9" s="78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4"/>
  <sheetViews>
    <sheetView showGridLines="0" workbookViewId="0">
      <selection activeCell="K12" sqref="K12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1.85546875" style="23" hidden="1" customWidth="1"/>
    <col min="5" max="5" width="30.5703125" style="23" hidden="1" customWidth="1"/>
    <col min="6" max="6" width="3.85546875" style="23" hidden="1" customWidth="1"/>
    <col min="7" max="7" width="35.42578125" style="30" bestFit="1" customWidth="1"/>
    <col min="8" max="8" width="8.7109375" style="40" customWidth="1"/>
    <col min="9" max="9" width="32.5703125" style="113" customWidth="1"/>
    <col min="10" max="10" width="4.85546875" style="23" customWidth="1"/>
    <col min="11" max="11" width="40.42578125" style="30" customWidth="1"/>
    <col min="12" max="12" width="14" style="113" customWidth="1"/>
    <col min="13" max="16384" width="9.140625" style="23"/>
  </cols>
  <sheetData>
    <row r="1" spans="1:12">
      <c r="A1" s="254" t="s">
        <v>297</v>
      </c>
      <c r="B1" s="255"/>
      <c r="C1" s="41" t="s">
        <v>617</v>
      </c>
      <c r="D1" s="242" t="s">
        <v>158</v>
      </c>
      <c r="E1" s="244"/>
      <c r="F1" s="23" t="s">
        <v>617</v>
      </c>
      <c r="G1" s="242" t="s">
        <v>615</v>
      </c>
      <c r="H1" s="243"/>
      <c r="I1" s="244"/>
      <c r="K1" s="242"/>
      <c r="L1" s="243"/>
    </row>
    <row r="2" spans="1:12">
      <c r="A2" s="42" t="s">
        <v>469</v>
      </c>
      <c r="B2" s="43" t="s">
        <v>4</v>
      </c>
      <c r="D2" s="25" t="s">
        <v>106</v>
      </c>
      <c r="E2" s="25" t="s">
        <v>3</v>
      </c>
      <c r="G2" s="208" t="s">
        <v>3</v>
      </c>
      <c r="H2" s="209" t="s">
        <v>616</v>
      </c>
      <c r="I2" s="210" t="s">
        <v>620</v>
      </c>
      <c r="K2" s="208" t="s">
        <v>106</v>
      </c>
      <c r="L2" s="210" t="s">
        <v>109</v>
      </c>
    </row>
    <row r="3" spans="1:12">
      <c r="A3" s="21" t="s">
        <v>296</v>
      </c>
      <c r="B3" s="29" t="s">
        <v>470</v>
      </c>
      <c r="D3" s="21" t="s">
        <v>157</v>
      </c>
      <c r="E3" s="29" t="s">
        <v>110</v>
      </c>
      <c r="G3" s="28" t="s">
        <v>694</v>
      </c>
      <c r="H3" s="28" t="s">
        <v>655</v>
      </c>
      <c r="I3" s="28"/>
      <c r="K3" s="40" t="s">
        <v>796</v>
      </c>
      <c r="L3" s="40" t="s">
        <v>795</v>
      </c>
    </row>
    <row r="4" spans="1:12">
      <c r="A4" s="21" t="s">
        <v>298</v>
      </c>
      <c r="B4" s="29" t="s">
        <v>470</v>
      </c>
      <c r="D4" s="21" t="s">
        <v>163</v>
      </c>
      <c r="E4" s="29" t="s">
        <v>36</v>
      </c>
      <c r="G4" s="28" t="s">
        <v>693</v>
      </c>
      <c r="H4" s="28" t="s">
        <v>655</v>
      </c>
      <c r="I4" s="28"/>
      <c r="K4" s="40" t="s">
        <v>412</v>
      </c>
      <c r="L4" s="40" t="s">
        <v>799</v>
      </c>
    </row>
    <row r="5" spans="1:12">
      <c r="A5" s="21" t="s">
        <v>472</v>
      </c>
      <c r="B5" s="29" t="s">
        <v>471</v>
      </c>
      <c r="D5" s="21" t="s">
        <v>162</v>
      </c>
      <c r="E5" s="29" t="s">
        <v>107</v>
      </c>
      <c r="F5" s="23" t="s">
        <v>156</v>
      </c>
      <c r="G5" s="28" t="s">
        <v>678</v>
      </c>
      <c r="H5" s="28" t="s">
        <v>679</v>
      </c>
      <c r="I5" s="28" t="s">
        <v>681</v>
      </c>
      <c r="K5" s="40" t="s">
        <v>797</v>
      </c>
      <c r="L5" s="40" t="s">
        <v>798</v>
      </c>
    </row>
    <row r="6" spans="1:12">
      <c r="A6" s="21" t="s">
        <v>440</v>
      </c>
      <c r="B6" s="29" t="s">
        <v>470</v>
      </c>
      <c r="D6" s="21" t="s">
        <v>295</v>
      </c>
      <c r="E6" s="29" t="s">
        <v>281</v>
      </c>
      <c r="G6" s="28" t="s">
        <v>777</v>
      </c>
      <c r="H6" s="28"/>
      <c r="I6" s="28" t="s">
        <v>778</v>
      </c>
      <c r="K6" s="40" t="s">
        <v>800</v>
      </c>
      <c r="L6" s="40" t="s">
        <v>798</v>
      </c>
    </row>
    <row r="7" spans="1:12">
      <c r="A7" s="21" t="s">
        <v>606</v>
      </c>
      <c r="B7" s="29" t="s">
        <v>471</v>
      </c>
      <c r="D7" s="21" t="s">
        <v>290</v>
      </c>
      <c r="E7" s="29" t="s">
        <v>279</v>
      </c>
      <c r="G7" s="28" t="s">
        <v>744</v>
      </c>
      <c r="H7" s="28"/>
      <c r="I7" s="28"/>
      <c r="K7" s="40" t="s">
        <v>801</v>
      </c>
      <c r="L7" s="40" t="s">
        <v>798</v>
      </c>
    </row>
    <row r="8" spans="1:12">
      <c r="A8" s="21"/>
      <c r="B8" s="29"/>
      <c r="D8" s="21" t="s">
        <v>752</v>
      </c>
      <c r="E8" s="29" t="s">
        <v>753</v>
      </c>
      <c r="G8" s="28" t="s">
        <v>776</v>
      </c>
      <c r="H8" s="28"/>
      <c r="I8" s="28" t="s">
        <v>779</v>
      </c>
      <c r="K8" s="40" t="s">
        <v>802</v>
      </c>
      <c r="L8" s="40" t="s">
        <v>798</v>
      </c>
    </row>
    <row r="9" spans="1:12">
      <c r="A9" s="21" t="s">
        <v>755</v>
      </c>
      <c r="B9" s="29"/>
      <c r="D9" s="21" t="s">
        <v>161</v>
      </c>
      <c r="E9" s="29" t="s">
        <v>117</v>
      </c>
      <c r="G9" s="28" t="s">
        <v>733</v>
      </c>
      <c r="H9" s="28" t="s">
        <v>675</v>
      </c>
      <c r="I9" s="28"/>
      <c r="K9" s="40" t="s">
        <v>793</v>
      </c>
      <c r="L9" s="40" t="s">
        <v>794</v>
      </c>
    </row>
    <row r="10" spans="1:12">
      <c r="A10" s="21"/>
      <c r="B10" s="29"/>
      <c r="D10" s="21" t="s">
        <v>663</v>
      </c>
      <c r="E10" s="29" t="s">
        <v>662</v>
      </c>
      <c r="G10" s="28" t="s">
        <v>691</v>
      </c>
      <c r="H10" s="28" t="s">
        <v>655</v>
      </c>
      <c r="I10" s="28"/>
      <c r="K10" s="40" t="s">
        <v>804</v>
      </c>
      <c r="L10" s="40" t="s">
        <v>795</v>
      </c>
    </row>
    <row r="11" spans="1:12">
      <c r="A11" s="21"/>
      <c r="B11" s="29"/>
      <c r="D11" s="46" t="s">
        <v>569</v>
      </c>
      <c r="E11" s="47" t="s">
        <v>425</v>
      </c>
      <c r="G11" s="28" t="s">
        <v>204</v>
      </c>
      <c r="H11" s="28" t="s">
        <v>675</v>
      </c>
      <c r="I11" s="28"/>
      <c r="K11" s="40" t="s">
        <v>412</v>
      </c>
      <c r="L11" s="40" t="s">
        <v>805</v>
      </c>
    </row>
    <row r="12" spans="1:12">
      <c r="A12" s="21"/>
      <c r="B12" s="29"/>
      <c r="G12" s="28" t="s">
        <v>765</v>
      </c>
      <c r="H12" s="28" t="s">
        <v>675</v>
      </c>
      <c r="I12" s="28" t="s">
        <v>775</v>
      </c>
      <c r="K12" s="40"/>
      <c r="L12" s="40"/>
    </row>
    <row r="13" spans="1:12">
      <c r="A13" s="21"/>
      <c r="B13" s="29"/>
      <c r="G13" s="28" t="s">
        <v>680</v>
      </c>
      <c r="H13" s="28" t="s">
        <v>679</v>
      </c>
      <c r="I13" s="28" t="s">
        <v>682</v>
      </c>
      <c r="K13" s="40"/>
      <c r="L13" s="40"/>
    </row>
    <row r="14" spans="1:12">
      <c r="A14" s="21"/>
      <c r="B14" s="29"/>
      <c r="D14" s="44" t="s">
        <v>625</v>
      </c>
      <c r="E14" s="45">
        <v>1.4</v>
      </c>
      <c r="G14" s="28" t="s">
        <v>734</v>
      </c>
      <c r="H14" s="28" t="s">
        <v>675</v>
      </c>
      <c r="I14" s="28"/>
      <c r="K14" s="40"/>
      <c r="L14" s="40"/>
    </row>
    <row r="15" spans="1:12">
      <c r="A15" s="21"/>
      <c r="B15" s="29"/>
      <c r="G15" s="28" t="s">
        <v>767</v>
      </c>
      <c r="H15" s="28"/>
      <c r="I15" s="28" t="s">
        <v>774</v>
      </c>
      <c r="K15" s="40"/>
      <c r="L15" s="40"/>
    </row>
    <row r="16" spans="1:12">
      <c r="A16" s="21"/>
      <c r="B16" s="29"/>
      <c r="G16" s="28"/>
      <c r="H16" s="28"/>
      <c r="I16" s="28"/>
      <c r="K16" s="40"/>
      <c r="L16" s="40"/>
    </row>
    <row r="17" spans="1:12">
      <c r="A17" s="21"/>
      <c r="B17" s="29"/>
      <c r="G17" s="28" t="s">
        <v>787</v>
      </c>
      <c r="H17" s="28"/>
      <c r="I17" s="28"/>
      <c r="K17" s="40"/>
      <c r="L17" s="40"/>
    </row>
    <row r="18" spans="1:12">
      <c r="A18" s="21"/>
      <c r="B18" s="29"/>
      <c r="G18" s="177" t="s">
        <v>689</v>
      </c>
      <c r="H18" s="28"/>
      <c r="I18" s="28"/>
      <c r="K18" s="40"/>
      <c r="L18" s="40"/>
    </row>
    <row r="19" spans="1:12">
      <c r="A19" s="21"/>
      <c r="B19" s="29"/>
      <c r="G19" s="17" t="s">
        <v>173</v>
      </c>
      <c r="H19" s="28"/>
      <c r="I19" s="28"/>
      <c r="K19" s="40"/>
      <c r="L19" s="40"/>
    </row>
    <row r="20" spans="1:12">
      <c r="A20" s="21"/>
      <c r="B20" s="29"/>
      <c r="G20" s="28"/>
      <c r="H20" s="28"/>
      <c r="I20" s="28"/>
      <c r="K20" s="40"/>
      <c r="L20" s="40"/>
    </row>
    <row r="21" spans="1:12">
      <c r="A21" s="21"/>
      <c r="B21" s="29"/>
      <c r="G21" s="28"/>
      <c r="H21" s="28"/>
      <c r="I21" s="28"/>
      <c r="K21" s="40"/>
      <c r="L21" s="40"/>
    </row>
    <row r="22" spans="1:12">
      <c r="A22" s="21"/>
      <c r="B22" s="29"/>
      <c r="G22" s="34"/>
      <c r="H22" s="34"/>
      <c r="I22" s="34"/>
      <c r="K22" s="40"/>
      <c r="L22" s="40"/>
    </row>
    <row r="23" spans="1:12">
      <c r="G23" s="125" t="s">
        <v>623</v>
      </c>
      <c r="H23" s="121">
        <f>COUNTA($G1:$G22)-2</f>
        <v>16</v>
      </c>
      <c r="I23" s="123">
        <f>H23*22/60</f>
        <v>5.8666666666666663</v>
      </c>
      <c r="K23" s="40"/>
      <c r="L23" s="40"/>
    </row>
    <row r="24" spans="1:12">
      <c r="G24" s="126" t="s">
        <v>624</v>
      </c>
      <c r="H24" s="122">
        <f>COUNTIF($H1:$H22, "Y")</f>
        <v>4</v>
      </c>
      <c r="I24" s="124">
        <f>H24*22/60</f>
        <v>1.4666666666666666</v>
      </c>
      <c r="K24" s="40"/>
      <c r="L24" s="40"/>
    </row>
  </sheetData>
  <sortState ref="G3:I21">
    <sortCondition ref="G3:G21"/>
  </sortState>
  <mergeCells count="4">
    <mergeCell ref="D1:E1"/>
    <mergeCell ref="A1:B1"/>
    <mergeCell ref="G1:I1"/>
    <mergeCell ref="K1:L1"/>
  </mergeCells>
  <phoneticPr fontId="4"/>
  <pageMargins left="0.7" right="0.7" top="0.75" bottom="0.75" header="0.3" footer="0.3"/>
  <pageSetup orientation="portrait" horizontalDpi="0" verticalDpi="0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E10" sqref="E10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customWidth="1"/>
    <col min="4" max="4" width="23.85546875" style="23" customWidth="1"/>
    <col min="5" max="5" width="9.140625" style="23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42" t="s">
        <v>561</v>
      </c>
      <c r="B1" s="243"/>
      <c r="C1" s="243"/>
      <c r="D1" s="243"/>
      <c r="E1" s="244"/>
    </row>
    <row r="2" spans="1:14">
      <c r="A2" s="128" t="s">
        <v>15</v>
      </c>
      <c r="B2" s="128" t="s">
        <v>16</v>
      </c>
      <c r="C2" s="23" t="s">
        <v>617</v>
      </c>
      <c r="D2" s="152" t="s">
        <v>628</v>
      </c>
      <c r="E2" s="153" t="s">
        <v>626</v>
      </c>
      <c r="F2" s="23" t="s">
        <v>617</v>
      </c>
      <c r="N2" s="23" t="s">
        <v>617</v>
      </c>
    </row>
    <row r="3" spans="1:14">
      <c r="A3" s="130" t="s">
        <v>136</v>
      </c>
      <c r="B3" s="131">
        <v>0.36499999999999999</v>
      </c>
      <c r="C3" s="157" t="s">
        <v>642</v>
      </c>
      <c r="D3" s="158" t="s">
        <v>303</v>
      </c>
      <c r="E3" s="159">
        <f>COUNTIF(Tracker[Subber(s)], "*HorribleSubs*")</f>
        <v>39</v>
      </c>
      <c r="F3" s="157" t="str">
        <f>"*"&amp;Table3[[#This Row],[Subber Name]]&amp;"*"</f>
        <v>*HorribleSubs*</v>
      </c>
    </row>
    <row r="4" spans="1:14">
      <c r="A4" s="134" t="s">
        <v>135</v>
      </c>
      <c r="B4" s="135">
        <v>0.53500000000000003</v>
      </c>
      <c r="C4" s="157" t="s">
        <v>630</v>
      </c>
      <c r="D4" s="160" t="s">
        <v>301</v>
      </c>
      <c r="E4" s="30">
        <f>COUNTIF(Tracker[Subber(s)], "*Coalgirls*")</f>
        <v>35</v>
      </c>
      <c r="F4" s="157" t="str">
        <f>"*"&amp;Table3[[#This Row],[Subber Name]]&amp;"*"</f>
        <v>*Coalgirls*</v>
      </c>
    </row>
    <row r="5" spans="1:14">
      <c r="A5" s="134" t="s">
        <v>7</v>
      </c>
      <c r="B5" s="135">
        <v>9.5000000000000001E-2</v>
      </c>
      <c r="C5" s="157" t="s">
        <v>631</v>
      </c>
      <c r="D5" s="160" t="s">
        <v>285</v>
      </c>
      <c r="E5" s="30">
        <f>COUNTIF(Tracker[Subber(s)], "*FFF*")</f>
        <v>31</v>
      </c>
      <c r="F5" s="157" t="str">
        <f>"*"&amp;Table3[[#This Row],[Subber Name]]&amp;"*"</f>
        <v>*FFF*</v>
      </c>
    </row>
    <row r="6" spans="1:14">
      <c r="A6" s="138" t="s">
        <v>137</v>
      </c>
      <c r="B6" s="139">
        <f>SUM(B3:B5)</f>
        <v>0.995</v>
      </c>
      <c r="C6" s="157" t="s">
        <v>632</v>
      </c>
      <c r="D6" s="160" t="s">
        <v>300</v>
      </c>
      <c r="E6" s="30">
        <f>COUNTIF(Tracker[Subber(s)], "*Doki*")</f>
        <v>32</v>
      </c>
      <c r="F6" s="157" t="str">
        <f>"*"&amp;Table3[[#This Row],[Subber Name]]&amp;"*"</f>
        <v>*Doki*</v>
      </c>
    </row>
    <row r="7" spans="1:14">
      <c r="A7" s="40"/>
      <c r="B7" s="40"/>
      <c r="C7" s="157" t="s">
        <v>633</v>
      </c>
      <c r="D7" s="160" t="s">
        <v>284</v>
      </c>
      <c r="E7" s="30">
        <f>COUNTIF(Tracker[Subber(s)], "*UTW*")</f>
        <v>13</v>
      </c>
      <c r="F7" s="157" t="str">
        <f>"*"&amp;Table3[[#This Row],[Subber Name]]&amp;"*"</f>
        <v>*UTW*</v>
      </c>
    </row>
    <row r="8" spans="1:14">
      <c r="A8" s="140" t="s">
        <v>30</v>
      </c>
      <c r="B8" s="141">
        <f>MAX(Completed!G:G)</f>
        <v>9.9748743718592969</v>
      </c>
      <c r="C8" s="157" t="s">
        <v>634</v>
      </c>
      <c r="D8" s="160" t="s">
        <v>310</v>
      </c>
      <c r="E8" s="30">
        <f>COUNTIF(Tracker[Subber(s)], "*Mazui*")</f>
        <v>12</v>
      </c>
      <c r="F8" s="157" t="str">
        <f>"*"&amp;Table3[[#This Row],[Subber Name]]&amp;"*"</f>
        <v>*Mazui*</v>
      </c>
    </row>
    <row r="9" spans="1:14">
      <c r="A9" s="144" t="s">
        <v>33</v>
      </c>
      <c r="B9" s="145">
        <f>MIN(Completed!G:G)</f>
        <v>2.5037688442211055</v>
      </c>
      <c r="C9" s="157" t="s">
        <v>635</v>
      </c>
      <c r="D9" s="160" t="s">
        <v>378</v>
      </c>
      <c r="E9" s="30">
        <f>COUNTIF(Tracker[Subber(s)], "*Vivid*")</f>
        <v>11</v>
      </c>
      <c r="F9" s="157" t="str">
        <f>"*"&amp;Table3[[#This Row],[Subber Name]]&amp;"*"</f>
        <v>*Vivid*</v>
      </c>
    </row>
    <row r="10" spans="1:14">
      <c r="A10" s="144" t="s">
        <v>35</v>
      </c>
      <c r="B10" s="145">
        <f>B8-B9</f>
        <v>7.4711055276381915</v>
      </c>
      <c r="C10" s="157" t="s">
        <v>636</v>
      </c>
      <c r="D10" s="160" t="s">
        <v>308</v>
      </c>
      <c r="E10" s="30">
        <f>COUNTIF(Tracker[Subber(s)], "*Elysium*")</f>
        <v>9</v>
      </c>
      <c r="F10" s="157" t="str">
        <f>"*"&amp;Table3[[#This Row],[Subber Name]]&amp;"*"</f>
        <v>*Elysium*</v>
      </c>
    </row>
    <row r="11" spans="1:14">
      <c r="A11" s="146" t="s">
        <v>37</v>
      </c>
      <c r="B11" s="147">
        <f>SUM(B3:B6)</f>
        <v>1.99</v>
      </c>
      <c r="C11" s="157" t="s">
        <v>637</v>
      </c>
      <c r="D11" s="158" t="s">
        <v>315</v>
      </c>
      <c r="E11" s="159">
        <f>COUNTIF(Tracker[Subber(s)], "*Underwater*")</f>
        <v>8</v>
      </c>
      <c r="F11" s="157" t="str">
        <f>"*"&amp;Table3[[#This Row],[Subber Name]]&amp;"*"</f>
        <v>*Underwater*</v>
      </c>
    </row>
    <row r="12" spans="1:14">
      <c r="A12" s="40"/>
      <c r="B12" s="40"/>
      <c r="C12" s="157" t="s">
        <v>638</v>
      </c>
      <c r="D12" s="160" t="s">
        <v>320</v>
      </c>
      <c r="E12" s="30">
        <f>COUNTIF(Tracker[Subber(s)], "*Eclipse*")</f>
        <v>7</v>
      </c>
      <c r="F12" s="157" t="str">
        <f>"*"&amp;Table3[[#This Row],[Subber Name]]&amp;"*"</f>
        <v>*Eclipse*</v>
      </c>
    </row>
    <row r="13" spans="1:14">
      <c r="A13" s="44" t="s">
        <v>43</v>
      </c>
      <c r="B13" s="149" t="s">
        <v>675</v>
      </c>
      <c r="D13" s="160" t="s">
        <v>318</v>
      </c>
      <c r="E13" s="30">
        <f>COUNTIF(Tracker[Subber(s)], "*gg*")</f>
        <v>7</v>
      </c>
      <c r="F13" s="157" t="str">
        <f>"*"&amp;Table3[[#This Row],[Subber Name]]&amp;"*"</f>
        <v>*gg*</v>
      </c>
    </row>
    <row r="14" spans="1:14">
      <c r="A14" s="44" t="s">
        <v>46</v>
      </c>
      <c r="B14" s="150">
        <f>AVERAGE(Completed[Total])</f>
        <v>7.3877172694176858</v>
      </c>
      <c r="D14" s="160" t="s">
        <v>421</v>
      </c>
      <c r="E14" s="30">
        <f>COUNTIF(Tracker[Subber(s)], "*WhyNot*")</f>
        <v>5</v>
      </c>
      <c r="F14" s="157" t="str">
        <f>"*"&amp;Table3[[#This Row],[Subber Name]]&amp;"*"</f>
        <v>*WhyNot*</v>
      </c>
    </row>
    <row r="16" spans="1:14">
      <c r="A16" s="259" t="s">
        <v>81</v>
      </c>
      <c r="B16" s="260"/>
      <c r="D16" s="140" t="s">
        <v>381</v>
      </c>
      <c r="E16" s="13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70</v>
      </c>
    </row>
    <row r="17" spans="1:5">
      <c r="A17" s="132" t="s">
        <v>83</v>
      </c>
      <c r="B17" s="133">
        <f>AVERAGE(Completed[Total])</f>
        <v>7.3877172694176858</v>
      </c>
      <c r="C17" s="157" t="s">
        <v>642</v>
      </c>
      <c r="D17" s="140" t="s">
        <v>644</v>
      </c>
      <c r="E17" s="132">
        <f>SUM($E$3:$E$10)+$E$16-$B$30</f>
        <v>18</v>
      </c>
    </row>
    <row r="18" spans="1:5">
      <c r="A18" s="132" t="s">
        <v>85</v>
      </c>
      <c r="B18" s="133">
        <f>QUARTILE(Completed[Total], 0)</f>
        <v>0</v>
      </c>
      <c r="C18" s="157" t="s">
        <v>630</v>
      </c>
      <c r="D18" s="146" t="s">
        <v>645</v>
      </c>
      <c r="E18" s="142">
        <f>COUNTIF(Tracker[Subber(s)], "*,*")</f>
        <v>57</v>
      </c>
    </row>
    <row r="19" spans="1:5">
      <c r="A19" s="136" t="s">
        <v>87</v>
      </c>
      <c r="B19" s="137">
        <f>QUARTILE(Completed[Total], 1)</f>
        <v>6.77148141920296</v>
      </c>
      <c r="C19" s="157" t="s">
        <v>631</v>
      </c>
    </row>
    <row r="20" spans="1:5">
      <c r="A20" s="136" t="s">
        <v>90</v>
      </c>
      <c r="B20" s="137">
        <f>QUARTILE(Completed[Total], 2)</f>
        <v>7.6223305868505102</v>
      </c>
      <c r="C20" s="157" t="s">
        <v>632</v>
      </c>
      <c r="D20" s="259" t="s">
        <v>646</v>
      </c>
      <c r="E20" s="260"/>
    </row>
    <row r="21" spans="1:5">
      <c r="A21" s="136" t="s">
        <v>92</v>
      </c>
      <c r="B21" s="137">
        <f>QUARTILE(Completed[Total], 3)</f>
        <v>8.3504287876240113</v>
      </c>
      <c r="C21" s="157" t="s">
        <v>633</v>
      </c>
      <c r="D21" s="132" t="s">
        <v>647</v>
      </c>
      <c r="E21" s="24">
        <f>COUNTIF(Tracker[Dr. '#], "A")</f>
        <v>77</v>
      </c>
    </row>
    <row r="22" spans="1:5">
      <c r="A22" s="142" t="s">
        <v>93</v>
      </c>
      <c r="B22" s="143">
        <f>QUARTILE(Completed[Total], 4)</f>
        <v>10</v>
      </c>
      <c r="C22" s="157" t="s">
        <v>634</v>
      </c>
      <c r="D22" s="136" t="s">
        <v>648</v>
      </c>
      <c r="E22" s="24">
        <f>COUNTIF(Tracker[Dr. '#], "B")</f>
        <v>19</v>
      </c>
    </row>
    <row r="23" spans="1:5">
      <c r="A23" s="136" t="s">
        <v>35</v>
      </c>
      <c r="B23" s="137">
        <f>B22-B18</f>
        <v>10</v>
      </c>
      <c r="C23" s="157" t="s">
        <v>635</v>
      </c>
      <c r="D23" s="136" t="s">
        <v>667</v>
      </c>
      <c r="E23" s="24">
        <f>COUNTIF(Tracker[Dr. '#], "C")</f>
        <v>136</v>
      </c>
    </row>
    <row r="24" spans="1:5">
      <c r="A24" s="136" t="s">
        <v>96</v>
      </c>
      <c r="B24" s="137">
        <f>B21-B19</f>
        <v>1.5789473684210513</v>
      </c>
      <c r="C24" s="157" t="s">
        <v>636</v>
      </c>
      <c r="D24" s="154" t="s">
        <v>649</v>
      </c>
      <c r="E24" s="155">
        <f>B30-SUM(E21:E23)</f>
        <v>2</v>
      </c>
    </row>
    <row r="25" spans="1:5">
      <c r="A25" s="142" t="s">
        <v>98</v>
      </c>
      <c r="B25" s="143">
        <f>STDEV(Completed[Total])</f>
        <v>1.4535156543433601</v>
      </c>
      <c r="C25" s="157" t="s">
        <v>637</v>
      </c>
    </row>
    <row r="26" spans="1:5">
      <c r="A26" s="136" t="s">
        <v>650</v>
      </c>
      <c r="B26" s="148">
        <f ca="1">SUM('Main Page'!P4:P195)+SUM('Main Page'!D4:D23)+SUM(Dropped[Ep.])</f>
        <v>3663</v>
      </c>
      <c r="C26" s="157" t="s">
        <v>638</v>
      </c>
      <c r="D26" s="152" t="s">
        <v>629</v>
      </c>
      <c r="E26" s="153" t="s">
        <v>626</v>
      </c>
    </row>
    <row r="27" spans="1:5">
      <c r="A27" s="136" t="s">
        <v>143</v>
      </c>
      <c r="B27" s="148">
        <f ca="1">B26*24</f>
        <v>87912</v>
      </c>
      <c r="D27" s="127" t="s">
        <v>627</v>
      </c>
      <c r="E27" s="156">
        <f>COUNTIF(Completed[Total], "&gt;=9")</f>
        <v>10</v>
      </c>
    </row>
    <row r="28" spans="1:5">
      <c r="A28" s="136" t="s">
        <v>144</v>
      </c>
      <c r="B28" s="151">
        <f ca="1">B27/60</f>
        <v>1465.2</v>
      </c>
      <c r="D28" s="127" t="s">
        <v>51</v>
      </c>
      <c r="E28" s="156">
        <f>COUNTIF(Completed[Total],  "&gt;=8 ")-COUNTIF(Completed[Total],"&gt;=9")</f>
        <v>53</v>
      </c>
    </row>
    <row r="29" spans="1:5">
      <c r="A29" s="142" t="s">
        <v>142</v>
      </c>
      <c r="B29" s="143">
        <f ca="1">B28/24</f>
        <v>61.050000000000004</v>
      </c>
      <c r="D29" s="127" t="s">
        <v>54</v>
      </c>
      <c r="E29" s="156">
        <f>COUNTIF(Completed[Total],  "&gt;=7")-COUNTIF(Completed[Total],"&gt;=8")</f>
        <v>51</v>
      </c>
    </row>
    <row r="30" spans="1:5">
      <c r="A30" s="154" t="s">
        <v>380</v>
      </c>
      <c r="B30" s="155">
        <f>COUNTIF(Tracker[Subber(s)], "&lt;&gt;--")</f>
        <v>234</v>
      </c>
      <c r="D30" s="127" t="s">
        <v>56</v>
      </c>
      <c r="E30" s="156">
        <f>COUNTIF(Completed[Total],  "&gt;=6 ")-COUNTIF(Completed[Total],"&gt;=7")</f>
        <v>28</v>
      </c>
    </row>
    <row r="31" spans="1:5">
      <c r="D31" s="127" t="s">
        <v>60</v>
      </c>
      <c r="E31" s="156">
        <f>COUNTIF(Completed[Total],  "&gt;=5 ")-COUNTIF(Completed[Total],"&gt;=6")</f>
        <v>13</v>
      </c>
    </row>
    <row r="32" spans="1:5">
      <c r="D32" s="127" t="s">
        <v>62</v>
      </c>
      <c r="E32" s="156">
        <f>COUNTIF(Completed[Total],  "&gt;=4 ")-COUNTIF(Completed[Total],"&gt;=5")</f>
        <v>4</v>
      </c>
    </row>
    <row r="33" spans="4:5">
      <c r="D33" s="127" t="s">
        <v>66</v>
      </c>
      <c r="E33" s="156">
        <f>COUNTIF(Completed[Total],  "&gt;=3 ")-COUNTIF(Completed[Total],"&gt;=4")</f>
        <v>2</v>
      </c>
    </row>
    <row r="34" spans="4:5">
      <c r="D34" s="127" t="s">
        <v>69</v>
      </c>
      <c r="E34" s="156">
        <f>COUNTIF(Completed[Total],  "&gt;=2")-COUNTIF(Completed[Total],"&gt;=3")</f>
        <v>0</v>
      </c>
    </row>
    <row r="35" spans="4:5">
      <c r="D35" s="127" t="s">
        <v>73</v>
      </c>
      <c r="E35" s="156">
        <f>COUNTIF(Completed[Total],  "&gt;=1 ")-COUNTIF(Completed[Total],"&gt;=2")</f>
        <v>0</v>
      </c>
    </row>
    <row r="36" spans="4:5">
      <c r="D36" s="127" t="s">
        <v>78</v>
      </c>
      <c r="E36" s="156">
        <f>COUNTIF(Completed[Total],  "&gt;=0 ")-COUNTIF(Completed[Total],"&gt;=1")</f>
        <v>2</v>
      </c>
    </row>
    <row r="38" spans="4:5">
      <c r="D38" s="162" t="s">
        <v>454</v>
      </c>
      <c r="E38" s="163"/>
    </row>
    <row r="39" spans="4:5">
      <c r="D39" s="132" t="s">
        <v>442</v>
      </c>
      <c r="E39" s="24">
        <f>COUNTIF(Tracker[Type],D39)</f>
        <v>101</v>
      </c>
    </row>
    <row r="40" spans="4:5">
      <c r="D40" s="136" t="s">
        <v>441</v>
      </c>
      <c r="E40" s="24">
        <f>COUNTIF(Tracker[Type],D40)</f>
        <v>110</v>
      </c>
    </row>
    <row r="41" spans="4:5">
      <c r="D41" s="136" t="s">
        <v>445</v>
      </c>
      <c r="E41" s="24">
        <f>COUNTIF(Tracker[Type],D41)</f>
        <v>10</v>
      </c>
    </row>
    <row r="42" spans="4:5">
      <c r="D42" s="136" t="s">
        <v>443</v>
      </c>
      <c r="E42" s="24">
        <f>COUNTIF(Tracker[Type],D42)</f>
        <v>11</v>
      </c>
    </row>
    <row r="43" spans="4:5">
      <c r="D43" s="154" t="s">
        <v>455</v>
      </c>
      <c r="E43" s="155">
        <f>COUNTIF(Tracker[Type],"--")</f>
        <v>12</v>
      </c>
    </row>
    <row r="45" spans="4:5">
      <c r="D45" s="162" t="s">
        <v>643</v>
      </c>
      <c r="E45" s="163"/>
    </row>
    <row r="46" spans="4:5">
      <c r="D46" s="132" t="s">
        <v>478</v>
      </c>
      <c r="E46" s="24">
        <f>COUNTIF(Tracker[Quality], "720p")</f>
        <v>204</v>
      </c>
    </row>
    <row r="47" spans="4:5">
      <c r="D47" s="136" t="s">
        <v>479</v>
      </c>
      <c r="E47" s="24">
        <f>COUNTIF(Tracker[Quality], "1080p")</f>
        <v>17</v>
      </c>
    </row>
    <row r="48" spans="4:5">
      <c r="D48" s="154" t="s">
        <v>381</v>
      </c>
      <c r="E48" s="155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431</v>
      </c>
      <c r="C1" s="23" t="s">
        <v>639</v>
      </c>
      <c r="D1" s="23" t="s">
        <v>560</v>
      </c>
      <c r="E1" s="23" t="s">
        <v>640</v>
      </c>
      <c r="F1" s="23" t="s">
        <v>641</v>
      </c>
    </row>
    <row r="2" spans="1:6" ht="16.5">
      <c r="A2" s="23"/>
      <c r="B2" s="129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  <vt:lpstr>Finished_Anime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2016-02-01T00:47:46Z</dcterms:modified>
</cp:coreProperties>
</file>