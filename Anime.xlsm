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6" i="19"/>
  <c r="H16" i="19"/>
  <c r="G18" i="19"/>
  <c r="H18" i="19"/>
  <c r="H17" i="19"/>
  <c r="G17" i="19"/>
  <c r="G9" i="19"/>
  <c r="H5" i="19"/>
  <c r="G12" i="19"/>
  <c r="H12" i="19"/>
  <c r="G8" i="19"/>
  <c r="H10" i="19"/>
  <c r="G6" i="19"/>
  <c r="G15" i="19"/>
  <c r="G14" i="19"/>
  <c r="H9" i="19"/>
  <c r="G13" i="19"/>
  <c r="G10" i="19"/>
  <c r="H7" i="19"/>
  <c r="G4" i="19"/>
  <c r="H8" i="19"/>
  <c r="H11" i="19"/>
  <c r="H14" i="19"/>
  <c r="H4" i="19"/>
  <c r="H6" i="19"/>
  <c r="G7" i="19"/>
  <c r="G11" i="19"/>
  <c r="G5" i="19"/>
  <c r="H13" i="19"/>
  <c r="H1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S128" i="19"/>
  <c r="Q123" i="19"/>
  <c r="P128" i="19"/>
  <c r="T129" i="19"/>
  <c r="P127" i="19"/>
  <c r="T124" i="19"/>
  <c r="T125" i="19"/>
  <c r="R124" i="19"/>
  <c r="Q127" i="19"/>
  <c r="P129" i="19"/>
  <c r="T126" i="19"/>
  <c r="P122" i="19"/>
  <c r="P125" i="19"/>
  <c r="T128" i="19"/>
  <c r="S125" i="19"/>
  <c r="U125" i="19"/>
  <c r="U123" i="19"/>
  <c r="Q128" i="19"/>
  <c r="Q129" i="19"/>
  <c r="R122" i="19"/>
  <c r="U127" i="19"/>
  <c r="U128" i="19"/>
  <c r="P123" i="19"/>
  <c r="P124" i="19"/>
  <c r="Q125" i="19"/>
  <c r="U129" i="19"/>
  <c r="S123" i="19"/>
  <c r="S124" i="19"/>
  <c r="R127" i="19"/>
  <c r="S126" i="19"/>
  <c r="R129" i="19"/>
  <c r="U124" i="19"/>
  <c r="S129" i="19"/>
  <c r="R128" i="19"/>
  <c r="U122" i="19"/>
  <c r="T127" i="19"/>
  <c r="S127" i="19"/>
  <c r="S122" i="19"/>
  <c r="T123" i="19"/>
  <c r="Q126" i="19"/>
  <c r="U126" i="19"/>
  <c r="Q122" i="19"/>
  <c r="R125" i="19"/>
  <c r="Q124" i="19"/>
  <c r="R126" i="19"/>
  <c r="T122" i="19"/>
  <c r="R123" i="19"/>
  <c r="P126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U37" i="19"/>
  <c r="U26" i="19"/>
  <c r="U94" i="19"/>
  <c r="U116" i="19"/>
  <c r="T34" i="19"/>
  <c r="S14" i="19"/>
  <c r="R77" i="19"/>
  <c r="U55" i="19"/>
  <c r="S30" i="19"/>
  <c r="Q113" i="19"/>
  <c r="P114" i="19"/>
  <c r="S12" i="19"/>
  <c r="S6" i="19"/>
  <c r="T55" i="19"/>
  <c r="R14" i="19"/>
  <c r="S20" i="19"/>
  <c r="P36" i="19"/>
  <c r="R102" i="19"/>
  <c r="U99" i="19"/>
  <c r="P12" i="19"/>
  <c r="S102" i="19"/>
  <c r="R75" i="19"/>
  <c r="Q74" i="19"/>
  <c r="R9" i="19"/>
  <c r="T19" i="19"/>
  <c r="Q104" i="19"/>
  <c r="P37" i="19"/>
  <c r="R11" i="19"/>
  <c r="R92" i="19"/>
  <c r="S11" i="19"/>
  <c r="U96" i="19"/>
  <c r="T58" i="19"/>
  <c r="R45" i="19"/>
  <c r="U104" i="19"/>
  <c r="P82" i="19"/>
  <c r="T51" i="19"/>
  <c r="U19" i="19"/>
  <c r="P93" i="19"/>
  <c r="P81" i="19"/>
  <c r="U25" i="19"/>
  <c r="U62" i="19"/>
  <c r="U72" i="19"/>
  <c r="R78" i="19"/>
  <c r="S27" i="19"/>
  <c r="P116" i="19"/>
  <c r="U41" i="19"/>
  <c r="S97" i="19"/>
  <c r="R69" i="19"/>
  <c r="R13" i="19"/>
  <c r="U54" i="19"/>
  <c r="R63" i="19"/>
  <c r="R17" i="19"/>
  <c r="S96" i="19"/>
  <c r="S117" i="19"/>
  <c r="P28" i="19"/>
  <c r="T61" i="19"/>
  <c r="Q37" i="19"/>
  <c r="T50" i="19"/>
  <c r="S17" i="19"/>
  <c r="R18" i="19"/>
  <c r="T101" i="19"/>
  <c r="R34" i="19"/>
  <c r="T111" i="19"/>
  <c r="Q118" i="19"/>
  <c r="T23" i="19"/>
  <c r="P67" i="19"/>
  <c r="T109" i="19"/>
  <c r="T43" i="19"/>
  <c r="U33" i="19"/>
  <c r="P20" i="19"/>
  <c r="Q66" i="19"/>
  <c r="P72" i="19"/>
  <c r="U23" i="19"/>
  <c r="P25" i="19"/>
  <c r="Q31" i="19"/>
  <c r="Q14" i="19"/>
  <c r="T59" i="19"/>
  <c r="R25" i="19"/>
  <c r="U101" i="19"/>
  <c r="Q17" i="19"/>
  <c r="Q8" i="19"/>
  <c r="T120" i="19"/>
  <c r="S111" i="19"/>
  <c r="S119" i="19"/>
  <c r="Q23" i="19"/>
  <c r="R67" i="19"/>
  <c r="T106" i="19"/>
  <c r="Q77" i="19"/>
  <c r="S26" i="19"/>
  <c r="S64" i="19"/>
  <c r="T66" i="19"/>
  <c r="T17" i="19"/>
  <c r="S73" i="19"/>
  <c r="Q27" i="19"/>
  <c r="P15" i="19"/>
  <c r="T56" i="19"/>
  <c r="U32" i="19"/>
  <c r="Q56" i="19"/>
  <c r="Q99" i="19"/>
  <c r="P66" i="19"/>
  <c r="R19" i="19"/>
  <c r="Q67" i="19"/>
  <c r="R24" i="19"/>
  <c r="P33" i="19"/>
  <c r="R85" i="19"/>
  <c r="Q96" i="19"/>
  <c r="S109" i="19"/>
  <c r="R22" i="19"/>
  <c r="Q114" i="19"/>
  <c r="S55" i="19"/>
  <c r="S57" i="19"/>
  <c r="R87" i="19"/>
  <c r="R110" i="19"/>
  <c r="U60" i="19"/>
  <c r="P56" i="19"/>
  <c r="P49" i="19"/>
  <c r="R57" i="19"/>
  <c r="S107" i="19"/>
  <c r="R43" i="19"/>
  <c r="U56" i="19"/>
  <c r="T54" i="19"/>
  <c r="R95" i="19"/>
  <c r="R5" i="19"/>
  <c r="U28" i="19"/>
  <c r="T114" i="19"/>
  <c r="P61" i="19"/>
  <c r="S120" i="19"/>
  <c r="Q60" i="19"/>
  <c r="T86" i="19"/>
  <c r="P53" i="19"/>
  <c r="S72" i="19"/>
  <c r="P80" i="19"/>
  <c r="R61" i="19"/>
  <c r="T39" i="19"/>
  <c r="P48" i="19"/>
  <c r="U118" i="19"/>
  <c r="R86" i="19"/>
  <c r="U14" i="19"/>
  <c r="T78" i="19"/>
  <c r="P91" i="19"/>
  <c r="Q79" i="19"/>
  <c r="Q4" i="19"/>
  <c r="Q53" i="19"/>
  <c r="T107" i="19"/>
  <c r="U16" i="19"/>
  <c r="U8" i="19"/>
  <c r="S83" i="19"/>
  <c r="R4" i="19"/>
  <c r="P119" i="19"/>
  <c r="S86" i="19"/>
  <c r="P11" i="19"/>
  <c r="P21" i="19"/>
  <c r="T75" i="19"/>
  <c r="S37" i="19"/>
  <c r="U103" i="19"/>
  <c r="U115" i="19"/>
  <c r="R90" i="19"/>
  <c r="Q75" i="19"/>
  <c r="R70" i="19"/>
  <c r="U6" i="19"/>
  <c r="R7" i="19"/>
  <c r="R42" i="19"/>
  <c r="T97" i="19"/>
  <c r="S13" i="19"/>
  <c r="U51" i="19"/>
  <c r="S29" i="19"/>
  <c r="R89" i="19"/>
  <c r="U34" i="19"/>
  <c r="Q94" i="19"/>
  <c r="Q80" i="19"/>
  <c r="S99" i="19"/>
  <c r="T35" i="19"/>
  <c r="T28" i="19"/>
  <c r="T69" i="19"/>
  <c r="T88" i="19"/>
  <c r="U93" i="19"/>
  <c r="U29" i="19"/>
  <c r="Q81" i="19"/>
  <c r="R30" i="19"/>
  <c r="Q51" i="19"/>
  <c r="T64" i="19"/>
  <c r="S45" i="19"/>
  <c r="S110" i="19"/>
  <c r="Q30" i="19"/>
  <c r="R113" i="19"/>
  <c r="Q109" i="19"/>
  <c r="T40" i="19"/>
  <c r="Q42" i="19"/>
  <c r="Q6" i="19"/>
  <c r="R108" i="19"/>
  <c r="Q16" i="19"/>
  <c r="P65" i="19"/>
  <c r="U53" i="19"/>
  <c r="U44" i="19"/>
  <c r="U95" i="19"/>
  <c r="S19" i="19"/>
  <c r="P120" i="19"/>
  <c r="S60" i="19"/>
  <c r="S39" i="19"/>
  <c r="S87" i="19"/>
  <c r="U10" i="19"/>
  <c r="T94" i="19"/>
  <c r="P84" i="19"/>
  <c r="P76" i="19"/>
  <c r="R112" i="19"/>
  <c r="R93" i="19"/>
  <c r="T42" i="19"/>
  <c r="R15" i="19"/>
  <c r="Q105" i="19"/>
  <c r="T118" i="19"/>
  <c r="U47" i="19"/>
  <c r="U121" i="19"/>
  <c r="U27" i="19"/>
  <c r="P68" i="19"/>
  <c r="Q112" i="19"/>
  <c r="R59" i="19"/>
  <c r="T46" i="19"/>
  <c r="P22" i="19"/>
  <c r="T14" i="19"/>
  <c r="T112" i="19"/>
  <c r="P92" i="19"/>
  <c r="T18" i="19"/>
  <c r="P63" i="19"/>
  <c r="Q108" i="19"/>
  <c r="P7" i="19"/>
  <c r="T82" i="19"/>
  <c r="Q65" i="19"/>
  <c r="T12" i="19"/>
  <c r="Q55" i="19"/>
  <c r="U24" i="19"/>
  <c r="R36" i="19"/>
  <c r="Q50" i="19"/>
  <c r="T73" i="19"/>
  <c r="R23" i="19"/>
  <c r="U102" i="19"/>
  <c r="U84" i="19"/>
  <c r="S78" i="19"/>
  <c r="T45" i="19"/>
  <c r="R101" i="19"/>
  <c r="S58" i="19"/>
  <c r="U76" i="19"/>
  <c r="U31" i="19"/>
  <c r="U48" i="19"/>
  <c r="T70" i="19"/>
  <c r="R119" i="19"/>
  <c r="R29" i="19"/>
  <c r="T116" i="19"/>
  <c r="P85" i="19"/>
  <c r="P111" i="19"/>
  <c r="T93" i="19"/>
  <c r="P52" i="19"/>
  <c r="Q58" i="19"/>
  <c r="T77" i="19"/>
  <c r="S115" i="19"/>
  <c r="R21" i="19"/>
  <c r="T4" i="19"/>
  <c r="Q28" i="19"/>
  <c r="U58" i="19"/>
  <c r="S32" i="19"/>
  <c r="P77" i="19"/>
  <c r="P83" i="19"/>
  <c r="P13" i="19"/>
  <c r="P94" i="19"/>
  <c r="Q11" i="19"/>
  <c r="P98" i="19"/>
  <c r="R16" i="19"/>
  <c r="T25" i="19"/>
  <c r="P105" i="19"/>
  <c r="U46" i="19"/>
  <c r="T121" i="19"/>
  <c r="S16" i="19"/>
  <c r="Q78" i="19"/>
  <c r="P29" i="19"/>
  <c r="P58" i="19"/>
  <c r="P62" i="19"/>
  <c r="S85" i="19"/>
  <c r="Q15" i="19"/>
  <c r="R91" i="19"/>
  <c r="T79" i="19"/>
  <c r="Q57" i="19"/>
  <c r="S84" i="19"/>
  <c r="Q90" i="19"/>
  <c r="T7" i="19"/>
  <c r="S43" i="19"/>
  <c r="S101" i="19"/>
  <c r="Q85" i="19"/>
  <c r="P113" i="19"/>
  <c r="T84" i="19"/>
  <c r="U106" i="19"/>
  <c r="P73" i="19"/>
  <c r="S94" i="19"/>
  <c r="P16" i="19"/>
  <c r="U21" i="19"/>
  <c r="T30" i="19"/>
  <c r="T115" i="19"/>
  <c r="Q26" i="19"/>
  <c r="R79" i="19"/>
  <c r="U89" i="19"/>
  <c r="T31" i="19"/>
  <c r="U74" i="19"/>
  <c r="T5" i="19"/>
  <c r="P27" i="19"/>
  <c r="R56" i="19"/>
  <c r="U13" i="19"/>
  <c r="U45" i="19"/>
  <c r="T80" i="19"/>
  <c r="U80" i="19"/>
  <c r="R48" i="19"/>
  <c r="U78" i="19"/>
  <c r="P121" i="19"/>
  <c r="Q76" i="19"/>
  <c r="S49" i="19"/>
  <c r="Q36" i="19"/>
  <c r="U20" i="19"/>
  <c r="R27" i="19"/>
  <c r="P79" i="19"/>
  <c r="R46" i="19"/>
  <c r="R114" i="19"/>
  <c r="R64" i="19"/>
  <c r="P90" i="19"/>
  <c r="S98" i="19"/>
  <c r="T108" i="19"/>
  <c r="Q73" i="19"/>
  <c r="T60" i="19"/>
  <c r="U63" i="19"/>
  <c r="U4" i="19"/>
  <c r="Q49" i="19"/>
  <c r="T85" i="19"/>
  <c r="S75" i="19"/>
  <c r="P95" i="19"/>
  <c r="R71" i="19"/>
  <c r="Q45" i="19"/>
  <c r="S18" i="19"/>
  <c r="R60" i="19"/>
  <c r="T44" i="19"/>
  <c r="U68" i="19"/>
  <c r="Q64" i="19"/>
  <c r="T13" i="19"/>
  <c r="Q115" i="19"/>
  <c r="R73" i="19"/>
  <c r="P30" i="19"/>
  <c r="Q84" i="19"/>
  <c r="U98" i="19"/>
  <c r="R81" i="19"/>
  <c r="R105" i="19"/>
  <c r="R84" i="19"/>
  <c r="R33" i="19"/>
  <c r="Q92" i="19"/>
  <c r="R68" i="19"/>
  <c r="R99" i="19"/>
  <c r="R39" i="19"/>
  <c r="S48" i="19"/>
  <c r="R35" i="19"/>
  <c r="Q117" i="19"/>
  <c r="P103" i="19"/>
  <c r="Q25" i="19"/>
  <c r="T104" i="19"/>
  <c r="Q82" i="19"/>
  <c r="R83" i="19"/>
  <c r="Q101" i="19"/>
  <c r="P50" i="19"/>
  <c r="P35" i="19"/>
  <c r="S108" i="19"/>
  <c r="U109" i="19"/>
  <c r="U22" i="19"/>
  <c r="Q86" i="19"/>
  <c r="R38" i="19"/>
  <c r="S31" i="19"/>
  <c r="T117" i="19"/>
  <c r="S50" i="19"/>
  <c r="P6" i="19"/>
  <c r="Q89" i="19"/>
  <c r="U86" i="19"/>
  <c r="S46" i="19"/>
  <c r="R55" i="19"/>
  <c r="U108" i="19"/>
  <c r="Q87" i="19"/>
  <c r="U67" i="19"/>
  <c r="P4" i="19"/>
  <c r="P118" i="19"/>
  <c r="P96" i="19"/>
  <c r="P70" i="19"/>
  <c r="T72" i="19"/>
  <c r="U50" i="19"/>
  <c r="T49" i="19"/>
  <c r="P69" i="19"/>
  <c r="R52" i="19"/>
  <c r="P104" i="19"/>
  <c r="U42" i="19"/>
  <c r="Q62" i="19"/>
  <c r="T87" i="19"/>
  <c r="T81" i="19"/>
  <c r="U111" i="19"/>
  <c r="T90" i="19"/>
  <c r="R12" i="19"/>
  <c r="U73" i="19"/>
  <c r="S41" i="19"/>
  <c r="P74" i="19"/>
  <c r="R97" i="19"/>
  <c r="P75" i="19"/>
  <c r="T11" i="19"/>
  <c r="U82" i="19"/>
  <c r="R8" i="19"/>
  <c r="Q24" i="19"/>
  <c r="S53" i="19"/>
  <c r="U92" i="19"/>
  <c r="P86" i="19"/>
  <c r="U112" i="19"/>
  <c r="R121" i="19"/>
  <c r="U120" i="19"/>
  <c r="S121" i="19"/>
  <c r="P40" i="19"/>
  <c r="Q107" i="19"/>
  <c r="R107" i="19"/>
  <c r="R74" i="19"/>
  <c r="S28" i="19"/>
  <c r="P19" i="19"/>
  <c r="Q34" i="19"/>
  <c r="P87" i="19"/>
  <c r="R62" i="19"/>
  <c r="P101" i="19"/>
  <c r="U91" i="19"/>
  <c r="P99" i="19"/>
  <c r="S80" i="19"/>
  <c r="R116" i="19"/>
  <c r="S69" i="19"/>
  <c r="Q52" i="19"/>
  <c r="S68" i="19"/>
  <c r="S76" i="19"/>
  <c r="Q72" i="19"/>
  <c r="T105" i="19"/>
  <c r="S47" i="19"/>
  <c r="U43" i="19"/>
  <c r="U97" i="19"/>
  <c r="U113" i="19"/>
  <c r="T16" i="19"/>
  <c r="Q95" i="19"/>
  <c r="S59" i="19"/>
  <c r="R72" i="19"/>
  <c r="R51" i="19"/>
  <c r="Q22" i="19"/>
  <c r="S77" i="19"/>
  <c r="T57" i="19"/>
  <c r="P110" i="19"/>
  <c r="P17" i="19"/>
  <c r="S79" i="19"/>
  <c r="P109" i="19"/>
  <c r="Q48" i="19"/>
  <c r="P34" i="19"/>
  <c r="R26" i="19"/>
  <c r="S61" i="19"/>
  <c r="U110" i="19"/>
  <c r="S21" i="19"/>
  <c r="S15" i="19"/>
  <c r="R66" i="19"/>
  <c r="Q93" i="19"/>
  <c r="S113" i="19"/>
  <c r="P112" i="19"/>
  <c r="Q111" i="19"/>
  <c r="T38" i="19"/>
  <c r="R28" i="19"/>
  <c r="Q9" i="19"/>
  <c r="T74" i="19"/>
  <c r="U38" i="19"/>
  <c r="P59" i="19"/>
  <c r="U36" i="19"/>
  <c r="S81" i="19"/>
  <c r="R53" i="19"/>
  <c r="S35" i="19"/>
  <c r="Q21" i="19"/>
  <c r="S67" i="19"/>
  <c r="R80" i="19"/>
  <c r="R104" i="19"/>
  <c r="S90" i="19"/>
  <c r="U85" i="19"/>
  <c r="T36" i="19"/>
  <c r="P88" i="19"/>
  <c r="S116" i="19"/>
  <c r="Q20" i="19"/>
  <c r="Q29" i="19"/>
  <c r="Q54" i="19"/>
  <c r="P51" i="19"/>
  <c r="U61" i="19"/>
  <c r="P102" i="19"/>
  <c r="P107" i="19"/>
  <c r="R32" i="19"/>
  <c r="P8" i="19"/>
  <c r="P89" i="19"/>
  <c r="R6" i="19"/>
  <c r="Q68" i="19"/>
  <c r="P54" i="19"/>
  <c r="P18" i="19"/>
  <c r="Q33" i="19"/>
  <c r="P100" i="19"/>
  <c r="T92" i="19"/>
  <c r="P78" i="19"/>
  <c r="R10" i="19"/>
  <c r="S82" i="19"/>
  <c r="S23" i="19"/>
  <c r="S8" i="19"/>
  <c r="R37" i="19"/>
  <c r="S89" i="19"/>
  <c r="T32" i="19"/>
  <c r="S44" i="19"/>
  <c r="T33" i="19"/>
  <c r="S10" i="19"/>
  <c r="Q35" i="19"/>
  <c r="U81" i="19"/>
  <c r="S88" i="19"/>
  <c r="T27" i="19"/>
  <c r="T67" i="19"/>
  <c r="T68" i="19"/>
  <c r="U114" i="19"/>
  <c r="S100" i="19"/>
  <c r="R47" i="19"/>
  <c r="Q119" i="19"/>
  <c r="P9" i="19"/>
  <c r="S7" i="19"/>
  <c r="P108" i="19"/>
  <c r="P45" i="19"/>
  <c r="P14" i="19"/>
  <c r="S25" i="19"/>
  <c r="U12" i="19"/>
  <c r="U57" i="19"/>
  <c r="U75" i="19"/>
  <c r="T119" i="19"/>
  <c r="Q63" i="19"/>
  <c r="U105" i="19"/>
  <c r="R117" i="19"/>
  <c r="P39" i="19"/>
  <c r="Q10" i="19"/>
  <c r="Q32" i="19"/>
  <c r="S40" i="19"/>
  <c r="P32" i="19"/>
  <c r="U83" i="19"/>
  <c r="R96" i="19"/>
  <c r="Q39" i="19"/>
  <c r="R109" i="19"/>
  <c r="Q7" i="19"/>
  <c r="U117" i="19"/>
  <c r="Q41" i="19"/>
  <c r="P46" i="19"/>
  <c r="T91" i="19"/>
  <c r="U17" i="19"/>
  <c r="P47" i="19"/>
  <c r="U88" i="19"/>
  <c r="T98" i="19"/>
  <c r="R100" i="19"/>
  <c r="S22" i="19"/>
  <c r="U59" i="19"/>
  <c r="P5" i="19"/>
  <c r="R103" i="19"/>
  <c r="U11" i="19"/>
  <c r="U71" i="19"/>
  <c r="R41" i="19"/>
  <c r="S56" i="19"/>
  <c r="T24" i="19"/>
  <c r="Q88" i="19"/>
  <c r="P57" i="19"/>
  <c r="T100" i="19"/>
  <c r="T83" i="19"/>
  <c r="P43" i="19"/>
  <c r="T76" i="19"/>
  <c r="T71" i="19"/>
  <c r="U39" i="19"/>
  <c r="T103" i="19"/>
  <c r="R20" i="19"/>
  <c r="S52" i="19"/>
  <c r="U100" i="19"/>
  <c r="S62" i="19"/>
  <c r="U87" i="19"/>
  <c r="S34" i="19"/>
  <c r="Q59" i="19"/>
  <c r="T48" i="19"/>
  <c r="P31" i="19"/>
  <c r="U90" i="19"/>
  <c r="S112" i="19"/>
  <c r="Q102" i="19"/>
  <c r="S4" i="19"/>
  <c r="S93" i="19"/>
  <c r="R44" i="19"/>
  <c r="T8" i="19"/>
  <c r="U18" i="19"/>
  <c r="U30" i="19"/>
  <c r="P38" i="19"/>
  <c r="S118" i="19"/>
  <c r="P117" i="19"/>
  <c r="Q38" i="19"/>
  <c r="Q46" i="19"/>
  <c r="R115" i="19"/>
  <c r="Q44" i="19"/>
  <c r="S103" i="19"/>
  <c r="Q61" i="19"/>
  <c r="U107" i="19"/>
  <c r="U5" i="19"/>
  <c r="T99" i="19"/>
  <c r="T65" i="19"/>
  <c r="P41" i="19"/>
  <c r="Q47" i="19"/>
  <c r="P24" i="19"/>
  <c r="Q106" i="19"/>
  <c r="Q40" i="19"/>
  <c r="R49" i="19"/>
  <c r="R50" i="19"/>
  <c r="T53" i="19"/>
  <c r="P55" i="19"/>
  <c r="P44" i="19"/>
  <c r="T21" i="19"/>
  <c r="S95" i="19"/>
  <c r="U69" i="19"/>
  <c r="P42" i="19"/>
  <c r="Q69" i="19"/>
  <c r="T37" i="19"/>
  <c r="S65" i="19"/>
  <c r="R106" i="19"/>
  <c r="S71" i="19"/>
  <c r="R58" i="19"/>
  <c r="S9" i="19"/>
  <c r="P115" i="19"/>
  <c r="T26" i="19"/>
  <c r="Q13" i="19"/>
  <c r="S38" i="19"/>
  <c r="T29" i="19"/>
  <c r="P26" i="19"/>
  <c r="T52" i="19"/>
  <c r="Q91" i="19"/>
  <c r="R76" i="19"/>
  <c r="U49" i="19"/>
  <c r="Q120" i="19"/>
  <c r="T113" i="19"/>
  <c r="Q98" i="19"/>
  <c r="T10" i="19"/>
  <c r="T41" i="19"/>
  <c r="P10" i="19"/>
  <c r="T89" i="19"/>
  <c r="S91" i="19"/>
  <c r="S114" i="19"/>
  <c r="R65" i="19"/>
  <c r="T95" i="19"/>
  <c r="T6" i="19"/>
  <c r="S5" i="19"/>
  <c r="R31" i="19"/>
  <c r="S70" i="19"/>
  <c r="R120" i="19"/>
  <c r="U7" i="19"/>
  <c r="T20" i="19"/>
  <c r="S24" i="19"/>
  <c r="Q103" i="19"/>
  <c r="U66" i="19"/>
  <c r="Q100" i="19"/>
  <c r="Q18" i="19"/>
  <c r="S106" i="19"/>
  <c r="T96" i="19"/>
  <c r="T102" i="19"/>
  <c r="Q116" i="19"/>
  <c r="Q5" i="19"/>
  <c r="U77" i="19"/>
  <c r="U64" i="19"/>
  <c r="R88" i="19"/>
  <c r="R111" i="19"/>
  <c r="P23" i="19"/>
  <c r="P97" i="19"/>
  <c r="Q12" i="19"/>
  <c r="S36" i="19"/>
  <c r="P60" i="19"/>
  <c r="R98" i="19"/>
  <c r="T63" i="19"/>
  <c r="T22" i="19"/>
  <c r="S63" i="19"/>
  <c r="U79" i="19"/>
  <c r="S66" i="19"/>
  <c r="Q97" i="19"/>
  <c r="U70" i="19"/>
  <c r="U9" i="19"/>
  <c r="Q19" i="19"/>
  <c r="S105" i="19"/>
  <c r="S74" i="19"/>
  <c r="P71" i="19"/>
  <c r="Q121" i="19"/>
  <c r="T62" i="19"/>
  <c r="R118" i="19"/>
  <c r="U40" i="19"/>
  <c r="P106" i="19"/>
  <c r="U35" i="19"/>
  <c r="Q83" i="19"/>
  <c r="S54" i="19"/>
  <c r="Q71" i="19"/>
  <c r="R54" i="19"/>
  <c r="T47" i="19"/>
  <c r="U15" i="19"/>
  <c r="S104" i="19"/>
  <c r="R82" i="19"/>
  <c r="R40" i="19"/>
  <c r="S92" i="19"/>
  <c r="U119" i="19"/>
  <c r="T110" i="19"/>
  <c r="T15" i="19"/>
  <c r="R94" i="19"/>
  <c r="U65" i="19"/>
  <c r="Q70" i="19"/>
  <c r="S42" i="19"/>
  <c r="T9" i="19"/>
  <c r="Q110" i="19"/>
  <c r="P64" i="19"/>
  <c r="S33" i="19"/>
  <c r="U52" i="19"/>
  <c r="Q43" i="19"/>
  <c r="S51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<sst xmlns="http://schemas.openxmlformats.org/spreadsheetml/2006/main" count="2023" uniqueCount="684">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</sst>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531635568"/>
        <c:axId val="1531636112"/>
      </c:barChart>
      <c:catAx>
        <c:axId val="153163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31636112"/>
        <c:crosses val="autoZero"/>
        <c:auto val="1"/>
        <c:lblAlgn val="ctr"/>
        <c:lblOffset val="100"/>
        <c:noMultiLvlLbl val="0"/>
      </c:catAx>
      <c:valAx>
        <c:axId val="15316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316355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531637744"/>
        <c:axId val="1531511024"/>
      </c:barChart>
      <c:catAx>
        <c:axId val="153163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31511024"/>
        <c:crosses val="autoZero"/>
        <c:auto val="1"/>
        <c:lblAlgn val="ctr"/>
        <c:lblOffset val="100"/>
        <c:noMultiLvlLbl val="0"/>
      </c:catAx>
      <c:valAx>
        <c:axId val="153151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316377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8" totalsRowShown="0">
  <autoFilter ref="A2:H208"/>
  <sortState ref="A3:H208">
    <sortCondition ref="G3:G208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0" totalsRowShown="0" headerRowDxfId="53" dataDxfId="52">
  <autoFilter ref="A2:C70"/>
  <sortState ref="A3:C70">
    <sortCondition ref="C3:C70"/>
    <sortCondition ref="A3:A70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11" sqref="A11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86" t="s">
        <v>470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4" t="s">
        <v>157</v>
      </c>
      <c r="J2" s="191" t="s">
        <v>468</v>
      </c>
      <c r="K2" s="192"/>
      <c r="L2" s="193"/>
      <c r="N2" s="188" t="s">
        <v>469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4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624</v>
      </c>
      <c r="B5" s="93" t="s">
        <v>375</v>
      </c>
      <c r="C5" s="92">
        <v>2</v>
      </c>
      <c r="D5" s="92">
        <v>4</v>
      </c>
      <c r="E5" s="92">
        <v>5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Sakamichi no Apollon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IF('Completed'!$C$4&lt;&gt;"",'Completed'!$C$4,"")</f>
        <v>9.5</v>
      </c>
      <c r="W5" s="53">
        <f>IF('Completed'!$D$4&lt;&gt;"",'Completed'!$D$4,"")</f>
        <v>10</v>
      </c>
      <c r="X5" s="53">
        <f>IF('Completed'!$E$4&lt;&gt;"",'Completed'!$E$4,"")</f>
        <v>3.5</v>
      </c>
      <c r="Y5" s="53">
        <f>IF('Completed'!$F$4&lt;&gt;"",'Completed'!$F$4,"")</f>
        <v>10</v>
      </c>
      <c r="Z5" s="65">
        <f>IF('Completed'!$G$4&lt;&gt;"",'Completed'!$G$4,"")</f>
        <v>9.5979899497487438</v>
      </c>
      <c r="AA5" s="75">
        <f>IF('Completed'!$H$4&lt;&gt;"",'Completed'!$H$4,"")</f>
        <v>9.6221662468513856</v>
      </c>
      <c r="AB5" s="54">
        <f>IF('Completed'!$I$4&lt;&gt;"",'Completed'!$I$4,"")</f>
        <v>41646</v>
      </c>
      <c r="AC5" s="54">
        <f>IF('Completed'!$J$4&lt;&gt;"",'Completed'!$J$4,"")</f>
        <v>41647</v>
      </c>
      <c r="AD5" s="66" t="str">
        <f>IF('Completed'!$K$4&lt;&gt;"",'Completed'!$K$4,"")</f>
        <v>Mukae Ritsuko</v>
      </c>
      <c r="AE5" s="66" t="str">
        <f>IF('Completed'!$L$4&lt;&gt;"",'Completed'!$L$4,"")</f>
        <v>Even more accurate music than K-On!</v>
      </c>
    </row>
    <row r="6" spans="1:31">
      <c r="A6" s="90" t="s">
        <v>58</v>
      </c>
      <c r="B6" s="91" t="s">
        <v>124</v>
      </c>
      <c r="C6" s="92">
        <v>1</v>
      </c>
      <c r="D6" s="92">
        <v>17</v>
      </c>
      <c r="E6" s="92">
        <v>26</v>
      </c>
      <c r="F6" s="115">
        <v>41653</v>
      </c>
      <c r="G6" s="111" t="str">
        <f ca="1">IF($A6&lt;&gt;"", INDIRECT("'Tracker'!"&amp;ADDRESS(MATCH($A6, Tracker[Anime Name], 0) + 2, 4)), "")</f>
        <v>A</v>
      </c>
      <c r="H6" s="104" t="str">
        <f ca="1">IF($A6&lt;&gt;"", INDIRECT("'Tracker'!"&amp;ADDRESS(MATCH($A6, Tracker[Anime Name], 0) + 2, 8)), "")</f>
        <v>niizk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Steins;Gate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IF('Completed'!$C$5&lt;&gt;"",'Completed'!$C$5,"")</f>
        <v>10</v>
      </c>
      <c r="W6" s="53">
        <f>IF('Completed'!$D$5&lt;&gt;"",'Completed'!$D$5,"")</f>
        <v>9.5</v>
      </c>
      <c r="X6" s="53">
        <f>IF('Completed'!$E$5&lt;&gt;"",'Completed'!$E$5,"")</f>
        <v>4</v>
      </c>
      <c r="Y6" s="53">
        <f>IF('Completed'!$F$5&lt;&gt;"",'Completed'!$F$5,"")</f>
        <v>10</v>
      </c>
      <c r="Z6" s="65">
        <f>IF('Completed'!$G$5&lt;&gt;"",'Completed'!$G$5,"")</f>
        <v>9.5791457286432156</v>
      </c>
      <c r="AA6" s="75">
        <f>IF('Completed'!$H$5&lt;&gt;"",'Completed'!$H$5,"")</f>
        <v>9.6032745591939523</v>
      </c>
      <c r="AB6" s="54">
        <f>IF('Completed'!$I$5&lt;&gt;"",'Completed'!$I$5,"")</f>
        <v>41270</v>
      </c>
      <c r="AC6" s="54">
        <f>IF('Completed'!$J$5&lt;&gt;"",'Completed'!$J$5,"")</f>
        <v>41279</v>
      </c>
      <c r="AD6" s="66" t="str">
        <f>IF('Completed'!$K$5&lt;&gt;"",'Completed'!$K$5,"")</f>
        <v>Makise Kurisu</v>
      </c>
      <c r="AE6" s="66" t="str">
        <f>IF('Completed'!$L$5&lt;&gt;"",'Completed'!$L$5,"")</f>
        <v>Good show, mostly accurate science, overall a good watch</v>
      </c>
    </row>
    <row r="7" spans="1:31">
      <c r="A7" s="90" t="s">
        <v>330</v>
      </c>
      <c r="B7" s="94" t="s">
        <v>124</v>
      </c>
      <c r="C7" s="95">
        <v>1</v>
      </c>
      <c r="D7" s="95">
        <v>2</v>
      </c>
      <c r="E7" s="95">
        <v>11</v>
      </c>
      <c r="F7" s="116">
        <v>41816</v>
      </c>
      <c r="G7" s="111" t="str">
        <f ca="1">IF($A7&lt;&gt;"", INDIRECT("'Tracker'!"&amp;ADDRESS(MATCH($A7, Tracker[Anime Name], 0) + 2, 4)), "")</f>
        <v>A</v>
      </c>
      <c r="H7" s="104" t="str">
        <f ca="1">IF($A7&lt;&gt;"", INDIRECT("'Tracker'!"&amp;ADDRESS(MATCH($A7, Tracker[Anime Name], 0) + 2, 8)), "")</f>
        <v>Zurako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638</v>
      </c>
      <c r="B8" s="91" t="s">
        <v>658</v>
      </c>
      <c r="C8" s="92">
        <v>1</v>
      </c>
      <c r="D8" s="92">
        <v>4</v>
      </c>
      <c r="E8" s="92">
        <v>4</v>
      </c>
      <c r="F8" s="115">
        <v>41828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Doki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668</v>
      </c>
      <c r="B9" s="93" t="s">
        <v>678</v>
      </c>
      <c r="C9" s="92">
        <v>1</v>
      </c>
      <c r="D9" s="92">
        <v>4</v>
      </c>
      <c r="E9" s="92">
        <v>4</v>
      </c>
      <c r="F9" s="115">
        <v>41837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FFF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626</v>
      </c>
      <c r="B10" s="94" t="s">
        <v>672</v>
      </c>
      <c r="C10" s="95">
        <v>1</v>
      </c>
      <c r="D10" s="92">
        <v>3</v>
      </c>
      <c r="E10" s="92">
        <v>3</v>
      </c>
      <c r="F10" s="115">
        <v>41831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636</v>
      </c>
      <c r="B11" s="94" t="s">
        <v>632</v>
      </c>
      <c r="C11" s="95">
        <v>1</v>
      </c>
      <c r="D11" s="92">
        <v>4</v>
      </c>
      <c r="E11" s="92">
        <v>4</v>
      </c>
      <c r="F11" s="115">
        <v>41832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623</v>
      </c>
      <c r="B12" s="91" t="s">
        <v>632</v>
      </c>
      <c r="C12" s="92">
        <v>2</v>
      </c>
      <c r="D12" s="92">
        <v>5</v>
      </c>
      <c r="E12" s="92">
        <v>5</v>
      </c>
      <c r="F12" s="114">
        <v>41826</v>
      </c>
      <c r="G12" s="111" t="str">
        <f ca="1">IF($A12&lt;&gt;"", INDIRECT("'Tracker'!"&amp;ADDRESS(MATCH($A12, Tracker[Anime Name], 0) + 2, 4)), "")</f>
        <v>A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412</v>
      </c>
      <c r="B13" s="94" t="s">
        <v>375</v>
      </c>
      <c r="C13" s="95">
        <v>1</v>
      </c>
      <c r="D13" s="92">
        <v>17</v>
      </c>
      <c r="E13" s="92">
        <v>17</v>
      </c>
      <c r="F13" s="115">
        <v>41751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WhyNot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619</v>
      </c>
      <c r="B14" s="94" t="s">
        <v>375</v>
      </c>
      <c r="C14" s="95">
        <v>1</v>
      </c>
      <c r="D14" s="92">
        <v>5</v>
      </c>
      <c r="E14" s="92">
        <v>5</v>
      </c>
      <c r="F14" s="115">
        <v>41831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Vivid, Watashi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618</v>
      </c>
      <c r="B15" s="94" t="s">
        <v>375</v>
      </c>
      <c r="C15" s="95">
        <v>2</v>
      </c>
      <c r="D15" s="92">
        <v>5</v>
      </c>
      <c r="E15" s="92">
        <v>5</v>
      </c>
      <c r="F15" s="115">
        <v>41827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WhyNot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9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9.1306532663316595</v>
      </c>
      <c r="AA15" s="75">
        <f>IF('Completed'!$H$14&lt;&gt;"",'Completed'!$H$14,"")</f>
        <v>9.1536523929471052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/>
      <c r="B16" s="96"/>
      <c r="C16" s="95"/>
      <c r="D16" s="95"/>
      <c r="E16" s="95"/>
      <c r="F16" s="116"/>
      <c r="G16" s="111" t="str">
        <f ca="1">IF($A16&lt;&gt;"", INDIRECT("'Tracker'!"&amp;ADDRESS(MATCH($A16, Tracker[Anime Name], 0) + 2, 4)), "")</f>
        <v/>
      </c>
      <c r="H16" s="104" t="str">
        <f ca="1">IF($A16&lt;&gt;"", INDIRECT("'Tracker'!"&amp;ADDRESS(MATCH($A16, Tracker[Anime Name], 0) + 2, 8)), "")</f>
        <v/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194" t="s">
        <v>478</v>
      </c>
      <c r="D24" s="195"/>
      <c r="E24" s="195"/>
      <c r="F24" s="195"/>
      <c r="G24" s="196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5</v>
      </c>
      <c r="C25" s="203" t="s">
        <v>478</v>
      </c>
      <c r="D25" s="204"/>
      <c r="E25" s="204"/>
      <c r="F25" s="204"/>
      <c r="G25" s="205"/>
      <c r="H25" s="110">
        <f>B25*22/60</f>
        <v>1.8333333333333333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78" t="s">
        <v>471</v>
      </c>
      <c r="B26" s="179"/>
      <c r="C26" s="179"/>
      <c r="D26" s="179"/>
      <c r="E26" s="179"/>
      <c r="F26" s="179"/>
      <c r="G26" s="179"/>
      <c r="H26" s="18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81" t="s">
        <v>473</v>
      </c>
      <c r="C27" s="182"/>
      <c r="D27" s="182"/>
      <c r="E27" s="182"/>
      <c r="F27" s="182"/>
      <c r="G27" s="182"/>
      <c r="H27" s="18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84" t="s">
        <v>596</v>
      </c>
      <c r="B28" s="197"/>
      <c r="C28" s="197"/>
      <c r="D28" s="197"/>
      <c r="E28" s="197"/>
      <c r="F28" s="197"/>
      <c r="G28" s="197"/>
      <c r="H28" s="198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84" t="s">
        <v>612</v>
      </c>
      <c r="B30" s="197"/>
      <c r="C30" s="197"/>
      <c r="D30" s="197"/>
      <c r="E30" s="197"/>
      <c r="F30" s="197"/>
      <c r="G30" s="197"/>
      <c r="H30" s="198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84" t="s">
        <v>593</v>
      </c>
      <c r="B32" s="197"/>
      <c r="C32" s="197"/>
      <c r="D32" s="197"/>
      <c r="E32" s="197"/>
      <c r="F32" s="197"/>
      <c r="G32" s="197"/>
      <c r="H32" s="198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84" t="s">
        <v>594</v>
      </c>
      <c r="B34" s="197"/>
      <c r="C34" s="197"/>
      <c r="D34" s="197"/>
      <c r="E34" s="197"/>
      <c r="F34" s="197"/>
      <c r="G34" s="197"/>
      <c r="H34" s="198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84" t="s">
        <v>595</v>
      </c>
      <c r="B36" s="197"/>
      <c r="C36" s="197"/>
      <c r="D36" s="197"/>
      <c r="E36" s="197"/>
      <c r="F36" s="197"/>
      <c r="G36" s="197"/>
      <c r="H36" s="198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84" t="s">
        <v>597</v>
      </c>
      <c r="B38" s="197"/>
      <c r="C38" s="197"/>
      <c r="D38" s="197"/>
      <c r="E38" s="197"/>
      <c r="F38" s="197"/>
      <c r="G38" s="197"/>
      <c r="H38" s="198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84" t="s">
        <v>615</v>
      </c>
      <c r="B40" s="197"/>
      <c r="C40" s="197"/>
      <c r="D40" s="197"/>
      <c r="E40" s="197"/>
      <c r="F40" s="197"/>
      <c r="G40" s="197"/>
      <c r="H40" s="198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201" t="s">
        <v>616</v>
      </c>
      <c r="B42" s="197"/>
      <c r="C42" s="197"/>
      <c r="D42" s="197"/>
      <c r="E42" s="197"/>
      <c r="F42" s="197"/>
      <c r="G42" s="197"/>
      <c r="H42" s="198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Bakumatsu Rock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Card Captor Sakura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DRAMAtical Murder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☆☆☆</v>
      </c>
      <c r="K60" s="28">
        <f>IF(Backlog!$B$59&lt;&gt;"",Backlog!$B$59,"")</f>
        <v>2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365</v>
      </c>
      <c r="K61" s="28">
        <f>IF(Backlog!$B$60&lt;&gt;"",Backlog!$B$60,"")</f>
        <v>3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Honeycomb</v>
      </c>
      <c r="K62" s="28">
        <f>IF(Backlog!$B$61&lt;&gt;"",Backlog!$B$61,"")</f>
        <v>4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Joshiraku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Kyousougiga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Magi: The Labyrinth of Magic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Mahouka Koukou no Rettousei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Mushishi Zoku Shou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Nourin</v>
      </c>
      <c r="K68" s="28">
        <f>IF(Backlog!$B$67&lt;&gt;"",Backlog!$B$67,"")</f>
        <v>1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Puchimas: Petit iDOLM@STER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Seikon no Qwaser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 II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8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21" t="s">
        <v>682</v>
      </c>
      <c r="B103" s="28">
        <v>1</v>
      </c>
      <c r="C103" s="28">
        <v>13</v>
      </c>
      <c r="D103" s="22" t="s">
        <v>124</v>
      </c>
      <c r="E103" s="22" t="s">
        <v>124</v>
      </c>
      <c r="F103" s="22" t="s">
        <v>124</v>
      </c>
      <c r="G103" s="33" t="s">
        <v>532</v>
      </c>
      <c r="H103" s="122" t="s">
        <v>124</v>
      </c>
    </row>
    <row r="104" spans="1:8" ht="16.5">
      <c r="A104" s="17" t="s">
        <v>40</v>
      </c>
      <c r="B104" s="6">
        <v>1</v>
      </c>
      <c r="C104" s="6">
        <v>17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493</v>
      </c>
    </row>
    <row r="105" spans="1:8" ht="16.5">
      <c r="A105" s="17" t="s">
        <v>510</v>
      </c>
      <c r="B105" s="6">
        <v>1</v>
      </c>
      <c r="C105" s="6">
        <v>25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506</v>
      </c>
    </row>
    <row r="106" spans="1:8" ht="16.5">
      <c r="A106" s="17" t="s">
        <v>102</v>
      </c>
      <c r="B106" s="6">
        <v>2</v>
      </c>
      <c r="C106" s="6">
        <v>12</v>
      </c>
      <c r="D106" s="18" t="s">
        <v>262</v>
      </c>
      <c r="E106" s="22" t="s">
        <v>484</v>
      </c>
      <c r="F106" s="22" t="s">
        <v>447</v>
      </c>
      <c r="G106" s="33" t="s">
        <v>532</v>
      </c>
      <c r="H106" s="125" t="s">
        <v>301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21" t="s">
        <v>683</v>
      </c>
      <c r="B112" s="28">
        <v>1</v>
      </c>
      <c r="C112" s="28">
        <v>25</v>
      </c>
      <c r="D112" s="22" t="s">
        <v>124</v>
      </c>
      <c r="E112" s="22" t="s">
        <v>124</v>
      </c>
      <c r="F112" s="22" t="s">
        <v>124</v>
      </c>
      <c r="G112" s="33" t="s">
        <v>523</v>
      </c>
      <c r="H112" s="122" t="s">
        <v>124</v>
      </c>
    </row>
    <row r="113" spans="1:8" ht="16.5">
      <c r="A113" s="17" t="s">
        <v>116</v>
      </c>
      <c r="B113" s="6">
        <v>1</v>
      </c>
      <c r="C113" s="6">
        <v>12</v>
      </c>
      <c r="D113" s="18" t="s">
        <v>262</v>
      </c>
      <c r="E113" s="13" t="s">
        <v>484</v>
      </c>
      <c r="F113" s="13" t="s">
        <v>447</v>
      </c>
      <c r="G113" s="50" t="s">
        <v>523</v>
      </c>
      <c r="H113" s="125" t="s">
        <v>301</v>
      </c>
    </row>
    <row r="114" spans="1:8" ht="16.5">
      <c r="A114" s="17" t="s">
        <v>105</v>
      </c>
      <c r="B114" s="6">
        <v>1</v>
      </c>
      <c r="C114" s="6">
        <v>12</v>
      </c>
      <c r="D114" s="19" t="s">
        <v>124</v>
      </c>
      <c r="E114" s="32" t="s">
        <v>124</v>
      </c>
      <c r="F114" s="32" t="s">
        <v>124</v>
      </c>
      <c r="G114" s="35" t="s">
        <v>523</v>
      </c>
      <c r="H114" s="124" t="s">
        <v>449</v>
      </c>
    </row>
    <row r="115" spans="1:8" ht="16.5">
      <c r="A115" s="21" t="s">
        <v>399</v>
      </c>
      <c r="B115" s="28">
        <v>1</v>
      </c>
      <c r="C115" s="28">
        <v>22</v>
      </c>
      <c r="D115" s="22" t="s">
        <v>265</v>
      </c>
      <c r="E115" s="22" t="s">
        <v>483</v>
      </c>
      <c r="F115" s="22" t="s">
        <v>447</v>
      </c>
      <c r="G115" s="33" t="s">
        <v>523</v>
      </c>
      <c r="H115" s="122" t="s">
        <v>312</v>
      </c>
    </row>
    <row r="116" spans="1:8" ht="16.5">
      <c r="A116" s="17" t="s">
        <v>151</v>
      </c>
      <c r="B116" s="6">
        <v>1</v>
      </c>
      <c r="C116" s="6">
        <v>24</v>
      </c>
      <c r="D116" s="18" t="s">
        <v>262</v>
      </c>
      <c r="E116" s="22" t="s">
        <v>483</v>
      </c>
      <c r="F116" s="22" t="s">
        <v>447</v>
      </c>
      <c r="G116" s="33" t="s">
        <v>523</v>
      </c>
      <c r="H116" s="125" t="s">
        <v>506</v>
      </c>
    </row>
    <row r="117" spans="1:8" ht="16.5">
      <c r="A117" s="21" t="s">
        <v>76</v>
      </c>
      <c r="B117" s="28">
        <v>1</v>
      </c>
      <c r="C117" s="28">
        <v>25</v>
      </c>
      <c r="D117" s="32" t="s">
        <v>265</v>
      </c>
      <c r="E117" s="22" t="s">
        <v>483</v>
      </c>
      <c r="F117" s="32" t="s">
        <v>446</v>
      </c>
      <c r="G117" s="35" t="s">
        <v>523</v>
      </c>
      <c r="H117" s="122" t="s">
        <v>285</v>
      </c>
    </row>
    <row r="118" spans="1:8" ht="16.5">
      <c r="A118" s="17" t="s">
        <v>227</v>
      </c>
      <c r="B118" s="6">
        <v>2</v>
      </c>
      <c r="C118" s="6">
        <v>12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311</v>
      </c>
    </row>
    <row r="119" spans="1:8" ht="16.5">
      <c r="A119" s="17" t="s">
        <v>182</v>
      </c>
      <c r="B119" s="6">
        <v>2</v>
      </c>
      <c r="C119" s="6">
        <v>25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304</v>
      </c>
    </row>
    <row r="120" spans="1:8" ht="16.5">
      <c r="A120" s="21" t="s">
        <v>80</v>
      </c>
      <c r="B120" s="28">
        <v>1</v>
      </c>
      <c r="C120" s="28">
        <v>12</v>
      </c>
      <c r="D120" s="32" t="s">
        <v>265</v>
      </c>
      <c r="E120" s="22" t="s">
        <v>483</v>
      </c>
      <c r="F120" s="32" t="s">
        <v>447</v>
      </c>
      <c r="G120" s="35" t="s">
        <v>528</v>
      </c>
      <c r="H120" s="122" t="s">
        <v>301</v>
      </c>
    </row>
    <row r="121" spans="1:8" ht="16.5">
      <c r="A121" s="17" t="s">
        <v>42</v>
      </c>
      <c r="B121" s="6">
        <v>1</v>
      </c>
      <c r="C121" s="6">
        <v>13</v>
      </c>
      <c r="D121" s="18" t="s">
        <v>265</v>
      </c>
      <c r="E121" s="22" t="s">
        <v>483</v>
      </c>
      <c r="F121" s="22" t="s">
        <v>448</v>
      </c>
      <c r="G121" s="33" t="s">
        <v>528</v>
      </c>
      <c r="H121" s="125" t="s">
        <v>312</v>
      </c>
    </row>
    <row r="122" spans="1:8" ht="16.5">
      <c r="A122" s="17" t="s">
        <v>114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5" t="s">
        <v>304</v>
      </c>
    </row>
    <row r="123" spans="1:8" ht="16.5">
      <c r="A123" s="21" t="s">
        <v>452</v>
      </c>
      <c r="B123" s="28">
        <v>1</v>
      </c>
      <c r="C123" s="28">
        <v>13</v>
      </c>
      <c r="D123" s="32" t="s">
        <v>265</v>
      </c>
      <c r="E123" s="22" t="s">
        <v>483</v>
      </c>
      <c r="F123" s="32" t="s">
        <v>447</v>
      </c>
      <c r="G123" s="35" t="s">
        <v>528</v>
      </c>
      <c r="H123" s="122" t="s">
        <v>286</v>
      </c>
    </row>
    <row r="124" spans="1:8" ht="16.5">
      <c r="A124" s="17" t="s">
        <v>358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446</v>
      </c>
      <c r="G124" s="33" t="s">
        <v>528</v>
      </c>
      <c r="H124" s="125" t="s">
        <v>286</v>
      </c>
    </row>
    <row r="125" spans="1:8" ht="16.5">
      <c r="A125" s="17" t="s">
        <v>45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447</v>
      </c>
      <c r="G125" s="33" t="s">
        <v>528</v>
      </c>
      <c r="H125" s="125" t="s">
        <v>307</v>
      </c>
    </row>
    <row r="126" spans="1:8" ht="16.5">
      <c r="A126" s="17" t="s">
        <v>504</v>
      </c>
      <c r="B126" s="6">
        <v>1</v>
      </c>
      <c r="C126" s="6">
        <v>4</v>
      </c>
      <c r="D126" s="18" t="s">
        <v>262</v>
      </c>
      <c r="E126" s="22" t="s">
        <v>484</v>
      </c>
      <c r="F126" s="22" t="s">
        <v>447</v>
      </c>
      <c r="G126" s="33" t="s">
        <v>528</v>
      </c>
      <c r="H126" s="125" t="s">
        <v>499</v>
      </c>
    </row>
    <row r="127" spans="1:8" ht="16.5">
      <c r="A127" s="21" t="s">
        <v>25</v>
      </c>
      <c r="B127" s="28">
        <v>1</v>
      </c>
      <c r="C127" s="28">
        <v>13</v>
      </c>
      <c r="D127" s="22" t="s">
        <v>262</v>
      </c>
      <c r="E127" s="22" t="s">
        <v>483</v>
      </c>
      <c r="F127" s="22" t="s">
        <v>446</v>
      </c>
      <c r="G127" s="33" t="s">
        <v>528</v>
      </c>
      <c r="H127" s="122" t="s">
        <v>304</v>
      </c>
    </row>
    <row r="128" spans="1:8" ht="16.5">
      <c r="A128" s="21" t="s">
        <v>64</v>
      </c>
      <c r="B128" s="28">
        <v>1</v>
      </c>
      <c r="C128" s="28">
        <v>64</v>
      </c>
      <c r="D128" s="32" t="s">
        <v>124</v>
      </c>
      <c r="E128" s="22" t="s">
        <v>124</v>
      </c>
      <c r="F128" s="22" t="s">
        <v>124</v>
      </c>
      <c r="G128" s="33" t="s">
        <v>528</v>
      </c>
      <c r="H128" s="122" t="s">
        <v>124</v>
      </c>
    </row>
    <row r="129" spans="1:8" ht="16.5">
      <c r="A129" s="17" t="s">
        <v>99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286</v>
      </c>
    </row>
    <row r="130" spans="1:8" ht="16.5">
      <c r="A130" s="17" t="s">
        <v>103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311</v>
      </c>
    </row>
    <row r="131" spans="1:8" ht="16.5">
      <c r="A131" s="21" t="s">
        <v>681</v>
      </c>
      <c r="B131" s="28">
        <v>1</v>
      </c>
      <c r="C131" s="28">
        <v>12</v>
      </c>
      <c r="D131" s="22" t="s">
        <v>124</v>
      </c>
      <c r="E131" s="22" t="s">
        <v>124</v>
      </c>
      <c r="F131" s="22" t="s">
        <v>124</v>
      </c>
      <c r="G131" s="33" t="s">
        <v>550</v>
      </c>
      <c r="H131" s="122" t="s">
        <v>124</v>
      </c>
    </row>
    <row r="132" spans="1:8" ht="16.5">
      <c r="A132" s="17" t="s">
        <v>19</v>
      </c>
      <c r="B132" s="6">
        <v>1</v>
      </c>
      <c r="C132" s="6">
        <v>12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305</v>
      </c>
    </row>
    <row r="133" spans="1:8" ht="16.5">
      <c r="A133" s="17" t="s">
        <v>119</v>
      </c>
      <c r="B133" s="6">
        <v>1</v>
      </c>
      <c r="C133" s="6">
        <v>13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306</v>
      </c>
    </row>
    <row r="134" spans="1:8" ht="16.5">
      <c r="A134" s="21" t="s">
        <v>178</v>
      </c>
      <c r="B134" s="28">
        <v>1</v>
      </c>
      <c r="C134" s="28">
        <v>12</v>
      </c>
      <c r="D134" s="22" t="s">
        <v>265</v>
      </c>
      <c r="E134" s="22" t="s">
        <v>483</v>
      </c>
      <c r="F134" s="22" t="s">
        <v>446</v>
      </c>
      <c r="G134" s="33" t="s">
        <v>550</v>
      </c>
      <c r="H134" s="122" t="s">
        <v>286</v>
      </c>
    </row>
    <row r="135" spans="1:8" ht="16.5">
      <c r="A135" s="17" t="s">
        <v>12</v>
      </c>
      <c r="B135" s="6">
        <v>2</v>
      </c>
      <c r="C135" s="6">
        <v>12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303</v>
      </c>
    </row>
    <row r="136" spans="1:8" ht="16.5">
      <c r="A136" s="17" t="s">
        <v>22</v>
      </c>
      <c r="B136" s="6">
        <v>1</v>
      </c>
      <c r="C136" s="6">
        <v>13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286</v>
      </c>
    </row>
    <row r="137" spans="1:8" ht="16.5">
      <c r="A137" s="17" t="s">
        <v>132</v>
      </c>
      <c r="B137" s="6">
        <v>1</v>
      </c>
      <c r="C137" s="6">
        <v>13</v>
      </c>
      <c r="D137" s="18" t="s">
        <v>262</v>
      </c>
      <c r="E137" s="22" t="s">
        <v>484</v>
      </c>
      <c r="F137" s="22" t="s">
        <v>447</v>
      </c>
      <c r="G137" s="33" t="s">
        <v>550</v>
      </c>
      <c r="H137" s="125" t="s">
        <v>301</v>
      </c>
    </row>
    <row r="138" spans="1:8" ht="16.5">
      <c r="A138" s="17" t="s">
        <v>176</v>
      </c>
      <c r="B138" s="6">
        <v>1</v>
      </c>
      <c r="C138" s="6">
        <v>10</v>
      </c>
      <c r="D138" s="22" t="s">
        <v>265</v>
      </c>
      <c r="E138" s="22" t="s">
        <v>486</v>
      </c>
      <c r="F138" s="22" t="s">
        <v>446</v>
      </c>
      <c r="G138" s="33" t="s">
        <v>550</v>
      </c>
      <c r="H138" s="125" t="s">
        <v>315</v>
      </c>
    </row>
    <row r="139" spans="1:8" ht="16.5">
      <c r="A139" s="17" t="s">
        <v>131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448</v>
      </c>
      <c r="G139" s="33" t="s">
        <v>550</v>
      </c>
      <c r="H139" s="125" t="s">
        <v>304</v>
      </c>
    </row>
    <row r="140" spans="1:8" ht="16.5">
      <c r="A140" s="17" t="s">
        <v>274</v>
      </c>
      <c r="B140" s="6">
        <v>2</v>
      </c>
      <c r="C140" s="6">
        <v>16</v>
      </c>
      <c r="D140" s="18" t="s">
        <v>262</v>
      </c>
      <c r="E140" s="22" t="s">
        <v>484</v>
      </c>
      <c r="F140" s="22" t="s">
        <v>447</v>
      </c>
      <c r="G140" s="33" t="s">
        <v>550</v>
      </c>
      <c r="H140" s="125" t="s">
        <v>506</v>
      </c>
    </row>
    <row r="141" spans="1:8" ht="16.5">
      <c r="A141" s="17" t="s">
        <v>120</v>
      </c>
      <c r="B141" s="6">
        <v>1</v>
      </c>
      <c r="C141" s="6">
        <v>13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17</v>
      </c>
      <c r="B142" s="6">
        <v>1</v>
      </c>
      <c r="C142" s="6">
        <v>12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482</v>
      </c>
      <c r="B143" s="6">
        <v>1</v>
      </c>
      <c r="C143" s="6">
        <v>25</v>
      </c>
      <c r="D143" s="18" t="s">
        <v>265</v>
      </c>
      <c r="E143" s="22" t="s">
        <v>483</v>
      </c>
      <c r="F143" s="22" t="s">
        <v>447</v>
      </c>
      <c r="G143" s="33" t="s">
        <v>550</v>
      </c>
      <c r="H143" s="125" t="s">
        <v>506</v>
      </c>
    </row>
    <row r="144" spans="1:8" ht="16.5">
      <c r="A144" s="17" t="s">
        <v>458</v>
      </c>
      <c r="B144" s="6">
        <v>2</v>
      </c>
      <c r="C144" s="6">
        <v>24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512</v>
      </c>
    </row>
    <row r="145" spans="1:8" ht="16.5">
      <c r="A145" s="17" t="s">
        <v>24</v>
      </c>
      <c r="B145" s="6">
        <v>1</v>
      </c>
      <c r="C145" s="6">
        <v>13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513</v>
      </c>
    </row>
    <row r="146" spans="1:8" ht="16.5">
      <c r="A146" s="17" t="s">
        <v>130</v>
      </c>
      <c r="B146" s="6">
        <v>1</v>
      </c>
      <c r="C146" s="6">
        <v>12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312</v>
      </c>
    </row>
    <row r="147" spans="1:8" ht="16.5">
      <c r="A147" s="21" t="s">
        <v>273</v>
      </c>
      <c r="B147" s="28">
        <v>1</v>
      </c>
      <c r="C147" s="28">
        <v>12</v>
      </c>
      <c r="D147" s="32" t="s">
        <v>265</v>
      </c>
      <c r="E147" s="22" t="s">
        <v>483</v>
      </c>
      <c r="F147" s="32" t="s">
        <v>446</v>
      </c>
      <c r="G147" s="35" t="s">
        <v>549</v>
      </c>
      <c r="H147" s="122" t="s">
        <v>285</v>
      </c>
    </row>
    <row r="148" spans="1:8" ht="16.5">
      <c r="A148" s="17" t="s">
        <v>171</v>
      </c>
      <c r="B148" s="6">
        <v>1</v>
      </c>
      <c r="C148" s="6">
        <v>12</v>
      </c>
      <c r="D148" s="18" t="s">
        <v>262</v>
      </c>
      <c r="E148" s="22" t="s">
        <v>484</v>
      </c>
      <c r="F148" s="22" t="s">
        <v>447</v>
      </c>
      <c r="G148" s="33" t="s">
        <v>549</v>
      </c>
      <c r="H148" s="125" t="s">
        <v>312</v>
      </c>
    </row>
    <row r="149" spans="1:8" ht="16.5">
      <c r="A149" s="17" t="s">
        <v>250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139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170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448</v>
      </c>
      <c r="G151" s="33" t="s">
        <v>549</v>
      </c>
      <c r="H151" s="125" t="s">
        <v>304</v>
      </c>
    </row>
    <row r="152" spans="1:8" ht="16.5">
      <c r="A152" s="17" t="s">
        <v>168</v>
      </c>
      <c r="B152" s="6">
        <v>1</v>
      </c>
      <c r="C152" s="6">
        <v>12</v>
      </c>
      <c r="D152" s="18" t="s">
        <v>262</v>
      </c>
      <c r="E152" s="22" t="s">
        <v>484</v>
      </c>
      <c r="F152" s="22" t="s">
        <v>447</v>
      </c>
      <c r="G152" s="33" t="s">
        <v>549</v>
      </c>
      <c r="H152" s="125" t="s">
        <v>301</v>
      </c>
    </row>
    <row r="153" spans="1:8" ht="16.5">
      <c r="A153" s="17" t="s">
        <v>172</v>
      </c>
      <c r="B153" s="6">
        <v>1</v>
      </c>
      <c r="C153" s="6">
        <v>13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286</v>
      </c>
    </row>
    <row r="154" spans="1:8" ht="16.5">
      <c r="A154" s="17" t="s">
        <v>370</v>
      </c>
      <c r="B154" s="6">
        <v>2</v>
      </c>
      <c r="C154" s="6">
        <v>26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304</v>
      </c>
    </row>
    <row r="155" spans="1:8" ht="16.5">
      <c r="A155" s="17" t="s">
        <v>169</v>
      </c>
      <c r="B155" s="6">
        <v>2</v>
      </c>
      <c r="C155" s="6">
        <v>12</v>
      </c>
      <c r="D155" s="18" t="s">
        <v>262</v>
      </c>
      <c r="E155" s="22" t="s">
        <v>484</v>
      </c>
      <c r="F155" s="22" t="s">
        <v>447</v>
      </c>
      <c r="G155" s="33" t="s">
        <v>549</v>
      </c>
      <c r="H155" s="125" t="s">
        <v>462</v>
      </c>
    </row>
    <row r="156" spans="1:8" ht="16.5">
      <c r="A156" s="17" t="s">
        <v>174</v>
      </c>
      <c r="B156" s="6">
        <v>1</v>
      </c>
      <c r="C156" s="6">
        <v>13</v>
      </c>
      <c r="D156" s="18" t="s">
        <v>262</v>
      </c>
      <c r="E156" s="22" t="s">
        <v>483</v>
      </c>
      <c r="F156" s="22" t="s">
        <v>448</v>
      </c>
      <c r="G156" s="33" t="s">
        <v>549</v>
      </c>
      <c r="H156" s="125" t="s">
        <v>304</v>
      </c>
    </row>
    <row r="157" spans="1:8" ht="16.5">
      <c r="A157" s="21" t="s">
        <v>402</v>
      </c>
      <c r="B157" s="28">
        <v>1</v>
      </c>
      <c r="C157" s="28">
        <v>13</v>
      </c>
      <c r="D157" s="22" t="s">
        <v>265</v>
      </c>
      <c r="E157" s="22" t="s">
        <v>483</v>
      </c>
      <c r="F157" s="22" t="s">
        <v>446</v>
      </c>
      <c r="G157" s="33" t="s">
        <v>549</v>
      </c>
      <c r="H157" s="122" t="s">
        <v>382</v>
      </c>
    </row>
    <row r="158" spans="1:8" ht="16.5">
      <c r="A158" s="172" t="s">
        <v>175</v>
      </c>
      <c r="B158" s="6">
        <v>1</v>
      </c>
      <c r="C158" s="6">
        <v>12</v>
      </c>
      <c r="D158" s="18" t="s">
        <v>262</v>
      </c>
      <c r="E158" s="22" t="s">
        <v>483</v>
      </c>
      <c r="F158" s="22" t="s">
        <v>446</v>
      </c>
      <c r="G158" s="33" t="s">
        <v>549</v>
      </c>
      <c r="H158" s="125" t="s">
        <v>495</v>
      </c>
    </row>
    <row r="159" spans="1:8" ht="16.5">
      <c r="A159" s="17" t="s">
        <v>289</v>
      </c>
      <c r="B159" s="6">
        <v>1</v>
      </c>
      <c r="C159" s="6">
        <v>12</v>
      </c>
      <c r="D159" s="18" t="s">
        <v>265</v>
      </c>
      <c r="E159" s="22" t="s">
        <v>483</v>
      </c>
      <c r="F159" s="22" t="s">
        <v>446</v>
      </c>
      <c r="G159" s="33" t="s">
        <v>524</v>
      </c>
      <c r="H159" s="125" t="s">
        <v>304</v>
      </c>
    </row>
    <row r="160" spans="1:8" ht="16.5">
      <c r="A160" s="17" t="s">
        <v>278</v>
      </c>
      <c r="B160" s="6">
        <v>1</v>
      </c>
      <c r="C160" s="6">
        <v>13</v>
      </c>
      <c r="D160" s="18" t="s">
        <v>262</v>
      </c>
      <c r="E160" s="22" t="s">
        <v>483</v>
      </c>
      <c r="F160" s="22" t="s">
        <v>448</v>
      </c>
      <c r="G160" s="33" t="s">
        <v>524</v>
      </c>
      <c r="H160" s="125" t="s">
        <v>304</v>
      </c>
    </row>
    <row r="161" spans="1:8" ht="16.5">
      <c r="A161" s="17" t="s">
        <v>277</v>
      </c>
      <c r="B161" s="6">
        <v>1</v>
      </c>
      <c r="C161" s="6">
        <v>24</v>
      </c>
      <c r="D161" s="18" t="s">
        <v>262</v>
      </c>
      <c r="E161" s="22" t="s">
        <v>483</v>
      </c>
      <c r="F161" s="22" t="s">
        <v>446</v>
      </c>
      <c r="G161" s="33" t="s">
        <v>524</v>
      </c>
      <c r="H161" s="125" t="s">
        <v>286</v>
      </c>
    </row>
    <row r="162" spans="1:8" ht="16.5">
      <c r="A162" s="17" t="s">
        <v>279</v>
      </c>
      <c r="B162" s="6">
        <v>1</v>
      </c>
      <c r="C162" s="6">
        <v>24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304</v>
      </c>
    </row>
    <row r="163" spans="1:8" ht="16.5">
      <c r="A163" s="17" t="s">
        <v>276</v>
      </c>
      <c r="B163" s="6">
        <v>1</v>
      </c>
      <c r="C163" s="6">
        <v>12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285</v>
      </c>
    </row>
    <row r="164" spans="1:8" ht="16.5">
      <c r="A164" s="21" t="s">
        <v>345</v>
      </c>
      <c r="B164" s="28">
        <v>1</v>
      </c>
      <c r="C164" s="28">
        <v>13</v>
      </c>
      <c r="D164" s="32" t="s">
        <v>124</v>
      </c>
      <c r="E164" s="22" t="s">
        <v>124</v>
      </c>
      <c r="F164" s="22" t="s">
        <v>124</v>
      </c>
      <c r="G164" s="33" t="s">
        <v>524</v>
      </c>
      <c r="H164" s="122" t="s">
        <v>124</v>
      </c>
    </row>
    <row r="165" spans="1:8" ht="16.5">
      <c r="A165" s="37" t="s">
        <v>280</v>
      </c>
      <c r="B165" s="38">
        <v>1</v>
      </c>
      <c r="C165" s="38">
        <v>25</v>
      </c>
      <c r="D165" s="39" t="s">
        <v>265</v>
      </c>
      <c r="E165" s="13" t="s">
        <v>483</v>
      </c>
      <c r="F165" s="13" t="s">
        <v>446</v>
      </c>
      <c r="G165" s="50" t="s">
        <v>524</v>
      </c>
      <c r="H165" s="125" t="s">
        <v>304</v>
      </c>
    </row>
    <row r="166" spans="1:8" ht="16.5">
      <c r="A166" s="17" t="s">
        <v>284</v>
      </c>
      <c r="B166" s="6">
        <v>1</v>
      </c>
      <c r="C166" s="6">
        <v>13</v>
      </c>
      <c r="D166" s="18" t="s">
        <v>265</v>
      </c>
      <c r="E166" s="22" t="s">
        <v>483</v>
      </c>
      <c r="F166" s="22" t="s">
        <v>448</v>
      </c>
      <c r="G166" s="33" t="s">
        <v>524</v>
      </c>
      <c r="H166" s="125" t="s">
        <v>304</v>
      </c>
    </row>
    <row r="167" spans="1:8" ht="16.5">
      <c r="A167" s="17" t="s">
        <v>372</v>
      </c>
      <c r="B167" s="6">
        <v>1</v>
      </c>
      <c r="C167" s="6">
        <v>12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290</v>
      </c>
      <c r="B168" s="6">
        <v>1</v>
      </c>
      <c r="C168" s="6">
        <v>10</v>
      </c>
      <c r="D168" s="18" t="s">
        <v>262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281</v>
      </c>
      <c r="B169" s="6">
        <v>1</v>
      </c>
      <c r="C169" s="6">
        <v>22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282</v>
      </c>
      <c r="B170" s="6">
        <v>2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285</v>
      </c>
    </row>
    <row r="171" spans="1:8" ht="16.5">
      <c r="A171" s="17" t="s">
        <v>356</v>
      </c>
      <c r="B171" s="6">
        <v>2</v>
      </c>
      <c r="C171" s="6">
        <v>12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5" t="s">
        <v>495</v>
      </c>
    </row>
    <row r="172" spans="1:8" ht="16.5">
      <c r="A172" s="17" t="s">
        <v>359</v>
      </c>
      <c r="B172" s="6">
        <v>1</v>
      </c>
      <c r="C172" s="6">
        <v>12</v>
      </c>
      <c r="D172" s="18" t="s">
        <v>265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17" t="s">
        <v>361</v>
      </c>
      <c r="B173" s="6">
        <v>1</v>
      </c>
      <c r="C173" s="6">
        <v>10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382</v>
      </c>
    </row>
    <row r="174" spans="1:8" ht="16.5">
      <c r="A174" s="21" t="s">
        <v>430</v>
      </c>
      <c r="B174" s="28">
        <v>1</v>
      </c>
      <c r="C174" s="28">
        <v>12</v>
      </c>
      <c r="D174" s="22" t="s">
        <v>265</v>
      </c>
      <c r="E174" s="22" t="s">
        <v>483</v>
      </c>
      <c r="F174" s="22" t="s">
        <v>446</v>
      </c>
      <c r="G174" s="33" t="s">
        <v>544</v>
      </c>
      <c r="H174" s="122" t="s">
        <v>317</v>
      </c>
    </row>
    <row r="175" spans="1:8" ht="16.5">
      <c r="A175" s="15" t="s">
        <v>355</v>
      </c>
      <c r="B175" s="38">
        <v>1</v>
      </c>
      <c r="C175" s="34">
        <v>20</v>
      </c>
      <c r="D175" s="39" t="s">
        <v>265</v>
      </c>
      <c r="E175" s="13" t="s">
        <v>483</v>
      </c>
      <c r="F175" s="173" t="s">
        <v>446</v>
      </c>
      <c r="G175" s="50" t="s">
        <v>544</v>
      </c>
      <c r="H175" s="119" t="s">
        <v>286</v>
      </c>
    </row>
    <row r="176" spans="1:8" ht="16.5">
      <c r="A176" s="17" t="s">
        <v>374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5" t="s">
        <v>286</v>
      </c>
    </row>
    <row r="177" spans="1:8" ht="16.5">
      <c r="A177" s="21" t="s">
        <v>406</v>
      </c>
      <c r="B177" s="28">
        <v>1</v>
      </c>
      <c r="C177" s="28">
        <v>12</v>
      </c>
      <c r="D177" s="32" t="s">
        <v>124</v>
      </c>
      <c r="E177" s="32" t="s">
        <v>124</v>
      </c>
      <c r="F177" s="32" t="s">
        <v>124</v>
      </c>
      <c r="G177" s="33" t="s">
        <v>544</v>
      </c>
      <c r="H177" s="123" t="s">
        <v>124</v>
      </c>
    </row>
    <row r="178" spans="1:8" ht="16.5">
      <c r="A178" s="17" t="s">
        <v>357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301</v>
      </c>
    </row>
    <row r="179" spans="1:8" ht="16.5">
      <c r="A179" s="17" t="s">
        <v>360</v>
      </c>
      <c r="B179" s="6">
        <v>1</v>
      </c>
      <c r="C179" s="6">
        <v>13</v>
      </c>
      <c r="D179" s="18" t="s">
        <v>265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383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448</v>
      </c>
      <c r="G180" s="33" t="s">
        <v>544</v>
      </c>
      <c r="H180" s="125" t="s">
        <v>304</v>
      </c>
    </row>
    <row r="181" spans="1:8" ht="16.5">
      <c r="A181" s="17" t="s">
        <v>376</v>
      </c>
      <c r="B181" s="6">
        <v>1</v>
      </c>
      <c r="C181" s="6">
        <v>21</v>
      </c>
      <c r="D181" s="18" t="s">
        <v>265</v>
      </c>
      <c r="E181" s="22" t="s">
        <v>483</v>
      </c>
      <c r="F181" s="22" t="s">
        <v>446</v>
      </c>
      <c r="G181" s="33" t="s">
        <v>544</v>
      </c>
      <c r="H181" s="125" t="s">
        <v>382</v>
      </c>
    </row>
    <row r="182" spans="1:8" ht="16.5">
      <c r="A182" s="17" t="s">
        <v>379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446</v>
      </c>
      <c r="G182" s="33" t="s">
        <v>544</v>
      </c>
      <c r="H182" s="125" t="s">
        <v>286</v>
      </c>
    </row>
    <row r="183" spans="1:8" ht="16.5">
      <c r="A183" s="21" t="s">
        <v>410</v>
      </c>
      <c r="B183" s="6">
        <v>1</v>
      </c>
      <c r="C183" s="28">
        <v>12</v>
      </c>
      <c r="D183" s="18" t="s">
        <v>265</v>
      </c>
      <c r="E183" s="22" t="s">
        <v>483</v>
      </c>
      <c r="F183" s="48" t="s">
        <v>448</v>
      </c>
      <c r="G183" s="33" t="s">
        <v>527</v>
      </c>
      <c r="H183" s="125" t="s">
        <v>304</v>
      </c>
    </row>
    <row r="184" spans="1:8" ht="16.5">
      <c r="A184" s="21" t="s">
        <v>411</v>
      </c>
      <c r="B184" s="6">
        <v>1</v>
      </c>
      <c r="C184" s="28">
        <v>13</v>
      </c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317</v>
      </c>
    </row>
    <row r="185" spans="1:8" ht="16.5">
      <c r="A185" s="21" t="s">
        <v>412</v>
      </c>
      <c r="B185" s="6">
        <v>1</v>
      </c>
      <c r="C185" s="28"/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426</v>
      </c>
    </row>
    <row r="186" spans="1:8" ht="16.5">
      <c r="A186" s="21" t="s">
        <v>413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494</v>
      </c>
    </row>
    <row r="187" spans="1:8" ht="16.5">
      <c r="A187" s="21" t="s">
        <v>414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306</v>
      </c>
    </row>
    <row r="188" spans="1:8" ht="16.5">
      <c r="A188" s="21" t="s">
        <v>415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382</v>
      </c>
    </row>
    <row r="189" spans="1:8" ht="16.5">
      <c r="A189" s="21" t="s">
        <v>416</v>
      </c>
      <c r="B189" s="6">
        <v>1</v>
      </c>
      <c r="C189" s="28">
        <v>13</v>
      </c>
      <c r="D189" s="18" t="s">
        <v>265</v>
      </c>
      <c r="E189" s="22" t="s">
        <v>483</v>
      </c>
      <c r="F189" s="19" t="s">
        <v>446</v>
      </c>
      <c r="G189" s="33" t="s">
        <v>527</v>
      </c>
      <c r="H189" s="119" t="s">
        <v>317</v>
      </c>
    </row>
    <row r="190" spans="1:8" ht="16.5">
      <c r="A190" s="21" t="s">
        <v>417</v>
      </c>
      <c r="B190" s="6">
        <v>1</v>
      </c>
      <c r="C190" s="28"/>
      <c r="D190" s="19" t="s">
        <v>124</v>
      </c>
      <c r="E190" s="32" t="s">
        <v>124</v>
      </c>
      <c r="F190" s="19" t="s">
        <v>446</v>
      </c>
      <c r="G190" s="33" t="s">
        <v>527</v>
      </c>
      <c r="H190" s="126" t="s">
        <v>124</v>
      </c>
    </row>
    <row r="191" spans="1:8" ht="16.5">
      <c r="A191" s="21" t="s">
        <v>425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19" t="s">
        <v>301</v>
      </c>
    </row>
    <row r="192" spans="1:8" ht="16.5">
      <c r="A192" s="15" t="s">
        <v>427</v>
      </c>
      <c r="B192" s="38">
        <v>1</v>
      </c>
      <c r="C192" s="34">
        <v>12</v>
      </c>
      <c r="D192" s="39" t="s">
        <v>265</v>
      </c>
      <c r="E192" s="13" t="s">
        <v>483</v>
      </c>
      <c r="F192" s="173" t="s">
        <v>446</v>
      </c>
      <c r="G192" s="50" t="s">
        <v>527</v>
      </c>
      <c r="H192" s="177" t="s">
        <v>304</v>
      </c>
    </row>
    <row r="193" spans="1:8" ht="16.5">
      <c r="A193" s="15" t="s">
        <v>409</v>
      </c>
      <c r="B193" s="34">
        <v>2</v>
      </c>
      <c r="C193" s="176">
        <v>10</v>
      </c>
      <c r="D193" s="171" t="s">
        <v>124</v>
      </c>
      <c r="E193" s="13" t="s">
        <v>124</v>
      </c>
      <c r="F193" s="13" t="s">
        <v>124</v>
      </c>
      <c r="G193" s="50" t="s">
        <v>527</v>
      </c>
      <c r="H193" s="132" t="s">
        <v>124</v>
      </c>
    </row>
    <row r="194" spans="1:8" ht="16.5">
      <c r="A194" s="15" t="s">
        <v>418</v>
      </c>
      <c r="B194" s="38">
        <v>1</v>
      </c>
      <c r="C194" s="34">
        <v>12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492</v>
      </c>
    </row>
    <row r="195" spans="1:8" ht="16.5">
      <c r="A195" s="15" t="s">
        <v>419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426</v>
      </c>
    </row>
    <row r="196" spans="1:8" ht="16.5">
      <c r="A196" s="15" t="s">
        <v>429</v>
      </c>
      <c r="B196" s="38">
        <v>1</v>
      </c>
      <c r="C196" s="34">
        <v>11</v>
      </c>
      <c r="D196" s="39" t="s">
        <v>265</v>
      </c>
      <c r="E196" s="13" t="s">
        <v>483</v>
      </c>
      <c r="F196" s="173" t="s">
        <v>446</v>
      </c>
      <c r="G196" s="50" t="s">
        <v>527</v>
      </c>
      <c r="H196" s="175" t="s">
        <v>286</v>
      </c>
    </row>
    <row r="197" spans="1:8" ht="16.5">
      <c r="A197" s="15" t="s">
        <v>420</v>
      </c>
      <c r="B197" s="38">
        <v>1</v>
      </c>
      <c r="C197" s="34">
        <v>12</v>
      </c>
      <c r="D197" s="39" t="s">
        <v>265</v>
      </c>
      <c r="E197" s="13" t="s">
        <v>483</v>
      </c>
      <c r="F197" s="174" t="s">
        <v>446</v>
      </c>
      <c r="G197" s="50" t="s">
        <v>527</v>
      </c>
      <c r="H197" s="175" t="s">
        <v>317</v>
      </c>
    </row>
    <row r="198" spans="1:8" ht="16.5">
      <c r="A198" s="15" t="s">
        <v>619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0" t="s">
        <v>631</v>
      </c>
      <c r="H198" s="132" t="s">
        <v>671</v>
      </c>
    </row>
    <row r="199" spans="1:8" ht="16.5">
      <c r="A199" s="15" t="s">
        <v>620</v>
      </c>
      <c r="B199" s="34">
        <v>1</v>
      </c>
      <c r="C199" s="34"/>
      <c r="D199" s="13" t="s">
        <v>265</v>
      </c>
      <c r="E199" s="13" t="s">
        <v>483</v>
      </c>
      <c r="F199" s="13" t="s">
        <v>448</v>
      </c>
      <c r="G199" s="50" t="s">
        <v>631</v>
      </c>
      <c r="H199" s="132" t="s">
        <v>304</v>
      </c>
    </row>
    <row r="200" spans="1:8" ht="16.5">
      <c r="A200" s="15" t="s">
        <v>621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2" t="s">
        <v>304</v>
      </c>
    </row>
    <row r="201" spans="1:8" ht="16.5">
      <c r="A201" s="15" t="s">
        <v>618</v>
      </c>
      <c r="B201" s="34">
        <v>2</v>
      </c>
      <c r="C201" s="34"/>
      <c r="D201" s="13" t="s">
        <v>262</v>
      </c>
      <c r="E201" s="13" t="s">
        <v>483</v>
      </c>
      <c r="F201" s="13" t="s">
        <v>446</v>
      </c>
      <c r="G201" s="50" t="s">
        <v>631</v>
      </c>
      <c r="H201" s="132" t="s">
        <v>426</v>
      </c>
    </row>
    <row r="202" spans="1:8" ht="16.5">
      <c r="A202" s="15" t="s">
        <v>638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301</v>
      </c>
    </row>
    <row r="203" spans="1:8" ht="16.5">
      <c r="A203" s="15" t="s">
        <v>668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286</v>
      </c>
    </row>
    <row r="204" spans="1:8" ht="16.5">
      <c r="A204" s="15" t="s">
        <v>679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624</v>
      </c>
      <c r="B205" s="34">
        <v>2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2" t="s">
        <v>304</v>
      </c>
    </row>
    <row r="206" spans="1:8" ht="16.5">
      <c r="A206" s="15" t="s">
        <v>623</v>
      </c>
      <c r="B206" s="34">
        <v>2</v>
      </c>
      <c r="C206" s="34"/>
      <c r="D206" s="13" t="s">
        <v>262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636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  <row r="208" spans="1:8" ht="16.5">
      <c r="A208" s="15" t="s">
        <v>626</v>
      </c>
      <c r="B208" s="34">
        <v>1</v>
      </c>
      <c r="C208" s="34"/>
      <c r="D208" s="13" t="s">
        <v>265</v>
      </c>
      <c r="E208" s="13" t="s">
        <v>483</v>
      </c>
      <c r="F208" s="13" t="s">
        <v>446</v>
      </c>
      <c r="G208" s="50" t="s">
        <v>631</v>
      </c>
      <c r="H208" s="132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0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40" t="s">
        <v>620</v>
      </c>
      <c r="B56" s="36">
        <v>1</v>
      </c>
      <c r="C56" s="127" t="s">
        <v>39</v>
      </c>
    </row>
    <row r="57" spans="1:3">
      <c r="A57" s="23" t="s">
        <v>386</v>
      </c>
      <c r="B57" s="120">
        <v>1</v>
      </c>
      <c r="C57" s="127" t="s">
        <v>39</v>
      </c>
    </row>
    <row r="58" spans="1:3">
      <c r="A58" s="40" t="s">
        <v>621</v>
      </c>
      <c r="B58" s="36">
        <v>1</v>
      </c>
      <c r="C58" s="127" t="s">
        <v>39</v>
      </c>
    </row>
    <row r="59" spans="1:3">
      <c r="A59" s="23" t="s">
        <v>599</v>
      </c>
      <c r="B59" s="120">
        <v>2</v>
      </c>
      <c r="C59" s="127" t="s">
        <v>39</v>
      </c>
    </row>
    <row r="60" spans="1:3">
      <c r="A60" s="23" t="s">
        <v>433</v>
      </c>
      <c r="B60" s="120">
        <v>3</v>
      </c>
      <c r="C60" s="127" t="s">
        <v>39</v>
      </c>
    </row>
    <row r="61" spans="1:3">
      <c r="A61" s="23" t="s">
        <v>434</v>
      </c>
      <c r="B61" s="120">
        <v>4</v>
      </c>
      <c r="C61" s="127" t="s">
        <v>39</v>
      </c>
    </row>
    <row r="62" spans="1:3">
      <c r="A62" s="40" t="s">
        <v>682</v>
      </c>
      <c r="B62" s="36">
        <v>1</v>
      </c>
      <c r="C62" s="127" t="s">
        <v>39</v>
      </c>
    </row>
    <row r="63" spans="1:3">
      <c r="A63" s="23" t="s">
        <v>345</v>
      </c>
      <c r="B63" s="120">
        <v>1</v>
      </c>
      <c r="C63" s="129" t="s">
        <v>39</v>
      </c>
    </row>
    <row r="64" spans="1:3">
      <c r="A64" s="40" t="s">
        <v>683</v>
      </c>
      <c r="B64" s="36">
        <v>1</v>
      </c>
      <c r="C64" s="129" t="s">
        <v>39</v>
      </c>
    </row>
    <row r="65" spans="1:3">
      <c r="A65" s="23" t="s">
        <v>417</v>
      </c>
      <c r="B65" s="120">
        <v>1</v>
      </c>
      <c r="C65" s="129" t="s">
        <v>39</v>
      </c>
    </row>
    <row r="66" spans="1:3">
      <c r="A66" s="23" t="s">
        <v>409</v>
      </c>
      <c r="B66" s="120">
        <v>2</v>
      </c>
      <c r="C66" s="129" t="s">
        <v>39</v>
      </c>
    </row>
    <row r="67" spans="1:3">
      <c r="A67" s="23" t="s">
        <v>406</v>
      </c>
      <c r="B67" s="120">
        <v>1</v>
      </c>
      <c r="C67" s="129" t="s">
        <v>39</v>
      </c>
    </row>
    <row r="68" spans="1:3">
      <c r="A68" s="23" t="s">
        <v>64</v>
      </c>
      <c r="B68" s="120">
        <v>1</v>
      </c>
      <c r="C68" s="129" t="s">
        <v>39</v>
      </c>
    </row>
    <row r="69" spans="1:3">
      <c r="A69" s="23" t="s">
        <v>71</v>
      </c>
      <c r="B69" s="120">
        <v>1</v>
      </c>
      <c r="C69" s="129" t="s">
        <v>39</v>
      </c>
    </row>
    <row r="70" spans="1:3">
      <c r="A70" s="23" t="s">
        <v>611</v>
      </c>
      <c r="B70" s="120">
        <v>2</v>
      </c>
      <c r="C70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88" t="s">
        <v>159</v>
      </c>
      <c r="E1" s="190"/>
      <c r="F1" s="23" t="s">
        <v>630</v>
      </c>
      <c r="G1" s="188" t="s">
        <v>627</v>
      </c>
      <c r="H1" s="189"/>
      <c r="I1" s="190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8" t="s">
        <v>567</v>
      </c>
      <c r="B1" s="189"/>
      <c r="C1" s="189"/>
      <c r="D1" s="189"/>
      <c r="E1" s="190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3196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76704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1278.4000000000001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53.266666666666673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15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2014-08-04T01:40:21Z</dcterms:modified>
</cp:coreProperties>
</file>